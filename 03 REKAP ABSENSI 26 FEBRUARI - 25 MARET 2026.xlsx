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SI" sheetId="1" r:id="rId4"/>
    <sheet state="visible" name="LEMBUR" sheetId="2" r:id="rId5"/>
    <sheet state="visible" name="KUNJUNGAN" sheetId="3" r:id="rId6"/>
    <sheet state="visible" name="KEHADIRAN" sheetId="4" r:id="rId7"/>
    <sheet state="visible" name="COMPLAIN" sheetId="5" r:id="rId8"/>
    <sheet state="visible" name="GROOMING" sheetId="6" r:id="rId9"/>
  </sheets>
  <definedNames>
    <definedName hidden="1" localSheetId="0" name="_xlnm._FilterDatabase">ABSENSI!$A$6:$BA$65</definedName>
    <definedName hidden="1" localSheetId="1" name="_xlnm._FilterDatabase">LEMBUR!$A$3:$AA$235</definedName>
    <definedName hidden="1" localSheetId="2" name="_xlnm._FilterDatabase">KUNJUNGAN!$A$3:$AA$521</definedName>
    <definedName hidden="1" localSheetId="3" name="_xlnm._FilterDatabase">KEHADIRAN!$A$6:$AJ$57</definedName>
  </definedNames>
  <calcPr/>
  <extLst>
    <ext uri="GoogleSheetsCustomDataVersion2">
      <go:sheetsCustomData xmlns:go="http://customooxmlschemas.google.com/" r:id="rId10" roundtripDataChecksum="jO4DDMeaemaLXQLxD1PcIaCDSJCHyMSlpSan8QEY48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23">
      <text>
        <t xml:space="preserve">======
ID#AAAB2VyhOP0
HRD SNC    (2026-03-28 11:37:49)
Sakit tidak ada surat dokter</t>
      </text>
    </comment>
    <comment authorId="0" ref="W34">
      <text>
        <t xml:space="preserve">======
ID#AAAB4NWb4So
General Admin SNC    (2026-03-26 06:55:44)
Sakit tidak ada surat dokter</t>
      </text>
    </comment>
    <comment authorId="0" ref="AK15">
      <text>
        <t xml:space="preserve">======
ID#AAAB4NWb4Sk
General Admin SNC    (2026-03-26 06:38:22)
Sakit tidak ada surat dokter</t>
      </text>
    </comment>
    <comment authorId="0" ref="AG28">
      <text>
        <t xml:space="preserve">======
ID#AAAB4NWb4Sg
General Admin SNC    (2026-03-26 06:37:27)
Surat Dokter hanya 1 hari</t>
      </text>
    </comment>
    <comment authorId="0" ref="AI16">
      <text>
        <t xml:space="preserve">======
ID#AAAB4NWb4Sc
General Admin SNC    (2026-03-26 06:37:17)
Surat Dokter hanya 1 hari</t>
      </text>
    </comment>
  </commentList>
  <extLst>
    <ext uri="GoogleSheetsCustomDataVersion2">
      <go:sheetsCustomData xmlns:go="http://customooxmlschemas.google.com/" r:id="rId1" roundtripDataSignature="AMtx7mi93YYGbxZCQNxa8ND8uacaoLLmrQ=="/>
    </ext>
  </extLst>
</comments>
</file>

<file path=xl/sharedStrings.xml><?xml version="1.0" encoding="utf-8"?>
<sst xmlns="http://schemas.openxmlformats.org/spreadsheetml/2006/main" count="4618" uniqueCount="1351">
  <si>
    <t xml:space="preserve">  </t>
  </si>
  <si>
    <t xml:space="preserve">No </t>
  </si>
  <si>
    <t xml:space="preserve">Nama </t>
  </si>
  <si>
    <t>Jabatan</t>
  </si>
  <si>
    <t>(0,50,100) %</t>
  </si>
  <si>
    <t>PRESTASI</t>
  </si>
  <si>
    <t>(0, 50)%</t>
  </si>
  <si>
    <t>JUMLAH</t>
  </si>
  <si>
    <t>JAM</t>
  </si>
  <si>
    <t xml:space="preserve">HARI </t>
  </si>
  <si>
    <t>S</t>
  </si>
  <si>
    <t>C</t>
  </si>
  <si>
    <t>I</t>
  </si>
  <si>
    <t>K</t>
  </si>
  <si>
    <t xml:space="preserve">JUMLAH </t>
  </si>
  <si>
    <t>KEHADIRAN</t>
  </si>
  <si>
    <t xml:space="preserve">TOTAL </t>
  </si>
  <si>
    <t>KUNJUNGAN</t>
  </si>
  <si>
    <t>MENIT</t>
  </si>
  <si>
    <t>Lembur</t>
  </si>
  <si>
    <t>Bonus</t>
  </si>
  <si>
    <t>Setengah Hari</t>
  </si>
  <si>
    <t>PERHITUNGAN</t>
  </si>
  <si>
    <t>EFEKTIF</t>
  </si>
  <si>
    <t xml:space="preserve">SAKIT </t>
  </si>
  <si>
    <t>CUTI</t>
  </si>
  <si>
    <t>IJIN</t>
  </si>
  <si>
    <t>KOSONG</t>
  </si>
  <si>
    <t>LIBUR</t>
  </si>
  <si>
    <t xml:space="preserve"> </t>
  </si>
  <si>
    <t>GROOMING</t>
  </si>
  <si>
    <t>GROOM</t>
  </si>
  <si>
    <t>COMPLAIN</t>
  </si>
  <si>
    <t>COM</t>
  </si>
  <si>
    <t>Robby Anggoro</t>
  </si>
  <si>
    <t>Teknisi Station</t>
  </si>
  <si>
    <t>√</t>
  </si>
  <si>
    <t>X</t>
  </si>
  <si>
    <t>Ita Ernia</t>
  </si>
  <si>
    <t>Personalia</t>
  </si>
  <si>
    <t>Choirul Anam</t>
  </si>
  <si>
    <t>Teknisi Mobile</t>
  </si>
  <si>
    <t>Moch Anis Fathony</t>
  </si>
  <si>
    <t>Supervisor</t>
  </si>
  <si>
    <t>Sulistiono</t>
  </si>
  <si>
    <t>Akbar Rohmatulah</t>
  </si>
  <si>
    <t>Suparman</t>
  </si>
  <si>
    <t>Hendra Mulalinda</t>
  </si>
  <si>
    <t>Koor TC</t>
  </si>
  <si>
    <t>Moh. Mahrus</t>
  </si>
  <si>
    <t>Rohandy Sujoko</t>
  </si>
  <si>
    <t>Teknisi Termite</t>
  </si>
  <si>
    <t>Lucky Adi Putra</t>
  </si>
  <si>
    <t>Siti Lutfiani</t>
  </si>
  <si>
    <t>Admin F&amp;A</t>
  </si>
  <si>
    <t>Andik Noroyan Fananiar</t>
  </si>
  <si>
    <t>Muhammad Abu Samsudin</t>
  </si>
  <si>
    <t>Imelynia Pratiwi Suhari</t>
  </si>
  <si>
    <t>QC &amp; Koor PRC</t>
  </si>
  <si>
    <t>√/</t>
  </si>
  <si>
    <t>Widya Anita Saptarini</t>
  </si>
  <si>
    <t>Marketing</t>
  </si>
  <si>
    <t>Ananda Almas Saputra</t>
  </si>
  <si>
    <t>Guruh Suseno</t>
  </si>
  <si>
    <t>Hustak Huda Ariffiandi Noor</t>
  </si>
  <si>
    <t>Septian Dewan Putra Pratama</t>
  </si>
  <si>
    <t>Alim Wijaya</t>
  </si>
  <si>
    <t>I Wayan Rendy Tirta Ardana</t>
  </si>
  <si>
    <t>Teknisi Support</t>
  </si>
  <si>
    <t>Dwi Yulianto</t>
  </si>
  <si>
    <t>Dwi Santoso</t>
  </si>
  <si>
    <t>Fandi Aprilianto</t>
  </si>
  <si>
    <t>GA</t>
  </si>
  <si>
    <t>Adam Abdillah</t>
  </si>
  <si>
    <t>Setyo Nugroho Panji Ramadhan</t>
  </si>
  <si>
    <t>Rizal Darmawan</t>
  </si>
  <si>
    <t>Ekan Novi Pangestu</t>
  </si>
  <si>
    <t>Argantara Alif Saputra</t>
  </si>
  <si>
    <t>100%</t>
  </si>
  <si>
    <t>50%</t>
  </si>
  <si>
    <t>Moch Maulana</t>
  </si>
  <si>
    <t>Aldimas Fachrur Rozi</t>
  </si>
  <si>
    <t>Asrori Rusdy</t>
  </si>
  <si>
    <t>Driver</t>
  </si>
  <si>
    <t>√√</t>
  </si>
  <si>
    <t>Mauliddina Althaf Amanda</t>
  </si>
  <si>
    <t>Admin Operasional</t>
  </si>
  <si>
    <t>Bustomi</t>
  </si>
  <si>
    <t>Mohammad Firman</t>
  </si>
  <si>
    <t>Farchan Adi Saputro</t>
  </si>
  <si>
    <t>Mochammad Ryan Ramadhani</t>
  </si>
  <si>
    <t>Arizal Satriya Pambudi</t>
  </si>
  <si>
    <t>Ahmad Yusrin Najih</t>
  </si>
  <si>
    <t>Muchammad Bayu Agung Permadi</t>
  </si>
  <si>
    <t>Muliyasari</t>
  </si>
  <si>
    <t>GA Support</t>
  </si>
  <si>
    <t>Fadhilah Syifa Harnadi Putri</t>
  </si>
  <si>
    <t>CS</t>
  </si>
  <si>
    <t>Maril Dicky Setiyawan</t>
  </si>
  <si>
    <t>A A'malul Rifqi</t>
  </si>
  <si>
    <t>Fahmi Idris Mangku Alam</t>
  </si>
  <si>
    <t>Leader</t>
  </si>
  <si>
    <t>Nur Imam Siswo Utomo</t>
  </si>
  <si>
    <t>Iwan Fahroji</t>
  </si>
  <si>
    <t>Eko Prayogi</t>
  </si>
  <si>
    <t>M Gilang Isad Abdul Ghofur</t>
  </si>
  <si>
    <t>Fathur Rozek</t>
  </si>
  <si>
    <t>Moch Rizal Fatkhur Rosy</t>
  </si>
  <si>
    <t>Ghani Arsanda Essen</t>
  </si>
  <si>
    <t>Dani Yasin Romadhon</t>
  </si>
  <si>
    <t>Adam Mulia Firdaus</t>
  </si>
  <si>
    <t>Muhammad Fahreza Alamsyah</t>
  </si>
  <si>
    <t>off</t>
  </si>
  <si>
    <t>cuti</t>
  </si>
  <si>
    <t>sakit</t>
  </si>
  <si>
    <t>ijin</t>
  </si>
  <si>
    <t>masuk</t>
  </si>
  <si>
    <t xml:space="preserve">Harusnya Libur tapi masuk </t>
  </si>
  <si>
    <t>Setengah hari</t>
  </si>
  <si>
    <t>Bonus 50k tapi lembur</t>
  </si>
  <si>
    <t>X/</t>
  </si>
  <si>
    <t>Jika Rumus Total kunjungan tidak terbaca, Urutkan NO 1-,,,,,,</t>
  </si>
  <si>
    <t>No.</t>
  </si>
  <si>
    <t>NAMA KARYAWAN</t>
  </si>
  <si>
    <t>TANGGAL LEMBUR</t>
  </si>
  <si>
    <t>AREA</t>
  </si>
  <si>
    <t>DURASI LEMBUR</t>
  </si>
  <si>
    <t xml:space="preserve">ACC SPV </t>
  </si>
  <si>
    <t>ACC PERSONALIA</t>
  </si>
  <si>
    <t>Tunjungan Plaza-In House Training</t>
  </si>
  <si>
    <t>15:00-17:00</t>
  </si>
  <si>
    <t>Moch Anis Fatony</t>
  </si>
  <si>
    <t>Tanamera-Fu sumber bau tikus</t>
  </si>
  <si>
    <t>16:44-17:18</t>
  </si>
  <si>
    <t>Tanamerah Coffe-Fu Bangkai tikus</t>
  </si>
  <si>
    <t>16:00-17:00</t>
  </si>
  <si>
    <t>Pakuwon mall + PTC-Fogging asap</t>
  </si>
  <si>
    <t>00:00-01:30</t>
  </si>
  <si>
    <t>PM Jogja-Install blackbox</t>
  </si>
  <si>
    <t>16:00-00:00</t>
  </si>
  <si>
    <t>pm jogja-pemindahan logistic &amp; unit ke gudang</t>
  </si>
  <si>
    <t>00:00-01:00</t>
  </si>
  <si>
    <t>PM jogja-training/pendampingan teknisi baru shift pagi</t>
  </si>
  <si>
    <t>07:00-15:00</t>
  </si>
  <si>
    <t>Office-Beres beres</t>
  </si>
  <si>
    <t>10:00-13:00</t>
  </si>
  <si>
    <t>PM solo-pendampingan teknisi solo</t>
  </si>
  <si>
    <t>PM JOGJA-install unit flycatcher</t>
  </si>
  <si>
    <t>23:00-01:00</t>
  </si>
  <si>
    <t>PM-PTC-Meeting Pest Control</t>
  </si>
  <si>
    <t>14:00-16:00</t>
  </si>
  <si>
    <t>PM Jogja-Install flycatcher</t>
  </si>
  <si>
    <t>22:00-01:00</t>
  </si>
  <si>
    <t>Ptc-Perbaikan pintu</t>
  </si>
  <si>
    <t>10:00-03:46</t>
  </si>
  <si>
    <t xml:space="preserve">Tunjungan plaza -GT hama kecoa </t>
  </si>
  <si>
    <t>23:00-00:00</t>
  </si>
  <si>
    <t>TP-GT</t>
  </si>
  <si>
    <t>Vasa-GT</t>
  </si>
  <si>
    <t>00:00-04:00</t>
  </si>
  <si>
    <t xml:space="preserve">Sogo-PC cold fooging </t>
  </si>
  <si>
    <t>PM solo-install flycattcer dan insectkiller di p.2</t>
  </si>
  <si>
    <t>07:00-10:00</t>
  </si>
  <si>
    <t>PM solo-spraying bnj di area koridor tenant lt.2 dan b.1</t>
  </si>
  <si>
    <t>PTC-bimbingan pengisian appsheet dengan HK PIC Pest</t>
  </si>
  <si>
    <t>Luminor-fogging &amp; drop fogging bdg</t>
  </si>
  <si>
    <t>21:00-01:00</t>
  </si>
  <si>
    <t>PM solo-night sale mall</t>
  </si>
  <si>
    <t>El grande &amp; Alma padel-Misting</t>
  </si>
  <si>
    <t>23:00-02:00</t>
  </si>
  <si>
    <t>PTC-Meeting Pest Control</t>
  </si>
  <si>
    <t>PM-PTC-Misting area PM-PTC</t>
  </si>
  <si>
    <t>00:00-00:30</t>
  </si>
  <si>
    <t>Tongjie Mjk-PRC</t>
  </si>
  <si>
    <t>19:00-02:00</t>
  </si>
  <si>
    <t>Tunjungan plaza -GT hama kecoa</t>
  </si>
  <si>
    <t>PM Jogja-GT tenant</t>
  </si>
  <si>
    <t>18:00-00:00</t>
  </si>
  <si>
    <t>bravo tuban 1&amp;2-fogging</t>
  </si>
  <si>
    <t>17:00-02:00</t>
  </si>
  <si>
    <t>Tp-Gt</t>
  </si>
  <si>
    <t>Bravo tbn 2-Cold fogging</t>
  </si>
  <si>
    <t>10:00-11:00</t>
  </si>
  <si>
    <t xml:space="preserve">Tp-Gt toilet </t>
  </si>
  <si>
    <t>17:00-04:00</t>
  </si>
  <si>
    <t>Jp-Fu ulv</t>
  </si>
  <si>
    <t>PM-PTC-Pemindahan barang-barang &amp; Pembersihan office pest control di tempat baru</t>
  </si>
  <si>
    <t>Ptc-Ngecat pintu+ dedel keramik + buat penutup lubang</t>
  </si>
  <si>
    <t>10:00-03:00</t>
  </si>
  <si>
    <t>PTC-Misting area taman PM - PTC</t>
  </si>
  <si>
    <t>Eurochair - office + H. Santika - cikal - Graha padel club-Pc - Pc - PRC - Misting</t>
  </si>
  <si>
    <t>10:00-01:00</t>
  </si>
  <si>
    <t>Juanda-Ngerakit sansenex</t>
  </si>
  <si>
    <t>19:00-00:00</t>
  </si>
  <si>
    <t>PCM-Hot fogging</t>
  </si>
  <si>
    <t>PM solo-spraying treatment area koridor fc lt.2 dan b.1</t>
  </si>
  <si>
    <t>Cikal-Fogging</t>
  </si>
  <si>
    <t>15:00-19:00</t>
  </si>
  <si>
    <t>Siti Utomo merican Kediri -Fum</t>
  </si>
  <si>
    <t>17:00-21:00</t>
  </si>
  <si>
    <t xml:space="preserve"> home ground padel-Misting</t>
  </si>
  <si>
    <t>PM solo dan jogja-spraying treatment area B.1 dan koridor fc lt.2, fooging di pm jogja</t>
  </si>
  <si>
    <t>23:00-07:00</t>
  </si>
  <si>
    <t>Tunjungan Plaza -General treatment tikus</t>
  </si>
  <si>
    <t xml:space="preserve">Siti oetomo Kediri -Fumigasi </t>
  </si>
  <si>
    <t>16:00-20:00</t>
  </si>
  <si>
    <t>Siti Utomo banyakan -Fum</t>
  </si>
  <si>
    <t>17:00-20:00</t>
  </si>
  <si>
    <t>PMSB-spraying treatment pada b.1 dan koridor fc lt.2</t>
  </si>
  <si>
    <t>Tunjungan Plaza-GT toilet TP5 dan TP6</t>
  </si>
  <si>
    <t>22:00-23:00</t>
  </si>
  <si>
    <t xml:space="preserve">Pak wisnu-FU </t>
  </si>
  <si>
    <t>15:00-16:00</t>
  </si>
  <si>
    <t xml:space="preserve">Gloria kupang-FU </t>
  </si>
  <si>
    <t>18:00-19:00</t>
  </si>
  <si>
    <t>PM JOGJA-Perjalanan</t>
  </si>
  <si>
    <t>pmsb-spraying treatment pada b.1 dan koridor fc lt.2</t>
  </si>
  <si>
    <t>1. Office  2. Pak Steven Putra  3. Office-1. Ambil Chemical dan Mobil  2. TC  3. Kembalikan Mobil</t>
  </si>
  <si>
    <t>08:00-18:00</t>
  </si>
  <si>
    <t>1. Office  2. PT. NIM  3. Office-1. Ambil Mobil dan Alat TC  2. TC  3. Kembalikan Mobil</t>
  </si>
  <si>
    <t>08:00-19:00</t>
  </si>
  <si>
    <t>1. Office  2. JP  3. TP  4. Mas Fandi-1. Ambil Alat TC  2. FU TC  3. Antar Dokumen  4. Prepare Fumigasi</t>
  </si>
  <si>
    <t>08:00-01:00</t>
  </si>
  <si>
    <t>1. CV. Siti Oetomo  2. Banyaan  3. Office-1. Fumigasi  2. Fumigasi  3. Kembalikan Mobil</t>
  </si>
  <si>
    <t>08:00-23:00</t>
  </si>
  <si>
    <t>Pak Wisnu-Driver</t>
  </si>
  <si>
    <t>15:00-17:21</t>
  </si>
  <si>
    <t>Wisnu Rudiono</t>
  </si>
  <si>
    <t>15:00-16:32</t>
  </si>
  <si>
    <t>13:00-18:21</t>
  </si>
  <si>
    <t>15:00-18:32</t>
  </si>
  <si>
    <t>15:00-19:30</t>
  </si>
  <si>
    <t>15:00-17:26</t>
  </si>
  <si>
    <t>13:00-14:00</t>
  </si>
  <si>
    <t>15:00-19:27</t>
  </si>
  <si>
    <t>11:00-12:00</t>
  </si>
  <si>
    <t>Office-Driver</t>
  </si>
  <si>
    <t>15:00-16:14</t>
  </si>
  <si>
    <t>Office-Driver, support</t>
  </si>
  <si>
    <t>13:00-19:00</t>
  </si>
  <si>
    <t>15:00-18:41</t>
  </si>
  <si>
    <t>15:00-18:44</t>
  </si>
  <si>
    <t>15:00-18:56</t>
  </si>
  <si>
    <t>Office -Rakit fc old, prepare pmsb, pmj</t>
  </si>
  <si>
    <t>16:00-18:00</t>
  </si>
  <si>
    <t>Eurochair, pak ww (pc admin)-Gpc, drop pc admin</t>
  </si>
  <si>
    <t>11:00-14:00</t>
  </si>
  <si>
    <t>Office -cek fisik</t>
  </si>
  <si>
    <t>Office -Pasang pompa air</t>
  </si>
  <si>
    <t xml:space="preserve">Jp-Drop fogging </t>
  </si>
  <si>
    <t>19:30-20:30</t>
  </si>
  <si>
    <t xml:space="preserve">Office -Servis minifog </t>
  </si>
  <si>
    <t>Pm, pcm-Drop chemical bulanan</t>
  </si>
  <si>
    <t xml:space="preserve">Office -Servis fogging </t>
  </si>
  <si>
    <t>Cv siti oetomo -Survey</t>
  </si>
  <si>
    <t>Day trans -Kirim bulanan pmsb pmj</t>
  </si>
  <si>
    <t>12:00-13:00</t>
  </si>
  <si>
    <t>Office -Proges sans snake</t>
  </si>
  <si>
    <t>19:00-01:00</t>
  </si>
  <si>
    <t xml:space="preserve">Cv siti oetomo -Fumigasi </t>
  </si>
  <si>
    <t>16:00-22:00</t>
  </si>
  <si>
    <t xml:space="preserve">Cv siti oetomo -Fumigasi, home surabaya </t>
  </si>
  <si>
    <t>16:00-23:00</t>
  </si>
  <si>
    <t>Keliling-Nganterin parsel</t>
  </si>
  <si>
    <t>Siti Lutfia</t>
  </si>
  <si>
    <t xml:space="preserve">Siti Oetomo Kediri -Fumigasi </t>
  </si>
  <si>
    <t>00:16-00:20</t>
  </si>
  <si>
    <t>Siti Utomo Kediri -Fum</t>
  </si>
  <si>
    <t>Copy  C4</t>
  </si>
  <si>
    <t>Copy  H4</t>
  </si>
  <si>
    <t>Copy  I4</t>
  </si>
  <si>
    <t>Copy  J4</t>
  </si>
  <si>
    <t>Copy  K4</t>
  </si>
  <si>
    <t>Paste ke bawah</t>
  </si>
  <si>
    <t>JUMLAH KUNJUNGAN</t>
  </si>
  <si>
    <t>CUSTOMER</t>
  </si>
  <si>
    <t>CHECK IN</t>
  </si>
  <si>
    <t>CHECK OUT</t>
  </si>
  <si>
    <t xml:space="preserve">DURASI </t>
  </si>
  <si>
    <t xml:space="preserve">TOTAL WAKTU </t>
  </si>
  <si>
    <t>Cek</t>
  </si>
  <si>
    <t>PT Heaven Chemical Indonesia</t>
  </si>
  <si>
    <t>17 Mar 2026 - 13:06</t>
  </si>
  <si>
    <t>18 Mar 2026 - 00:40</t>
  </si>
  <si>
    <t>Imelynia PS</t>
  </si>
  <si>
    <t>STEVEN GUNARTO</t>
  </si>
  <si>
    <t>02 Mar 2026 - 14:06</t>
  </si>
  <si>
    <t>03 Mar 2026 - 01:18</t>
  </si>
  <si>
    <t>SPBU PANJANG JIWO</t>
  </si>
  <si>
    <t>25 Mar 2026 - 15:49</t>
  </si>
  <si>
    <t>26 Mar 2026 - 01:44</t>
  </si>
  <si>
    <t>CENTIMETER ADVERTISING</t>
  </si>
  <si>
    <t>07 Mar 2026 - 10:46</t>
  </si>
  <si>
    <t>07 Mar 2026 - 19:12</t>
  </si>
  <si>
    <t>DAYS SURABAYA</t>
  </si>
  <si>
    <t>12 Mar 2026 - 21:39</t>
  </si>
  <si>
    <t>13 Mar 2026 - 04:00</t>
  </si>
  <si>
    <t>Demandailing Jemursari</t>
  </si>
  <si>
    <t>07 Mar 2026 - 12:56</t>
  </si>
  <si>
    <t>07 Mar 2026 - 19:14</t>
  </si>
  <si>
    <t>GKI Darmo Satelit</t>
  </si>
  <si>
    <t>05 Mar 2026 - 12:56</t>
  </si>
  <si>
    <t>05 Mar 2026 - 19:34</t>
  </si>
  <si>
    <t>CV MANNA INDO LAKTA (SDA)</t>
  </si>
  <si>
    <t>18 Mar 2026 - 09:42</t>
  </si>
  <si>
    <t>18 Mar 2026 - 15:07</t>
  </si>
  <si>
    <t>Wiena Catering</t>
  </si>
  <si>
    <t>18 Mar 2026 - 09:11</t>
  </si>
  <si>
    <t>18 Mar 2026 - 14:59</t>
  </si>
  <si>
    <t>24 Mar 2026 - 11:44</t>
  </si>
  <si>
    <t>24 Mar 2026 - 16:04</t>
  </si>
  <si>
    <t>PAK HENDRIK</t>
  </si>
  <si>
    <t>28 Feb 2026 - 10:20</t>
  </si>
  <si>
    <t>28 Feb 2026 - 14:58</t>
  </si>
  <si>
    <t>PT. Central Auto Perkasa</t>
  </si>
  <si>
    <t>25 Mar 2026 - 10:36</t>
  </si>
  <si>
    <t>25 Mar 2026 - 15:07</t>
  </si>
  <si>
    <t>11 Mar 2026 - 13:11</t>
  </si>
  <si>
    <t>11 Mar 2026 - 17:13</t>
  </si>
  <si>
    <t>Saisho Kopi (G-Walk)</t>
  </si>
  <si>
    <t>18 Mar 2026 - 21:32</t>
  </si>
  <si>
    <t>19 Mar 2026 - 01:58</t>
  </si>
  <si>
    <t>AADK (Tegal)</t>
  </si>
  <si>
    <t>11 Mar 2026 - 21:44</t>
  </si>
  <si>
    <t>12 Mar 2026 - 01:07</t>
  </si>
  <si>
    <t>28 Feb 2026 - 11:01</t>
  </si>
  <si>
    <t>28 Feb 2026 - 15:01</t>
  </si>
  <si>
    <t>26 Feb 2026 - 20:52</t>
  </si>
  <si>
    <t>27 Feb 2026 - 00:30</t>
  </si>
  <si>
    <t>Dopamine Bakehouse and Cafe</t>
  </si>
  <si>
    <t>13 Mar 2026 - 10:12</t>
  </si>
  <si>
    <t>13 Mar 2026 - 14:04</t>
  </si>
  <si>
    <t>ICHIKAWA</t>
  </si>
  <si>
    <t>06 Mar 2026 - 14:41</t>
  </si>
  <si>
    <t>06 Mar 2026 - 18:19</t>
  </si>
  <si>
    <t>Pak Robert Simon</t>
  </si>
  <si>
    <t>11 Mar 2026 - 11:03</t>
  </si>
  <si>
    <t>11 Mar 2026 - 14:13</t>
  </si>
  <si>
    <t>12 Mar 2026 - 16:24</t>
  </si>
  <si>
    <t>12 Mar 2026 - 20:13</t>
  </si>
  <si>
    <t>26 Feb 2026 - 15:44</t>
  </si>
  <si>
    <t>26 Feb 2026 - 19:25</t>
  </si>
  <si>
    <t>SPBU SHELL - Wadungasri</t>
  </si>
  <si>
    <t>09 Mar 2026 - 21:42</t>
  </si>
  <si>
    <t>10 Mar 2026 - 01:24</t>
  </si>
  <si>
    <t>25 Mar 2026 - 23:36</t>
  </si>
  <si>
    <t>26 Mar 2026 - 01:45</t>
  </si>
  <si>
    <t>BENHILL SDA</t>
  </si>
  <si>
    <t>04 Mar 2026 - 13:23</t>
  </si>
  <si>
    <t>04 Mar 2026 - 16:13</t>
  </si>
  <si>
    <t>04 Mar 2026 - 10:56</t>
  </si>
  <si>
    <t>04 Mar 2026 - 13:15</t>
  </si>
  <si>
    <t>05 Mar 2026 - 21:16</t>
  </si>
  <si>
    <t>05 Mar 2026 - 23:17</t>
  </si>
  <si>
    <t>03 Mar 2026 - 13:10</t>
  </si>
  <si>
    <t>03 Mar 2026 - 15:21</t>
  </si>
  <si>
    <t>26 Feb 2026 - 13:00</t>
  </si>
  <si>
    <t>26 Feb 2026 - 15:47</t>
  </si>
  <si>
    <t>Shuyi Grass Jelly - CWS</t>
  </si>
  <si>
    <t>13 Mar 2026 - 21:46</t>
  </si>
  <si>
    <t>13 Mar 2026 - 23:53</t>
  </si>
  <si>
    <t>Shuyi Grass Jelly - GM</t>
  </si>
  <si>
    <t>17 Mar 2026 - 21:56</t>
  </si>
  <si>
    <t>18 Mar 2026 - 00:42</t>
  </si>
  <si>
    <t>14 Mar 2026 - 12:01</t>
  </si>
  <si>
    <t>14 Mar 2026 - 13:21</t>
  </si>
  <si>
    <t>CV. ASIA PLASTIK 27</t>
  </si>
  <si>
    <t>16 Mar 2026 - 10:40</t>
  </si>
  <si>
    <t>18 Mar 2026 - 00:30</t>
  </si>
  <si>
    <t>09 Mar 2026 - 10:26</t>
  </si>
  <si>
    <t>10 Mar 2026 - 01:22</t>
  </si>
  <si>
    <t>02 Mar 2026 - 10:34</t>
  </si>
  <si>
    <t>03 Mar 2026 - 01:17</t>
  </si>
  <si>
    <t>CV. ASIA PLASTIK 52</t>
  </si>
  <si>
    <t>16 Mar 2026 - 09:04</t>
  </si>
  <si>
    <t>18 Mar 2026 - 00:15</t>
  </si>
  <si>
    <t>09 Mar 2026 - 08:50</t>
  </si>
  <si>
    <t>10 Mar 2026 - 01:06</t>
  </si>
  <si>
    <t>02 Mar 2026 - 09:03</t>
  </si>
  <si>
    <t>03 Mar 2026 - 00:59</t>
  </si>
  <si>
    <t>16 Mar 2026 - 21:14</t>
  </si>
  <si>
    <t>18 Mar 2026 - 00:36</t>
  </si>
  <si>
    <t>06 Mar 2026 - 10:27</t>
  </si>
  <si>
    <t>06 Mar 2026 - 11:53</t>
  </si>
  <si>
    <t>27 Feb 2026 - 10:06</t>
  </si>
  <si>
    <t>27 Feb 2026 - 11:39</t>
  </si>
  <si>
    <t>Dosido WIyung</t>
  </si>
  <si>
    <t>07 Mar 2026 - 07:57</t>
  </si>
  <si>
    <t>07 Mar 2026 - 09:29</t>
  </si>
  <si>
    <t>HAVANA REFLEXOLOGY (Sidoarjo)</t>
  </si>
  <si>
    <t>10 Mar 2026 - 22:02</t>
  </si>
  <si>
    <t>10 Mar 2026 - 23:27</t>
  </si>
  <si>
    <t>24 Mar 2026 - 09:35</t>
  </si>
  <si>
    <t>24 Mar 2026 - 10:51</t>
  </si>
  <si>
    <t>KLINIK PRAMITA GEDUNG BARU</t>
  </si>
  <si>
    <t>24 Mar 2026 - 20:56</t>
  </si>
  <si>
    <t>25 Mar 2026 - 11:43</t>
  </si>
  <si>
    <t>05 Mar 2026 - 12:25</t>
  </si>
  <si>
    <t>05 Mar 2026 - 14:07</t>
  </si>
  <si>
    <t>12 Mar 2026 - 11:27</t>
  </si>
  <si>
    <t>12 Mar 2026 - 12:45</t>
  </si>
  <si>
    <t>PT ANEKA JASUMA PLASTIK</t>
  </si>
  <si>
    <t>10 Mar 2026 - 10:10</t>
  </si>
  <si>
    <t>10 Mar 2026 - 11:16</t>
  </si>
  <si>
    <t>PT. CASA UTAMA NIAGA</t>
  </si>
  <si>
    <t>11 Mar 2026 - 15:18</t>
  </si>
  <si>
    <t>11 Mar 2026 - 17:17</t>
  </si>
  <si>
    <t>04 Mar 2026 - 21:32</t>
  </si>
  <si>
    <t>04 Mar 2026 - 23:21</t>
  </si>
  <si>
    <t>27 Feb 2026 - 21:51</t>
  </si>
  <si>
    <t>27 Feb 2026 - 23:16</t>
  </si>
  <si>
    <t>06 Mar 2026 - 22:02</t>
  </si>
  <si>
    <t>06 Mar 2026 - 23:30</t>
  </si>
  <si>
    <t>16 Mar 2026 - 14:25</t>
  </si>
  <si>
    <t>18 Mar 2026 - 00:32</t>
  </si>
  <si>
    <t>03 Mar 2026 - 09:03</t>
  </si>
  <si>
    <t>03 Mar 2026 - 10:15</t>
  </si>
  <si>
    <t>ALURA CAFFEE</t>
  </si>
  <si>
    <t>15 Mar 2026 - 07:32</t>
  </si>
  <si>
    <t>15 Mar 2026 - 08:25</t>
  </si>
  <si>
    <t>07 Mar 2026 - 22:24</t>
  </si>
  <si>
    <t>07 Mar 2026 - 23:49</t>
  </si>
  <si>
    <t>01 Mar 2026 - 07:36</t>
  </si>
  <si>
    <t>01 Mar 2026 - 08:36</t>
  </si>
  <si>
    <t>BU ELLY - DIAN ISTANA</t>
  </si>
  <si>
    <t>03 Mar 2026 - 10:26</t>
  </si>
  <si>
    <t>03 Mar 2026 - 10:57</t>
  </si>
  <si>
    <t>Bu Fransisca</t>
  </si>
  <si>
    <t>14 Mar 2026 - 10:31</t>
  </si>
  <si>
    <t>14 Mar 2026 - 11:05</t>
  </si>
  <si>
    <t>07 Mar 2026 - 10:38</t>
  </si>
  <si>
    <t>07 Mar 2026 - 11:11</t>
  </si>
  <si>
    <t>BU RINNY TIRTA</t>
  </si>
  <si>
    <t>16 Mar 2026 - 13:42</t>
  </si>
  <si>
    <t>16 Mar 2026 - 14:22</t>
  </si>
  <si>
    <t>03 Mar 2026 - 11:59</t>
  </si>
  <si>
    <t>03 Mar 2026 - 12:34</t>
  </si>
  <si>
    <t>Bu Stephanie Handoyo</t>
  </si>
  <si>
    <t>07 Mar 2026 - 16:38</t>
  </si>
  <si>
    <t>07 Mar 2026 - 17:51</t>
  </si>
  <si>
    <t>CV. MANNA INDO LAKTA</t>
  </si>
  <si>
    <t>07 Mar 2026 - 12:17</t>
  </si>
  <si>
    <t>07 Mar 2026 - 14:23</t>
  </si>
  <si>
    <t>Higa Asian Eatery</t>
  </si>
  <si>
    <t>14 Mar 2026 - 21:01</t>
  </si>
  <si>
    <t>14 Mar 2026 - 22:59</t>
  </si>
  <si>
    <t>28 Feb 2026 - 21:02</t>
  </si>
  <si>
    <t>28 Feb 2026 - 23:09</t>
  </si>
  <si>
    <t>Honey Pok</t>
  </si>
  <si>
    <t>09 Mar 2026 - 20:54</t>
  </si>
  <si>
    <t>09 Mar 2026 - 22:24</t>
  </si>
  <si>
    <t>Hotel 88 Embong Malang</t>
  </si>
  <si>
    <t>16 Mar 2026 - 09:41</t>
  </si>
  <si>
    <t>16 Mar 2026 - 13:06</t>
  </si>
  <si>
    <t>15 Mar 2026 - 10:40</t>
  </si>
  <si>
    <t>15 Mar 2026 - 14:02</t>
  </si>
  <si>
    <t>13 Mar 2026 - 22:46</t>
  </si>
  <si>
    <t>14 Mar 2026 - 02:01</t>
  </si>
  <si>
    <t>09 Mar 2026 - 09:36</t>
  </si>
  <si>
    <t>09 Mar 2026 - 13:01</t>
  </si>
  <si>
    <t>02 Mar 2026 - 09:44</t>
  </si>
  <si>
    <t>02 Mar 2026 - 13:30</t>
  </si>
  <si>
    <t>01 Mar 2026 - 10:38</t>
  </si>
  <si>
    <t>01 Mar 2026 - 14:06</t>
  </si>
  <si>
    <t>27 Feb 2026 - 22:43</t>
  </si>
  <si>
    <t>28 Feb 2026 - 02:04</t>
  </si>
  <si>
    <t>Pak Hendra</t>
  </si>
  <si>
    <t>13 Mar 2026 - 09:48</t>
  </si>
  <si>
    <t>13 Mar 2026 - 11:10</t>
  </si>
  <si>
    <t>Pak Hengky</t>
  </si>
  <si>
    <t>17 Mar 2026 - 10:10</t>
  </si>
  <si>
    <t>17 Mar 2026 - 10:44</t>
  </si>
  <si>
    <t>03 Mar 2026 - 11:13</t>
  </si>
  <si>
    <t>03 Mar 2026 - 11:44</t>
  </si>
  <si>
    <t>Pak Victor</t>
  </si>
  <si>
    <t>10 Mar 2026 - 14:20</t>
  </si>
  <si>
    <t>10 Mar 2026 - 15:50</t>
  </si>
  <si>
    <t>PT BISI INTERNATIONAL Mojokerto</t>
  </si>
  <si>
    <t>25 Mar 2026 - 08:28</t>
  </si>
  <si>
    <t>25 Mar 2026 - 11:21</t>
  </si>
  <si>
    <t>18 Mar 2026 - 10:31</t>
  </si>
  <si>
    <t>18 Mar 2026 - 13:08</t>
  </si>
  <si>
    <t>12 Mar 2026 - 08:28</t>
  </si>
  <si>
    <t>12 Mar 2026 - 11:14</t>
  </si>
  <si>
    <t>05 Mar 2026 - 08:33</t>
  </si>
  <si>
    <t>05 Mar 2026 - 11:11</t>
  </si>
  <si>
    <t>26 Feb 2026 - 08:32</t>
  </si>
  <si>
    <t>26 Feb 2026 - 11:20</t>
  </si>
  <si>
    <t>PT Haskara Djaja</t>
  </si>
  <si>
    <t>08 Mar 2026 - 08:32</t>
  </si>
  <si>
    <t>08 Mar 2026 - 10:58</t>
  </si>
  <si>
    <t>PT. Bisi International, Tbk</t>
  </si>
  <si>
    <t>25 Mar 2026 - 12:50</t>
  </si>
  <si>
    <t>25 Mar 2026 - 14:01</t>
  </si>
  <si>
    <t>18 Mar 2026 - 08:30</t>
  </si>
  <si>
    <t>18 Mar 2026 - 09:28</t>
  </si>
  <si>
    <t>12 Mar 2026 - 12:46</t>
  </si>
  <si>
    <t>12 Mar 2026 - 13:44</t>
  </si>
  <si>
    <t>05 Mar 2026 - 12:42</t>
  </si>
  <si>
    <t>05 Mar 2026 - 13:42</t>
  </si>
  <si>
    <t>26 Feb 2026 - 12:52</t>
  </si>
  <si>
    <t>26 Feb 2026 - 13:46</t>
  </si>
  <si>
    <t>PT. SUTRACO BENOWO</t>
  </si>
  <si>
    <t>17 Mar 2026 - 11:54</t>
  </si>
  <si>
    <t>17 Mar 2026 - 12:59</t>
  </si>
  <si>
    <t>13 Mar 2026 - 12:25</t>
  </si>
  <si>
    <t>13 Mar 2026 - 13:28</t>
  </si>
  <si>
    <t>06 Mar 2026 - 12:22</t>
  </si>
  <si>
    <t>06 Mar 2026 - 13:28</t>
  </si>
  <si>
    <t>27 Feb 2026 - 12:23</t>
  </si>
  <si>
    <t>27 Feb 2026 - 13:24</t>
  </si>
  <si>
    <t>SUJI - SUAN CAI YU</t>
  </si>
  <si>
    <t>17 Mar 2026 - 21:02</t>
  </si>
  <si>
    <t>17 Mar 2026 - 22:44</t>
  </si>
  <si>
    <t>06 Mar 2026 - 21:12</t>
  </si>
  <si>
    <t>06 Mar 2026 - 22:54</t>
  </si>
  <si>
    <t>Tanamera Coffee &amp; Roastery Trunojoyo</t>
  </si>
  <si>
    <t>09 Mar 2026 - 22:46</t>
  </si>
  <si>
    <t>10 Mar 2026 - 00:20</t>
  </si>
  <si>
    <t>Toko Kopi Padma Tjantik Jemursari</t>
  </si>
  <si>
    <t>16 Mar 2026 - 22:21</t>
  </si>
  <si>
    <t>16 Mar 2026 - 23:16</t>
  </si>
  <si>
    <t>10 Mar 2026 - 07:30</t>
  </si>
  <si>
    <t>10 Mar 2026 - 09:01</t>
  </si>
  <si>
    <t>02 Mar 2026 - 22:16</t>
  </si>
  <si>
    <t>02 Mar 2026 - 23:15</t>
  </si>
  <si>
    <t>VERT</t>
  </si>
  <si>
    <t>15 Mar 2026 - 20:51</t>
  </si>
  <si>
    <t>15 Mar 2026 - 22:43</t>
  </si>
  <si>
    <t>08 Mar 2026 - 20:32</t>
  </si>
  <si>
    <t>08 Mar 2026 - 22:46</t>
  </si>
  <si>
    <t>01 Mar 2026 - 20:51</t>
  </si>
  <si>
    <t>01 Mar 2026 - 22:55</t>
  </si>
  <si>
    <t>VOILA.ID</t>
  </si>
  <si>
    <t>VOILA.ID 21</t>
  </si>
  <si>
    <t>15 Mar 2026 - 20:05</t>
  </si>
  <si>
    <t>15 Mar 2026 - 21:00</t>
  </si>
  <si>
    <t>01 Mar 2026 - 20:17</t>
  </si>
  <si>
    <t>01 Mar 2026 - 21:14</t>
  </si>
  <si>
    <t>WINANDA RHEZA</t>
  </si>
  <si>
    <t>28 Feb 2026 - 13:51</t>
  </si>
  <si>
    <t>28 Feb 2026 - 14:48</t>
  </si>
  <si>
    <t>BU YENNY</t>
  </si>
  <si>
    <t>28 Feb 2026 - 13:19</t>
  </si>
  <si>
    <t>02 Mar 2026 - 07:53</t>
  </si>
  <si>
    <t>14 Mar 2026 - 13:18</t>
  </si>
  <si>
    <t>15 Mar 2026 - 15:38</t>
  </si>
  <si>
    <t>BUKIT DARMO GOLF</t>
  </si>
  <si>
    <t>18 Mar 2026 - 10:02</t>
  </si>
  <si>
    <t>19 Mar 2026 - 13:06</t>
  </si>
  <si>
    <t>11 Mar 2026 - 10:23</t>
  </si>
  <si>
    <t>12 Mar 2026 - 02:35</t>
  </si>
  <si>
    <t>07 Mar 2026 - 14:47</t>
  </si>
  <si>
    <t>25 Mar 2026 - 10:23</t>
  </si>
  <si>
    <t>26 Mar 2026 - 00:46</t>
  </si>
  <si>
    <t>04 Mar 2026 - 09:43</t>
  </si>
  <si>
    <t>04 Mar 2026 - 22:36</t>
  </si>
  <si>
    <t>26 Feb 2026 - 23:23</t>
  </si>
  <si>
    <t>27 Feb 2026 - 01:46</t>
  </si>
  <si>
    <t>24 Mar 2026 - 22:55</t>
  </si>
  <si>
    <t>25 Mar 2026 - 00:11</t>
  </si>
  <si>
    <t>12 Mar 2026 - 22:44</t>
  </si>
  <si>
    <t>13 Mar 2026 - 00:10</t>
  </si>
  <si>
    <t>05 Mar 2026 - 22:40</t>
  </si>
  <si>
    <t>06 Mar 2026 - 00:32</t>
  </si>
  <si>
    <t>Central Kitchen Feel Matcha</t>
  </si>
  <si>
    <t>25 Mar 2026 - 17:07</t>
  </si>
  <si>
    <t>26 Mar 2026 - 00:37</t>
  </si>
  <si>
    <t>27 Feb 2026 - 19:10</t>
  </si>
  <si>
    <t>28 Feb 2026 - 03:05</t>
  </si>
  <si>
    <t>13 Mar 2026 - 19:35</t>
  </si>
  <si>
    <t>13 Mar 2026 - 22:10</t>
  </si>
  <si>
    <t>CV Andalan Sinar Kencana</t>
  </si>
  <si>
    <t>11 Mar 2026 - 14:38</t>
  </si>
  <si>
    <t>12 Mar 2026 - 02:30</t>
  </si>
  <si>
    <t>CV. DUTA BAYU MOBIL</t>
  </si>
  <si>
    <t>03 Mar 2026 - 10:58</t>
  </si>
  <si>
    <t>04 Mar 2026 - 01:48</t>
  </si>
  <si>
    <t>17 Mar 2026 - 13:47</t>
  </si>
  <si>
    <t>17 Mar 2026 - 20:33</t>
  </si>
  <si>
    <t>DANNY SUANTHIE</t>
  </si>
  <si>
    <t>07 Mar 2026 - 13:06</t>
  </si>
  <si>
    <t>07 Mar 2026 - 14:46</t>
  </si>
  <si>
    <t>EDDY GUNAWAN</t>
  </si>
  <si>
    <t>05 Mar 2026 - 12:45</t>
  </si>
  <si>
    <t>06 Mar 2026 - 00:29</t>
  </si>
  <si>
    <t>04 Mar 2026 - 13:10</t>
  </si>
  <si>
    <t>04 Mar 2026 - 22:39</t>
  </si>
  <si>
    <t>Havanna Citraland</t>
  </si>
  <si>
    <t>10 Mar 2026 - 22:19</t>
  </si>
  <si>
    <t>11 Mar 2026 - 02:20</t>
  </si>
  <si>
    <t>25 Mar 2026 - 22:18</t>
  </si>
  <si>
    <t>26 Mar 2026 - 00:38</t>
  </si>
  <si>
    <t>PAK AWI</t>
  </si>
  <si>
    <t>09 Mar 2026 - 12:09</t>
  </si>
  <si>
    <t>10 Mar 2026 - 12:13</t>
  </si>
  <si>
    <t>27 Feb 2026 - 13:16</t>
  </si>
  <si>
    <t>28 Feb 2026 - 03:03</t>
  </si>
  <si>
    <t>PAK EVAN</t>
  </si>
  <si>
    <t>16 Mar 2026 - 16:23</t>
  </si>
  <si>
    <t>16 Mar 2026 - 22:52</t>
  </si>
  <si>
    <t>04 Mar 2026 - 17:24</t>
  </si>
  <si>
    <t>04 Mar 2026 - 22:40</t>
  </si>
  <si>
    <t>13 Mar 2026 - 17:29</t>
  </si>
  <si>
    <t>13 Mar 2026 - 22:08</t>
  </si>
  <si>
    <t>PAK GEORGE VALENTINO</t>
  </si>
  <si>
    <t>24 Mar 2026 - 14:40</t>
  </si>
  <si>
    <t>25 Mar 2026 - 00:14</t>
  </si>
  <si>
    <t>10 Mar 2026 - 14:11</t>
  </si>
  <si>
    <t>10 Mar 2026 - 22:20</t>
  </si>
  <si>
    <t>Pak Michael Gerald Rivany</t>
  </si>
  <si>
    <t>02 Mar 2026 - 11:19</t>
  </si>
  <si>
    <t>03 Mar 2026 - 11:38</t>
  </si>
  <si>
    <t>PAK MICHAEL GERALD RIVANY</t>
  </si>
  <si>
    <t>16 Mar 2026 - 11:42</t>
  </si>
  <si>
    <t>16 Mar 2026 - 22:50</t>
  </si>
  <si>
    <t>PAK WISNU</t>
  </si>
  <si>
    <t>02 Mar 2026 - 12:10</t>
  </si>
  <si>
    <t>PHO BA BA &amp; SAIGON DELIGHT - PM</t>
  </si>
  <si>
    <t>18 Mar 2026 - 21:01</t>
  </si>
  <si>
    <t>19 Mar 2026 - 21:38</t>
  </si>
  <si>
    <t>06 Mar 2026 - 21:25</t>
  </si>
  <si>
    <t>07 Mar 2026 - 14:42</t>
  </si>
  <si>
    <t>Saisho PTC</t>
  </si>
  <si>
    <t>27 Feb 2026 - 21:07</t>
  </si>
  <si>
    <t>28 Feb 2026 - 03:07</t>
  </si>
  <si>
    <t>13 Mar 2026 - 20:14</t>
  </si>
  <si>
    <t>13 Mar 2026 - 22:12</t>
  </si>
  <si>
    <t>SANTIKA PANDEGILING</t>
  </si>
  <si>
    <t>09 Mar 2026 - 08:01</t>
  </si>
  <si>
    <t>10 Mar 2026 - 12:17</t>
  </si>
  <si>
    <t>03 Mar 2026 - 11:35</t>
  </si>
  <si>
    <t>16 Mar 2026 - 08:16</t>
  </si>
  <si>
    <t>16 Mar 2026 - 22:47</t>
  </si>
  <si>
    <t>12 Mar 2026 - 15:03</t>
  </si>
  <si>
    <t>13 Mar 2026 - 00:02</t>
  </si>
  <si>
    <t>25 Mar 2026 - 23:37</t>
  </si>
  <si>
    <t>27 Feb 2026 - 00:56</t>
  </si>
  <si>
    <t>27 Feb 2026 - 01:52</t>
  </si>
  <si>
    <t>SON GA KOREAN RESTO</t>
  </si>
  <si>
    <t>17 Mar 2026 - 21:31</t>
  </si>
  <si>
    <t>18 Mar 2026 - 02:55</t>
  </si>
  <si>
    <t>10 Mar 2026 - 21:19</t>
  </si>
  <si>
    <t>11 Mar 2026 - 02:15</t>
  </si>
  <si>
    <t>03 Mar 2026 - 21:26</t>
  </si>
  <si>
    <t>04 Mar 2026 - 01:52</t>
  </si>
  <si>
    <t>24 Mar 2026 - 21:14</t>
  </si>
  <si>
    <t>25 Mar 2026 - 00:17</t>
  </si>
  <si>
    <t>TRISTAR RESTAURANT</t>
  </si>
  <si>
    <t>26 Feb 2026 - 08:47</t>
  </si>
  <si>
    <t>27 Feb 2026 - 01:38</t>
  </si>
  <si>
    <t>17 Mar 2026 - 09:04</t>
  </si>
  <si>
    <t>17 Mar 2026 - 20:23</t>
  </si>
  <si>
    <t>10 Mar 2026 - 08:59</t>
  </si>
  <si>
    <t>10 Mar 2026 - 14:18</t>
  </si>
  <si>
    <t>04 Mar 2026 - 13:24</t>
  </si>
  <si>
    <t>04 Mar 2026 - 13:33</t>
  </si>
  <si>
    <t>tuju dermaga seafood restaurant</t>
  </si>
  <si>
    <t>05 Mar 2026 - 09:37</t>
  </si>
  <si>
    <t>06 Mar 2026 - 00:28</t>
  </si>
  <si>
    <t>26 Feb 2026 - 21:59</t>
  </si>
  <si>
    <t>27 Feb 2026 - 01:43</t>
  </si>
  <si>
    <t>12 Mar 2026 - 21:54</t>
  </si>
  <si>
    <t>13 Mar 2026 - 00:07</t>
  </si>
  <si>
    <t>Xiao Xiang Hunan Cuisine</t>
  </si>
  <si>
    <t>19 Mar 2026 - 21:31</t>
  </si>
  <si>
    <t>04 Mar 2026 - 21:33</t>
  </si>
  <si>
    <t>04 Mar 2026 - 22:44</t>
  </si>
  <si>
    <t>SEKOLAH CIKAL SURABAYA</t>
  </si>
  <si>
    <t>17 Mar 2026 - 15:12</t>
  </si>
  <si>
    <t>14 Mar 2026 - 15:06</t>
  </si>
  <si>
    <t>07 Mar 2026 - 14:56</t>
  </si>
  <si>
    <t>28 Feb 2026 - 14:54</t>
  </si>
  <si>
    <t>07 Mar 2026 - 16:08</t>
  </si>
  <si>
    <t>Acaii Tea Tunjungan Plaza</t>
  </si>
  <si>
    <t>17 Mar 2026 - 20:56</t>
  </si>
  <si>
    <t>17 Mar 2026 - 22:09</t>
  </si>
  <si>
    <t>03 Mar 2026 - 20:53</t>
  </si>
  <si>
    <t>03 Mar 2026 - 22:11</t>
  </si>
  <si>
    <t>Ayam Berkat</t>
  </si>
  <si>
    <t>18 Mar 2026 - 15:21</t>
  </si>
  <si>
    <t>18 Mar 2026 - 16:08</t>
  </si>
  <si>
    <t>09 Mar 2026 - 15:45</t>
  </si>
  <si>
    <t>09 Mar 2026 - 16:31</t>
  </si>
  <si>
    <t>02 Mar 2026 - 15:51</t>
  </si>
  <si>
    <t>02 Mar 2026 - 18:45</t>
  </si>
  <si>
    <t>DRAGON HOT POT TP</t>
  </si>
  <si>
    <t>19 Mar 2026 - 20:57</t>
  </si>
  <si>
    <t>19 Mar 2026 - 23:21</t>
  </si>
  <si>
    <t>05 Mar 2026 - 21:23</t>
  </si>
  <si>
    <t>05 Mar 2026 - 22:32</t>
  </si>
  <si>
    <t>Feel Matcha</t>
  </si>
  <si>
    <t>17 Mar 2026 - 22:11</t>
  </si>
  <si>
    <t>03 Mar 2026 - 22:09</t>
  </si>
  <si>
    <t>HARRIS MOBIL</t>
  </si>
  <si>
    <t>16 Mar 2026 - 15:35</t>
  </si>
  <si>
    <t>16 Mar 2026 - 15:39</t>
  </si>
  <si>
    <t>11 Mar 2026 - 13:15</t>
  </si>
  <si>
    <t>11 Mar 2026 - 13:46</t>
  </si>
  <si>
    <t>04 Mar 2026 - 13:19</t>
  </si>
  <si>
    <t>05 Mar 2026 - 10:21</t>
  </si>
  <si>
    <t>27 Feb 2026 - 13:30</t>
  </si>
  <si>
    <t>27 Feb 2026 - 14:01</t>
  </si>
  <si>
    <t>Luminor Jemursari</t>
  </si>
  <si>
    <t>25 Mar 2026 - 09:50</t>
  </si>
  <si>
    <t>25 Mar 2026 - 13:32</t>
  </si>
  <si>
    <t>18 Mar 2026 - 09:58</t>
  </si>
  <si>
    <t>18 Mar 2026 - 14:05</t>
  </si>
  <si>
    <t>16 Mar 2026 - 11:56</t>
  </si>
  <si>
    <t>16 Mar 2026 - 14:56</t>
  </si>
  <si>
    <t>15 Mar 2026 - 21:22</t>
  </si>
  <si>
    <t>16 Mar 2026 - 00:24</t>
  </si>
  <si>
    <t>13 Mar 2026 - 10:00</t>
  </si>
  <si>
    <t>13 Mar 2026 - 13:11</t>
  </si>
  <si>
    <t>11 Mar 2026 - 09:55</t>
  </si>
  <si>
    <t>11 Mar 2026 - 13:05</t>
  </si>
  <si>
    <t>09 Mar 2026 - 12:14</t>
  </si>
  <si>
    <t>09 Mar 2026 - 15:29</t>
  </si>
  <si>
    <t>08 Mar 2026 - 21:56</t>
  </si>
  <si>
    <t>09 Mar 2026 - 00:39</t>
  </si>
  <si>
    <t>06 Mar 2026 - 09:56</t>
  </si>
  <si>
    <t>06 Mar 2026 - 14:22</t>
  </si>
  <si>
    <t>04 Mar 2026 - 09:46</t>
  </si>
  <si>
    <t>04 Mar 2026 - 14:57</t>
  </si>
  <si>
    <t>02 Mar 2026 - 11:51</t>
  </si>
  <si>
    <t>02 Mar 2026 - 15:55</t>
  </si>
  <si>
    <t>01 Mar 2026 - 22:01</t>
  </si>
  <si>
    <t>02 Mar 2026 - 00:55</t>
  </si>
  <si>
    <t>27 Feb 2026 - 09:43</t>
  </si>
  <si>
    <t>27 Feb 2026 - 14:09</t>
  </si>
  <si>
    <t>Luminor SDA</t>
  </si>
  <si>
    <t>24 Mar 2026 - 10:04</t>
  </si>
  <si>
    <t>24 Mar 2026 - 13:18</t>
  </si>
  <si>
    <t>19 Mar 2026 - 10:37</t>
  </si>
  <si>
    <t>19 Mar 2026 - 13:39</t>
  </si>
  <si>
    <t>17 Mar 2026 - 10:18</t>
  </si>
  <si>
    <t>17 Mar 2026 - 13:31</t>
  </si>
  <si>
    <t>15 Mar 2026 - 11:19</t>
  </si>
  <si>
    <t>15 Mar 2026 - 14:23</t>
  </si>
  <si>
    <t>13 Mar 2026 - 22:07</t>
  </si>
  <si>
    <t>14 Mar 2026 - 00:10</t>
  </si>
  <si>
    <t>12 Mar 2026 - 11:37</t>
  </si>
  <si>
    <t>12 Mar 2026 - 17:03</t>
  </si>
  <si>
    <t>10 Mar 2026 - 10:12</t>
  </si>
  <si>
    <t>10 Mar 2026 - 13:02</t>
  </si>
  <si>
    <t>08 Mar 2026 - 12:04</t>
  </si>
  <si>
    <t>08 Mar 2026 - 15:02</t>
  </si>
  <si>
    <t>06 Mar 2026 - 22:23</t>
  </si>
  <si>
    <t>07 Mar 2026 - 00:27</t>
  </si>
  <si>
    <t>05 Mar 2026 - 09:57</t>
  </si>
  <si>
    <t>05 Mar 2026 - 13:43</t>
  </si>
  <si>
    <t>03 Mar 2026 - 10:03</t>
  </si>
  <si>
    <t>03 Mar 2026 - 14:04</t>
  </si>
  <si>
    <t>01 Mar 2026 - 12:52</t>
  </si>
  <si>
    <t>01 Mar 2026 - 15:42</t>
  </si>
  <si>
    <t>27 Feb 2026 - 21:31</t>
  </si>
  <si>
    <t>28 Feb 2026 - 01:03</t>
  </si>
  <si>
    <t>26 Feb 2026 - 10:01</t>
  </si>
  <si>
    <t>26 Feb 2026 - 14:38</t>
  </si>
  <si>
    <t>Mr. Lee</t>
  </si>
  <si>
    <t>08 Mar 2026 - 08:57</t>
  </si>
  <si>
    <t>08 Mar 2026 - 09:44</t>
  </si>
  <si>
    <t>PAK ALEX</t>
  </si>
  <si>
    <t>13 Mar 2026 - 08:44</t>
  </si>
  <si>
    <t>13 Mar 2026 - 09:18</t>
  </si>
  <si>
    <t>PAK MARIO ALDOLFO KALE</t>
  </si>
  <si>
    <t>24 Mar 2026 - 14:12</t>
  </si>
  <si>
    <t>24 Mar 2026 - 14:50</t>
  </si>
  <si>
    <t>10 Mar 2026 - 14:06</t>
  </si>
  <si>
    <t>10 Mar 2026 - 14:35</t>
  </si>
  <si>
    <t>Steak With U</t>
  </si>
  <si>
    <t>25 Mar 2026 - 20:20</t>
  </si>
  <si>
    <t>25 Mar 2026 - 21:37</t>
  </si>
  <si>
    <t>11 Mar 2026 - 20:09</t>
  </si>
  <si>
    <t>11 Mar 2026 - 21:41</t>
  </si>
  <si>
    <t>Tanamera Coffee &amp; Roastery Trans Icon Mall</t>
  </si>
  <si>
    <t>12 Mar 2026 - 21:20</t>
  </si>
  <si>
    <t>12 Mar 2026 - 22:34</t>
  </si>
  <si>
    <t>26 Feb 2026 - 21:42</t>
  </si>
  <si>
    <t>26 Feb 2026 - 22:27</t>
  </si>
  <si>
    <t>The Joy of Learning</t>
  </si>
  <si>
    <t>15 Mar 2026 - 08:43</t>
  </si>
  <si>
    <t>15 Mar 2026 - 09:39</t>
  </si>
  <si>
    <t>01 Mar 2026 - 10:05</t>
  </si>
  <si>
    <t>01 Mar 2026 - 10:06</t>
  </si>
  <si>
    <t>AADK BANDUNG</t>
  </si>
  <si>
    <t>18 Mar 2026 - 08:32</t>
  </si>
  <si>
    <t>18 Mar 2026 - 10:19</t>
  </si>
  <si>
    <t>05 Mar 2026 - 10:10</t>
  </si>
  <si>
    <t>05 Mar 2026 - 10:29</t>
  </si>
  <si>
    <t>AADK Mulyosari</t>
  </si>
  <si>
    <t>07 Mar 2026 - 23:26</t>
  </si>
  <si>
    <t>08 Mar 2026 - 00:57</t>
  </si>
  <si>
    <t>AADK TLOGOMAS</t>
  </si>
  <si>
    <t>18 Mar 2026 - 12:04</t>
  </si>
  <si>
    <t>18 Mar 2026 - 12:29</t>
  </si>
  <si>
    <t>05 Mar 2026 - 12:37</t>
  </si>
  <si>
    <t>05 Mar 2026 - 13:32</t>
  </si>
  <si>
    <t>Acaii Tea Pakuwon Mall</t>
  </si>
  <si>
    <t>14 Mar 2026 - 21:29</t>
  </si>
  <si>
    <t>14 Mar 2026 - 22:21</t>
  </si>
  <si>
    <t>Asinan Queen Tunjungan PLaza</t>
  </si>
  <si>
    <t>25 Mar 2026 - 21:45</t>
  </si>
  <si>
    <t>06 Mar 2026 - 21:56</t>
  </si>
  <si>
    <t>06 Mar 2026 - 22:32</t>
  </si>
  <si>
    <t>BEATUS ALFRESCO DINING &amp; GRILL</t>
  </si>
  <si>
    <t>17 Mar 2026 - 09:03</t>
  </si>
  <si>
    <t>17 Mar 2026 - 11:10</t>
  </si>
  <si>
    <t>11 Mar 2026 - 21:47</t>
  </si>
  <si>
    <t>11 Mar 2026 - 22:54</t>
  </si>
  <si>
    <t>03 Mar 2026 - 09:32</t>
  </si>
  <si>
    <t>03 Mar 2026 - 10:43</t>
  </si>
  <si>
    <t>Bu Amelia Jaya Nata</t>
  </si>
  <si>
    <t>06 Mar 2026 - 14:11</t>
  </si>
  <si>
    <t>06 Mar 2026 - 15:03</t>
  </si>
  <si>
    <t>Bu Eva</t>
  </si>
  <si>
    <t>11 Mar 2026 - 10:14</t>
  </si>
  <si>
    <t>11 Mar 2026 - 11:30</t>
  </si>
  <si>
    <t>BU STEPHANIE - DH</t>
  </si>
  <si>
    <t>06 Mar 2026 - 13:00</t>
  </si>
  <si>
    <t>06 Mar 2026 - 15:02</t>
  </si>
  <si>
    <t>Central Kitchen - Padma Tjantik</t>
  </si>
  <si>
    <t>17 Mar 2026 - 15:29</t>
  </si>
  <si>
    <t>17 Mar 2026 - 17:00</t>
  </si>
  <si>
    <t>10 Mar 2026 - 14:34</t>
  </si>
  <si>
    <t>10 Mar 2026 - 16:45</t>
  </si>
  <si>
    <t>03 Mar 2026 - 14:43</t>
  </si>
  <si>
    <t>03 Mar 2026 - 16:49</t>
  </si>
  <si>
    <t>GOODFELLAS Barbershop - Malang</t>
  </si>
  <si>
    <t>18 Mar 2026 - 10:43</t>
  </si>
  <si>
    <t>18 Mar 2026 - 11:11</t>
  </si>
  <si>
    <t>05 Mar 2026 - 13:27</t>
  </si>
  <si>
    <t>05 Mar 2026 - 13:33</t>
  </si>
  <si>
    <t>GOODFELLAS-MALANG</t>
  </si>
  <si>
    <t>18 Mar 2026 - 12:19</t>
  </si>
  <si>
    <t>18 Mar 2026 - 12:31</t>
  </si>
  <si>
    <t>05 Mar 2026 - 11:56</t>
  </si>
  <si>
    <t>05 Mar 2026 - 11:58</t>
  </si>
  <si>
    <t>Graha CBA (Pak Danny)</t>
  </si>
  <si>
    <t>25 Mar 2026 - 15:12</t>
  </si>
  <si>
    <t>25 Mar 2026 - 16:16</t>
  </si>
  <si>
    <t>11 Mar 2026 - 13:33</t>
  </si>
  <si>
    <t>11 Mar 2026 - 14:21</t>
  </si>
  <si>
    <t>Hachiya dan Warung Bule</t>
  </si>
  <si>
    <t>24 Mar 2026 - 21:28</t>
  </si>
  <si>
    <t>24 Mar 2026 - 22:35</t>
  </si>
  <si>
    <t>16 Mar 2026 - 21:20</t>
  </si>
  <si>
    <t>16 Mar 2026 - 22:04</t>
  </si>
  <si>
    <t>10 Mar 2026 - 20:51</t>
  </si>
  <si>
    <t>10 Mar 2026 - 22:31</t>
  </si>
  <si>
    <t>03 Mar 2026 - 21:00</t>
  </si>
  <si>
    <t>03 Mar 2026 - 22:13</t>
  </si>
  <si>
    <t>27 Feb 2026 - 21:13</t>
  </si>
  <si>
    <t>27 Feb 2026 - 22:20</t>
  </si>
  <si>
    <t>Havanna Reflexology - Jemursari</t>
  </si>
  <si>
    <t>17 Mar 2026 - 21:39</t>
  </si>
  <si>
    <t>17 Mar 2026 - 22:51</t>
  </si>
  <si>
    <t>04 Mar 2026 - 22:24</t>
  </si>
  <si>
    <t>04 Mar 2026 - 22:57</t>
  </si>
  <si>
    <t>Havanna Reflexology (Malang)</t>
  </si>
  <si>
    <t>12 Mar 2026 - 21:11</t>
  </si>
  <si>
    <t>12 Mar 2026 - 22:52</t>
  </si>
  <si>
    <t>26 Feb 2026 - 21:40</t>
  </si>
  <si>
    <t>26 Feb 2026 - 23:03</t>
  </si>
  <si>
    <t>KAMIGOHAN</t>
  </si>
  <si>
    <t>16 Mar 2026 - 14:42</t>
  </si>
  <si>
    <t>16 Mar 2026 - 15:17</t>
  </si>
  <si>
    <t>09 Mar 2026 - 14:00</t>
  </si>
  <si>
    <t>09 Mar 2026 - 15:08</t>
  </si>
  <si>
    <t>KEDAI BUBU HAINAN</t>
  </si>
  <si>
    <t>24 Mar 2026 - 19:02</t>
  </si>
  <si>
    <t>24 Mar 2026 - 20:16</t>
  </si>
  <si>
    <t>13 Mar 2026 - 20:28</t>
  </si>
  <si>
    <t>13 Mar 2026 - 22:02</t>
  </si>
  <si>
    <t>KYUKA RAMEN</t>
  </si>
  <si>
    <t>07 Mar 2026 - 21:53</t>
  </si>
  <si>
    <t>07 Mar 2026 - 23:15</t>
  </si>
  <si>
    <t>28 Feb 2026 - 23:57</t>
  </si>
  <si>
    <t>01 Mar 2026 - 00:27</t>
  </si>
  <si>
    <t>Pasar Kita-Kita, Malang</t>
  </si>
  <si>
    <t>18 Mar 2026 - 10:20</t>
  </si>
  <si>
    <t>18 Mar 2026 - 11:10</t>
  </si>
  <si>
    <t>12 Mar 2026 - 15:21</t>
  </si>
  <si>
    <t>12 Mar 2026 - 16:07</t>
  </si>
  <si>
    <t>05 Mar 2026 - 10:48</t>
  </si>
  <si>
    <t>05 Mar 2026 - 11:31</t>
  </si>
  <si>
    <t>26 Feb 2026 - 15:04</t>
  </si>
  <si>
    <t>26 Feb 2026 - 16:26</t>
  </si>
  <si>
    <t>PT Segar Berkah Abadi</t>
  </si>
  <si>
    <t>14 Mar 2026 - 12:54</t>
  </si>
  <si>
    <t>14 Mar 2026 - 14:51</t>
  </si>
  <si>
    <t>07 Mar 2026 - 12:54</t>
  </si>
  <si>
    <t>07 Mar 2026 - 14:53</t>
  </si>
  <si>
    <t>28 Feb 2026 - 13:42</t>
  </si>
  <si>
    <t>28 Feb 2026 - 14:59</t>
  </si>
  <si>
    <t>PT. Cahaya Tirta Rasa - Tong Jie Tea House</t>
  </si>
  <si>
    <t>09 Mar 2026 - 21:38</t>
  </si>
  <si>
    <t>09 Mar 2026 - 23:15</t>
  </si>
  <si>
    <t>PT. Sinergi Gula Nusantara</t>
  </si>
  <si>
    <t>27 Feb 2026 - 14:27</t>
  </si>
  <si>
    <t>27 Feb 2026 - 15:58</t>
  </si>
  <si>
    <t>PT.SURABAYA MEKABOX</t>
  </si>
  <si>
    <t>16 Mar 2026 - 08:25</t>
  </si>
  <si>
    <t>16 Mar 2026 - 11:51</t>
  </si>
  <si>
    <t>09 Mar 2026 - 08:36</t>
  </si>
  <si>
    <t>09 Mar 2026 - 13:31</t>
  </si>
  <si>
    <t>Rungkut Jaya Swalayan</t>
  </si>
  <si>
    <t>24 Mar 2026 - 13:11</t>
  </si>
  <si>
    <t>24 Mar 2026 - 15:35</t>
  </si>
  <si>
    <t>17 Mar 2026 - 10:43</t>
  </si>
  <si>
    <t>17 Mar 2026 - 11:19</t>
  </si>
  <si>
    <t>11 Mar 2026 - 12:29</t>
  </si>
  <si>
    <t>11 Mar 2026 - 14:17</t>
  </si>
  <si>
    <t>04 Mar 2026 - 13:38</t>
  </si>
  <si>
    <t>04 Mar 2026 - 14:44</t>
  </si>
  <si>
    <t>SPBU SHELL MARGOREJO</t>
  </si>
  <si>
    <t>13 Mar 2026 - 22:00</t>
  </si>
  <si>
    <t>13 Mar 2026 - 22:48</t>
  </si>
  <si>
    <t>Tanamera Coffee &amp; Roastery Graha Famili</t>
  </si>
  <si>
    <t>14 Mar 2026 - 02:43</t>
  </si>
  <si>
    <t>14 Mar 2026 - 04:33</t>
  </si>
  <si>
    <t>28 Feb 2026 - 02:12</t>
  </si>
  <si>
    <t>28 Feb 2026 - 04:19</t>
  </si>
  <si>
    <t>AH YAT ABALONE</t>
  </si>
  <si>
    <t>16 Mar 2026 - 16:05</t>
  </si>
  <si>
    <t>18 Mar 2026 - 05:51</t>
  </si>
  <si>
    <t>09 Mar 2026 - 15:57</t>
  </si>
  <si>
    <t>09 Mar 2026 - 18:28</t>
  </si>
  <si>
    <t>02 Mar 2026 - 15:59</t>
  </si>
  <si>
    <t>02 Mar 2026 - 18:14</t>
  </si>
  <si>
    <t>AIO AESTHETIC CLINIC</t>
  </si>
  <si>
    <t>03 Mar 2026 - 08:59</t>
  </si>
  <si>
    <t>03 Mar 2026 - 13:16</t>
  </si>
  <si>
    <t>17 Mar 2026 - 10:00</t>
  </si>
  <si>
    <t>17 Mar 2026 - 12:01</t>
  </si>
  <si>
    <t>Asinan Queen GM</t>
  </si>
  <si>
    <t>17 Mar 2026 - 21:59</t>
  </si>
  <si>
    <t>03 Mar 2026 - 21:55</t>
  </si>
  <si>
    <t>03 Mar 2026 - 23:45</t>
  </si>
  <si>
    <t>BU JOCELYN</t>
  </si>
  <si>
    <t>28 Feb 2026 - 10:47</t>
  </si>
  <si>
    <t>28 Feb 2026 - 12:59</t>
  </si>
  <si>
    <t>Bu Lie Ing</t>
  </si>
  <si>
    <t>25 Mar 2026 - 13:17</t>
  </si>
  <si>
    <t>25 Mar 2026 - 16:32</t>
  </si>
  <si>
    <t>11 Mar 2026 - 13:40</t>
  </si>
  <si>
    <t>11 Mar 2026 - 15:39</t>
  </si>
  <si>
    <t>Bu Lily Su Sien</t>
  </si>
  <si>
    <t>10 Mar 2026 - 13:33</t>
  </si>
  <si>
    <t>10 Mar 2026 - 16:31</t>
  </si>
  <si>
    <t>Bu Pangestu Sasmita</t>
  </si>
  <si>
    <t>14 Mar 2026 - 10:24</t>
  </si>
  <si>
    <t>14 Mar 2026 - 13:00</t>
  </si>
  <si>
    <t>COMMOND GROUNDS</t>
  </si>
  <si>
    <t>12 Mar 2026 - 06:51</t>
  </si>
  <si>
    <t>12 Mar 2026 - 12:17</t>
  </si>
  <si>
    <t>25 Mar 2026 - 21:26</t>
  </si>
  <si>
    <t>25 Mar 2026 - 23:43</t>
  </si>
  <si>
    <t>05 Mar 2026 - 21:35</t>
  </si>
  <si>
    <t>05 Mar 2026 - 23:57</t>
  </si>
  <si>
    <t>26 Feb 2026 - 06:43</t>
  </si>
  <si>
    <t>26 Feb 2026 - 09:26</t>
  </si>
  <si>
    <t>DAYS DHARMAHUSADA</t>
  </si>
  <si>
    <t>18 Mar 2026 - 18:27</t>
  </si>
  <si>
    <t>19 Mar 2026 - 03:27</t>
  </si>
  <si>
    <t>06 Mar 2026 - 18:06</t>
  </si>
  <si>
    <t>07 Mar 2026 - 00:06</t>
  </si>
  <si>
    <t>DERM DIAMOND BEAUTY</t>
  </si>
  <si>
    <t>26 Feb 2026 - 09:40</t>
  </si>
  <si>
    <t>26 Feb 2026 - 13:24</t>
  </si>
  <si>
    <t>12 Mar 2026 - 10:44</t>
  </si>
  <si>
    <t>12 Mar 2026 - 12:16</t>
  </si>
  <si>
    <t>Dragon hot pot PM</t>
  </si>
  <si>
    <t>10 Mar 2026 - 21:45</t>
  </si>
  <si>
    <t>10 Mar 2026 - 23:38</t>
  </si>
  <si>
    <t>GOODFELLAS Klampis</t>
  </si>
  <si>
    <t>28 Feb 2026 - 12:56</t>
  </si>
  <si>
    <t>02 Mar 2026 - 23:02</t>
  </si>
  <si>
    <t>24 Mar 2026 - 09:00</t>
  </si>
  <si>
    <t>24 Mar 2026 - 21:19</t>
  </si>
  <si>
    <t>13 Mar 2026 - 12:05</t>
  </si>
  <si>
    <t>13 Mar 2026 - 14:30</t>
  </si>
  <si>
    <t>Hotel 88 Embong Kenongo</t>
  </si>
  <si>
    <t>25 Mar 2026 - 13:00</t>
  </si>
  <si>
    <t>16 Mar 2026 - 09:49</t>
  </si>
  <si>
    <t>16 Mar 2026 - 13:01</t>
  </si>
  <si>
    <t>11 Mar 2026 - 09:56</t>
  </si>
  <si>
    <t>11 Mar 2026 - 13:14</t>
  </si>
  <si>
    <t>04 Mar 2026 - 23:44</t>
  </si>
  <si>
    <t>05 Mar 2026 - 03:04</t>
  </si>
  <si>
    <t>02 Mar 2026 - 10:00</t>
  </si>
  <si>
    <t>02 Mar 2026 - 13:05</t>
  </si>
  <si>
    <t>18 Mar 2026 - 23:56</t>
  </si>
  <si>
    <t>19 Mar 2026 - 02:54</t>
  </si>
  <si>
    <t>09 Mar 2026 - 10:00</t>
  </si>
  <si>
    <t>09 Mar 2026 - 12:52</t>
  </si>
  <si>
    <t>03 Mar 2026 - 12:02</t>
  </si>
  <si>
    <t>03 Mar 2026 - 13:14</t>
  </si>
  <si>
    <t>Kawan Seduh Coffee</t>
  </si>
  <si>
    <t>18 Mar 2026 - 14:49</t>
  </si>
  <si>
    <t>18 Mar 2026 - 16:11</t>
  </si>
  <si>
    <t>24 Mar 2026 - 08:09</t>
  </si>
  <si>
    <t>24 Mar 2026 - 08:59</t>
  </si>
  <si>
    <t>MOOS CAFE</t>
  </si>
  <si>
    <t>03 Mar 2026 - 06:58</t>
  </si>
  <si>
    <t>03 Mar 2026 - 14:09</t>
  </si>
  <si>
    <t>17 Mar 2026 - 06:57</t>
  </si>
  <si>
    <t>17 Mar 2026 - 12:04</t>
  </si>
  <si>
    <t>09 Mar 2026 - 21:47</t>
  </si>
  <si>
    <t>10 Mar 2026 - 01:08</t>
  </si>
  <si>
    <t>OFFICE PT HCI</t>
  </si>
  <si>
    <t>04 Mar 2026 - 14:03</t>
  </si>
  <si>
    <t>04 Mar 2026 - 20:56</t>
  </si>
  <si>
    <t>18 Mar 2026 - 13:07</t>
  </si>
  <si>
    <t>18 Mar 2026 - 16:20</t>
  </si>
  <si>
    <t>PAK DANIEL HALIM</t>
  </si>
  <si>
    <t>27 Feb 2026 - 10:42</t>
  </si>
  <si>
    <t>27 Feb 2026 - 15:00</t>
  </si>
  <si>
    <t>13 Mar 2026 - 10:39</t>
  </si>
  <si>
    <t>13 Mar 2026 - 12:04</t>
  </si>
  <si>
    <t>PAK GERALD</t>
  </si>
  <si>
    <t>02 Mar 2026 - 13:39</t>
  </si>
  <si>
    <t>02 Mar 2026 - 14:51</t>
  </si>
  <si>
    <t>Pak Reggy</t>
  </si>
  <si>
    <t>27 Feb 2026 - 13:22</t>
  </si>
  <si>
    <t>27 Feb 2026 - 15:03</t>
  </si>
  <si>
    <t>PETER MULYADI</t>
  </si>
  <si>
    <t>12 Mar 2026 - 09:14</t>
  </si>
  <si>
    <t>26 Feb 2026 - 09:28</t>
  </si>
  <si>
    <t>PHO BA BA - GM</t>
  </si>
  <si>
    <t>18 Mar 2026 - 00:39</t>
  </si>
  <si>
    <t>03 Mar 2026 - 23:48</t>
  </si>
  <si>
    <t>PT.Okinawa Utama Indonesia</t>
  </si>
  <si>
    <t>06 Mar 2026 - 21:15</t>
  </si>
  <si>
    <t>07 Mar 2026 - 00:09</t>
  </si>
  <si>
    <t>SPBU SHELL VETERAN</t>
  </si>
  <si>
    <t>26 Feb 2026 - 21:38</t>
  </si>
  <si>
    <t>27 Feb 2026 - 00:43</t>
  </si>
  <si>
    <t>12 Mar 2026 - 21:46</t>
  </si>
  <si>
    <t>13 Mar 2026 - 00:34</t>
  </si>
  <si>
    <t>TAEYANGSUNG</t>
  </si>
  <si>
    <t>27 Feb 2026 - 21:27</t>
  </si>
  <si>
    <t>28 Feb 2026 - 00:49</t>
  </si>
  <si>
    <t>13 Mar 2026 - 21:30</t>
  </si>
  <si>
    <t>13 Mar 2026 - 22:56</t>
  </si>
  <si>
    <t>TONG TJI PTC</t>
  </si>
  <si>
    <t>24 Mar 2026 - 21:17</t>
  </si>
  <si>
    <t>24 Mar 2026 - 23:50</t>
  </si>
  <si>
    <t>07 Mar 2026 - 21:23</t>
  </si>
  <si>
    <t>08 Mar 2026 - 00:01</t>
  </si>
  <si>
    <t>TONG TJI TEA HOUSE Cab Siloam</t>
  </si>
  <si>
    <t>04 Mar 2026 - 20:55</t>
  </si>
  <si>
    <t>05 Mar 2026 - 03:00</t>
  </si>
  <si>
    <t>16 Mar 2026 - 20:58</t>
  </si>
  <si>
    <t>16 Mar 2026 - 23:45</t>
  </si>
  <si>
    <t>AADK (ARH)</t>
  </si>
  <si>
    <t>17 Mar 2026 - 22:37</t>
  </si>
  <si>
    <t>18 Mar 2026 - 00:23</t>
  </si>
  <si>
    <t>03 Mar 2026 - 22:58</t>
  </si>
  <si>
    <t>04 Mar 2026 - 00:26</t>
  </si>
  <si>
    <t>AADK (Wiyung)</t>
  </si>
  <si>
    <t>19 Mar 2026 - 00:54</t>
  </si>
  <si>
    <t>19 Mar 2026 - 05:02</t>
  </si>
  <si>
    <t>05 Mar 2026 - 00:58</t>
  </si>
  <si>
    <t>05 Mar 2026 - 02:22</t>
  </si>
  <si>
    <t>Asia Croffle</t>
  </si>
  <si>
    <t>17 Mar 2026 - 01:38</t>
  </si>
  <si>
    <t>02 Mar 2026 - 21:00</t>
  </si>
  <si>
    <t>02 Mar 2026 - 21:57</t>
  </si>
  <si>
    <t>ASINAN QUEEN</t>
  </si>
  <si>
    <t>04 Mar 2026 - 20:46</t>
  </si>
  <si>
    <t>04 Mar 2026 - 21:47</t>
  </si>
  <si>
    <t>18 Mar 2026 - 21:04</t>
  </si>
  <si>
    <t>18 Mar 2026 - 22:01</t>
  </si>
  <si>
    <t>Bravo Market</t>
  </si>
  <si>
    <t>14 Mar 2026 - 08:58</t>
  </si>
  <si>
    <t>14 Mar 2026 - 11:13</t>
  </si>
  <si>
    <t>07 Mar 2026 - 09:17</t>
  </si>
  <si>
    <t>07 Mar 2026 - 11:27</t>
  </si>
  <si>
    <t>24 Mar 2026 - 09:39</t>
  </si>
  <si>
    <t>24 Mar 2026 - 11:08</t>
  </si>
  <si>
    <t>28 Feb 2026 - 08:49</t>
  </si>
  <si>
    <t>28 Feb 2026 - 10:33</t>
  </si>
  <si>
    <t>BU ASTRID</t>
  </si>
  <si>
    <t>13 Mar 2026 - 14:19</t>
  </si>
  <si>
    <t>13 Mar 2026 - 15:20</t>
  </si>
  <si>
    <t>27 Feb 2026 - 13:12</t>
  </si>
  <si>
    <t>27 Feb 2026 - 14:16</t>
  </si>
  <si>
    <t>BU MARIA DMM</t>
  </si>
  <si>
    <t>06 Mar 2026 - 12:51</t>
  </si>
  <si>
    <t>06 Mar 2026 - 14:02</t>
  </si>
  <si>
    <t>CV Desember</t>
  </si>
  <si>
    <t>06 Mar 2026 - 14:03</t>
  </si>
  <si>
    <t>Dapoer Bu RT</t>
  </si>
  <si>
    <t>28 Feb 2026 - 12:12</t>
  </si>
  <si>
    <t>28 Feb 2026 - 15:16</t>
  </si>
  <si>
    <t>10 Mar 2026 - 10:43</t>
  </si>
  <si>
    <t>10 Mar 2026 - 12:23</t>
  </si>
  <si>
    <t>Gloria Grand Pakuwon</t>
  </si>
  <si>
    <t>07 Mar 2026 - 11:57</t>
  </si>
  <si>
    <t>07 Mar 2026 - 13:34</t>
  </si>
  <si>
    <t>GLORIA KUPANG INDAH</t>
  </si>
  <si>
    <t>14 Mar 2026 - 18:46</t>
  </si>
  <si>
    <t>14 Mar 2026 - 22:54</t>
  </si>
  <si>
    <t>11 Mar 2026 - 09:26</t>
  </si>
  <si>
    <t>11 Mar 2026 - 11:00</t>
  </si>
  <si>
    <t>25 Mar 2026 - 08:16</t>
  </si>
  <si>
    <t>25 Mar 2026 - 08:45</t>
  </si>
  <si>
    <t>GLORIA PACAR</t>
  </si>
  <si>
    <t>27 Feb 2026 - 09:53</t>
  </si>
  <si>
    <t>27 Feb 2026 - 11:21</t>
  </si>
  <si>
    <t>13 Mar 2026 - 10:27</t>
  </si>
  <si>
    <t>13 Mar 2026 - 11:06</t>
  </si>
  <si>
    <t>GLORIA SUKOMANUNGGAL</t>
  </si>
  <si>
    <t>25 Mar 2026 - 08:54</t>
  </si>
  <si>
    <t>25 Mar 2026 - 10:25</t>
  </si>
  <si>
    <t>11 Mar 2026 - 12:14</t>
  </si>
  <si>
    <t>GOODFELLAS</t>
  </si>
  <si>
    <t>05 Mar 2026 - 21:08</t>
  </si>
  <si>
    <t>06 Mar 2026 - 12:39</t>
  </si>
  <si>
    <t>HAVANA REFLEXOLOGY (Manyar)</t>
  </si>
  <si>
    <t>11 Mar 2026 - 21:55</t>
  </si>
  <si>
    <t>11 Mar 2026 - 22:59</t>
  </si>
  <si>
    <t>Hotel 88 Kedung Sari</t>
  </si>
  <si>
    <t>17 Mar 2026 - 10:37</t>
  </si>
  <si>
    <t>17 Mar 2026 - 14:12</t>
  </si>
  <si>
    <t>12 Mar 2026 - 10:07</t>
  </si>
  <si>
    <t>12 Mar 2026 - 13:14</t>
  </si>
  <si>
    <t>09 Mar 2026 - 10:20</t>
  </si>
  <si>
    <t>09 Mar 2026 - 13:54</t>
  </si>
  <si>
    <t>03 Mar 2026 - 10:28</t>
  </si>
  <si>
    <t>03 Mar 2026 - 13:56</t>
  </si>
  <si>
    <t>02 Mar 2026 - 22:11</t>
  </si>
  <si>
    <t>03 Mar 2026 - 01:44</t>
  </si>
  <si>
    <t>26 Feb 2026 - 10:00</t>
  </si>
  <si>
    <t>26 Feb 2026 - 13:37</t>
  </si>
  <si>
    <t>Imperial Chef</t>
  </si>
  <si>
    <t>17 Mar 2026 - 21:04</t>
  </si>
  <si>
    <t>17 Mar 2026 - 22:24</t>
  </si>
  <si>
    <t>06 Mar 2026 - 20:50</t>
  </si>
  <si>
    <t>06 Mar 2026 - 22:06</t>
  </si>
  <si>
    <t>LAMORA HOTEL</t>
  </si>
  <si>
    <t>12 Mar 2026 - 22:27</t>
  </si>
  <si>
    <t>13 Mar 2026 - 02:18</t>
  </si>
  <si>
    <t>10 Mar 2026 - 12:38</t>
  </si>
  <si>
    <t>10 Mar 2026 - 16:06</t>
  </si>
  <si>
    <t>24 Mar 2026 - 12:44</t>
  </si>
  <si>
    <t>24 Mar 2026 - 15:08</t>
  </si>
  <si>
    <t>16 Mar 2026 - 13:07</t>
  </si>
  <si>
    <t>16 Mar 2026 - 15:54</t>
  </si>
  <si>
    <t>02 Mar 2026 - 15:57</t>
  </si>
  <si>
    <t>PAK DANIEL</t>
  </si>
  <si>
    <t>12 Mar 2026 - 13:40</t>
  </si>
  <si>
    <t>12 Mar 2026 - 15:11</t>
  </si>
  <si>
    <t>PT DMM Indah</t>
  </si>
  <si>
    <t>06 Mar 2026 - 14:15</t>
  </si>
  <si>
    <t>06 Mar 2026 - 14:56</t>
  </si>
  <si>
    <t>PT. PUTRATEJA SEMPURNA</t>
  </si>
  <si>
    <t>12 Mar 2026 - 20:28</t>
  </si>
  <si>
    <t>12 Mar 2026 - 22:10</t>
  </si>
  <si>
    <t>03 Mar 2026 - 18:58</t>
  </si>
  <si>
    <t>03 Mar 2026 - 19:13</t>
  </si>
  <si>
    <t>SAGA RESTAURANT- BDB</t>
  </si>
  <si>
    <t>24 Mar 2026 - 20:58</t>
  </si>
  <si>
    <t>24 Mar 2026 - 22:21</t>
  </si>
  <si>
    <t>09 Mar 2026 - 21:27</t>
  </si>
  <si>
    <t>09 Mar 2026 - 22:29</t>
  </si>
  <si>
    <t>26 Feb 2026 - 20:56</t>
  </si>
  <si>
    <t>26 Feb 2026 - 22:01</t>
  </si>
  <si>
    <t>SHELL MASTRIP</t>
  </si>
  <si>
    <t>18 Mar 2026 - 22:44</t>
  </si>
  <si>
    <t>19 Mar 2026 - 00:46</t>
  </si>
  <si>
    <t>05 Mar 2026 - 00:50</t>
  </si>
  <si>
    <t>SNC Office</t>
  </si>
  <si>
    <t>27 Feb 2026 - 15:51</t>
  </si>
  <si>
    <t>27 Feb 2026 - 17:18</t>
  </si>
  <si>
    <t>Tang Kitchen</t>
  </si>
  <si>
    <t>25 Mar 2026 - 12:33</t>
  </si>
  <si>
    <t>25 Mar 2026 - 13:56</t>
  </si>
  <si>
    <t>13 Mar 2026 - 13:31</t>
  </si>
  <si>
    <t>13 Mar 2026 - 14:18</t>
  </si>
  <si>
    <t>YANS THEJAKUSUMA</t>
  </si>
  <si>
    <t>18 Mar 2026 - 13:59</t>
  </si>
  <si>
    <t>18 Mar 2026 - 15:22</t>
  </si>
  <si>
    <t>05 Mar 2026 - 13:41</t>
  </si>
  <si>
    <t>05 Mar 2026 - 15:14</t>
  </si>
  <si>
    <t>YKPGLORIA  (Gudang YKP Gloria)</t>
  </si>
  <si>
    <t>14 Mar 2026 - 11:32</t>
  </si>
  <si>
    <t>14 Mar 2026 - 12:58</t>
  </si>
  <si>
    <t>28 Feb 2026 - 10:44</t>
  </si>
  <si>
    <t>28 Feb 2026 - 11:51</t>
  </si>
  <si>
    <t>PT. MING JAYA SEJAHTERA</t>
  </si>
  <si>
    <t>16 Mar 2026 - 20:29</t>
  </si>
  <si>
    <t>25 Mar 2026 - 08:48</t>
  </si>
  <si>
    <t>RM Pringgadani</t>
  </si>
  <si>
    <t>18 Mar 2026 - 19:59</t>
  </si>
  <si>
    <t>25 Mar 2026 - 08:46</t>
  </si>
  <si>
    <t>GLORIA PAKUWON</t>
  </si>
  <si>
    <t>26 Feb 2026 - 10:39</t>
  </si>
  <si>
    <t>BU LILA</t>
  </si>
  <si>
    <t>18 Mar 2026 - 11:18</t>
  </si>
  <si>
    <t>24 Mar 2026 - 00:55</t>
  </si>
  <si>
    <t>BU GRACE</t>
  </si>
  <si>
    <t>18 Mar 2026 - 13:05</t>
  </si>
  <si>
    <t>24 Mar 2026 - 00:57</t>
  </si>
  <si>
    <t>Higa Box Indonesia</t>
  </si>
  <si>
    <t>11 Mar 2026 - 10:12</t>
  </si>
  <si>
    <t>16 Mar 2026 - 11:35</t>
  </si>
  <si>
    <t>11 Mar 2026 - 20:22</t>
  </si>
  <si>
    <t>16 Mar 2026 - 11:37</t>
  </si>
  <si>
    <t>MEDICELLE CLINIC</t>
  </si>
  <si>
    <t>28 Feb 2026 - 21:08</t>
  </si>
  <si>
    <t>04 Mar 2026 - 13:18</t>
  </si>
  <si>
    <t>KOPI TELU SAWAH VIEW 2</t>
  </si>
  <si>
    <t>13 Mar 2026 - 16:09</t>
  </si>
  <si>
    <t>16 Mar 2026 - 11:39</t>
  </si>
  <si>
    <t>27 Feb 2026 - 15:28</t>
  </si>
  <si>
    <t>02 Mar 2026 - 00:46</t>
  </si>
  <si>
    <t>BU PUSPA</t>
  </si>
  <si>
    <t>14 Mar 2026 - 13:44</t>
  </si>
  <si>
    <t>16 Mar 2026 - 11:43</t>
  </si>
  <si>
    <t>CV KARINA JAYA</t>
  </si>
  <si>
    <t>16 Mar 2026 - 12:18</t>
  </si>
  <si>
    <t>18 Mar 2026 - 05:45</t>
  </si>
  <si>
    <t>14 Mar 2026 - 19:44</t>
  </si>
  <si>
    <t>16 Mar 2026 - 11:41</t>
  </si>
  <si>
    <t>DHDC Holistic Dental Care</t>
  </si>
  <si>
    <t>09 Mar 2026 - 23:10</t>
  </si>
  <si>
    <t>11 Mar 2026 - 08:35</t>
  </si>
  <si>
    <t>PT SURYA TIMUR LINE</t>
  </si>
  <si>
    <t>28 Feb 2026 - 19:02</t>
  </si>
  <si>
    <t>02 Mar 2026 - 00:47</t>
  </si>
  <si>
    <t>Amaris Hotel Embong Malang Surabaya</t>
  </si>
  <si>
    <t>17 Mar 2026 - 01:40</t>
  </si>
  <si>
    <t>18 Mar 2026 - 05:47</t>
  </si>
  <si>
    <t>Toko Kopi Padma Tjantik</t>
  </si>
  <si>
    <t>05 Mar 2026 - 22:57</t>
  </si>
  <si>
    <t>06 Mar 2026 - 23:26</t>
  </si>
  <si>
    <t>WareHouse  TANAMERA</t>
  </si>
  <si>
    <t>26 Feb 2026 - 15:42</t>
  </si>
  <si>
    <t>27 Feb 2026 - 12:45</t>
  </si>
  <si>
    <t>XL MEDIA</t>
  </si>
  <si>
    <t>03 Mar 2026 - 15:32</t>
  </si>
  <si>
    <t>Kuweh Surabaya</t>
  </si>
  <si>
    <t>17 Mar 2026 - 11:56</t>
  </si>
  <si>
    <t>18 Mar 2026 - 05:52</t>
  </si>
  <si>
    <t>17 Mar 2026 - 13:25</t>
  </si>
  <si>
    <t>18 Mar 2026 - 05:54</t>
  </si>
  <si>
    <t>04 Mar 2026 - 21:49</t>
  </si>
  <si>
    <t>05 Mar 2026 - 12:18</t>
  </si>
  <si>
    <t>24 Mar 2026 - 13:51</t>
  </si>
  <si>
    <t>25 Mar 2026 - 02:01</t>
  </si>
  <si>
    <t>PT. Wallet Jaya Sentosa</t>
  </si>
  <si>
    <t>06 Mar 2026 - 13:12</t>
  </si>
  <si>
    <t>06 Mar 2026 - 23:29</t>
  </si>
  <si>
    <t>06 Mar 2026 - 14:50</t>
  </si>
  <si>
    <t>06 Mar 2026 - 23:33</t>
  </si>
  <si>
    <t>17 Mar 2026 - 23:08</t>
  </si>
  <si>
    <t>18 Mar 2026 - 05:56</t>
  </si>
  <si>
    <t>07 Mar 2026 - 00:16</t>
  </si>
  <si>
    <t>07 Mar 2026 - 03:37</t>
  </si>
  <si>
    <t>24 Mar 2026 - 10:12</t>
  </si>
  <si>
    <t>24 Mar 2026 - 12:42</t>
  </si>
  <si>
    <t>03 Mar 2026 - 10:47</t>
  </si>
  <si>
    <t>03 Mar 2026 - 13:12</t>
  </si>
  <si>
    <t>04 Mar 2026 - 09:26</t>
  </si>
  <si>
    <t>04 Mar 2026 - 11:37</t>
  </si>
  <si>
    <t>07 Mar 2026 - 20:01</t>
  </si>
  <si>
    <t>07 Mar 2026 - 22:29</t>
  </si>
  <si>
    <t>05 Mar 2026 - 11:20</t>
  </si>
  <si>
    <t>05 Mar 2026 - 13:14</t>
  </si>
  <si>
    <t>Bu Diana</t>
  </si>
  <si>
    <t>04 Mar 2026 - 12:29</t>
  </si>
  <si>
    <t>04 Mar 2026 - 13:35</t>
  </si>
  <si>
    <t>KOPI TELU AWANG-AWANG</t>
  </si>
  <si>
    <t>27 Feb 2026 - 14:13</t>
  </si>
  <si>
    <t>09 Mar 2026 - 13:46</t>
  </si>
  <si>
    <t>02 Mar 2026 - 20:06</t>
  </si>
  <si>
    <t>02 Mar 2026 - 21:53</t>
  </si>
  <si>
    <t>SAISHO COFFEE</t>
  </si>
  <si>
    <t>25 Mar 2026 - 07:20</t>
  </si>
  <si>
    <t>11 Mar 2026 - 07:00</t>
  </si>
  <si>
    <t>11 Mar 2026 - 08:33</t>
  </si>
  <si>
    <t>11 Mar 2026 - 08:41</t>
  </si>
  <si>
    <t>11 Mar 2026 - 10:11</t>
  </si>
  <si>
    <t>10 Mar 2026 - 15:06</t>
  </si>
  <si>
    <t>10 Mar 2026 - 16:09</t>
  </si>
  <si>
    <t>04 Mar 2026 - 10:59</t>
  </si>
  <si>
    <t>04 Mar 2026 - 11:41</t>
  </si>
  <si>
    <t>26 Feb 2026 - 14:52</t>
  </si>
  <si>
    <t>02 Mar 2026 - 13:12</t>
  </si>
  <si>
    <t>02 Mar 2026 - 13:49</t>
  </si>
  <si>
    <t>14 Mar 2026 - 10:04</t>
  </si>
  <si>
    <t>13 Mar 2026 - 15:03</t>
  </si>
  <si>
    <t>13 Mar 2026 - 15:43</t>
  </si>
  <si>
    <t>07 Mar 2026 - 18:57</t>
  </si>
  <si>
    <t>07 Mar 2026 - 19:42</t>
  </si>
  <si>
    <t>25 Mar 2026 - 09:07</t>
  </si>
  <si>
    <t>T</t>
  </si>
  <si>
    <t>CEK</t>
  </si>
  <si>
    <t>TELAT</t>
  </si>
  <si>
    <t>Kolom1</t>
  </si>
  <si>
    <t>Kolom2</t>
  </si>
  <si>
    <t>Kolom3</t>
  </si>
  <si>
    <t>Kolom4</t>
  </si>
  <si>
    <t>Kolom5</t>
  </si>
  <si>
    <t>Kolom6</t>
  </si>
  <si>
    <t>Kolom7</t>
  </si>
  <si>
    <t>Kolom8</t>
  </si>
  <si>
    <t>Kolom9</t>
  </si>
  <si>
    <t>Kolom10</t>
  </si>
  <si>
    <t>Kolom11</t>
  </si>
  <si>
    <t>Kolom12</t>
  </si>
  <si>
    <t>Kolom13</t>
  </si>
  <si>
    <t>Kolom14</t>
  </si>
  <si>
    <t>Kolom15</t>
  </si>
  <si>
    <t>Kolom16</t>
  </si>
  <si>
    <t>Kolom17</t>
  </si>
  <si>
    <t>Kolom18</t>
  </si>
  <si>
    <t>Kolom19</t>
  </si>
  <si>
    <t>Kolom20</t>
  </si>
  <si>
    <t>Kolom21</t>
  </si>
  <si>
    <t>Kolom22</t>
  </si>
  <si>
    <t>Kolom23</t>
  </si>
  <si>
    <t>Kolom24</t>
  </si>
  <si>
    <t>Kolom25</t>
  </si>
  <si>
    <t>Kolom26</t>
  </si>
  <si>
    <t>Kolom27</t>
  </si>
  <si>
    <t>Kolom28</t>
  </si>
  <si>
    <t>Kolom29</t>
  </si>
  <si>
    <t>Kolom30</t>
  </si>
  <si>
    <t>Minggu</t>
  </si>
  <si>
    <t>izin</t>
  </si>
  <si>
    <t>cuty</t>
  </si>
  <si>
    <t>Periode</t>
  </si>
  <si>
    <t>Tanggal</t>
  </si>
  <si>
    <t>Client</t>
  </si>
  <si>
    <t>Teknisi</t>
  </si>
  <si>
    <t>Hama</t>
  </si>
  <si>
    <t>Complain</t>
  </si>
  <si>
    <t>Tim FU</t>
  </si>
  <si>
    <t>Tanggal2</t>
  </si>
  <si>
    <t>Hari</t>
  </si>
  <si>
    <t>Tindakan</t>
  </si>
  <si>
    <t>Status</t>
  </si>
  <si>
    <t>Hari2</t>
  </si>
  <si>
    <t>Tgl Close</t>
  </si>
  <si>
    <t>Type</t>
  </si>
  <si>
    <t>TEMUAN</t>
  </si>
  <si>
    <t>LAMPIRAN</t>
  </si>
  <si>
    <t>PIC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</si>
</sst>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"/>
    <numFmt numFmtId="165" formatCode="0.0"/>
    <numFmt numFmtId="166" formatCode="dd-mm-yyyy"/>
    <numFmt numFmtId="167" formatCode="d.m"/>
    <numFmt numFmtId="168" formatCode="dd.mm"/>
    <numFmt numFmtId="169" formatCode="dd.mm.yy"/>
    <numFmt numFmtId="170" formatCode="d-mmm-yy"/>
    <numFmt numFmtId="171" formatCode="dd-mmm-yy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/>
    <font>
      <b/>
      <sz val="11.0"/>
      <color theme="1"/>
      <name val="Tahoma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color rgb="FF2A2F54"/>
      <name val="Circular"/>
    </font>
    <font>
      <sz val="9.0"/>
      <color rgb="FF000000"/>
      <name val="Arial"/>
    </font>
    <font>
      <sz val="11.0"/>
      <color rgb="FFFF00FF"/>
      <name val="Calibri"/>
    </font>
    <font>
      <sz val="11.0"/>
      <color rgb="FF000000"/>
      <name val="Calibri"/>
    </font>
    <font>
      <u/>
      <sz val="11.0"/>
      <color theme="1"/>
      <name val="Calibri"/>
    </font>
    <font>
      <b/>
      <sz val="10.0"/>
      <color theme="1"/>
      <name val="Tahoma"/>
    </font>
    <font>
      <sz val="12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0000FF"/>
        <bgColor rgb="FF0000FF"/>
      </patternFill>
    </fill>
    <fill>
      <patternFill patternType="solid">
        <fgColor rgb="FF00B050"/>
        <bgColor rgb="FF00B050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1155CC"/>
        <bgColor rgb="FF1155CC"/>
      </patternFill>
    </fill>
    <fill>
      <patternFill patternType="solid">
        <fgColor rgb="FF9900FF"/>
        <bgColor rgb="FF9900FF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FF9999"/>
        <bgColor rgb="FFFF99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C3CAD8"/>
      </right>
      <bottom style="thin">
        <color rgb="FFC3CAD8"/>
      </bottom>
    </border>
    <border>
      <left style="thin">
        <color rgb="FFC3CAD8"/>
      </left>
      <right style="thin">
        <color rgb="FFC3CAD8"/>
      </right>
      <bottom style="thin">
        <color rgb="FFC3CAD8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9" xfId="0" applyAlignment="1" applyFont="1" applyNumberFormat="1">
      <alignment horizontal="center" vertical="center"/>
    </xf>
    <xf borderId="0" fillId="0" fontId="2" numFmtId="3" xfId="0" applyFont="1" applyNumberFormat="1"/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9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3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3" numFmtId="0" xfId="0" applyBorder="1" applyFont="1"/>
    <xf borderId="4" fillId="0" fontId="1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1" numFmtId="164" xfId="0" applyAlignment="1" applyBorder="1" applyFont="1" applyNumberFormat="1">
      <alignment horizontal="center" readingOrder="0"/>
    </xf>
    <xf borderId="7" fillId="4" fontId="1" numFmtId="0" xfId="0" applyAlignment="1" applyBorder="1" applyFill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3" fillId="4" fontId="1" numFmtId="9" xfId="0" applyAlignment="1" applyBorder="1" applyFont="1" applyNumberFormat="1">
      <alignment horizontal="center" vertical="center"/>
    </xf>
    <xf borderId="3" fillId="5" fontId="1" numFmtId="3" xfId="0" applyAlignment="1" applyBorder="1" applyFill="1" applyFont="1" applyNumberFormat="1">
      <alignment horizontal="center" vertical="center"/>
    </xf>
    <xf borderId="3" fillId="5" fontId="1" numFmtId="0" xfId="0" applyAlignment="1" applyBorder="1" applyFont="1">
      <alignment horizontal="center" vertical="center"/>
    </xf>
    <xf borderId="3" fillId="4" fontId="1" numFmtId="164" xfId="0" applyAlignment="1" applyBorder="1" applyFont="1" applyNumberFormat="1">
      <alignment horizontal="center"/>
    </xf>
    <xf borderId="2" fillId="4" fontId="1" numFmtId="164" xfId="0" applyAlignment="1" applyBorder="1" applyFont="1" applyNumberFormat="1">
      <alignment horizontal="center"/>
    </xf>
    <xf borderId="6" fillId="3" fontId="1" numFmtId="0" xfId="0" applyAlignment="1" applyBorder="1" applyFont="1">
      <alignment horizontal="center"/>
    </xf>
    <xf borderId="2" fillId="3" fontId="1" numFmtId="0" xfId="0" applyAlignment="1" applyBorder="1" applyFont="1">
      <alignment horizontal="left" vertical="center"/>
    </xf>
    <xf borderId="2" fillId="3" fontId="1" numFmtId="0" xfId="0" applyBorder="1" applyFont="1"/>
    <xf borderId="2" fillId="3" fontId="1" numFmtId="9" xfId="0" applyAlignment="1" applyBorder="1" applyFont="1" applyNumberFormat="1">
      <alignment horizontal="center" vertical="center"/>
    </xf>
    <xf borderId="2" fillId="3" fontId="1" numFmtId="10" xfId="0" applyAlignment="1" applyBorder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2" fillId="3" fontId="1" numFmtId="3" xfId="0" applyAlignment="1" applyBorder="1" applyFont="1" applyNumberFormat="1">
      <alignment horizontal="center" vertical="center"/>
    </xf>
    <xf borderId="2" fillId="3" fontId="1" numFmtId="165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shrinkToFit="0" vertical="bottom" wrapText="1"/>
    </xf>
    <xf borderId="2" fillId="6" fontId="4" numFmtId="0" xfId="0" applyAlignment="1" applyBorder="1" applyFill="1" applyFont="1">
      <alignment horizontal="center" shrinkToFit="0" wrapText="1"/>
    </xf>
    <xf borderId="2" fillId="6" fontId="4" numFmtId="0" xfId="0" applyAlignment="1" applyBorder="1" applyFont="1">
      <alignment horizontal="center" readingOrder="0" shrinkToFit="0" vertical="bottom" wrapText="1"/>
    </xf>
    <xf borderId="2" fillId="7" fontId="4" numFmtId="0" xfId="0" applyAlignment="1" applyBorder="1" applyFill="1" applyFont="1">
      <alignment horizontal="center" readingOrder="0" shrinkToFit="0" vertical="bottom" wrapText="1"/>
    </xf>
    <xf borderId="6" fillId="8" fontId="1" numFmtId="0" xfId="0" applyAlignment="1" applyBorder="1" applyFill="1" applyFont="1">
      <alignment horizontal="center"/>
    </xf>
    <xf borderId="2" fillId="8" fontId="1" numFmtId="0" xfId="0" applyAlignment="1" applyBorder="1" applyFont="1">
      <alignment horizontal="left" vertical="center"/>
    </xf>
    <xf borderId="2" fillId="8" fontId="1" numFmtId="0" xfId="0" applyBorder="1" applyFont="1"/>
    <xf borderId="2" fillId="8" fontId="1" numFmtId="9" xfId="0" applyAlignment="1" applyBorder="1" applyFont="1" applyNumberFormat="1">
      <alignment horizontal="center" vertical="center"/>
    </xf>
    <xf borderId="2" fillId="8" fontId="1" numFmtId="10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2" fillId="8" fontId="1" numFmtId="3" xfId="0" applyAlignment="1" applyBorder="1" applyFont="1" applyNumberFormat="1">
      <alignment horizontal="center" vertical="center"/>
    </xf>
    <xf borderId="2" fillId="8" fontId="1" numFmtId="165" xfId="0" applyAlignment="1" applyBorder="1" applyFont="1" applyNumberFormat="1">
      <alignment horizontal="center" vertical="center"/>
    </xf>
    <xf borderId="2" fillId="8" fontId="4" numFmtId="0" xfId="0" applyAlignment="1" applyBorder="1" applyFont="1">
      <alignment horizontal="center" shrinkToFit="0" vertical="bottom" wrapText="1"/>
    </xf>
    <xf borderId="2" fillId="7" fontId="4" numFmtId="0" xfId="0" applyAlignment="1" applyBorder="1" applyFont="1">
      <alignment horizontal="center" vertical="center"/>
    </xf>
    <xf borderId="2" fillId="9" fontId="4" numFmtId="0" xfId="0" applyAlignment="1" applyBorder="1" applyFill="1" applyFont="1">
      <alignment horizontal="center" readingOrder="0" shrinkToFit="0" vertical="bottom" wrapText="1"/>
    </xf>
    <xf borderId="2" fillId="10" fontId="4" numFmtId="0" xfId="0" applyAlignment="1" applyBorder="1" applyFill="1" applyFont="1">
      <alignment horizontal="center" readingOrder="0" shrinkToFit="0" vertical="bottom" wrapText="1"/>
    </xf>
    <xf borderId="2" fillId="11" fontId="4" numFmtId="0" xfId="0" applyAlignment="1" applyBorder="1" applyFill="1" applyFont="1">
      <alignment horizontal="center" readingOrder="0" shrinkToFit="0" vertical="bottom" wrapText="1"/>
    </xf>
    <xf borderId="2" fillId="12" fontId="4" numFmtId="0" xfId="0" applyAlignment="1" applyBorder="1" applyFill="1" applyFont="1">
      <alignment horizontal="center" shrinkToFit="0" vertical="bottom" wrapText="1"/>
    </xf>
    <xf borderId="0" fillId="5" fontId="4" numFmtId="0" xfId="0" applyAlignment="1" applyFont="1">
      <alignment horizontal="center"/>
    </xf>
    <xf borderId="2" fillId="11" fontId="4" numFmtId="0" xfId="0" applyAlignment="1" applyBorder="1" applyFont="1">
      <alignment horizontal="center" shrinkToFit="0" vertical="bottom" wrapText="1"/>
    </xf>
    <xf borderId="2" fillId="11" fontId="4" numFmtId="0" xfId="0" applyAlignment="1" applyBorder="1" applyFont="1">
      <alignment horizontal="center" shrinkToFit="0" wrapText="1"/>
    </xf>
    <xf borderId="2" fillId="11" fontId="4" numFmtId="0" xfId="0" applyAlignment="1" applyBorder="1" applyFont="1">
      <alignment horizontal="center" vertical="center"/>
    </xf>
    <xf borderId="2" fillId="8" fontId="1" numFmtId="0" xfId="0" applyAlignment="1" applyBorder="1" applyFont="1">
      <alignment readingOrder="0"/>
    </xf>
    <xf borderId="2" fillId="13" fontId="4" numFmtId="0" xfId="0" applyAlignment="1" applyBorder="1" applyFill="1" applyFont="1">
      <alignment horizontal="center" shrinkToFit="0" wrapText="1"/>
    </xf>
    <xf borderId="2" fillId="14" fontId="4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ont="1">
      <alignment readingOrder="0"/>
    </xf>
    <xf borderId="2" fillId="8" fontId="1" numFmtId="0" xfId="0" applyAlignment="1" applyBorder="1" applyFont="1">
      <alignment horizontal="left" readingOrder="0" vertical="center"/>
    </xf>
    <xf borderId="2" fillId="3" fontId="1" numFmtId="0" xfId="0" applyAlignment="1" applyBorder="1" applyFont="1">
      <alignment horizontal="left" readingOrder="0" vertical="center"/>
    </xf>
    <xf borderId="0" fillId="0" fontId="1" numFmtId="165" xfId="0" applyAlignment="1" applyFont="1" applyNumberForma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2" numFmtId="0" xfId="0" applyFont="1"/>
    <xf borderId="2" fillId="8" fontId="4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left"/>
    </xf>
    <xf borderId="0" fillId="0" fontId="5" numFmtId="9" xfId="0" applyAlignment="1" applyFont="1" applyNumberFormat="1">
      <alignment horizontal="center" vertical="center"/>
    </xf>
    <xf borderId="0" fillId="0" fontId="5" numFmtId="3" xfId="0" applyFont="1" applyNumberFormat="1"/>
    <xf borderId="0" fillId="0" fontId="5" numFmtId="3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0" fillId="15" fontId="4" numFmtId="0" xfId="0" applyAlignment="1" applyFill="1" applyFont="1">
      <alignment horizontal="center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horizontal="left"/>
    </xf>
    <xf borderId="0" fillId="0" fontId="1" numFmtId="14" xfId="0" applyFont="1" applyNumberFormat="1"/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16" fontId="6" numFmtId="0" xfId="0" applyFill="1" applyFont="1"/>
    <xf borderId="7" fillId="16" fontId="6" numFmtId="0" xfId="0" applyAlignment="1" applyBorder="1" applyFont="1">
      <alignment horizontal="center"/>
    </xf>
    <xf borderId="3" fillId="16" fontId="6" numFmtId="14" xfId="0" applyAlignment="1" applyBorder="1" applyFont="1" applyNumberFormat="1">
      <alignment horizontal="center"/>
    </xf>
    <xf borderId="3" fillId="16" fontId="6" numFmtId="0" xfId="0" applyAlignment="1" applyBorder="1" applyFont="1">
      <alignment horizontal="center"/>
    </xf>
    <xf borderId="8" fillId="16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2" fillId="0" fontId="7" numFmtId="0" xfId="0" applyAlignment="1" applyBorder="1" applyFont="1">
      <alignment vertical="bottom"/>
    </xf>
    <xf borderId="2" fillId="0" fontId="7" numFmtId="14" xfId="0" applyAlignment="1" applyBorder="1" applyFont="1" applyNumberFormat="1">
      <alignment horizontal="right" vertical="bottom"/>
    </xf>
    <xf borderId="2" fillId="0" fontId="7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/>
    </xf>
    <xf borderId="2" fillId="0" fontId="7" numFmtId="165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horizontal="center"/>
    </xf>
    <xf borderId="0" fillId="0" fontId="7" numFmtId="0" xfId="0" applyAlignment="1" applyFont="1">
      <alignment vertical="bottom"/>
    </xf>
    <xf borderId="9" fillId="2" fontId="8" numFmtId="0" xfId="0" applyAlignment="1" applyBorder="1" applyFont="1">
      <alignment horizontal="left"/>
    </xf>
    <xf borderId="9" fillId="2" fontId="8" numFmtId="20" xfId="0" applyAlignment="1" applyBorder="1" applyFont="1" applyNumberFormat="1">
      <alignment horizontal="left"/>
    </xf>
    <xf borderId="10" fillId="2" fontId="8" numFmtId="166" xfId="0" applyAlignment="1" applyBorder="1" applyFont="1" applyNumberFormat="1">
      <alignment horizontal="left"/>
    </xf>
    <xf borderId="2" fillId="0" fontId="7" numFmtId="14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left"/>
    </xf>
    <xf borderId="2" fillId="0" fontId="6" numFmtId="14" xfId="0" applyAlignment="1" applyBorder="1" applyFont="1" applyNumberFormat="1">
      <alignment horizontal="center"/>
    </xf>
    <xf borderId="6" fillId="0" fontId="6" numFmtId="0" xfId="0" applyAlignment="1" applyBorder="1" applyFont="1">
      <alignment horizontal="left"/>
    </xf>
    <xf borderId="7" fillId="0" fontId="6" numFmtId="0" xfId="0" applyAlignment="1" applyBorder="1" applyFont="1">
      <alignment horizontal="left"/>
    </xf>
    <xf borderId="11" fillId="0" fontId="6" numFmtId="0" xfId="0" applyAlignment="1" applyBorder="1" applyFont="1">
      <alignment horizontal="left"/>
    </xf>
    <xf borderId="2" fillId="0" fontId="6" numFmtId="14" xfId="0" applyBorder="1" applyFont="1" applyNumberFormat="1"/>
    <xf borderId="2" fillId="0" fontId="6" numFmtId="0" xfId="0" applyBorder="1" applyFont="1"/>
    <xf borderId="4" fillId="0" fontId="6" numFmtId="0" xfId="0" applyBorder="1" applyFont="1"/>
    <xf borderId="12" fillId="0" fontId="6" numFmtId="0" xfId="0" applyAlignment="1" applyBorder="1" applyFont="1">
      <alignment horizontal="left"/>
    </xf>
    <xf borderId="1" fillId="0" fontId="6" numFmtId="14" xfId="0" applyBorder="1" applyFont="1" applyNumberForma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3" fillId="0" fontId="6" numFmtId="0" xfId="0" applyBorder="1" applyFont="1"/>
    <xf borderId="0" fillId="0" fontId="1" numFmtId="14" xfId="0" applyAlignment="1" applyFont="1" applyNumberFormat="1">
      <alignment horizontal="center"/>
    </xf>
    <xf borderId="2" fillId="17" fontId="1" numFmtId="0" xfId="0" applyAlignment="1" applyBorder="1" applyFill="1" applyFont="1">
      <alignment shrinkToFit="0" vertical="center" wrapText="1"/>
    </xf>
    <xf borderId="2" fillId="17" fontId="1" numFmtId="0" xfId="0" applyAlignment="1" applyBorder="1" applyFont="1">
      <alignment horizontal="center" shrinkToFit="0" vertical="center" wrapText="1"/>
    </xf>
    <xf borderId="2" fillId="17" fontId="1" numFmtId="1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/>
    </xf>
    <xf borderId="2" fillId="0" fontId="9" numFmtId="1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0" fontId="10" numFmtId="0" xfId="0" applyAlignment="1" applyBorder="1" applyFont="1">
      <alignment horizontal="center" readingOrder="0"/>
    </xf>
    <xf borderId="14" fillId="0" fontId="11" numFmtId="0" xfId="0" applyAlignment="1" applyBorder="1" applyFont="1">
      <alignment horizontal="center" shrinkToFit="0" vertical="bottom" wrapText="0"/>
    </xf>
    <xf borderId="14" fillId="0" fontId="2" numFmtId="0" xfId="0" applyBorder="1" applyFont="1"/>
    <xf borderId="2" fillId="0" fontId="12" numFmtId="0" xfId="0" applyAlignment="1" applyBorder="1" applyFont="1">
      <alignment horizontal="center" readingOrder="0"/>
    </xf>
    <xf borderId="0" fillId="0" fontId="11" numFmtId="0" xfId="0" applyAlignment="1" applyFont="1">
      <alignment horizontal="center" shrinkToFit="0" vertical="bottom" wrapText="0"/>
    </xf>
    <xf borderId="0" fillId="18" fontId="11" numFmtId="0" xfId="0" applyAlignment="1" applyFill="1" applyFont="1">
      <alignment horizontal="center" shrinkToFit="0" vertical="bottom" wrapText="0"/>
    </xf>
    <xf borderId="2" fillId="0" fontId="9" numFmtId="1" xfId="0" applyAlignment="1" applyBorder="1" applyFont="1" applyNumberFormat="1">
      <alignment horizontal="center" readingOrder="0"/>
    </xf>
    <xf borderId="2" fillId="0" fontId="10" numFmtId="0" xfId="0" applyAlignment="1" applyBorder="1" applyFont="1">
      <alignment horizontal="center"/>
    </xf>
    <xf borderId="2" fillId="0" fontId="1" numFmtId="0" xfId="0" applyBorder="1" applyFont="1"/>
    <xf borderId="2" fillId="0" fontId="2" numFmtId="0" xfId="0" applyAlignment="1" applyBorder="1" applyFont="1">
      <alignment horizontal="center"/>
    </xf>
    <xf borderId="15" fillId="0" fontId="3" numFmtId="0" xfId="0" applyBorder="1" applyFont="1"/>
    <xf borderId="1" fillId="0" fontId="1" numFmtId="164" xfId="0" applyAlignment="1" applyBorder="1" applyFont="1" applyNumberFormat="1">
      <alignment horizontal="center"/>
    </xf>
    <xf borderId="7" fillId="19" fontId="1" numFmtId="0" xfId="0" applyAlignment="1" applyBorder="1" applyFill="1" applyFont="1">
      <alignment horizontal="center" vertical="center"/>
    </xf>
    <xf borderId="3" fillId="19" fontId="1" numFmtId="0" xfId="0" applyAlignment="1" applyBorder="1" applyFont="1">
      <alignment horizontal="center" vertical="center"/>
    </xf>
    <xf borderId="3" fillId="19" fontId="1" numFmtId="164" xfId="0" applyAlignment="1" applyBorder="1" applyFont="1" applyNumberFormat="1">
      <alignment horizontal="center"/>
    </xf>
    <xf borderId="8" fillId="19" fontId="1" numFmtId="164" xfId="0" applyAlignment="1" applyBorder="1" applyFont="1" applyNumberFormat="1">
      <alignment horizontal="center"/>
    </xf>
    <xf borderId="2" fillId="17" fontId="1" numFmtId="0" xfId="0" applyAlignment="1" applyBorder="1" applyFont="1">
      <alignment horizontal="center" vertical="center"/>
    </xf>
    <xf borderId="2" fillId="17" fontId="1" numFmtId="0" xfId="0" applyAlignment="1" applyBorder="1" applyFont="1">
      <alignment horizontal="center"/>
    </xf>
    <xf borderId="2" fillId="17" fontId="1" numFmtId="20" xfId="0" applyAlignment="1" applyBorder="1" applyFont="1" applyNumberFormat="1">
      <alignment horizontal="center"/>
    </xf>
    <xf borderId="4" fillId="17" fontId="1" numFmtId="0" xfId="0" applyAlignment="1" applyBorder="1" applyFont="1">
      <alignment horizontal="center"/>
    </xf>
    <xf borderId="2" fillId="8" fontId="1" numFmtId="0" xfId="0" applyAlignment="1" applyBorder="1" applyFont="1">
      <alignment horizontal="center"/>
    </xf>
    <xf borderId="2" fillId="8" fontId="1" numFmtId="20" xfId="0" applyAlignment="1" applyBorder="1" applyFont="1" applyNumberFormat="1">
      <alignment horizontal="center"/>
    </xf>
    <xf borderId="4" fillId="8" fontId="1" numFmtId="0" xfId="0" applyAlignment="1" applyBorder="1" applyFont="1">
      <alignment horizontal="center"/>
    </xf>
    <xf borderId="2" fillId="8" fontId="1" numFmtId="167" xfId="0" applyAlignment="1" applyBorder="1" applyFont="1" applyNumberFormat="1">
      <alignment horizontal="center"/>
    </xf>
    <xf borderId="2" fillId="8" fontId="1" numFmtId="168" xfId="0" applyAlignment="1" applyBorder="1" applyFont="1" applyNumberFormat="1">
      <alignment horizontal="center"/>
    </xf>
    <xf borderId="4" fillId="8" fontId="1" numFmtId="168" xfId="0" applyAlignment="1" applyBorder="1" applyFont="1" applyNumberFormat="1">
      <alignment horizontal="center"/>
    </xf>
    <xf borderId="2" fillId="17" fontId="1" numFmtId="169" xfId="0" applyAlignment="1" applyBorder="1" applyFont="1" applyNumberFormat="1">
      <alignment horizontal="center"/>
    </xf>
    <xf borderId="2" fillId="17" fontId="1" numFmtId="168" xfId="0" applyAlignment="1" applyBorder="1" applyFont="1" applyNumberFormat="1">
      <alignment horizontal="center"/>
    </xf>
    <xf borderId="2" fillId="17" fontId="1" numFmtId="0" xfId="0" applyAlignment="1" applyBorder="1" applyFont="1">
      <alignment horizontal="left"/>
    </xf>
    <xf borderId="2" fillId="8" fontId="1" numFmtId="0" xfId="0" applyAlignment="1" applyBorder="1" applyFont="1">
      <alignment horizontal="left"/>
    </xf>
    <xf borderId="4" fillId="3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2" fillId="3" fontId="1" numFmtId="0" xfId="0" applyAlignment="1" applyBorder="1" applyFont="1">
      <alignment horizontal="left" vertical="center"/>
    </xf>
    <xf borderId="2" fillId="8" fontId="1" numFmtId="0" xfId="0" applyAlignment="1" applyBorder="1" applyFont="1">
      <alignment horizontal="left" vertical="center"/>
    </xf>
    <xf borderId="2" fillId="20" fontId="5" numFmtId="0" xfId="0" applyAlignment="1" applyBorder="1" applyFill="1" applyFont="1">
      <alignment horizontal="center" vertical="center"/>
    </xf>
    <xf borderId="2" fillId="19" fontId="13" numFmtId="0" xfId="0" applyAlignment="1" applyBorder="1" applyFont="1">
      <alignment horizontal="center" shrinkToFit="0" vertical="center" wrapText="1"/>
    </xf>
    <xf borderId="2" fillId="6" fontId="13" numFmtId="0" xfId="0" applyAlignment="1" applyBorder="1" applyFont="1">
      <alignment horizontal="center" vertical="center"/>
    </xf>
    <xf borderId="2" fillId="7" fontId="5" numFmtId="0" xfId="0" applyAlignment="1" applyBorder="1" applyFont="1">
      <alignment horizontal="center" vertical="center"/>
    </xf>
    <xf borderId="2" fillId="10" fontId="5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5" fillId="0" fontId="1" numFmtId="14" xfId="0" applyAlignment="1" applyBorder="1" applyFont="1" applyNumberForma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" xfId="0" applyAlignment="1" applyBorder="1" applyFont="1" applyNumberFormat="1">
      <alignment horizontal="center" vertical="center"/>
    </xf>
    <xf borderId="17" fillId="18" fontId="14" numFmtId="0" xfId="0" applyAlignment="1" applyBorder="1" applyFont="1">
      <alignment vertical="bottom"/>
    </xf>
    <xf borderId="17" fillId="18" fontId="14" numFmtId="14" xfId="0" applyAlignment="1" applyBorder="1" applyFont="1" applyNumberFormat="1">
      <alignment horizontal="center" vertical="bottom"/>
    </xf>
    <xf borderId="17" fillId="18" fontId="14" numFmtId="0" xfId="0" applyAlignment="1" applyBorder="1" applyFont="1">
      <alignment horizontal="center" vertical="bottom"/>
    </xf>
    <xf borderId="17" fillId="18" fontId="1" numFmtId="15" xfId="0" applyAlignment="1" applyBorder="1" applyFont="1" applyNumberFormat="1">
      <alignment vertical="bottom"/>
    </xf>
    <xf borderId="17" fillId="18" fontId="1" numFmtId="1" xfId="0" applyAlignment="1" applyBorder="1" applyFont="1" applyNumberFormat="1">
      <alignment vertical="bottom"/>
    </xf>
    <xf borderId="17" fillId="7" fontId="14" numFmtId="0" xfId="0" applyAlignment="1" applyBorder="1" applyFont="1">
      <alignment horizontal="center" vertical="bottom"/>
    </xf>
    <xf borderId="17" fillId="18" fontId="1" numFmtId="0" xfId="0" applyAlignment="1" applyBorder="1" applyFont="1">
      <alignment horizontal="center" vertical="bottom"/>
    </xf>
    <xf borderId="17" fillId="18" fontId="1" numFmtId="0" xfId="0" applyAlignment="1" applyBorder="1" applyFont="1">
      <alignment vertical="bottom"/>
    </xf>
    <xf borderId="17" fillId="21" fontId="14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horizontal="center"/>
    </xf>
    <xf borderId="2" fillId="0" fontId="14" numFmtId="14" xfId="0" applyAlignment="1" applyBorder="1" applyFont="1" applyNumberFormat="1">
      <alignment vertical="bottom"/>
    </xf>
    <xf borderId="17" fillId="0" fontId="14" numFmtId="14" xfId="0" applyAlignment="1" applyBorder="1" applyFont="1" applyNumberFormat="1">
      <alignment horizontal="center" vertical="bottom"/>
    </xf>
    <xf borderId="2" fillId="0" fontId="14" numFmtId="170" xfId="0" applyAlignment="1" applyBorder="1" applyFont="1" applyNumberFormat="1">
      <alignment horizontal="center" vertical="bottom"/>
    </xf>
    <xf borderId="2" fillId="0" fontId="14" numFmtId="0" xfId="0" applyAlignment="1" applyBorder="1" applyFont="1">
      <alignment horizontal="center" vertical="bottom"/>
    </xf>
    <xf borderId="2" fillId="0" fontId="14" numFmtId="0" xfId="0" applyAlignment="1" applyBorder="1" applyFont="1">
      <alignment vertical="bottom"/>
    </xf>
    <xf borderId="17" fillId="0" fontId="14" numFmtId="0" xfId="0" applyAlignment="1" applyBorder="1" applyFont="1">
      <alignment horizontal="center" vertical="bottom"/>
    </xf>
    <xf borderId="2" fillId="0" fontId="1" numFmtId="1" xfId="0" applyAlignment="1" applyBorder="1" applyFont="1" applyNumberFormat="1">
      <alignment vertical="bottom"/>
    </xf>
    <xf borderId="2" fillId="7" fontId="14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17" fillId="18" fontId="14" numFmtId="14" xfId="0" applyAlignment="1" applyBorder="1" applyFont="1" applyNumberFormat="1">
      <alignment vertical="bottom"/>
    </xf>
    <xf borderId="17" fillId="18" fontId="14" numFmtId="170" xfId="0" applyAlignment="1" applyBorder="1" applyFont="1" applyNumberFormat="1">
      <alignment horizontal="center" vertical="bottom"/>
    </xf>
    <xf borderId="17" fillId="18" fontId="14" numFmtId="1" xfId="0" applyAlignment="1" applyBorder="1" applyFont="1" applyNumberFormat="1">
      <alignment vertical="bottom"/>
    </xf>
    <xf borderId="17" fillId="0" fontId="14" numFmtId="14" xfId="0" applyAlignment="1" applyBorder="1" applyFont="1" applyNumberFormat="1">
      <alignment vertical="bottom"/>
    </xf>
    <xf borderId="17" fillId="0" fontId="14" numFmtId="170" xfId="0" applyAlignment="1" applyBorder="1" applyFont="1" applyNumberFormat="1">
      <alignment horizontal="center" vertical="bottom"/>
    </xf>
    <xf borderId="17" fillId="0" fontId="14" numFmtId="0" xfId="0" applyAlignment="1" applyBorder="1" applyFont="1">
      <alignment vertical="bottom"/>
    </xf>
    <xf borderId="17" fillId="0" fontId="14" numFmtId="1" xfId="0" applyAlignment="1" applyBorder="1" applyFont="1" applyNumberFormat="1">
      <alignment vertical="bottom"/>
    </xf>
    <xf borderId="0" fillId="0" fontId="1" numFmtId="0" xfId="0" applyFont="1"/>
    <xf borderId="17" fillId="18" fontId="14" numFmtId="171" xfId="0" applyAlignment="1" applyBorder="1" applyFont="1" applyNumberFormat="1">
      <alignment horizontal="center" vertical="bottom"/>
    </xf>
    <xf borderId="17" fillId="0" fontId="1" numFmtId="0" xfId="0" applyAlignment="1" applyBorder="1" applyFont="1">
      <alignment vertical="bottom"/>
    </xf>
    <xf borderId="17" fillId="0" fontId="14" numFmtId="171" xfId="0" applyAlignment="1" applyBorder="1" applyFont="1" applyNumberFormat="1">
      <alignment horizontal="center" vertical="bottom"/>
    </xf>
    <xf borderId="2" fillId="0" fontId="14" numFmtId="1" xfId="0" applyAlignment="1" applyBorder="1" applyFont="1" applyNumberFormat="1">
      <alignment vertical="bottom"/>
    </xf>
    <xf borderId="2" fillId="18" fontId="14" numFmtId="14" xfId="0" applyAlignment="1" applyBorder="1" applyFont="1" applyNumberFormat="1">
      <alignment vertical="bottom"/>
    </xf>
    <xf borderId="2" fillId="18" fontId="14" numFmtId="0" xfId="0" applyAlignment="1" applyBorder="1" applyFont="1">
      <alignment horizontal="center" vertical="bottom"/>
    </xf>
    <xf borderId="2" fillId="18" fontId="14" numFmtId="0" xfId="0" applyAlignment="1" applyBorder="1" applyFont="1">
      <alignment vertical="bottom"/>
    </xf>
    <xf borderId="2" fillId="18" fontId="14" numFmtId="1" xfId="0" applyAlignment="1" applyBorder="1" applyFont="1" applyNumberFormat="1">
      <alignment vertical="bottom"/>
    </xf>
    <xf borderId="2" fillId="18" fontId="14" numFmtId="170" xfId="0" applyAlignment="1" applyBorder="1" applyFont="1" applyNumberFormat="1">
      <alignment horizontal="center" vertical="bottom"/>
    </xf>
    <xf borderId="2" fillId="0" fontId="1" numFmtId="14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 vertical="center"/>
    </xf>
    <xf borderId="2" fillId="0" fontId="1" numFmtId="1" xfId="0" applyAlignment="1" applyBorder="1" applyFont="1" applyNumberFormat="1">
      <alignment horizontal="center"/>
    </xf>
    <xf borderId="2" fillId="0" fontId="1" numFmtId="0" xfId="0" applyBorder="1" applyFont="1"/>
    <xf borderId="2" fillId="0" fontId="1" numFmtId="14" xfId="0" applyBorder="1" applyFont="1" applyNumberFormat="1"/>
    <xf borderId="7" fillId="0" fontId="1" numFmtId="0" xfId="0" applyAlignment="1" applyBorder="1" applyFont="1">
      <alignment horizontal="center" shrinkToFit="0" vertical="center" wrapText="1"/>
    </xf>
    <xf borderId="3" fillId="0" fontId="1" numFmtId="14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6" fillId="0" fontId="1" numFmtId="0" xfId="0" applyBorder="1" applyFont="1"/>
    <xf borderId="4" fillId="0" fontId="1" numFmtId="0" xfId="0" applyBorder="1" applyFont="1"/>
    <xf borderId="12" fillId="0" fontId="1" numFmtId="0" xfId="0" applyBorder="1" applyFont="1"/>
    <xf borderId="1" fillId="0" fontId="1" numFmtId="14" xfId="0" applyBorder="1" applyFont="1" applyNumberFormat="1"/>
    <xf borderId="13" fillId="0" fontId="1" numFmtId="0" xfId="0" applyBorder="1" applyFont="1"/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>
    <tableStyle count="3" pivot="0" name="COMPLAIN-style">
      <tableStyleElement dxfId="4" type="headerRow"/>
      <tableStyleElement dxfId="5" type="firstRowStripe"/>
      <tableStyleElement dxfId="6" type="secondRowStripe"/>
    </tableStyle>
    <tableStyle count="3" pivot="0" name="GROOMING-style">
      <tableStyleElement dxfId="4" type="headerRow"/>
      <tableStyleElement dxfId="5" type="firstRowStripe"/>
      <tableStyleElement dxfId="6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P231" displayName="Table_1" name="Table_1" id="1">
  <tableColumns count="16">
    <tableColumn name="No." id="1"/>
    <tableColumn name="JUMLAH" id="2"/>
    <tableColumn name="Periode" id="3"/>
    <tableColumn name="Tanggal" id="4"/>
    <tableColumn name="Client" id="5"/>
    <tableColumn name="Teknisi" id="6"/>
    <tableColumn name="Hama" id="7"/>
    <tableColumn name="Complain" id="8"/>
    <tableColumn name="Tim FU" id="9"/>
    <tableColumn name="Tanggal2" id="10"/>
    <tableColumn name="Hari" id="11"/>
    <tableColumn name="Tindakan" id="12"/>
    <tableColumn name="Status" id="13"/>
    <tableColumn name="Hari2" id="14"/>
    <tableColumn name="Tgl Close" id="15"/>
    <tableColumn name="Type" id="16"/>
  </tableColumns>
  <tableStyleInfo name="COMPLAIN-style" showColumnStripes="0" showFirstColumn="1" showLastColumn="1" showRowStripes="1"/>
</table>
</file>

<file path=xl/tables/table2.xml><?xml version="1.0" encoding="utf-8"?>
<table xmlns="http://schemas.openxmlformats.org/spreadsheetml/2006/main" ref="A3:G231" displayName="Table_2" name="Table_2" id="2">
  <tableColumns count="7">
    <tableColumn name="No." id="1"/>
    <tableColumn name="Kolom1" id="2"/>
    <tableColumn name="NAMA KARYAWAN" id="3"/>
    <tableColumn name="TEMUAN" id="4"/>
    <tableColumn name="LAMPIRAN" id="5"/>
    <tableColumn name="PIC" id="6"/>
    <tableColumn name="ACC PERSONALIA" id="7"/>
  </tableColumns>
  <tableStyleInfo name="GROOM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voila.id" TargetMode="External"/><Relationship Id="rId2" Type="http://schemas.openxmlformats.org/officeDocument/2006/relationships/hyperlink" Target="http://voila.id" TargetMode="External"/><Relationship Id="rId3" Type="http://schemas.openxmlformats.org/officeDocument/2006/relationships/hyperlink" Target="http://voila.id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6.29"/>
    <col customWidth="1" min="2" max="2" width="29.29"/>
    <col customWidth="1" min="3" max="3" width="16.43"/>
    <col customWidth="1" min="4" max="5" width="15.57"/>
    <col customWidth="1" min="6" max="6" width="13.0"/>
    <col customWidth="1" hidden="1" min="7" max="7" width="15.57"/>
    <col customWidth="1" min="8" max="8" width="15.57"/>
    <col customWidth="1" hidden="1" min="9" max="9" width="15.57"/>
    <col customWidth="1" min="10" max="10" width="16.0"/>
    <col customWidth="1" min="11" max="11" width="12.86"/>
    <col customWidth="1" min="12" max="12" width="10.29"/>
    <col customWidth="1" min="13" max="14" width="13.86"/>
    <col customWidth="1" hidden="1" min="15" max="15" width="13.86"/>
    <col customWidth="1" min="16" max="16" width="13.86"/>
    <col customWidth="1" min="17" max="17" width="10.29"/>
    <col customWidth="1" min="18" max="21" width="8.71"/>
    <col customWidth="1" min="22" max="31" width="9.86"/>
    <col customWidth="1" min="32" max="49" width="10.86"/>
    <col customWidth="1" min="50" max="53" width="11.14"/>
  </cols>
  <sheetData>
    <row r="1" ht="6.75" customHeight="1">
      <c r="A1" s="1" t="s">
        <v>0</v>
      </c>
      <c r="B1" s="2"/>
      <c r="D1" s="3"/>
      <c r="J1" s="4"/>
      <c r="K1" s="5"/>
      <c r="L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6.75" customHeight="1">
      <c r="A2" s="1"/>
      <c r="B2" s="2"/>
      <c r="D2" s="3"/>
      <c r="J2" s="4"/>
      <c r="K2" s="5"/>
      <c r="L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6.75" customHeight="1">
      <c r="A3" s="1"/>
      <c r="B3" s="2"/>
      <c r="D3" s="3"/>
      <c r="J3" s="4"/>
      <c r="K3" s="5"/>
      <c r="L3" s="6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>
      <c r="A4" s="7" t="s">
        <v>1</v>
      </c>
      <c r="B4" s="7" t="s">
        <v>2</v>
      </c>
      <c r="C4" s="7" t="s">
        <v>3</v>
      </c>
      <c r="D4" s="8" t="s">
        <v>4</v>
      </c>
      <c r="E4" s="9" t="s">
        <v>5</v>
      </c>
      <c r="F4" s="9" t="s">
        <v>6</v>
      </c>
      <c r="G4" s="9"/>
      <c r="H4" s="9" t="s">
        <v>6</v>
      </c>
      <c r="I4" s="9" t="s">
        <v>6</v>
      </c>
      <c r="J4" s="10" t="s">
        <v>7</v>
      </c>
      <c r="K4" s="10" t="s">
        <v>7</v>
      </c>
      <c r="L4" s="9" t="s">
        <v>8</v>
      </c>
      <c r="M4" s="9" t="s">
        <v>9</v>
      </c>
      <c r="N4" s="9" t="s">
        <v>9</v>
      </c>
      <c r="O4" s="9"/>
      <c r="P4" s="9" t="s">
        <v>9</v>
      </c>
      <c r="Q4" s="9" t="s">
        <v>9</v>
      </c>
      <c r="R4" s="9" t="s">
        <v>10</v>
      </c>
      <c r="S4" s="9" t="s">
        <v>11</v>
      </c>
      <c r="T4" s="9" t="s">
        <v>12</v>
      </c>
      <c r="U4" s="9" t="s">
        <v>13</v>
      </c>
      <c r="V4" s="11" t="s">
        <v>14</v>
      </c>
      <c r="W4" s="11" t="str">
        <f t="shared" ref="W4:AX4" si="1">LEFT(TEXT(W5,"DDDD"),3)</f>
        <v>Kam</v>
      </c>
      <c r="X4" s="11" t="str">
        <f t="shared" si="1"/>
        <v>Jum</v>
      </c>
      <c r="Y4" s="11" t="str">
        <f t="shared" si="1"/>
        <v>Sab</v>
      </c>
      <c r="Z4" s="11" t="str">
        <f t="shared" si="1"/>
        <v>Min</v>
      </c>
      <c r="AA4" s="11" t="str">
        <f t="shared" si="1"/>
        <v>Sen</v>
      </c>
      <c r="AB4" s="11" t="str">
        <f t="shared" si="1"/>
        <v>Sel</v>
      </c>
      <c r="AC4" s="11" t="str">
        <f t="shared" si="1"/>
        <v>Rab</v>
      </c>
      <c r="AD4" s="11" t="str">
        <f t="shared" si="1"/>
        <v>Kam</v>
      </c>
      <c r="AE4" s="11" t="str">
        <f t="shared" si="1"/>
        <v>Jum</v>
      </c>
      <c r="AF4" s="11" t="str">
        <f t="shared" si="1"/>
        <v>Sab</v>
      </c>
      <c r="AG4" s="12" t="str">
        <f t="shared" si="1"/>
        <v>Min</v>
      </c>
      <c r="AH4" s="11" t="str">
        <f t="shared" si="1"/>
        <v>Sen</v>
      </c>
      <c r="AI4" s="11" t="str">
        <f t="shared" si="1"/>
        <v>Sel</v>
      </c>
      <c r="AJ4" s="11" t="str">
        <f t="shared" si="1"/>
        <v>Rab</v>
      </c>
      <c r="AK4" s="11" t="str">
        <f t="shared" si="1"/>
        <v>Kam</v>
      </c>
      <c r="AL4" s="11" t="str">
        <f t="shared" si="1"/>
        <v>Jum</v>
      </c>
      <c r="AM4" s="11" t="str">
        <f t="shared" si="1"/>
        <v>Sab</v>
      </c>
      <c r="AN4" s="11" t="str">
        <f t="shared" si="1"/>
        <v>Min</v>
      </c>
      <c r="AO4" s="11" t="str">
        <f t="shared" si="1"/>
        <v>Sen</v>
      </c>
      <c r="AP4" s="11" t="str">
        <f t="shared" si="1"/>
        <v>Sel</v>
      </c>
      <c r="AQ4" s="11" t="str">
        <f t="shared" si="1"/>
        <v>Rab</v>
      </c>
      <c r="AR4" s="11" t="str">
        <f t="shared" si="1"/>
        <v>Kam</v>
      </c>
      <c r="AS4" s="11" t="str">
        <f t="shared" si="1"/>
        <v>Jum</v>
      </c>
      <c r="AT4" s="11" t="str">
        <f t="shared" si="1"/>
        <v>Sab</v>
      </c>
      <c r="AU4" s="11" t="str">
        <f t="shared" si="1"/>
        <v>Min</v>
      </c>
      <c r="AV4" s="11" t="str">
        <f t="shared" si="1"/>
        <v>Sen</v>
      </c>
      <c r="AW4" s="11" t="str">
        <f t="shared" si="1"/>
        <v>Sel</v>
      </c>
      <c r="AX4" s="11" t="str">
        <f t="shared" si="1"/>
        <v>Rab</v>
      </c>
      <c r="AY4" s="11"/>
      <c r="AZ4" s="11"/>
      <c r="BA4" s="11"/>
    </row>
    <row r="5">
      <c r="A5" s="13"/>
      <c r="B5" s="13"/>
      <c r="C5" s="13"/>
      <c r="D5" s="8" t="s">
        <v>15</v>
      </c>
      <c r="E5" s="9" t="s">
        <v>16</v>
      </c>
      <c r="F5" s="14" t="s">
        <v>5</v>
      </c>
      <c r="G5" s="15"/>
      <c r="H5" s="15"/>
      <c r="I5" s="16"/>
      <c r="J5" s="10" t="s">
        <v>17</v>
      </c>
      <c r="K5" s="10" t="s">
        <v>18</v>
      </c>
      <c r="L5" s="9" t="s">
        <v>19</v>
      </c>
      <c r="M5" s="9" t="s">
        <v>20</v>
      </c>
      <c r="N5" s="9" t="s">
        <v>21</v>
      </c>
      <c r="O5" s="9"/>
      <c r="P5" s="9" t="s">
        <v>22</v>
      </c>
      <c r="Q5" s="9" t="s">
        <v>23</v>
      </c>
      <c r="R5" s="9" t="s">
        <v>24</v>
      </c>
      <c r="S5" s="9" t="s">
        <v>25</v>
      </c>
      <c r="T5" s="9" t="s">
        <v>26</v>
      </c>
      <c r="U5" s="9" t="s">
        <v>27</v>
      </c>
      <c r="V5" s="17" t="s">
        <v>28</v>
      </c>
      <c r="W5" s="18">
        <v>46079.0</v>
      </c>
      <c r="X5" s="18">
        <v>46080.0</v>
      </c>
      <c r="Y5" s="18">
        <v>46081.0</v>
      </c>
      <c r="Z5" s="18">
        <v>46082.0</v>
      </c>
      <c r="AA5" s="18">
        <v>46083.0</v>
      </c>
      <c r="AB5" s="18">
        <v>46084.0</v>
      </c>
      <c r="AC5" s="18">
        <v>46085.0</v>
      </c>
      <c r="AD5" s="18">
        <v>46086.0</v>
      </c>
      <c r="AE5" s="18">
        <v>46087.0</v>
      </c>
      <c r="AF5" s="18">
        <v>46088.0</v>
      </c>
      <c r="AG5" s="18">
        <v>46089.0</v>
      </c>
      <c r="AH5" s="18">
        <v>46090.0</v>
      </c>
      <c r="AI5" s="18">
        <v>46091.0</v>
      </c>
      <c r="AJ5" s="18">
        <v>46092.0</v>
      </c>
      <c r="AK5" s="18">
        <v>46093.0</v>
      </c>
      <c r="AL5" s="18">
        <v>46094.0</v>
      </c>
      <c r="AM5" s="18">
        <v>46095.0</v>
      </c>
      <c r="AN5" s="18">
        <v>46096.0</v>
      </c>
      <c r="AO5" s="18">
        <v>46097.0</v>
      </c>
      <c r="AP5" s="18">
        <v>46098.0</v>
      </c>
      <c r="AQ5" s="18">
        <v>46099.0</v>
      </c>
      <c r="AR5" s="18">
        <v>46100.0</v>
      </c>
      <c r="AS5" s="18">
        <v>46101.0</v>
      </c>
      <c r="AT5" s="18">
        <v>46102.0</v>
      </c>
      <c r="AU5" s="18">
        <v>46103.0</v>
      </c>
      <c r="AV5" s="18">
        <v>46104.0</v>
      </c>
      <c r="AW5" s="18">
        <v>46105.0</v>
      </c>
      <c r="AX5" s="18">
        <v>46106.0</v>
      </c>
      <c r="AY5" s="18"/>
      <c r="AZ5" s="18"/>
      <c r="BA5" s="18"/>
    </row>
    <row r="6">
      <c r="A6" s="19" t="s">
        <v>29</v>
      </c>
      <c r="B6" s="20" t="s">
        <v>2</v>
      </c>
      <c r="C6" s="20" t="s">
        <v>3</v>
      </c>
      <c r="D6" s="21" t="s">
        <v>15</v>
      </c>
      <c r="E6" s="20" t="s">
        <v>5</v>
      </c>
      <c r="F6" s="20" t="s">
        <v>30</v>
      </c>
      <c r="G6" s="20" t="s">
        <v>31</v>
      </c>
      <c r="H6" s="20" t="s">
        <v>32</v>
      </c>
      <c r="I6" s="20" t="s">
        <v>33</v>
      </c>
      <c r="J6" s="22" t="s">
        <v>17</v>
      </c>
      <c r="K6" s="22" t="s">
        <v>8</v>
      </c>
      <c r="L6" s="23" t="s">
        <v>19</v>
      </c>
      <c r="M6" s="23" t="s">
        <v>9</v>
      </c>
      <c r="N6" s="20" t="s">
        <v>9</v>
      </c>
      <c r="O6" s="20"/>
      <c r="P6" s="23" t="s">
        <v>9</v>
      </c>
      <c r="Q6" s="23" t="s">
        <v>9</v>
      </c>
      <c r="R6" s="20" t="s">
        <v>10</v>
      </c>
      <c r="S6" s="20" t="s">
        <v>11</v>
      </c>
      <c r="T6" s="20" t="s">
        <v>12</v>
      </c>
      <c r="U6" s="20"/>
      <c r="V6" s="24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</row>
    <row r="7">
      <c r="A7" s="26">
        <v>1.0</v>
      </c>
      <c r="B7" s="27" t="s">
        <v>34</v>
      </c>
      <c r="C7" s="28" t="s">
        <v>35</v>
      </c>
      <c r="D7" s="29" t="str">
        <f>IF(KEHADIRAN!$E$7:$E$106&gt;=2,"0",IF(KEHADIRAN!$E$7:$E$106&gt;=1,"50%",IF(KEHADIRAN!$E$7:$E$106&lt;=0,"100%")))</f>
        <v>100%</v>
      </c>
      <c r="E7" s="29">
        <f>F7+H7</f>
        <v>1</v>
      </c>
      <c r="F7" s="30" t="str">
        <f>IF(G7:G36&gt;=2,"0",IF(G7:G36&gt;=1,"0",IF(G7:G36&lt;=0,"50%")))</f>
        <v>50%</v>
      </c>
      <c r="G7" s="30">
        <f>SUMIFS(GROOMING!$B$4:$B$231,GROOMING!$C$4:$C$231,ABSENSI!B7)</f>
        <v>0</v>
      </c>
      <c r="H7" s="30" t="str">
        <f>IF(I7:I36&gt;=2,"0",IF(I7:I36&gt;=1,"0",IF(I7:I36&lt;=0,"50%")))</f>
        <v>50%</v>
      </c>
      <c r="I7" s="31">
        <f>SUMIFS(COMPLAIN!$B$4:$B$231,COMPLAIN!$F$4:$F$231,ABSENSI!B7)</f>
        <v>0</v>
      </c>
      <c r="J7" s="32">
        <f>SUMIFS(KUNJUNGAN!$C$4:$C$800,KUNJUNGAN!$B$4:$B$800,ABSENSI!$B7)</f>
        <v>0</v>
      </c>
      <c r="K7" s="32">
        <f>SUMIFS(KUNJUNGAN!$J$4:$J$800,KUNJUNGAN!$B$4:$B$800,ABSENSI!$B7)</f>
        <v>0</v>
      </c>
      <c r="L7" s="33">
        <f>SUMIFS(LEMBUR!$F$4:$F$235,LEMBUR!$B$4:$B$235,ABSENSI!$B7)</f>
        <v>0</v>
      </c>
      <c r="M7" s="31">
        <f t="shared" ref="M7:M62" si="2">COUNTIF(R7:BA7,"√√")+COUNTIF(R7:BA7,"X/")</f>
        <v>0</v>
      </c>
      <c r="N7" s="31">
        <f t="shared" ref="N7:N62" si="3">COUNTIF(S7:BA7,"√/")</f>
        <v>0</v>
      </c>
      <c r="O7" s="31">
        <f t="shared" ref="O7:O62" si="4">N7*0.5</f>
        <v>0</v>
      </c>
      <c r="P7" s="31">
        <f t="shared" ref="P7:P62" si="5">SUM(Q7:S7)+O7</f>
        <v>22</v>
      </c>
      <c r="Q7" s="31">
        <f t="shared" ref="Q7:Q62" si="6">(COUNTIF(W7:BA7,"√"))+(COUNTIF(W7:BA7,"√√"))</f>
        <v>19</v>
      </c>
      <c r="R7" s="31">
        <f t="shared" ref="R7:R62" si="7">COUNTIF(W7:BA7,"s")</f>
        <v>0</v>
      </c>
      <c r="S7" s="31">
        <f t="shared" ref="S7:S62" si="8">COUNTIF(W7:BA7,"c")</f>
        <v>3</v>
      </c>
      <c r="T7" s="31">
        <f t="shared" ref="T7:T62" si="9">COUNTIF(W7:BA7,"i")</f>
        <v>0</v>
      </c>
      <c r="U7" s="31">
        <f t="shared" ref="U7:U62" si="10">COUNTIF(W7:BA7,"")</f>
        <v>3</v>
      </c>
      <c r="V7" s="31">
        <f t="shared" ref="V7:V62" si="11">COUNTIF(W7:BA7,"X")</f>
        <v>6</v>
      </c>
      <c r="W7" s="34" t="s">
        <v>36</v>
      </c>
      <c r="X7" s="34" t="s">
        <v>36</v>
      </c>
      <c r="Y7" s="34" t="s">
        <v>36</v>
      </c>
      <c r="Z7" s="35" t="s">
        <v>37</v>
      </c>
      <c r="AA7" s="34" t="s">
        <v>36</v>
      </c>
      <c r="AB7" s="34" t="s">
        <v>36</v>
      </c>
      <c r="AC7" s="34" t="s">
        <v>36</v>
      </c>
      <c r="AD7" s="34" t="s">
        <v>36</v>
      </c>
      <c r="AE7" s="34" t="s">
        <v>36</v>
      </c>
      <c r="AF7" s="34" t="s">
        <v>36</v>
      </c>
      <c r="AG7" s="35" t="s">
        <v>37</v>
      </c>
      <c r="AH7" s="34" t="s">
        <v>36</v>
      </c>
      <c r="AI7" s="34" t="s">
        <v>36</v>
      </c>
      <c r="AJ7" s="34" t="s">
        <v>36</v>
      </c>
      <c r="AK7" s="34" t="s">
        <v>36</v>
      </c>
      <c r="AL7" s="34" t="s">
        <v>36</v>
      </c>
      <c r="AM7" s="35" t="s">
        <v>37</v>
      </c>
      <c r="AN7" s="34" t="s">
        <v>36</v>
      </c>
      <c r="AO7" s="34" t="s">
        <v>36</v>
      </c>
      <c r="AP7" s="34" t="s">
        <v>36</v>
      </c>
      <c r="AQ7" s="34" t="s">
        <v>36</v>
      </c>
      <c r="AR7" s="34" t="s">
        <v>36</v>
      </c>
      <c r="AS7" s="36" t="s">
        <v>37</v>
      </c>
      <c r="AT7" s="36" t="s">
        <v>37</v>
      </c>
      <c r="AU7" s="36" t="s">
        <v>37</v>
      </c>
      <c r="AV7" s="37" t="s">
        <v>11</v>
      </c>
      <c r="AW7" s="37" t="s">
        <v>11</v>
      </c>
      <c r="AX7" s="37" t="s">
        <v>11</v>
      </c>
      <c r="AY7" s="34"/>
      <c r="AZ7" s="34"/>
      <c r="BA7" s="34"/>
    </row>
    <row r="8">
      <c r="A8" s="38">
        <v>2.0</v>
      </c>
      <c r="B8" s="39" t="s">
        <v>38</v>
      </c>
      <c r="C8" s="40" t="s">
        <v>39</v>
      </c>
      <c r="D8" s="41" t="str">
        <f>IF(KEHADIRAN!$E$7:$E$106&gt;=2,"0",IF(KEHADIRAN!$E$7:$E$106&gt;=1,"50%",IF(KEHADIRAN!$E$7:$E$106&lt;=0,"100%")))</f>
        <v>100%</v>
      </c>
      <c r="E8" s="41">
        <f>F7+H7</f>
        <v>1</v>
      </c>
      <c r="F8" s="42" t="str">
        <f>IF(G8:G42&gt;=2,"0",IF(G8:G42&gt;=1,"0",IF(G8:G42&lt;=0,"50%")))</f>
        <v>50%</v>
      </c>
      <c r="G8" s="42"/>
      <c r="H8" s="42" t="str">
        <f>IF(I8:I42&gt;=2,"0",IF(I8:I42&gt;=1,"0",IF(I8:I42&lt;=0,"50%")))</f>
        <v>50%</v>
      </c>
      <c r="I8" s="43">
        <f>SUMIFS(COMPLAIN!$B$4:$B$231,COMPLAIN!$F$4:$F$231,ABSENSI!B8)</f>
        <v>0</v>
      </c>
      <c r="J8" s="44">
        <f>SUMIFS(KUNJUNGAN!$C$4:$C$800,KUNJUNGAN!$B$4:$B$800,ABSENSI!$B8)</f>
        <v>0</v>
      </c>
      <c r="K8" s="44">
        <f>SUMIFS(KUNJUNGAN!$J$4:$J$800,KUNJUNGAN!$B$4:$B$800,ABSENSI!$B8)</f>
        <v>0</v>
      </c>
      <c r="L8" s="45">
        <f>SUMIFS(LEMBUR!$F$4:$F$235,LEMBUR!$B$4:$B$235,ABSENSI!$B8)</f>
        <v>0</v>
      </c>
      <c r="M8" s="43">
        <f t="shared" si="2"/>
        <v>0</v>
      </c>
      <c r="N8" s="43">
        <f t="shared" si="3"/>
        <v>0</v>
      </c>
      <c r="O8" s="43">
        <f t="shared" si="4"/>
        <v>0</v>
      </c>
      <c r="P8" s="43">
        <f t="shared" si="5"/>
        <v>22</v>
      </c>
      <c r="Q8" s="43">
        <f t="shared" si="6"/>
        <v>18</v>
      </c>
      <c r="R8" s="43">
        <f t="shared" si="7"/>
        <v>0</v>
      </c>
      <c r="S8" s="43">
        <f t="shared" si="8"/>
        <v>4</v>
      </c>
      <c r="T8" s="43">
        <f t="shared" si="9"/>
        <v>0</v>
      </c>
      <c r="U8" s="43">
        <f t="shared" si="10"/>
        <v>3</v>
      </c>
      <c r="V8" s="43">
        <f t="shared" si="11"/>
        <v>6</v>
      </c>
      <c r="W8" s="46" t="s">
        <v>36</v>
      </c>
      <c r="X8" s="46" t="s">
        <v>36</v>
      </c>
      <c r="Y8" s="46" t="s">
        <v>36</v>
      </c>
      <c r="Z8" s="35" t="s">
        <v>37</v>
      </c>
      <c r="AA8" s="46" t="s">
        <v>36</v>
      </c>
      <c r="AB8" s="46" t="s">
        <v>36</v>
      </c>
      <c r="AC8" s="46" t="s">
        <v>36</v>
      </c>
      <c r="AD8" s="46" t="s">
        <v>36</v>
      </c>
      <c r="AE8" s="46" t="s">
        <v>36</v>
      </c>
      <c r="AF8" s="46" t="s">
        <v>36</v>
      </c>
      <c r="AG8" s="35" t="s">
        <v>37</v>
      </c>
      <c r="AH8" s="46" t="s">
        <v>36</v>
      </c>
      <c r="AI8" s="46" t="s">
        <v>36</v>
      </c>
      <c r="AJ8" s="46" t="s">
        <v>36</v>
      </c>
      <c r="AK8" s="46" t="s">
        <v>36</v>
      </c>
      <c r="AL8" s="46" t="s">
        <v>36</v>
      </c>
      <c r="AM8" s="46" t="s">
        <v>36</v>
      </c>
      <c r="AN8" s="35" t="s">
        <v>37</v>
      </c>
      <c r="AO8" s="46" t="s">
        <v>36</v>
      </c>
      <c r="AP8" s="46" t="s">
        <v>36</v>
      </c>
      <c r="AQ8" s="37" t="s">
        <v>11</v>
      </c>
      <c r="AR8" s="36" t="s">
        <v>37</v>
      </c>
      <c r="AS8" s="37" t="s">
        <v>11</v>
      </c>
      <c r="AT8" s="36" t="s">
        <v>37</v>
      </c>
      <c r="AU8" s="36" t="s">
        <v>37</v>
      </c>
      <c r="AV8" s="37" t="s">
        <v>11</v>
      </c>
      <c r="AW8" s="37" t="s">
        <v>11</v>
      </c>
      <c r="AX8" s="46" t="s">
        <v>36</v>
      </c>
      <c r="AY8" s="46"/>
      <c r="AZ8" s="46"/>
      <c r="BA8" s="46"/>
    </row>
    <row r="9">
      <c r="A9" s="26">
        <v>3.0</v>
      </c>
      <c r="B9" s="27" t="s">
        <v>40</v>
      </c>
      <c r="C9" s="28" t="s">
        <v>41</v>
      </c>
      <c r="D9" s="29" t="str">
        <f>IF(KEHADIRAN!$E$7:$E$106&gt;=2,"0",IF(KEHADIRAN!$E$7:$E$106&gt;=1,"50%",IF(KEHADIRAN!$E$7:$E$106&lt;=0,"100%")))</f>
        <v>100%</v>
      </c>
      <c r="E9" s="29">
        <f t="shared" ref="E9:E11" si="12">F9+H9</f>
        <v>1</v>
      </c>
      <c r="F9" s="30" t="str">
        <f>IF(G9:G38&gt;=2,"0",IF(G9:G38&gt;=1,"0",IF(G9:G38&lt;=0,"50%")))</f>
        <v>50%</v>
      </c>
      <c r="G9" s="30">
        <f>SUMIFS(GROOMING!$B$4:$B$231,GROOMING!$C$4:$C$231,ABSENSI!B9)</f>
        <v>0</v>
      </c>
      <c r="H9" s="30" t="str">
        <f>IF(I9:I38&gt;=2,"0",IF(I9:I38&gt;=1,"0",IF(I9:I38&lt;=0,"50%")))</f>
        <v>50%</v>
      </c>
      <c r="I9" s="31">
        <f>SUMIFS(COMPLAIN!$B$4:$B$231,COMPLAIN!$F$4:$F$231,ABSENSI!B9)</f>
        <v>0</v>
      </c>
      <c r="J9" s="32">
        <f>SUMIFS(KUNJUNGAN!$C$4:$C$800,KUNJUNGAN!$B$4:$B$800,ABSENSI!$B9)</f>
        <v>54</v>
      </c>
      <c r="K9" s="32">
        <f>SUMIFS(KUNJUNGAN!$J$4:$J$800,KUNJUNGAN!$B$4:$B$800,ABSENSI!$B9)</f>
        <v>4226</v>
      </c>
      <c r="L9" s="33">
        <f>SUMIFS(LEMBUR!$F$4:$F$235,LEMBUR!$B$4:$B$235,ABSENSI!$B9)</f>
        <v>0</v>
      </c>
      <c r="M9" s="31">
        <f t="shared" si="2"/>
        <v>0</v>
      </c>
      <c r="N9" s="31">
        <f t="shared" si="3"/>
        <v>0</v>
      </c>
      <c r="O9" s="31">
        <f t="shared" si="4"/>
        <v>0</v>
      </c>
      <c r="P9" s="31">
        <f t="shared" si="5"/>
        <v>22</v>
      </c>
      <c r="Q9" s="31">
        <f t="shared" si="6"/>
        <v>20</v>
      </c>
      <c r="R9" s="31">
        <f t="shared" si="7"/>
        <v>0</v>
      </c>
      <c r="S9" s="31">
        <f t="shared" si="8"/>
        <v>2</v>
      </c>
      <c r="T9" s="31">
        <f t="shared" si="9"/>
        <v>0</v>
      </c>
      <c r="U9" s="31">
        <f t="shared" si="10"/>
        <v>3</v>
      </c>
      <c r="V9" s="31">
        <f t="shared" si="11"/>
        <v>6</v>
      </c>
      <c r="W9" s="34" t="s">
        <v>36</v>
      </c>
      <c r="X9" s="34" t="s">
        <v>36</v>
      </c>
      <c r="Y9" s="34" t="s">
        <v>36</v>
      </c>
      <c r="Z9" s="35" t="s">
        <v>37</v>
      </c>
      <c r="AA9" s="34" t="s">
        <v>36</v>
      </c>
      <c r="AB9" s="34" t="s">
        <v>36</v>
      </c>
      <c r="AC9" s="34" t="s">
        <v>36</v>
      </c>
      <c r="AD9" s="34" t="s">
        <v>36</v>
      </c>
      <c r="AE9" s="34" t="s">
        <v>36</v>
      </c>
      <c r="AF9" s="34" t="s">
        <v>36</v>
      </c>
      <c r="AG9" s="35" t="s">
        <v>37</v>
      </c>
      <c r="AH9" s="34" t="s">
        <v>36</v>
      </c>
      <c r="AI9" s="34" t="s">
        <v>36</v>
      </c>
      <c r="AJ9" s="34" t="s">
        <v>36</v>
      </c>
      <c r="AK9" s="34" t="s">
        <v>36</v>
      </c>
      <c r="AL9" s="34" t="s">
        <v>36</v>
      </c>
      <c r="AM9" s="34" t="s">
        <v>36</v>
      </c>
      <c r="AN9" s="35" t="s">
        <v>37</v>
      </c>
      <c r="AO9" s="34" t="s">
        <v>36</v>
      </c>
      <c r="AP9" s="34" t="s">
        <v>36</v>
      </c>
      <c r="AQ9" s="34" t="s">
        <v>36</v>
      </c>
      <c r="AR9" s="36" t="s">
        <v>37</v>
      </c>
      <c r="AS9" s="37" t="s">
        <v>11</v>
      </c>
      <c r="AT9" s="36" t="s">
        <v>37</v>
      </c>
      <c r="AU9" s="36" t="s">
        <v>37</v>
      </c>
      <c r="AV9" s="37" t="s">
        <v>11</v>
      </c>
      <c r="AW9" s="34" t="s">
        <v>36</v>
      </c>
      <c r="AX9" s="34" t="s">
        <v>36</v>
      </c>
      <c r="AY9" s="34"/>
      <c r="AZ9" s="34"/>
      <c r="BA9" s="34"/>
    </row>
    <row r="10">
      <c r="A10" s="38">
        <v>4.0</v>
      </c>
      <c r="B10" s="39" t="s">
        <v>42</v>
      </c>
      <c r="C10" s="40" t="s">
        <v>43</v>
      </c>
      <c r="D10" s="41" t="str">
        <f>IF(KEHADIRAN!$E$7:$E$106&gt;=2,"0",IF(KEHADIRAN!$E$7:$E$106&gt;=1,"50%",IF(KEHADIRAN!$E$7:$E$106&lt;=0,"100%")))</f>
        <v>100%</v>
      </c>
      <c r="E10" s="41">
        <f t="shared" si="12"/>
        <v>1</v>
      </c>
      <c r="F10" s="42" t="str">
        <f>IF(G10:G44&gt;=2,"0",IF(G10:G44&gt;=1,"0",IF(G10:G44&lt;=0,"50%")))</f>
        <v>50%</v>
      </c>
      <c r="G10" s="42"/>
      <c r="H10" s="42" t="str">
        <f>IF(I10:I44&gt;=2,"0",IF(I10:I44&gt;=1,"0",IF(I10:I44&lt;=0,"50%")))</f>
        <v>50%</v>
      </c>
      <c r="I10" s="43">
        <f>SUMIFS(COMPLAIN!$B$4:$B$231,COMPLAIN!$F$4:$F$231,ABSENSI!B10)</f>
        <v>0</v>
      </c>
      <c r="J10" s="44">
        <f>SUMIFS(KUNJUNGAN!$C$4:$C$800,KUNJUNGAN!$B$4:$B$800,ABSENSI!$B10)</f>
        <v>0</v>
      </c>
      <c r="K10" s="44">
        <f>SUMIFS(KUNJUNGAN!$J$4:$J$800,KUNJUNGAN!$B$4:$B$800,ABSENSI!$B10)</f>
        <v>0</v>
      </c>
      <c r="L10" s="45">
        <f>SUMIFS(LEMBUR!$F$4:$F$235,LEMBUR!$B$4:$B$235,ABSENSI!$B10)</f>
        <v>0</v>
      </c>
      <c r="M10" s="43">
        <f t="shared" si="2"/>
        <v>0</v>
      </c>
      <c r="N10" s="43">
        <f t="shared" si="3"/>
        <v>0</v>
      </c>
      <c r="O10" s="43">
        <f t="shared" si="4"/>
        <v>0</v>
      </c>
      <c r="P10" s="43">
        <f t="shared" si="5"/>
        <v>22</v>
      </c>
      <c r="Q10" s="43">
        <f t="shared" si="6"/>
        <v>18</v>
      </c>
      <c r="R10" s="43">
        <f t="shared" si="7"/>
        <v>0</v>
      </c>
      <c r="S10" s="43">
        <f t="shared" si="8"/>
        <v>4</v>
      </c>
      <c r="T10" s="43">
        <f t="shared" si="9"/>
        <v>0</v>
      </c>
      <c r="U10" s="43">
        <f t="shared" si="10"/>
        <v>3</v>
      </c>
      <c r="V10" s="43">
        <f t="shared" si="11"/>
        <v>6</v>
      </c>
      <c r="W10" s="46" t="s">
        <v>36</v>
      </c>
      <c r="X10" s="46" t="s">
        <v>36</v>
      </c>
      <c r="Y10" s="47" t="s">
        <v>11</v>
      </c>
      <c r="Z10" s="35" t="s">
        <v>37</v>
      </c>
      <c r="AA10" s="47" t="s">
        <v>11</v>
      </c>
      <c r="AB10" s="46" t="s">
        <v>36</v>
      </c>
      <c r="AC10" s="46" t="s">
        <v>36</v>
      </c>
      <c r="AD10" s="46" t="s">
        <v>36</v>
      </c>
      <c r="AE10" s="46" t="s">
        <v>36</v>
      </c>
      <c r="AF10" s="46" t="s">
        <v>36</v>
      </c>
      <c r="AG10" s="35" t="s">
        <v>37</v>
      </c>
      <c r="AH10" s="46" t="s">
        <v>36</v>
      </c>
      <c r="AI10" s="46" t="s">
        <v>36</v>
      </c>
      <c r="AJ10" s="46" t="s">
        <v>36</v>
      </c>
      <c r="AK10" s="46" t="s">
        <v>36</v>
      </c>
      <c r="AL10" s="46" t="s">
        <v>36</v>
      </c>
      <c r="AM10" s="46" t="s">
        <v>36</v>
      </c>
      <c r="AN10" s="35" t="s">
        <v>37</v>
      </c>
      <c r="AO10" s="46" t="s">
        <v>36</v>
      </c>
      <c r="AP10" s="46" t="s">
        <v>36</v>
      </c>
      <c r="AQ10" s="46" t="s">
        <v>36</v>
      </c>
      <c r="AR10" s="36" t="s">
        <v>37</v>
      </c>
      <c r="AS10" s="37" t="s">
        <v>11</v>
      </c>
      <c r="AT10" s="36" t="s">
        <v>37</v>
      </c>
      <c r="AU10" s="36" t="s">
        <v>37</v>
      </c>
      <c r="AV10" s="37" t="s">
        <v>11</v>
      </c>
      <c r="AW10" s="46" t="s">
        <v>36</v>
      </c>
      <c r="AX10" s="46" t="s">
        <v>36</v>
      </c>
      <c r="AY10" s="46"/>
      <c r="AZ10" s="46"/>
      <c r="BA10" s="46"/>
    </row>
    <row r="11">
      <c r="A11" s="26">
        <v>5.0</v>
      </c>
      <c r="B11" s="27" t="s">
        <v>44</v>
      </c>
      <c r="C11" s="28" t="s">
        <v>35</v>
      </c>
      <c r="D11" s="29" t="str">
        <f>IF(KEHADIRAN!$E$7:$E$106&gt;=2,"0",IF(KEHADIRAN!$E$7:$E$106&gt;=1,"50%",IF(KEHADIRAN!$E$7:$E$106&lt;=0,"100%")))</f>
        <v>100%</v>
      </c>
      <c r="E11" s="29">
        <f t="shared" si="12"/>
        <v>1</v>
      </c>
      <c r="F11" s="30" t="str">
        <f>IF(G11:G40&gt;=2,"0",IF(G11:G40&gt;=1,"0",IF(G11:G40&lt;=0,"50%")))</f>
        <v>50%</v>
      </c>
      <c r="G11" s="30">
        <f>SUMIFS(GROOMING!$B$4:$B$231,GROOMING!$C$4:$C$231,ABSENSI!B11)</f>
        <v>0</v>
      </c>
      <c r="H11" s="30" t="str">
        <f>IF(I11:I40&gt;=2,"0",IF(I11:I40&gt;=1,"0",IF(I11:I40&lt;=0,"50%")))</f>
        <v>50%</v>
      </c>
      <c r="I11" s="31">
        <f>SUMIFS(COMPLAIN!$B$4:$B$231,COMPLAIN!$F$4:$F$231,ABSENSI!B11)</f>
        <v>0</v>
      </c>
      <c r="J11" s="32">
        <f>SUMIFS(KUNJUNGAN!$C$4:$C$800,KUNJUNGAN!$B$4:$B$800,ABSENSI!$B11)</f>
        <v>0</v>
      </c>
      <c r="K11" s="32">
        <f>SUMIFS(KUNJUNGAN!$J$4:$J$800,KUNJUNGAN!$B$4:$B$800,ABSENSI!$B11)</f>
        <v>0</v>
      </c>
      <c r="L11" s="33">
        <f>SUMIFS(LEMBUR!$F$4:$F$235,LEMBUR!$B$4:$B$235,ABSENSI!$B11)</f>
        <v>0</v>
      </c>
      <c r="M11" s="31">
        <f t="shared" si="2"/>
        <v>0</v>
      </c>
      <c r="N11" s="31">
        <f t="shared" si="3"/>
        <v>0</v>
      </c>
      <c r="O11" s="31">
        <f t="shared" si="4"/>
        <v>0</v>
      </c>
      <c r="P11" s="31">
        <f t="shared" si="5"/>
        <v>23</v>
      </c>
      <c r="Q11" s="31">
        <f t="shared" si="6"/>
        <v>23</v>
      </c>
      <c r="R11" s="31">
        <f t="shared" si="7"/>
        <v>0</v>
      </c>
      <c r="S11" s="31">
        <f t="shared" si="8"/>
        <v>0</v>
      </c>
      <c r="T11" s="31">
        <f t="shared" si="9"/>
        <v>0</v>
      </c>
      <c r="U11" s="31">
        <f t="shared" si="10"/>
        <v>3</v>
      </c>
      <c r="V11" s="31">
        <f t="shared" si="11"/>
        <v>5</v>
      </c>
      <c r="W11" s="34" t="s">
        <v>36</v>
      </c>
      <c r="X11" s="34" t="s">
        <v>36</v>
      </c>
      <c r="Y11" s="34" t="s">
        <v>36</v>
      </c>
      <c r="Z11" s="35" t="s">
        <v>37</v>
      </c>
      <c r="AA11" s="34" t="s">
        <v>36</v>
      </c>
      <c r="AB11" s="34" t="s">
        <v>36</v>
      </c>
      <c r="AC11" s="34" t="s">
        <v>36</v>
      </c>
      <c r="AD11" s="34" t="s">
        <v>36</v>
      </c>
      <c r="AE11" s="34" t="s">
        <v>36</v>
      </c>
      <c r="AF11" s="34" t="s">
        <v>36</v>
      </c>
      <c r="AG11" s="35" t="s">
        <v>37</v>
      </c>
      <c r="AH11" s="34" t="s">
        <v>36</v>
      </c>
      <c r="AI11" s="34" t="s">
        <v>36</v>
      </c>
      <c r="AJ11" s="34" t="s">
        <v>36</v>
      </c>
      <c r="AK11" s="34" t="s">
        <v>36</v>
      </c>
      <c r="AL11" s="34" t="s">
        <v>36</v>
      </c>
      <c r="AM11" s="34" t="s">
        <v>36</v>
      </c>
      <c r="AN11" s="35" t="s">
        <v>37</v>
      </c>
      <c r="AO11" s="34" t="s">
        <v>36</v>
      </c>
      <c r="AP11" s="34" t="s">
        <v>36</v>
      </c>
      <c r="AQ11" s="34" t="s">
        <v>36</v>
      </c>
      <c r="AR11" s="34" t="s">
        <v>36</v>
      </c>
      <c r="AS11" s="34" t="s">
        <v>36</v>
      </c>
      <c r="AT11" s="34" t="s">
        <v>36</v>
      </c>
      <c r="AU11" s="36" t="s">
        <v>37</v>
      </c>
      <c r="AV11" s="36" t="s">
        <v>37</v>
      </c>
      <c r="AW11" s="34" t="s">
        <v>36</v>
      </c>
      <c r="AX11" s="34" t="s">
        <v>36</v>
      </c>
      <c r="AY11" s="34"/>
      <c r="AZ11" s="34"/>
      <c r="BA11" s="34"/>
    </row>
    <row r="12">
      <c r="A12" s="38">
        <v>6.0</v>
      </c>
      <c r="B12" s="39" t="s">
        <v>45</v>
      </c>
      <c r="C12" s="40" t="s">
        <v>41</v>
      </c>
      <c r="D12" s="41" t="str">
        <f>IF(KEHADIRAN!$E$7:$E$106&gt;=2,"0",IF(KEHADIRAN!$E$7:$E$106&gt;=1,"50%",IF(KEHADIRAN!$E$7:$E$106&lt;=0,"100%")))</f>
        <v>100%</v>
      </c>
      <c r="E12" s="41">
        <f>F11+H11</f>
        <v>1</v>
      </c>
      <c r="F12" s="42" t="str">
        <f>IF(G12:G46&gt;=2,"0",IF(G12:G46&gt;=1,"0",IF(G12:G46&lt;=0,"50%")))</f>
        <v>50%</v>
      </c>
      <c r="G12" s="42"/>
      <c r="H12" s="42" t="str">
        <f>IF(I12:I46&gt;=2,"0",IF(I12:I46&gt;=1,"0",IF(I12:I46&lt;=0,"50%")))</f>
        <v>50%</v>
      </c>
      <c r="I12" s="43">
        <f>SUMIFS(COMPLAIN!$B$4:$B$231,COMPLAIN!$F$4:$F$231,ABSENSI!B12)</f>
        <v>0</v>
      </c>
      <c r="J12" s="44">
        <f>SUMIFS(KUNJUNGAN!$C$4:$C$800,KUNJUNGAN!$B$4:$B$800,ABSENSI!$B12)</f>
        <v>58</v>
      </c>
      <c r="K12" s="44">
        <f>SUMIFS(KUNJUNGAN!$J$4:$J$800,KUNJUNGAN!$B$4:$B$800,ABSENSI!$B12)</f>
        <v>5736</v>
      </c>
      <c r="L12" s="45">
        <f>SUMIFS(LEMBUR!$F$4:$F$235,LEMBUR!$B$4:$B$235,ABSENSI!$B12)</f>
        <v>0</v>
      </c>
      <c r="M12" s="43">
        <f t="shared" si="2"/>
        <v>0</v>
      </c>
      <c r="N12" s="43">
        <f t="shared" si="3"/>
        <v>0</v>
      </c>
      <c r="O12" s="43">
        <f t="shared" si="4"/>
        <v>0</v>
      </c>
      <c r="P12" s="43">
        <f t="shared" si="5"/>
        <v>22</v>
      </c>
      <c r="Q12" s="43">
        <f t="shared" si="6"/>
        <v>20</v>
      </c>
      <c r="R12" s="43">
        <f t="shared" si="7"/>
        <v>0</v>
      </c>
      <c r="S12" s="43">
        <f t="shared" si="8"/>
        <v>2</v>
      </c>
      <c r="T12" s="43">
        <f t="shared" si="9"/>
        <v>0</v>
      </c>
      <c r="U12" s="43">
        <f t="shared" si="10"/>
        <v>3</v>
      </c>
      <c r="V12" s="43">
        <f t="shared" si="11"/>
        <v>6</v>
      </c>
      <c r="W12" s="46" t="s">
        <v>36</v>
      </c>
      <c r="X12" s="46" t="s">
        <v>36</v>
      </c>
      <c r="Y12" s="46" t="s">
        <v>36</v>
      </c>
      <c r="Z12" s="35" t="s">
        <v>37</v>
      </c>
      <c r="AA12" s="46" t="s">
        <v>36</v>
      </c>
      <c r="AB12" s="46" t="s">
        <v>36</v>
      </c>
      <c r="AC12" s="46" t="s">
        <v>36</v>
      </c>
      <c r="AD12" s="46" t="s">
        <v>36</v>
      </c>
      <c r="AE12" s="46" t="s">
        <v>36</v>
      </c>
      <c r="AF12" s="46" t="s">
        <v>36</v>
      </c>
      <c r="AG12" s="35" t="s">
        <v>37</v>
      </c>
      <c r="AH12" s="46" t="s">
        <v>36</v>
      </c>
      <c r="AI12" s="46" t="s">
        <v>36</v>
      </c>
      <c r="AJ12" s="46" t="s">
        <v>36</v>
      </c>
      <c r="AK12" s="46" t="s">
        <v>36</v>
      </c>
      <c r="AL12" s="46" t="s">
        <v>36</v>
      </c>
      <c r="AM12" s="46" t="s">
        <v>36</v>
      </c>
      <c r="AN12" s="35" t="s">
        <v>37</v>
      </c>
      <c r="AO12" s="46" t="s">
        <v>36</v>
      </c>
      <c r="AP12" s="46" t="s">
        <v>36</v>
      </c>
      <c r="AQ12" s="46" t="s">
        <v>36</v>
      </c>
      <c r="AR12" s="36" t="s">
        <v>37</v>
      </c>
      <c r="AS12" s="37" t="s">
        <v>11</v>
      </c>
      <c r="AT12" s="36" t="s">
        <v>37</v>
      </c>
      <c r="AU12" s="36" t="s">
        <v>37</v>
      </c>
      <c r="AV12" s="37" t="s">
        <v>11</v>
      </c>
      <c r="AW12" s="46" t="s">
        <v>36</v>
      </c>
      <c r="AX12" s="46" t="s">
        <v>36</v>
      </c>
      <c r="AY12" s="46"/>
      <c r="AZ12" s="46"/>
      <c r="BA12" s="46"/>
    </row>
    <row r="13">
      <c r="A13" s="26">
        <v>7.0</v>
      </c>
      <c r="B13" s="27" t="s">
        <v>46</v>
      </c>
      <c r="C13" s="28" t="s">
        <v>35</v>
      </c>
      <c r="D13" s="29" t="str">
        <f>IF(KEHADIRAN!$E$7:$E$106&gt;=2,"0",IF(KEHADIRAN!$E$7:$E$106&gt;=1,"50%",IF(KEHADIRAN!$E$7:$E$106&lt;=0,"100%")))</f>
        <v>100%</v>
      </c>
      <c r="E13" s="29">
        <f>F13+H13</f>
        <v>1</v>
      </c>
      <c r="F13" s="30" t="str">
        <f>IF(G13:G42&gt;=2,"0",IF(G13:G42&gt;=1,"0",IF(G13:G42&lt;=0,"50%")))</f>
        <v>50%</v>
      </c>
      <c r="G13" s="30">
        <f>SUMIFS(GROOMING!$B$4:$B$231,GROOMING!$C$4:$C$231,ABSENSI!B13)</f>
        <v>0</v>
      </c>
      <c r="H13" s="30" t="str">
        <f>IF(I13:I42&gt;=2,"0",IF(I13:I42&gt;=1,"0",IF(I13:I42&lt;=0,"50%")))</f>
        <v>50%</v>
      </c>
      <c r="I13" s="31">
        <f>SUMIFS(COMPLAIN!$B$4:$B$231,COMPLAIN!$F$4:$F$231,ABSENSI!B13)</f>
        <v>0</v>
      </c>
      <c r="J13" s="32">
        <f>SUMIFS(KUNJUNGAN!$C$4:$C$800,KUNJUNGAN!$B$4:$B$800,ABSENSI!$B13)</f>
        <v>0</v>
      </c>
      <c r="K13" s="32">
        <f>SUMIFS(KUNJUNGAN!$J$4:$J$800,KUNJUNGAN!$B$4:$B$800,ABSENSI!$B13)</f>
        <v>0</v>
      </c>
      <c r="L13" s="33">
        <f>SUMIFS(LEMBUR!$F$4:$F$235,LEMBUR!$B$4:$B$235,ABSENSI!$B13)</f>
        <v>3</v>
      </c>
      <c r="M13" s="31">
        <f t="shared" si="2"/>
        <v>0</v>
      </c>
      <c r="N13" s="31">
        <f t="shared" si="3"/>
        <v>0</v>
      </c>
      <c r="O13" s="31">
        <f t="shared" si="4"/>
        <v>0</v>
      </c>
      <c r="P13" s="31">
        <f t="shared" si="5"/>
        <v>21</v>
      </c>
      <c r="Q13" s="31">
        <f t="shared" si="6"/>
        <v>21</v>
      </c>
      <c r="R13" s="31">
        <f t="shared" si="7"/>
        <v>0</v>
      </c>
      <c r="S13" s="31">
        <f t="shared" si="8"/>
        <v>0</v>
      </c>
      <c r="T13" s="31">
        <f t="shared" si="9"/>
        <v>0</v>
      </c>
      <c r="U13" s="31">
        <f t="shared" si="10"/>
        <v>3</v>
      </c>
      <c r="V13" s="31">
        <f t="shared" si="11"/>
        <v>7</v>
      </c>
      <c r="W13" s="35" t="s">
        <v>37</v>
      </c>
      <c r="X13" s="34" t="s">
        <v>36</v>
      </c>
      <c r="Y13" s="34" t="s">
        <v>36</v>
      </c>
      <c r="Z13" s="35" t="s">
        <v>37</v>
      </c>
      <c r="AA13" s="34" t="s">
        <v>36</v>
      </c>
      <c r="AB13" s="34" t="s">
        <v>36</v>
      </c>
      <c r="AC13" s="34" t="s">
        <v>36</v>
      </c>
      <c r="AD13" s="34" t="s">
        <v>36</v>
      </c>
      <c r="AE13" s="34" t="s">
        <v>36</v>
      </c>
      <c r="AF13" s="34" t="s">
        <v>36</v>
      </c>
      <c r="AG13" s="35" t="s">
        <v>37</v>
      </c>
      <c r="AH13" s="34" t="s">
        <v>36</v>
      </c>
      <c r="AI13" s="34" t="s">
        <v>36</v>
      </c>
      <c r="AJ13" s="34" t="s">
        <v>36</v>
      </c>
      <c r="AK13" s="34" t="s">
        <v>36</v>
      </c>
      <c r="AL13" s="34" t="s">
        <v>36</v>
      </c>
      <c r="AM13" s="34" t="s">
        <v>36</v>
      </c>
      <c r="AN13" s="35" t="s">
        <v>37</v>
      </c>
      <c r="AO13" s="34" t="s">
        <v>36</v>
      </c>
      <c r="AP13" s="34" t="s">
        <v>36</v>
      </c>
      <c r="AQ13" s="34" t="s">
        <v>36</v>
      </c>
      <c r="AR13" s="34" t="s">
        <v>36</v>
      </c>
      <c r="AS13" s="34" t="s">
        <v>36</v>
      </c>
      <c r="AT13" s="36" t="s">
        <v>37</v>
      </c>
      <c r="AU13" s="36" t="s">
        <v>37</v>
      </c>
      <c r="AV13" s="36" t="s">
        <v>37</v>
      </c>
      <c r="AW13" s="34" t="s">
        <v>36</v>
      </c>
      <c r="AX13" s="34" t="s">
        <v>36</v>
      </c>
      <c r="AY13" s="34"/>
      <c r="AZ13" s="34"/>
      <c r="BA13" s="34"/>
    </row>
    <row r="14">
      <c r="A14" s="38">
        <v>8.0</v>
      </c>
      <c r="B14" s="39" t="s">
        <v>47</v>
      </c>
      <c r="C14" s="40" t="s">
        <v>48</v>
      </c>
      <c r="D14" s="41" t="str">
        <f>IF(KEHADIRAN!$E$7:$E$106&gt;=2,"0",IF(KEHADIRAN!$E$7:$E$106&gt;=1,"50%",IF(KEHADIRAN!$E$7:$E$106&lt;=0,"100%")))</f>
        <v>100%</v>
      </c>
      <c r="E14" s="41">
        <f>F13+H13</f>
        <v>1</v>
      </c>
      <c r="F14" s="42" t="str">
        <f>IF(G14:G48&gt;=2,"0",IF(G14:G48&gt;=1,"0",IF(G14:G48&lt;=0,"50%")))</f>
        <v>50%</v>
      </c>
      <c r="G14" s="42"/>
      <c r="H14" s="42" t="str">
        <f>IF(I14:I48&gt;=2,"0",IF(I14:I48&gt;=1,"0",IF(I14:I48&lt;=0,"50%")))</f>
        <v>50%</v>
      </c>
      <c r="I14" s="43">
        <f>SUMIFS(COMPLAIN!$B$4:$B$231,COMPLAIN!$F$4:$F$231,ABSENSI!B14)</f>
        <v>0</v>
      </c>
      <c r="J14" s="44">
        <f>SUMIFS(KUNJUNGAN!$C$4:$C$800,KUNJUNGAN!$B$4:$B$800,ABSENSI!$B14)</f>
        <v>0</v>
      </c>
      <c r="K14" s="44">
        <f>SUMIFS(KUNJUNGAN!$J$4:$J$800,KUNJUNGAN!$B$4:$B$800,ABSENSI!$B14)</f>
        <v>0</v>
      </c>
      <c r="L14" s="45">
        <f>SUMIFS(LEMBUR!$F$4:$F$235,LEMBUR!$B$4:$B$235,ABSENSI!$B14)</f>
        <v>19</v>
      </c>
      <c r="M14" s="43">
        <f t="shared" si="2"/>
        <v>0</v>
      </c>
      <c r="N14" s="43">
        <f t="shared" si="3"/>
        <v>0</v>
      </c>
      <c r="O14" s="43">
        <f t="shared" si="4"/>
        <v>0</v>
      </c>
      <c r="P14" s="43">
        <f t="shared" si="5"/>
        <v>22</v>
      </c>
      <c r="Q14" s="43">
        <f t="shared" si="6"/>
        <v>19</v>
      </c>
      <c r="R14" s="43">
        <f t="shared" si="7"/>
        <v>0</v>
      </c>
      <c r="S14" s="43">
        <f t="shared" si="8"/>
        <v>3</v>
      </c>
      <c r="T14" s="43">
        <f t="shared" si="9"/>
        <v>0</v>
      </c>
      <c r="U14" s="43">
        <f t="shared" si="10"/>
        <v>3</v>
      </c>
      <c r="V14" s="43">
        <f t="shared" si="11"/>
        <v>6</v>
      </c>
      <c r="W14" s="46" t="s">
        <v>36</v>
      </c>
      <c r="X14" s="46" t="s">
        <v>36</v>
      </c>
      <c r="Y14" s="46" t="s">
        <v>36</v>
      </c>
      <c r="Z14" s="35" t="s">
        <v>37</v>
      </c>
      <c r="AA14" s="46" t="s">
        <v>36</v>
      </c>
      <c r="AB14" s="46" t="s">
        <v>36</v>
      </c>
      <c r="AC14" s="46" t="s">
        <v>36</v>
      </c>
      <c r="AD14" s="46" t="s">
        <v>36</v>
      </c>
      <c r="AE14" s="46" t="s">
        <v>36</v>
      </c>
      <c r="AF14" s="35" t="s">
        <v>37</v>
      </c>
      <c r="AG14" s="46" t="s">
        <v>36</v>
      </c>
      <c r="AH14" s="46" t="s">
        <v>36</v>
      </c>
      <c r="AI14" s="46" t="s">
        <v>36</v>
      </c>
      <c r="AJ14" s="46" t="s">
        <v>36</v>
      </c>
      <c r="AK14" s="46" t="s">
        <v>36</v>
      </c>
      <c r="AL14" s="46" t="s">
        <v>36</v>
      </c>
      <c r="AM14" s="46" t="s">
        <v>36</v>
      </c>
      <c r="AN14" s="35" t="s">
        <v>37</v>
      </c>
      <c r="AO14" s="46" t="s">
        <v>36</v>
      </c>
      <c r="AP14" s="46" t="s">
        <v>36</v>
      </c>
      <c r="AQ14" s="46" t="s">
        <v>36</v>
      </c>
      <c r="AR14" s="36" t="s">
        <v>37</v>
      </c>
      <c r="AS14" s="37" t="s">
        <v>11</v>
      </c>
      <c r="AT14" s="36" t="s">
        <v>37</v>
      </c>
      <c r="AU14" s="36" t="s">
        <v>37</v>
      </c>
      <c r="AV14" s="37" t="s">
        <v>11</v>
      </c>
      <c r="AW14" s="37" t="s">
        <v>11</v>
      </c>
      <c r="AX14" s="46" t="s">
        <v>36</v>
      </c>
      <c r="AY14" s="46"/>
      <c r="AZ14" s="46"/>
      <c r="BA14" s="46"/>
    </row>
    <row r="15">
      <c r="A15" s="26">
        <v>9.0</v>
      </c>
      <c r="B15" s="27" t="s">
        <v>49</v>
      </c>
      <c r="C15" s="28" t="s">
        <v>41</v>
      </c>
      <c r="D15" s="29" t="str">
        <f>IF(KEHADIRAN!$E$7:$E$106&gt;=2,"0",IF(KEHADIRAN!$E$7:$E$106&gt;=1,"50%",IF(KEHADIRAN!$E$7:$E$106&lt;=0,"100%")))</f>
        <v>100%</v>
      </c>
      <c r="E15" s="29">
        <f>F15+H15</f>
        <v>1</v>
      </c>
      <c r="F15" s="30" t="str">
        <f>IF(G15:G44&gt;=2,"0",IF(G15:G44&gt;=1,"0",IF(G15:G44&lt;=0,"50%")))</f>
        <v>50%</v>
      </c>
      <c r="G15" s="30">
        <f>SUMIFS(GROOMING!$B$4:$B$231,GROOMING!$C$4:$C$231,ABSENSI!B15)</f>
        <v>0</v>
      </c>
      <c r="H15" s="30" t="str">
        <f>IF(I15:I44&gt;=2,"0",IF(I15:I44&gt;=1,"0",IF(I15:I44&lt;=0,"50%")))</f>
        <v>50%</v>
      </c>
      <c r="I15" s="31">
        <f>SUMIFS(COMPLAIN!$B$4:$B$231,COMPLAIN!$F$4:$F$231,ABSENSI!B15)</f>
        <v>0</v>
      </c>
      <c r="J15" s="32">
        <f>SUMIFS(KUNJUNGAN!$C$4:$C$800,KUNJUNGAN!$B$4:$B$800,ABSENSI!$B15)</f>
        <v>51</v>
      </c>
      <c r="K15" s="32">
        <f>SUMIFS(KUNJUNGAN!$J$4:$J$800,KUNJUNGAN!$B$4:$B$800,ABSENSI!$B15)</f>
        <v>4425</v>
      </c>
      <c r="L15" s="33">
        <f>SUMIFS(LEMBUR!$F$4:$F$235,LEMBUR!$B$4:$B$235,ABSENSI!$B15)</f>
        <v>0</v>
      </c>
      <c r="M15" s="31">
        <f t="shared" si="2"/>
        <v>0</v>
      </c>
      <c r="N15" s="31">
        <f t="shared" si="3"/>
        <v>0</v>
      </c>
      <c r="O15" s="31">
        <f t="shared" si="4"/>
        <v>0</v>
      </c>
      <c r="P15" s="31">
        <f t="shared" si="5"/>
        <v>21</v>
      </c>
      <c r="Q15" s="31">
        <f t="shared" si="6"/>
        <v>19</v>
      </c>
      <c r="R15" s="31">
        <f t="shared" si="7"/>
        <v>0</v>
      </c>
      <c r="S15" s="31">
        <f t="shared" si="8"/>
        <v>2</v>
      </c>
      <c r="T15" s="31">
        <f t="shared" si="9"/>
        <v>1</v>
      </c>
      <c r="U15" s="31">
        <f t="shared" si="10"/>
        <v>3</v>
      </c>
      <c r="V15" s="31">
        <f t="shared" si="11"/>
        <v>6</v>
      </c>
      <c r="W15" s="34" t="s">
        <v>36</v>
      </c>
      <c r="X15" s="34" t="s">
        <v>36</v>
      </c>
      <c r="Y15" s="34" t="s">
        <v>36</v>
      </c>
      <c r="Z15" s="35" t="s">
        <v>37</v>
      </c>
      <c r="AA15" s="34" t="s">
        <v>36</v>
      </c>
      <c r="AB15" s="34" t="s">
        <v>36</v>
      </c>
      <c r="AC15" s="34" t="s">
        <v>36</v>
      </c>
      <c r="AD15" s="34" t="s">
        <v>36</v>
      </c>
      <c r="AE15" s="34" t="s">
        <v>36</v>
      </c>
      <c r="AF15" s="34" t="s">
        <v>36</v>
      </c>
      <c r="AG15" s="35" t="s">
        <v>37</v>
      </c>
      <c r="AH15" s="34" t="s">
        <v>36</v>
      </c>
      <c r="AI15" s="34" t="s">
        <v>36</v>
      </c>
      <c r="AJ15" s="34" t="s">
        <v>36</v>
      </c>
      <c r="AK15" s="48" t="s">
        <v>12</v>
      </c>
      <c r="AL15" s="34" t="s">
        <v>36</v>
      </c>
      <c r="AM15" s="34" t="s">
        <v>36</v>
      </c>
      <c r="AN15" s="35" t="s">
        <v>37</v>
      </c>
      <c r="AO15" s="34" t="s">
        <v>36</v>
      </c>
      <c r="AP15" s="34" t="s">
        <v>36</v>
      </c>
      <c r="AQ15" s="34" t="s">
        <v>36</v>
      </c>
      <c r="AR15" s="36" t="s">
        <v>37</v>
      </c>
      <c r="AS15" s="37" t="s">
        <v>11</v>
      </c>
      <c r="AT15" s="36" t="s">
        <v>37</v>
      </c>
      <c r="AU15" s="36" t="s">
        <v>37</v>
      </c>
      <c r="AV15" s="37" t="s">
        <v>11</v>
      </c>
      <c r="AW15" s="34" t="s">
        <v>36</v>
      </c>
      <c r="AX15" s="34" t="s">
        <v>36</v>
      </c>
      <c r="AY15" s="34"/>
      <c r="AZ15" s="34"/>
      <c r="BA15" s="34"/>
    </row>
    <row r="16">
      <c r="A16" s="38">
        <v>10.0</v>
      </c>
      <c r="B16" s="39" t="s">
        <v>50</v>
      </c>
      <c r="C16" s="40" t="s">
        <v>51</v>
      </c>
      <c r="D16" s="41" t="str">
        <f>IF(KEHADIRAN!$E$7:$E$106&gt;=2,"0",IF(KEHADIRAN!$E$7:$E$106&gt;=1,"50%",IF(KEHADIRAN!$E$7:$E$106&lt;=0,"100%")))</f>
        <v>100%</v>
      </c>
      <c r="E16" s="41">
        <f>F15+H15</f>
        <v>1</v>
      </c>
      <c r="F16" s="42" t="str">
        <f>IF(G16:G50&gt;=2,"0",IF(G16:G50&gt;=1,"0",IF(G16:G50&lt;=0,"50%")))</f>
        <v>50%</v>
      </c>
      <c r="G16" s="42"/>
      <c r="H16" s="42" t="str">
        <f>IF(I16:I50&gt;=2,"0",IF(I16:I50&gt;=1,"0",IF(I16:I50&lt;=0,"50%")))</f>
        <v>50%</v>
      </c>
      <c r="I16" s="43">
        <f>SUMIFS(COMPLAIN!$B$4:$B$231,COMPLAIN!$F$4:$F$231,ABSENSI!B16)</f>
        <v>0</v>
      </c>
      <c r="J16" s="44">
        <f>SUMIFS(KUNJUNGAN!$C$4:$C$800,KUNJUNGAN!$B$4:$B$800,ABSENSI!$B16)</f>
        <v>0</v>
      </c>
      <c r="K16" s="44">
        <f>SUMIFS(KUNJUNGAN!$J$4:$J$800,KUNJUNGAN!$B$4:$B$800,ABSENSI!$B16)</f>
        <v>0</v>
      </c>
      <c r="L16" s="45">
        <f>SUMIFS(LEMBUR!$F$4:$F$235,LEMBUR!$B$4:$B$235,ABSENSI!$B16)</f>
        <v>10</v>
      </c>
      <c r="M16" s="43">
        <f t="shared" si="2"/>
        <v>0</v>
      </c>
      <c r="N16" s="43">
        <f t="shared" si="3"/>
        <v>0</v>
      </c>
      <c r="O16" s="43">
        <f t="shared" si="4"/>
        <v>0</v>
      </c>
      <c r="P16" s="43">
        <f t="shared" si="5"/>
        <v>21</v>
      </c>
      <c r="Q16" s="43">
        <f t="shared" si="6"/>
        <v>18</v>
      </c>
      <c r="R16" s="43">
        <f t="shared" si="7"/>
        <v>1</v>
      </c>
      <c r="S16" s="43">
        <f t="shared" si="8"/>
        <v>2</v>
      </c>
      <c r="T16" s="43">
        <f t="shared" si="9"/>
        <v>1</v>
      </c>
      <c r="U16" s="43">
        <f t="shared" si="10"/>
        <v>3</v>
      </c>
      <c r="V16" s="43">
        <f t="shared" si="11"/>
        <v>6</v>
      </c>
      <c r="W16" s="46" t="s">
        <v>36</v>
      </c>
      <c r="X16" s="46" t="s">
        <v>36</v>
      </c>
      <c r="Y16" s="46" t="s">
        <v>36</v>
      </c>
      <c r="Z16" s="35" t="s">
        <v>37</v>
      </c>
      <c r="AA16" s="46" t="s">
        <v>36</v>
      </c>
      <c r="AB16" s="46" t="s">
        <v>36</v>
      </c>
      <c r="AC16" s="46" t="s">
        <v>36</v>
      </c>
      <c r="AD16" s="46" t="s">
        <v>36</v>
      </c>
      <c r="AE16" s="46" t="s">
        <v>36</v>
      </c>
      <c r="AF16" s="35" t="s">
        <v>37</v>
      </c>
      <c r="AG16" s="46" t="s">
        <v>36</v>
      </c>
      <c r="AH16" s="49" t="s">
        <v>10</v>
      </c>
      <c r="AI16" s="48" t="s">
        <v>12</v>
      </c>
      <c r="AJ16" s="46" t="s">
        <v>36</v>
      </c>
      <c r="AK16" s="46" t="s">
        <v>36</v>
      </c>
      <c r="AL16" s="46" t="s">
        <v>36</v>
      </c>
      <c r="AM16" s="46" t="s">
        <v>36</v>
      </c>
      <c r="AN16" s="35" t="s">
        <v>37</v>
      </c>
      <c r="AO16" s="46" t="s">
        <v>36</v>
      </c>
      <c r="AP16" s="46" t="s">
        <v>36</v>
      </c>
      <c r="AQ16" s="46" t="s">
        <v>36</v>
      </c>
      <c r="AR16" s="36" t="s">
        <v>37</v>
      </c>
      <c r="AS16" s="50" t="s">
        <v>11</v>
      </c>
      <c r="AT16" s="36" t="s">
        <v>37</v>
      </c>
      <c r="AU16" s="36" t="s">
        <v>37</v>
      </c>
      <c r="AV16" s="37" t="s">
        <v>11</v>
      </c>
      <c r="AW16" s="46" t="s">
        <v>36</v>
      </c>
      <c r="AX16" s="46" t="s">
        <v>36</v>
      </c>
      <c r="AY16" s="46"/>
      <c r="AZ16" s="46"/>
      <c r="BA16" s="46"/>
    </row>
    <row r="17">
      <c r="A17" s="26">
        <v>11.0</v>
      </c>
      <c r="B17" s="27" t="s">
        <v>52</v>
      </c>
      <c r="C17" s="28" t="s">
        <v>41</v>
      </c>
      <c r="D17" s="29" t="str">
        <f>IF(KEHADIRAN!$E$7:$E$106&gt;=2,"0",IF(KEHADIRAN!$E$7:$E$106&gt;=1,"50%",IF(KEHADIRAN!$E$7:$E$106&lt;=0,"100%")))</f>
        <v>100%</v>
      </c>
      <c r="E17" s="29">
        <f>F17+H17</f>
        <v>1</v>
      </c>
      <c r="F17" s="30" t="str">
        <f>IF(G17:G46&gt;=2,"0",IF(G17:G46&gt;=1,"0",IF(G17:G46&lt;=0,"50%")))</f>
        <v>50%</v>
      </c>
      <c r="G17" s="30">
        <f>SUMIFS(GROOMING!$B$4:$B$231,GROOMING!$C$4:$C$231,ABSENSI!B17)</f>
        <v>0</v>
      </c>
      <c r="H17" s="30" t="str">
        <f>IF(I17:I46&gt;=2,"0",IF(I17:I46&gt;=1,"0",IF(I17:I46&lt;=0,"50%")))</f>
        <v>50%</v>
      </c>
      <c r="I17" s="31">
        <f>SUMIFS(COMPLAIN!$B$4:$B$231,COMPLAIN!$F$4:$F$231,ABSENSI!B17)</f>
        <v>0</v>
      </c>
      <c r="J17" s="32">
        <f>SUMIFS(KUNJUNGAN!$C$4:$C$800,KUNJUNGAN!$B$4:$B$800,ABSENSI!$B17)</f>
        <v>60</v>
      </c>
      <c r="K17" s="32">
        <f>SUMIFS(KUNJUNGAN!$J$4:$J$800,KUNJUNGAN!$B$4:$B$800,ABSENSI!$B17)</f>
        <v>5702</v>
      </c>
      <c r="L17" s="33">
        <f>SUMIFS(LEMBUR!$F$4:$F$235,LEMBUR!$B$4:$B$235,ABSENSI!$B17)</f>
        <v>0</v>
      </c>
      <c r="M17" s="31">
        <f t="shared" si="2"/>
        <v>0</v>
      </c>
      <c r="N17" s="31">
        <f t="shared" si="3"/>
        <v>0</v>
      </c>
      <c r="O17" s="31">
        <f t="shared" si="4"/>
        <v>0</v>
      </c>
      <c r="P17" s="31">
        <f t="shared" si="5"/>
        <v>22</v>
      </c>
      <c r="Q17" s="31">
        <f t="shared" si="6"/>
        <v>20</v>
      </c>
      <c r="R17" s="31">
        <f t="shared" si="7"/>
        <v>0</v>
      </c>
      <c r="S17" s="31">
        <f t="shared" si="8"/>
        <v>2</v>
      </c>
      <c r="T17" s="31">
        <f t="shared" si="9"/>
        <v>0</v>
      </c>
      <c r="U17" s="31">
        <f t="shared" si="10"/>
        <v>3</v>
      </c>
      <c r="V17" s="31">
        <f t="shared" si="11"/>
        <v>6</v>
      </c>
      <c r="W17" s="34" t="s">
        <v>36</v>
      </c>
      <c r="X17" s="34" t="s">
        <v>36</v>
      </c>
      <c r="Y17" s="34" t="s">
        <v>36</v>
      </c>
      <c r="Z17" s="35" t="s">
        <v>37</v>
      </c>
      <c r="AA17" s="34" t="s">
        <v>36</v>
      </c>
      <c r="AB17" s="34" t="s">
        <v>36</v>
      </c>
      <c r="AC17" s="34" t="s">
        <v>36</v>
      </c>
      <c r="AD17" s="34" t="s">
        <v>36</v>
      </c>
      <c r="AE17" s="34" t="s">
        <v>36</v>
      </c>
      <c r="AF17" s="34" t="s">
        <v>36</v>
      </c>
      <c r="AG17" s="35" t="s">
        <v>37</v>
      </c>
      <c r="AH17" s="34" t="s">
        <v>36</v>
      </c>
      <c r="AI17" s="34" t="s">
        <v>36</v>
      </c>
      <c r="AJ17" s="34" t="s">
        <v>36</v>
      </c>
      <c r="AK17" s="34" t="s">
        <v>36</v>
      </c>
      <c r="AL17" s="34" t="s">
        <v>36</v>
      </c>
      <c r="AM17" s="34" t="s">
        <v>36</v>
      </c>
      <c r="AN17" s="35" t="s">
        <v>37</v>
      </c>
      <c r="AO17" s="34" t="s">
        <v>36</v>
      </c>
      <c r="AP17" s="34" t="s">
        <v>36</v>
      </c>
      <c r="AQ17" s="34" t="s">
        <v>36</v>
      </c>
      <c r="AR17" s="36" t="s">
        <v>37</v>
      </c>
      <c r="AS17" s="37" t="s">
        <v>11</v>
      </c>
      <c r="AT17" s="36" t="s">
        <v>37</v>
      </c>
      <c r="AU17" s="36" t="s">
        <v>37</v>
      </c>
      <c r="AV17" s="37" t="s">
        <v>11</v>
      </c>
      <c r="AW17" s="34" t="s">
        <v>36</v>
      </c>
      <c r="AX17" s="34" t="s">
        <v>36</v>
      </c>
      <c r="AY17" s="34"/>
      <c r="AZ17" s="34"/>
      <c r="BA17" s="34"/>
    </row>
    <row r="18">
      <c r="A18" s="38">
        <v>12.0</v>
      </c>
      <c r="B18" s="39" t="s">
        <v>53</v>
      </c>
      <c r="C18" s="40" t="s">
        <v>54</v>
      </c>
      <c r="D18" s="41" t="str">
        <f>IF(KEHADIRAN!$E$7:$E$106&gt;=2,"0",IF(KEHADIRAN!$E$7:$E$106&gt;=1,"50%",IF(KEHADIRAN!$E$7:$E$106&lt;=0,"100%")))</f>
        <v>100%</v>
      </c>
      <c r="E18" s="41">
        <f>F17+H17</f>
        <v>1</v>
      </c>
      <c r="F18" s="42" t="str">
        <f>IF(G18:G65&gt;=2,"0",IF(G18:G65&gt;=1,"0",IF(G18:G65&lt;=0,"50%")))</f>
        <v>50%</v>
      </c>
      <c r="G18" s="42"/>
      <c r="H18" s="42" t="str">
        <f>IF(I18:I65&gt;=2,"0",IF(I18:I65&gt;=1,"0",IF(I18:I65&lt;=0,"50%")))</f>
        <v>50%</v>
      </c>
      <c r="I18" s="43">
        <f>SUMIFS(COMPLAIN!$B$4:$B$231,COMPLAIN!$F$4:$F$231,ABSENSI!B18)</f>
        <v>0</v>
      </c>
      <c r="J18" s="44">
        <f>SUMIFS(KUNJUNGAN!$C$4:$C$800,KUNJUNGAN!$B$4:$B$800,ABSENSI!$B18)</f>
        <v>0</v>
      </c>
      <c r="K18" s="44">
        <f>SUMIFS(KUNJUNGAN!$J$4:$J$800,KUNJUNGAN!$B$4:$B$800,ABSENSI!$B18)</f>
        <v>0</v>
      </c>
      <c r="L18" s="45">
        <f>SUMIFS(LEMBUR!$F$4:$F$235,LEMBUR!$B$4:$B$235,ABSENSI!$B18)</f>
        <v>0</v>
      </c>
      <c r="M18" s="43">
        <f t="shared" si="2"/>
        <v>0</v>
      </c>
      <c r="N18" s="43">
        <f t="shared" si="3"/>
        <v>0</v>
      </c>
      <c r="O18" s="43">
        <f t="shared" si="4"/>
        <v>0</v>
      </c>
      <c r="P18" s="43">
        <f t="shared" si="5"/>
        <v>22</v>
      </c>
      <c r="Q18" s="43">
        <f t="shared" si="6"/>
        <v>18</v>
      </c>
      <c r="R18" s="43">
        <f t="shared" si="7"/>
        <v>0</v>
      </c>
      <c r="S18" s="43">
        <f t="shared" si="8"/>
        <v>4</v>
      </c>
      <c r="T18" s="43">
        <f t="shared" si="9"/>
        <v>0</v>
      </c>
      <c r="U18" s="43">
        <f t="shared" si="10"/>
        <v>3</v>
      </c>
      <c r="V18" s="43">
        <f t="shared" si="11"/>
        <v>6</v>
      </c>
      <c r="W18" s="46" t="s">
        <v>36</v>
      </c>
      <c r="X18" s="46" t="s">
        <v>36</v>
      </c>
      <c r="Y18" s="46" t="s">
        <v>36</v>
      </c>
      <c r="Z18" s="35" t="s">
        <v>37</v>
      </c>
      <c r="AA18" s="46" t="s">
        <v>36</v>
      </c>
      <c r="AB18" s="46" t="s">
        <v>36</v>
      </c>
      <c r="AC18" s="46" t="s">
        <v>36</v>
      </c>
      <c r="AD18" s="46" t="s">
        <v>36</v>
      </c>
      <c r="AE18" s="46" t="s">
        <v>36</v>
      </c>
      <c r="AF18" s="46" t="s">
        <v>36</v>
      </c>
      <c r="AG18" s="35" t="s">
        <v>37</v>
      </c>
      <c r="AH18" s="46" t="s">
        <v>36</v>
      </c>
      <c r="AI18" s="46" t="s">
        <v>36</v>
      </c>
      <c r="AJ18" s="46" t="s">
        <v>36</v>
      </c>
      <c r="AK18" s="46" t="s">
        <v>36</v>
      </c>
      <c r="AL18" s="46" t="s">
        <v>36</v>
      </c>
      <c r="AM18" s="46" t="s">
        <v>36</v>
      </c>
      <c r="AN18" s="35" t="s">
        <v>37</v>
      </c>
      <c r="AO18" s="46" t="s">
        <v>36</v>
      </c>
      <c r="AP18" s="46" t="s">
        <v>36</v>
      </c>
      <c r="AQ18" s="46" t="s">
        <v>36</v>
      </c>
      <c r="AR18" s="36" t="s">
        <v>37</v>
      </c>
      <c r="AS18" s="37" t="s">
        <v>11</v>
      </c>
      <c r="AT18" s="36" t="s">
        <v>37</v>
      </c>
      <c r="AU18" s="36" t="s">
        <v>37</v>
      </c>
      <c r="AV18" s="37" t="s">
        <v>11</v>
      </c>
      <c r="AW18" s="37" t="s">
        <v>11</v>
      </c>
      <c r="AX18" s="37" t="s">
        <v>11</v>
      </c>
      <c r="AY18" s="46"/>
      <c r="AZ18" s="46"/>
      <c r="BA18" s="46"/>
    </row>
    <row r="19">
      <c r="A19" s="26">
        <v>13.0</v>
      </c>
      <c r="B19" s="27" t="s">
        <v>55</v>
      </c>
      <c r="C19" s="28" t="s">
        <v>41</v>
      </c>
      <c r="D19" s="29" t="str">
        <f>IF(KEHADIRAN!$E$7:$E$106&gt;=2,"0",IF(KEHADIRAN!$E$7:$E$106&gt;=1,"50%",IF(KEHADIRAN!$E$7:$E$106&lt;=0,"100%")))</f>
        <v>100%</v>
      </c>
      <c r="E19" s="29">
        <f>F19+H19</f>
        <v>1</v>
      </c>
      <c r="F19" s="30" t="str">
        <f>IF(G19:G48&gt;=2,"0",IF(G19:G48&gt;=1,"0",IF(G19:G48&lt;=0,"50%")))</f>
        <v>50%</v>
      </c>
      <c r="G19" s="30">
        <f>SUMIFS(GROOMING!$B$4:$B$231,GROOMING!$C$4:$C$231,ABSENSI!B19)</f>
        <v>0</v>
      </c>
      <c r="H19" s="30" t="str">
        <f>IF(I19:I48&gt;=2,"0",IF(I19:I48&gt;=1,"0",IF(I19:I48&lt;=0,"50%")))</f>
        <v>50%</v>
      </c>
      <c r="I19" s="31">
        <f>SUMIFS(COMPLAIN!$B$4:$B$231,COMPLAIN!$F$4:$F$231,ABSENSI!B19)</f>
        <v>0</v>
      </c>
      <c r="J19" s="32">
        <f>SUMIFS(KUNJUNGAN!$C$4:$C$800,KUNJUNGAN!$B$4:$B$800,ABSENSI!$B19)</f>
        <v>54</v>
      </c>
      <c r="K19" s="32">
        <f>SUMIFS(KUNJUNGAN!$J$4:$J$800,KUNJUNGAN!$B$4:$B$800,ABSENSI!$B19)</f>
        <v>5496</v>
      </c>
      <c r="L19" s="33">
        <f>SUMIFS(LEMBUR!$F$4:$F$235,LEMBUR!$B$4:$B$235,ABSENSI!$B19)</f>
        <v>0</v>
      </c>
      <c r="M19" s="31">
        <f t="shared" si="2"/>
        <v>0</v>
      </c>
      <c r="N19" s="31">
        <f t="shared" si="3"/>
        <v>0</v>
      </c>
      <c r="O19" s="31">
        <f t="shared" si="4"/>
        <v>0</v>
      </c>
      <c r="P19" s="31">
        <f t="shared" si="5"/>
        <v>22</v>
      </c>
      <c r="Q19" s="31">
        <f t="shared" si="6"/>
        <v>20</v>
      </c>
      <c r="R19" s="31">
        <f t="shared" si="7"/>
        <v>0</v>
      </c>
      <c r="S19" s="31">
        <f t="shared" si="8"/>
        <v>2</v>
      </c>
      <c r="T19" s="31">
        <f t="shared" si="9"/>
        <v>0</v>
      </c>
      <c r="U19" s="31">
        <f t="shared" si="10"/>
        <v>3</v>
      </c>
      <c r="V19" s="31">
        <f t="shared" si="11"/>
        <v>6</v>
      </c>
      <c r="W19" s="34" t="s">
        <v>36</v>
      </c>
      <c r="X19" s="34" t="s">
        <v>36</v>
      </c>
      <c r="Y19" s="34" t="s">
        <v>36</v>
      </c>
      <c r="Z19" s="34" t="s">
        <v>36</v>
      </c>
      <c r="AA19" s="34" t="s">
        <v>36</v>
      </c>
      <c r="AB19" s="34" t="s">
        <v>36</v>
      </c>
      <c r="AC19" s="35" t="s">
        <v>37</v>
      </c>
      <c r="AD19" s="34" t="s">
        <v>36</v>
      </c>
      <c r="AE19" s="34" t="s">
        <v>36</v>
      </c>
      <c r="AF19" s="34" t="s">
        <v>36</v>
      </c>
      <c r="AG19" s="34" t="s">
        <v>36</v>
      </c>
      <c r="AH19" s="34" t="s">
        <v>36</v>
      </c>
      <c r="AI19" s="34" t="s">
        <v>36</v>
      </c>
      <c r="AJ19" s="35" t="s">
        <v>37</v>
      </c>
      <c r="AK19" s="34" t="s">
        <v>36</v>
      </c>
      <c r="AL19" s="34" t="s">
        <v>36</v>
      </c>
      <c r="AM19" s="34" t="s">
        <v>36</v>
      </c>
      <c r="AN19" s="34" t="s">
        <v>36</v>
      </c>
      <c r="AO19" s="34" t="s">
        <v>36</v>
      </c>
      <c r="AP19" s="34" t="s">
        <v>36</v>
      </c>
      <c r="AQ19" s="34" t="s">
        <v>36</v>
      </c>
      <c r="AR19" s="36" t="s">
        <v>37</v>
      </c>
      <c r="AS19" s="37" t="s">
        <v>11</v>
      </c>
      <c r="AT19" s="36" t="s">
        <v>37</v>
      </c>
      <c r="AU19" s="36" t="s">
        <v>37</v>
      </c>
      <c r="AV19" s="37" t="s">
        <v>11</v>
      </c>
      <c r="AW19" s="36" t="s">
        <v>37</v>
      </c>
      <c r="AX19" s="34" t="s">
        <v>36</v>
      </c>
      <c r="AY19" s="34"/>
      <c r="AZ19" s="34"/>
      <c r="BA19" s="34"/>
    </row>
    <row r="20" ht="15.75" customHeight="1">
      <c r="A20" s="38">
        <v>14.0</v>
      </c>
      <c r="B20" s="39" t="s">
        <v>56</v>
      </c>
      <c r="C20" s="40" t="s">
        <v>41</v>
      </c>
      <c r="D20" s="41" t="str">
        <f>IF(KEHADIRAN!$E$7:$E$106&gt;=2,"0",IF(KEHADIRAN!$E$7:$E$106&gt;=1,"50%",IF(KEHADIRAN!$E$7:$E$106&lt;=0,"100%")))</f>
        <v>100%</v>
      </c>
      <c r="E20" s="41">
        <f>F19+H19</f>
        <v>1</v>
      </c>
      <c r="F20" s="42" t="str">
        <f>IF(G20:G68&gt;=2,"0",IF(G20:G68&gt;=1,"0",IF(G20:G68&lt;=0,"50%")))</f>
        <v>50%</v>
      </c>
      <c r="G20" s="42"/>
      <c r="H20" s="42" t="str">
        <f>IF(I20:I68&gt;=2,"0",IF(I20:I68&gt;=1,"0",IF(I20:I68&lt;=0,"50%")))</f>
        <v>50%</v>
      </c>
      <c r="I20" s="43">
        <f>SUMIFS(COMPLAIN!$B$4:$B$231,COMPLAIN!$F$4:$F$231,ABSENSI!B20)</f>
        <v>0</v>
      </c>
      <c r="J20" s="44">
        <f>SUMIFS(KUNJUNGAN!$C$4:$C$800,KUNJUNGAN!$B$4:$B$800,ABSENSI!$B20)</f>
        <v>50</v>
      </c>
      <c r="K20" s="44">
        <f>SUMIFS(KUNJUNGAN!$J$4:$J$800,KUNJUNGAN!$B$4:$B$800,ABSENSI!$B20)</f>
        <v>7072</v>
      </c>
      <c r="L20" s="45">
        <f>SUMIFS(LEMBUR!$F$4:$F$235,LEMBUR!$B$4:$B$235,ABSENSI!$B20)</f>
        <v>0</v>
      </c>
      <c r="M20" s="43">
        <f t="shared" si="2"/>
        <v>0</v>
      </c>
      <c r="N20" s="43">
        <f t="shared" si="3"/>
        <v>0</v>
      </c>
      <c r="O20" s="43">
        <f t="shared" si="4"/>
        <v>0</v>
      </c>
      <c r="P20" s="43">
        <f t="shared" si="5"/>
        <v>22</v>
      </c>
      <c r="Q20" s="43">
        <f t="shared" si="6"/>
        <v>21</v>
      </c>
      <c r="R20" s="43">
        <f t="shared" si="7"/>
        <v>0</v>
      </c>
      <c r="S20" s="43">
        <f t="shared" si="8"/>
        <v>1</v>
      </c>
      <c r="T20" s="43">
        <f t="shared" si="9"/>
        <v>0</v>
      </c>
      <c r="U20" s="43">
        <f t="shared" si="10"/>
        <v>3</v>
      </c>
      <c r="V20" s="43">
        <f t="shared" si="11"/>
        <v>6</v>
      </c>
      <c r="W20" s="46" t="s">
        <v>36</v>
      </c>
      <c r="X20" s="46" t="s">
        <v>36</v>
      </c>
      <c r="Y20" s="35" t="s">
        <v>37</v>
      </c>
      <c r="Z20" s="46" t="s">
        <v>36</v>
      </c>
      <c r="AA20" s="46" t="s">
        <v>36</v>
      </c>
      <c r="AB20" s="46" t="s">
        <v>36</v>
      </c>
      <c r="AC20" s="46" t="s">
        <v>36</v>
      </c>
      <c r="AD20" s="46" t="s">
        <v>36</v>
      </c>
      <c r="AE20" s="46" t="s">
        <v>36</v>
      </c>
      <c r="AF20" s="35" t="s">
        <v>37</v>
      </c>
      <c r="AG20" s="46" t="s">
        <v>36</v>
      </c>
      <c r="AH20" s="46" t="s">
        <v>36</v>
      </c>
      <c r="AI20" s="46" t="s">
        <v>36</v>
      </c>
      <c r="AJ20" s="46" t="s">
        <v>36</v>
      </c>
      <c r="AK20" s="46" t="s">
        <v>36</v>
      </c>
      <c r="AL20" s="46" t="s">
        <v>36</v>
      </c>
      <c r="AM20" s="35" t="s">
        <v>37</v>
      </c>
      <c r="AN20" s="46" t="s">
        <v>36</v>
      </c>
      <c r="AO20" s="46" t="s">
        <v>36</v>
      </c>
      <c r="AP20" s="46" t="s">
        <v>36</v>
      </c>
      <c r="AQ20" s="46" t="s">
        <v>36</v>
      </c>
      <c r="AR20" s="46" t="s">
        <v>36</v>
      </c>
      <c r="AS20" s="36" t="s">
        <v>37</v>
      </c>
      <c r="AT20" s="36" t="s">
        <v>37</v>
      </c>
      <c r="AU20" s="36" t="s">
        <v>37</v>
      </c>
      <c r="AV20" s="37" t="s">
        <v>11</v>
      </c>
      <c r="AW20" s="46" t="s">
        <v>36</v>
      </c>
      <c r="AX20" s="46" t="s">
        <v>36</v>
      </c>
      <c r="AY20" s="46"/>
      <c r="AZ20" s="46"/>
      <c r="BA20" s="46"/>
    </row>
    <row r="21" ht="15.75" customHeight="1">
      <c r="A21" s="26">
        <v>15.0</v>
      </c>
      <c r="B21" s="27" t="s">
        <v>57</v>
      </c>
      <c r="C21" s="28" t="s">
        <v>58</v>
      </c>
      <c r="D21" s="29" t="str">
        <f>IF(KEHADIRAN!$E$7:$E$106&gt;=2,"0",IF(KEHADIRAN!$E$7:$E$106&gt;=1,"50%",IF(KEHADIRAN!$E$7:$E$106&lt;=0,"100%")))</f>
        <v>100%</v>
      </c>
      <c r="E21" s="29">
        <f>F21+H21</f>
        <v>1</v>
      </c>
      <c r="F21" s="30" t="str">
        <f>IF(G21:G50&gt;=2,"0",IF(G21:G50&gt;=1,"0",IF(G21:G50&lt;=0,"50%")))</f>
        <v>50%</v>
      </c>
      <c r="G21" s="30">
        <f>SUMIFS(GROOMING!$B$4:$B$231,GROOMING!$C$4:$C$231,ABSENSI!B21)</f>
        <v>0</v>
      </c>
      <c r="H21" s="30" t="str">
        <f>IF(I21:I50&gt;=2,"0",IF(I21:I50&gt;=1,"0",IF(I21:I50&lt;=0,"50%")))</f>
        <v>50%</v>
      </c>
      <c r="I21" s="31">
        <f>SUMIFS(COMPLAIN!$B$4:$B$231,COMPLAIN!$F$4:$F$231,ABSENSI!B21)</f>
        <v>0</v>
      </c>
      <c r="J21" s="32">
        <f>SUMIFS(KUNJUNGAN!$C$4:$C$800,KUNJUNGAN!$B$4:$B$800,ABSENSI!$B21)</f>
        <v>0</v>
      </c>
      <c r="K21" s="32">
        <f>SUMIFS(KUNJUNGAN!$J$4:$J$800,KUNJUNGAN!$B$4:$B$800,ABSENSI!$B21)</f>
        <v>0</v>
      </c>
      <c r="L21" s="33">
        <f>SUMIFS(LEMBUR!$F$4:$F$235,LEMBUR!$B$4:$B$235,ABSENSI!$B21)</f>
        <v>0</v>
      </c>
      <c r="M21" s="31">
        <f t="shared" si="2"/>
        <v>0</v>
      </c>
      <c r="N21" s="31">
        <f t="shared" si="3"/>
        <v>1</v>
      </c>
      <c r="O21" s="31">
        <f t="shared" si="4"/>
        <v>0.5</v>
      </c>
      <c r="P21" s="31">
        <f t="shared" si="5"/>
        <v>22.5</v>
      </c>
      <c r="Q21" s="31">
        <f t="shared" si="6"/>
        <v>20</v>
      </c>
      <c r="R21" s="31">
        <f t="shared" si="7"/>
        <v>1</v>
      </c>
      <c r="S21" s="31">
        <f t="shared" si="8"/>
        <v>1</v>
      </c>
      <c r="T21" s="31">
        <f t="shared" si="9"/>
        <v>0</v>
      </c>
      <c r="U21" s="31">
        <f t="shared" si="10"/>
        <v>3</v>
      </c>
      <c r="V21" s="31">
        <f t="shared" si="11"/>
        <v>5</v>
      </c>
      <c r="W21" s="34" t="s">
        <v>36</v>
      </c>
      <c r="X21" s="34" t="s">
        <v>36</v>
      </c>
      <c r="Y21" s="34" t="s">
        <v>36</v>
      </c>
      <c r="Z21" s="35" t="s">
        <v>37</v>
      </c>
      <c r="AA21" s="34" t="s">
        <v>36</v>
      </c>
      <c r="AB21" s="51" t="s">
        <v>10</v>
      </c>
      <c r="AC21" s="34" t="s">
        <v>36</v>
      </c>
      <c r="AD21" s="34" t="s">
        <v>36</v>
      </c>
      <c r="AE21" s="34" t="s">
        <v>36</v>
      </c>
      <c r="AF21" s="34" t="s">
        <v>36</v>
      </c>
      <c r="AG21" s="35" t="s">
        <v>37</v>
      </c>
      <c r="AH21" s="34" t="s">
        <v>36</v>
      </c>
      <c r="AI21" s="52" t="s">
        <v>59</v>
      </c>
      <c r="AJ21" s="34" t="s">
        <v>36</v>
      </c>
      <c r="AK21" s="34" t="s">
        <v>36</v>
      </c>
      <c r="AL21" s="34" t="s">
        <v>36</v>
      </c>
      <c r="AM21" s="34" t="s">
        <v>36</v>
      </c>
      <c r="AN21" s="35" t="s">
        <v>37</v>
      </c>
      <c r="AO21" s="34" t="s">
        <v>36</v>
      </c>
      <c r="AP21" s="34" t="s">
        <v>36</v>
      </c>
      <c r="AQ21" s="34" t="s">
        <v>36</v>
      </c>
      <c r="AR21" s="34" t="s">
        <v>36</v>
      </c>
      <c r="AS21" s="34" t="s">
        <v>36</v>
      </c>
      <c r="AT21" s="36" t="s">
        <v>37</v>
      </c>
      <c r="AU21" s="36" t="s">
        <v>37</v>
      </c>
      <c r="AV21" s="37" t="s">
        <v>11</v>
      </c>
      <c r="AW21" s="34" t="s">
        <v>36</v>
      </c>
      <c r="AX21" s="34" t="s">
        <v>36</v>
      </c>
      <c r="AY21" s="34"/>
      <c r="AZ21" s="34"/>
      <c r="BA21" s="34"/>
    </row>
    <row r="22" ht="15.75" customHeight="1">
      <c r="A22" s="38">
        <v>16.0</v>
      </c>
      <c r="B22" s="39" t="s">
        <v>60</v>
      </c>
      <c r="C22" s="40" t="s">
        <v>61</v>
      </c>
      <c r="D22" s="41" t="str">
        <f>IF(KEHADIRAN!$E$7:$E$106&gt;=2,"0",IF(KEHADIRAN!$E$7:$E$106&gt;=1,"50%",IF(KEHADIRAN!$E$7:$E$106&lt;=0,"100%")))</f>
        <v>100%</v>
      </c>
      <c r="E22" s="41">
        <f>F21+H21</f>
        <v>1</v>
      </c>
      <c r="F22" s="42" t="str">
        <f>IF(G22:G70&gt;=2,"0",IF(G22:G70&gt;=1,"0",IF(G22:G70&lt;=0,"50%")))</f>
        <v>50%</v>
      </c>
      <c r="G22" s="42"/>
      <c r="H22" s="42" t="str">
        <f>IF(I22:I70&gt;=2,"0",IF(I22:I70&gt;=1,"0",IF(I22:I70&lt;=0,"50%")))</f>
        <v>50%</v>
      </c>
      <c r="I22" s="43">
        <f>SUMIFS(COMPLAIN!$B$4:$B$231,COMPLAIN!$F$4:$F$231,ABSENSI!B22)</f>
        <v>0</v>
      </c>
      <c r="J22" s="44">
        <f>SUMIFS(KUNJUNGAN!$C$4:$C$800,KUNJUNGAN!$B$4:$B$800,ABSENSI!$B22)</f>
        <v>0</v>
      </c>
      <c r="K22" s="44">
        <f>SUMIFS(KUNJUNGAN!$J$4:$J$800,KUNJUNGAN!$B$4:$B$800,ABSENSI!$B22)</f>
        <v>0</v>
      </c>
      <c r="L22" s="45">
        <f>SUMIFS(LEMBUR!$F$4:$F$235,LEMBUR!$B$4:$B$235,ABSENSI!$B22)</f>
        <v>0</v>
      </c>
      <c r="M22" s="43">
        <f t="shared" si="2"/>
        <v>0</v>
      </c>
      <c r="N22" s="43">
        <f t="shared" si="3"/>
        <v>0</v>
      </c>
      <c r="O22" s="43">
        <f t="shared" si="4"/>
        <v>0</v>
      </c>
      <c r="P22" s="43">
        <f t="shared" si="5"/>
        <v>23</v>
      </c>
      <c r="Q22" s="43">
        <f t="shared" si="6"/>
        <v>20</v>
      </c>
      <c r="R22" s="43">
        <f t="shared" si="7"/>
        <v>0</v>
      </c>
      <c r="S22" s="43">
        <f t="shared" si="8"/>
        <v>3</v>
      </c>
      <c r="T22" s="43">
        <f t="shared" si="9"/>
        <v>0</v>
      </c>
      <c r="U22" s="43">
        <f t="shared" si="10"/>
        <v>3</v>
      </c>
      <c r="V22" s="43">
        <f t="shared" si="11"/>
        <v>5</v>
      </c>
      <c r="W22" s="46" t="s">
        <v>36</v>
      </c>
      <c r="X22" s="46" t="s">
        <v>36</v>
      </c>
      <c r="Y22" s="46" t="s">
        <v>36</v>
      </c>
      <c r="Z22" s="35" t="s">
        <v>37</v>
      </c>
      <c r="AA22" s="46" t="s">
        <v>36</v>
      </c>
      <c r="AB22" s="46" t="s">
        <v>36</v>
      </c>
      <c r="AC22" s="46" t="s">
        <v>36</v>
      </c>
      <c r="AD22" s="46" t="s">
        <v>36</v>
      </c>
      <c r="AE22" s="46" t="s">
        <v>36</v>
      </c>
      <c r="AF22" s="46" t="s">
        <v>36</v>
      </c>
      <c r="AG22" s="35" t="s">
        <v>37</v>
      </c>
      <c r="AH22" s="46" t="s">
        <v>36</v>
      </c>
      <c r="AI22" s="46" t="s">
        <v>36</v>
      </c>
      <c r="AJ22" s="46" t="s">
        <v>36</v>
      </c>
      <c r="AK22" s="46" t="s">
        <v>36</v>
      </c>
      <c r="AL22" s="46" t="s">
        <v>36</v>
      </c>
      <c r="AM22" s="46" t="s">
        <v>36</v>
      </c>
      <c r="AN22" s="35" t="s">
        <v>37</v>
      </c>
      <c r="AO22" s="46" t="s">
        <v>36</v>
      </c>
      <c r="AP22" s="46" t="s">
        <v>36</v>
      </c>
      <c r="AQ22" s="46" t="s">
        <v>36</v>
      </c>
      <c r="AR22" s="46" t="s">
        <v>36</v>
      </c>
      <c r="AS22" s="46" t="s">
        <v>36</v>
      </c>
      <c r="AT22" s="36" t="s">
        <v>37</v>
      </c>
      <c r="AU22" s="36" t="s">
        <v>37</v>
      </c>
      <c r="AV22" s="37" t="s">
        <v>11</v>
      </c>
      <c r="AW22" s="37" t="s">
        <v>11</v>
      </c>
      <c r="AX22" s="37" t="s">
        <v>11</v>
      </c>
      <c r="AY22" s="46"/>
      <c r="AZ22" s="46"/>
      <c r="BA22" s="46"/>
    </row>
    <row r="23" ht="15.75" customHeight="1">
      <c r="A23" s="26">
        <v>17.0</v>
      </c>
      <c r="B23" s="27" t="s">
        <v>62</v>
      </c>
      <c r="C23" s="28" t="s">
        <v>41</v>
      </c>
      <c r="D23" s="29" t="str">
        <f>IF(KEHADIRAN!$E$7:$E$106&gt;=2,"0",IF(KEHADIRAN!$E$7:$E$106&gt;=1,"50%",IF(KEHADIRAN!$E$7:$E$106&lt;=0,"100%")))</f>
        <v>100%</v>
      </c>
      <c r="E23" s="29">
        <f>F23+H23</f>
        <v>1</v>
      </c>
      <c r="F23" s="30" t="str">
        <f>IF(G23:G65&gt;=2,"0",IF(G23:G65&gt;=1,"0",IF(G23:G65&lt;=0,"50%")))</f>
        <v>50%</v>
      </c>
      <c r="G23" s="30">
        <f>SUMIFS(GROOMING!$B$4:$B$231,GROOMING!$C$4:$C$231,ABSENSI!B23)</f>
        <v>0</v>
      </c>
      <c r="H23" s="30" t="str">
        <f>IF(I23:I65&gt;=2,"0",IF(I23:I65&gt;=1,"0",IF(I23:I65&lt;=0,"50%")))</f>
        <v>50%</v>
      </c>
      <c r="I23" s="31">
        <f>SUMIFS(COMPLAIN!$B$4:$B$231,COMPLAIN!$F$4:$F$231,ABSENSI!B23)</f>
        <v>0</v>
      </c>
      <c r="J23" s="32">
        <f>SUMIFS(KUNJUNGAN!$C$4:$C$800,KUNJUNGAN!$B$4:$B$800,ABSENSI!$B23)</f>
        <v>56</v>
      </c>
      <c r="K23" s="32">
        <f>SUMIFS(KUNJUNGAN!$J$4:$J$800,KUNJUNGAN!$B$4:$B$800,ABSENSI!$B23)</f>
        <v>4300</v>
      </c>
      <c r="L23" s="33">
        <f>SUMIFS(LEMBUR!$F$4:$F$235,LEMBUR!$B$4:$B$235,ABSENSI!$B23)</f>
        <v>0</v>
      </c>
      <c r="M23" s="31">
        <f t="shared" si="2"/>
        <v>0</v>
      </c>
      <c r="N23" s="31">
        <f t="shared" si="3"/>
        <v>0</v>
      </c>
      <c r="O23" s="31">
        <f t="shared" si="4"/>
        <v>0</v>
      </c>
      <c r="P23" s="31">
        <f t="shared" si="5"/>
        <v>21</v>
      </c>
      <c r="Q23" s="31">
        <f t="shared" si="6"/>
        <v>19</v>
      </c>
      <c r="R23" s="31">
        <f t="shared" si="7"/>
        <v>0</v>
      </c>
      <c r="S23" s="31">
        <f t="shared" si="8"/>
        <v>2</v>
      </c>
      <c r="T23" s="31">
        <f t="shared" si="9"/>
        <v>1</v>
      </c>
      <c r="U23" s="31">
        <f t="shared" si="10"/>
        <v>3</v>
      </c>
      <c r="V23" s="31">
        <f t="shared" si="11"/>
        <v>6</v>
      </c>
      <c r="W23" s="34" t="s">
        <v>36</v>
      </c>
      <c r="X23" s="34" t="s">
        <v>36</v>
      </c>
      <c r="Y23" s="34" t="s">
        <v>36</v>
      </c>
      <c r="Z23" s="35" t="s">
        <v>37</v>
      </c>
      <c r="AA23" s="48" t="s">
        <v>12</v>
      </c>
      <c r="AB23" s="34" t="s">
        <v>36</v>
      </c>
      <c r="AC23" s="34" t="s">
        <v>36</v>
      </c>
      <c r="AD23" s="34" t="s">
        <v>36</v>
      </c>
      <c r="AE23" s="34" t="s">
        <v>36</v>
      </c>
      <c r="AF23" s="34" t="s">
        <v>36</v>
      </c>
      <c r="AG23" s="35" t="s">
        <v>37</v>
      </c>
      <c r="AH23" s="34" t="s">
        <v>36</v>
      </c>
      <c r="AI23" s="34" t="s">
        <v>36</v>
      </c>
      <c r="AJ23" s="34" t="s">
        <v>36</v>
      </c>
      <c r="AK23" s="34" t="s">
        <v>36</v>
      </c>
      <c r="AL23" s="34" t="s">
        <v>36</v>
      </c>
      <c r="AM23" s="34" t="s">
        <v>36</v>
      </c>
      <c r="AN23" s="35" t="s">
        <v>37</v>
      </c>
      <c r="AO23" s="34" t="s">
        <v>36</v>
      </c>
      <c r="AP23" s="34" t="s">
        <v>36</v>
      </c>
      <c r="AQ23" s="34" t="s">
        <v>36</v>
      </c>
      <c r="AR23" s="36" t="s">
        <v>37</v>
      </c>
      <c r="AS23" s="37" t="s">
        <v>11</v>
      </c>
      <c r="AT23" s="36" t="s">
        <v>37</v>
      </c>
      <c r="AU23" s="36" t="s">
        <v>37</v>
      </c>
      <c r="AV23" s="37" t="s">
        <v>11</v>
      </c>
      <c r="AW23" s="34" t="s">
        <v>36</v>
      </c>
      <c r="AX23" s="34" t="s">
        <v>36</v>
      </c>
      <c r="AY23" s="34"/>
      <c r="AZ23" s="34"/>
      <c r="BA23" s="34"/>
    </row>
    <row r="24" ht="15.75" customHeight="1">
      <c r="A24" s="38">
        <v>18.0</v>
      </c>
      <c r="B24" s="39" t="s">
        <v>63</v>
      </c>
      <c r="C24" s="40" t="s">
        <v>35</v>
      </c>
      <c r="D24" s="41" t="str">
        <f>IF(KEHADIRAN!$E$7:$E$106&gt;=2,"0",IF(KEHADIRAN!$E$7:$E$106&gt;=1,"50%",IF(KEHADIRAN!$E$7:$E$106&lt;=0,"100%")))</f>
        <v>100%</v>
      </c>
      <c r="E24" s="41">
        <f>F23+H23</f>
        <v>1</v>
      </c>
      <c r="F24" s="42" t="str">
        <f>IF(G24:G72&gt;=2,"0",IF(G24:G72&gt;=1,"0",IF(G24:G72&lt;=0,"50%")))</f>
        <v>50%</v>
      </c>
      <c r="G24" s="42"/>
      <c r="H24" s="42" t="str">
        <f>IF(I24:I72&gt;=2,"0",IF(I24:I72&gt;=1,"0",IF(I24:I72&lt;=0,"50%")))</f>
        <v>50%</v>
      </c>
      <c r="I24" s="43">
        <f>SUMIFS(COMPLAIN!$B$4:$B$231,COMPLAIN!$F$4:$F$231,ABSENSI!B24)</f>
        <v>0</v>
      </c>
      <c r="J24" s="44">
        <f>SUMIFS(KUNJUNGAN!$C$4:$C$800,KUNJUNGAN!$B$4:$B$800,ABSENSI!$B24)</f>
        <v>0</v>
      </c>
      <c r="K24" s="44">
        <f>SUMIFS(KUNJUNGAN!$J$4:$J$800,KUNJUNGAN!$B$4:$B$800,ABSENSI!$B24)</f>
        <v>0</v>
      </c>
      <c r="L24" s="45">
        <f>SUMIFS(LEMBUR!$F$4:$F$235,LEMBUR!$B$4:$B$235,ABSENSI!$B24)</f>
        <v>2</v>
      </c>
      <c r="M24" s="43">
        <f t="shared" si="2"/>
        <v>0</v>
      </c>
      <c r="N24" s="43">
        <f t="shared" si="3"/>
        <v>0</v>
      </c>
      <c r="O24" s="43">
        <f t="shared" si="4"/>
        <v>0</v>
      </c>
      <c r="P24" s="43">
        <f t="shared" si="5"/>
        <v>24</v>
      </c>
      <c r="Q24" s="43">
        <f t="shared" si="6"/>
        <v>24</v>
      </c>
      <c r="R24" s="43">
        <f t="shared" si="7"/>
        <v>0</v>
      </c>
      <c r="S24" s="43">
        <f t="shared" si="8"/>
        <v>0</v>
      </c>
      <c r="T24" s="43">
        <f t="shared" si="9"/>
        <v>0</v>
      </c>
      <c r="U24" s="43">
        <f t="shared" si="10"/>
        <v>3</v>
      </c>
      <c r="V24" s="43">
        <f t="shared" si="11"/>
        <v>4</v>
      </c>
      <c r="W24" s="46" t="s">
        <v>36</v>
      </c>
      <c r="X24" s="46" t="s">
        <v>36</v>
      </c>
      <c r="Y24" s="46" t="s">
        <v>36</v>
      </c>
      <c r="Z24" s="46" t="s">
        <v>36</v>
      </c>
      <c r="AA24" s="46" t="s">
        <v>36</v>
      </c>
      <c r="AB24" s="46" t="s">
        <v>36</v>
      </c>
      <c r="AC24" s="46" t="s">
        <v>36</v>
      </c>
      <c r="AD24" s="46" t="s">
        <v>36</v>
      </c>
      <c r="AE24" s="46" t="s">
        <v>36</v>
      </c>
      <c r="AF24" s="35" t="s">
        <v>37</v>
      </c>
      <c r="AG24" s="46" t="s">
        <v>36</v>
      </c>
      <c r="AH24" s="46" t="s">
        <v>36</v>
      </c>
      <c r="AI24" s="35" t="s">
        <v>37</v>
      </c>
      <c r="AJ24" s="46" t="s">
        <v>36</v>
      </c>
      <c r="AK24" s="46" t="s">
        <v>36</v>
      </c>
      <c r="AL24" s="46" t="s">
        <v>36</v>
      </c>
      <c r="AM24" s="35" t="s">
        <v>37</v>
      </c>
      <c r="AN24" s="46" t="s">
        <v>36</v>
      </c>
      <c r="AO24" s="46" t="s">
        <v>36</v>
      </c>
      <c r="AP24" s="46" t="s">
        <v>36</v>
      </c>
      <c r="AQ24" s="46" t="s">
        <v>36</v>
      </c>
      <c r="AR24" s="46" t="s">
        <v>36</v>
      </c>
      <c r="AS24" s="36" t="s">
        <v>37</v>
      </c>
      <c r="AT24" s="53" t="s">
        <v>36</v>
      </c>
      <c r="AU24" s="46" t="s">
        <v>36</v>
      </c>
      <c r="AV24" s="46" t="s">
        <v>36</v>
      </c>
      <c r="AW24" s="46" t="s">
        <v>36</v>
      </c>
      <c r="AX24" s="46" t="s">
        <v>36</v>
      </c>
      <c r="AY24" s="46"/>
      <c r="AZ24" s="46"/>
      <c r="BA24" s="46"/>
    </row>
    <row r="25" ht="15.75" customHeight="1">
      <c r="A25" s="26">
        <v>19.0</v>
      </c>
      <c r="B25" s="27" t="s">
        <v>64</v>
      </c>
      <c r="C25" s="28" t="s">
        <v>35</v>
      </c>
      <c r="D25" s="29" t="str">
        <f>IF(KEHADIRAN!$E$7:$E$106&gt;=2,"0",IF(KEHADIRAN!$E$7:$E$106&gt;=1,"50%",IF(KEHADIRAN!$E$7:$E$106&lt;=0,"100%")))</f>
        <v>100%</v>
      </c>
      <c r="E25" s="29">
        <f>F25+H25</f>
        <v>1</v>
      </c>
      <c r="F25" s="30" t="str">
        <f>IF(G25:G68&gt;=2,"0",IF(G25:G68&gt;=1,"0",IF(G25:G68&lt;=0,"50%")))</f>
        <v>50%</v>
      </c>
      <c r="G25" s="30">
        <f>SUMIFS(GROOMING!$B$4:$B$231,GROOMING!$C$4:$C$231,ABSENSI!B25)</f>
        <v>0</v>
      </c>
      <c r="H25" s="30" t="str">
        <f>IF(I25:I68&gt;=2,"0",IF(I25:I68&gt;=1,"0",IF(I25:I68&lt;=0,"50%")))</f>
        <v>50%</v>
      </c>
      <c r="I25" s="31">
        <f>SUMIFS(COMPLAIN!$B$4:$B$231,COMPLAIN!$F$4:$F$231,ABSENSI!B25)</f>
        <v>0</v>
      </c>
      <c r="J25" s="32">
        <f>SUMIFS(KUNJUNGAN!$C$4:$C$800,KUNJUNGAN!$B$4:$B$800,ABSENSI!$B25)</f>
        <v>0</v>
      </c>
      <c r="K25" s="32">
        <f>SUMIFS(KUNJUNGAN!$J$4:$J$800,KUNJUNGAN!$B$4:$B$800,ABSENSI!$B25)</f>
        <v>0</v>
      </c>
      <c r="L25" s="33">
        <f>SUMIFS(LEMBUR!$F$4:$F$235,LEMBUR!$B$4:$B$235,ABSENSI!$B25)</f>
        <v>1</v>
      </c>
      <c r="M25" s="31">
        <f t="shared" si="2"/>
        <v>0</v>
      </c>
      <c r="N25" s="31">
        <f t="shared" si="3"/>
        <v>0</v>
      </c>
      <c r="O25" s="31">
        <f t="shared" si="4"/>
        <v>0</v>
      </c>
      <c r="P25" s="31">
        <f t="shared" si="5"/>
        <v>22</v>
      </c>
      <c r="Q25" s="31">
        <f t="shared" si="6"/>
        <v>22</v>
      </c>
      <c r="R25" s="31">
        <f t="shared" si="7"/>
        <v>0</v>
      </c>
      <c r="S25" s="31">
        <f t="shared" si="8"/>
        <v>0</v>
      </c>
      <c r="T25" s="31">
        <f t="shared" si="9"/>
        <v>0</v>
      </c>
      <c r="U25" s="31">
        <f t="shared" si="10"/>
        <v>3</v>
      </c>
      <c r="V25" s="31">
        <f t="shared" si="11"/>
        <v>6</v>
      </c>
      <c r="W25" s="34" t="s">
        <v>36</v>
      </c>
      <c r="X25" s="35" t="s">
        <v>37</v>
      </c>
      <c r="Y25" s="34" t="s">
        <v>36</v>
      </c>
      <c r="Z25" s="34" t="s">
        <v>36</v>
      </c>
      <c r="AA25" s="35" t="s">
        <v>37</v>
      </c>
      <c r="AB25" s="34" t="s">
        <v>36</v>
      </c>
      <c r="AC25" s="34" t="s">
        <v>36</v>
      </c>
      <c r="AD25" s="34" t="s">
        <v>36</v>
      </c>
      <c r="AE25" s="34" t="s">
        <v>36</v>
      </c>
      <c r="AF25" s="34" t="s">
        <v>36</v>
      </c>
      <c r="AG25" s="34" t="s">
        <v>36</v>
      </c>
      <c r="AH25" s="35" t="s">
        <v>37</v>
      </c>
      <c r="AI25" s="34" t="s">
        <v>36</v>
      </c>
      <c r="AJ25" s="34" t="s">
        <v>36</v>
      </c>
      <c r="AK25" s="34" t="s">
        <v>36</v>
      </c>
      <c r="AL25" s="34" t="s">
        <v>36</v>
      </c>
      <c r="AM25" s="34" t="s">
        <v>36</v>
      </c>
      <c r="AN25" s="34" t="s">
        <v>36</v>
      </c>
      <c r="AO25" s="36" t="s">
        <v>37</v>
      </c>
      <c r="AP25" s="34" t="s">
        <v>36</v>
      </c>
      <c r="AQ25" s="34" t="s">
        <v>36</v>
      </c>
      <c r="AR25" s="34" t="s">
        <v>36</v>
      </c>
      <c r="AS25" s="34" t="s">
        <v>36</v>
      </c>
      <c r="AT25" s="34" t="s">
        <v>36</v>
      </c>
      <c r="AU25" s="34" t="s">
        <v>36</v>
      </c>
      <c r="AV25" s="36" t="s">
        <v>37</v>
      </c>
      <c r="AW25" s="36" t="s">
        <v>37</v>
      </c>
      <c r="AX25" s="34" t="s">
        <v>36</v>
      </c>
      <c r="AY25" s="34"/>
      <c r="AZ25" s="34"/>
      <c r="BA25" s="34"/>
    </row>
    <row r="26" ht="15.75" customHeight="1">
      <c r="A26" s="38">
        <v>20.0</v>
      </c>
      <c r="B26" s="39" t="s">
        <v>65</v>
      </c>
      <c r="C26" s="40" t="s">
        <v>35</v>
      </c>
      <c r="D26" s="41" t="str">
        <f>IF(KEHADIRAN!$E$7:$E$106&gt;=2,"0",IF(KEHADIRAN!$E$7:$E$106&gt;=1,"50%",IF(KEHADIRAN!$E$7:$E$106&lt;=0,"100%")))</f>
        <v>100%</v>
      </c>
      <c r="E26" s="41">
        <f>F25+H25</f>
        <v>1</v>
      </c>
      <c r="F26" s="42" t="str">
        <f>IF(G26:G74&gt;=2,"0",IF(G26:G74&gt;=1,"0",IF(G26:G74&lt;=0,"50%")))</f>
        <v>50%</v>
      </c>
      <c r="G26" s="42"/>
      <c r="H26" s="42" t="str">
        <f>IF(I26:I74&gt;=2,"0",IF(I26:I74&gt;=1,"0",IF(I26:I74&lt;=0,"50%")))</f>
        <v>50%</v>
      </c>
      <c r="I26" s="43">
        <f>SUMIFS(COMPLAIN!$B$4:$B$231,COMPLAIN!$F$4:$F$231,ABSENSI!B26)</f>
        <v>0</v>
      </c>
      <c r="J26" s="44">
        <f>SUMIFS(KUNJUNGAN!$C$4:$C$800,KUNJUNGAN!$B$4:$B$800,ABSENSI!$B26)</f>
        <v>0</v>
      </c>
      <c r="K26" s="44">
        <f>SUMIFS(KUNJUNGAN!$J$4:$J$800,KUNJUNGAN!$B$4:$B$800,ABSENSI!$B26)</f>
        <v>0</v>
      </c>
      <c r="L26" s="45">
        <f>SUMIFS(LEMBUR!$F$4:$F$235,LEMBUR!$B$4:$B$235,ABSENSI!$B26)</f>
        <v>2</v>
      </c>
      <c r="M26" s="43">
        <f t="shared" si="2"/>
        <v>0</v>
      </c>
      <c r="N26" s="43">
        <f t="shared" si="3"/>
        <v>0</v>
      </c>
      <c r="O26" s="43">
        <f t="shared" si="4"/>
        <v>0</v>
      </c>
      <c r="P26" s="43">
        <f t="shared" si="5"/>
        <v>22</v>
      </c>
      <c r="Q26" s="43">
        <f t="shared" si="6"/>
        <v>21</v>
      </c>
      <c r="R26" s="43">
        <f t="shared" si="7"/>
        <v>1</v>
      </c>
      <c r="S26" s="43">
        <f t="shared" si="8"/>
        <v>0</v>
      </c>
      <c r="T26" s="43">
        <f t="shared" si="9"/>
        <v>1</v>
      </c>
      <c r="U26" s="43">
        <f t="shared" si="10"/>
        <v>3</v>
      </c>
      <c r="V26" s="43">
        <f t="shared" si="11"/>
        <v>5</v>
      </c>
      <c r="W26" s="35" t="s">
        <v>37</v>
      </c>
      <c r="X26" s="46" t="s">
        <v>36</v>
      </c>
      <c r="Y26" s="46" t="s">
        <v>36</v>
      </c>
      <c r="Z26" s="46" t="s">
        <v>36</v>
      </c>
      <c r="AA26" s="48" t="s">
        <v>12</v>
      </c>
      <c r="AB26" s="46" t="s">
        <v>36</v>
      </c>
      <c r="AC26" s="46" t="s">
        <v>36</v>
      </c>
      <c r="AD26" s="46" t="s">
        <v>36</v>
      </c>
      <c r="AE26" s="35" t="s">
        <v>37</v>
      </c>
      <c r="AF26" s="46" t="s">
        <v>36</v>
      </c>
      <c r="AG26" s="46" t="s">
        <v>36</v>
      </c>
      <c r="AH26" s="35" t="s">
        <v>37</v>
      </c>
      <c r="AI26" s="46" t="s">
        <v>36</v>
      </c>
      <c r="AJ26" s="46" t="s">
        <v>36</v>
      </c>
      <c r="AK26" s="46" t="s">
        <v>36</v>
      </c>
      <c r="AL26" s="46" t="s">
        <v>36</v>
      </c>
      <c r="AM26" s="46" t="s">
        <v>36</v>
      </c>
      <c r="AN26" s="49" t="s">
        <v>10</v>
      </c>
      <c r="AO26" s="46" t="s">
        <v>36</v>
      </c>
      <c r="AP26" s="46" t="s">
        <v>36</v>
      </c>
      <c r="AQ26" s="46" t="s">
        <v>36</v>
      </c>
      <c r="AR26" s="46" t="s">
        <v>36</v>
      </c>
      <c r="AS26" s="46" t="s">
        <v>36</v>
      </c>
      <c r="AT26" s="36" t="s">
        <v>37</v>
      </c>
      <c r="AU26" s="36" t="s">
        <v>37</v>
      </c>
      <c r="AV26" s="46" t="s">
        <v>36</v>
      </c>
      <c r="AW26" s="46" t="s">
        <v>36</v>
      </c>
      <c r="AX26" s="46" t="s">
        <v>36</v>
      </c>
      <c r="AY26" s="46"/>
      <c r="AZ26" s="46"/>
      <c r="BA26" s="46"/>
    </row>
    <row r="27" ht="15.75" customHeight="1">
      <c r="A27" s="26">
        <v>21.0</v>
      </c>
      <c r="B27" s="27" t="s">
        <v>66</v>
      </c>
      <c r="C27" s="28" t="s">
        <v>35</v>
      </c>
      <c r="D27" s="29" t="str">
        <f>IF(KEHADIRAN!$E$7:$E$106&gt;=2,"0",IF(KEHADIRAN!$E$7:$E$106&gt;=1,"50%",IF(KEHADIRAN!$E$7:$E$106&lt;=0,"100%")))</f>
        <v>100%</v>
      </c>
      <c r="E27" s="29">
        <f>F27+H27</f>
        <v>1</v>
      </c>
      <c r="F27" s="30" t="str">
        <f>IF(G27:G70&gt;=2,"0",IF(G27:G70&gt;=1,"0",IF(G27:G70&lt;=0,"50%")))</f>
        <v>50%</v>
      </c>
      <c r="G27" s="30">
        <f>SUMIFS(GROOMING!$B$4:$B$231,GROOMING!$C$4:$C$231,ABSENSI!B27)</f>
        <v>0</v>
      </c>
      <c r="H27" s="30" t="str">
        <f>IF(I27:I70&gt;=2,"0",IF(I27:I70&gt;=1,"0",IF(I27:I70&lt;=0,"50%")))</f>
        <v>50%</v>
      </c>
      <c r="I27" s="31">
        <f>SUMIFS(COMPLAIN!$B$4:$B$231,COMPLAIN!$F$4:$F$231,ABSENSI!B27)</f>
        <v>0</v>
      </c>
      <c r="J27" s="32">
        <f>SUMIFS(KUNJUNGAN!$C$4:$C$800,KUNJUNGAN!$B$4:$B$800,ABSENSI!$B27)</f>
        <v>0</v>
      </c>
      <c r="K27" s="32">
        <f>SUMIFS(KUNJUNGAN!$J$4:$J$800,KUNJUNGAN!$B$4:$B$800,ABSENSI!$B27)</f>
        <v>0</v>
      </c>
      <c r="L27" s="33">
        <f>SUMIFS(LEMBUR!$F$4:$F$235,LEMBUR!$B$4:$B$235,ABSENSI!$B27)</f>
        <v>0</v>
      </c>
      <c r="M27" s="31">
        <f t="shared" si="2"/>
        <v>0</v>
      </c>
      <c r="N27" s="31">
        <f t="shared" si="3"/>
        <v>0</v>
      </c>
      <c r="O27" s="31">
        <f t="shared" si="4"/>
        <v>0</v>
      </c>
      <c r="P27" s="31">
        <f t="shared" si="5"/>
        <v>23</v>
      </c>
      <c r="Q27" s="31">
        <f t="shared" si="6"/>
        <v>22</v>
      </c>
      <c r="R27" s="31">
        <f t="shared" si="7"/>
        <v>0</v>
      </c>
      <c r="S27" s="31">
        <f t="shared" si="8"/>
        <v>1</v>
      </c>
      <c r="T27" s="31">
        <f t="shared" si="9"/>
        <v>0</v>
      </c>
      <c r="U27" s="31">
        <f t="shared" si="10"/>
        <v>3</v>
      </c>
      <c r="V27" s="31">
        <f t="shared" si="11"/>
        <v>5</v>
      </c>
      <c r="W27" s="34" t="s">
        <v>36</v>
      </c>
      <c r="X27" s="34" t="s">
        <v>36</v>
      </c>
      <c r="Y27" s="54" t="s">
        <v>37</v>
      </c>
      <c r="Z27" s="35" t="s">
        <v>37</v>
      </c>
      <c r="AA27" s="34" t="s">
        <v>36</v>
      </c>
      <c r="AB27" s="34" t="s">
        <v>36</v>
      </c>
      <c r="AC27" s="34" t="s">
        <v>36</v>
      </c>
      <c r="AD27" s="34" t="s">
        <v>36</v>
      </c>
      <c r="AE27" s="34" t="s">
        <v>36</v>
      </c>
      <c r="AF27" s="34" t="s">
        <v>36</v>
      </c>
      <c r="AG27" s="35" t="s">
        <v>37</v>
      </c>
      <c r="AH27" s="34" t="s">
        <v>36</v>
      </c>
      <c r="AI27" s="34" t="s">
        <v>36</v>
      </c>
      <c r="AJ27" s="34" t="s">
        <v>36</v>
      </c>
      <c r="AK27" s="34" t="s">
        <v>36</v>
      </c>
      <c r="AL27" s="34" t="s">
        <v>36</v>
      </c>
      <c r="AM27" s="34" t="s">
        <v>36</v>
      </c>
      <c r="AN27" s="35" t="s">
        <v>37</v>
      </c>
      <c r="AO27" s="37" t="s">
        <v>11</v>
      </c>
      <c r="AP27" s="34" t="s">
        <v>36</v>
      </c>
      <c r="AQ27" s="34" t="s">
        <v>36</v>
      </c>
      <c r="AR27" s="34" t="s">
        <v>36</v>
      </c>
      <c r="AS27" s="34" t="s">
        <v>36</v>
      </c>
      <c r="AT27" s="34" t="s">
        <v>36</v>
      </c>
      <c r="AU27" s="34" t="s">
        <v>36</v>
      </c>
      <c r="AV27" s="34" t="s">
        <v>36</v>
      </c>
      <c r="AW27" s="36" t="s">
        <v>37</v>
      </c>
      <c r="AX27" s="34" t="s">
        <v>36</v>
      </c>
      <c r="AY27" s="34"/>
      <c r="AZ27" s="34"/>
      <c r="BA27" s="34"/>
    </row>
    <row r="28" ht="15.75" customHeight="1">
      <c r="A28" s="38">
        <v>22.0</v>
      </c>
      <c r="B28" s="39" t="s">
        <v>67</v>
      </c>
      <c r="C28" s="40" t="s">
        <v>68</v>
      </c>
      <c r="D28" s="41" t="str">
        <f>IF(KEHADIRAN!$E$7:$E$106&gt;=2,"0",IF(KEHADIRAN!$E$7:$E$106&gt;=1,"50%",IF(KEHADIRAN!$E$7:$E$106&lt;=0,"100%")))</f>
        <v>100%</v>
      </c>
      <c r="E28" s="41">
        <f>F27+H27</f>
        <v>1</v>
      </c>
      <c r="F28" s="42" t="str">
        <f>IF(G28:G76&gt;=2,"0",IF(G28:G76&gt;=1,"0",IF(G28:G76&lt;=0,"50%")))</f>
        <v>50%</v>
      </c>
      <c r="G28" s="42"/>
      <c r="H28" s="42" t="str">
        <f>IF(I28:I76&gt;=2,"0",IF(I28:I76&gt;=1,"0",IF(I28:I76&lt;=0,"50%")))</f>
        <v>50%</v>
      </c>
      <c r="I28" s="43">
        <f>SUMIFS(COMPLAIN!$B$4:$B$231,COMPLAIN!$F$4:$F$231,ABSENSI!B28)</f>
        <v>0</v>
      </c>
      <c r="J28" s="44">
        <f>SUMIFS(KUNJUNGAN!$C$4:$C$800,KUNJUNGAN!$B$4:$B$800,ABSENSI!$B28)</f>
        <v>0</v>
      </c>
      <c r="K28" s="44">
        <f>SUMIFS(KUNJUNGAN!$J$4:$J$800,KUNJUNGAN!$B$4:$B$800,ABSENSI!$B28)</f>
        <v>0</v>
      </c>
      <c r="L28" s="45">
        <f>SUMIFS(LEMBUR!$F$4:$F$235,LEMBUR!$B$4:$B$235,ABSENSI!$B28)</f>
        <v>5.5</v>
      </c>
      <c r="M28" s="43">
        <f t="shared" si="2"/>
        <v>0</v>
      </c>
      <c r="N28" s="43">
        <f t="shared" si="3"/>
        <v>0</v>
      </c>
      <c r="O28" s="43">
        <f t="shared" si="4"/>
        <v>0</v>
      </c>
      <c r="P28" s="43">
        <f t="shared" si="5"/>
        <v>21</v>
      </c>
      <c r="Q28" s="43">
        <f t="shared" si="6"/>
        <v>18</v>
      </c>
      <c r="R28" s="43">
        <f t="shared" si="7"/>
        <v>1</v>
      </c>
      <c r="S28" s="43">
        <f t="shared" si="8"/>
        <v>2</v>
      </c>
      <c r="T28" s="43">
        <f t="shared" si="9"/>
        <v>1</v>
      </c>
      <c r="U28" s="43">
        <f t="shared" si="10"/>
        <v>3</v>
      </c>
      <c r="V28" s="43">
        <f t="shared" si="11"/>
        <v>6</v>
      </c>
      <c r="W28" s="37" t="s">
        <v>11</v>
      </c>
      <c r="X28" s="35" t="s">
        <v>37</v>
      </c>
      <c r="Y28" s="55" t="s">
        <v>11</v>
      </c>
      <c r="Z28" s="35" t="s">
        <v>37</v>
      </c>
      <c r="AA28" s="46" t="s">
        <v>36</v>
      </c>
      <c r="AB28" s="46" t="s">
        <v>36</v>
      </c>
      <c r="AC28" s="46" t="s">
        <v>36</v>
      </c>
      <c r="AD28" s="46" t="s">
        <v>36</v>
      </c>
      <c r="AE28" s="46" t="s">
        <v>36</v>
      </c>
      <c r="AF28" s="35" t="s">
        <v>37</v>
      </c>
      <c r="AG28" s="48" t="s">
        <v>12</v>
      </c>
      <c r="AH28" s="49" t="s">
        <v>10</v>
      </c>
      <c r="AI28" s="46" t="s">
        <v>36</v>
      </c>
      <c r="AJ28" s="46" t="s">
        <v>36</v>
      </c>
      <c r="AK28" s="46" t="s">
        <v>36</v>
      </c>
      <c r="AL28" s="46" t="s">
        <v>36</v>
      </c>
      <c r="AM28" s="35" t="s">
        <v>37</v>
      </c>
      <c r="AN28" s="46" t="s">
        <v>36</v>
      </c>
      <c r="AO28" s="46" t="s">
        <v>36</v>
      </c>
      <c r="AP28" s="46" t="s">
        <v>36</v>
      </c>
      <c r="AQ28" s="46" t="s">
        <v>36</v>
      </c>
      <c r="AR28" s="46" t="s">
        <v>36</v>
      </c>
      <c r="AS28" s="46" t="s">
        <v>36</v>
      </c>
      <c r="AT28" s="36" t="s">
        <v>37</v>
      </c>
      <c r="AU28" s="36" t="s">
        <v>37</v>
      </c>
      <c r="AV28" s="46" t="s">
        <v>36</v>
      </c>
      <c r="AW28" s="46" t="s">
        <v>36</v>
      </c>
      <c r="AX28" s="46" t="s">
        <v>36</v>
      </c>
      <c r="AY28" s="46"/>
      <c r="AZ28" s="46"/>
      <c r="BA28" s="46"/>
    </row>
    <row r="29" ht="15.75" customHeight="1">
      <c r="A29" s="26">
        <v>23.0</v>
      </c>
      <c r="B29" s="27" t="s">
        <v>69</v>
      </c>
      <c r="C29" s="28" t="s">
        <v>35</v>
      </c>
      <c r="D29" s="29" t="str">
        <f>IF(KEHADIRAN!$E$7:$E$106&gt;=2,"0",IF(KEHADIRAN!$E$7:$E$106&gt;=1,"50%",IF(KEHADIRAN!$E$7:$E$106&lt;=0,"100%")))</f>
        <v>100%</v>
      </c>
      <c r="E29" s="29">
        <f>F29+H29</f>
        <v>1</v>
      </c>
      <c r="F29" s="30" t="str">
        <f>IF(G29:G72&gt;=2,"0",IF(G29:G72&gt;=1,"0",IF(G29:G72&lt;=0,"50%")))</f>
        <v>50%</v>
      </c>
      <c r="G29" s="30">
        <f>SUMIFS(GROOMING!$B$4:$B$231,GROOMING!$C$4:$C$231,ABSENSI!B29)</f>
        <v>0</v>
      </c>
      <c r="H29" s="30" t="str">
        <f>IF(I29:I72&gt;=2,"0",IF(I29:I72&gt;=1,"0",IF(I29:I72&lt;=0,"50%")))</f>
        <v>50%</v>
      </c>
      <c r="I29" s="31">
        <f>SUMIFS(COMPLAIN!$B$4:$B$231,COMPLAIN!$F$4:$F$231,ABSENSI!B29)</f>
        <v>0</v>
      </c>
      <c r="J29" s="32">
        <f>SUMIFS(KUNJUNGAN!$C$4:$C$800,KUNJUNGAN!$B$4:$B$800,ABSENSI!$B29)</f>
        <v>0</v>
      </c>
      <c r="K29" s="32">
        <f>SUMIFS(KUNJUNGAN!$J$4:$J$800,KUNJUNGAN!$B$4:$B$800,ABSENSI!$B29)</f>
        <v>0</v>
      </c>
      <c r="L29" s="33">
        <f>SUMIFS(LEMBUR!$F$4:$F$235,LEMBUR!$B$4:$B$235,ABSENSI!$B29)</f>
        <v>1</v>
      </c>
      <c r="M29" s="31">
        <f t="shared" si="2"/>
        <v>0</v>
      </c>
      <c r="N29" s="31">
        <f t="shared" si="3"/>
        <v>0</v>
      </c>
      <c r="O29" s="31">
        <f t="shared" si="4"/>
        <v>0</v>
      </c>
      <c r="P29" s="31">
        <f t="shared" si="5"/>
        <v>22</v>
      </c>
      <c r="Q29" s="31">
        <f t="shared" si="6"/>
        <v>21</v>
      </c>
      <c r="R29" s="31">
        <f t="shared" si="7"/>
        <v>0</v>
      </c>
      <c r="S29" s="31">
        <f t="shared" si="8"/>
        <v>1</v>
      </c>
      <c r="T29" s="31">
        <f t="shared" si="9"/>
        <v>0</v>
      </c>
      <c r="U29" s="31">
        <f t="shared" si="10"/>
        <v>3</v>
      </c>
      <c r="V29" s="31">
        <f t="shared" si="11"/>
        <v>6</v>
      </c>
      <c r="W29" s="37" t="s">
        <v>11</v>
      </c>
      <c r="X29" s="34" t="s">
        <v>36</v>
      </c>
      <c r="Y29" s="34" t="s">
        <v>36</v>
      </c>
      <c r="Z29" s="34" t="s">
        <v>36</v>
      </c>
      <c r="AA29" s="34" t="s">
        <v>36</v>
      </c>
      <c r="AB29" s="35" t="s">
        <v>37</v>
      </c>
      <c r="AC29" s="34" t="s">
        <v>36</v>
      </c>
      <c r="AD29" s="34" t="s">
        <v>36</v>
      </c>
      <c r="AE29" s="34" t="s">
        <v>36</v>
      </c>
      <c r="AF29" s="34" t="s">
        <v>36</v>
      </c>
      <c r="AG29" s="34" t="s">
        <v>36</v>
      </c>
      <c r="AH29" s="34" t="s">
        <v>36</v>
      </c>
      <c r="AI29" s="35" t="s">
        <v>37</v>
      </c>
      <c r="AJ29" s="34" t="s">
        <v>36</v>
      </c>
      <c r="AK29" s="34" t="s">
        <v>36</v>
      </c>
      <c r="AL29" s="35" t="s">
        <v>37</v>
      </c>
      <c r="AM29" s="34" t="s">
        <v>36</v>
      </c>
      <c r="AN29" s="34" t="s">
        <v>36</v>
      </c>
      <c r="AO29" s="34" t="s">
        <v>36</v>
      </c>
      <c r="AP29" s="36" t="s">
        <v>37</v>
      </c>
      <c r="AQ29" s="34" t="s">
        <v>36</v>
      </c>
      <c r="AR29" s="36" t="s">
        <v>37</v>
      </c>
      <c r="AS29" s="36" t="s">
        <v>37</v>
      </c>
      <c r="AT29" s="53" t="s">
        <v>36</v>
      </c>
      <c r="AU29" s="34" t="s">
        <v>36</v>
      </c>
      <c r="AV29" s="34" t="s">
        <v>36</v>
      </c>
      <c r="AW29" s="34" t="s">
        <v>36</v>
      </c>
      <c r="AX29" s="34" t="s">
        <v>36</v>
      </c>
      <c r="AY29" s="34"/>
      <c r="AZ29" s="34"/>
      <c r="BA29" s="34"/>
    </row>
    <row r="30" ht="15.75" customHeight="1">
      <c r="A30" s="38">
        <v>24.0</v>
      </c>
      <c r="B30" s="39" t="s">
        <v>70</v>
      </c>
      <c r="C30" s="40" t="s">
        <v>35</v>
      </c>
      <c r="D30" s="41" t="str">
        <f>IF(KEHADIRAN!$E$7:$E$106&gt;=2,"0",IF(KEHADIRAN!$E$7:$E$106&gt;=1,"50%",IF(KEHADIRAN!$E$7:$E$106&lt;=0,"100%")))</f>
        <v>100%</v>
      </c>
      <c r="E30" s="41">
        <f>F29+H29</f>
        <v>1</v>
      </c>
      <c r="F30" s="42" t="str">
        <f>IF(G30:G78&gt;=2,"0",IF(G30:G78&gt;=1,"0",IF(G30:G78&lt;=0,"50%")))</f>
        <v>50%</v>
      </c>
      <c r="G30" s="42"/>
      <c r="H30" s="42" t="str">
        <f>IF(I30:I78&gt;=2,"0",IF(I30:I78&gt;=1,"0",IF(I30:I78&lt;=0,"50%")))</f>
        <v>50%</v>
      </c>
      <c r="I30" s="43">
        <f>SUMIFS(COMPLAIN!$B$4:$B$231,COMPLAIN!$F$4:$F$231,ABSENSI!B30)</f>
        <v>0</v>
      </c>
      <c r="J30" s="44">
        <f>SUMIFS(KUNJUNGAN!$C$4:$C$800,KUNJUNGAN!$B$4:$B$800,ABSENSI!$B30)</f>
        <v>0</v>
      </c>
      <c r="K30" s="44">
        <f>SUMIFS(KUNJUNGAN!$J$4:$J$800,KUNJUNGAN!$B$4:$B$800,ABSENSI!$B30)</f>
        <v>0</v>
      </c>
      <c r="L30" s="45">
        <f>SUMIFS(LEMBUR!$F$4:$F$235,LEMBUR!$B$4:$B$235,ABSENSI!$B30)</f>
        <v>0</v>
      </c>
      <c r="M30" s="43">
        <f t="shared" si="2"/>
        <v>0</v>
      </c>
      <c r="N30" s="43">
        <f t="shared" si="3"/>
        <v>0</v>
      </c>
      <c r="O30" s="43">
        <f t="shared" si="4"/>
        <v>0</v>
      </c>
      <c r="P30" s="43">
        <f t="shared" si="5"/>
        <v>24</v>
      </c>
      <c r="Q30" s="43">
        <f t="shared" si="6"/>
        <v>24</v>
      </c>
      <c r="R30" s="43">
        <f t="shared" si="7"/>
        <v>0</v>
      </c>
      <c r="S30" s="43">
        <f t="shared" si="8"/>
        <v>0</v>
      </c>
      <c r="T30" s="43">
        <f t="shared" si="9"/>
        <v>0</v>
      </c>
      <c r="U30" s="43">
        <f t="shared" si="10"/>
        <v>3</v>
      </c>
      <c r="V30" s="43">
        <f t="shared" si="11"/>
        <v>4</v>
      </c>
      <c r="W30" s="46" t="s">
        <v>36</v>
      </c>
      <c r="X30" s="46" t="s">
        <v>36</v>
      </c>
      <c r="Y30" s="46" t="s">
        <v>36</v>
      </c>
      <c r="Z30" s="46" t="s">
        <v>36</v>
      </c>
      <c r="AA30" s="46" t="s">
        <v>36</v>
      </c>
      <c r="AB30" s="35" t="s">
        <v>37</v>
      </c>
      <c r="AC30" s="46" t="s">
        <v>36</v>
      </c>
      <c r="AD30" s="46" t="s">
        <v>36</v>
      </c>
      <c r="AE30" s="46" t="s">
        <v>36</v>
      </c>
      <c r="AF30" s="46" t="s">
        <v>36</v>
      </c>
      <c r="AG30" s="46" t="s">
        <v>36</v>
      </c>
      <c r="AH30" s="46" t="s">
        <v>36</v>
      </c>
      <c r="AI30" s="35" t="s">
        <v>37</v>
      </c>
      <c r="AJ30" s="46" t="s">
        <v>36</v>
      </c>
      <c r="AK30" s="46" t="s">
        <v>36</v>
      </c>
      <c r="AL30" s="46" t="s">
        <v>36</v>
      </c>
      <c r="AM30" s="46" t="s">
        <v>36</v>
      </c>
      <c r="AN30" s="46" t="s">
        <v>36</v>
      </c>
      <c r="AO30" s="46" t="s">
        <v>36</v>
      </c>
      <c r="AP30" s="36" t="s">
        <v>37</v>
      </c>
      <c r="AQ30" s="46" t="s">
        <v>36</v>
      </c>
      <c r="AR30" s="46" t="s">
        <v>36</v>
      </c>
      <c r="AS30" s="46" t="s">
        <v>36</v>
      </c>
      <c r="AT30" s="46" t="s">
        <v>36</v>
      </c>
      <c r="AU30" s="46" t="s">
        <v>36</v>
      </c>
      <c r="AV30" s="46" t="s">
        <v>36</v>
      </c>
      <c r="AW30" s="46" t="s">
        <v>36</v>
      </c>
      <c r="AX30" s="36" t="s">
        <v>37</v>
      </c>
      <c r="AY30" s="46"/>
      <c r="AZ30" s="46"/>
      <c r="BA30" s="46"/>
    </row>
    <row r="31" ht="15.75" customHeight="1">
      <c r="A31" s="26">
        <v>25.0</v>
      </c>
      <c r="B31" s="27" t="s">
        <v>71</v>
      </c>
      <c r="C31" s="28" t="s">
        <v>72</v>
      </c>
      <c r="D31" s="29" t="str">
        <f>IF(KEHADIRAN!$E$7:$E$106&gt;=2,"0",IF(KEHADIRAN!$E$7:$E$106&gt;=1,"50%",IF(KEHADIRAN!$E$7:$E$106&lt;=0,"100%")))</f>
        <v>100%</v>
      </c>
      <c r="E31" s="29">
        <f>F31+H31</f>
        <v>1</v>
      </c>
      <c r="F31" s="30" t="str">
        <f>IF(G31:G74&gt;=2,"0",IF(G31:G74&gt;=1,"0",IF(G31:G74&lt;=0,"50%")))</f>
        <v>50%</v>
      </c>
      <c r="G31" s="30">
        <f>SUMIFS(GROOMING!$B$4:$B$231,GROOMING!$C$4:$C$231,ABSENSI!B31)</f>
        <v>0</v>
      </c>
      <c r="H31" s="30" t="str">
        <f>IF(I31:I74&gt;=2,"0",IF(I31:I74&gt;=1,"0",IF(I31:I74&lt;=0,"50%")))</f>
        <v>50%</v>
      </c>
      <c r="I31" s="31">
        <f>SUMIFS(COMPLAIN!$B$4:$B$231,COMPLAIN!$F$4:$F$231,ABSENSI!B31)</f>
        <v>0</v>
      </c>
      <c r="J31" s="32">
        <f>SUMIFS(KUNJUNGAN!$C$4:$C$800,KUNJUNGAN!$B$4:$B$800,ABSENSI!$B31)</f>
        <v>0</v>
      </c>
      <c r="K31" s="32">
        <f>SUMIFS(KUNJUNGAN!$J$4:$J$800,KUNJUNGAN!$B$4:$B$800,ABSENSI!$B31)</f>
        <v>0</v>
      </c>
      <c r="L31" s="33">
        <f>SUMIFS(LEMBUR!$F$4:$F$235,LEMBUR!$B$4:$B$235,ABSENSI!$B31)</f>
        <v>34</v>
      </c>
      <c r="M31" s="31">
        <f t="shared" si="2"/>
        <v>0</v>
      </c>
      <c r="N31" s="31">
        <f t="shared" si="3"/>
        <v>0</v>
      </c>
      <c r="O31" s="31">
        <f t="shared" si="4"/>
        <v>0</v>
      </c>
      <c r="P31" s="31">
        <f t="shared" si="5"/>
        <v>24</v>
      </c>
      <c r="Q31" s="31">
        <f t="shared" si="6"/>
        <v>21</v>
      </c>
      <c r="R31" s="31">
        <f t="shared" si="7"/>
        <v>0</v>
      </c>
      <c r="S31" s="31">
        <f t="shared" si="8"/>
        <v>3</v>
      </c>
      <c r="T31" s="31">
        <f t="shared" si="9"/>
        <v>0</v>
      </c>
      <c r="U31" s="31">
        <f t="shared" si="10"/>
        <v>3</v>
      </c>
      <c r="V31" s="31">
        <f t="shared" si="11"/>
        <v>4</v>
      </c>
      <c r="W31" s="34" t="s">
        <v>36</v>
      </c>
      <c r="X31" s="34" t="s">
        <v>36</v>
      </c>
      <c r="Y31" s="34" t="s">
        <v>36</v>
      </c>
      <c r="Z31" s="35" t="s">
        <v>37</v>
      </c>
      <c r="AA31" s="34" t="s">
        <v>36</v>
      </c>
      <c r="AB31" s="34" t="s">
        <v>36</v>
      </c>
      <c r="AC31" s="34" t="s">
        <v>36</v>
      </c>
      <c r="AD31" s="34" t="s">
        <v>36</v>
      </c>
      <c r="AE31" s="34" t="s">
        <v>36</v>
      </c>
      <c r="AF31" s="34" t="s">
        <v>36</v>
      </c>
      <c r="AG31" s="35" t="s">
        <v>37</v>
      </c>
      <c r="AH31" s="34" t="s">
        <v>36</v>
      </c>
      <c r="AI31" s="34" t="s">
        <v>36</v>
      </c>
      <c r="AJ31" s="34" t="s">
        <v>36</v>
      </c>
      <c r="AK31" s="34" t="s">
        <v>36</v>
      </c>
      <c r="AL31" s="34" t="s">
        <v>36</v>
      </c>
      <c r="AM31" s="34" t="s">
        <v>36</v>
      </c>
      <c r="AN31" s="34" t="s">
        <v>36</v>
      </c>
      <c r="AO31" s="34" t="s">
        <v>36</v>
      </c>
      <c r="AP31" s="34" t="s">
        <v>36</v>
      </c>
      <c r="AQ31" s="34" t="s">
        <v>36</v>
      </c>
      <c r="AR31" s="34" t="s">
        <v>36</v>
      </c>
      <c r="AS31" s="34" t="s">
        <v>36</v>
      </c>
      <c r="AT31" s="36" t="s">
        <v>37</v>
      </c>
      <c r="AU31" s="36" t="s">
        <v>37</v>
      </c>
      <c r="AV31" s="37" t="s">
        <v>11</v>
      </c>
      <c r="AW31" s="37" t="s">
        <v>11</v>
      </c>
      <c r="AX31" s="37" t="s">
        <v>11</v>
      </c>
      <c r="AY31" s="34"/>
      <c r="AZ31" s="34"/>
      <c r="BA31" s="34"/>
    </row>
    <row r="32" ht="15.75" customHeight="1">
      <c r="A32" s="38">
        <v>26.0</v>
      </c>
      <c r="B32" s="39" t="s">
        <v>73</v>
      </c>
      <c r="C32" s="40" t="s">
        <v>41</v>
      </c>
      <c r="D32" s="41" t="str">
        <f>IF(KEHADIRAN!$E$7:$E$106&gt;=2,"0",IF(KEHADIRAN!$E$7:$E$106&gt;=1,"50%",IF(KEHADIRAN!$E$7:$E$106&lt;=0,"100%")))</f>
        <v>100%</v>
      </c>
      <c r="E32" s="41">
        <f>F31+H31</f>
        <v>1</v>
      </c>
      <c r="F32" s="42" t="str">
        <f>IF(G32:G80&gt;=2,"0",IF(G32:G80&gt;=1,"0",IF(G32:G80&lt;=0,"50%")))</f>
        <v>50%</v>
      </c>
      <c r="G32" s="42"/>
      <c r="H32" s="42" t="str">
        <f>IF(I32:I80&gt;=2,"0",IF(I32:I80&gt;=1,"0",IF(I32:I80&lt;=0,"50%")))</f>
        <v>50%</v>
      </c>
      <c r="I32" s="43">
        <f>SUMIFS(COMPLAIN!$B$4:$B$231,COMPLAIN!$F$4:$F$231,ABSENSI!B32)</f>
        <v>0</v>
      </c>
      <c r="J32" s="44">
        <f>SUMIFS(KUNJUNGAN!$C$4:$C$800,KUNJUNGAN!$B$4:$B$800,ABSENSI!$B32)</f>
        <v>60</v>
      </c>
      <c r="K32" s="44">
        <f>SUMIFS(KUNJUNGAN!$J$4:$J$800,KUNJUNGAN!$B$4:$B$800,ABSENSI!$B32)</f>
        <v>7589</v>
      </c>
      <c r="L32" s="45">
        <f>SUMIFS(LEMBUR!$F$4:$F$235,LEMBUR!$B$4:$B$235,ABSENSI!$B32)</f>
        <v>0</v>
      </c>
      <c r="M32" s="43">
        <f t="shared" si="2"/>
        <v>0</v>
      </c>
      <c r="N32" s="43">
        <f t="shared" si="3"/>
        <v>0</v>
      </c>
      <c r="O32" s="43">
        <f t="shared" si="4"/>
        <v>0</v>
      </c>
      <c r="P32" s="43">
        <f t="shared" si="5"/>
        <v>22</v>
      </c>
      <c r="Q32" s="43">
        <f t="shared" si="6"/>
        <v>21</v>
      </c>
      <c r="R32" s="43">
        <f t="shared" si="7"/>
        <v>0</v>
      </c>
      <c r="S32" s="43">
        <f t="shared" si="8"/>
        <v>1</v>
      </c>
      <c r="T32" s="43">
        <f t="shared" si="9"/>
        <v>0</v>
      </c>
      <c r="U32" s="43">
        <f t="shared" si="10"/>
        <v>3</v>
      </c>
      <c r="V32" s="43">
        <f t="shared" si="11"/>
        <v>6</v>
      </c>
      <c r="W32" s="46" t="s">
        <v>36</v>
      </c>
      <c r="X32" s="46" t="s">
        <v>36</v>
      </c>
      <c r="Y32" s="46" t="s">
        <v>36</v>
      </c>
      <c r="Z32" s="35" t="s">
        <v>37</v>
      </c>
      <c r="AA32" s="46" t="s">
        <v>36</v>
      </c>
      <c r="AB32" s="46" t="s">
        <v>36</v>
      </c>
      <c r="AC32" s="46" t="s">
        <v>36</v>
      </c>
      <c r="AD32" s="46" t="s">
        <v>36</v>
      </c>
      <c r="AE32" s="46" t="s">
        <v>36</v>
      </c>
      <c r="AF32" s="46" t="s">
        <v>36</v>
      </c>
      <c r="AG32" s="35" t="s">
        <v>37</v>
      </c>
      <c r="AH32" s="53" t="s">
        <v>36</v>
      </c>
      <c r="AI32" s="46" t="s">
        <v>36</v>
      </c>
      <c r="AJ32" s="46" t="s">
        <v>36</v>
      </c>
      <c r="AK32" s="46" t="s">
        <v>36</v>
      </c>
      <c r="AL32" s="46" t="s">
        <v>36</v>
      </c>
      <c r="AM32" s="46" t="s">
        <v>36</v>
      </c>
      <c r="AN32" s="35" t="s">
        <v>37</v>
      </c>
      <c r="AO32" s="46" t="s">
        <v>36</v>
      </c>
      <c r="AP32" s="46" t="s">
        <v>36</v>
      </c>
      <c r="AQ32" s="46" t="s">
        <v>36</v>
      </c>
      <c r="AR32" s="36" t="s">
        <v>37</v>
      </c>
      <c r="AS32" s="46" t="s">
        <v>36</v>
      </c>
      <c r="AT32" s="36" t="s">
        <v>37</v>
      </c>
      <c r="AU32" s="36" t="s">
        <v>37</v>
      </c>
      <c r="AV32" s="37" t="s">
        <v>11</v>
      </c>
      <c r="AW32" s="46" t="s">
        <v>36</v>
      </c>
      <c r="AX32" s="46" t="s">
        <v>36</v>
      </c>
      <c r="AY32" s="46"/>
      <c r="AZ32" s="46"/>
      <c r="BA32" s="46"/>
    </row>
    <row r="33" ht="15.75" customHeight="1">
      <c r="A33" s="26">
        <v>27.0</v>
      </c>
      <c r="B33" s="27" t="s">
        <v>74</v>
      </c>
      <c r="C33" s="28" t="s">
        <v>35</v>
      </c>
      <c r="D33" s="29" t="str">
        <f>IF(KEHADIRAN!$E$7:$E$106&gt;=2,"0",IF(KEHADIRAN!$E$7:$E$106&gt;=1,"50%",IF(KEHADIRAN!$E$7:$E$106&lt;=0,"100%")))</f>
        <v>100%</v>
      </c>
      <c r="E33" s="29">
        <f>F33+H33</f>
        <v>1</v>
      </c>
      <c r="F33" s="30" t="str">
        <f>IF(G33:G76&gt;=2,"0",IF(G33:G76&gt;=1,"0",IF(G33:G76&lt;=0,"50%")))</f>
        <v>50%</v>
      </c>
      <c r="G33" s="30">
        <f>SUMIFS(GROOMING!$B$4:$B$231,GROOMING!$C$4:$C$231,ABSENSI!B33)</f>
        <v>0</v>
      </c>
      <c r="H33" s="30" t="str">
        <f>IF(I33:I76&gt;=2,"0",IF(I33:I76&gt;=1,"0",IF(I33:I76&lt;=0,"50%")))</f>
        <v>50%</v>
      </c>
      <c r="I33" s="31">
        <f>SUMIFS(COMPLAIN!$B$4:$B$231,COMPLAIN!$F$4:$F$231,ABSENSI!B33)</f>
        <v>0</v>
      </c>
      <c r="J33" s="32">
        <f>SUMIFS(KUNJUNGAN!$C$4:$C$800,KUNJUNGAN!$B$4:$B$800,ABSENSI!$B33)</f>
        <v>0</v>
      </c>
      <c r="K33" s="32">
        <f>SUMIFS(KUNJUNGAN!$J$4:$J$800,KUNJUNGAN!$B$4:$B$800,ABSENSI!$B33)</f>
        <v>0</v>
      </c>
      <c r="L33" s="33">
        <f>SUMIFS(LEMBUR!$F$4:$F$235,LEMBUR!$B$4:$B$235,ABSENSI!$B33)</f>
        <v>1</v>
      </c>
      <c r="M33" s="31">
        <f t="shared" si="2"/>
        <v>0</v>
      </c>
      <c r="N33" s="31">
        <f t="shared" si="3"/>
        <v>0</v>
      </c>
      <c r="O33" s="31">
        <f t="shared" si="4"/>
        <v>0</v>
      </c>
      <c r="P33" s="31">
        <f t="shared" si="5"/>
        <v>23</v>
      </c>
      <c r="Q33" s="31">
        <f t="shared" si="6"/>
        <v>23</v>
      </c>
      <c r="R33" s="31">
        <f t="shared" si="7"/>
        <v>0</v>
      </c>
      <c r="S33" s="31">
        <f t="shared" si="8"/>
        <v>0</v>
      </c>
      <c r="T33" s="31">
        <f t="shared" si="9"/>
        <v>0</v>
      </c>
      <c r="U33" s="31">
        <f t="shared" si="10"/>
        <v>3</v>
      </c>
      <c r="V33" s="31">
        <f t="shared" si="11"/>
        <v>5</v>
      </c>
      <c r="W33" s="34" t="s">
        <v>36</v>
      </c>
      <c r="X33" s="34" t="s">
        <v>36</v>
      </c>
      <c r="Y33" s="34" t="s">
        <v>36</v>
      </c>
      <c r="Z33" s="35" t="s">
        <v>37</v>
      </c>
      <c r="AA33" s="34" t="s">
        <v>36</v>
      </c>
      <c r="AB33" s="34" t="s">
        <v>36</v>
      </c>
      <c r="AC33" s="34" t="s">
        <v>36</v>
      </c>
      <c r="AD33" s="34" t="s">
        <v>36</v>
      </c>
      <c r="AE33" s="34" t="s">
        <v>36</v>
      </c>
      <c r="AF33" s="34" t="s">
        <v>36</v>
      </c>
      <c r="AG33" s="35" t="s">
        <v>37</v>
      </c>
      <c r="AH33" s="34" t="s">
        <v>36</v>
      </c>
      <c r="AI33" s="34" t="s">
        <v>36</v>
      </c>
      <c r="AJ33" s="34" t="s">
        <v>36</v>
      </c>
      <c r="AK33" s="34" t="s">
        <v>36</v>
      </c>
      <c r="AL33" s="34" t="s">
        <v>36</v>
      </c>
      <c r="AM33" s="34" t="s">
        <v>36</v>
      </c>
      <c r="AN33" s="35" t="s">
        <v>37</v>
      </c>
      <c r="AO33" s="34" t="s">
        <v>36</v>
      </c>
      <c r="AP33" s="34" t="s">
        <v>36</v>
      </c>
      <c r="AQ33" s="34" t="s">
        <v>36</v>
      </c>
      <c r="AR33" s="36" t="s">
        <v>37</v>
      </c>
      <c r="AS33" s="34" t="s">
        <v>36</v>
      </c>
      <c r="AT33" s="34" t="s">
        <v>36</v>
      </c>
      <c r="AU33" s="36" t="s">
        <v>37</v>
      </c>
      <c r="AV33" s="34" t="s">
        <v>36</v>
      </c>
      <c r="AW33" s="34" t="s">
        <v>36</v>
      </c>
      <c r="AX33" s="34" t="s">
        <v>36</v>
      </c>
      <c r="AY33" s="34"/>
      <c r="AZ33" s="34"/>
      <c r="BA33" s="34"/>
    </row>
    <row r="34" ht="15.75" customHeight="1">
      <c r="A34" s="38">
        <v>28.0</v>
      </c>
      <c r="B34" s="39" t="s">
        <v>75</v>
      </c>
      <c r="C34" s="40" t="s">
        <v>35</v>
      </c>
      <c r="D34" s="41" t="str">
        <f>IF(KEHADIRAN!$E$7:$E$106&gt;=2,"0",IF(KEHADIRAN!$E$7:$E$106&gt;=1,"50%",IF(KEHADIRAN!$E$7:$E$106&lt;=0,"100%")))</f>
        <v>100%</v>
      </c>
      <c r="E34" s="41">
        <f>F33+H33</f>
        <v>1</v>
      </c>
      <c r="F34" s="42" t="str">
        <f>IF(G34:G82&gt;=2,"0",IF(G34:G82&gt;=1,"0",IF(G34:G82&lt;=0,"50%")))</f>
        <v>50%</v>
      </c>
      <c r="G34" s="42"/>
      <c r="H34" s="42" t="str">
        <f>IF(I34:I82&gt;=2,"0",IF(I34:I82&gt;=1,"0",IF(I34:I82&lt;=0,"50%")))</f>
        <v>50%</v>
      </c>
      <c r="I34" s="43">
        <f>SUMIFS(COMPLAIN!$B$4:$B$231,COMPLAIN!$F$4:$F$231,ABSENSI!B34)</f>
        <v>0</v>
      </c>
      <c r="J34" s="44">
        <f>SUMIFS(KUNJUNGAN!$C$4:$C$800,KUNJUNGAN!$B$4:$B$800,ABSENSI!$B34)</f>
        <v>0</v>
      </c>
      <c r="K34" s="44">
        <f>SUMIFS(KUNJUNGAN!$J$4:$J$800,KUNJUNGAN!$B$4:$B$800,ABSENSI!$B34)</f>
        <v>0</v>
      </c>
      <c r="L34" s="45">
        <f>SUMIFS(LEMBUR!$F$4:$F$235,LEMBUR!$B$4:$B$235,ABSENSI!$B34)</f>
        <v>0</v>
      </c>
      <c r="M34" s="43">
        <f t="shared" si="2"/>
        <v>0</v>
      </c>
      <c r="N34" s="43">
        <f t="shared" si="3"/>
        <v>0</v>
      </c>
      <c r="O34" s="43">
        <f t="shared" si="4"/>
        <v>0</v>
      </c>
      <c r="P34" s="43">
        <f t="shared" si="5"/>
        <v>22</v>
      </c>
      <c r="Q34" s="43">
        <f t="shared" si="6"/>
        <v>21</v>
      </c>
      <c r="R34" s="43">
        <f t="shared" si="7"/>
        <v>0</v>
      </c>
      <c r="S34" s="43">
        <f t="shared" si="8"/>
        <v>1</v>
      </c>
      <c r="T34" s="43">
        <f t="shared" si="9"/>
        <v>1</v>
      </c>
      <c r="U34" s="43">
        <f t="shared" si="10"/>
        <v>3</v>
      </c>
      <c r="V34" s="43">
        <f t="shared" si="11"/>
        <v>5</v>
      </c>
      <c r="W34" s="48" t="s">
        <v>12</v>
      </c>
      <c r="X34" s="46" t="s">
        <v>36</v>
      </c>
      <c r="Y34" s="46" t="s">
        <v>36</v>
      </c>
      <c r="Z34" s="35" t="s">
        <v>37</v>
      </c>
      <c r="AA34" s="46" t="s">
        <v>36</v>
      </c>
      <c r="AB34" s="46" t="s">
        <v>36</v>
      </c>
      <c r="AC34" s="46" t="s">
        <v>36</v>
      </c>
      <c r="AD34" s="46" t="s">
        <v>36</v>
      </c>
      <c r="AE34" s="46" t="s">
        <v>36</v>
      </c>
      <c r="AF34" s="46" t="s">
        <v>36</v>
      </c>
      <c r="AG34" s="35" t="s">
        <v>37</v>
      </c>
      <c r="AH34" s="46" t="s">
        <v>36</v>
      </c>
      <c r="AI34" s="46" t="s">
        <v>36</v>
      </c>
      <c r="AJ34" s="46" t="s">
        <v>36</v>
      </c>
      <c r="AK34" s="46" t="s">
        <v>36</v>
      </c>
      <c r="AL34" s="46" t="s">
        <v>36</v>
      </c>
      <c r="AM34" s="37" t="s">
        <v>11</v>
      </c>
      <c r="AN34" s="35" t="s">
        <v>37</v>
      </c>
      <c r="AO34" s="46" t="s">
        <v>36</v>
      </c>
      <c r="AP34" s="46" t="s">
        <v>36</v>
      </c>
      <c r="AQ34" s="46" t="s">
        <v>36</v>
      </c>
      <c r="AR34" s="46" t="s">
        <v>36</v>
      </c>
      <c r="AS34" s="46" t="s">
        <v>36</v>
      </c>
      <c r="AT34" s="36" t="s">
        <v>37</v>
      </c>
      <c r="AU34" s="36" t="s">
        <v>37</v>
      </c>
      <c r="AV34" s="46" t="s">
        <v>36</v>
      </c>
      <c r="AW34" s="46" t="s">
        <v>36</v>
      </c>
      <c r="AX34" s="46" t="s">
        <v>36</v>
      </c>
      <c r="AY34" s="46"/>
      <c r="AZ34" s="46"/>
      <c r="BA34" s="46"/>
    </row>
    <row r="35" ht="15.75" customHeight="1">
      <c r="A35" s="26">
        <v>29.0</v>
      </c>
      <c r="B35" s="27" t="s">
        <v>76</v>
      </c>
      <c r="C35" s="28" t="s">
        <v>61</v>
      </c>
      <c r="D35" s="29" t="str">
        <f>IF(KEHADIRAN!$E$7:$E$106&gt;=2,"0",IF(KEHADIRAN!$E$7:$E$106&gt;=1,"50%",IF(KEHADIRAN!$E$7:$E$106&lt;=0,"100%")))</f>
        <v>100%</v>
      </c>
      <c r="E35" s="29">
        <f>F35+H35</f>
        <v>1</v>
      </c>
      <c r="F35" s="30" t="str">
        <f>IF(G35:G78&gt;=2,"0",IF(G35:G78&gt;=1,"0",IF(G35:G78&lt;=0,"50%")))</f>
        <v>50%</v>
      </c>
      <c r="G35" s="30">
        <f>SUMIFS(GROOMING!$B$4:$B$231,GROOMING!$C$4:$C$231,ABSENSI!B35)</f>
        <v>0</v>
      </c>
      <c r="H35" s="30" t="str">
        <f>IF(I35:I78&gt;=2,"0",IF(I35:I78&gt;=1,"0",IF(I35:I78&lt;=0,"50%")))</f>
        <v>50%</v>
      </c>
      <c r="I35" s="31">
        <f>SUMIFS(COMPLAIN!$B$4:$B$231,COMPLAIN!$F$4:$F$231,ABSENSI!B35)</f>
        <v>0</v>
      </c>
      <c r="J35" s="32">
        <f>SUMIFS(KUNJUNGAN!$C$4:$C$800,KUNJUNGAN!$B$4:$B$800,ABSENSI!$B35)</f>
        <v>0</v>
      </c>
      <c r="K35" s="32">
        <f>SUMIFS(KUNJUNGAN!$J$4:$J$800,KUNJUNGAN!$B$4:$B$800,ABSENSI!$B35)</f>
        <v>0</v>
      </c>
      <c r="L35" s="33">
        <f>SUMIFS(LEMBUR!$F$4:$F$235,LEMBUR!$B$4:$B$235,ABSENSI!$B35)</f>
        <v>0</v>
      </c>
      <c r="M35" s="31">
        <f t="shared" si="2"/>
        <v>0</v>
      </c>
      <c r="N35" s="31">
        <f t="shared" si="3"/>
        <v>0</v>
      </c>
      <c r="O35" s="31">
        <f t="shared" si="4"/>
        <v>0</v>
      </c>
      <c r="P35" s="31">
        <f t="shared" si="5"/>
        <v>22</v>
      </c>
      <c r="Q35" s="31">
        <f t="shared" si="6"/>
        <v>18</v>
      </c>
      <c r="R35" s="31">
        <f t="shared" si="7"/>
        <v>0</v>
      </c>
      <c r="S35" s="31">
        <f t="shared" si="8"/>
        <v>4</v>
      </c>
      <c r="T35" s="31">
        <f t="shared" si="9"/>
        <v>0</v>
      </c>
      <c r="U35" s="31">
        <f t="shared" si="10"/>
        <v>3</v>
      </c>
      <c r="V35" s="31">
        <f t="shared" si="11"/>
        <v>6</v>
      </c>
      <c r="W35" s="34" t="s">
        <v>36</v>
      </c>
      <c r="X35" s="34" t="s">
        <v>36</v>
      </c>
      <c r="Y35" s="34" t="s">
        <v>36</v>
      </c>
      <c r="Z35" s="35" t="s">
        <v>37</v>
      </c>
      <c r="AA35" s="34" t="s">
        <v>36</v>
      </c>
      <c r="AB35" s="34" t="s">
        <v>36</v>
      </c>
      <c r="AC35" s="34" t="s">
        <v>36</v>
      </c>
      <c r="AD35" s="34" t="s">
        <v>36</v>
      </c>
      <c r="AE35" s="34" t="s">
        <v>36</v>
      </c>
      <c r="AF35" s="34" t="s">
        <v>36</v>
      </c>
      <c r="AG35" s="35" t="s">
        <v>37</v>
      </c>
      <c r="AH35" s="34" t="s">
        <v>36</v>
      </c>
      <c r="AI35" s="34" t="s">
        <v>36</v>
      </c>
      <c r="AJ35" s="34" t="s">
        <v>36</v>
      </c>
      <c r="AK35" s="34" t="s">
        <v>36</v>
      </c>
      <c r="AL35" s="34" t="s">
        <v>36</v>
      </c>
      <c r="AM35" s="34" t="s">
        <v>36</v>
      </c>
      <c r="AN35" s="35" t="s">
        <v>37</v>
      </c>
      <c r="AO35" s="34" t="s">
        <v>36</v>
      </c>
      <c r="AP35" s="34" t="s">
        <v>36</v>
      </c>
      <c r="AQ35" s="34" t="s">
        <v>36</v>
      </c>
      <c r="AR35" s="36" t="s">
        <v>37</v>
      </c>
      <c r="AS35" s="37" t="s">
        <v>11</v>
      </c>
      <c r="AT35" s="36" t="s">
        <v>37</v>
      </c>
      <c r="AU35" s="36" t="s">
        <v>37</v>
      </c>
      <c r="AV35" s="37" t="s">
        <v>11</v>
      </c>
      <c r="AW35" s="37" t="s">
        <v>11</v>
      </c>
      <c r="AX35" s="37" t="s">
        <v>11</v>
      </c>
      <c r="AY35" s="34"/>
      <c r="AZ35" s="34"/>
      <c r="BA35" s="34"/>
    </row>
    <row r="36" ht="15.75" customHeight="1">
      <c r="A36" s="38">
        <v>30.0</v>
      </c>
      <c r="B36" s="39" t="s">
        <v>77</v>
      </c>
      <c r="C36" s="56" t="s">
        <v>35</v>
      </c>
      <c r="D36" s="41" t="s">
        <v>78</v>
      </c>
      <c r="E36" s="41">
        <v>1.0</v>
      </c>
      <c r="F36" s="42" t="s">
        <v>79</v>
      </c>
      <c r="G36" s="42">
        <v>0.0</v>
      </c>
      <c r="H36" s="42" t="s">
        <v>79</v>
      </c>
      <c r="I36" s="43">
        <f>SUMIFS(COMPLAIN!$B$4:$B$231,COMPLAIN!$F$4:$F$231,ABSENSI!B36)</f>
        <v>0</v>
      </c>
      <c r="J36" s="44">
        <f>SUMIFS(KUNJUNGAN!$C$4:$C$800,KUNJUNGAN!$B$4:$B$800,ABSENSI!$B36)</f>
        <v>0</v>
      </c>
      <c r="K36" s="44">
        <f>SUMIFS(KUNJUNGAN!$J$4:$J$800,KUNJUNGAN!$B$4:$B$800,ABSENSI!$B36)</f>
        <v>0</v>
      </c>
      <c r="L36" s="45">
        <f>SUMIFS(LEMBUR!$F$4:$F$235,LEMBUR!$B$4:$B$235,ABSENSI!$B36)</f>
        <v>28</v>
      </c>
      <c r="M36" s="43">
        <f t="shared" si="2"/>
        <v>0</v>
      </c>
      <c r="N36" s="43">
        <f t="shared" si="3"/>
        <v>0</v>
      </c>
      <c r="O36" s="43">
        <f t="shared" si="4"/>
        <v>0</v>
      </c>
      <c r="P36" s="43">
        <f t="shared" si="5"/>
        <v>22</v>
      </c>
      <c r="Q36" s="43">
        <f t="shared" si="6"/>
        <v>21</v>
      </c>
      <c r="R36" s="43">
        <f t="shared" si="7"/>
        <v>0</v>
      </c>
      <c r="S36" s="43">
        <f t="shared" si="8"/>
        <v>1</v>
      </c>
      <c r="T36" s="43">
        <f t="shared" si="9"/>
        <v>0</v>
      </c>
      <c r="U36" s="43">
        <f t="shared" si="10"/>
        <v>3</v>
      </c>
      <c r="V36" s="43">
        <f t="shared" si="11"/>
        <v>6</v>
      </c>
      <c r="W36" s="37" t="s">
        <v>11</v>
      </c>
      <c r="X36" s="46" t="s">
        <v>36</v>
      </c>
      <c r="Y36" s="46" t="s">
        <v>36</v>
      </c>
      <c r="Z36" s="46" t="s">
        <v>36</v>
      </c>
      <c r="AA36" s="46" t="s">
        <v>36</v>
      </c>
      <c r="AB36" s="46" t="s">
        <v>36</v>
      </c>
      <c r="AC36" s="46" t="s">
        <v>36</v>
      </c>
      <c r="AD36" s="46" t="s">
        <v>36</v>
      </c>
      <c r="AE36" s="46" t="s">
        <v>36</v>
      </c>
      <c r="AF36" s="46" t="s">
        <v>36</v>
      </c>
      <c r="AG36" s="46" t="s">
        <v>36</v>
      </c>
      <c r="AH36" s="46" t="s">
        <v>36</v>
      </c>
      <c r="AI36" s="46" t="s">
        <v>36</v>
      </c>
      <c r="AJ36" s="54" t="s">
        <v>37</v>
      </c>
      <c r="AK36" s="46" t="s">
        <v>36</v>
      </c>
      <c r="AL36" s="46" t="s">
        <v>36</v>
      </c>
      <c r="AM36" s="46" t="s">
        <v>36</v>
      </c>
      <c r="AN36" s="46" t="s">
        <v>36</v>
      </c>
      <c r="AO36" s="46" t="s">
        <v>36</v>
      </c>
      <c r="AP36" s="46" t="s">
        <v>36</v>
      </c>
      <c r="AQ36" s="36" t="s">
        <v>37</v>
      </c>
      <c r="AR36" s="50" t="s">
        <v>37</v>
      </c>
      <c r="AS36" s="36" t="s">
        <v>37</v>
      </c>
      <c r="AT36" s="36" t="s">
        <v>37</v>
      </c>
      <c r="AU36" s="36" t="s">
        <v>37</v>
      </c>
      <c r="AV36" s="46" t="s">
        <v>36</v>
      </c>
      <c r="AW36" s="46" t="s">
        <v>36</v>
      </c>
      <c r="AX36" s="46" t="s">
        <v>36</v>
      </c>
      <c r="AY36" s="46"/>
      <c r="AZ36" s="46"/>
      <c r="BA36" s="46"/>
    </row>
    <row r="37" ht="15.75" customHeight="1">
      <c r="A37" s="26">
        <v>31.0</v>
      </c>
      <c r="B37" s="27" t="s">
        <v>80</v>
      </c>
      <c r="C37" s="28" t="s">
        <v>68</v>
      </c>
      <c r="D37" s="29" t="s">
        <v>78</v>
      </c>
      <c r="E37" s="29">
        <v>1.0</v>
      </c>
      <c r="F37" s="30" t="s">
        <v>79</v>
      </c>
      <c r="G37" s="30"/>
      <c r="H37" s="30" t="s">
        <v>79</v>
      </c>
      <c r="I37" s="31">
        <f>SUMIFS(COMPLAIN!$B$4:$B$231,COMPLAIN!$F$4:$F$231,ABSENSI!B37)</f>
        <v>0</v>
      </c>
      <c r="J37" s="32">
        <f>SUMIFS(KUNJUNGAN!$C$4:$C$800,KUNJUNGAN!$B$4:$B$800,ABSENSI!$B37)</f>
        <v>0</v>
      </c>
      <c r="K37" s="32">
        <f>SUMIFS(KUNJUNGAN!$J$4:$J$800,KUNJUNGAN!$B$4:$B$800,ABSENSI!$B37)</f>
        <v>0</v>
      </c>
      <c r="L37" s="33">
        <f>SUMIFS(LEMBUR!$F$4:$F$235,LEMBUR!$B$4:$B$235,ABSENSI!$B37)</f>
        <v>0</v>
      </c>
      <c r="M37" s="31">
        <f t="shared" si="2"/>
        <v>0</v>
      </c>
      <c r="N37" s="31">
        <f t="shared" si="3"/>
        <v>0</v>
      </c>
      <c r="O37" s="31">
        <f t="shared" si="4"/>
        <v>0</v>
      </c>
      <c r="P37" s="31">
        <f t="shared" si="5"/>
        <v>23</v>
      </c>
      <c r="Q37" s="31">
        <f t="shared" si="6"/>
        <v>21</v>
      </c>
      <c r="R37" s="31">
        <f t="shared" si="7"/>
        <v>0</v>
      </c>
      <c r="S37" s="31">
        <f t="shared" si="8"/>
        <v>2</v>
      </c>
      <c r="T37" s="31">
        <f t="shared" si="9"/>
        <v>0</v>
      </c>
      <c r="U37" s="31">
        <f t="shared" si="10"/>
        <v>3</v>
      </c>
      <c r="V37" s="31">
        <f t="shared" si="11"/>
        <v>5</v>
      </c>
      <c r="W37" s="34" t="s">
        <v>36</v>
      </c>
      <c r="X37" s="34" t="s">
        <v>36</v>
      </c>
      <c r="Y37" s="34" t="s">
        <v>36</v>
      </c>
      <c r="Z37" s="35" t="s">
        <v>37</v>
      </c>
      <c r="AA37" s="34" t="s">
        <v>36</v>
      </c>
      <c r="AB37" s="34" t="s">
        <v>36</v>
      </c>
      <c r="AC37" s="34" t="s">
        <v>36</v>
      </c>
      <c r="AD37" s="34" t="s">
        <v>36</v>
      </c>
      <c r="AE37" s="34" t="s">
        <v>36</v>
      </c>
      <c r="AF37" s="34" t="s">
        <v>36</v>
      </c>
      <c r="AG37" s="35" t="s">
        <v>37</v>
      </c>
      <c r="AH37" s="34" t="s">
        <v>36</v>
      </c>
      <c r="AI37" s="34" t="s">
        <v>36</v>
      </c>
      <c r="AJ37" s="34" t="s">
        <v>36</v>
      </c>
      <c r="AK37" s="34" t="s">
        <v>36</v>
      </c>
      <c r="AL37" s="34" t="s">
        <v>36</v>
      </c>
      <c r="AM37" s="34" t="s">
        <v>36</v>
      </c>
      <c r="AN37" s="35" t="s">
        <v>37</v>
      </c>
      <c r="AO37" s="34" t="s">
        <v>36</v>
      </c>
      <c r="AP37" s="34" t="s">
        <v>36</v>
      </c>
      <c r="AQ37" s="34" t="s">
        <v>36</v>
      </c>
      <c r="AR37" s="34" t="s">
        <v>36</v>
      </c>
      <c r="AS37" s="37" t="s">
        <v>11</v>
      </c>
      <c r="AT37" s="36" t="s">
        <v>37</v>
      </c>
      <c r="AU37" s="36" t="s">
        <v>37</v>
      </c>
      <c r="AV37" s="37" t="s">
        <v>11</v>
      </c>
      <c r="AW37" s="34" t="s">
        <v>36</v>
      </c>
      <c r="AX37" s="34" t="s">
        <v>36</v>
      </c>
      <c r="AY37" s="34"/>
      <c r="AZ37" s="34"/>
      <c r="BA37" s="34"/>
    </row>
    <row r="38" ht="15.75" customHeight="1">
      <c r="A38" s="38">
        <v>32.0</v>
      </c>
      <c r="B38" s="39" t="s">
        <v>81</v>
      </c>
      <c r="C38" s="40" t="s">
        <v>35</v>
      </c>
      <c r="D38" s="41" t="s">
        <v>78</v>
      </c>
      <c r="E38" s="41">
        <v>1.0</v>
      </c>
      <c r="F38" s="42" t="s">
        <v>79</v>
      </c>
      <c r="G38" s="42">
        <v>0.0</v>
      </c>
      <c r="H38" s="42" t="s">
        <v>79</v>
      </c>
      <c r="I38" s="43">
        <f>SUMIFS(COMPLAIN!$B$4:$B$231,COMPLAIN!$F$4:$F$231,ABSENSI!B38)</f>
        <v>0</v>
      </c>
      <c r="J38" s="44">
        <f>SUMIFS(KUNJUNGAN!$C$4:$C$800,KUNJUNGAN!$B$4:$B$800,ABSENSI!$B38)</f>
        <v>0</v>
      </c>
      <c r="K38" s="44">
        <f>SUMIFS(KUNJUNGAN!$J$4:$J$800,KUNJUNGAN!$B$4:$B$800,ABSENSI!$B38)</f>
        <v>0</v>
      </c>
      <c r="L38" s="45">
        <f>SUMIFS(LEMBUR!$F$4:$F$235,LEMBUR!$B$4:$B$235,ABSENSI!$B38)</f>
        <v>0</v>
      </c>
      <c r="M38" s="43">
        <f t="shared" si="2"/>
        <v>0</v>
      </c>
      <c r="N38" s="43">
        <f t="shared" si="3"/>
        <v>0</v>
      </c>
      <c r="O38" s="43">
        <f t="shared" si="4"/>
        <v>0</v>
      </c>
      <c r="P38" s="43">
        <f t="shared" si="5"/>
        <v>22</v>
      </c>
      <c r="Q38" s="43">
        <f t="shared" si="6"/>
        <v>21</v>
      </c>
      <c r="R38" s="43">
        <f t="shared" si="7"/>
        <v>1</v>
      </c>
      <c r="S38" s="43">
        <f t="shared" si="8"/>
        <v>0</v>
      </c>
      <c r="T38" s="43">
        <f t="shared" si="9"/>
        <v>0</v>
      </c>
      <c r="U38" s="43">
        <f t="shared" si="10"/>
        <v>3</v>
      </c>
      <c r="V38" s="43">
        <f t="shared" si="11"/>
        <v>6</v>
      </c>
      <c r="W38" s="46" t="s">
        <v>36</v>
      </c>
      <c r="X38" s="46" t="s">
        <v>36</v>
      </c>
      <c r="Y38" s="46" t="s">
        <v>36</v>
      </c>
      <c r="Z38" s="46" t="s">
        <v>36</v>
      </c>
      <c r="AA38" s="46" t="s">
        <v>36</v>
      </c>
      <c r="AB38" s="46" t="s">
        <v>36</v>
      </c>
      <c r="AC38" s="35" t="s">
        <v>37</v>
      </c>
      <c r="AD38" s="46" t="s">
        <v>36</v>
      </c>
      <c r="AE38" s="46" t="s">
        <v>36</v>
      </c>
      <c r="AF38" s="46" t="s">
        <v>36</v>
      </c>
      <c r="AG38" s="46" t="s">
        <v>36</v>
      </c>
      <c r="AH38" s="46" t="s">
        <v>36</v>
      </c>
      <c r="AI38" s="46" t="s">
        <v>36</v>
      </c>
      <c r="AJ38" s="35" t="s">
        <v>37</v>
      </c>
      <c r="AK38" s="46" t="s">
        <v>36</v>
      </c>
      <c r="AL38" s="46" t="s">
        <v>36</v>
      </c>
      <c r="AM38" s="46" t="s">
        <v>36</v>
      </c>
      <c r="AN38" s="46" t="s">
        <v>36</v>
      </c>
      <c r="AO38" s="49" t="s">
        <v>10</v>
      </c>
      <c r="AP38" s="46" t="s">
        <v>36</v>
      </c>
      <c r="AQ38" s="36" t="s">
        <v>37</v>
      </c>
      <c r="AR38" s="46" t="s">
        <v>36</v>
      </c>
      <c r="AS38" s="36" t="s">
        <v>37</v>
      </c>
      <c r="AT38" s="36" t="s">
        <v>37</v>
      </c>
      <c r="AU38" s="46" t="s">
        <v>36</v>
      </c>
      <c r="AV38" s="46" t="s">
        <v>36</v>
      </c>
      <c r="AW38" s="46" t="s">
        <v>36</v>
      </c>
      <c r="AX38" s="36" t="s">
        <v>37</v>
      </c>
      <c r="AY38" s="46"/>
      <c r="AZ38" s="46"/>
      <c r="BA38" s="46"/>
    </row>
    <row r="39" ht="15.75" customHeight="1">
      <c r="A39" s="26">
        <v>33.0</v>
      </c>
      <c r="B39" s="27" t="s">
        <v>82</v>
      </c>
      <c r="C39" s="28" t="s">
        <v>83</v>
      </c>
      <c r="D39" s="29" t="s">
        <v>78</v>
      </c>
      <c r="E39" s="29">
        <v>1.0</v>
      </c>
      <c r="F39" s="30" t="s">
        <v>79</v>
      </c>
      <c r="G39" s="30"/>
      <c r="H39" s="30" t="s">
        <v>79</v>
      </c>
      <c r="I39" s="31">
        <f>SUMIFS(COMPLAIN!$B$4:$B$231,COMPLAIN!$F$4:$F$231,ABSENSI!B39)</f>
        <v>0</v>
      </c>
      <c r="J39" s="32">
        <f>SUMIFS(KUNJUNGAN!$C$4:$C$800,KUNJUNGAN!$B$4:$B$800,ABSENSI!$B39)</f>
        <v>0</v>
      </c>
      <c r="K39" s="32">
        <f>SUMIFS(KUNJUNGAN!$J$4:$J$800,KUNJUNGAN!$B$4:$B$800,ABSENSI!$B39)</f>
        <v>0</v>
      </c>
      <c r="L39" s="33">
        <f>SUMIFS(LEMBUR!$F$4:$F$235,LEMBUR!$B$4:$B$235,ABSENSI!$B39)</f>
        <v>45</v>
      </c>
      <c r="M39" s="31">
        <f t="shared" si="2"/>
        <v>1</v>
      </c>
      <c r="N39" s="31">
        <f t="shared" si="3"/>
        <v>0</v>
      </c>
      <c r="O39" s="31">
        <f t="shared" si="4"/>
        <v>0</v>
      </c>
      <c r="P39" s="31">
        <f t="shared" si="5"/>
        <v>22</v>
      </c>
      <c r="Q39" s="31">
        <f t="shared" si="6"/>
        <v>20</v>
      </c>
      <c r="R39" s="31">
        <f t="shared" si="7"/>
        <v>0</v>
      </c>
      <c r="S39" s="31">
        <f t="shared" si="8"/>
        <v>2</v>
      </c>
      <c r="T39" s="31">
        <f t="shared" si="9"/>
        <v>1</v>
      </c>
      <c r="U39" s="31">
        <f t="shared" si="10"/>
        <v>3</v>
      </c>
      <c r="V39" s="31">
        <f t="shared" si="11"/>
        <v>5</v>
      </c>
      <c r="W39" s="34" t="s">
        <v>36</v>
      </c>
      <c r="X39" s="34" t="s">
        <v>36</v>
      </c>
      <c r="Y39" s="34" t="s">
        <v>36</v>
      </c>
      <c r="Z39" s="35" t="s">
        <v>37</v>
      </c>
      <c r="AA39" s="34" t="s">
        <v>36</v>
      </c>
      <c r="AB39" s="34" t="s">
        <v>36</v>
      </c>
      <c r="AC39" s="34" t="s">
        <v>36</v>
      </c>
      <c r="AD39" s="34" t="s">
        <v>36</v>
      </c>
      <c r="AE39" s="34" t="s">
        <v>36</v>
      </c>
      <c r="AF39" s="34" t="s">
        <v>36</v>
      </c>
      <c r="AG39" s="57" t="s">
        <v>84</v>
      </c>
      <c r="AH39" s="34" t="s">
        <v>36</v>
      </c>
      <c r="AI39" s="34" t="s">
        <v>36</v>
      </c>
      <c r="AJ39" s="34" t="s">
        <v>36</v>
      </c>
      <c r="AK39" s="34" t="s">
        <v>36</v>
      </c>
      <c r="AL39" s="48" t="s">
        <v>12</v>
      </c>
      <c r="AM39" s="34" t="s">
        <v>36</v>
      </c>
      <c r="AN39" s="35" t="s">
        <v>37</v>
      </c>
      <c r="AO39" s="34" t="s">
        <v>36</v>
      </c>
      <c r="AP39" s="34" t="s">
        <v>36</v>
      </c>
      <c r="AQ39" s="34" t="s">
        <v>36</v>
      </c>
      <c r="AR39" s="36" t="s">
        <v>37</v>
      </c>
      <c r="AS39" s="34" t="s">
        <v>36</v>
      </c>
      <c r="AT39" s="36" t="s">
        <v>37</v>
      </c>
      <c r="AU39" s="36" t="s">
        <v>37</v>
      </c>
      <c r="AV39" s="37" t="s">
        <v>11</v>
      </c>
      <c r="AW39" s="37" t="s">
        <v>11</v>
      </c>
      <c r="AX39" s="34" t="s">
        <v>36</v>
      </c>
      <c r="AY39" s="34"/>
      <c r="AZ39" s="34"/>
      <c r="BA39" s="34"/>
    </row>
    <row r="40" ht="15.75" customHeight="1">
      <c r="A40" s="38">
        <v>34.0</v>
      </c>
      <c r="B40" s="39" t="s">
        <v>85</v>
      </c>
      <c r="C40" s="40" t="s">
        <v>86</v>
      </c>
      <c r="D40" s="41" t="s">
        <v>78</v>
      </c>
      <c r="E40" s="41">
        <v>1.0</v>
      </c>
      <c r="F40" s="42" t="s">
        <v>79</v>
      </c>
      <c r="G40" s="42">
        <v>0.0</v>
      </c>
      <c r="H40" s="42" t="s">
        <v>79</v>
      </c>
      <c r="I40" s="43">
        <f>SUMIFS(COMPLAIN!$B$4:$B$231,COMPLAIN!$F$4:$F$231,ABSENSI!B40)</f>
        <v>0</v>
      </c>
      <c r="J40" s="44">
        <f>SUMIFS(KUNJUNGAN!$C$4:$C$800,KUNJUNGAN!$B$4:$B$800,ABSENSI!$B40)</f>
        <v>0</v>
      </c>
      <c r="K40" s="44">
        <f>SUMIFS(KUNJUNGAN!$J$4:$J$800,KUNJUNGAN!$B$4:$B$800,ABSENSI!$B40)</f>
        <v>0</v>
      </c>
      <c r="L40" s="45">
        <f>SUMIFS(LEMBUR!$F$4:$F$235,LEMBUR!$B$4:$B$235,ABSENSI!$B40)</f>
        <v>0</v>
      </c>
      <c r="M40" s="43">
        <f t="shared" si="2"/>
        <v>0</v>
      </c>
      <c r="N40" s="43">
        <f t="shared" si="3"/>
        <v>0</v>
      </c>
      <c r="O40" s="43">
        <f t="shared" si="4"/>
        <v>0</v>
      </c>
      <c r="P40" s="43">
        <f t="shared" si="5"/>
        <v>20</v>
      </c>
      <c r="Q40" s="43">
        <f t="shared" si="6"/>
        <v>18</v>
      </c>
      <c r="R40" s="43">
        <f t="shared" si="7"/>
        <v>0</v>
      </c>
      <c r="S40" s="43">
        <f t="shared" si="8"/>
        <v>2</v>
      </c>
      <c r="T40" s="43">
        <f t="shared" si="9"/>
        <v>2</v>
      </c>
      <c r="U40" s="43">
        <f t="shared" si="10"/>
        <v>3</v>
      </c>
      <c r="V40" s="43">
        <f t="shared" si="11"/>
        <v>6</v>
      </c>
      <c r="W40" s="46" t="s">
        <v>36</v>
      </c>
      <c r="X40" s="46" t="s">
        <v>36</v>
      </c>
      <c r="Y40" s="46" t="s">
        <v>36</v>
      </c>
      <c r="Z40" s="35" t="s">
        <v>37</v>
      </c>
      <c r="AA40" s="46" t="s">
        <v>36</v>
      </c>
      <c r="AB40" s="46" t="s">
        <v>36</v>
      </c>
      <c r="AC40" s="46" t="s">
        <v>36</v>
      </c>
      <c r="AD40" s="46" t="s">
        <v>36</v>
      </c>
      <c r="AE40" s="58" t="s">
        <v>12</v>
      </c>
      <c r="AF40" s="46" t="s">
        <v>36</v>
      </c>
      <c r="AG40" s="35" t="s">
        <v>37</v>
      </c>
      <c r="AH40" s="46" t="s">
        <v>36</v>
      </c>
      <c r="AI40" s="46" t="s">
        <v>36</v>
      </c>
      <c r="AJ40" s="46" t="s">
        <v>36</v>
      </c>
      <c r="AK40" s="46" t="s">
        <v>36</v>
      </c>
      <c r="AL40" s="46" t="s">
        <v>36</v>
      </c>
      <c r="AM40" s="46" t="s">
        <v>36</v>
      </c>
      <c r="AN40" s="35" t="s">
        <v>37</v>
      </c>
      <c r="AO40" s="46" t="s">
        <v>36</v>
      </c>
      <c r="AP40" s="46" t="s">
        <v>36</v>
      </c>
      <c r="AQ40" s="46" t="s">
        <v>36</v>
      </c>
      <c r="AR40" s="36" t="s">
        <v>37</v>
      </c>
      <c r="AS40" s="58" t="s">
        <v>12</v>
      </c>
      <c r="AT40" s="36" t="s">
        <v>37</v>
      </c>
      <c r="AU40" s="36" t="s">
        <v>37</v>
      </c>
      <c r="AV40" s="37" t="s">
        <v>11</v>
      </c>
      <c r="AW40" s="37" t="s">
        <v>11</v>
      </c>
      <c r="AX40" s="46" t="s">
        <v>36</v>
      </c>
      <c r="AY40" s="46"/>
      <c r="AZ40" s="46"/>
      <c r="BA40" s="46"/>
    </row>
    <row r="41" ht="15.75" customHeight="1">
      <c r="A41" s="26">
        <v>35.0</v>
      </c>
      <c r="B41" s="27" t="s">
        <v>87</v>
      </c>
      <c r="C41" s="28" t="s">
        <v>35</v>
      </c>
      <c r="D41" s="29" t="s">
        <v>78</v>
      </c>
      <c r="E41" s="29">
        <v>1.0</v>
      </c>
      <c r="F41" s="30" t="s">
        <v>79</v>
      </c>
      <c r="G41" s="30"/>
      <c r="H41" s="30" t="s">
        <v>79</v>
      </c>
      <c r="I41" s="31">
        <f>SUMIFS(COMPLAIN!$B$4:$B$231,COMPLAIN!$F$4:$F$231,ABSENSI!B41)</f>
        <v>0</v>
      </c>
      <c r="J41" s="32">
        <f>SUMIFS(KUNJUNGAN!$C$4:$C$800,KUNJUNGAN!$B$4:$B$800,ABSENSI!$B41)</f>
        <v>0</v>
      </c>
      <c r="K41" s="32">
        <f>SUMIFS(KUNJUNGAN!$J$4:$J$800,KUNJUNGAN!$B$4:$B$800,ABSENSI!$B41)</f>
        <v>0</v>
      </c>
      <c r="L41" s="33">
        <f>SUMIFS(LEMBUR!$F$4:$F$235,LEMBUR!$B$4:$B$235,ABSENSI!$B41)</f>
        <v>0</v>
      </c>
      <c r="M41" s="31">
        <f t="shared" si="2"/>
        <v>0</v>
      </c>
      <c r="N41" s="31">
        <f t="shared" si="3"/>
        <v>0</v>
      </c>
      <c r="O41" s="31">
        <f t="shared" si="4"/>
        <v>0</v>
      </c>
      <c r="P41" s="31">
        <f t="shared" si="5"/>
        <v>21</v>
      </c>
      <c r="Q41" s="31">
        <f t="shared" si="6"/>
        <v>21</v>
      </c>
      <c r="R41" s="31">
        <f t="shared" si="7"/>
        <v>0</v>
      </c>
      <c r="S41" s="31">
        <f t="shared" si="8"/>
        <v>0</v>
      </c>
      <c r="T41" s="31">
        <f t="shared" si="9"/>
        <v>1</v>
      </c>
      <c r="U41" s="31">
        <f t="shared" si="10"/>
        <v>3</v>
      </c>
      <c r="V41" s="31">
        <f t="shared" si="11"/>
        <v>6</v>
      </c>
      <c r="W41" s="34" t="s">
        <v>36</v>
      </c>
      <c r="X41" s="35" t="s">
        <v>37</v>
      </c>
      <c r="Y41" s="34" t="s">
        <v>36</v>
      </c>
      <c r="Z41" s="34" t="s">
        <v>36</v>
      </c>
      <c r="AA41" s="34" t="s">
        <v>36</v>
      </c>
      <c r="AB41" s="34" t="s">
        <v>36</v>
      </c>
      <c r="AC41" s="35" t="s">
        <v>37</v>
      </c>
      <c r="AD41" s="34" t="s">
        <v>36</v>
      </c>
      <c r="AE41" s="34" t="s">
        <v>36</v>
      </c>
      <c r="AF41" s="34" t="s">
        <v>36</v>
      </c>
      <c r="AG41" s="48" t="s">
        <v>12</v>
      </c>
      <c r="AH41" s="34" t="s">
        <v>36</v>
      </c>
      <c r="AI41" s="34" t="s">
        <v>36</v>
      </c>
      <c r="AJ41" s="35" t="s">
        <v>37</v>
      </c>
      <c r="AK41" s="34" t="s">
        <v>36</v>
      </c>
      <c r="AL41" s="34" t="s">
        <v>36</v>
      </c>
      <c r="AM41" s="34" t="s">
        <v>36</v>
      </c>
      <c r="AN41" s="34" t="s">
        <v>36</v>
      </c>
      <c r="AO41" s="34" t="s">
        <v>36</v>
      </c>
      <c r="AP41" s="34" t="s">
        <v>36</v>
      </c>
      <c r="AQ41" s="36" t="s">
        <v>37</v>
      </c>
      <c r="AR41" s="34" t="s">
        <v>36</v>
      </c>
      <c r="AS41" s="34" t="s">
        <v>36</v>
      </c>
      <c r="AT41" s="34" t="s">
        <v>36</v>
      </c>
      <c r="AU41" s="34" t="s">
        <v>36</v>
      </c>
      <c r="AV41" s="34" t="s">
        <v>36</v>
      </c>
      <c r="AW41" s="36" t="s">
        <v>37</v>
      </c>
      <c r="AX41" s="36" t="s">
        <v>37</v>
      </c>
      <c r="AY41" s="34"/>
      <c r="AZ41" s="34"/>
      <c r="BA41" s="34"/>
    </row>
    <row r="42" ht="15.75" customHeight="1">
      <c r="A42" s="38">
        <v>36.0</v>
      </c>
      <c r="B42" s="39" t="s">
        <v>88</v>
      </c>
      <c r="C42" s="40" t="s">
        <v>35</v>
      </c>
      <c r="D42" s="41" t="s">
        <v>78</v>
      </c>
      <c r="E42" s="41">
        <v>1.0</v>
      </c>
      <c r="F42" s="42" t="s">
        <v>79</v>
      </c>
      <c r="G42" s="42">
        <v>0.0</v>
      </c>
      <c r="H42" s="42" t="s">
        <v>79</v>
      </c>
      <c r="I42" s="43">
        <f>SUMIFS(COMPLAIN!$B$4:$B$231,COMPLAIN!$F$4:$F$231,ABSENSI!B42)</f>
        <v>0</v>
      </c>
      <c r="J42" s="44">
        <f>SUMIFS(KUNJUNGAN!$C$4:$C$800,KUNJUNGAN!$B$4:$B$800,ABSENSI!$B42)</f>
        <v>0</v>
      </c>
      <c r="K42" s="44">
        <f>SUMIFS(KUNJUNGAN!$J$4:$J$800,KUNJUNGAN!$B$4:$B$800,ABSENSI!$B42)</f>
        <v>0</v>
      </c>
      <c r="L42" s="45">
        <f>SUMIFS(LEMBUR!$F$4:$F$235,LEMBUR!$B$4:$B$235,ABSENSI!$B42)</f>
        <v>0</v>
      </c>
      <c r="M42" s="43">
        <f t="shared" si="2"/>
        <v>0</v>
      </c>
      <c r="N42" s="43">
        <f t="shared" si="3"/>
        <v>0</v>
      </c>
      <c r="O42" s="43">
        <f t="shared" si="4"/>
        <v>0</v>
      </c>
      <c r="P42" s="43">
        <f t="shared" si="5"/>
        <v>25</v>
      </c>
      <c r="Q42" s="43">
        <f t="shared" si="6"/>
        <v>24</v>
      </c>
      <c r="R42" s="43">
        <f t="shared" si="7"/>
        <v>0</v>
      </c>
      <c r="S42" s="43">
        <f t="shared" si="8"/>
        <v>1</v>
      </c>
      <c r="T42" s="43">
        <f t="shared" si="9"/>
        <v>0</v>
      </c>
      <c r="U42" s="43">
        <f t="shared" si="10"/>
        <v>3</v>
      </c>
      <c r="V42" s="43">
        <f t="shared" si="11"/>
        <v>3</v>
      </c>
      <c r="W42" s="37" t="s">
        <v>11</v>
      </c>
      <c r="X42" s="46" t="s">
        <v>36</v>
      </c>
      <c r="Y42" s="46" t="s">
        <v>36</v>
      </c>
      <c r="Z42" s="46" t="s">
        <v>36</v>
      </c>
      <c r="AA42" s="46" t="s">
        <v>36</v>
      </c>
      <c r="AB42" s="46" t="s">
        <v>36</v>
      </c>
      <c r="AC42" s="46" t="s">
        <v>36</v>
      </c>
      <c r="AD42" s="46" t="s">
        <v>36</v>
      </c>
      <c r="AE42" s="46" t="s">
        <v>36</v>
      </c>
      <c r="AF42" s="35" t="s">
        <v>37</v>
      </c>
      <c r="AG42" s="46" t="s">
        <v>36</v>
      </c>
      <c r="AH42" s="46" t="s">
        <v>36</v>
      </c>
      <c r="AI42" s="46" t="s">
        <v>36</v>
      </c>
      <c r="AJ42" s="46" t="s">
        <v>36</v>
      </c>
      <c r="AK42" s="46" t="s">
        <v>36</v>
      </c>
      <c r="AL42" s="46" t="s">
        <v>36</v>
      </c>
      <c r="AM42" s="35" t="s">
        <v>37</v>
      </c>
      <c r="AN42" s="46" t="s">
        <v>36</v>
      </c>
      <c r="AO42" s="46" t="s">
        <v>36</v>
      </c>
      <c r="AP42" s="46" t="s">
        <v>36</v>
      </c>
      <c r="AQ42" s="36" t="s">
        <v>37</v>
      </c>
      <c r="AR42" s="46" t="s">
        <v>36</v>
      </c>
      <c r="AS42" s="46" t="s">
        <v>36</v>
      </c>
      <c r="AT42" s="46" t="s">
        <v>36</v>
      </c>
      <c r="AU42" s="46" t="s">
        <v>36</v>
      </c>
      <c r="AV42" s="46" t="s">
        <v>36</v>
      </c>
      <c r="AW42" s="46" t="s">
        <v>36</v>
      </c>
      <c r="AX42" s="46" t="s">
        <v>36</v>
      </c>
      <c r="AY42" s="46"/>
      <c r="AZ42" s="46"/>
      <c r="BA42" s="46"/>
    </row>
    <row r="43" ht="15.75" customHeight="1">
      <c r="A43" s="26">
        <v>37.0</v>
      </c>
      <c r="B43" s="27" t="s">
        <v>89</v>
      </c>
      <c r="C43" s="28" t="s">
        <v>35</v>
      </c>
      <c r="D43" s="29" t="s">
        <v>78</v>
      </c>
      <c r="E43" s="29">
        <v>1.0</v>
      </c>
      <c r="F43" s="30" t="s">
        <v>79</v>
      </c>
      <c r="G43" s="30"/>
      <c r="H43" s="30" t="s">
        <v>79</v>
      </c>
      <c r="I43" s="31">
        <f>SUMIFS(COMPLAIN!$B$4:$B$231,COMPLAIN!$F$4:$F$231,ABSENSI!B43)</f>
        <v>0</v>
      </c>
      <c r="J43" s="32">
        <f>SUMIFS(KUNJUNGAN!$C$4:$C$800,KUNJUNGAN!$B$4:$B$800,ABSENSI!$B43)</f>
        <v>0</v>
      </c>
      <c r="K43" s="32">
        <f>SUMIFS(KUNJUNGAN!$J$4:$J$800,KUNJUNGAN!$B$4:$B$800,ABSENSI!$B43)</f>
        <v>0</v>
      </c>
      <c r="L43" s="33">
        <f>SUMIFS(LEMBUR!$F$4:$F$235,LEMBUR!$B$4:$B$235,ABSENSI!$B43)</f>
        <v>0</v>
      </c>
      <c r="M43" s="31">
        <f t="shared" si="2"/>
        <v>0</v>
      </c>
      <c r="N43" s="31">
        <f t="shared" si="3"/>
        <v>0</v>
      </c>
      <c r="O43" s="31">
        <f t="shared" si="4"/>
        <v>0</v>
      </c>
      <c r="P43" s="31">
        <f t="shared" si="5"/>
        <v>23</v>
      </c>
      <c r="Q43" s="31">
        <f t="shared" si="6"/>
        <v>23</v>
      </c>
      <c r="R43" s="31">
        <f t="shared" si="7"/>
        <v>0</v>
      </c>
      <c r="S43" s="31">
        <f t="shared" si="8"/>
        <v>0</v>
      </c>
      <c r="T43" s="31">
        <f t="shared" si="9"/>
        <v>0</v>
      </c>
      <c r="U43" s="31">
        <f t="shared" si="10"/>
        <v>3</v>
      </c>
      <c r="V43" s="31">
        <f t="shared" si="11"/>
        <v>5</v>
      </c>
      <c r="W43" s="34" t="s">
        <v>36</v>
      </c>
      <c r="X43" s="34" t="s">
        <v>36</v>
      </c>
      <c r="Y43" s="34" t="s">
        <v>36</v>
      </c>
      <c r="Z43" s="34" t="s">
        <v>36</v>
      </c>
      <c r="AA43" s="35" t="s">
        <v>37</v>
      </c>
      <c r="AB43" s="34" t="s">
        <v>36</v>
      </c>
      <c r="AC43" s="34" t="s">
        <v>36</v>
      </c>
      <c r="AD43" s="34" t="s">
        <v>36</v>
      </c>
      <c r="AE43" s="34" t="s">
        <v>36</v>
      </c>
      <c r="AF43" s="34" t="s">
        <v>36</v>
      </c>
      <c r="AG43" s="34" t="s">
        <v>36</v>
      </c>
      <c r="AH43" s="35" t="s">
        <v>37</v>
      </c>
      <c r="AI43" s="34" t="s">
        <v>36</v>
      </c>
      <c r="AJ43" s="34" t="s">
        <v>36</v>
      </c>
      <c r="AK43" s="34" t="s">
        <v>36</v>
      </c>
      <c r="AL43" s="34" t="s">
        <v>36</v>
      </c>
      <c r="AM43" s="34" t="s">
        <v>36</v>
      </c>
      <c r="AN43" s="34" t="s">
        <v>36</v>
      </c>
      <c r="AO43" s="35" t="s">
        <v>37</v>
      </c>
      <c r="AP43" s="34" t="s">
        <v>36</v>
      </c>
      <c r="AQ43" s="34" t="s">
        <v>36</v>
      </c>
      <c r="AR43" s="36" t="s">
        <v>37</v>
      </c>
      <c r="AS43" s="36" t="s">
        <v>37</v>
      </c>
      <c r="AT43" s="34" t="s">
        <v>36</v>
      </c>
      <c r="AU43" s="34" t="s">
        <v>36</v>
      </c>
      <c r="AV43" s="34" t="s">
        <v>36</v>
      </c>
      <c r="AW43" s="34" t="s">
        <v>36</v>
      </c>
      <c r="AX43" s="34" t="s">
        <v>36</v>
      </c>
      <c r="AY43" s="34"/>
      <c r="AZ43" s="34"/>
      <c r="BA43" s="34"/>
    </row>
    <row r="44" ht="15.75" customHeight="1">
      <c r="A44" s="38">
        <v>38.0</v>
      </c>
      <c r="B44" s="39" t="s">
        <v>90</v>
      </c>
      <c r="C44" s="40" t="s">
        <v>35</v>
      </c>
      <c r="D44" s="41" t="s">
        <v>78</v>
      </c>
      <c r="E44" s="41">
        <v>1.0</v>
      </c>
      <c r="F44" s="42" t="s">
        <v>79</v>
      </c>
      <c r="G44" s="42">
        <v>0.0</v>
      </c>
      <c r="H44" s="42" t="s">
        <v>79</v>
      </c>
      <c r="I44" s="43">
        <f>SUMIFS(COMPLAIN!$B$4:$B$231,COMPLAIN!$F$4:$F$231,ABSENSI!B44)</f>
        <v>0</v>
      </c>
      <c r="J44" s="44">
        <f>SUMIFS(KUNJUNGAN!$C$4:$C$800,KUNJUNGAN!$B$4:$B$800,ABSENSI!$B44)</f>
        <v>0</v>
      </c>
      <c r="K44" s="44">
        <f>SUMIFS(KUNJUNGAN!$J$4:$J$800,KUNJUNGAN!$B$4:$B$800,ABSENSI!$B44)</f>
        <v>0</v>
      </c>
      <c r="L44" s="45">
        <f>SUMIFS(LEMBUR!$F$4:$F$235,LEMBUR!$B$4:$B$235,ABSENSI!$B44)</f>
        <v>1</v>
      </c>
      <c r="M44" s="43">
        <f t="shared" si="2"/>
        <v>0</v>
      </c>
      <c r="N44" s="43">
        <f t="shared" si="3"/>
        <v>0</v>
      </c>
      <c r="O44" s="43">
        <f t="shared" si="4"/>
        <v>0</v>
      </c>
      <c r="P44" s="43">
        <f t="shared" si="5"/>
        <v>24</v>
      </c>
      <c r="Q44" s="43">
        <f t="shared" si="6"/>
        <v>24</v>
      </c>
      <c r="R44" s="43">
        <f t="shared" si="7"/>
        <v>0</v>
      </c>
      <c r="S44" s="43">
        <f t="shared" si="8"/>
        <v>0</v>
      </c>
      <c r="T44" s="43">
        <f t="shared" si="9"/>
        <v>0</v>
      </c>
      <c r="U44" s="43">
        <f t="shared" si="10"/>
        <v>3</v>
      </c>
      <c r="V44" s="43">
        <f t="shared" si="11"/>
        <v>4</v>
      </c>
      <c r="W44" s="46" t="s">
        <v>36</v>
      </c>
      <c r="X44" s="46" t="s">
        <v>36</v>
      </c>
      <c r="Y44" s="46" t="s">
        <v>36</v>
      </c>
      <c r="Z44" s="46" t="s">
        <v>36</v>
      </c>
      <c r="AA44" s="46" t="s">
        <v>36</v>
      </c>
      <c r="AB44" s="46" t="s">
        <v>36</v>
      </c>
      <c r="AC44" s="35" t="s">
        <v>37</v>
      </c>
      <c r="AD44" s="46" t="s">
        <v>36</v>
      </c>
      <c r="AE44" s="46" t="s">
        <v>36</v>
      </c>
      <c r="AF44" s="46" t="s">
        <v>36</v>
      </c>
      <c r="AG44" s="46" t="s">
        <v>36</v>
      </c>
      <c r="AH44" s="46" t="s">
        <v>36</v>
      </c>
      <c r="AI44" s="46" t="s">
        <v>36</v>
      </c>
      <c r="AJ44" s="35" t="s">
        <v>37</v>
      </c>
      <c r="AK44" s="46" t="s">
        <v>36</v>
      </c>
      <c r="AL44" s="35" t="s">
        <v>37</v>
      </c>
      <c r="AM44" s="46" t="s">
        <v>36</v>
      </c>
      <c r="AN44" s="46" t="s">
        <v>36</v>
      </c>
      <c r="AO44" s="46" t="s">
        <v>36</v>
      </c>
      <c r="AP44" s="46" t="s">
        <v>36</v>
      </c>
      <c r="AQ44" s="46" t="s">
        <v>36</v>
      </c>
      <c r="AR44" s="46" t="s">
        <v>36</v>
      </c>
      <c r="AS44" s="46" t="s">
        <v>36</v>
      </c>
      <c r="AT44" s="46" t="s">
        <v>36</v>
      </c>
      <c r="AU44" s="46" t="s">
        <v>36</v>
      </c>
      <c r="AV44" s="46" t="s">
        <v>36</v>
      </c>
      <c r="AW44" s="46" t="s">
        <v>36</v>
      </c>
      <c r="AX44" s="36" t="s">
        <v>37</v>
      </c>
      <c r="AY44" s="46"/>
      <c r="AZ44" s="46"/>
      <c r="BA44" s="46"/>
    </row>
    <row r="45" ht="15.75" customHeight="1">
      <c r="A45" s="26">
        <v>39.0</v>
      </c>
      <c r="B45" s="27" t="s">
        <v>91</v>
      </c>
      <c r="C45" s="28" t="s">
        <v>35</v>
      </c>
      <c r="D45" s="29" t="s">
        <v>78</v>
      </c>
      <c r="E45" s="29">
        <v>1.0</v>
      </c>
      <c r="F45" s="30" t="s">
        <v>79</v>
      </c>
      <c r="G45" s="30"/>
      <c r="H45" s="30" t="s">
        <v>79</v>
      </c>
      <c r="I45" s="31">
        <f>SUMIFS(COMPLAIN!$B$4:$B$231,COMPLAIN!$F$4:$F$231,ABSENSI!B45)</f>
        <v>0</v>
      </c>
      <c r="J45" s="32">
        <f>SUMIFS(KUNJUNGAN!$C$4:$C$800,KUNJUNGAN!$B$4:$B$800,ABSENSI!$B45)</f>
        <v>0</v>
      </c>
      <c r="K45" s="32">
        <f>SUMIFS(KUNJUNGAN!$J$4:$J$800,KUNJUNGAN!$B$4:$B$800,ABSENSI!$B45)</f>
        <v>0</v>
      </c>
      <c r="L45" s="33">
        <f>SUMIFS(LEMBUR!$F$4:$F$235,LEMBUR!$B$4:$B$235,ABSENSI!$B45)</f>
        <v>2</v>
      </c>
      <c r="M45" s="31">
        <f t="shared" si="2"/>
        <v>0</v>
      </c>
      <c r="N45" s="31">
        <f t="shared" si="3"/>
        <v>0</v>
      </c>
      <c r="O45" s="31">
        <f t="shared" si="4"/>
        <v>0</v>
      </c>
      <c r="P45" s="31">
        <f t="shared" si="5"/>
        <v>22</v>
      </c>
      <c r="Q45" s="31">
        <f t="shared" si="6"/>
        <v>22</v>
      </c>
      <c r="R45" s="31">
        <f t="shared" si="7"/>
        <v>0</v>
      </c>
      <c r="S45" s="31">
        <f t="shared" si="8"/>
        <v>0</v>
      </c>
      <c r="T45" s="31">
        <f t="shared" si="9"/>
        <v>0</v>
      </c>
      <c r="U45" s="31">
        <f t="shared" si="10"/>
        <v>3</v>
      </c>
      <c r="V45" s="31">
        <f t="shared" si="11"/>
        <v>6</v>
      </c>
      <c r="W45" s="34" t="s">
        <v>36</v>
      </c>
      <c r="X45" s="34" t="s">
        <v>36</v>
      </c>
      <c r="Y45" s="34" t="s">
        <v>36</v>
      </c>
      <c r="Z45" s="34" t="s">
        <v>36</v>
      </c>
      <c r="AA45" s="34" t="s">
        <v>36</v>
      </c>
      <c r="AB45" s="34" t="s">
        <v>36</v>
      </c>
      <c r="AC45" s="34" t="s">
        <v>36</v>
      </c>
      <c r="AD45" s="35" t="s">
        <v>37</v>
      </c>
      <c r="AE45" s="34" t="s">
        <v>36</v>
      </c>
      <c r="AF45" s="34" t="s">
        <v>36</v>
      </c>
      <c r="AG45" s="34" t="s">
        <v>36</v>
      </c>
      <c r="AH45" s="34" t="s">
        <v>36</v>
      </c>
      <c r="AI45" s="34" t="s">
        <v>36</v>
      </c>
      <c r="AJ45" s="34" t="s">
        <v>36</v>
      </c>
      <c r="AK45" s="35" t="s">
        <v>37</v>
      </c>
      <c r="AL45" s="34" t="s">
        <v>36</v>
      </c>
      <c r="AM45" s="34" t="s">
        <v>36</v>
      </c>
      <c r="AN45" s="34" t="s">
        <v>36</v>
      </c>
      <c r="AO45" s="34" t="s">
        <v>36</v>
      </c>
      <c r="AP45" s="34" t="s">
        <v>36</v>
      </c>
      <c r="AQ45" s="34" t="s">
        <v>36</v>
      </c>
      <c r="AR45" s="36" t="s">
        <v>37</v>
      </c>
      <c r="AS45" s="34" t="s">
        <v>36</v>
      </c>
      <c r="AT45" s="34" t="s">
        <v>36</v>
      </c>
      <c r="AU45" s="34" t="s">
        <v>36</v>
      </c>
      <c r="AV45" s="36" t="s">
        <v>37</v>
      </c>
      <c r="AW45" s="36" t="s">
        <v>37</v>
      </c>
      <c r="AX45" s="36" t="s">
        <v>37</v>
      </c>
      <c r="AY45" s="34"/>
      <c r="AZ45" s="34"/>
      <c r="BA45" s="34"/>
    </row>
    <row r="46" ht="15.75" customHeight="1">
      <c r="A46" s="38">
        <v>40.0</v>
      </c>
      <c r="B46" s="39" t="s">
        <v>92</v>
      </c>
      <c r="C46" s="40" t="s">
        <v>35</v>
      </c>
      <c r="D46" s="41" t="s">
        <v>78</v>
      </c>
      <c r="E46" s="41">
        <v>1.0</v>
      </c>
      <c r="F46" s="42" t="s">
        <v>79</v>
      </c>
      <c r="G46" s="42">
        <v>0.0</v>
      </c>
      <c r="H46" s="42" t="s">
        <v>79</v>
      </c>
      <c r="I46" s="43">
        <f>SUMIFS(COMPLAIN!$B$4:$B$231,COMPLAIN!$F$4:$F$231,ABSENSI!B46)</f>
        <v>0</v>
      </c>
      <c r="J46" s="44">
        <f>SUMIFS(KUNJUNGAN!$C$4:$C$800,KUNJUNGAN!$B$4:$B$800,ABSENSI!$B46)</f>
        <v>0</v>
      </c>
      <c r="K46" s="44">
        <f>SUMIFS(KUNJUNGAN!$J$4:$J$800,KUNJUNGAN!$B$4:$B$800,ABSENSI!$B46)</f>
        <v>0</v>
      </c>
      <c r="L46" s="45">
        <f>SUMIFS(LEMBUR!$F$4:$F$235,LEMBUR!$B$4:$B$235,ABSENSI!$B46)</f>
        <v>7</v>
      </c>
      <c r="M46" s="43">
        <f t="shared" si="2"/>
        <v>0</v>
      </c>
      <c r="N46" s="43">
        <f t="shared" si="3"/>
        <v>0</v>
      </c>
      <c r="O46" s="43">
        <f t="shared" si="4"/>
        <v>0</v>
      </c>
      <c r="P46" s="43">
        <f t="shared" si="5"/>
        <v>22</v>
      </c>
      <c r="Q46" s="43">
        <f t="shared" si="6"/>
        <v>22</v>
      </c>
      <c r="R46" s="43">
        <f t="shared" si="7"/>
        <v>0</v>
      </c>
      <c r="S46" s="43">
        <f t="shared" si="8"/>
        <v>0</v>
      </c>
      <c r="T46" s="43">
        <f t="shared" si="9"/>
        <v>0</v>
      </c>
      <c r="U46" s="43">
        <f t="shared" si="10"/>
        <v>3</v>
      </c>
      <c r="V46" s="43">
        <f t="shared" si="11"/>
        <v>6</v>
      </c>
      <c r="W46" s="46" t="s">
        <v>36</v>
      </c>
      <c r="X46" s="46" t="s">
        <v>36</v>
      </c>
      <c r="Y46" s="54" t="s">
        <v>37</v>
      </c>
      <c r="Z46" s="46" t="s">
        <v>36</v>
      </c>
      <c r="AA46" s="46" t="s">
        <v>36</v>
      </c>
      <c r="AB46" s="46" t="s">
        <v>36</v>
      </c>
      <c r="AC46" s="46" t="s">
        <v>36</v>
      </c>
      <c r="AD46" s="46" t="s">
        <v>36</v>
      </c>
      <c r="AE46" s="35" t="s">
        <v>37</v>
      </c>
      <c r="AF46" s="46" t="s">
        <v>36</v>
      </c>
      <c r="AG46" s="46" t="s">
        <v>36</v>
      </c>
      <c r="AH46" s="46" t="s">
        <v>36</v>
      </c>
      <c r="AI46" s="46" t="s">
        <v>36</v>
      </c>
      <c r="AJ46" s="46" t="s">
        <v>36</v>
      </c>
      <c r="AK46" s="46" t="s">
        <v>36</v>
      </c>
      <c r="AL46" s="35" t="s">
        <v>37</v>
      </c>
      <c r="AM46" s="46" t="s">
        <v>36</v>
      </c>
      <c r="AN46" s="46" t="s">
        <v>36</v>
      </c>
      <c r="AO46" s="46" t="s">
        <v>36</v>
      </c>
      <c r="AP46" s="46" t="s">
        <v>36</v>
      </c>
      <c r="AQ46" s="46" t="s">
        <v>36</v>
      </c>
      <c r="AR46" s="46" t="s">
        <v>36</v>
      </c>
      <c r="AS46" s="36" t="s">
        <v>37</v>
      </c>
      <c r="AT46" s="36" t="s">
        <v>37</v>
      </c>
      <c r="AU46" s="36" t="s">
        <v>37</v>
      </c>
      <c r="AV46" s="46" t="s">
        <v>36</v>
      </c>
      <c r="AW46" s="46" t="s">
        <v>36</v>
      </c>
      <c r="AX46" s="46" t="s">
        <v>36</v>
      </c>
      <c r="AY46" s="46"/>
      <c r="AZ46" s="46"/>
      <c r="BA46" s="46"/>
    </row>
    <row r="47" ht="15.75" customHeight="1">
      <c r="A47" s="26">
        <v>41.0</v>
      </c>
      <c r="B47" s="27" t="s">
        <v>93</v>
      </c>
      <c r="C47" s="28" t="s">
        <v>35</v>
      </c>
      <c r="D47" s="29" t="s">
        <v>78</v>
      </c>
      <c r="E47" s="29">
        <v>1.0</v>
      </c>
      <c r="F47" s="30" t="s">
        <v>79</v>
      </c>
      <c r="G47" s="30"/>
      <c r="H47" s="30" t="s">
        <v>79</v>
      </c>
      <c r="I47" s="31">
        <f>SUMIFS(COMPLAIN!$B$4:$B$231,COMPLAIN!$F$4:$F$231,ABSENSI!B47)</f>
        <v>0</v>
      </c>
      <c r="J47" s="32">
        <f>SUMIFS(KUNJUNGAN!$C$4:$C$800,KUNJUNGAN!$B$4:$B$800,ABSENSI!$B47)</f>
        <v>0</v>
      </c>
      <c r="K47" s="32">
        <f>SUMIFS(KUNJUNGAN!$J$4:$J$800,KUNJUNGAN!$B$4:$B$800,ABSENSI!$B47)</f>
        <v>0</v>
      </c>
      <c r="L47" s="33">
        <f>SUMIFS(LEMBUR!$F$4:$F$235,LEMBUR!$B$4:$B$235,ABSENSI!$B47)</f>
        <v>1</v>
      </c>
      <c r="M47" s="31">
        <f t="shared" si="2"/>
        <v>0</v>
      </c>
      <c r="N47" s="31">
        <f t="shared" si="3"/>
        <v>0</v>
      </c>
      <c r="O47" s="31">
        <f t="shared" si="4"/>
        <v>0</v>
      </c>
      <c r="P47" s="31">
        <f t="shared" si="5"/>
        <v>22</v>
      </c>
      <c r="Q47" s="31">
        <f t="shared" si="6"/>
        <v>22</v>
      </c>
      <c r="R47" s="31">
        <f t="shared" si="7"/>
        <v>0</v>
      </c>
      <c r="S47" s="31">
        <f t="shared" si="8"/>
        <v>0</v>
      </c>
      <c r="T47" s="31">
        <f t="shared" si="9"/>
        <v>0</v>
      </c>
      <c r="U47" s="31">
        <f t="shared" si="10"/>
        <v>3</v>
      </c>
      <c r="V47" s="31">
        <f t="shared" si="11"/>
        <v>6</v>
      </c>
      <c r="W47" s="34" t="s">
        <v>36</v>
      </c>
      <c r="X47" s="34" t="s">
        <v>36</v>
      </c>
      <c r="Y47" s="34" t="s">
        <v>36</v>
      </c>
      <c r="Z47" s="34" t="s">
        <v>36</v>
      </c>
      <c r="AA47" s="34" t="s">
        <v>36</v>
      </c>
      <c r="AB47" s="34" t="s">
        <v>36</v>
      </c>
      <c r="AC47" s="35" t="s">
        <v>37</v>
      </c>
      <c r="AD47" s="34" t="s">
        <v>36</v>
      </c>
      <c r="AE47" s="34" t="s">
        <v>36</v>
      </c>
      <c r="AF47" s="35" t="s">
        <v>37</v>
      </c>
      <c r="AG47" s="34" t="s">
        <v>36</v>
      </c>
      <c r="AH47" s="34" t="s">
        <v>36</v>
      </c>
      <c r="AI47" s="34" t="s">
        <v>36</v>
      </c>
      <c r="AJ47" s="35" t="s">
        <v>37</v>
      </c>
      <c r="AK47" s="34" t="s">
        <v>36</v>
      </c>
      <c r="AL47" s="34" t="s">
        <v>36</v>
      </c>
      <c r="AM47" s="34" t="s">
        <v>36</v>
      </c>
      <c r="AN47" s="34" t="s">
        <v>36</v>
      </c>
      <c r="AO47" s="34" t="s">
        <v>36</v>
      </c>
      <c r="AP47" s="34" t="s">
        <v>36</v>
      </c>
      <c r="AQ47" s="36" t="s">
        <v>37</v>
      </c>
      <c r="AR47" s="34" t="s">
        <v>36</v>
      </c>
      <c r="AS47" s="34" t="s">
        <v>36</v>
      </c>
      <c r="AT47" s="34" t="s">
        <v>36</v>
      </c>
      <c r="AU47" s="34" t="s">
        <v>36</v>
      </c>
      <c r="AV47" s="36" t="s">
        <v>37</v>
      </c>
      <c r="AW47" s="36" t="s">
        <v>37</v>
      </c>
      <c r="AX47" s="34" t="s">
        <v>36</v>
      </c>
      <c r="AY47" s="34"/>
      <c r="AZ47" s="34"/>
      <c r="BA47" s="34"/>
    </row>
    <row r="48" ht="15.75" customHeight="1">
      <c r="A48" s="38">
        <v>42.0</v>
      </c>
      <c r="B48" s="39" t="s">
        <v>94</v>
      </c>
      <c r="C48" s="40" t="s">
        <v>95</v>
      </c>
      <c r="D48" s="41" t="s">
        <v>78</v>
      </c>
      <c r="E48" s="41">
        <v>1.0</v>
      </c>
      <c r="F48" s="42" t="s">
        <v>79</v>
      </c>
      <c r="G48" s="42">
        <v>0.0</v>
      </c>
      <c r="H48" s="42" t="s">
        <v>79</v>
      </c>
      <c r="I48" s="43">
        <f>SUMIFS(COMPLAIN!$B$4:$B$231,COMPLAIN!$F$4:$F$231,ABSENSI!B48)</f>
        <v>0</v>
      </c>
      <c r="J48" s="44">
        <f>SUMIFS(KUNJUNGAN!$C$4:$C$800,KUNJUNGAN!$B$4:$B$800,ABSENSI!$B48)</f>
        <v>0</v>
      </c>
      <c r="K48" s="44">
        <f>SUMIFS(KUNJUNGAN!$J$4:$J$800,KUNJUNGAN!$B$4:$B$800,ABSENSI!$B48)</f>
        <v>0</v>
      </c>
      <c r="L48" s="45">
        <f>SUMIFS(LEMBUR!$F$4:$F$235,LEMBUR!$B$4:$B$235,ABSENSI!$B48)</f>
        <v>33</v>
      </c>
      <c r="M48" s="43">
        <f t="shared" si="2"/>
        <v>0</v>
      </c>
      <c r="N48" s="43">
        <f t="shared" si="3"/>
        <v>0</v>
      </c>
      <c r="O48" s="43">
        <f t="shared" si="4"/>
        <v>0</v>
      </c>
      <c r="P48" s="43">
        <f t="shared" si="5"/>
        <v>22</v>
      </c>
      <c r="Q48" s="43">
        <f t="shared" si="6"/>
        <v>20</v>
      </c>
      <c r="R48" s="43">
        <f t="shared" si="7"/>
        <v>0</v>
      </c>
      <c r="S48" s="43">
        <f t="shared" si="8"/>
        <v>2</v>
      </c>
      <c r="T48" s="43">
        <f t="shared" si="9"/>
        <v>0</v>
      </c>
      <c r="U48" s="43">
        <f t="shared" si="10"/>
        <v>3</v>
      </c>
      <c r="V48" s="43">
        <f t="shared" si="11"/>
        <v>6</v>
      </c>
      <c r="W48" s="46" t="s">
        <v>36</v>
      </c>
      <c r="X48" s="46" t="s">
        <v>36</v>
      </c>
      <c r="Y48" s="46" t="s">
        <v>36</v>
      </c>
      <c r="Z48" s="35" t="s">
        <v>37</v>
      </c>
      <c r="AA48" s="46" t="s">
        <v>36</v>
      </c>
      <c r="AB48" s="46" t="s">
        <v>36</v>
      </c>
      <c r="AC48" s="46" t="s">
        <v>36</v>
      </c>
      <c r="AD48" s="46" t="s">
        <v>36</v>
      </c>
      <c r="AE48" s="46" t="s">
        <v>36</v>
      </c>
      <c r="AF48" s="46" t="s">
        <v>36</v>
      </c>
      <c r="AG48" s="35" t="s">
        <v>37</v>
      </c>
      <c r="AH48" s="46" t="s">
        <v>36</v>
      </c>
      <c r="AI48" s="46" t="s">
        <v>36</v>
      </c>
      <c r="AJ48" s="46" t="s">
        <v>36</v>
      </c>
      <c r="AK48" s="46" t="s">
        <v>36</v>
      </c>
      <c r="AL48" s="46" t="s">
        <v>36</v>
      </c>
      <c r="AM48" s="46" t="s">
        <v>36</v>
      </c>
      <c r="AN48" s="35" t="s">
        <v>37</v>
      </c>
      <c r="AO48" s="46" t="s">
        <v>36</v>
      </c>
      <c r="AP48" s="46" t="s">
        <v>36</v>
      </c>
      <c r="AQ48" s="46" t="s">
        <v>36</v>
      </c>
      <c r="AR48" s="53" t="s">
        <v>36</v>
      </c>
      <c r="AS48" s="36" t="s">
        <v>37</v>
      </c>
      <c r="AT48" s="36" t="s">
        <v>37</v>
      </c>
      <c r="AU48" s="36" t="s">
        <v>37</v>
      </c>
      <c r="AV48" s="37" t="s">
        <v>11</v>
      </c>
      <c r="AW48" s="37" t="s">
        <v>11</v>
      </c>
      <c r="AX48" s="46" t="s">
        <v>36</v>
      </c>
      <c r="AY48" s="46"/>
      <c r="AZ48" s="46"/>
      <c r="BA48" s="46"/>
    </row>
    <row r="49" ht="15.75" customHeight="1">
      <c r="A49" s="26">
        <v>43.0</v>
      </c>
      <c r="B49" s="27" t="s">
        <v>96</v>
      </c>
      <c r="C49" s="59" t="s">
        <v>97</v>
      </c>
      <c r="D49" s="29" t="s">
        <v>78</v>
      </c>
      <c r="E49" s="29">
        <v>1.0</v>
      </c>
      <c r="F49" s="30" t="s">
        <v>79</v>
      </c>
      <c r="G49" s="30"/>
      <c r="H49" s="30" t="s">
        <v>79</v>
      </c>
      <c r="I49" s="31">
        <f>SUMIFS(COMPLAIN!$B$4:$B$231,COMPLAIN!$F$4:$F$231,ABSENSI!B49)</f>
        <v>0</v>
      </c>
      <c r="J49" s="32">
        <f>SUMIFS(KUNJUNGAN!$C$4:$C$800,KUNJUNGAN!$B$4:$B$800,ABSENSI!$B49)</f>
        <v>0</v>
      </c>
      <c r="K49" s="32">
        <f>SUMIFS(KUNJUNGAN!$J$4:$J$800,KUNJUNGAN!$B$4:$B$800,ABSENSI!$B49)</f>
        <v>0</v>
      </c>
      <c r="L49" s="33">
        <f>SUMIFS(LEMBUR!$F$4:$F$235,LEMBUR!$B$4:$B$235,ABSENSI!$B49)</f>
        <v>0</v>
      </c>
      <c r="M49" s="31">
        <f t="shared" si="2"/>
        <v>0</v>
      </c>
      <c r="N49" s="31">
        <f t="shared" si="3"/>
        <v>0</v>
      </c>
      <c r="O49" s="31">
        <f t="shared" si="4"/>
        <v>0</v>
      </c>
      <c r="P49" s="31">
        <f t="shared" si="5"/>
        <v>22</v>
      </c>
      <c r="Q49" s="31">
        <f t="shared" si="6"/>
        <v>20</v>
      </c>
      <c r="R49" s="31">
        <f t="shared" si="7"/>
        <v>0</v>
      </c>
      <c r="S49" s="31">
        <f t="shared" si="8"/>
        <v>2</v>
      </c>
      <c r="T49" s="31">
        <f t="shared" si="9"/>
        <v>0</v>
      </c>
      <c r="U49" s="31">
        <f t="shared" si="10"/>
        <v>3</v>
      </c>
      <c r="V49" s="31">
        <f t="shared" si="11"/>
        <v>6</v>
      </c>
      <c r="W49" s="34" t="s">
        <v>36</v>
      </c>
      <c r="X49" s="34" t="s">
        <v>36</v>
      </c>
      <c r="Y49" s="34" t="s">
        <v>36</v>
      </c>
      <c r="Z49" s="35" t="s">
        <v>37</v>
      </c>
      <c r="AA49" s="34" t="s">
        <v>36</v>
      </c>
      <c r="AB49" s="34" t="s">
        <v>36</v>
      </c>
      <c r="AC49" s="34" t="s">
        <v>36</v>
      </c>
      <c r="AD49" s="34" t="s">
        <v>36</v>
      </c>
      <c r="AE49" s="34" t="s">
        <v>36</v>
      </c>
      <c r="AF49" s="34" t="s">
        <v>36</v>
      </c>
      <c r="AG49" s="35" t="s">
        <v>37</v>
      </c>
      <c r="AH49" s="34" t="s">
        <v>36</v>
      </c>
      <c r="AI49" s="34" t="s">
        <v>36</v>
      </c>
      <c r="AJ49" s="34" t="s">
        <v>36</v>
      </c>
      <c r="AK49" s="34" t="s">
        <v>36</v>
      </c>
      <c r="AL49" s="34" t="s">
        <v>36</v>
      </c>
      <c r="AM49" s="34" t="s">
        <v>36</v>
      </c>
      <c r="AN49" s="35" t="s">
        <v>37</v>
      </c>
      <c r="AO49" s="34" t="s">
        <v>36</v>
      </c>
      <c r="AP49" s="34" t="s">
        <v>36</v>
      </c>
      <c r="AQ49" s="34" t="s">
        <v>36</v>
      </c>
      <c r="AR49" s="34" t="s">
        <v>36</v>
      </c>
      <c r="AS49" s="36" t="s">
        <v>37</v>
      </c>
      <c r="AT49" s="36" t="s">
        <v>37</v>
      </c>
      <c r="AU49" s="36" t="s">
        <v>37</v>
      </c>
      <c r="AV49" s="37" t="s">
        <v>11</v>
      </c>
      <c r="AW49" s="37" t="s">
        <v>11</v>
      </c>
      <c r="AX49" s="34" t="s">
        <v>36</v>
      </c>
      <c r="AY49" s="34"/>
      <c r="AZ49" s="34"/>
      <c r="BA49" s="34"/>
    </row>
    <row r="50" ht="15.75" customHeight="1">
      <c r="A50" s="38">
        <v>44.0</v>
      </c>
      <c r="B50" s="39" t="s">
        <v>98</v>
      </c>
      <c r="C50" s="40" t="s">
        <v>35</v>
      </c>
      <c r="D50" s="41" t="s">
        <v>78</v>
      </c>
      <c r="E50" s="41">
        <v>1.0</v>
      </c>
      <c r="F50" s="42" t="s">
        <v>79</v>
      </c>
      <c r="G50" s="42">
        <v>0.0</v>
      </c>
      <c r="H50" s="42" t="s">
        <v>79</v>
      </c>
      <c r="I50" s="43">
        <f>SUMIFS(COMPLAIN!$B$4:$B$231,COMPLAIN!$F$4:$F$231,ABSENSI!B50)</f>
        <v>0</v>
      </c>
      <c r="J50" s="44">
        <f>SUMIFS(KUNJUNGAN!$C$4:$C$800,KUNJUNGAN!$B$4:$B$800,ABSENSI!$B50)</f>
        <v>0</v>
      </c>
      <c r="K50" s="44">
        <f>SUMIFS(KUNJUNGAN!$J$4:$J$800,KUNJUNGAN!$B$4:$B$800,ABSENSI!$B50)</f>
        <v>0</v>
      </c>
      <c r="L50" s="45">
        <f>SUMIFS(LEMBUR!$F$4:$F$235,LEMBUR!$B$4:$B$235,ABSENSI!$B50)</f>
        <v>1</v>
      </c>
      <c r="M50" s="43">
        <f t="shared" si="2"/>
        <v>0</v>
      </c>
      <c r="N50" s="43">
        <f t="shared" si="3"/>
        <v>0</v>
      </c>
      <c r="O50" s="43">
        <f t="shared" si="4"/>
        <v>0</v>
      </c>
      <c r="P50" s="43">
        <f t="shared" si="5"/>
        <v>22</v>
      </c>
      <c r="Q50" s="43">
        <f t="shared" si="6"/>
        <v>22</v>
      </c>
      <c r="R50" s="43">
        <f t="shared" si="7"/>
        <v>0</v>
      </c>
      <c r="S50" s="43">
        <f t="shared" si="8"/>
        <v>0</v>
      </c>
      <c r="T50" s="43">
        <f t="shared" si="9"/>
        <v>0</v>
      </c>
      <c r="U50" s="43">
        <f t="shared" si="10"/>
        <v>3</v>
      </c>
      <c r="V50" s="43">
        <f t="shared" si="11"/>
        <v>6</v>
      </c>
      <c r="W50" s="46" t="s">
        <v>36</v>
      </c>
      <c r="X50" s="46" t="s">
        <v>36</v>
      </c>
      <c r="Y50" s="46" t="s">
        <v>36</v>
      </c>
      <c r="Z50" s="35" t="s">
        <v>37</v>
      </c>
      <c r="AA50" s="46" t="s">
        <v>36</v>
      </c>
      <c r="AB50" s="46" t="s">
        <v>36</v>
      </c>
      <c r="AC50" s="46" t="s">
        <v>36</v>
      </c>
      <c r="AD50" s="46" t="s">
        <v>36</v>
      </c>
      <c r="AE50" s="46" t="s">
        <v>36</v>
      </c>
      <c r="AF50" s="46" t="s">
        <v>36</v>
      </c>
      <c r="AG50" s="35" t="s">
        <v>37</v>
      </c>
      <c r="AH50" s="46" t="s">
        <v>36</v>
      </c>
      <c r="AI50" s="46" t="s">
        <v>36</v>
      </c>
      <c r="AJ50" s="46" t="s">
        <v>36</v>
      </c>
      <c r="AK50" s="46" t="s">
        <v>36</v>
      </c>
      <c r="AL50" s="46" t="s">
        <v>36</v>
      </c>
      <c r="AM50" s="46" t="s">
        <v>36</v>
      </c>
      <c r="AN50" s="35" t="s">
        <v>37</v>
      </c>
      <c r="AO50" s="46" t="s">
        <v>36</v>
      </c>
      <c r="AP50" s="46" t="s">
        <v>36</v>
      </c>
      <c r="AQ50" s="46" t="s">
        <v>36</v>
      </c>
      <c r="AR50" s="46" t="s">
        <v>36</v>
      </c>
      <c r="AS50" s="36" t="s">
        <v>37</v>
      </c>
      <c r="AT50" s="36" t="s">
        <v>37</v>
      </c>
      <c r="AU50" s="36" t="s">
        <v>37</v>
      </c>
      <c r="AV50" s="46" t="s">
        <v>36</v>
      </c>
      <c r="AW50" s="46" t="s">
        <v>36</v>
      </c>
      <c r="AX50" s="46" t="s">
        <v>36</v>
      </c>
      <c r="AY50" s="46"/>
      <c r="AZ50" s="46"/>
      <c r="BA50" s="46"/>
    </row>
    <row r="51" ht="15.75" customHeight="1">
      <c r="A51" s="26">
        <v>45.0</v>
      </c>
      <c r="B51" s="27" t="s">
        <v>99</v>
      </c>
      <c r="C51" s="28" t="s">
        <v>35</v>
      </c>
      <c r="D51" s="29" t="s">
        <v>78</v>
      </c>
      <c r="E51" s="29">
        <v>1.0</v>
      </c>
      <c r="F51" s="30" t="s">
        <v>79</v>
      </c>
      <c r="G51" s="30">
        <v>0.0</v>
      </c>
      <c r="H51" s="30" t="s">
        <v>79</v>
      </c>
      <c r="I51" s="31">
        <f>SUMIFS(COMPLAIN!$B$4:$B$231,COMPLAIN!$F$4:$F$231,ABSENSI!B51)</f>
        <v>0</v>
      </c>
      <c r="J51" s="32">
        <f>SUMIFS(KUNJUNGAN!$C$4:$C$800,KUNJUNGAN!$B$4:$B$800,ABSENSI!$B51)</f>
        <v>0</v>
      </c>
      <c r="K51" s="32">
        <f>SUMIFS(KUNJUNGAN!$J$4:$J$800,KUNJUNGAN!$B$4:$B$800,ABSENSI!$B51)</f>
        <v>0</v>
      </c>
      <c r="L51" s="33">
        <f>SUMIFS(LEMBUR!$F$4:$F$235,LEMBUR!$B$4:$B$235,ABSENSI!$B51)</f>
        <v>0</v>
      </c>
      <c r="M51" s="31">
        <f t="shared" si="2"/>
        <v>0</v>
      </c>
      <c r="N51" s="31">
        <f t="shared" si="3"/>
        <v>0</v>
      </c>
      <c r="O51" s="31">
        <f t="shared" si="4"/>
        <v>0</v>
      </c>
      <c r="P51" s="31">
        <f t="shared" si="5"/>
        <v>22</v>
      </c>
      <c r="Q51" s="31">
        <f t="shared" si="6"/>
        <v>22</v>
      </c>
      <c r="R51" s="31">
        <f t="shared" si="7"/>
        <v>0</v>
      </c>
      <c r="S51" s="31">
        <f t="shared" si="8"/>
        <v>0</v>
      </c>
      <c r="T51" s="31">
        <f t="shared" si="9"/>
        <v>0</v>
      </c>
      <c r="U51" s="31">
        <f t="shared" si="10"/>
        <v>3</v>
      </c>
      <c r="V51" s="31">
        <f t="shared" si="11"/>
        <v>6</v>
      </c>
      <c r="W51" s="34" t="s">
        <v>36</v>
      </c>
      <c r="X51" s="34" t="s">
        <v>36</v>
      </c>
      <c r="Y51" s="34" t="s">
        <v>36</v>
      </c>
      <c r="Z51" s="35" t="s">
        <v>37</v>
      </c>
      <c r="AA51" s="34" t="s">
        <v>36</v>
      </c>
      <c r="AB51" s="34" t="s">
        <v>36</v>
      </c>
      <c r="AC51" s="34" t="s">
        <v>36</v>
      </c>
      <c r="AD51" s="34" t="s">
        <v>36</v>
      </c>
      <c r="AE51" s="34" t="s">
        <v>36</v>
      </c>
      <c r="AF51" s="34" t="s">
        <v>36</v>
      </c>
      <c r="AG51" s="35" t="s">
        <v>37</v>
      </c>
      <c r="AH51" s="34" t="s">
        <v>36</v>
      </c>
      <c r="AI51" s="34" t="s">
        <v>36</v>
      </c>
      <c r="AJ51" s="34" t="s">
        <v>36</v>
      </c>
      <c r="AK51" s="34" t="s">
        <v>36</v>
      </c>
      <c r="AL51" s="34" t="s">
        <v>36</v>
      </c>
      <c r="AM51" s="34" t="s">
        <v>36</v>
      </c>
      <c r="AN51" s="35" t="s">
        <v>37</v>
      </c>
      <c r="AO51" s="34" t="s">
        <v>36</v>
      </c>
      <c r="AP51" s="34" t="s">
        <v>36</v>
      </c>
      <c r="AQ51" s="34" t="s">
        <v>36</v>
      </c>
      <c r="AR51" s="36" t="s">
        <v>37</v>
      </c>
      <c r="AS51" s="36" t="s">
        <v>37</v>
      </c>
      <c r="AT51" s="36" t="s">
        <v>37</v>
      </c>
      <c r="AU51" s="34" t="s">
        <v>36</v>
      </c>
      <c r="AV51" s="34" t="s">
        <v>36</v>
      </c>
      <c r="AW51" s="34" t="s">
        <v>36</v>
      </c>
      <c r="AX51" s="34" t="s">
        <v>36</v>
      </c>
      <c r="AY51" s="34"/>
      <c r="AZ51" s="34"/>
      <c r="BA51" s="34"/>
    </row>
    <row r="52" ht="15.75" customHeight="1">
      <c r="A52" s="38">
        <v>46.0</v>
      </c>
      <c r="B52" s="39" t="s">
        <v>100</v>
      </c>
      <c r="C52" s="40" t="s">
        <v>101</v>
      </c>
      <c r="D52" s="41" t="s">
        <v>78</v>
      </c>
      <c r="E52" s="41">
        <v>1.0</v>
      </c>
      <c r="F52" s="42" t="s">
        <v>79</v>
      </c>
      <c r="G52" s="42">
        <v>0.0</v>
      </c>
      <c r="H52" s="42" t="s">
        <v>79</v>
      </c>
      <c r="I52" s="43">
        <f>SUMIFS(COMPLAIN!$B$4:$B$231,COMPLAIN!$F$4:$F$231,ABSENSI!B52)</f>
        <v>0</v>
      </c>
      <c r="J52" s="44">
        <f>SUMIFS(KUNJUNGAN!$C$4:$C$800,KUNJUNGAN!$B$4:$B$800,ABSENSI!$B52)</f>
        <v>0</v>
      </c>
      <c r="K52" s="44">
        <f>SUMIFS(KUNJUNGAN!$J$4:$J$800,KUNJUNGAN!$B$4:$B$800,ABSENSI!$B52)</f>
        <v>0</v>
      </c>
      <c r="L52" s="45">
        <f>SUMIFS(LEMBUR!$F$4:$F$235,LEMBUR!$B$4:$B$235,ABSENSI!$B52)</f>
        <v>0</v>
      </c>
      <c r="M52" s="43">
        <f t="shared" si="2"/>
        <v>2</v>
      </c>
      <c r="N52" s="43">
        <f t="shared" si="3"/>
        <v>0</v>
      </c>
      <c r="O52" s="43">
        <f t="shared" si="4"/>
        <v>0</v>
      </c>
      <c r="P52" s="43">
        <f t="shared" si="5"/>
        <v>24</v>
      </c>
      <c r="Q52" s="43">
        <f t="shared" si="6"/>
        <v>22</v>
      </c>
      <c r="R52" s="43">
        <f t="shared" si="7"/>
        <v>0</v>
      </c>
      <c r="S52" s="43">
        <f t="shared" si="8"/>
        <v>2</v>
      </c>
      <c r="T52" s="43">
        <f t="shared" si="9"/>
        <v>0</v>
      </c>
      <c r="U52" s="43">
        <f t="shared" si="10"/>
        <v>3</v>
      </c>
      <c r="V52" s="43">
        <f t="shared" si="11"/>
        <v>4</v>
      </c>
      <c r="W52" s="46" t="s">
        <v>36</v>
      </c>
      <c r="X52" s="46" t="s">
        <v>36</v>
      </c>
      <c r="Y52" s="46" t="s">
        <v>36</v>
      </c>
      <c r="Z52" s="57" t="s">
        <v>84</v>
      </c>
      <c r="AA52" s="46" t="s">
        <v>36</v>
      </c>
      <c r="AB52" s="46" t="s">
        <v>36</v>
      </c>
      <c r="AC52" s="46" t="s">
        <v>36</v>
      </c>
      <c r="AD52" s="46" t="s">
        <v>36</v>
      </c>
      <c r="AE52" s="46" t="s">
        <v>36</v>
      </c>
      <c r="AF52" s="46" t="s">
        <v>36</v>
      </c>
      <c r="AG52" s="57" t="s">
        <v>84</v>
      </c>
      <c r="AH52" s="46" t="s">
        <v>36</v>
      </c>
      <c r="AI52" s="46" t="s">
        <v>36</v>
      </c>
      <c r="AJ52" s="46" t="s">
        <v>36</v>
      </c>
      <c r="AK52" s="46" t="s">
        <v>36</v>
      </c>
      <c r="AL52" s="46" t="s">
        <v>36</v>
      </c>
      <c r="AM52" s="46" t="s">
        <v>36</v>
      </c>
      <c r="AN52" s="35" t="s">
        <v>37</v>
      </c>
      <c r="AO52" s="46" t="s">
        <v>36</v>
      </c>
      <c r="AP52" s="46" t="s">
        <v>36</v>
      </c>
      <c r="AQ52" s="46" t="s">
        <v>36</v>
      </c>
      <c r="AR52" s="36" t="s">
        <v>37</v>
      </c>
      <c r="AS52" s="37" t="s">
        <v>11</v>
      </c>
      <c r="AT52" s="36" t="s">
        <v>37</v>
      </c>
      <c r="AU52" s="36" t="s">
        <v>37</v>
      </c>
      <c r="AV52" s="37" t="s">
        <v>11</v>
      </c>
      <c r="AW52" s="46" t="s">
        <v>36</v>
      </c>
      <c r="AX52" s="46" t="s">
        <v>36</v>
      </c>
      <c r="AY52" s="46"/>
      <c r="AZ52" s="46"/>
      <c r="BA52" s="46"/>
    </row>
    <row r="53" ht="15.75" customHeight="1">
      <c r="A53" s="26">
        <v>47.0</v>
      </c>
      <c r="B53" s="27" t="s">
        <v>102</v>
      </c>
      <c r="C53" s="59" t="s">
        <v>68</v>
      </c>
      <c r="D53" s="29" t="s">
        <v>78</v>
      </c>
      <c r="E53" s="29">
        <v>1.0</v>
      </c>
      <c r="F53" s="30" t="s">
        <v>79</v>
      </c>
      <c r="G53" s="30">
        <v>0.0</v>
      </c>
      <c r="H53" s="30" t="s">
        <v>79</v>
      </c>
      <c r="I53" s="31">
        <f>SUMIFS(COMPLAIN!$B$4:$B$231,COMPLAIN!$F$4:$F$231,ABSENSI!B53)</f>
        <v>0</v>
      </c>
      <c r="J53" s="32">
        <f>SUMIFS(KUNJUNGAN!$C$4:$C$800,KUNJUNGAN!$B$4:$B$800,ABSENSI!$B53)</f>
        <v>0</v>
      </c>
      <c r="K53" s="32">
        <f>SUMIFS(KUNJUNGAN!$J$4:$J$800,KUNJUNGAN!$B$4:$B$800,ABSENSI!$B53)</f>
        <v>0</v>
      </c>
      <c r="L53" s="33">
        <f>SUMIFS(LEMBUR!$F$4:$F$235,LEMBUR!$B$4:$B$235,ABSENSI!$B53)</f>
        <v>5</v>
      </c>
      <c r="M53" s="31">
        <f t="shared" si="2"/>
        <v>0</v>
      </c>
      <c r="N53" s="31">
        <f t="shared" si="3"/>
        <v>0</v>
      </c>
      <c r="O53" s="31">
        <f t="shared" si="4"/>
        <v>0</v>
      </c>
      <c r="P53" s="31">
        <f t="shared" si="5"/>
        <v>22</v>
      </c>
      <c r="Q53" s="31">
        <f t="shared" si="6"/>
        <v>22</v>
      </c>
      <c r="R53" s="31">
        <f t="shared" si="7"/>
        <v>0</v>
      </c>
      <c r="S53" s="31">
        <f t="shared" si="8"/>
        <v>0</v>
      </c>
      <c r="T53" s="31">
        <f t="shared" si="9"/>
        <v>0</v>
      </c>
      <c r="U53" s="31">
        <f t="shared" si="10"/>
        <v>3</v>
      </c>
      <c r="V53" s="31">
        <f t="shared" si="11"/>
        <v>6</v>
      </c>
      <c r="W53" s="34" t="s">
        <v>36</v>
      </c>
      <c r="X53" s="34" t="s">
        <v>36</v>
      </c>
      <c r="Y53" s="54" t="s">
        <v>37</v>
      </c>
      <c r="Z53" s="34" t="s">
        <v>36</v>
      </c>
      <c r="AA53" s="34" t="s">
        <v>36</v>
      </c>
      <c r="AB53" s="34" t="s">
        <v>36</v>
      </c>
      <c r="AC53" s="34" t="s">
        <v>36</v>
      </c>
      <c r="AD53" s="34" t="s">
        <v>36</v>
      </c>
      <c r="AE53" s="35" t="s">
        <v>37</v>
      </c>
      <c r="AF53" s="34" t="s">
        <v>36</v>
      </c>
      <c r="AG53" s="34" t="s">
        <v>36</v>
      </c>
      <c r="AH53" s="34" t="s">
        <v>36</v>
      </c>
      <c r="AI53" s="34" t="s">
        <v>36</v>
      </c>
      <c r="AJ53" s="34" t="s">
        <v>36</v>
      </c>
      <c r="AK53" s="34" t="s">
        <v>36</v>
      </c>
      <c r="AL53" s="34" t="s">
        <v>36</v>
      </c>
      <c r="AM53" s="34" t="s">
        <v>36</v>
      </c>
      <c r="AN53" s="35" t="s">
        <v>37</v>
      </c>
      <c r="AO53" s="34" t="s">
        <v>36</v>
      </c>
      <c r="AP53" s="34" t="s">
        <v>36</v>
      </c>
      <c r="AQ53" s="34" t="s">
        <v>36</v>
      </c>
      <c r="AR53" s="34" t="s">
        <v>36</v>
      </c>
      <c r="AS53" s="36" t="s">
        <v>37</v>
      </c>
      <c r="AT53" s="36" t="s">
        <v>37</v>
      </c>
      <c r="AU53" s="36" t="s">
        <v>37</v>
      </c>
      <c r="AV53" s="34" t="s">
        <v>36</v>
      </c>
      <c r="AW53" s="34" t="s">
        <v>36</v>
      </c>
      <c r="AX53" s="34" t="s">
        <v>36</v>
      </c>
      <c r="AY53" s="34"/>
      <c r="AZ53" s="34"/>
      <c r="BA53" s="34"/>
    </row>
    <row r="54" ht="15.75" customHeight="1">
      <c r="A54" s="38">
        <v>48.0</v>
      </c>
      <c r="B54" s="39" t="s">
        <v>103</v>
      </c>
      <c r="C54" s="40" t="s">
        <v>68</v>
      </c>
      <c r="D54" s="41" t="s">
        <v>78</v>
      </c>
      <c r="E54" s="41">
        <v>1.0</v>
      </c>
      <c r="F54" s="42" t="s">
        <v>79</v>
      </c>
      <c r="G54" s="42">
        <v>0.0</v>
      </c>
      <c r="H54" s="42" t="s">
        <v>79</v>
      </c>
      <c r="I54" s="43">
        <f>SUMIFS(COMPLAIN!$B$4:$B$231,COMPLAIN!$F$4:$F$231,ABSENSI!B54)</f>
        <v>0</v>
      </c>
      <c r="J54" s="44">
        <f>SUMIFS(KUNJUNGAN!$C$4:$C$800,KUNJUNGAN!$B$4:$B$800,ABSENSI!$B54)</f>
        <v>0</v>
      </c>
      <c r="K54" s="44">
        <f>SUMIFS(KUNJUNGAN!$J$4:$J$800,KUNJUNGAN!$B$4:$B$800,ABSENSI!$B54)</f>
        <v>0</v>
      </c>
      <c r="L54" s="45">
        <f>SUMIFS(LEMBUR!$F$4:$F$235,LEMBUR!$B$4:$B$235,ABSENSI!$B54)</f>
        <v>9</v>
      </c>
      <c r="M54" s="43">
        <f t="shared" si="2"/>
        <v>0</v>
      </c>
      <c r="N54" s="43">
        <f t="shared" si="3"/>
        <v>0</v>
      </c>
      <c r="O54" s="43">
        <f t="shared" si="4"/>
        <v>0</v>
      </c>
      <c r="P54" s="43">
        <f t="shared" si="5"/>
        <v>18</v>
      </c>
      <c r="Q54" s="43">
        <f t="shared" si="6"/>
        <v>18</v>
      </c>
      <c r="R54" s="43">
        <f t="shared" si="7"/>
        <v>0</v>
      </c>
      <c r="S54" s="43">
        <f t="shared" si="8"/>
        <v>0</v>
      </c>
      <c r="T54" s="43">
        <f t="shared" si="9"/>
        <v>0</v>
      </c>
      <c r="U54" s="43">
        <f t="shared" si="10"/>
        <v>3</v>
      </c>
      <c r="V54" s="43">
        <f t="shared" si="11"/>
        <v>10</v>
      </c>
      <c r="W54" s="46" t="s">
        <v>36</v>
      </c>
      <c r="X54" s="46" t="s">
        <v>36</v>
      </c>
      <c r="Y54" s="35" t="s">
        <v>37</v>
      </c>
      <c r="Z54" s="46" t="s">
        <v>36</v>
      </c>
      <c r="AA54" s="46" t="s">
        <v>36</v>
      </c>
      <c r="AB54" s="46" t="s">
        <v>36</v>
      </c>
      <c r="AC54" s="46" t="s">
        <v>36</v>
      </c>
      <c r="AD54" s="35" t="s">
        <v>37</v>
      </c>
      <c r="AE54" s="46" t="s">
        <v>36</v>
      </c>
      <c r="AF54" s="46" t="s">
        <v>36</v>
      </c>
      <c r="AG54" s="46" t="s">
        <v>36</v>
      </c>
      <c r="AH54" s="46" t="s">
        <v>36</v>
      </c>
      <c r="AI54" s="46" t="s">
        <v>36</v>
      </c>
      <c r="AJ54" s="46" t="s">
        <v>36</v>
      </c>
      <c r="AK54" s="46" t="s">
        <v>36</v>
      </c>
      <c r="AL54" s="46" t="s">
        <v>36</v>
      </c>
      <c r="AM54" s="35" t="s">
        <v>37</v>
      </c>
      <c r="AN54" s="46" t="s">
        <v>36</v>
      </c>
      <c r="AO54" s="46" t="s">
        <v>36</v>
      </c>
      <c r="AP54" s="46" t="s">
        <v>36</v>
      </c>
      <c r="AQ54" s="46" t="s">
        <v>36</v>
      </c>
      <c r="AR54" s="36" t="s">
        <v>37</v>
      </c>
      <c r="AS54" s="36" t="s">
        <v>37</v>
      </c>
      <c r="AT54" s="36" t="s">
        <v>37</v>
      </c>
      <c r="AU54" s="36" t="s">
        <v>37</v>
      </c>
      <c r="AV54" s="36" t="s">
        <v>37</v>
      </c>
      <c r="AW54" s="36" t="s">
        <v>37</v>
      </c>
      <c r="AX54" s="36" t="s">
        <v>37</v>
      </c>
      <c r="AY54" s="46"/>
      <c r="AZ54" s="46"/>
      <c r="BA54" s="46"/>
    </row>
    <row r="55" ht="15.75" customHeight="1">
      <c r="A55" s="26">
        <v>49.0</v>
      </c>
      <c r="B55" s="27" t="s">
        <v>104</v>
      </c>
      <c r="C55" s="28" t="s">
        <v>35</v>
      </c>
      <c r="D55" s="29" t="s">
        <v>78</v>
      </c>
      <c r="E55" s="29">
        <v>1.0</v>
      </c>
      <c r="F55" s="30" t="s">
        <v>79</v>
      </c>
      <c r="G55" s="30">
        <v>0.0</v>
      </c>
      <c r="H55" s="30" t="s">
        <v>79</v>
      </c>
      <c r="I55" s="31">
        <f>SUMIFS(COMPLAIN!$B$4:$B$231,COMPLAIN!$F$4:$F$231,ABSENSI!B55)</f>
        <v>0</v>
      </c>
      <c r="J55" s="32">
        <f>SUMIFS(KUNJUNGAN!$C$4:$C$800,KUNJUNGAN!$B$4:$B$800,ABSENSI!$B55)</f>
        <v>0</v>
      </c>
      <c r="K55" s="32">
        <f>SUMIFS(KUNJUNGAN!$J$4:$J$800,KUNJUNGAN!$B$4:$B$800,ABSENSI!$B55)</f>
        <v>0</v>
      </c>
      <c r="L55" s="33">
        <f>SUMIFS(LEMBUR!$F$4:$F$235,LEMBUR!$B$4:$B$235,ABSENSI!$B55)</f>
        <v>0</v>
      </c>
      <c r="M55" s="31">
        <f t="shared" si="2"/>
        <v>0</v>
      </c>
      <c r="N55" s="31">
        <f t="shared" si="3"/>
        <v>0</v>
      </c>
      <c r="O55" s="31">
        <f t="shared" si="4"/>
        <v>0</v>
      </c>
      <c r="P55" s="31">
        <f t="shared" si="5"/>
        <v>24</v>
      </c>
      <c r="Q55" s="31">
        <f t="shared" si="6"/>
        <v>24</v>
      </c>
      <c r="R55" s="31">
        <f t="shared" si="7"/>
        <v>0</v>
      </c>
      <c r="S55" s="31">
        <f t="shared" si="8"/>
        <v>0</v>
      </c>
      <c r="T55" s="31">
        <f t="shared" si="9"/>
        <v>0</v>
      </c>
      <c r="U55" s="31">
        <f t="shared" si="10"/>
        <v>3</v>
      </c>
      <c r="V55" s="31">
        <f t="shared" si="11"/>
        <v>4</v>
      </c>
      <c r="W55" s="34" t="s">
        <v>36</v>
      </c>
      <c r="X55" s="34" t="s">
        <v>36</v>
      </c>
      <c r="Y55" s="34" t="s">
        <v>36</v>
      </c>
      <c r="Z55" s="34" t="s">
        <v>36</v>
      </c>
      <c r="AA55" s="35" t="s">
        <v>37</v>
      </c>
      <c r="AB55" s="34" t="s">
        <v>36</v>
      </c>
      <c r="AC55" s="34" t="s">
        <v>36</v>
      </c>
      <c r="AD55" s="34" t="s">
        <v>36</v>
      </c>
      <c r="AE55" s="34" t="s">
        <v>36</v>
      </c>
      <c r="AF55" s="34" t="s">
        <v>36</v>
      </c>
      <c r="AG55" s="34" t="s">
        <v>36</v>
      </c>
      <c r="AH55" s="34" t="s">
        <v>36</v>
      </c>
      <c r="AI55" s="35" t="s">
        <v>37</v>
      </c>
      <c r="AJ55" s="34" t="s">
        <v>36</v>
      </c>
      <c r="AK55" s="34" t="s">
        <v>36</v>
      </c>
      <c r="AL55" s="34" t="s">
        <v>36</v>
      </c>
      <c r="AM55" s="34" t="s">
        <v>36</v>
      </c>
      <c r="AN55" s="34" t="s">
        <v>36</v>
      </c>
      <c r="AO55" s="34" t="s">
        <v>36</v>
      </c>
      <c r="AP55" s="36" t="s">
        <v>37</v>
      </c>
      <c r="AQ55" s="34" t="s">
        <v>36</v>
      </c>
      <c r="AR55" s="34" t="s">
        <v>36</v>
      </c>
      <c r="AS55" s="36" t="s">
        <v>37</v>
      </c>
      <c r="AT55" s="34" t="s">
        <v>36</v>
      </c>
      <c r="AU55" s="34" t="s">
        <v>36</v>
      </c>
      <c r="AV55" s="34" t="s">
        <v>36</v>
      </c>
      <c r="AW55" s="34" t="s">
        <v>36</v>
      </c>
      <c r="AX55" s="34" t="s">
        <v>36</v>
      </c>
      <c r="AY55" s="34"/>
      <c r="AZ55" s="34"/>
      <c r="BA55" s="34"/>
    </row>
    <row r="56" ht="15.75" customHeight="1">
      <c r="A56" s="38">
        <v>50.0</v>
      </c>
      <c r="B56" s="39" t="s">
        <v>105</v>
      </c>
      <c r="C56" s="56" t="s">
        <v>35</v>
      </c>
      <c r="D56" s="41" t="s">
        <v>78</v>
      </c>
      <c r="E56" s="41">
        <v>1.0</v>
      </c>
      <c r="F56" s="42" t="s">
        <v>79</v>
      </c>
      <c r="G56" s="42">
        <v>0.0</v>
      </c>
      <c r="H56" s="42" t="s">
        <v>79</v>
      </c>
      <c r="I56" s="43">
        <f>SUMIFS(COMPLAIN!$B$4:$B$231,COMPLAIN!$F$4:$F$231,ABSENSI!B56)</f>
        <v>0</v>
      </c>
      <c r="J56" s="44">
        <f>SUMIFS(KUNJUNGAN!$C$4:$C$800,KUNJUNGAN!$B$4:$B$800,ABSENSI!$B56)</f>
        <v>0</v>
      </c>
      <c r="K56" s="44">
        <f>SUMIFS(KUNJUNGAN!$J$4:$J$800,KUNJUNGAN!$B$4:$B$800,ABSENSI!$B56)</f>
        <v>0</v>
      </c>
      <c r="L56" s="45">
        <f>SUMIFS(LEMBUR!$F$4:$F$235,LEMBUR!$B$4:$B$235,ABSENSI!$B56)</f>
        <v>50</v>
      </c>
      <c r="M56" s="43">
        <f t="shared" si="2"/>
        <v>1</v>
      </c>
      <c r="N56" s="43">
        <f t="shared" si="3"/>
        <v>0</v>
      </c>
      <c r="O56" s="43">
        <f t="shared" si="4"/>
        <v>0</v>
      </c>
      <c r="P56" s="43">
        <f t="shared" si="5"/>
        <v>26</v>
      </c>
      <c r="Q56" s="43">
        <f t="shared" si="6"/>
        <v>26</v>
      </c>
      <c r="R56" s="43">
        <f t="shared" si="7"/>
        <v>0</v>
      </c>
      <c r="S56" s="43">
        <f t="shared" si="8"/>
        <v>0</v>
      </c>
      <c r="T56" s="43">
        <f t="shared" si="9"/>
        <v>0</v>
      </c>
      <c r="U56" s="43">
        <f t="shared" si="10"/>
        <v>3</v>
      </c>
      <c r="V56" s="43">
        <f t="shared" si="11"/>
        <v>2</v>
      </c>
      <c r="W56" s="46" t="s">
        <v>36</v>
      </c>
      <c r="X56" s="46" t="s">
        <v>36</v>
      </c>
      <c r="Y56" s="46" t="s">
        <v>36</v>
      </c>
      <c r="Z56" s="54" t="s">
        <v>84</v>
      </c>
      <c r="AA56" s="46" t="s">
        <v>36</v>
      </c>
      <c r="AB56" s="46" t="s">
        <v>36</v>
      </c>
      <c r="AC56" s="46" t="s">
        <v>36</v>
      </c>
      <c r="AD56" s="46" t="s">
        <v>36</v>
      </c>
      <c r="AE56" s="46" t="s">
        <v>36</v>
      </c>
      <c r="AF56" s="46" t="s">
        <v>36</v>
      </c>
      <c r="AG56" s="46" t="s">
        <v>36</v>
      </c>
      <c r="AH56" s="46" t="s">
        <v>36</v>
      </c>
      <c r="AI56" s="35" t="s">
        <v>37</v>
      </c>
      <c r="AJ56" s="46" t="s">
        <v>36</v>
      </c>
      <c r="AK56" s="46" t="s">
        <v>36</v>
      </c>
      <c r="AL56" s="46" t="s">
        <v>36</v>
      </c>
      <c r="AM56" s="46" t="s">
        <v>36</v>
      </c>
      <c r="AN56" s="35" t="s">
        <v>37</v>
      </c>
      <c r="AO56" s="46" t="s">
        <v>36</v>
      </c>
      <c r="AP56" s="46" t="s">
        <v>36</v>
      </c>
      <c r="AQ56" s="46" t="s">
        <v>36</v>
      </c>
      <c r="AR56" s="46" t="s">
        <v>36</v>
      </c>
      <c r="AS56" s="46" t="s">
        <v>36</v>
      </c>
      <c r="AT56" s="46" t="s">
        <v>36</v>
      </c>
      <c r="AU56" s="46" t="s">
        <v>36</v>
      </c>
      <c r="AV56" s="46" t="s">
        <v>36</v>
      </c>
      <c r="AW56" s="46" t="s">
        <v>36</v>
      </c>
      <c r="AX56" s="46" t="s">
        <v>36</v>
      </c>
      <c r="AY56" s="46"/>
      <c r="AZ56" s="46"/>
      <c r="BA56" s="46"/>
    </row>
    <row r="57" ht="15.75" customHeight="1">
      <c r="A57" s="26">
        <v>52.0</v>
      </c>
      <c r="B57" s="27" t="s">
        <v>106</v>
      </c>
      <c r="C57" s="28" t="s">
        <v>68</v>
      </c>
      <c r="D57" s="29" t="s">
        <v>78</v>
      </c>
      <c r="E57" s="29">
        <v>1.0</v>
      </c>
      <c r="F57" s="30" t="s">
        <v>79</v>
      </c>
      <c r="G57" s="30">
        <v>0.0</v>
      </c>
      <c r="H57" s="30" t="s">
        <v>79</v>
      </c>
      <c r="I57" s="31">
        <f>SUMIFS(COMPLAIN!$B$4:$B$231,COMPLAIN!$F$4:$F$231,ABSENSI!B57)</f>
        <v>0</v>
      </c>
      <c r="J57" s="32">
        <f>SUMIFS(KUNJUNGAN!$C$4:$C$800,KUNJUNGAN!$B$4:$B$800,ABSENSI!$B57)</f>
        <v>0</v>
      </c>
      <c r="K57" s="32">
        <f>SUMIFS(KUNJUNGAN!$J$4:$J$800,KUNJUNGAN!$B$4:$B$800,ABSENSI!$B57)</f>
        <v>0</v>
      </c>
      <c r="L57" s="33">
        <f>SUMIFS(LEMBUR!$F$4:$F$235,LEMBUR!$B$4:$B$235,ABSENSI!$B57)</f>
        <v>3</v>
      </c>
      <c r="M57" s="31">
        <f t="shared" si="2"/>
        <v>0</v>
      </c>
      <c r="N57" s="31">
        <f t="shared" si="3"/>
        <v>0</v>
      </c>
      <c r="O57" s="31">
        <f t="shared" si="4"/>
        <v>0</v>
      </c>
      <c r="P57" s="31">
        <f t="shared" si="5"/>
        <v>24</v>
      </c>
      <c r="Q57" s="31">
        <f t="shared" si="6"/>
        <v>24</v>
      </c>
      <c r="R57" s="31">
        <f t="shared" si="7"/>
        <v>0</v>
      </c>
      <c r="S57" s="31">
        <f t="shared" si="8"/>
        <v>0</v>
      </c>
      <c r="T57" s="31">
        <f t="shared" si="9"/>
        <v>0</v>
      </c>
      <c r="U57" s="31">
        <f t="shared" si="10"/>
        <v>3</v>
      </c>
      <c r="V57" s="31">
        <f t="shared" si="11"/>
        <v>4</v>
      </c>
      <c r="W57" s="34" t="s">
        <v>36</v>
      </c>
      <c r="X57" s="34" t="s">
        <v>36</v>
      </c>
      <c r="Y57" s="34" t="s">
        <v>36</v>
      </c>
      <c r="Z57" s="34" t="s">
        <v>36</v>
      </c>
      <c r="AA57" s="34" t="s">
        <v>36</v>
      </c>
      <c r="AB57" s="35" t="s">
        <v>37</v>
      </c>
      <c r="AC57" s="34" t="s">
        <v>36</v>
      </c>
      <c r="AD57" s="34" t="s">
        <v>36</v>
      </c>
      <c r="AE57" s="34" t="s">
        <v>36</v>
      </c>
      <c r="AF57" s="34" t="s">
        <v>36</v>
      </c>
      <c r="AG57" s="34" t="s">
        <v>36</v>
      </c>
      <c r="AH57" s="34" t="s">
        <v>36</v>
      </c>
      <c r="AI57" s="34" t="s">
        <v>36</v>
      </c>
      <c r="AJ57" s="34" t="s">
        <v>36</v>
      </c>
      <c r="AK57" s="35" t="s">
        <v>37</v>
      </c>
      <c r="AL57" s="34" t="s">
        <v>36</v>
      </c>
      <c r="AM57" s="34" t="s">
        <v>36</v>
      </c>
      <c r="AN57" s="34" t="s">
        <v>36</v>
      </c>
      <c r="AO57" s="34" t="s">
        <v>36</v>
      </c>
      <c r="AP57" s="36" t="s">
        <v>37</v>
      </c>
      <c r="AQ57" s="34" t="s">
        <v>36</v>
      </c>
      <c r="AR57" s="34" t="s">
        <v>36</v>
      </c>
      <c r="AS57" s="34" t="s">
        <v>36</v>
      </c>
      <c r="AT57" s="34" t="s">
        <v>36</v>
      </c>
      <c r="AU57" s="36" t="s">
        <v>37</v>
      </c>
      <c r="AV57" s="34" t="s">
        <v>36</v>
      </c>
      <c r="AW57" s="34" t="s">
        <v>36</v>
      </c>
      <c r="AX57" s="34" t="s">
        <v>36</v>
      </c>
      <c r="AY57" s="34"/>
      <c r="AZ57" s="34"/>
      <c r="BA57" s="34"/>
    </row>
    <row r="58" ht="15.75" customHeight="1">
      <c r="A58" s="38">
        <v>53.0</v>
      </c>
      <c r="B58" s="39" t="s">
        <v>107</v>
      </c>
      <c r="C58" s="56" t="s">
        <v>35</v>
      </c>
      <c r="D58" s="41" t="s">
        <v>78</v>
      </c>
      <c r="E58" s="41">
        <v>1.0</v>
      </c>
      <c r="F58" s="42" t="s">
        <v>79</v>
      </c>
      <c r="G58" s="42">
        <v>0.0</v>
      </c>
      <c r="H58" s="42" t="s">
        <v>79</v>
      </c>
      <c r="I58" s="43">
        <f>SUMIFS(COMPLAIN!$B$4:$B$231,COMPLAIN!$F$4:$F$231,ABSENSI!B58)</f>
        <v>0</v>
      </c>
      <c r="J58" s="44">
        <f>SUMIFS(KUNJUNGAN!$C$4:$C$800,KUNJUNGAN!$B$4:$B$800,ABSENSI!$B58)</f>
        <v>0</v>
      </c>
      <c r="K58" s="44">
        <f>SUMIFS(KUNJUNGAN!$J$4:$J$800,KUNJUNGAN!$B$4:$B$800,ABSENSI!$B58)</f>
        <v>0</v>
      </c>
      <c r="L58" s="45">
        <f>SUMIFS(LEMBUR!$F$4:$F$235,LEMBUR!$B$4:$B$235,ABSENSI!$B58)</f>
        <v>2</v>
      </c>
      <c r="M58" s="43">
        <f t="shared" si="2"/>
        <v>0</v>
      </c>
      <c r="N58" s="43">
        <f t="shared" si="3"/>
        <v>0</v>
      </c>
      <c r="O58" s="43">
        <f t="shared" si="4"/>
        <v>0</v>
      </c>
      <c r="P58" s="43">
        <f t="shared" si="5"/>
        <v>23</v>
      </c>
      <c r="Q58" s="43">
        <f t="shared" si="6"/>
        <v>23</v>
      </c>
      <c r="R58" s="43">
        <f t="shared" si="7"/>
        <v>0</v>
      </c>
      <c r="S58" s="43">
        <f t="shared" si="8"/>
        <v>0</v>
      </c>
      <c r="T58" s="43">
        <f t="shared" si="9"/>
        <v>0</v>
      </c>
      <c r="U58" s="43">
        <f t="shared" si="10"/>
        <v>3</v>
      </c>
      <c r="V58" s="43">
        <f t="shared" si="11"/>
        <v>5</v>
      </c>
      <c r="W58" s="46" t="s">
        <v>36</v>
      </c>
      <c r="X58" s="46" t="s">
        <v>36</v>
      </c>
      <c r="Y58" s="46" t="s">
        <v>36</v>
      </c>
      <c r="Z58" s="46" t="s">
        <v>36</v>
      </c>
      <c r="AA58" s="46" t="s">
        <v>36</v>
      </c>
      <c r="AB58" s="46" t="s">
        <v>36</v>
      </c>
      <c r="AC58" s="46" t="s">
        <v>36</v>
      </c>
      <c r="AD58" s="35" t="s">
        <v>37</v>
      </c>
      <c r="AE58" s="46" t="s">
        <v>36</v>
      </c>
      <c r="AF58" s="46" t="s">
        <v>36</v>
      </c>
      <c r="AG58" s="46" t="s">
        <v>36</v>
      </c>
      <c r="AH58" s="46" t="s">
        <v>36</v>
      </c>
      <c r="AI58" s="46" t="s">
        <v>36</v>
      </c>
      <c r="AJ58" s="46" t="s">
        <v>36</v>
      </c>
      <c r="AK58" s="35" t="s">
        <v>37</v>
      </c>
      <c r="AL58" s="46" t="s">
        <v>36</v>
      </c>
      <c r="AM58" s="35" t="s">
        <v>37</v>
      </c>
      <c r="AN58" s="46" t="s">
        <v>36</v>
      </c>
      <c r="AO58" s="46" t="s">
        <v>36</v>
      </c>
      <c r="AP58" s="46" t="s">
        <v>36</v>
      </c>
      <c r="AQ58" s="36" t="s">
        <v>37</v>
      </c>
      <c r="AR58" s="46" t="s">
        <v>36</v>
      </c>
      <c r="AS58" s="46" t="s">
        <v>36</v>
      </c>
      <c r="AT58" s="36" t="s">
        <v>37</v>
      </c>
      <c r="AU58" s="46" t="s">
        <v>36</v>
      </c>
      <c r="AV58" s="46" t="s">
        <v>36</v>
      </c>
      <c r="AW58" s="46" t="s">
        <v>36</v>
      </c>
      <c r="AX58" s="46" t="s">
        <v>36</v>
      </c>
      <c r="AY58" s="46"/>
      <c r="AZ58" s="46"/>
      <c r="BA58" s="46"/>
    </row>
    <row r="59" ht="15.75" customHeight="1">
      <c r="A59" s="26">
        <v>54.0</v>
      </c>
      <c r="B59" s="27" t="s">
        <v>108</v>
      </c>
      <c r="C59" s="59" t="s">
        <v>35</v>
      </c>
      <c r="D59" s="29" t="s">
        <v>78</v>
      </c>
      <c r="E59" s="29">
        <v>1.0</v>
      </c>
      <c r="F59" s="30" t="s">
        <v>79</v>
      </c>
      <c r="G59" s="30">
        <v>0.0</v>
      </c>
      <c r="H59" s="30" t="s">
        <v>79</v>
      </c>
      <c r="I59" s="31">
        <f>SUMIFS(COMPLAIN!$B$4:$B$231,COMPLAIN!$F$4:$F$231,ABSENSI!B59)</f>
        <v>0</v>
      </c>
      <c r="J59" s="32">
        <f>SUMIFS(KUNJUNGAN!$C$4:$C$800,KUNJUNGAN!$B$4:$B$800,ABSENSI!$B59)</f>
        <v>0</v>
      </c>
      <c r="K59" s="32">
        <f>SUMIFS(KUNJUNGAN!$J$4:$J$800,KUNJUNGAN!$B$4:$B$800,ABSENSI!$B59)</f>
        <v>0</v>
      </c>
      <c r="L59" s="33">
        <f>SUMIFS(LEMBUR!$F$4:$F$235,LEMBUR!$B$4:$B$235,ABSENSI!$B59)</f>
        <v>0</v>
      </c>
      <c r="M59" s="31">
        <f t="shared" si="2"/>
        <v>0</v>
      </c>
      <c r="N59" s="31">
        <f t="shared" si="3"/>
        <v>0</v>
      </c>
      <c r="O59" s="31">
        <f t="shared" si="4"/>
        <v>0</v>
      </c>
      <c r="P59" s="31">
        <f t="shared" si="5"/>
        <v>22</v>
      </c>
      <c r="Q59" s="31">
        <f t="shared" si="6"/>
        <v>22</v>
      </c>
      <c r="R59" s="31">
        <f t="shared" si="7"/>
        <v>0</v>
      </c>
      <c r="S59" s="31">
        <f t="shared" si="8"/>
        <v>0</v>
      </c>
      <c r="T59" s="31">
        <f t="shared" si="9"/>
        <v>0</v>
      </c>
      <c r="U59" s="31">
        <f t="shared" si="10"/>
        <v>3</v>
      </c>
      <c r="V59" s="31">
        <f t="shared" si="11"/>
        <v>6</v>
      </c>
      <c r="W59" s="34" t="s">
        <v>36</v>
      </c>
      <c r="X59" s="34" t="s">
        <v>36</v>
      </c>
      <c r="Y59" s="34" t="s">
        <v>36</v>
      </c>
      <c r="Z59" s="35" t="s">
        <v>37</v>
      </c>
      <c r="AA59" s="34" t="s">
        <v>36</v>
      </c>
      <c r="AB59" s="34" t="s">
        <v>36</v>
      </c>
      <c r="AC59" s="34" t="s">
        <v>36</v>
      </c>
      <c r="AD59" s="34" t="s">
        <v>36</v>
      </c>
      <c r="AE59" s="34" t="s">
        <v>36</v>
      </c>
      <c r="AF59" s="34" t="s">
        <v>36</v>
      </c>
      <c r="AG59" s="35" t="s">
        <v>37</v>
      </c>
      <c r="AH59" s="34" t="s">
        <v>36</v>
      </c>
      <c r="AI59" s="34" t="s">
        <v>36</v>
      </c>
      <c r="AJ59" s="34" t="s">
        <v>36</v>
      </c>
      <c r="AK59" s="35" t="s">
        <v>37</v>
      </c>
      <c r="AL59" s="35" t="s">
        <v>37</v>
      </c>
      <c r="AM59" s="34" t="s">
        <v>36</v>
      </c>
      <c r="AN59" s="35" t="s">
        <v>37</v>
      </c>
      <c r="AO59" s="34" t="s">
        <v>36</v>
      </c>
      <c r="AP59" s="34" t="s">
        <v>36</v>
      </c>
      <c r="AQ59" s="34" t="s">
        <v>36</v>
      </c>
      <c r="AR59" s="36" t="s">
        <v>37</v>
      </c>
      <c r="AS59" s="34" t="s">
        <v>36</v>
      </c>
      <c r="AT59" s="34" t="s">
        <v>36</v>
      </c>
      <c r="AU59" s="34" t="s">
        <v>36</v>
      </c>
      <c r="AV59" s="34" t="s">
        <v>36</v>
      </c>
      <c r="AW59" s="34" t="s">
        <v>36</v>
      </c>
      <c r="AX59" s="34" t="s">
        <v>36</v>
      </c>
      <c r="AY59" s="34"/>
      <c r="AZ59" s="34"/>
      <c r="BA59" s="34"/>
    </row>
    <row r="60" ht="15.75" customHeight="1">
      <c r="A60" s="38">
        <v>55.0</v>
      </c>
      <c r="B60" s="60" t="s">
        <v>109</v>
      </c>
      <c r="C60" s="56" t="s">
        <v>35</v>
      </c>
      <c r="D60" s="41" t="s">
        <v>78</v>
      </c>
      <c r="E60" s="41">
        <v>1.0</v>
      </c>
      <c r="F60" s="42" t="s">
        <v>79</v>
      </c>
      <c r="G60" s="42">
        <v>0.0</v>
      </c>
      <c r="H60" s="42" t="s">
        <v>79</v>
      </c>
      <c r="I60" s="43">
        <f>SUMIFS(COMPLAIN!$B$4:$B$231,COMPLAIN!$F$4:$F$231,ABSENSI!B60)</f>
        <v>0</v>
      </c>
      <c r="J60" s="44">
        <f>SUMIFS(KUNJUNGAN!$C$4:$C$800,KUNJUNGAN!$B$4:$B$800,ABSENSI!$B60)</f>
        <v>0</v>
      </c>
      <c r="K60" s="44">
        <f>SUMIFS(KUNJUNGAN!$J$4:$J$800,KUNJUNGAN!$B$4:$B$800,ABSENSI!$B60)</f>
        <v>0</v>
      </c>
      <c r="L60" s="45">
        <f>SUMIFS(LEMBUR!$F$4:$F$235,LEMBUR!$B$4:$B$235,ABSENSI!$B60)</f>
        <v>0</v>
      </c>
      <c r="M60" s="43">
        <f t="shared" si="2"/>
        <v>0</v>
      </c>
      <c r="N60" s="43">
        <f t="shared" si="3"/>
        <v>0</v>
      </c>
      <c r="O60" s="43">
        <f t="shared" si="4"/>
        <v>0</v>
      </c>
      <c r="P60" s="43">
        <f t="shared" si="5"/>
        <v>23</v>
      </c>
      <c r="Q60" s="43">
        <f t="shared" si="6"/>
        <v>23</v>
      </c>
      <c r="R60" s="43">
        <f t="shared" si="7"/>
        <v>0</v>
      </c>
      <c r="S60" s="43">
        <f t="shared" si="8"/>
        <v>0</v>
      </c>
      <c r="T60" s="43">
        <f t="shared" si="9"/>
        <v>0</v>
      </c>
      <c r="U60" s="43">
        <f t="shared" si="10"/>
        <v>4</v>
      </c>
      <c r="V60" s="43">
        <f t="shared" si="11"/>
        <v>4</v>
      </c>
      <c r="W60" s="35"/>
      <c r="X60" s="46" t="s">
        <v>36</v>
      </c>
      <c r="Y60" s="46" t="s">
        <v>36</v>
      </c>
      <c r="Z60" s="46" t="s">
        <v>36</v>
      </c>
      <c r="AA60" s="46" t="s">
        <v>36</v>
      </c>
      <c r="AB60" s="46" t="s">
        <v>36</v>
      </c>
      <c r="AC60" s="46" t="s">
        <v>36</v>
      </c>
      <c r="AD60" s="46" t="s">
        <v>36</v>
      </c>
      <c r="AE60" s="46" t="s">
        <v>36</v>
      </c>
      <c r="AF60" s="35" t="s">
        <v>37</v>
      </c>
      <c r="AG60" s="46" t="s">
        <v>36</v>
      </c>
      <c r="AH60" s="46" t="s">
        <v>36</v>
      </c>
      <c r="AI60" s="46" t="s">
        <v>36</v>
      </c>
      <c r="AJ60" s="46" t="s">
        <v>36</v>
      </c>
      <c r="AK60" s="46" t="s">
        <v>36</v>
      </c>
      <c r="AL60" s="46" t="s">
        <v>36</v>
      </c>
      <c r="AM60" s="35" t="s">
        <v>37</v>
      </c>
      <c r="AN60" s="46" t="s">
        <v>36</v>
      </c>
      <c r="AO60" s="36" t="s">
        <v>37</v>
      </c>
      <c r="AP60" s="46" t="s">
        <v>36</v>
      </c>
      <c r="AQ60" s="46" t="s">
        <v>36</v>
      </c>
      <c r="AR60" s="46" t="s">
        <v>36</v>
      </c>
      <c r="AS60" s="46" t="s">
        <v>36</v>
      </c>
      <c r="AT60" s="46" t="s">
        <v>36</v>
      </c>
      <c r="AU60" s="46" t="s">
        <v>36</v>
      </c>
      <c r="AV60" s="46" t="s">
        <v>36</v>
      </c>
      <c r="AW60" s="36" t="s">
        <v>37</v>
      </c>
      <c r="AX60" s="46" t="s">
        <v>36</v>
      </c>
      <c r="AY60" s="46"/>
      <c r="AZ60" s="46"/>
      <c r="BA60" s="46"/>
    </row>
    <row r="61" ht="15.75" customHeight="1">
      <c r="A61" s="26">
        <v>56.0</v>
      </c>
      <c r="B61" s="61" t="s">
        <v>110</v>
      </c>
      <c r="C61" s="59" t="s">
        <v>35</v>
      </c>
      <c r="D61" s="29" t="s">
        <v>78</v>
      </c>
      <c r="E61" s="29">
        <v>1.0</v>
      </c>
      <c r="F61" s="30" t="s">
        <v>79</v>
      </c>
      <c r="G61" s="30">
        <v>0.0</v>
      </c>
      <c r="H61" s="30" t="s">
        <v>79</v>
      </c>
      <c r="I61" s="31">
        <f>SUMIFS(COMPLAIN!$B$4:$B$231,COMPLAIN!$F$4:$F$231,ABSENSI!B61)</f>
        <v>0</v>
      </c>
      <c r="J61" s="32">
        <f>SUMIFS(KUNJUNGAN!$C$4:$C$800,KUNJUNGAN!$B$4:$B$800,ABSENSI!$B61)</f>
        <v>0</v>
      </c>
      <c r="K61" s="32">
        <f>SUMIFS(KUNJUNGAN!$J$4:$J$800,KUNJUNGAN!$B$4:$B$800,ABSENSI!$B61)</f>
        <v>0</v>
      </c>
      <c r="L61" s="33">
        <f>SUMIFS(LEMBUR!$F$4:$F$235,LEMBUR!$B$4:$B$235,ABSENSI!$B61)</f>
        <v>0</v>
      </c>
      <c r="M61" s="31">
        <f t="shared" si="2"/>
        <v>1</v>
      </c>
      <c r="N61" s="31">
        <f t="shared" si="3"/>
        <v>0</v>
      </c>
      <c r="O61" s="31">
        <f t="shared" si="4"/>
        <v>0</v>
      </c>
      <c r="P61" s="31">
        <f t="shared" si="5"/>
        <v>25</v>
      </c>
      <c r="Q61" s="31">
        <f t="shared" si="6"/>
        <v>25</v>
      </c>
      <c r="R61" s="31">
        <f t="shared" si="7"/>
        <v>0</v>
      </c>
      <c r="S61" s="31">
        <f t="shared" si="8"/>
        <v>0</v>
      </c>
      <c r="T61" s="31">
        <f t="shared" si="9"/>
        <v>0</v>
      </c>
      <c r="U61" s="31">
        <f t="shared" si="10"/>
        <v>5</v>
      </c>
      <c r="V61" s="31">
        <f t="shared" si="11"/>
        <v>1</v>
      </c>
      <c r="W61" s="35"/>
      <c r="X61" s="35"/>
      <c r="Y61" s="34" t="s">
        <v>36</v>
      </c>
      <c r="Z61" s="34" t="s">
        <v>36</v>
      </c>
      <c r="AA61" s="34" t="s">
        <v>36</v>
      </c>
      <c r="AB61" s="34" t="s">
        <v>36</v>
      </c>
      <c r="AC61" s="34" t="s">
        <v>36</v>
      </c>
      <c r="AD61" s="34" t="s">
        <v>36</v>
      </c>
      <c r="AE61" s="34" t="s">
        <v>36</v>
      </c>
      <c r="AF61" s="34" t="s">
        <v>36</v>
      </c>
      <c r="AG61" s="34" t="s">
        <v>36</v>
      </c>
      <c r="AH61" s="50" t="s">
        <v>37</v>
      </c>
      <c r="AI61" s="34" t="s">
        <v>36</v>
      </c>
      <c r="AJ61" s="34" t="s">
        <v>36</v>
      </c>
      <c r="AK61" s="34" t="s">
        <v>36</v>
      </c>
      <c r="AL61" s="34" t="s">
        <v>36</v>
      </c>
      <c r="AM61" s="34" t="s">
        <v>36</v>
      </c>
      <c r="AN61" s="34" t="s">
        <v>36</v>
      </c>
      <c r="AO61" s="54" t="s">
        <v>84</v>
      </c>
      <c r="AP61" s="34" t="s">
        <v>36</v>
      </c>
      <c r="AQ61" s="34" t="s">
        <v>36</v>
      </c>
      <c r="AR61" s="34" t="s">
        <v>36</v>
      </c>
      <c r="AS61" s="34" t="s">
        <v>36</v>
      </c>
      <c r="AT61" s="34" t="s">
        <v>36</v>
      </c>
      <c r="AU61" s="34" t="s">
        <v>36</v>
      </c>
      <c r="AV61" s="34" t="s">
        <v>36</v>
      </c>
      <c r="AW61" s="34" t="s">
        <v>36</v>
      </c>
      <c r="AX61" s="34" t="s">
        <v>36</v>
      </c>
      <c r="AY61" s="34"/>
      <c r="AZ61" s="34"/>
      <c r="BA61" s="34"/>
    </row>
    <row r="62" ht="15.75" customHeight="1">
      <c r="A62" s="38">
        <v>57.0</v>
      </c>
      <c r="B62" s="60" t="s">
        <v>111</v>
      </c>
      <c r="C62" s="56" t="s">
        <v>35</v>
      </c>
      <c r="D62" s="41" t="s">
        <v>78</v>
      </c>
      <c r="E62" s="41">
        <v>1.0</v>
      </c>
      <c r="F62" s="42" t="s">
        <v>79</v>
      </c>
      <c r="G62" s="42">
        <v>0.0</v>
      </c>
      <c r="H62" s="42" t="s">
        <v>79</v>
      </c>
      <c r="I62" s="43">
        <f>SUMIFS(COMPLAIN!$B$4:$B$231,COMPLAIN!$F$4:$F$231,ABSENSI!B62)</f>
        <v>0</v>
      </c>
      <c r="J62" s="44">
        <f>SUMIFS(KUNJUNGAN!$C$4:$C$800,KUNJUNGAN!$B$4:$B$800,ABSENSI!$B62)</f>
        <v>0</v>
      </c>
      <c r="K62" s="44">
        <f>SUMIFS(KUNJUNGAN!$J$4:$J$800,KUNJUNGAN!$B$4:$B$800,ABSENSI!$B62)</f>
        <v>0</v>
      </c>
      <c r="L62" s="45">
        <f>SUMIFS(LEMBUR!$F$4:$F$235,LEMBUR!$B$4:$B$235,ABSENSI!$B62)</f>
        <v>0</v>
      </c>
      <c r="M62" s="43">
        <f t="shared" si="2"/>
        <v>0</v>
      </c>
      <c r="N62" s="43">
        <f t="shared" si="3"/>
        <v>0</v>
      </c>
      <c r="O62" s="43">
        <f t="shared" si="4"/>
        <v>0</v>
      </c>
      <c r="P62" s="43">
        <f t="shared" si="5"/>
        <v>20</v>
      </c>
      <c r="Q62" s="43">
        <f t="shared" si="6"/>
        <v>20</v>
      </c>
      <c r="R62" s="43">
        <f t="shared" si="7"/>
        <v>0</v>
      </c>
      <c r="S62" s="43">
        <f t="shared" si="8"/>
        <v>0</v>
      </c>
      <c r="T62" s="43">
        <f t="shared" si="9"/>
        <v>0</v>
      </c>
      <c r="U62" s="43">
        <f t="shared" si="10"/>
        <v>8</v>
      </c>
      <c r="V62" s="43">
        <f t="shared" si="11"/>
        <v>3</v>
      </c>
      <c r="W62" s="35"/>
      <c r="X62" s="35"/>
      <c r="Y62" s="35"/>
      <c r="Z62" s="35"/>
      <c r="AA62" s="35"/>
      <c r="AB62" s="46" t="s">
        <v>36</v>
      </c>
      <c r="AC62" s="46" t="s">
        <v>36</v>
      </c>
      <c r="AD62" s="46" t="s">
        <v>36</v>
      </c>
      <c r="AE62" s="46" t="s">
        <v>36</v>
      </c>
      <c r="AF62" s="46" t="s">
        <v>36</v>
      </c>
      <c r="AG62" s="35" t="s">
        <v>37</v>
      </c>
      <c r="AH62" s="46" t="s">
        <v>36</v>
      </c>
      <c r="AI62" s="46" t="s">
        <v>36</v>
      </c>
      <c r="AJ62" s="46" t="s">
        <v>36</v>
      </c>
      <c r="AK62" s="46" t="s">
        <v>36</v>
      </c>
      <c r="AL62" s="46" t="s">
        <v>36</v>
      </c>
      <c r="AM62" s="46" t="s">
        <v>36</v>
      </c>
      <c r="AN62" s="46" t="s">
        <v>36</v>
      </c>
      <c r="AO62" s="46" t="s">
        <v>36</v>
      </c>
      <c r="AP62" s="36" t="s">
        <v>37</v>
      </c>
      <c r="AQ62" s="46" t="s">
        <v>36</v>
      </c>
      <c r="AR62" s="46" t="s">
        <v>36</v>
      </c>
      <c r="AS62" s="46" t="s">
        <v>36</v>
      </c>
      <c r="AT62" s="46" t="s">
        <v>36</v>
      </c>
      <c r="AU62" s="46" t="s">
        <v>36</v>
      </c>
      <c r="AV62" s="36" t="s">
        <v>37</v>
      </c>
      <c r="AW62" s="46" t="s">
        <v>36</v>
      </c>
      <c r="AX62" s="46" t="s">
        <v>36</v>
      </c>
      <c r="AY62" s="46"/>
      <c r="AZ62" s="46"/>
      <c r="BA62" s="46"/>
    </row>
    <row r="63" ht="15.75" customHeight="1">
      <c r="A63" s="26"/>
      <c r="B63" s="27"/>
      <c r="C63" s="28"/>
      <c r="D63" s="29"/>
      <c r="E63" s="29"/>
      <c r="F63" s="30"/>
      <c r="G63" s="30"/>
      <c r="H63" s="30"/>
      <c r="I63" s="31"/>
      <c r="J63" s="32"/>
      <c r="K63" s="32"/>
      <c r="L63" s="33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</row>
    <row r="64" ht="15.75" customHeight="1">
      <c r="A64" s="38"/>
      <c r="B64" s="39"/>
      <c r="C64" s="40"/>
      <c r="D64" s="41"/>
      <c r="E64" s="41"/>
      <c r="F64" s="42"/>
      <c r="G64" s="42"/>
      <c r="H64" s="42"/>
      <c r="I64" s="43"/>
      <c r="J64" s="44"/>
      <c r="K64" s="44"/>
      <c r="L64" s="45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</row>
    <row r="65" ht="15.75" customHeight="1">
      <c r="A65" s="26"/>
      <c r="B65" s="27"/>
      <c r="C65" s="28"/>
      <c r="D65" s="29"/>
      <c r="E65" s="29"/>
      <c r="F65" s="30"/>
      <c r="G65" s="30"/>
      <c r="H65" s="30"/>
      <c r="I65" s="31"/>
      <c r="J65" s="32">
        <f t="shared" ref="J65:K65" si="13">SUM(J6:J53)</f>
        <v>443</v>
      </c>
      <c r="K65" s="32">
        <f t="shared" si="13"/>
        <v>44546</v>
      </c>
      <c r="L65" s="32">
        <f>SUM(L6:L55)</f>
        <v>210.5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</row>
    <row r="66" ht="15.75" customHeight="1">
      <c r="A66" s="1"/>
      <c r="B66" s="2"/>
      <c r="D66" s="3"/>
      <c r="J66" s="4"/>
      <c r="K66" s="5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ht="15.75" customHeight="1">
      <c r="A67" s="1"/>
      <c r="B67" s="2"/>
      <c r="D67" s="3"/>
      <c r="J67" s="4"/>
      <c r="K67" s="5"/>
      <c r="L67" s="62">
        <f t="shared" ref="L67:U67" si="14">SUM(L6:L50)</f>
        <v>196.5</v>
      </c>
      <c r="M67" s="62">
        <f t="shared" si="14"/>
        <v>1</v>
      </c>
      <c r="N67" s="62">
        <f t="shared" si="14"/>
        <v>1</v>
      </c>
      <c r="O67" s="62">
        <f t="shared" si="14"/>
        <v>0.5</v>
      </c>
      <c r="P67" s="62">
        <f t="shared" si="14"/>
        <v>977.5</v>
      </c>
      <c r="Q67" s="62">
        <f t="shared" si="14"/>
        <v>910</v>
      </c>
      <c r="R67" s="62">
        <f t="shared" si="14"/>
        <v>5</v>
      </c>
      <c r="S67" s="62">
        <f t="shared" si="14"/>
        <v>62</v>
      </c>
      <c r="T67" s="62">
        <f t="shared" si="14"/>
        <v>10</v>
      </c>
      <c r="U67" s="62">
        <f t="shared" si="14"/>
        <v>132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ht="15.75" customHeight="1">
      <c r="A68" s="1"/>
      <c r="B68" s="63" t="s">
        <v>112</v>
      </c>
      <c r="C68" s="35" t="s">
        <v>37</v>
      </c>
      <c r="D68" s="3"/>
      <c r="J68" s="4"/>
      <c r="K68" s="5"/>
      <c r="L68" s="6"/>
      <c r="V68" s="64"/>
      <c r="W68" s="64">
        <f t="shared" ref="W68:AX68" si="15">COUNTIF(W7:W50,"X")</f>
        <v>2</v>
      </c>
      <c r="X68" s="64">
        <f t="shared" si="15"/>
        <v>3</v>
      </c>
      <c r="Y68" s="64">
        <f t="shared" si="15"/>
        <v>3</v>
      </c>
      <c r="Z68" s="64">
        <f t="shared" si="15"/>
        <v>28</v>
      </c>
      <c r="AA68" s="64">
        <f t="shared" si="15"/>
        <v>2</v>
      </c>
      <c r="AB68" s="64">
        <f t="shared" si="15"/>
        <v>2</v>
      </c>
      <c r="AC68" s="64">
        <f t="shared" si="15"/>
        <v>5</v>
      </c>
      <c r="AD68" s="64">
        <f t="shared" si="15"/>
        <v>1</v>
      </c>
      <c r="AE68" s="64">
        <f t="shared" si="15"/>
        <v>2</v>
      </c>
      <c r="AF68" s="64">
        <f t="shared" si="15"/>
        <v>7</v>
      </c>
      <c r="AG68" s="64">
        <f t="shared" si="15"/>
        <v>24</v>
      </c>
      <c r="AH68" s="64">
        <f t="shared" si="15"/>
        <v>3</v>
      </c>
      <c r="AI68" s="64">
        <f t="shared" si="15"/>
        <v>3</v>
      </c>
      <c r="AJ68" s="64">
        <f t="shared" si="15"/>
        <v>6</v>
      </c>
      <c r="AK68" s="64">
        <f t="shared" si="15"/>
        <v>1</v>
      </c>
      <c r="AL68" s="64">
        <f t="shared" si="15"/>
        <v>3</v>
      </c>
      <c r="AM68" s="64">
        <f t="shared" si="15"/>
        <v>5</v>
      </c>
      <c r="AN68" s="64">
        <f t="shared" si="15"/>
        <v>25</v>
      </c>
      <c r="AO68" s="64">
        <f t="shared" si="15"/>
        <v>2</v>
      </c>
      <c r="AP68" s="64">
        <f t="shared" si="15"/>
        <v>2</v>
      </c>
      <c r="AQ68" s="64">
        <f t="shared" si="15"/>
        <v>5</v>
      </c>
      <c r="AR68" s="64">
        <f t="shared" si="15"/>
        <v>20</v>
      </c>
      <c r="AS68" s="64">
        <f t="shared" si="15"/>
        <v>11</v>
      </c>
      <c r="AT68" s="64">
        <f t="shared" si="15"/>
        <v>31</v>
      </c>
      <c r="AU68" s="64">
        <f t="shared" si="15"/>
        <v>32</v>
      </c>
      <c r="AV68" s="64">
        <f t="shared" si="15"/>
        <v>5</v>
      </c>
      <c r="AW68" s="64">
        <f t="shared" si="15"/>
        <v>6</v>
      </c>
      <c r="AX68" s="64">
        <f t="shared" si="15"/>
        <v>5</v>
      </c>
      <c r="AY68" s="64"/>
      <c r="AZ68" s="64"/>
      <c r="BA68" s="64"/>
    </row>
    <row r="69" ht="15.75" customHeight="1">
      <c r="A69" s="1"/>
      <c r="B69" s="63" t="s">
        <v>113</v>
      </c>
      <c r="C69" s="47" t="s">
        <v>11</v>
      </c>
      <c r="D69" s="3"/>
      <c r="E69" s="65" t="s">
        <v>29</v>
      </c>
      <c r="J69" s="4"/>
      <c r="K69" s="5"/>
      <c r="L69" s="6"/>
      <c r="R69" s="65">
        <f t="shared" ref="R69:R71" si="17">sum(W69:BA69)</f>
        <v>62</v>
      </c>
      <c r="V69" s="64"/>
      <c r="W69" s="64">
        <f t="shared" ref="W69:AX69" si="16">COUNTIF(W7:W50,"C")</f>
        <v>4</v>
      </c>
      <c r="X69" s="64">
        <f t="shared" si="16"/>
        <v>0</v>
      </c>
      <c r="Y69" s="64">
        <f t="shared" si="16"/>
        <v>2</v>
      </c>
      <c r="Z69" s="64">
        <f t="shared" si="16"/>
        <v>0</v>
      </c>
      <c r="AA69" s="64">
        <f t="shared" si="16"/>
        <v>1</v>
      </c>
      <c r="AB69" s="64">
        <f t="shared" si="16"/>
        <v>0</v>
      </c>
      <c r="AC69" s="64">
        <f t="shared" si="16"/>
        <v>0</v>
      </c>
      <c r="AD69" s="64">
        <f t="shared" si="16"/>
        <v>0</v>
      </c>
      <c r="AE69" s="64">
        <f t="shared" si="16"/>
        <v>0</v>
      </c>
      <c r="AF69" s="64">
        <f t="shared" si="16"/>
        <v>0</v>
      </c>
      <c r="AG69" s="64">
        <f t="shared" si="16"/>
        <v>0</v>
      </c>
      <c r="AH69" s="64">
        <f t="shared" si="16"/>
        <v>0</v>
      </c>
      <c r="AI69" s="64">
        <f t="shared" si="16"/>
        <v>0</v>
      </c>
      <c r="AJ69" s="64">
        <f t="shared" si="16"/>
        <v>0</v>
      </c>
      <c r="AK69" s="64">
        <f t="shared" si="16"/>
        <v>0</v>
      </c>
      <c r="AL69" s="64">
        <f t="shared" si="16"/>
        <v>0</v>
      </c>
      <c r="AM69" s="64">
        <f t="shared" si="16"/>
        <v>1</v>
      </c>
      <c r="AN69" s="64">
        <f t="shared" si="16"/>
        <v>0</v>
      </c>
      <c r="AO69" s="64">
        <f t="shared" si="16"/>
        <v>1</v>
      </c>
      <c r="AP69" s="64">
        <f t="shared" si="16"/>
        <v>0</v>
      </c>
      <c r="AQ69" s="64">
        <f t="shared" si="16"/>
        <v>1</v>
      </c>
      <c r="AR69" s="64">
        <f t="shared" si="16"/>
        <v>0</v>
      </c>
      <c r="AS69" s="64">
        <f t="shared" si="16"/>
        <v>13</v>
      </c>
      <c r="AT69" s="64">
        <f t="shared" si="16"/>
        <v>0</v>
      </c>
      <c r="AU69" s="64">
        <f t="shared" si="16"/>
        <v>0</v>
      </c>
      <c r="AV69" s="64">
        <f t="shared" si="16"/>
        <v>23</v>
      </c>
      <c r="AW69" s="64">
        <f t="shared" si="16"/>
        <v>11</v>
      </c>
      <c r="AX69" s="64">
        <f t="shared" si="16"/>
        <v>5</v>
      </c>
      <c r="AY69" s="64"/>
      <c r="AZ69" s="64"/>
      <c r="BA69" s="64"/>
    </row>
    <row r="70" ht="15.75" customHeight="1">
      <c r="A70" s="1"/>
      <c r="B70" s="63" t="s">
        <v>114</v>
      </c>
      <c r="C70" s="51" t="s">
        <v>10</v>
      </c>
      <c r="D70" s="3"/>
      <c r="J70" s="4"/>
      <c r="K70" s="5"/>
      <c r="L70" s="6"/>
      <c r="R70" s="65">
        <f t="shared" si="17"/>
        <v>5</v>
      </c>
      <c r="V70" s="64"/>
      <c r="W70" s="64">
        <f t="shared" ref="W70:AX70" si="18">COUNTIF(W7:W50,"S")</f>
        <v>0</v>
      </c>
      <c r="X70" s="64">
        <f t="shared" si="18"/>
        <v>0</v>
      </c>
      <c r="Y70" s="64">
        <f t="shared" si="18"/>
        <v>0</v>
      </c>
      <c r="Z70" s="64">
        <f t="shared" si="18"/>
        <v>0</v>
      </c>
      <c r="AA70" s="64">
        <f t="shared" si="18"/>
        <v>0</v>
      </c>
      <c r="AB70" s="64">
        <f t="shared" si="18"/>
        <v>1</v>
      </c>
      <c r="AC70" s="64">
        <f t="shared" si="18"/>
        <v>0</v>
      </c>
      <c r="AD70" s="64">
        <f t="shared" si="18"/>
        <v>0</v>
      </c>
      <c r="AE70" s="64">
        <f t="shared" si="18"/>
        <v>0</v>
      </c>
      <c r="AF70" s="64">
        <f t="shared" si="18"/>
        <v>0</v>
      </c>
      <c r="AG70" s="64">
        <f t="shared" si="18"/>
        <v>0</v>
      </c>
      <c r="AH70" s="64">
        <f t="shared" si="18"/>
        <v>2</v>
      </c>
      <c r="AI70" s="64">
        <f t="shared" si="18"/>
        <v>0</v>
      </c>
      <c r="AJ70" s="64">
        <f t="shared" si="18"/>
        <v>0</v>
      </c>
      <c r="AK70" s="64">
        <f t="shared" si="18"/>
        <v>0</v>
      </c>
      <c r="AL70" s="64">
        <f t="shared" si="18"/>
        <v>0</v>
      </c>
      <c r="AM70" s="64">
        <f t="shared" si="18"/>
        <v>0</v>
      </c>
      <c r="AN70" s="64">
        <f t="shared" si="18"/>
        <v>1</v>
      </c>
      <c r="AO70" s="64">
        <f t="shared" si="18"/>
        <v>1</v>
      </c>
      <c r="AP70" s="64">
        <f t="shared" si="18"/>
        <v>0</v>
      </c>
      <c r="AQ70" s="64">
        <f t="shared" si="18"/>
        <v>0</v>
      </c>
      <c r="AR70" s="64">
        <f t="shared" si="18"/>
        <v>0</v>
      </c>
      <c r="AS70" s="64">
        <f t="shared" si="18"/>
        <v>0</v>
      </c>
      <c r="AT70" s="64">
        <f t="shared" si="18"/>
        <v>0</v>
      </c>
      <c r="AU70" s="64">
        <f t="shared" si="18"/>
        <v>0</v>
      </c>
      <c r="AV70" s="64">
        <f t="shared" si="18"/>
        <v>0</v>
      </c>
      <c r="AW70" s="64">
        <f t="shared" si="18"/>
        <v>0</v>
      </c>
      <c r="AX70" s="64">
        <f t="shared" si="18"/>
        <v>0</v>
      </c>
      <c r="AY70" s="64"/>
      <c r="AZ70" s="64"/>
      <c r="BA70" s="64"/>
    </row>
    <row r="71" ht="15.75" customHeight="1">
      <c r="A71" s="1"/>
      <c r="B71" s="63" t="s">
        <v>115</v>
      </c>
      <c r="C71" s="58" t="s">
        <v>12</v>
      </c>
      <c r="D71" s="3"/>
      <c r="J71" s="4"/>
      <c r="K71" s="5"/>
      <c r="L71" s="6"/>
      <c r="R71" s="65">
        <f t="shared" si="17"/>
        <v>10</v>
      </c>
      <c r="V71" s="64"/>
      <c r="W71" s="64">
        <f t="shared" ref="W71:AX71" si="19">COUNTIF(W7:W50,"I")</f>
        <v>1</v>
      </c>
      <c r="X71" s="64">
        <f t="shared" si="19"/>
        <v>0</v>
      </c>
      <c r="Y71" s="64">
        <f t="shared" si="19"/>
        <v>0</v>
      </c>
      <c r="Z71" s="64">
        <f t="shared" si="19"/>
        <v>0</v>
      </c>
      <c r="AA71" s="64">
        <f t="shared" si="19"/>
        <v>2</v>
      </c>
      <c r="AB71" s="64">
        <f t="shared" si="19"/>
        <v>0</v>
      </c>
      <c r="AC71" s="64">
        <f t="shared" si="19"/>
        <v>0</v>
      </c>
      <c r="AD71" s="64">
        <f t="shared" si="19"/>
        <v>0</v>
      </c>
      <c r="AE71" s="64">
        <f t="shared" si="19"/>
        <v>1</v>
      </c>
      <c r="AF71" s="64">
        <f t="shared" si="19"/>
        <v>0</v>
      </c>
      <c r="AG71" s="64">
        <f t="shared" si="19"/>
        <v>2</v>
      </c>
      <c r="AH71" s="64">
        <f t="shared" si="19"/>
        <v>0</v>
      </c>
      <c r="AI71" s="64">
        <f t="shared" si="19"/>
        <v>1</v>
      </c>
      <c r="AJ71" s="64">
        <f t="shared" si="19"/>
        <v>0</v>
      </c>
      <c r="AK71" s="64">
        <f t="shared" si="19"/>
        <v>1</v>
      </c>
      <c r="AL71" s="64">
        <f t="shared" si="19"/>
        <v>1</v>
      </c>
      <c r="AM71" s="64">
        <f t="shared" si="19"/>
        <v>0</v>
      </c>
      <c r="AN71" s="64">
        <f t="shared" si="19"/>
        <v>0</v>
      </c>
      <c r="AO71" s="64">
        <f t="shared" si="19"/>
        <v>0</v>
      </c>
      <c r="AP71" s="64">
        <f t="shared" si="19"/>
        <v>0</v>
      </c>
      <c r="AQ71" s="64">
        <f t="shared" si="19"/>
        <v>0</v>
      </c>
      <c r="AR71" s="64">
        <f t="shared" si="19"/>
        <v>0</v>
      </c>
      <c r="AS71" s="64">
        <f t="shared" si="19"/>
        <v>1</v>
      </c>
      <c r="AT71" s="64">
        <f t="shared" si="19"/>
        <v>0</v>
      </c>
      <c r="AU71" s="64">
        <f t="shared" si="19"/>
        <v>0</v>
      </c>
      <c r="AV71" s="64">
        <f t="shared" si="19"/>
        <v>0</v>
      </c>
      <c r="AW71" s="64">
        <f t="shared" si="19"/>
        <v>0</v>
      </c>
      <c r="AX71" s="64">
        <f t="shared" si="19"/>
        <v>0</v>
      </c>
      <c r="AY71" s="64"/>
      <c r="AZ71" s="64"/>
      <c r="BA71" s="64"/>
    </row>
    <row r="72" ht="15.75" customHeight="1">
      <c r="A72" s="1"/>
      <c r="B72" s="63" t="s">
        <v>116</v>
      </c>
      <c r="C72" s="66" t="s">
        <v>36</v>
      </c>
      <c r="D72" s="3"/>
      <c r="J72" s="4"/>
      <c r="K72" s="5"/>
      <c r="L72" s="6"/>
      <c r="V72" s="64"/>
      <c r="W72" s="64">
        <f t="shared" ref="W72:AX72" si="20">COUNTIF(W7:W50,"√")</f>
        <v>37</v>
      </c>
      <c r="X72" s="64">
        <f t="shared" si="20"/>
        <v>41</v>
      </c>
      <c r="Y72" s="64">
        <f t="shared" si="20"/>
        <v>39</v>
      </c>
      <c r="Z72" s="64">
        <f t="shared" si="20"/>
        <v>16</v>
      </c>
      <c r="AA72" s="64">
        <f t="shared" si="20"/>
        <v>39</v>
      </c>
      <c r="AB72" s="64">
        <f t="shared" si="20"/>
        <v>41</v>
      </c>
      <c r="AC72" s="64">
        <f t="shared" si="20"/>
        <v>39</v>
      </c>
      <c r="AD72" s="64">
        <f t="shared" si="20"/>
        <v>43</v>
      </c>
      <c r="AE72" s="64">
        <f t="shared" si="20"/>
        <v>41</v>
      </c>
      <c r="AF72" s="64">
        <f t="shared" si="20"/>
        <v>37</v>
      </c>
      <c r="AG72" s="64">
        <f t="shared" si="20"/>
        <v>17</v>
      </c>
      <c r="AH72" s="64">
        <f t="shared" si="20"/>
        <v>39</v>
      </c>
      <c r="AI72" s="64">
        <f t="shared" si="20"/>
        <v>39</v>
      </c>
      <c r="AJ72" s="64">
        <f t="shared" si="20"/>
        <v>38</v>
      </c>
      <c r="AK72" s="64">
        <f t="shared" si="20"/>
        <v>42</v>
      </c>
      <c r="AL72" s="64">
        <f t="shared" si="20"/>
        <v>40</v>
      </c>
      <c r="AM72" s="64">
        <f t="shared" si="20"/>
        <v>38</v>
      </c>
      <c r="AN72" s="64">
        <f t="shared" si="20"/>
        <v>18</v>
      </c>
      <c r="AO72" s="64">
        <f t="shared" si="20"/>
        <v>40</v>
      </c>
      <c r="AP72" s="64">
        <f t="shared" si="20"/>
        <v>42</v>
      </c>
      <c r="AQ72" s="64">
        <f t="shared" si="20"/>
        <v>38</v>
      </c>
      <c r="AR72" s="64">
        <f t="shared" si="20"/>
        <v>24</v>
      </c>
      <c r="AS72" s="64">
        <f t="shared" si="20"/>
        <v>19</v>
      </c>
      <c r="AT72" s="64">
        <f t="shared" si="20"/>
        <v>13</v>
      </c>
      <c r="AU72" s="64">
        <f t="shared" si="20"/>
        <v>12</v>
      </c>
      <c r="AV72" s="64">
        <f t="shared" si="20"/>
        <v>16</v>
      </c>
      <c r="AW72" s="64">
        <f t="shared" si="20"/>
        <v>27</v>
      </c>
      <c r="AX72" s="64">
        <f t="shared" si="20"/>
        <v>34</v>
      </c>
      <c r="AY72" s="64"/>
      <c r="AZ72" s="64"/>
      <c r="BA72" s="64"/>
    </row>
    <row r="73" ht="15.75" customHeight="1">
      <c r="A73" s="1"/>
      <c r="B73" s="67" t="s">
        <v>117</v>
      </c>
      <c r="C73" s="57" t="s">
        <v>84</v>
      </c>
      <c r="D73" s="3"/>
      <c r="F73" s="65"/>
      <c r="J73" s="4"/>
      <c r="K73" s="5"/>
      <c r="L73" s="6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ht="15.75" customHeight="1">
      <c r="A74" s="1"/>
      <c r="B74" s="67" t="s">
        <v>118</v>
      </c>
      <c r="C74" s="52" t="s">
        <v>59</v>
      </c>
      <c r="D74" s="68"/>
      <c r="E74" s="63"/>
      <c r="F74" s="63"/>
      <c r="G74" s="63"/>
      <c r="H74" s="63"/>
      <c r="I74" s="63"/>
      <c r="J74" s="69"/>
      <c r="K74" s="70"/>
      <c r="L74" s="7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ht="15.75" customHeight="1">
      <c r="A75" s="1"/>
      <c r="B75" s="72" t="s">
        <v>119</v>
      </c>
      <c r="C75" s="73" t="s">
        <v>120</v>
      </c>
      <c r="D75" s="68"/>
      <c r="E75" s="63"/>
      <c r="F75" s="63"/>
      <c r="G75" s="63"/>
      <c r="H75" s="63"/>
      <c r="I75" s="63"/>
      <c r="J75" s="69"/>
      <c r="K75" s="70"/>
      <c r="L75" s="7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ht="15.75" customHeight="1">
      <c r="A76" s="1"/>
      <c r="B76" s="1"/>
      <c r="C76" s="1"/>
      <c r="D76" s="68"/>
      <c r="E76" s="63"/>
      <c r="F76" s="63"/>
      <c r="G76" s="63"/>
      <c r="H76" s="63"/>
      <c r="I76" s="63"/>
      <c r="J76" s="69"/>
      <c r="K76" s="70"/>
      <c r="L76" s="7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ht="15.75" customHeight="1">
      <c r="A77" s="1"/>
      <c r="B77" s="1"/>
      <c r="C77" s="1"/>
      <c r="D77" s="68"/>
      <c r="E77" s="63"/>
      <c r="F77" s="63"/>
      <c r="G77" s="63"/>
      <c r="H77" s="63"/>
      <c r="I77" s="63"/>
      <c r="J77" s="69"/>
      <c r="K77" s="70"/>
      <c r="L77" s="7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ht="15.75" customHeight="1">
      <c r="A78" s="1"/>
      <c r="B78" s="74" t="s">
        <v>121</v>
      </c>
      <c r="C78" s="1"/>
      <c r="D78" s="68"/>
      <c r="E78" s="63"/>
      <c r="F78" s="63"/>
      <c r="G78" s="63"/>
      <c r="H78" s="63"/>
      <c r="I78" s="63"/>
      <c r="J78" s="69"/>
      <c r="K78" s="70"/>
      <c r="L78" s="7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X78" s="1"/>
      <c r="AY78" s="1"/>
      <c r="AZ78" s="1"/>
      <c r="BA78" s="1"/>
    </row>
    <row r="79" ht="15.75" customHeight="1">
      <c r="A79" s="1"/>
      <c r="B79" s="2"/>
      <c r="D79" s="3"/>
      <c r="J79" s="4"/>
      <c r="K79" s="5"/>
      <c r="L79" s="6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X79" s="1"/>
      <c r="AY79" s="1"/>
      <c r="AZ79" s="1"/>
      <c r="BA79" s="1"/>
    </row>
    <row r="80" ht="15.75" customHeight="1">
      <c r="A80" s="1"/>
      <c r="B80" s="2"/>
      <c r="D80" s="3"/>
      <c r="J80" s="4"/>
      <c r="K80" s="5"/>
      <c r="L80" s="6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ht="15.75" customHeight="1">
      <c r="A81" s="1"/>
      <c r="B81" s="2"/>
      <c r="D81" s="3"/>
      <c r="J81" s="4"/>
      <c r="K81" s="5"/>
      <c r="L81" s="6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ht="15.75" customHeight="1">
      <c r="A82" s="1"/>
      <c r="B82" s="2"/>
      <c r="D82" s="3"/>
      <c r="J82" s="4"/>
      <c r="K82" s="5"/>
      <c r="L82" s="6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ht="15.75" customHeight="1">
      <c r="A83" s="1"/>
      <c r="B83" s="2"/>
      <c r="D83" s="3"/>
      <c r="J83" s="4"/>
      <c r="K83" s="5"/>
      <c r="L83" s="6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ht="15.75" customHeight="1">
      <c r="A84" s="1"/>
      <c r="B84" s="2"/>
      <c r="D84" s="3"/>
      <c r="J84" s="4"/>
      <c r="K84" s="5"/>
      <c r="L84" s="6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ht="15.75" customHeight="1">
      <c r="A85" s="1"/>
      <c r="B85" s="2"/>
      <c r="D85" s="3"/>
      <c r="J85" s="4"/>
      <c r="K85" s="5"/>
      <c r="L85" s="6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ht="15.75" customHeight="1">
      <c r="A86" s="1"/>
      <c r="B86" s="2"/>
      <c r="D86" s="3"/>
      <c r="J86" s="4"/>
      <c r="K86" s="5"/>
      <c r="L86" s="6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ht="15.75" customHeight="1">
      <c r="A87" s="1"/>
      <c r="B87" s="2"/>
      <c r="D87" s="3"/>
      <c r="J87" s="4"/>
      <c r="K87" s="5"/>
      <c r="L87" s="6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ht="15.75" customHeight="1">
      <c r="A88" s="1"/>
      <c r="B88" s="2"/>
      <c r="D88" s="3"/>
      <c r="J88" s="4"/>
      <c r="K88" s="5"/>
      <c r="L88" s="6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ht="15.75" customHeight="1">
      <c r="A89" s="1"/>
      <c r="B89" s="2"/>
      <c r="D89" s="3"/>
      <c r="J89" s="4"/>
      <c r="K89" s="5"/>
      <c r="L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ht="15.75" customHeight="1">
      <c r="A90" s="1"/>
      <c r="B90" s="2"/>
      <c r="D90" s="3"/>
      <c r="J90" s="4"/>
      <c r="K90" s="5"/>
      <c r="L90" s="6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ht="15.75" customHeight="1">
      <c r="A91" s="1"/>
      <c r="B91" s="2"/>
      <c r="D91" s="3"/>
      <c r="J91" s="4"/>
      <c r="K91" s="5"/>
      <c r="L91" s="6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ht="15.75" customHeight="1">
      <c r="A92" s="1"/>
      <c r="B92" s="2"/>
      <c r="D92" s="3"/>
      <c r="J92" s="4"/>
      <c r="K92" s="5"/>
      <c r="L92" s="6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ht="15.75" customHeight="1">
      <c r="A93" s="1"/>
      <c r="B93" s="2"/>
      <c r="D93" s="3"/>
      <c r="J93" s="4"/>
      <c r="K93" s="5"/>
      <c r="L93" s="6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ht="15.75" customHeight="1">
      <c r="A94" s="1"/>
      <c r="B94" s="2"/>
      <c r="D94" s="3"/>
      <c r="J94" s="4"/>
      <c r="K94" s="5"/>
      <c r="L94" s="6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ht="15.75" customHeight="1">
      <c r="A95" s="1"/>
      <c r="B95" s="2"/>
      <c r="D95" s="3"/>
      <c r="J95" s="4"/>
      <c r="K95" s="5"/>
      <c r="L95" s="6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ht="15.75" customHeight="1">
      <c r="A96" s="1"/>
      <c r="B96" s="2"/>
      <c r="D96" s="3"/>
      <c r="J96" s="4"/>
      <c r="K96" s="5"/>
      <c r="L96" s="6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ht="15.75" customHeight="1">
      <c r="A97" s="1"/>
      <c r="B97" s="2"/>
      <c r="D97" s="3"/>
      <c r="J97" s="4"/>
      <c r="K97" s="5"/>
      <c r="L97" s="6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ht="15.75" customHeight="1">
      <c r="A98" s="1"/>
      <c r="B98" s="2"/>
      <c r="D98" s="3"/>
      <c r="E98" s="65" t="s">
        <v>29</v>
      </c>
      <c r="J98" s="4"/>
      <c r="K98" s="5"/>
      <c r="L98" s="6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ht="15.75" customHeight="1">
      <c r="A99" s="1"/>
      <c r="B99" s="2"/>
      <c r="D99" s="3"/>
      <c r="J99" s="4"/>
      <c r="K99" s="5"/>
      <c r="L99" s="6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ht="15.75" customHeight="1">
      <c r="A100" s="1"/>
      <c r="B100" s="2"/>
      <c r="D100" s="3"/>
      <c r="J100" s="4"/>
      <c r="K100" s="5"/>
      <c r="L100" s="6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ht="15.75" customHeight="1">
      <c r="A101" s="1"/>
      <c r="B101" s="2"/>
      <c r="D101" s="3"/>
      <c r="J101" s="4"/>
      <c r="K101" s="5"/>
      <c r="L101" s="6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ht="15.75" customHeight="1">
      <c r="A102" s="1"/>
      <c r="B102" s="2"/>
      <c r="D102" s="3"/>
      <c r="J102" s="4"/>
      <c r="K102" s="5"/>
      <c r="L102" s="6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ht="15.75" customHeight="1">
      <c r="A103" s="1"/>
      <c r="B103" s="2"/>
      <c r="D103" s="3"/>
      <c r="J103" s="4"/>
      <c r="K103" s="5"/>
      <c r="L103" s="6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ht="15.75" customHeight="1">
      <c r="A104" s="1"/>
      <c r="B104" s="2"/>
      <c r="D104" s="3"/>
      <c r="J104" s="4"/>
      <c r="K104" s="5"/>
      <c r="L104" s="6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ht="15.75" customHeight="1">
      <c r="A105" s="1"/>
      <c r="B105" s="2"/>
      <c r="D105" s="3"/>
      <c r="J105" s="4"/>
      <c r="K105" s="5"/>
      <c r="L105" s="6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ht="15.75" customHeight="1">
      <c r="A106" s="1"/>
      <c r="B106" s="2"/>
      <c r="D106" s="3"/>
      <c r="J106" s="4"/>
      <c r="K106" s="5"/>
      <c r="L106" s="6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ht="15.75" customHeight="1">
      <c r="A107" s="1"/>
      <c r="B107" s="2"/>
      <c r="D107" s="3"/>
      <c r="J107" s="4"/>
      <c r="K107" s="5"/>
      <c r="L107" s="6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ht="15.75" customHeight="1">
      <c r="A108" s="1"/>
      <c r="B108" s="2"/>
      <c r="D108" s="3"/>
      <c r="J108" s="4"/>
      <c r="K108" s="5"/>
      <c r="L108" s="6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ht="15.75" customHeight="1">
      <c r="A109" s="1"/>
      <c r="B109" s="2"/>
      <c r="D109" s="3"/>
      <c r="J109" s="4"/>
      <c r="K109" s="5"/>
      <c r="L109" s="6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ht="15.75" customHeight="1">
      <c r="A110" s="1"/>
      <c r="B110" s="2"/>
      <c r="D110" s="3"/>
      <c r="J110" s="4"/>
      <c r="K110" s="5"/>
      <c r="L110" s="6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ht="15.75" customHeight="1">
      <c r="A111" s="1"/>
      <c r="B111" s="2"/>
      <c r="D111" s="3"/>
      <c r="J111" s="4"/>
      <c r="K111" s="5"/>
      <c r="L111" s="6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ht="15.75" customHeight="1">
      <c r="A112" s="1"/>
      <c r="B112" s="2"/>
      <c r="D112" s="3"/>
      <c r="J112" s="4"/>
      <c r="K112" s="5"/>
      <c r="L112" s="6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ht="15.75" customHeight="1">
      <c r="A113" s="1"/>
      <c r="B113" s="2"/>
      <c r="D113" s="3"/>
      <c r="J113" s="4"/>
      <c r="K113" s="5"/>
      <c r="L113" s="6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ht="15.75" customHeight="1">
      <c r="A114" s="1"/>
      <c r="B114" s="2"/>
      <c r="D114" s="3"/>
      <c r="J114" s="4"/>
      <c r="K114" s="5"/>
      <c r="L114" s="6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ht="15.75" customHeight="1">
      <c r="A115" s="1"/>
      <c r="B115" s="2"/>
      <c r="D115" s="3"/>
      <c r="J115" s="4"/>
      <c r="K115" s="5"/>
      <c r="L115" s="6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ht="15.75" customHeight="1">
      <c r="A116" s="1"/>
      <c r="B116" s="2"/>
      <c r="D116" s="3"/>
      <c r="J116" s="4"/>
      <c r="K116" s="5"/>
      <c r="L116" s="6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ht="15.75" customHeight="1">
      <c r="A117" s="1"/>
      <c r="B117" s="2"/>
      <c r="D117" s="3"/>
      <c r="J117" s="4"/>
      <c r="K117" s="5"/>
      <c r="L117" s="6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ht="15.75" customHeight="1">
      <c r="A118" s="1"/>
      <c r="B118" s="2"/>
      <c r="D118" s="3"/>
      <c r="J118" s="4"/>
      <c r="K118" s="5"/>
      <c r="L118" s="6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ht="15.75" customHeight="1">
      <c r="A119" s="1"/>
      <c r="B119" s="2"/>
      <c r="D119" s="3"/>
      <c r="J119" s="4"/>
      <c r="K119" s="5"/>
      <c r="L119" s="6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ht="15.75" customHeight="1">
      <c r="A120" s="1"/>
      <c r="B120" s="2"/>
      <c r="D120" s="3"/>
      <c r="J120" s="4"/>
      <c r="K120" s="5"/>
      <c r="L120" s="6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ht="15.75" customHeight="1">
      <c r="A121" s="1"/>
      <c r="B121" s="2"/>
      <c r="D121" s="3"/>
      <c r="J121" s="4"/>
      <c r="K121" s="5"/>
      <c r="L121" s="6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ht="15.75" customHeight="1">
      <c r="A122" s="1"/>
      <c r="B122" s="2"/>
      <c r="D122" s="3"/>
      <c r="J122" s="4"/>
      <c r="K122" s="5"/>
      <c r="L122" s="6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ht="15.75" customHeight="1">
      <c r="A123" s="1"/>
      <c r="B123" s="2"/>
      <c r="D123" s="3"/>
      <c r="J123" s="4"/>
      <c r="K123" s="5"/>
      <c r="L123" s="6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ht="15.75" customHeight="1">
      <c r="A124" s="1"/>
      <c r="B124" s="2"/>
      <c r="D124" s="3"/>
      <c r="J124" s="4"/>
      <c r="K124" s="5"/>
      <c r="L124" s="6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ht="15.75" customHeight="1">
      <c r="A125" s="1"/>
      <c r="B125" s="2"/>
      <c r="D125" s="3"/>
      <c r="J125" s="4"/>
      <c r="K125" s="5"/>
      <c r="L125" s="6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ht="15.75" customHeight="1">
      <c r="A126" s="1"/>
      <c r="B126" s="2"/>
      <c r="D126" s="3"/>
      <c r="J126" s="4"/>
      <c r="K126" s="5"/>
      <c r="L126" s="6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ht="15.75" customHeight="1">
      <c r="A127" s="1"/>
      <c r="B127" s="2"/>
      <c r="D127" s="3"/>
      <c r="J127" s="4"/>
      <c r="K127" s="5"/>
      <c r="L127" s="6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ht="15.75" customHeight="1">
      <c r="A128" s="1"/>
      <c r="B128" s="2"/>
      <c r="D128" s="3"/>
      <c r="J128" s="4"/>
      <c r="K128" s="5"/>
      <c r="L128" s="6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ht="15.75" customHeight="1">
      <c r="A129" s="1"/>
      <c r="B129" s="2"/>
      <c r="D129" s="3"/>
      <c r="J129" s="4"/>
      <c r="K129" s="5"/>
      <c r="L129" s="6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ht="15.75" customHeight="1">
      <c r="A130" s="1"/>
      <c r="B130" s="2"/>
      <c r="D130" s="3"/>
      <c r="J130" s="4"/>
      <c r="K130" s="5"/>
      <c r="L130" s="6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ht="15.75" customHeight="1">
      <c r="A131" s="1"/>
      <c r="B131" s="2"/>
      <c r="D131" s="3"/>
      <c r="J131" s="4"/>
      <c r="K131" s="5"/>
      <c r="L131" s="6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ht="15.75" customHeight="1">
      <c r="A132" s="1"/>
      <c r="B132" s="2"/>
      <c r="D132" s="3"/>
      <c r="J132" s="4"/>
      <c r="K132" s="5"/>
      <c r="L132" s="6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ht="15.75" customHeight="1">
      <c r="A133" s="1"/>
      <c r="B133" s="2"/>
      <c r="D133" s="3"/>
      <c r="J133" s="4"/>
      <c r="K133" s="5"/>
      <c r="L133" s="6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ht="15.75" customHeight="1">
      <c r="A134" s="1"/>
      <c r="B134" s="2"/>
      <c r="D134" s="3"/>
      <c r="J134" s="4"/>
      <c r="K134" s="5"/>
      <c r="L134" s="6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ht="15.75" customHeight="1">
      <c r="A135" s="1"/>
      <c r="B135" s="2"/>
      <c r="D135" s="3"/>
      <c r="J135" s="4"/>
      <c r="K135" s="5"/>
      <c r="L135" s="6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ht="15.75" customHeight="1">
      <c r="A136" s="1"/>
      <c r="B136" s="2"/>
      <c r="D136" s="3"/>
      <c r="J136" s="4"/>
      <c r="K136" s="5"/>
      <c r="L136" s="6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ht="15.75" customHeight="1">
      <c r="A137" s="1"/>
      <c r="B137" s="2"/>
      <c r="D137" s="3"/>
      <c r="J137" s="4"/>
      <c r="K137" s="5"/>
      <c r="L137" s="6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ht="15.75" customHeight="1">
      <c r="A138" s="1"/>
      <c r="B138" s="2"/>
      <c r="D138" s="3"/>
      <c r="J138" s="4"/>
      <c r="K138" s="5"/>
      <c r="L138" s="6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ht="15.75" customHeight="1">
      <c r="A139" s="1"/>
      <c r="B139" s="2"/>
      <c r="D139" s="3"/>
      <c r="J139" s="4"/>
      <c r="K139" s="5"/>
      <c r="L139" s="6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ht="15.75" customHeight="1">
      <c r="A140" s="1"/>
      <c r="B140" s="2"/>
      <c r="D140" s="3"/>
      <c r="J140" s="4"/>
      <c r="K140" s="5"/>
      <c r="L140" s="6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ht="15.75" customHeight="1">
      <c r="A141" s="1"/>
      <c r="B141" s="2"/>
      <c r="D141" s="3"/>
      <c r="J141" s="4"/>
      <c r="K141" s="5"/>
      <c r="L141" s="6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ht="15.75" customHeight="1">
      <c r="A142" s="1"/>
      <c r="B142" s="2"/>
      <c r="D142" s="3"/>
      <c r="J142" s="4"/>
      <c r="K142" s="5"/>
      <c r="L142" s="6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ht="15.75" customHeight="1">
      <c r="A143" s="1"/>
      <c r="B143" s="2"/>
      <c r="D143" s="3"/>
      <c r="J143" s="4"/>
      <c r="K143" s="5"/>
      <c r="L143" s="6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ht="15.75" customHeight="1">
      <c r="A144" s="1"/>
      <c r="B144" s="2"/>
      <c r="D144" s="3"/>
      <c r="J144" s="4"/>
      <c r="K144" s="5"/>
      <c r="L144" s="6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ht="15.75" customHeight="1">
      <c r="A145" s="1"/>
      <c r="B145" s="2"/>
      <c r="D145" s="3"/>
      <c r="J145" s="4"/>
      <c r="K145" s="5"/>
      <c r="L145" s="6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ht="15.75" customHeight="1">
      <c r="A146" s="1"/>
      <c r="B146" s="2"/>
      <c r="D146" s="3"/>
      <c r="J146" s="4"/>
      <c r="K146" s="5"/>
      <c r="L146" s="6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ht="15.75" customHeight="1">
      <c r="A147" s="1"/>
      <c r="B147" s="2"/>
      <c r="D147" s="3"/>
      <c r="J147" s="4"/>
      <c r="K147" s="5"/>
      <c r="L147" s="6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ht="15.75" customHeight="1">
      <c r="A148" s="1"/>
      <c r="B148" s="2"/>
      <c r="D148" s="3"/>
      <c r="J148" s="4"/>
      <c r="K148" s="5"/>
      <c r="L148" s="6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ht="15.75" customHeight="1">
      <c r="A149" s="1"/>
      <c r="B149" s="2"/>
      <c r="D149" s="3"/>
      <c r="J149" s="4"/>
      <c r="K149" s="5"/>
      <c r="L149" s="6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ht="15.75" customHeight="1">
      <c r="A150" s="1"/>
      <c r="B150" s="2"/>
      <c r="D150" s="3"/>
      <c r="J150" s="4"/>
      <c r="K150" s="5"/>
      <c r="L150" s="6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ht="15.75" customHeight="1">
      <c r="A151" s="1"/>
      <c r="B151" s="2"/>
      <c r="D151" s="3"/>
      <c r="J151" s="4"/>
      <c r="K151" s="5"/>
      <c r="L151" s="6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ht="15.75" customHeight="1">
      <c r="A152" s="1"/>
      <c r="B152" s="2"/>
      <c r="D152" s="3"/>
      <c r="J152" s="4"/>
      <c r="K152" s="5"/>
      <c r="L152" s="6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ht="15.75" customHeight="1">
      <c r="A153" s="1"/>
      <c r="B153" s="2"/>
      <c r="D153" s="3"/>
      <c r="J153" s="4"/>
      <c r="K153" s="5"/>
      <c r="L153" s="6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ht="15.75" customHeight="1">
      <c r="A154" s="1"/>
      <c r="B154" s="2"/>
      <c r="D154" s="3"/>
      <c r="J154" s="4"/>
      <c r="K154" s="5"/>
      <c r="L154" s="6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ht="15.75" customHeight="1">
      <c r="A155" s="1"/>
      <c r="B155" s="2"/>
      <c r="D155" s="3"/>
      <c r="J155" s="4"/>
      <c r="K155" s="5"/>
      <c r="L155" s="6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ht="15.75" customHeight="1">
      <c r="A156" s="1"/>
      <c r="B156" s="2"/>
      <c r="D156" s="3"/>
      <c r="J156" s="4"/>
      <c r="K156" s="5"/>
      <c r="L156" s="6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ht="15.75" customHeight="1">
      <c r="A157" s="1"/>
      <c r="B157" s="2"/>
      <c r="D157" s="3"/>
      <c r="J157" s="4"/>
      <c r="K157" s="5"/>
      <c r="L157" s="6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ht="15.75" customHeight="1">
      <c r="A158" s="1"/>
      <c r="B158" s="2"/>
      <c r="D158" s="3"/>
      <c r="J158" s="4"/>
      <c r="K158" s="5"/>
      <c r="L158" s="6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ht="15.75" customHeight="1">
      <c r="A159" s="1"/>
      <c r="B159" s="2"/>
      <c r="D159" s="3"/>
      <c r="J159" s="4"/>
      <c r="K159" s="5"/>
      <c r="L159" s="6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ht="15.75" customHeight="1">
      <c r="A160" s="1"/>
      <c r="B160" s="2"/>
      <c r="D160" s="3"/>
      <c r="J160" s="4"/>
      <c r="K160" s="5"/>
      <c r="L160" s="6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ht="15.75" customHeight="1">
      <c r="A161" s="1"/>
      <c r="B161" s="2"/>
      <c r="D161" s="3"/>
      <c r="J161" s="4"/>
      <c r="K161" s="5"/>
      <c r="L161" s="6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ht="15.75" customHeight="1">
      <c r="A162" s="1"/>
      <c r="B162" s="2"/>
      <c r="D162" s="3"/>
      <c r="J162" s="4"/>
      <c r="K162" s="5"/>
      <c r="L162" s="6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ht="15.75" customHeight="1">
      <c r="A163" s="1"/>
      <c r="B163" s="2"/>
      <c r="D163" s="3"/>
      <c r="J163" s="4"/>
      <c r="K163" s="5"/>
      <c r="L163" s="6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ht="15.75" customHeight="1">
      <c r="A164" s="1"/>
      <c r="B164" s="2"/>
      <c r="D164" s="3"/>
      <c r="J164" s="4"/>
      <c r="K164" s="5"/>
      <c r="L164" s="6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ht="15.75" customHeight="1">
      <c r="A165" s="1"/>
      <c r="B165" s="2"/>
      <c r="D165" s="3"/>
      <c r="J165" s="4"/>
      <c r="K165" s="5"/>
      <c r="L165" s="6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ht="15.75" customHeight="1">
      <c r="A166" s="1"/>
      <c r="B166" s="2"/>
      <c r="D166" s="3"/>
      <c r="J166" s="4"/>
      <c r="K166" s="5"/>
      <c r="L166" s="6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ht="15.75" customHeight="1">
      <c r="A167" s="1"/>
      <c r="B167" s="2"/>
      <c r="D167" s="3"/>
      <c r="J167" s="4"/>
      <c r="K167" s="5"/>
      <c r="L167" s="6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ht="15.75" customHeight="1">
      <c r="A168" s="1"/>
      <c r="B168" s="2"/>
      <c r="D168" s="3"/>
      <c r="J168" s="4"/>
      <c r="K168" s="5"/>
      <c r="L168" s="6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ht="15.75" customHeight="1">
      <c r="A169" s="1"/>
      <c r="B169" s="2"/>
      <c r="D169" s="3"/>
      <c r="J169" s="4"/>
      <c r="K169" s="5"/>
      <c r="L169" s="6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ht="15.75" customHeight="1">
      <c r="A170" s="1"/>
      <c r="B170" s="2"/>
      <c r="D170" s="3"/>
      <c r="J170" s="4"/>
      <c r="K170" s="5"/>
      <c r="L170" s="6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ht="15.75" customHeight="1">
      <c r="A171" s="1"/>
      <c r="B171" s="2"/>
      <c r="D171" s="3"/>
      <c r="J171" s="4"/>
      <c r="K171" s="5"/>
      <c r="L171" s="6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ht="15.75" customHeight="1">
      <c r="A172" s="1"/>
      <c r="B172" s="2"/>
      <c r="D172" s="3"/>
      <c r="J172" s="4"/>
      <c r="K172" s="5"/>
      <c r="L172" s="6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ht="15.75" customHeight="1">
      <c r="A173" s="1"/>
      <c r="B173" s="2"/>
      <c r="D173" s="3"/>
      <c r="J173" s="4"/>
      <c r="K173" s="5"/>
      <c r="L173" s="6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ht="15.75" customHeight="1">
      <c r="A174" s="1"/>
      <c r="B174" s="2"/>
      <c r="D174" s="3"/>
      <c r="J174" s="4"/>
      <c r="K174" s="5"/>
      <c r="L174" s="6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ht="15.75" customHeight="1">
      <c r="A175" s="1"/>
      <c r="B175" s="2"/>
      <c r="D175" s="3"/>
      <c r="J175" s="4"/>
      <c r="K175" s="5"/>
      <c r="L175" s="6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ht="15.75" customHeight="1">
      <c r="A176" s="1"/>
      <c r="B176" s="2"/>
      <c r="D176" s="3"/>
      <c r="J176" s="4"/>
      <c r="K176" s="5"/>
      <c r="L176" s="6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ht="15.75" customHeight="1">
      <c r="A177" s="1"/>
      <c r="B177" s="2"/>
      <c r="D177" s="3"/>
      <c r="J177" s="4"/>
      <c r="K177" s="5"/>
      <c r="L177" s="6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ht="15.75" customHeight="1">
      <c r="A178" s="1"/>
      <c r="B178" s="2"/>
      <c r="D178" s="3"/>
      <c r="J178" s="4"/>
      <c r="K178" s="5"/>
      <c r="L178" s="6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ht="15.75" customHeight="1">
      <c r="A179" s="1"/>
      <c r="B179" s="2"/>
      <c r="D179" s="3"/>
      <c r="J179" s="4"/>
      <c r="K179" s="5"/>
      <c r="L179" s="6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ht="15.75" customHeight="1">
      <c r="A180" s="1"/>
      <c r="B180" s="2"/>
      <c r="D180" s="3"/>
      <c r="J180" s="4"/>
      <c r="K180" s="5"/>
      <c r="L180" s="6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ht="15.75" customHeight="1">
      <c r="A181" s="1"/>
      <c r="B181" s="2"/>
      <c r="D181" s="3"/>
      <c r="J181" s="4"/>
      <c r="K181" s="5"/>
      <c r="L181" s="6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ht="15.75" customHeight="1">
      <c r="A182" s="1"/>
      <c r="B182" s="2"/>
      <c r="D182" s="3"/>
      <c r="J182" s="4"/>
      <c r="K182" s="5"/>
      <c r="L182" s="6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ht="15.75" customHeight="1">
      <c r="A183" s="1"/>
      <c r="B183" s="2"/>
      <c r="D183" s="3"/>
      <c r="J183" s="4"/>
      <c r="K183" s="5"/>
      <c r="L183" s="6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ht="15.75" customHeight="1">
      <c r="A184" s="1"/>
      <c r="B184" s="2"/>
      <c r="D184" s="3"/>
      <c r="J184" s="4"/>
      <c r="K184" s="5"/>
      <c r="L184" s="6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ht="15.75" customHeight="1">
      <c r="A185" s="1"/>
      <c r="B185" s="2"/>
      <c r="D185" s="3"/>
      <c r="J185" s="4"/>
      <c r="K185" s="5"/>
      <c r="L185" s="6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ht="15.75" customHeight="1">
      <c r="A186" s="1"/>
      <c r="B186" s="2"/>
      <c r="D186" s="3"/>
      <c r="J186" s="4"/>
      <c r="K186" s="5"/>
      <c r="L186" s="6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ht="15.75" customHeight="1">
      <c r="A187" s="1"/>
      <c r="B187" s="2"/>
      <c r="D187" s="3"/>
      <c r="J187" s="4"/>
      <c r="K187" s="5"/>
      <c r="L187" s="6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ht="15.75" customHeight="1">
      <c r="A188" s="1"/>
      <c r="B188" s="2"/>
      <c r="D188" s="3"/>
      <c r="J188" s="4"/>
      <c r="K188" s="5"/>
      <c r="L188" s="6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ht="15.75" customHeight="1">
      <c r="A189" s="1"/>
      <c r="B189" s="2"/>
      <c r="D189" s="3"/>
      <c r="J189" s="4"/>
      <c r="K189" s="5"/>
      <c r="L189" s="6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ht="15.75" customHeight="1">
      <c r="A190" s="1"/>
      <c r="B190" s="2"/>
      <c r="D190" s="3"/>
      <c r="J190" s="4"/>
      <c r="K190" s="5"/>
      <c r="L190" s="6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ht="15.75" customHeight="1">
      <c r="A191" s="1"/>
      <c r="B191" s="2"/>
      <c r="D191" s="3"/>
      <c r="J191" s="4"/>
      <c r="K191" s="5"/>
      <c r="L191" s="6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ht="15.75" customHeight="1">
      <c r="A192" s="1"/>
      <c r="B192" s="2"/>
      <c r="D192" s="3"/>
      <c r="J192" s="4"/>
      <c r="K192" s="5"/>
      <c r="L192" s="6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ht="15.75" customHeight="1">
      <c r="A193" s="1"/>
      <c r="B193" s="2"/>
      <c r="D193" s="3"/>
      <c r="J193" s="4"/>
      <c r="K193" s="5"/>
      <c r="L193" s="6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ht="15.75" customHeight="1">
      <c r="A194" s="1"/>
      <c r="B194" s="2"/>
      <c r="D194" s="3"/>
      <c r="J194" s="4"/>
      <c r="K194" s="5"/>
      <c r="L194" s="6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ht="15.75" customHeight="1">
      <c r="A195" s="1"/>
      <c r="B195" s="2"/>
      <c r="D195" s="3"/>
      <c r="J195" s="4"/>
      <c r="K195" s="5"/>
      <c r="L195" s="6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ht="15.75" customHeight="1">
      <c r="A196" s="1"/>
      <c r="B196" s="2"/>
      <c r="D196" s="3"/>
      <c r="J196" s="4"/>
      <c r="K196" s="5"/>
      <c r="L196" s="6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ht="15.75" customHeight="1">
      <c r="A197" s="1"/>
      <c r="B197" s="2"/>
      <c r="D197" s="3"/>
      <c r="J197" s="4"/>
      <c r="K197" s="5"/>
      <c r="L197" s="6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ht="15.75" customHeight="1">
      <c r="A198" s="1"/>
      <c r="B198" s="2"/>
      <c r="D198" s="3"/>
      <c r="J198" s="4"/>
      <c r="K198" s="5"/>
      <c r="L198" s="6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ht="15.75" customHeight="1">
      <c r="A199" s="1"/>
      <c r="B199" s="2"/>
      <c r="D199" s="3"/>
      <c r="J199" s="4"/>
      <c r="K199" s="5"/>
      <c r="L199" s="6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ht="15.75" customHeight="1">
      <c r="A200" s="1"/>
      <c r="B200" s="2"/>
      <c r="D200" s="3"/>
      <c r="J200" s="4"/>
      <c r="K200" s="5"/>
      <c r="L200" s="6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ht="15.75" customHeight="1">
      <c r="A201" s="1"/>
      <c r="B201" s="2"/>
      <c r="D201" s="3"/>
      <c r="J201" s="4"/>
      <c r="K201" s="5"/>
      <c r="L201" s="6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ht="15.75" customHeight="1">
      <c r="A202" s="1"/>
      <c r="B202" s="2"/>
      <c r="D202" s="3"/>
      <c r="J202" s="4"/>
      <c r="K202" s="5"/>
      <c r="L202" s="6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ht="15.75" customHeight="1">
      <c r="A203" s="1"/>
      <c r="B203" s="2"/>
      <c r="D203" s="3"/>
      <c r="J203" s="4"/>
      <c r="K203" s="5"/>
      <c r="L203" s="6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ht="15.75" customHeight="1">
      <c r="A204" s="1"/>
      <c r="B204" s="2"/>
      <c r="D204" s="3"/>
      <c r="J204" s="4"/>
      <c r="K204" s="5"/>
      <c r="L204" s="6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ht="15.75" customHeight="1">
      <c r="A205" s="1"/>
      <c r="B205" s="2"/>
      <c r="D205" s="3"/>
      <c r="J205" s="4"/>
      <c r="K205" s="5"/>
      <c r="L205" s="6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ht="15.75" customHeight="1">
      <c r="A206" s="1"/>
      <c r="B206" s="2"/>
      <c r="D206" s="3"/>
      <c r="J206" s="4"/>
      <c r="K206" s="5"/>
      <c r="L206" s="6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ht="15.75" customHeight="1">
      <c r="A207" s="1"/>
      <c r="B207" s="2"/>
      <c r="D207" s="3"/>
      <c r="J207" s="4"/>
      <c r="K207" s="5"/>
      <c r="L207" s="6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ht="15.75" customHeight="1">
      <c r="A208" s="1"/>
      <c r="B208" s="2"/>
      <c r="D208" s="3"/>
      <c r="J208" s="4"/>
      <c r="K208" s="5"/>
      <c r="L208" s="6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ht="15.75" customHeight="1">
      <c r="A209" s="1"/>
      <c r="B209" s="2"/>
      <c r="D209" s="3"/>
      <c r="J209" s="4"/>
      <c r="K209" s="5"/>
      <c r="L209" s="6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ht="15.75" customHeight="1">
      <c r="A210" s="1"/>
      <c r="B210" s="2"/>
      <c r="D210" s="3"/>
      <c r="J210" s="4"/>
      <c r="K210" s="5"/>
      <c r="L210" s="6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ht="15.75" customHeight="1">
      <c r="A211" s="1"/>
      <c r="B211" s="2"/>
      <c r="D211" s="3"/>
      <c r="J211" s="4"/>
      <c r="K211" s="5"/>
      <c r="L211" s="6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ht="15.75" customHeight="1">
      <c r="A212" s="1"/>
      <c r="B212" s="2"/>
      <c r="D212" s="3"/>
      <c r="J212" s="4"/>
      <c r="K212" s="5"/>
      <c r="L212" s="6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ht="15.75" customHeight="1">
      <c r="A213" s="1"/>
      <c r="B213" s="2"/>
      <c r="D213" s="3"/>
      <c r="J213" s="4"/>
      <c r="K213" s="5"/>
      <c r="L213" s="6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ht="15.75" customHeight="1">
      <c r="A214" s="1"/>
      <c r="B214" s="2"/>
      <c r="D214" s="3"/>
      <c r="J214" s="4"/>
      <c r="K214" s="5"/>
      <c r="L214" s="6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ht="15.75" customHeight="1">
      <c r="A215" s="1"/>
      <c r="B215" s="2"/>
      <c r="D215" s="3"/>
      <c r="J215" s="4"/>
      <c r="K215" s="5"/>
      <c r="L215" s="6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ht="15.75" customHeight="1">
      <c r="A216" s="1"/>
      <c r="B216" s="2"/>
      <c r="D216" s="3"/>
      <c r="J216" s="4"/>
      <c r="K216" s="5"/>
      <c r="L216" s="6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ht="15.75" customHeight="1">
      <c r="A217" s="1"/>
      <c r="B217" s="2"/>
      <c r="D217" s="3"/>
      <c r="J217" s="4"/>
      <c r="K217" s="5"/>
      <c r="L217" s="6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ht="15.75" customHeight="1">
      <c r="A218" s="1"/>
      <c r="B218" s="2"/>
      <c r="D218" s="3"/>
      <c r="J218" s="4"/>
      <c r="K218" s="5"/>
      <c r="L218" s="6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ht="15.75" customHeight="1">
      <c r="A219" s="1"/>
      <c r="B219" s="2"/>
      <c r="D219" s="3"/>
      <c r="J219" s="4"/>
      <c r="K219" s="5"/>
      <c r="L219" s="6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ht="15.75" customHeight="1">
      <c r="A220" s="1"/>
      <c r="B220" s="2"/>
      <c r="D220" s="3"/>
      <c r="J220" s="4"/>
      <c r="K220" s="5"/>
      <c r="L220" s="6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ht="15.75" customHeight="1">
      <c r="A221" s="1"/>
      <c r="B221" s="2"/>
      <c r="D221" s="3"/>
      <c r="J221" s="4"/>
      <c r="K221" s="5"/>
      <c r="L221" s="6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ht="15.75" customHeight="1">
      <c r="A222" s="1"/>
      <c r="B222" s="2"/>
      <c r="D222" s="3"/>
      <c r="J222" s="4"/>
      <c r="K222" s="5"/>
      <c r="L222" s="6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ht="15.75" customHeight="1">
      <c r="A223" s="1"/>
      <c r="B223" s="2"/>
      <c r="D223" s="3"/>
      <c r="J223" s="4"/>
      <c r="K223" s="5"/>
      <c r="L223" s="6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ht="15.75" customHeight="1">
      <c r="A224" s="1"/>
      <c r="B224" s="2"/>
      <c r="D224" s="3"/>
      <c r="J224" s="4"/>
      <c r="K224" s="5"/>
      <c r="L224" s="6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ht="15.75" customHeight="1">
      <c r="A225" s="1"/>
      <c r="B225" s="2"/>
      <c r="D225" s="3"/>
      <c r="J225" s="4"/>
      <c r="K225" s="5"/>
      <c r="L225" s="6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ht="15.75" customHeight="1">
      <c r="A226" s="1"/>
      <c r="B226" s="2"/>
      <c r="D226" s="3"/>
      <c r="J226" s="4"/>
      <c r="K226" s="5"/>
      <c r="L226" s="6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ht="15.75" customHeight="1">
      <c r="A227" s="1"/>
      <c r="B227" s="2"/>
      <c r="D227" s="3"/>
      <c r="J227" s="4"/>
      <c r="K227" s="5"/>
      <c r="L227" s="6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ht="15.75" customHeight="1">
      <c r="A228" s="1"/>
      <c r="B228" s="2"/>
      <c r="D228" s="3"/>
      <c r="J228" s="4"/>
      <c r="K228" s="5"/>
      <c r="L228" s="6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ht="15.75" customHeight="1">
      <c r="A229" s="1"/>
      <c r="B229" s="2"/>
      <c r="D229" s="3"/>
      <c r="J229" s="4"/>
      <c r="K229" s="5"/>
      <c r="L229" s="6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ht="15.75" customHeight="1">
      <c r="A230" s="1"/>
      <c r="B230" s="2"/>
      <c r="D230" s="3"/>
      <c r="J230" s="4"/>
      <c r="K230" s="5"/>
      <c r="L230" s="6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ht="15.75" customHeight="1">
      <c r="A231" s="1"/>
      <c r="B231" s="2"/>
      <c r="D231" s="3"/>
      <c r="J231" s="4"/>
      <c r="K231" s="5"/>
      <c r="L231" s="6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ht="15.75" customHeight="1">
      <c r="A232" s="1"/>
      <c r="B232" s="2"/>
      <c r="D232" s="3"/>
      <c r="J232" s="4"/>
      <c r="K232" s="5"/>
      <c r="L232" s="6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ht="15.75" customHeight="1">
      <c r="A233" s="1"/>
      <c r="B233" s="2"/>
      <c r="D233" s="3"/>
      <c r="J233" s="4"/>
      <c r="K233" s="5"/>
      <c r="L233" s="6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ht="15.75" customHeight="1">
      <c r="A234" s="1"/>
      <c r="B234" s="2"/>
      <c r="D234" s="3"/>
      <c r="J234" s="4"/>
      <c r="K234" s="5"/>
      <c r="L234" s="6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ht="15.75" customHeight="1">
      <c r="A235" s="1"/>
      <c r="B235" s="2"/>
      <c r="D235" s="3"/>
      <c r="J235" s="4"/>
      <c r="K235" s="5"/>
      <c r="L235" s="6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ht="15.75" customHeight="1">
      <c r="A236" s="1"/>
      <c r="B236" s="2"/>
      <c r="D236" s="3"/>
      <c r="J236" s="4"/>
      <c r="K236" s="5"/>
      <c r="L236" s="6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ht="15.75" customHeight="1">
      <c r="A237" s="1"/>
      <c r="B237" s="2"/>
      <c r="D237" s="3"/>
      <c r="J237" s="4"/>
      <c r="K237" s="5"/>
      <c r="L237" s="6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ht="15.75" customHeight="1">
      <c r="A238" s="1"/>
      <c r="B238" s="2"/>
      <c r="D238" s="3"/>
      <c r="J238" s="4"/>
      <c r="K238" s="5"/>
      <c r="L238" s="6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ht="15.75" customHeight="1">
      <c r="A239" s="1"/>
      <c r="B239" s="2"/>
      <c r="D239" s="3"/>
      <c r="J239" s="4"/>
      <c r="K239" s="5"/>
      <c r="L239" s="6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ht="15.75" customHeight="1">
      <c r="A240" s="1"/>
      <c r="B240" s="2"/>
      <c r="D240" s="3"/>
      <c r="J240" s="4"/>
      <c r="K240" s="5"/>
      <c r="L240" s="6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ht="15.75" customHeight="1">
      <c r="A241" s="1"/>
      <c r="B241" s="2"/>
      <c r="D241" s="3"/>
      <c r="J241" s="4"/>
      <c r="K241" s="5"/>
      <c r="L241" s="6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ht="15.75" customHeight="1">
      <c r="A242" s="1"/>
      <c r="B242" s="2"/>
      <c r="D242" s="3"/>
      <c r="J242" s="4"/>
      <c r="K242" s="5"/>
      <c r="L242" s="6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ht="15.75" customHeight="1">
      <c r="A243" s="1"/>
      <c r="B243" s="2"/>
      <c r="D243" s="3"/>
      <c r="J243" s="4"/>
      <c r="K243" s="5"/>
      <c r="L243" s="6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ht="15.75" customHeight="1">
      <c r="A244" s="1"/>
      <c r="B244" s="2"/>
      <c r="D244" s="3"/>
      <c r="J244" s="4"/>
      <c r="K244" s="5"/>
      <c r="L244" s="6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ht="15.75" customHeight="1">
      <c r="A245" s="1"/>
      <c r="B245" s="2"/>
      <c r="D245" s="3"/>
      <c r="J245" s="4"/>
      <c r="K245" s="5"/>
      <c r="L245" s="6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ht="15.75" customHeight="1">
      <c r="A246" s="1"/>
      <c r="B246" s="2"/>
      <c r="D246" s="3"/>
      <c r="J246" s="4"/>
      <c r="K246" s="5"/>
      <c r="L246" s="6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ht="15.75" customHeight="1">
      <c r="A247" s="1"/>
      <c r="B247" s="2"/>
      <c r="D247" s="3"/>
      <c r="J247" s="4"/>
      <c r="K247" s="5"/>
      <c r="L247" s="6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ht="15.75" customHeight="1">
      <c r="A248" s="1"/>
      <c r="B248" s="2"/>
      <c r="D248" s="3"/>
      <c r="J248" s="4"/>
      <c r="K248" s="5"/>
      <c r="L248" s="6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ht="15.75" customHeight="1">
      <c r="A249" s="1"/>
      <c r="B249" s="2"/>
      <c r="D249" s="3"/>
      <c r="J249" s="4"/>
      <c r="K249" s="5"/>
      <c r="L249" s="6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ht="15.75" customHeight="1">
      <c r="A250" s="1"/>
      <c r="B250" s="2"/>
      <c r="D250" s="3"/>
      <c r="J250" s="4"/>
      <c r="K250" s="5"/>
      <c r="L250" s="6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ht="15.75" customHeight="1">
      <c r="A251" s="1"/>
      <c r="B251" s="2"/>
      <c r="D251" s="3"/>
      <c r="J251" s="4"/>
      <c r="K251" s="5"/>
      <c r="L251" s="6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ht="15.75" customHeight="1">
      <c r="A252" s="1"/>
      <c r="B252" s="2"/>
      <c r="D252" s="3"/>
      <c r="J252" s="4"/>
      <c r="K252" s="5"/>
      <c r="L252" s="6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ht="15.75" customHeight="1">
      <c r="A253" s="1"/>
      <c r="B253" s="2"/>
      <c r="D253" s="3"/>
      <c r="J253" s="4"/>
      <c r="K253" s="5"/>
      <c r="L253" s="6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ht="15.75" customHeight="1">
      <c r="A254" s="1"/>
      <c r="B254" s="2"/>
      <c r="D254" s="3"/>
      <c r="J254" s="4"/>
      <c r="K254" s="5"/>
      <c r="L254" s="6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ht="15.75" customHeight="1">
      <c r="A255" s="1"/>
      <c r="B255" s="2"/>
      <c r="D255" s="3"/>
      <c r="J255" s="4"/>
      <c r="K255" s="5"/>
      <c r="L255" s="6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ht="15.75" customHeight="1">
      <c r="A256" s="1"/>
      <c r="B256" s="2"/>
      <c r="D256" s="3"/>
      <c r="J256" s="4"/>
      <c r="K256" s="5"/>
      <c r="L256" s="6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ht="15.75" customHeight="1">
      <c r="A257" s="1"/>
      <c r="B257" s="2"/>
      <c r="D257" s="3"/>
      <c r="J257" s="4"/>
      <c r="K257" s="5"/>
      <c r="L257" s="6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ht="15.75" customHeight="1">
      <c r="A258" s="1"/>
      <c r="B258" s="2"/>
      <c r="D258" s="3"/>
      <c r="J258" s="4"/>
      <c r="K258" s="5"/>
      <c r="L258" s="6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ht="15.75" customHeight="1">
      <c r="A259" s="1"/>
      <c r="B259" s="2"/>
      <c r="D259" s="3"/>
      <c r="J259" s="4"/>
      <c r="K259" s="5"/>
      <c r="L259" s="6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ht="15.75" customHeight="1">
      <c r="A260" s="1"/>
      <c r="B260" s="2"/>
      <c r="D260" s="3"/>
      <c r="J260" s="4"/>
      <c r="K260" s="5"/>
      <c r="L260" s="6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ht="15.75" customHeight="1">
      <c r="A261" s="1"/>
      <c r="B261" s="2"/>
      <c r="D261" s="3"/>
      <c r="J261" s="4"/>
      <c r="K261" s="5"/>
      <c r="L261" s="6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ht="15.75" customHeight="1">
      <c r="A262" s="1"/>
      <c r="B262" s="2"/>
      <c r="D262" s="3"/>
      <c r="J262" s="4"/>
      <c r="K262" s="5"/>
      <c r="L262" s="6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ht="15.75" customHeight="1">
      <c r="A263" s="1"/>
      <c r="B263" s="2"/>
      <c r="D263" s="3"/>
      <c r="J263" s="4"/>
      <c r="K263" s="5"/>
      <c r="L263" s="6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ht="15.75" customHeight="1">
      <c r="A264" s="1"/>
      <c r="B264" s="2"/>
      <c r="D264" s="3"/>
      <c r="J264" s="4"/>
      <c r="K264" s="5"/>
      <c r="L264" s="6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ht="15.75" customHeight="1">
      <c r="A265" s="1"/>
      <c r="B265" s="2"/>
      <c r="D265" s="3"/>
      <c r="J265" s="4"/>
      <c r="K265" s="5"/>
      <c r="L265" s="6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ht="15.75" customHeight="1">
      <c r="A266" s="1"/>
      <c r="B266" s="2"/>
      <c r="D266" s="3"/>
      <c r="J266" s="4"/>
      <c r="K266" s="5"/>
      <c r="L266" s="6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ht="15.75" customHeight="1">
      <c r="A267" s="1"/>
      <c r="B267" s="2"/>
      <c r="D267" s="3"/>
      <c r="J267" s="4"/>
      <c r="K267" s="5"/>
      <c r="L267" s="6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ht="15.75" customHeight="1">
      <c r="A268" s="1"/>
      <c r="B268" s="2"/>
      <c r="D268" s="3"/>
      <c r="J268" s="4"/>
      <c r="K268" s="5"/>
      <c r="L268" s="6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ht="15.75" customHeight="1">
      <c r="A269" s="1"/>
      <c r="B269" s="2"/>
      <c r="D269" s="3"/>
      <c r="J269" s="4"/>
      <c r="K269" s="5"/>
      <c r="L269" s="6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ht="15.75" customHeight="1">
      <c r="A270" s="1"/>
      <c r="B270" s="2"/>
      <c r="D270" s="3"/>
      <c r="J270" s="4"/>
      <c r="K270" s="5"/>
      <c r="L270" s="6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ht="15.75" customHeight="1">
      <c r="A271" s="1"/>
      <c r="B271" s="2"/>
      <c r="D271" s="3"/>
      <c r="J271" s="4"/>
      <c r="K271" s="5"/>
      <c r="L271" s="6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ht="15.75" customHeight="1">
      <c r="A272" s="1"/>
      <c r="B272" s="2"/>
      <c r="D272" s="3"/>
      <c r="J272" s="4"/>
      <c r="K272" s="5"/>
      <c r="L272" s="6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ht="15.75" customHeight="1">
      <c r="A273" s="1"/>
      <c r="B273" s="2"/>
      <c r="D273" s="3"/>
      <c r="J273" s="4"/>
      <c r="K273" s="5"/>
      <c r="L273" s="6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ht="15.75" customHeight="1">
      <c r="A274" s="1"/>
      <c r="B274" s="2"/>
      <c r="D274" s="3"/>
      <c r="J274" s="4"/>
      <c r="K274" s="5"/>
      <c r="L274" s="6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ht="15.75" customHeight="1">
      <c r="A275" s="1"/>
      <c r="B275" s="2"/>
      <c r="D275" s="3"/>
      <c r="J275" s="4"/>
      <c r="K275" s="5"/>
      <c r="L275" s="6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ht="15.75" customHeight="1">
      <c r="A276" s="1"/>
      <c r="B276" s="2"/>
      <c r="D276" s="3"/>
      <c r="J276" s="4"/>
      <c r="K276" s="5"/>
      <c r="L276" s="6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ht="15.75" customHeight="1">
      <c r="A277" s="1"/>
      <c r="B277" s="2"/>
      <c r="D277" s="3"/>
      <c r="J277" s="4"/>
      <c r="K277" s="5"/>
      <c r="L277" s="6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ht="15.75" customHeight="1">
      <c r="A278" s="1"/>
      <c r="B278" s="2"/>
      <c r="D278" s="3"/>
      <c r="J278" s="4"/>
      <c r="K278" s="5"/>
      <c r="L278" s="6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ht="15.75" customHeight="1">
      <c r="A279" s="1"/>
      <c r="B279" s="2"/>
      <c r="D279" s="3"/>
      <c r="J279" s="4"/>
      <c r="K279" s="5"/>
      <c r="L279" s="6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ht="15.75" customHeight="1">
      <c r="A280" s="1"/>
      <c r="B280" s="2"/>
      <c r="D280" s="3"/>
      <c r="J280" s="4"/>
      <c r="K280" s="5"/>
      <c r="L280" s="6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ht="15.75" customHeight="1">
      <c r="A281" s="1"/>
      <c r="B281" s="2"/>
      <c r="D281" s="3"/>
      <c r="J281" s="4"/>
      <c r="K281" s="5"/>
      <c r="L281" s="6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ht="15.75" customHeight="1">
      <c r="A282" s="1"/>
      <c r="B282" s="2"/>
      <c r="D282" s="3"/>
      <c r="J282" s="4"/>
      <c r="K282" s="5"/>
      <c r="L282" s="6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ht="15.75" customHeight="1">
      <c r="A283" s="1"/>
      <c r="B283" s="2"/>
      <c r="D283" s="3"/>
      <c r="J283" s="4"/>
      <c r="K283" s="5"/>
      <c r="L283" s="6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ht="15.75" customHeight="1">
      <c r="A284" s="1"/>
      <c r="B284" s="2"/>
      <c r="D284" s="3"/>
      <c r="J284" s="4"/>
      <c r="K284" s="5"/>
      <c r="L284" s="6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ht="15.75" customHeight="1">
      <c r="A285" s="1"/>
      <c r="B285" s="2"/>
      <c r="D285" s="3"/>
      <c r="J285" s="4"/>
      <c r="K285" s="5"/>
      <c r="L285" s="6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ht="15.75" customHeight="1">
      <c r="A286" s="1"/>
      <c r="B286" s="2"/>
      <c r="D286" s="3"/>
      <c r="J286" s="4"/>
      <c r="K286" s="5"/>
      <c r="L286" s="6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ht="15.75" customHeight="1">
      <c r="A287" s="1"/>
      <c r="B287" s="2"/>
      <c r="D287" s="3"/>
      <c r="J287" s="4"/>
      <c r="K287" s="5"/>
      <c r="L287" s="6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ht="15.75" customHeight="1">
      <c r="A288" s="1"/>
      <c r="B288" s="2"/>
      <c r="D288" s="3"/>
      <c r="J288" s="4"/>
      <c r="K288" s="5"/>
      <c r="L288" s="6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ht="15.75" customHeight="1">
      <c r="A289" s="1"/>
      <c r="B289" s="2"/>
      <c r="D289" s="3"/>
      <c r="J289" s="4"/>
      <c r="K289" s="5"/>
      <c r="L289" s="6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ht="15.75" customHeight="1">
      <c r="A290" s="1"/>
      <c r="B290" s="2"/>
      <c r="D290" s="3"/>
      <c r="J290" s="4"/>
      <c r="K290" s="5"/>
      <c r="L290" s="6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ht="15.75" customHeight="1">
      <c r="A291" s="1"/>
      <c r="B291" s="2"/>
      <c r="D291" s="3"/>
      <c r="J291" s="4"/>
      <c r="K291" s="5"/>
      <c r="L291" s="6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ht="15.75" customHeight="1">
      <c r="A292" s="1"/>
      <c r="B292" s="2"/>
      <c r="D292" s="3"/>
      <c r="J292" s="4"/>
      <c r="K292" s="5"/>
      <c r="L292" s="6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ht="15.75" customHeight="1">
      <c r="A293" s="1"/>
      <c r="B293" s="2"/>
      <c r="D293" s="3"/>
      <c r="J293" s="4"/>
      <c r="K293" s="5"/>
      <c r="L293" s="6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ht="15.75" customHeight="1">
      <c r="A294" s="1"/>
      <c r="B294" s="2"/>
      <c r="D294" s="3"/>
      <c r="J294" s="4"/>
      <c r="K294" s="5"/>
      <c r="L294" s="6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ht="15.75" customHeight="1">
      <c r="A295" s="1"/>
      <c r="B295" s="2"/>
      <c r="D295" s="3"/>
      <c r="J295" s="4"/>
      <c r="K295" s="5"/>
      <c r="L295" s="6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ht="15.75" customHeight="1">
      <c r="A296" s="1"/>
      <c r="B296" s="2"/>
      <c r="D296" s="3"/>
      <c r="J296" s="4"/>
      <c r="K296" s="5"/>
      <c r="L296" s="6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ht="15.75" customHeight="1">
      <c r="A297" s="1"/>
      <c r="B297" s="2"/>
      <c r="D297" s="3"/>
      <c r="J297" s="4"/>
      <c r="K297" s="5"/>
      <c r="L297" s="6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ht="15.75" customHeight="1">
      <c r="A298" s="1"/>
      <c r="B298" s="2"/>
      <c r="D298" s="3"/>
      <c r="J298" s="4"/>
      <c r="K298" s="5"/>
      <c r="L298" s="6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ht="15.75" customHeight="1">
      <c r="A299" s="1"/>
      <c r="B299" s="2"/>
      <c r="D299" s="3"/>
      <c r="J299" s="4"/>
      <c r="K299" s="5"/>
      <c r="L299" s="6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ht="15.75" customHeight="1">
      <c r="A300" s="1"/>
      <c r="B300" s="2"/>
      <c r="D300" s="3"/>
      <c r="J300" s="4"/>
      <c r="K300" s="5"/>
      <c r="L300" s="6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ht="15.75" customHeight="1">
      <c r="A301" s="1"/>
      <c r="B301" s="2"/>
      <c r="D301" s="3"/>
      <c r="J301" s="4"/>
      <c r="K301" s="5"/>
      <c r="L301" s="6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ht="15.75" customHeight="1">
      <c r="A302" s="1"/>
      <c r="B302" s="2"/>
      <c r="D302" s="3"/>
      <c r="J302" s="4"/>
      <c r="K302" s="5"/>
      <c r="L302" s="6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ht="15.75" customHeight="1">
      <c r="A303" s="1"/>
      <c r="B303" s="2"/>
      <c r="D303" s="3"/>
      <c r="J303" s="4"/>
      <c r="K303" s="5"/>
      <c r="L303" s="6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ht="15.75" customHeight="1">
      <c r="A304" s="1"/>
      <c r="B304" s="2"/>
      <c r="D304" s="3"/>
      <c r="J304" s="4"/>
      <c r="K304" s="5"/>
      <c r="L304" s="6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ht="15.75" customHeight="1">
      <c r="A305" s="1"/>
      <c r="B305" s="2"/>
      <c r="D305" s="3"/>
      <c r="J305" s="4"/>
      <c r="K305" s="5"/>
      <c r="L305" s="6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ht="15.75" customHeight="1">
      <c r="A306" s="1"/>
      <c r="B306" s="2"/>
      <c r="D306" s="3"/>
      <c r="J306" s="4"/>
      <c r="K306" s="5"/>
      <c r="L306" s="6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ht="15.75" customHeight="1">
      <c r="A307" s="1"/>
      <c r="B307" s="2"/>
      <c r="D307" s="3"/>
      <c r="J307" s="4"/>
      <c r="K307" s="5"/>
      <c r="L307" s="6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ht="15.75" customHeight="1">
      <c r="A308" s="1"/>
      <c r="B308" s="2"/>
      <c r="D308" s="3"/>
      <c r="J308" s="4"/>
      <c r="K308" s="5"/>
      <c r="L308" s="6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ht="15.75" customHeight="1">
      <c r="A309" s="1"/>
      <c r="B309" s="2"/>
      <c r="D309" s="3"/>
      <c r="J309" s="4"/>
      <c r="K309" s="5"/>
      <c r="L309" s="6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ht="15.75" customHeight="1">
      <c r="A310" s="1"/>
      <c r="B310" s="2"/>
      <c r="D310" s="3"/>
      <c r="J310" s="4"/>
      <c r="K310" s="5"/>
      <c r="L310" s="6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ht="15.75" customHeight="1">
      <c r="A311" s="1"/>
      <c r="B311" s="2"/>
      <c r="D311" s="3"/>
      <c r="J311" s="4"/>
      <c r="K311" s="5"/>
      <c r="L311" s="6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ht="15.75" customHeight="1">
      <c r="A312" s="1"/>
      <c r="B312" s="2"/>
      <c r="D312" s="3"/>
      <c r="J312" s="4"/>
      <c r="K312" s="5"/>
      <c r="L312" s="6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ht="15.75" customHeight="1">
      <c r="A313" s="1"/>
      <c r="B313" s="2"/>
      <c r="D313" s="3"/>
      <c r="J313" s="4"/>
      <c r="K313" s="5"/>
      <c r="L313" s="6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ht="15.75" customHeight="1">
      <c r="A314" s="1"/>
      <c r="B314" s="2"/>
      <c r="D314" s="3"/>
      <c r="J314" s="4"/>
      <c r="K314" s="5"/>
      <c r="L314" s="6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ht="15.75" customHeight="1">
      <c r="A315" s="1"/>
      <c r="B315" s="2"/>
      <c r="D315" s="3"/>
      <c r="J315" s="4"/>
      <c r="K315" s="5"/>
      <c r="L315" s="6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ht="15.75" customHeight="1">
      <c r="A316" s="1"/>
      <c r="B316" s="2"/>
      <c r="D316" s="3"/>
      <c r="J316" s="4"/>
      <c r="K316" s="5"/>
      <c r="L316" s="6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ht="15.75" customHeight="1">
      <c r="A317" s="1"/>
      <c r="B317" s="2"/>
      <c r="D317" s="3"/>
      <c r="J317" s="4"/>
      <c r="K317" s="5"/>
      <c r="L317" s="6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ht="15.75" customHeight="1">
      <c r="A318" s="1"/>
      <c r="B318" s="2"/>
      <c r="D318" s="3"/>
      <c r="J318" s="4"/>
      <c r="K318" s="5"/>
      <c r="L318" s="6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ht="15.75" customHeight="1">
      <c r="A319" s="1"/>
      <c r="B319" s="2"/>
      <c r="D319" s="3"/>
      <c r="J319" s="4"/>
      <c r="K319" s="5"/>
      <c r="L319" s="6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ht="15.75" customHeight="1">
      <c r="A320" s="1"/>
      <c r="B320" s="2"/>
      <c r="D320" s="3"/>
      <c r="J320" s="4"/>
      <c r="K320" s="5"/>
      <c r="L320" s="6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ht="15.75" customHeight="1">
      <c r="A321" s="1"/>
      <c r="B321" s="2"/>
      <c r="D321" s="3"/>
      <c r="J321" s="4"/>
      <c r="K321" s="5"/>
      <c r="L321" s="6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ht="15.75" customHeight="1">
      <c r="A322" s="1"/>
      <c r="B322" s="2"/>
      <c r="D322" s="3"/>
      <c r="J322" s="4"/>
      <c r="K322" s="5"/>
      <c r="L322" s="6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ht="15.75" customHeight="1">
      <c r="A323" s="1"/>
      <c r="B323" s="2"/>
      <c r="D323" s="3"/>
      <c r="J323" s="4"/>
      <c r="K323" s="5"/>
      <c r="L323" s="6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ht="15.75" customHeight="1">
      <c r="A324" s="1"/>
      <c r="B324" s="2"/>
      <c r="D324" s="3"/>
      <c r="J324" s="4"/>
      <c r="K324" s="5"/>
      <c r="L324" s="6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ht="15.75" customHeight="1">
      <c r="A325" s="1"/>
      <c r="B325" s="2"/>
      <c r="D325" s="3"/>
      <c r="J325" s="4"/>
      <c r="K325" s="5"/>
      <c r="L325" s="6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ht="15.75" customHeight="1">
      <c r="A326" s="1"/>
      <c r="B326" s="2"/>
      <c r="D326" s="3"/>
      <c r="J326" s="4"/>
      <c r="K326" s="5"/>
      <c r="L326" s="6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ht="15.75" customHeight="1">
      <c r="A327" s="1"/>
      <c r="B327" s="2"/>
      <c r="D327" s="3"/>
      <c r="J327" s="4"/>
      <c r="K327" s="5"/>
      <c r="L327" s="6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ht="15.75" customHeight="1">
      <c r="A328" s="1"/>
      <c r="B328" s="2"/>
      <c r="D328" s="3"/>
      <c r="J328" s="4"/>
      <c r="K328" s="5"/>
      <c r="L328" s="6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ht="15.75" customHeight="1">
      <c r="A329" s="1"/>
      <c r="B329" s="2"/>
      <c r="D329" s="3"/>
      <c r="J329" s="4"/>
      <c r="K329" s="5"/>
      <c r="L329" s="6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ht="15.75" customHeight="1">
      <c r="A330" s="1"/>
      <c r="B330" s="2"/>
      <c r="D330" s="3"/>
      <c r="J330" s="4"/>
      <c r="K330" s="5"/>
      <c r="L330" s="6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ht="15.75" customHeight="1">
      <c r="A331" s="1"/>
      <c r="B331" s="2"/>
      <c r="D331" s="3"/>
      <c r="J331" s="4"/>
      <c r="K331" s="5"/>
      <c r="L331" s="6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ht="15.75" customHeight="1">
      <c r="A332" s="1"/>
      <c r="B332" s="2"/>
      <c r="D332" s="3"/>
      <c r="J332" s="4"/>
      <c r="K332" s="5"/>
      <c r="L332" s="6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ht="15.75" customHeight="1">
      <c r="A333" s="1"/>
      <c r="B333" s="2"/>
      <c r="D333" s="3"/>
      <c r="J333" s="4"/>
      <c r="K333" s="5"/>
      <c r="L333" s="6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ht="15.75" customHeight="1">
      <c r="A334" s="1"/>
      <c r="B334" s="2"/>
      <c r="D334" s="3"/>
      <c r="J334" s="4"/>
      <c r="K334" s="5"/>
      <c r="L334" s="6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ht="15.75" customHeight="1">
      <c r="A335" s="1"/>
      <c r="B335" s="2"/>
      <c r="D335" s="3"/>
      <c r="J335" s="4"/>
      <c r="K335" s="5"/>
      <c r="L335" s="6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ht="15.75" customHeight="1">
      <c r="A336" s="1"/>
      <c r="B336" s="2"/>
      <c r="D336" s="3"/>
      <c r="J336" s="4"/>
      <c r="K336" s="5"/>
      <c r="L336" s="6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ht="15.75" customHeight="1">
      <c r="A337" s="1"/>
      <c r="B337" s="2"/>
      <c r="D337" s="3"/>
      <c r="J337" s="4"/>
      <c r="K337" s="5"/>
      <c r="L337" s="6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ht="15.75" customHeight="1">
      <c r="A338" s="1"/>
      <c r="B338" s="2"/>
      <c r="D338" s="3"/>
      <c r="J338" s="4"/>
      <c r="K338" s="5"/>
      <c r="L338" s="6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ht="15.75" customHeight="1">
      <c r="A339" s="1"/>
      <c r="B339" s="2"/>
      <c r="D339" s="3"/>
      <c r="J339" s="4"/>
      <c r="K339" s="5"/>
      <c r="L339" s="6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ht="15.75" customHeight="1">
      <c r="A340" s="1"/>
      <c r="B340" s="2"/>
      <c r="D340" s="3"/>
      <c r="J340" s="4"/>
      <c r="K340" s="5"/>
      <c r="L340" s="6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ht="15.75" customHeight="1">
      <c r="A341" s="1"/>
      <c r="B341" s="2"/>
      <c r="D341" s="3"/>
      <c r="J341" s="4"/>
      <c r="K341" s="5"/>
      <c r="L341" s="6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ht="15.75" customHeight="1">
      <c r="A342" s="1"/>
      <c r="B342" s="2"/>
      <c r="D342" s="3"/>
      <c r="J342" s="4"/>
      <c r="K342" s="5"/>
      <c r="L342" s="6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ht="15.75" customHeight="1">
      <c r="A343" s="1"/>
      <c r="B343" s="2"/>
      <c r="D343" s="3"/>
      <c r="J343" s="4"/>
      <c r="K343" s="5"/>
      <c r="L343" s="6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ht="15.75" customHeight="1">
      <c r="A344" s="1"/>
      <c r="B344" s="2"/>
      <c r="D344" s="3"/>
      <c r="J344" s="4"/>
      <c r="K344" s="5"/>
      <c r="L344" s="6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ht="15.75" customHeight="1">
      <c r="A345" s="1"/>
      <c r="B345" s="2"/>
      <c r="D345" s="3"/>
      <c r="J345" s="4"/>
      <c r="K345" s="5"/>
      <c r="L345" s="6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ht="15.75" customHeight="1">
      <c r="A346" s="1"/>
      <c r="B346" s="2"/>
      <c r="D346" s="3"/>
      <c r="J346" s="4"/>
      <c r="K346" s="5"/>
      <c r="L346" s="6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ht="15.75" customHeight="1">
      <c r="A347" s="1"/>
      <c r="B347" s="2"/>
      <c r="D347" s="3"/>
      <c r="J347" s="4"/>
      <c r="K347" s="5"/>
      <c r="L347" s="6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ht="15.75" customHeight="1">
      <c r="A348" s="1"/>
      <c r="B348" s="2"/>
      <c r="D348" s="3"/>
      <c r="J348" s="4"/>
      <c r="K348" s="5"/>
      <c r="L348" s="6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ht="15.75" customHeight="1">
      <c r="A349" s="1"/>
      <c r="B349" s="2"/>
      <c r="D349" s="3"/>
      <c r="J349" s="4"/>
      <c r="K349" s="5"/>
      <c r="L349" s="6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ht="15.75" customHeight="1">
      <c r="A350" s="1"/>
      <c r="B350" s="2"/>
      <c r="D350" s="3"/>
      <c r="J350" s="4"/>
      <c r="K350" s="5"/>
      <c r="L350" s="6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ht="15.75" customHeight="1">
      <c r="A351" s="1"/>
      <c r="B351" s="2"/>
      <c r="D351" s="3"/>
      <c r="J351" s="4"/>
      <c r="K351" s="5"/>
      <c r="L351" s="6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ht="15.75" customHeight="1">
      <c r="A352" s="1"/>
      <c r="B352" s="2"/>
      <c r="D352" s="3"/>
      <c r="J352" s="4"/>
      <c r="K352" s="5"/>
      <c r="L352" s="6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ht="15.75" customHeight="1">
      <c r="A353" s="1"/>
      <c r="B353" s="2"/>
      <c r="D353" s="3"/>
      <c r="J353" s="4"/>
      <c r="K353" s="5"/>
      <c r="L353" s="6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ht="15.75" customHeight="1">
      <c r="A354" s="1"/>
      <c r="B354" s="2"/>
      <c r="D354" s="3"/>
      <c r="J354" s="4"/>
      <c r="K354" s="5"/>
      <c r="L354" s="6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ht="15.75" customHeight="1">
      <c r="A355" s="1"/>
      <c r="B355" s="2"/>
      <c r="D355" s="3"/>
      <c r="J355" s="4"/>
      <c r="K355" s="5"/>
      <c r="L355" s="6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ht="15.75" customHeight="1">
      <c r="A356" s="1"/>
      <c r="B356" s="2"/>
      <c r="D356" s="3"/>
      <c r="J356" s="4"/>
      <c r="K356" s="5"/>
      <c r="L356" s="6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ht="15.75" customHeight="1">
      <c r="A357" s="1"/>
      <c r="B357" s="2"/>
      <c r="D357" s="3"/>
      <c r="J357" s="4"/>
      <c r="K357" s="5"/>
      <c r="L357" s="6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ht="15.75" customHeight="1">
      <c r="A358" s="1"/>
      <c r="B358" s="2"/>
      <c r="D358" s="3"/>
      <c r="J358" s="4"/>
      <c r="K358" s="5"/>
      <c r="L358" s="6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ht="15.75" customHeight="1">
      <c r="A359" s="1"/>
      <c r="B359" s="2"/>
      <c r="D359" s="3"/>
      <c r="J359" s="4"/>
      <c r="K359" s="5"/>
      <c r="L359" s="6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ht="15.75" customHeight="1">
      <c r="A360" s="1"/>
      <c r="B360" s="2"/>
      <c r="D360" s="3"/>
      <c r="J360" s="4"/>
      <c r="K360" s="5"/>
      <c r="L360" s="6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ht="15.75" customHeight="1">
      <c r="A361" s="1"/>
      <c r="B361" s="2"/>
      <c r="D361" s="3"/>
      <c r="J361" s="4"/>
      <c r="K361" s="5"/>
      <c r="L361" s="6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ht="15.75" customHeight="1">
      <c r="A362" s="1"/>
      <c r="B362" s="2"/>
      <c r="D362" s="3"/>
      <c r="J362" s="4"/>
      <c r="K362" s="5"/>
      <c r="L362" s="6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ht="15.75" customHeight="1">
      <c r="A363" s="1"/>
      <c r="B363" s="2"/>
      <c r="D363" s="3"/>
      <c r="J363" s="4"/>
      <c r="K363" s="5"/>
      <c r="L363" s="6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ht="15.75" customHeight="1">
      <c r="A364" s="1"/>
      <c r="B364" s="2"/>
      <c r="D364" s="3"/>
      <c r="J364" s="4"/>
      <c r="K364" s="5"/>
      <c r="L364" s="6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ht="15.75" customHeight="1">
      <c r="A365" s="1"/>
      <c r="B365" s="2"/>
      <c r="D365" s="3"/>
      <c r="J365" s="4"/>
      <c r="K365" s="5"/>
      <c r="L365" s="6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ht="15.75" customHeight="1">
      <c r="A366" s="1"/>
      <c r="B366" s="2"/>
      <c r="D366" s="3"/>
      <c r="J366" s="4"/>
      <c r="K366" s="5"/>
      <c r="L366" s="6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ht="15.75" customHeight="1">
      <c r="A367" s="1"/>
      <c r="B367" s="2"/>
      <c r="D367" s="3"/>
      <c r="J367" s="4"/>
      <c r="K367" s="5"/>
      <c r="L367" s="6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ht="15.75" customHeight="1">
      <c r="A368" s="1"/>
      <c r="B368" s="2"/>
      <c r="D368" s="3"/>
      <c r="J368" s="4"/>
      <c r="K368" s="5"/>
      <c r="L368" s="6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ht="15.75" customHeight="1">
      <c r="A369" s="1"/>
      <c r="B369" s="2"/>
      <c r="D369" s="3"/>
      <c r="J369" s="4"/>
      <c r="K369" s="5"/>
      <c r="L369" s="6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ht="15.75" customHeight="1">
      <c r="A370" s="1"/>
      <c r="B370" s="2"/>
      <c r="D370" s="3"/>
      <c r="J370" s="4"/>
      <c r="K370" s="5"/>
      <c r="L370" s="6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ht="15.75" customHeight="1">
      <c r="A371" s="1"/>
      <c r="B371" s="2"/>
      <c r="D371" s="3"/>
      <c r="J371" s="4"/>
      <c r="K371" s="5"/>
      <c r="L371" s="6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ht="15.75" customHeight="1">
      <c r="A372" s="1"/>
      <c r="B372" s="2"/>
      <c r="D372" s="3"/>
      <c r="J372" s="4"/>
      <c r="K372" s="5"/>
      <c r="L372" s="6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ht="15.75" customHeight="1">
      <c r="A373" s="1"/>
      <c r="B373" s="2"/>
      <c r="D373" s="3"/>
      <c r="J373" s="4"/>
      <c r="K373" s="5"/>
      <c r="L373" s="6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ht="15.75" customHeight="1">
      <c r="A374" s="1"/>
      <c r="B374" s="2"/>
      <c r="D374" s="3"/>
      <c r="J374" s="4"/>
      <c r="K374" s="5"/>
      <c r="L374" s="6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ht="15.75" customHeight="1">
      <c r="A375" s="1"/>
      <c r="B375" s="2"/>
      <c r="D375" s="3"/>
      <c r="J375" s="4"/>
      <c r="K375" s="5"/>
      <c r="L375" s="6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ht="15.75" customHeight="1">
      <c r="A376" s="1"/>
      <c r="B376" s="2"/>
      <c r="D376" s="3"/>
      <c r="J376" s="4"/>
      <c r="K376" s="5"/>
      <c r="L376" s="6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ht="15.75" customHeight="1">
      <c r="A377" s="1"/>
      <c r="B377" s="2"/>
      <c r="D377" s="3"/>
      <c r="J377" s="4"/>
      <c r="K377" s="5"/>
      <c r="L377" s="6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ht="15.75" customHeight="1">
      <c r="A378" s="1"/>
      <c r="B378" s="2"/>
      <c r="D378" s="3"/>
      <c r="J378" s="4"/>
      <c r="K378" s="5"/>
      <c r="L378" s="6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ht="15.75" customHeight="1">
      <c r="A379" s="1"/>
      <c r="B379" s="2"/>
      <c r="D379" s="3"/>
      <c r="J379" s="4"/>
      <c r="K379" s="5"/>
      <c r="L379" s="6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ht="15.75" customHeight="1">
      <c r="A380" s="1"/>
      <c r="B380" s="2"/>
      <c r="D380" s="3"/>
      <c r="J380" s="4"/>
      <c r="K380" s="5"/>
      <c r="L380" s="6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ht="15.75" customHeight="1">
      <c r="A381" s="1"/>
      <c r="B381" s="2"/>
      <c r="D381" s="3"/>
      <c r="J381" s="4"/>
      <c r="K381" s="5"/>
      <c r="L381" s="6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ht="15.75" customHeight="1">
      <c r="A382" s="1"/>
      <c r="B382" s="2"/>
      <c r="D382" s="3"/>
      <c r="J382" s="4"/>
      <c r="K382" s="5"/>
      <c r="L382" s="6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ht="15.75" customHeight="1">
      <c r="A383" s="1"/>
      <c r="B383" s="2"/>
      <c r="D383" s="3"/>
      <c r="J383" s="4"/>
      <c r="K383" s="5"/>
      <c r="L383" s="6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ht="15.75" customHeight="1">
      <c r="A384" s="1"/>
      <c r="B384" s="2"/>
      <c r="D384" s="3"/>
      <c r="J384" s="4"/>
      <c r="K384" s="5"/>
      <c r="L384" s="6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ht="15.75" customHeight="1">
      <c r="A385" s="1"/>
      <c r="B385" s="2"/>
      <c r="D385" s="3"/>
      <c r="J385" s="4"/>
      <c r="K385" s="5"/>
      <c r="L385" s="6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ht="15.75" customHeight="1">
      <c r="A386" s="1"/>
      <c r="B386" s="2"/>
      <c r="D386" s="3"/>
      <c r="J386" s="4"/>
      <c r="K386" s="5"/>
      <c r="L386" s="6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ht="15.75" customHeight="1">
      <c r="A387" s="1"/>
      <c r="B387" s="2"/>
      <c r="D387" s="3"/>
      <c r="J387" s="4"/>
      <c r="K387" s="5"/>
      <c r="L387" s="6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ht="15.75" customHeight="1">
      <c r="A388" s="1"/>
      <c r="B388" s="2"/>
      <c r="D388" s="3"/>
      <c r="J388" s="4"/>
      <c r="K388" s="5"/>
      <c r="L388" s="6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ht="15.75" customHeight="1">
      <c r="A389" s="1"/>
      <c r="B389" s="2"/>
      <c r="D389" s="3"/>
      <c r="J389" s="4"/>
      <c r="K389" s="5"/>
      <c r="L389" s="6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ht="15.75" customHeight="1">
      <c r="A390" s="1"/>
      <c r="B390" s="2"/>
      <c r="D390" s="3"/>
      <c r="J390" s="4"/>
      <c r="K390" s="5"/>
      <c r="L390" s="6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ht="15.75" customHeight="1">
      <c r="A391" s="1"/>
      <c r="B391" s="2"/>
      <c r="D391" s="3"/>
      <c r="J391" s="4"/>
      <c r="K391" s="5"/>
      <c r="L391" s="6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ht="15.75" customHeight="1">
      <c r="A392" s="1"/>
      <c r="B392" s="2"/>
      <c r="D392" s="3"/>
      <c r="J392" s="4"/>
      <c r="K392" s="5"/>
      <c r="L392" s="6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ht="15.75" customHeight="1">
      <c r="A393" s="1"/>
      <c r="B393" s="2"/>
      <c r="D393" s="3"/>
      <c r="J393" s="4"/>
      <c r="K393" s="5"/>
      <c r="L393" s="6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ht="15.75" customHeight="1">
      <c r="A394" s="1"/>
      <c r="B394" s="2"/>
      <c r="D394" s="3"/>
      <c r="J394" s="4"/>
      <c r="K394" s="5"/>
      <c r="L394" s="6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ht="15.75" customHeight="1">
      <c r="A395" s="1"/>
      <c r="B395" s="2"/>
      <c r="D395" s="3"/>
      <c r="J395" s="4"/>
      <c r="K395" s="5"/>
      <c r="L395" s="6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ht="15.75" customHeight="1">
      <c r="A396" s="1"/>
      <c r="B396" s="2"/>
      <c r="D396" s="3"/>
      <c r="J396" s="4"/>
      <c r="K396" s="5"/>
      <c r="L396" s="6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ht="15.75" customHeight="1">
      <c r="A397" s="1"/>
      <c r="B397" s="2"/>
      <c r="D397" s="3"/>
      <c r="J397" s="4"/>
      <c r="K397" s="5"/>
      <c r="L397" s="6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ht="15.75" customHeight="1">
      <c r="A398" s="1"/>
      <c r="B398" s="2"/>
      <c r="D398" s="3"/>
      <c r="J398" s="4"/>
      <c r="K398" s="5"/>
      <c r="L398" s="6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ht="15.75" customHeight="1">
      <c r="A399" s="1"/>
      <c r="B399" s="2"/>
      <c r="D399" s="3"/>
      <c r="J399" s="4"/>
      <c r="K399" s="5"/>
      <c r="L399" s="6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ht="15.75" customHeight="1">
      <c r="A400" s="1"/>
      <c r="B400" s="2"/>
      <c r="D400" s="3"/>
      <c r="J400" s="4"/>
      <c r="K400" s="5"/>
      <c r="L400" s="6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ht="15.75" customHeight="1">
      <c r="A401" s="1"/>
      <c r="B401" s="2"/>
      <c r="D401" s="3"/>
      <c r="J401" s="4"/>
      <c r="K401" s="5"/>
      <c r="L401" s="6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ht="15.75" customHeight="1">
      <c r="A402" s="1"/>
      <c r="B402" s="2"/>
      <c r="D402" s="3"/>
      <c r="J402" s="4"/>
      <c r="K402" s="5"/>
      <c r="L402" s="6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ht="15.75" customHeight="1">
      <c r="A403" s="1"/>
      <c r="B403" s="2"/>
      <c r="D403" s="3"/>
      <c r="J403" s="4"/>
      <c r="K403" s="5"/>
      <c r="L403" s="6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ht="15.75" customHeight="1">
      <c r="A404" s="1"/>
      <c r="B404" s="2"/>
      <c r="D404" s="3"/>
      <c r="J404" s="4"/>
      <c r="K404" s="5"/>
      <c r="L404" s="6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ht="15.75" customHeight="1">
      <c r="A405" s="1"/>
      <c r="B405" s="2"/>
      <c r="D405" s="3"/>
      <c r="J405" s="4"/>
      <c r="K405" s="5"/>
      <c r="L405" s="6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ht="15.75" customHeight="1">
      <c r="A406" s="1"/>
      <c r="B406" s="2"/>
      <c r="D406" s="3"/>
      <c r="J406" s="4"/>
      <c r="K406" s="5"/>
      <c r="L406" s="6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ht="15.75" customHeight="1">
      <c r="A407" s="1"/>
      <c r="B407" s="2"/>
      <c r="D407" s="3"/>
      <c r="J407" s="4"/>
      <c r="K407" s="5"/>
      <c r="L407" s="6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ht="15.75" customHeight="1">
      <c r="A408" s="1"/>
      <c r="B408" s="2"/>
      <c r="D408" s="3"/>
      <c r="J408" s="4"/>
      <c r="K408" s="5"/>
      <c r="L408" s="6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ht="15.75" customHeight="1">
      <c r="A409" s="1"/>
      <c r="B409" s="2"/>
      <c r="D409" s="3"/>
      <c r="J409" s="4"/>
      <c r="K409" s="5"/>
      <c r="L409" s="6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ht="15.75" customHeight="1">
      <c r="A410" s="1"/>
      <c r="B410" s="2"/>
      <c r="D410" s="3"/>
      <c r="J410" s="4"/>
      <c r="K410" s="5"/>
      <c r="L410" s="6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ht="15.75" customHeight="1">
      <c r="A411" s="1"/>
      <c r="B411" s="2"/>
      <c r="D411" s="3"/>
      <c r="J411" s="4"/>
      <c r="K411" s="5"/>
      <c r="L411" s="6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ht="15.75" customHeight="1">
      <c r="A412" s="1"/>
      <c r="B412" s="2"/>
      <c r="D412" s="3"/>
      <c r="J412" s="4"/>
      <c r="K412" s="5"/>
      <c r="L412" s="6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ht="15.75" customHeight="1">
      <c r="A413" s="1"/>
      <c r="B413" s="2"/>
      <c r="D413" s="3"/>
      <c r="J413" s="4"/>
      <c r="K413" s="5"/>
      <c r="L413" s="6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ht="15.75" customHeight="1">
      <c r="A414" s="1"/>
      <c r="B414" s="2"/>
      <c r="D414" s="3"/>
      <c r="J414" s="4"/>
      <c r="K414" s="5"/>
      <c r="L414" s="6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ht="15.75" customHeight="1">
      <c r="A415" s="1"/>
      <c r="B415" s="2"/>
      <c r="D415" s="3"/>
      <c r="J415" s="4"/>
      <c r="K415" s="5"/>
      <c r="L415" s="6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ht="15.75" customHeight="1">
      <c r="A416" s="1"/>
      <c r="B416" s="2"/>
      <c r="D416" s="3"/>
      <c r="J416" s="4"/>
      <c r="K416" s="5"/>
      <c r="L416" s="6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ht="15.75" customHeight="1">
      <c r="A417" s="1"/>
      <c r="B417" s="2"/>
      <c r="D417" s="3"/>
      <c r="J417" s="4"/>
      <c r="K417" s="5"/>
      <c r="L417" s="6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ht="15.75" customHeight="1">
      <c r="A418" s="1"/>
      <c r="B418" s="2"/>
      <c r="D418" s="3"/>
      <c r="J418" s="4"/>
      <c r="K418" s="5"/>
      <c r="L418" s="6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ht="15.75" customHeight="1">
      <c r="A419" s="1"/>
      <c r="B419" s="2"/>
      <c r="D419" s="3"/>
      <c r="J419" s="4"/>
      <c r="K419" s="5"/>
      <c r="L419" s="6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ht="15.75" customHeight="1">
      <c r="A420" s="1"/>
      <c r="B420" s="2"/>
      <c r="D420" s="3"/>
      <c r="J420" s="4"/>
      <c r="K420" s="5"/>
      <c r="L420" s="6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ht="15.75" customHeight="1">
      <c r="A421" s="1"/>
      <c r="B421" s="2"/>
      <c r="D421" s="3"/>
      <c r="J421" s="4"/>
      <c r="K421" s="5"/>
      <c r="L421" s="6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ht="15.75" customHeight="1">
      <c r="A422" s="1"/>
      <c r="B422" s="2"/>
      <c r="D422" s="3"/>
      <c r="J422" s="4"/>
      <c r="K422" s="5"/>
      <c r="L422" s="6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ht="15.75" customHeight="1">
      <c r="A423" s="1"/>
      <c r="B423" s="2"/>
      <c r="D423" s="3"/>
      <c r="J423" s="4"/>
      <c r="K423" s="5"/>
      <c r="L423" s="6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ht="15.75" customHeight="1">
      <c r="A424" s="1"/>
      <c r="B424" s="2"/>
      <c r="D424" s="3"/>
      <c r="J424" s="4"/>
      <c r="K424" s="5"/>
      <c r="L424" s="6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ht="15.75" customHeight="1">
      <c r="A425" s="1"/>
      <c r="B425" s="2"/>
      <c r="D425" s="3"/>
      <c r="J425" s="4"/>
      <c r="K425" s="5"/>
      <c r="L425" s="6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ht="15.75" customHeight="1">
      <c r="A426" s="1"/>
      <c r="B426" s="2"/>
      <c r="D426" s="3"/>
      <c r="J426" s="4"/>
      <c r="K426" s="5"/>
      <c r="L426" s="6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ht="15.75" customHeight="1">
      <c r="A427" s="1"/>
      <c r="B427" s="2"/>
      <c r="D427" s="3"/>
      <c r="J427" s="4"/>
      <c r="K427" s="5"/>
      <c r="L427" s="6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ht="15.75" customHeight="1">
      <c r="A428" s="1"/>
      <c r="B428" s="2"/>
      <c r="D428" s="3"/>
      <c r="J428" s="4"/>
      <c r="K428" s="5"/>
      <c r="L428" s="6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ht="15.75" customHeight="1">
      <c r="A429" s="1"/>
      <c r="B429" s="2"/>
      <c r="D429" s="3"/>
      <c r="J429" s="4"/>
      <c r="K429" s="5"/>
      <c r="L429" s="6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ht="15.75" customHeight="1">
      <c r="A430" s="1"/>
      <c r="B430" s="2"/>
      <c r="D430" s="3"/>
      <c r="J430" s="4"/>
      <c r="K430" s="5"/>
      <c r="L430" s="6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ht="15.75" customHeight="1">
      <c r="A431" s="1"/>
      <c r="B431" s="2"/>
      <c r="D431" s="3"/>
      <c r="J431" s="4"/>
      <c r="K431" s="5"/>
      <c r="L431" s="6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ht="15.75" customHeight="1">
      <c r="A432" s="1"/>
      <c r="B432" s="2"/>
      <c r="D432" s="3"/>
      <c r="J432" s="4"/>
      <c r="K432" s="5"/>
      <c r="L432" s="6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ht="15.75" customHeight="1">
      <c r="A433" s="1"/>
      <c r="B433" s="2"/>
      <c r="D433" s="3"/>
      <c r="J433" s="4"/>
      <c r="K433" s="5"/>
      <c r="L433" s="6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ht="15.75" customHeight="1">
      <c r="A434" s="1"/>
      <c r="B434" s="2"/>
      <c r="D434" s="3"/>
      <c r="J434" s="4"/>
      <c r="K434" s="5"/>
      <c r="L434" s="6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ht="15.75" customHeight="1">
      <c r="A435" s="1"/>
      <c r="B435" s="2"/>
      <c r="D435" s="3"/>
      <c r="J435" s="4"/>
      <c r="K435" s="5"/>
      <c r="L435" s="6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ht="15.75" customHeight="1">
      <c r="A436" s="1"/>
      <c r="B436" s="2"/>
      <c r="D436" s="3"/>
      <c r="J436" s="4"/>
      <c r="K436" s="5"/>
      <c r="L436" s="6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ht="15.75" customHeight="1">
      <c r="A437" s="1"/>
      <c r="B437" s="2"/>
      <c r="D437" s="3"/>
      <c r="J437" s="4"/>
      <c r="K437" s="5"/>
      <c r="L437" s="6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ht="15.75" customHeight="1">
      <c r="A438" s="1"/>
      <c r="B438" s="2"/>
      <c r="D438" s="3"/>
      <c r="J438" s="4"/>
      <c r="K438" s="5"/>
      <c r="L438" s="6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ht="15.75" customHeight="1">
      <c r="A439" s="1"/>
      <c r="B439" s="2"/>
      <c r="D439" s="3"/>
      <c r="J439" s="4"/>
      <c r="K439" s="5"/>
      <c r="L439" s="6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ht="15.75" customHeight="1">
      <c r="A440" s="1"/>
      <c r="B440" s="2"/>
      <c r="D440" s="3"/>
      <c r="J440" s="4"/>
      <c r="K440" s="5"/>
      <c r="L440" s="6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ht="15.75" customHeight="1">
      <c r="A441" s="1"/>
      <c r="B441" s="2"/>
      <c r="D441" s="3"/>
      <c r="J441" s="4"/>
      <c r="K441" s="5"/>
      <c r="L441" s="6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ht="15.75" customHeight="1">
      <c r="A442" s="1"/>
      <c r="B442" s="2"/>
      <c r="D442" s="3"/>
      <c r="J442" s="4"/>
      <c r="K442" s="5"/>
      <c r="L442" s="6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ht="15.75" customHeight="1">
      <c r="A443" s="1"/>
      <c r="B443" s="2"/>
      <c r="D443" s="3"/>
      <c r="J443" s="4"/>
      <c r="K443" s="5"/>
      <c r="L443" s="6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ht="15.75" customHeight="1">
      <c r="A444" s="1"/>
      <c r="B444" s="2"/>
      <c r="D444" s="3"/>
      <c r="J444" s="4"/>
      <c r="K444" s="5"/>
      <c r="L444" s="6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ht="15.75" customHeight="1">
      <c r="A445" s="1"/>
      <c r="B445" s="2"/>
      <c r="D445" s="3"/>
      <c r="J445" s="4"/>
      <c r="K445" s="5"/>
      <c r="L445" s="6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ht="15.75" customHeight="1">
      <c r="A446" s="1"/>
      <c r="B446" s="2"/>
      <c r="D446" s="3"/>
      <c r="J446" s="4"/>
      <c r="K446" s="5"/>
      <c r="L446" s="6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ht="15.75" customHeight="1">
      <c r="A447" s="1"/>
      <c r="B447" s="2"/>
      <c r="D447" s="3"/>
      <c r="J447" s="4"/>
      <c r="K447" s="5"/>
      <c r="L447" s="6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ht="15.75" customHeight="1">
      <c r="A448" s="1"/>
      <c r="B448" s="2"/>
      <c r="D448" s="3"/>
      <c r="J448" s="4"/>
      <c r="K448" s="5"/>
      <c r="L448" s="6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ht="15.75" customHeight="1">
      <c r="A449" s="1"/>
      <c r="B449" s="2"/>
      <c r="D449" s="3"/>
      <c r="J449" s="4"/>
      <c r="K449" s="5"/>
      <c r="L449" s="6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ht="15.75" customHeight="1">
      <c r="A450" s="1"/>
      <c r="B450" s="2"/>
      <c r="D450" s="3"/>
      <c r="J450" s="4"/>
      <c r="K450" s="5"/>
      <c r="L450" s="6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ht="15.75" customHeight="1">
      <c r="A451" s="1"/>
      <c r="B451" s="2"/>
      <c r="D451" s="3"/>
      <c r="J451" s="4"/>
      <c r="K451" s="5"/>
      <c r="L451" s="6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ht="15.75" customHeight="1">
      <c r="A452" s="1"/>
      <c r="B452" s="2"/>
      <c r="D452" s="3"/>
      <c r="J452" s="4"/>
      <c r="K452" s="5"/>
      <c r="L452" s="6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ht="15.75" customHeight="1">
      <c r="A453" s="1"/>
      <c r="B453" s="2"/>
      <c r="D453" s="3"/>
      <c r="J453" s="4"/>
      <c r="K453" s="5"/>
      <c r="L453" s="6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ht="15.75" customHeight="1">
      <c r="A454" s="1"/>
      <c r="B454" s="2"/>
      <c r="D454" s="3"/>
      <c r="J454" s="4"/>
      <c r="K454" s="5"/>
      <c r="L454" s="6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ht="15.75" customHeight="1">
      <c r="A455" s="1"/>
      <c r="B455" s="2"/>
      <c r="D455" s="3"/>
      <c r="J455" s="4"/>
      <c r="K455" s="5"/>
      <c r="L455" s="6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ht="15.75" customHeight="1">
      <c r="A456" s="1"/>
      <c r="B456" s="2"/>
      <c r="D456" s="3"/>
      <c r="J456" s="4"/>
      <c r="K456" s="5"/>
      <c r="L456" s="6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ht="15.75" customHeight="1">
      <c r="A457" s="1"/>
      <c r="B457" s="2"/>
      <c r="D457" s="3"/>
      <c r="J457" s="4"/>
      <c r="K457" s="5"/>
      <c r="L457" s="6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ht="15.75" customHeight="1">
      <c r="A458" s="1"/>
      <c r="B458" s="2"/>
      <c r="D458" s="3"/>
      <c r="J458" s="4"/>
      <c r="K458" s="5"/>
      <c r="L458" s="6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ht="15.75" customHeight="1">
      <c r="A459" s="1"/>
      <c r="B459" s="2"/>
      <c r="D459" s="3"/>
      <c r="J459" s="4"/>
      <c r="K459" s="5"/>
      <c r="L459" s="6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ht="15.75" customHeight="1">
      <c r="A460" s="1"/>
      <c r="B460" s="2"/>
      <c r="D460" s="3"/>
      <c r="J460" s="4"/>
      <c r="K460" s="5"/>
      <c r="L460" s="6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ht="15.75" customHeight="1">
      <c r="A461" s="1"/>
      <c r="B461" s="2"/>
      <c r="D461" s="3"/>
      <c r="J461" s="4"/>
      <c r="K461" s="5"/>
      <c r="L461" s="6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ht="15.75" customHeight="1">
      <c r="A462" s="1"/>
      <c r="B462" s="2"/>
      <c r="D462" s="3"/>
      <c r="J462" s="4"/>
      <c r="K462" s="5"/>
      <c r="L462" s="6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ht="15.75" customHeight="1">
      <c r="A463" s="1"/>
      <c r="B463" s="2"/>
      <c r="D463" s="3"/>
      <c r="J463" s="4"/>
      <c r="K463" s="5"/>
      <c r="L463" s="6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ht="15.75" customHeight="1">
      <c r="A464" s="1"/>
      <c r="B464" s="2"/>
      <c r="D464" s="3"/>
      <c r="J464" s="4"/>
      <c r="K464" s="5"/>
      <c r="L464" s="6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ht="15.75" customHeight="1">
      <c r="A465" s="1"/>
      <c r="B465" s="2"/>
      <c r="D465" s="3"/>
      <c r="J465" s="4"/>
      <c r="K465" s="5"/>
      <c r="L465" s="6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ht="15.75" customHeight="1">
      <c r="A466" s="1"/>
      <c r="B466" s="2"/>
      <c r="D466" s="3"/>
      <c r="J466" s="4"/>
      <c r="K466" s="5"/>
      <c r="L466" s="6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ht="15.75" customHeight="1">
      <c r="A467" s="1"/>
      <c r="B467" s="2"/>
      <c r="D467" s="3"/>
      <c r="J467" s="4"/>
      <c r="K467" s="5"/>
      <c r="L467" s="6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ht="15.75" customHeight="1">
      <c r="A468" s="1"/>
      <c r="B468" s="2"/>
      <c r="D468" s="3"/>
      <c r="J468" s="4"/>
      <c r="K468" s="5"/>
      <c r="L468" s="6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ht="15.75" customHeight="1">
      <c r="A469" s="1"/>
      <c r="B469" s="2"/>
      <c r="D469" s="3"/>
      <c r="J469" s="4"/>
      <c r="K469" s="5"/>
      <c r="L469" s="6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ht="15.75" customHeight="1">
      <c r="A470" s="1"/>
      <c r="B470" s="2"/>
      <c r="D470" s="3"/>
      <c r="J470" s="4"/>
      <c r="K470" s="5"/>
      <c r="L470" s="6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ht="15.75" customHeight="1">
      <c r="A471" s="1"/>
      <c r="B471" s="2"/>
      <c r="D471" s="3"/>
      <c r="J471" s="4"/>
      <c r="K471" s="5"/>
      <c r="L471" s="6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ht="15.75" customHeight="1">
      <c r="A472" s="1"/>
      <c r="B472" s="2"/>
      <c r="D472" s="3"/>
      <c r="J472" s="4"/>
      <c r="K472" s="5"/>
      <c r="L472" s="6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ht="15.75" customHeight="1">
      <c r="A473" s="1"/>
      <c r="B473" s="2"/>
      <c r="D473" s="3"/>
      <c r="J473" s="4"/>
      <c r="K473" s="5"/>
      <c r="L473" s="6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ht="15.75" customHeight="1">
      <c r="A474" s="1"/>
      <c r="B474" s="2"/>
      <c r="D474" s="3"/>
      <c r="J474" s="4"/>
      <c r="K474" s="5"/>
      <c r="L474" s="6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ht="15.75" customHeight="1">
      <c r="A475" s="1"/>
      <c r="B475" s="2"/>
      <c r="D475" s="3"/>
      <c r="J475" s="4"/>
      <c r="K475" s="5"/>
      <c r="L475" s="6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ht="15.75" customHeight="1">
      <c r="A476" s="1"/>
      <c r="B476" s="2"/>
      <c r="D476" s="3"/>
      <c r="J476" s="4"/>
      <c r="K476" s="5"/>
      <c r="L476" s="6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ht="15.75" customHeight="1">
      <c r="A477" s="1"/>
      <c r="B477" s="2"/>
      <c r="D477" s="3"/>
      <c r="J477" s="4"/>
      <c r="K477" s="5"/>
      <c r="L477" s="6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ht="15.75" customHeight="1">
      <c r="A478" s="1"/>
      <c r="B478" s="2"/>
      <c r="D478" s="3"/>
      <c r="J478" s="4"/>
      <c r="K478" s="5"/>
      <c r="L478" s="6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ht="15.75" customHeight="1">
      <c r="A479" s="1"/>
      <c r="B479" s="2"/>
      <c r="D479" s="3"/>
      <c r="J479" s="4"/>
      <c r="K479" s="5"/>
      <c r="L479" s="6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ht="15.75" customHeight="1">
      <c r="A480" s="1"/>
      <c r="B480" s="2"/>
      <c r="D480" s="3"/>
      <c r="J480" s="4"/>
      <c r="K480" s="5"/>
      <c r="L480" s="6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ht="15.75" customHeight="1">
      <c r="A481" s="1"/>
      <c r="B481" s="2"/>
      <c r="D481" s="3"/>
      <c r="J481" s="4"/>
      <c r="K481" s="5"/>
      <c r="L481" s="6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ht="15.75" customHeight="1">
      <c r="A482" s="1"/>
      <c r="B482" s="2"/>
      <c r="D482" s="3"/>
      <c r="J482" s="4"/>
      <c r="K482" s="5"/>
      <c r="L482" s="6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ht="15.75" customHeight="1">
      <c r="A483" s="1"/>
      <c r="B483" s="2"/>
      <c r="D483" s="3"/>
      <c r="J483" s="4"/>
      <c r="K483" s="5"/>
      <c r="L483" s="6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ht="15.75" customHeight="1">
      <c r="A484" s="1"/>
      <c r="B484" s="2"/>
      <c r="D484" s="3"/>
      <c r="J484" s="4"/>
      <c r="K484" s="5"/>
      <c r="L484" s="6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ht="15.75" customHeight="1">
      <c r="A485" s="1"/>
      <c r="B485" s="2"/>
      <c r="D485" s="3"/>
      <c r="J485" s="4"/>
      <c r="K485" s="5"/>
      <c r="L485" s="6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ht="15.75" customHeight="1">
      <c r="A486" s="1"/>
      <c r="B486" s="2"/>
      <c r="D486" s="3"/>
      <c r="J486" s="4"/>
      <c r="K486" s="5"/>
      <c r="L486" s="6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ht="15.75" customHeight="1">
      <c r="A487" s="1"/>
      <c r="B487" s="2"/>
      <c r="D487" s="3"/>
      <c r="J487" s="4"/>
      <c r="K487" s="5"/>
      <c r="L487" s="6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ht="15.75" customHeight="1">
      <c r="A488" s="1"/>
      <c r="B488" s="2"/>
      <c r="D488" s="3"/>
      <c r="J488" s="4"/>
      <c r="K488" s="5"/>
      <c r="L488" s="6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ht="15.75" customHeight="1">
      <c r="A489" s="1"/>
      <c r="B489" s="2"/>
      <c r="D489" s="3"/>
      <c r="J489" s="4"/>
      <c r="K489" s="5"/>
      <c r="L489" s="6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ht="15.75" customHeight="1">
      <c r="A490" s="1"/>
      <c r="B490" s="2"/>
      <c r="D490" s="3"/>
      <c r="J490" s="4"/>
      <c r="K490" s="5"/>
      <c r="L490" s="6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ht="15.75" customHeight="1">
      <c r="A491" s="1"/>
      <c r="B491" s="2"/>
      <c r="D491" s="3"/>
      <c r="J491" s="4"/>
      <c r="K491" s="5"/>
      <c r="L491" s="6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ht="15.75" customHeight="1">
      <c r="A492" s="1"/>
      <c r="B492" s="2"/>
      <c r="D492" s="3"/>
      <c r="J492" s="4"/>
      <c r="K492" s="5"/>
      <c r="L492" s="6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ht="15.75" customHeight="1">
      <c r="A493" s="1"/>
      <c r="B493" s="2"/>
      <c r="D493" s="3"/>
      <c r="J493" s="4"/>
      <c r="K493" s="5"/>
      <c r="L493" s="6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ht="15.75" customHeight="1">
      <c r="A494" s="1"/>
      <c r="B494" s="2"/>
      <c r="D494" s="3"/>
      <c r="J494" s="4"/>
      <c r="K494" s="5"/>
      <c r="L494" s="6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ht="15.75" customHeight="1">
      <c r="A495" s="1"/>
      <c r="B495" s="2"/>
      <c r="D495" s="3"/>
      <c r="J495" s="4"/>
      <c r="K495" s="5"/>
      <c r="L495" s="6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ht="15.75" customHeight="1">
      <c r="A496" s="1"/>
      <c r="B496" s="2"/>
      <c r="D496" s="3"/>
      <c r="J496" s="4"/>
      <c r="K496" s="5"/>
      <c r="L496" s="6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ht="15.75" customHeight="1">
      <c r="A497" s="1"/>
      <c r="B497" s="2"/>
      <c r="D497" s="3"/>
      <c r="J497" s="4"/>
      <c r="K497" s="5"/>
      <c r="L497" s="6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ht="15.75" customHeight="1">
      <c r="A498" s="1"/>
      <c r="B498" s="2"/>
      <c r="D498" s="3"/>
      <c r="J498" s="4"/>
      <c r="K498" s="5"/>
      <c r="L498" s="6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ht="15.75" customHeight="1">
      <c r="A499" s="1"/>
      <c r="B499" s="2"/>
      <c r="D499" s="3"/>
      <c r="J499" s="4"/>
      <c r="K499" s="5"/>
      <c r="L499" s="6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ht="15.75" customHeight="1">
      <c r="A500" s="1"/>
      <c r="B500" s="2"/>
      <c r="D500" s="3"/>
      <c r="J500" s="4"/>
      <c r="K500" s="5"/>
      <c r="L500" s="6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ht="15.75" customHeight="1">
      <c r="A501" s="1"/>
      <c r="B501" s="2"/>
      <c r="D501" s="3"/>
      <c r="J501" s="4"/>
      <c r="K501" s="5"/>
      <c r="L501" s="6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ht="15.75" customHeight="1">
      <c r="A502" s="1"/>
      <c r="B502" s="2"/>
      <c r="D502" s="3"/>
      <c r="J502" s="4"/>
      <c r="K502" s="5"/>
      <c r="L502" s="6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ht="15.75" customHeight="1">
      <c r="A503" s="1"/>
      <c r="B503" s="2"/>
      <c r="D503" s="3"/>
      <c r="J503" s="4"/>
      <c r="K503" s="5"/>
      <c r="L503" s="6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ht="15.75" customHeight="1">
      <c r="A504" s="1"/>
      <c r="B504" s="2"/>
      <c r="D504" s="3"/>
      <c r="J504" s="4"/>
      <c r="K504" s="5"/>
      <c r="L504" s="6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ht="15.75" customHeight="1">
      <c r="A505" s="1"/>
      <c r="B505" s="2"/>
      <c r="D505" s="3"/>
      <c r="J505" s="4"/>
      <c r="K505" s="5"/>
      <c r="L505" s="6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ht="15.75" customHeight="1">
      <c r="A506" s="1"/>
      <c r="B506" s="2"/>
      <c r="D506" s="3"/>
      <c r="J506" s="4"/>
      <c r="K506" s="5"/>
      <c r="L506" s="6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ht="15.75" customHeight="1">
      <c r="A507" s="1"/>
      <c r="B507" s="2"/>
      <c r="D507" s="3"/>
      <c r="J507" s="4"/>
      <c r="K507" s="5"/>
      <c r="L507" s="6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ht="15.75" customHeight="1">
      <c r="A508" s="1"/>
      <c r="B508" s="2"/>
      <c r="D508" s="3"/>
      <c r="J508" s="4"/>
      <c r="K508" s="5"/>
      <c r="L508" s="6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ht="15.75" customHeight="1">
      <c r="A509" s="1"/>
      <c r="B509" s="2"/>
      <c r="D509" s="3"/>
      <c r="J509" s="4"/>
      <c r="K509" s="5"/>
      <c r="L509" s="6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ht="15.75" customHeight="1">
      <c r="A510" s="1"/>
      <c r="B510" s="2"/>
      <c r="D510" s="3"/>
      <c r="J510" s="4"/>
      <c r="K510" s="5"/>
      <c r="L510" s="6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ht="15.75" customHeight="1">
      <c r="A511" s="1"/>
      <c r="B511" s="2"/>
      <c r="D511" s="3"/>
      <c r="J511" s="4"/>
      <c r="K511" s="5"/>
      <c r="L511" s="6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ht="15.75" customHeight="1">
      <c r="A512" s="1"/>
      <c r="B512" s="2"/>
      <c r="D512" s="3"/>
      <c r="J512" s="4"/>
      <c r="K512" s="5"/>
      <c r="L512" s="6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ht="15.75" customHeight="1">
      <c r="A513" s="1"/>
      <c r="B513" s="2"/>
      <c r="D513" s="3"/>
      <c r="J513" s="4"/>
      <c r="K513" s="5"/>
      <c r="L513" s="6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ht="15.75" customHeight="1">
      <c r="A514" s="1"/>
      <c r="B514" s="2"/>
      <c r="D514" s="3"/>
      <c r="J514" s="4"/>
      <c r="K514" s="5"/>
      <c r="L514" s="6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ht="15.75" customHeight="1">
      <c r="A515" s="1"/>
      <c r="B515" s="2"/>
      <c r="D515" s="3"/>
      <c r="J515" s="4"/>
      <c r="K515" s="5"/>
      <c r="L515" s="6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ht="15.75" customHeight="1">
      <c r="A516" s="1"/>
      <c r="B516" s="2"/>
      <c r="D516" s="3"/>
      <c r="J516" s="4"/>
      <c r="K516" s="5"/>
      <c r="L516" s="6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ht="15.75" customHeight="1">
      <c r="A517" s="1"/>
      <c r="B517" s="2"/>
      <c r="D517" s="3"/>
      <c r="J517" s="4"/>
      <c r="K517" s="5"/>
      <c r="L517" s="6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ht="15.75" customHeight="1">
      <c r="A518" s="1"/>
      <c r="B518" s="2"/>
      <c r="D518" s="3"/>
      <c r="J518" s="4"/>
      <c r="K518" s="5"/>
      <c r="L518" s="6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ht="15.75" customHeight="1">
      <c r="A519" s="1"/>
      <c r="B519" s="2"/>
      <c r="D519" s="3"/>
      <c r="J519" s="4"/>
      <c r="K519" s="5"/>
      <c r="L519" s="6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ht="15.75" customHeight="1">
      <c r="A520" s="1"/>
      <c r="B520" s="2"/>
      <c r="D520" s="3"/>
      <c r="J520" s="4"/>
      <c r="K520" s="5"/>
      <c r="L520" s="6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ht="15.75" customHeight="1">
      <c r="A521" s="1"/>
      <c r="B521" s="2"/>
      <c r="D521" s="3"/>
      <c r="J521" s="4"/>
      <c r="K521" s="5"/>
      <c r="L521" s="6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ht="15.75" customHeight="1">
      <c r="A522" s="1"/>
      <c r="B522" s="2"/>
      <c r="D522" s="3"/>
      <c r="J522" s="4"/>
      <c r="K522" s="5"/>
      <c r="L522" s="6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ht="15.75" customHeight="1">
      <c r="A523" s="1"/>
      <c r="B523" s="2"/>
      <c r="D523" s="3"/>
      <c r="J523" s="4"/>
      <c r="K523" s="5"/>
      <c r="L523" s="6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ht="15.75" customHeight="1">
      <c r="A524" s="1"/>
      <c r="B524" s="2"/>
      <c r="D524" s="3"/>
      <c r="J524" s="4"/>
      <c r="K524" s="5"/>
      <c r="L524" s="6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ht="15.75" customHeight="1">
      <c r="A525" s="1"/>
      <c r="B525" s="2"/>
      <c r="D525" s="3"/>
      <c r="J525" s="4"/>
      <c r="K525" s="5"/>
      <c r="L525" s="6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ht="15.75" customHeight="1">
      <c r="A526" s="1"/>
      <c r="B526" s="2"/>
      <c r="D526" s="3"/>
      <c r="J526" s="4"/>
      <c r="K526" s="5"/>
      <c r="L526" s="6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ht="15.75" customHeight="1">
      <c r="A527" s="1"/>
      <c r="B527" s="2"/>
      <c r="D527" s="3"/>
      <c r="J527" s="4"/>
      <c r="K527" s="5"/>
      <c r="L527" s="6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ht="15.75" customHeight="1">
      <c r="A528" s="1"/>
      <c r="B528" s="2"/>
      <c r="D528" s="3"/>
      <c r="J528" s="4"/>
      <c r="K528" s="5"/>
      <c r="L528" s="6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ht="15.75" customHeight="1">
      <c r="A529" s="1"/>
      <c r="B529" s="2"/>
      <c r="D529" s="3"/>
      <c r="J529" s="4"/>
      <c r="K529" s="5"/>
      <c r="L529" s="6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ht="15.75" customHeight="1">
      <c r="A530" s="1"/>
      <c r="B530" s="2"/>
      <c r="D530" s="3"/>
      <c r="J530" s="4"/>
      <c r="K530" s="5"/>
      <c r="L530" s="6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ht="15.75" customHeight="1">
      <c r="A531" s="1"/>
      <c r="B531" s="2"/>
      <c r="D531" s="3"/>
      <c r="J531" s="4"/>
      <c r="K531" s="5"/>
      <c r="L531" s="6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ht="15.75" customHeight="1">
      <c r="A532" s="1"/>
      <c r="B532" s="2"/>
      <c r="D532" s="3"/>
      <c r="J532" s="4"/>
      <c r="K532" s="5"/>
      <c r="L532" s="6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ht="15.75" customHeight="1">
      <c r="A533" s="1"/>
      <c r="B533" s="2"/>
      <c r="D533" s="3"/>
      <c r="J533" s="4"/>
      <c r="K533" s="5"/>
      <c r="L533" s="6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ht="15.75" customHeight="1">
      <c r="A534" s="1"/>
      <c r="B534" s="2"/>
      <c r="D534" s="3"/>
      <c r="J534" s="4"/>
      <c r="K534" s="5"/>
      <c r="L534" s="6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ht="15.75" customHeight="1">
      <c r="A535" s="1"/>
      <c r="B535" s="2"/>
      <c r="D535" s="3"/>
      <c r="J535" s="4"/>
      <c r="K535" s="5"/>
      <c r="L535" s="6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ht="15.75" customHeight="1">
      <c r="A536" s="1"/>
      <c r="B536" s="2"/>
      <c r="D536" s="3"/>
      <c r="J536" s="4"/>
      <c r="K536" s="5"/>
      <c r="L536" s="6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ht="15.75" customHeight="1">
      <c r="A537" s="1"/>
      <c r="B537" s="2"/>
      <c r="D537" s="3"/>
      <c r="J537" s="4"/>
      <c r="K537" s="5"/>
      <c r="L537" s="6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ht="15.75" customHeight="1">
      <c r="A538" s="1"/>
      <c r="B538" s="2"/>
      <c r="D538" s="3"/>
      <c r="J538" s="4"/>
      <c r="K538" s="5"/>
      <c r="L538" s="6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ht="15.75" customHeight="1">
      <c r="A539" s="1"/>
      <c r="B539" s="2"/>
      <c r="D539" s="3"/>
      <c r="J539" s="4"/>
      <c r="K539" s="5"/>
      <c r="L539" s="6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ht="15.75" customHeight="1">
      <c r="A540" s="1"/>
      <c r="B540" s="2"/>
      <c r="D540" s="3"/>
      <c r="J540" s="4"/>
      <c r="K540" s="5"/>
      <c r="L540" s="6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ht="15.75" customHeight="1">
      <c r="A541" s="1"/>
      <c r="B541" s="2"/>
      <c r="D541" s="3"/>
      <c r="J541" s="4"/>
      <c r="K541" s="5"/>
      <c r="L541" s="6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ht="15.75" customHeight="1">
      <c r="A542" s="1"/>
      <c r="B542" s="2"/>
      <c r="D542" s="3"/>
      <c r="J542" s="4"/>
      <c r="K542" s="5"/>
      <c r="L542" s="6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ht="15.75" customHeight="1">
      <c r="A543" s="1"/>
      <c r="B543" s="2"/>
      <c r="D543" s="3"/>
      <c r="J543" s="4"/>
      <c r="K543" s="5"/>
      <c r="L543" s="6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ht="15.75" customHeight="1">
      <c r="A544" s="1"/>
      <c r="B544" s="2"/>
      <c r="D544" s="3"/>
      <c r="J544" s="4"/>
      <c r="K544" s="5"/>
      <c r="L544" s="6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ht="15.75" customHeight="1">
      <c r="A545" s="1"/>
      <c r="B545" s="2"/>
      <c r="D545" s="3"/>
      <c r="J545" s="4"/>
      <c r="K545" s="5"/>
      <c r="L545" s="6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ht="15.75" customHeight="1">
      <c r="A546" s="1"/>
      <c r="B546" s="2"/>
      <c r="D546" s="3"/>
      <c r="J546" s="4"/>
      <c r="K546" s="5"/>
      <c r="L546" s="6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ht="15.75" customHeight="1">
      <c r="A547" s="1"/>
      <c r="B547" s="2"/>
      <c r="D547" s="3"/>
      <c r="J547" s="4"/>
      <c r="K547" s="5"/>
      <c r="L547" s="6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ht="15.75" customHeight="1">
      <c r="A548" s="1"/>
      <c r="B548" s="2"/>
      <c r="D548" s="3"/>
      <c r="J548" s="4"/>
      <c r="K548" s="5"/>
      <c r="L548" s="6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ht="15.75" customHeight="1">
      <c r="A549" s="1"/>
      <c r="B549" s="2"/>
      <c r="D549" s="3"/>
      <c r="J549" s="4"/>
      <c r="K549" s="5"/>
      <c r="L549" s="6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ht="15.75" customHeight="1">
      <c r="A550" s="1"/>
      <c r="B550" s="2"/>
      <c r="D550" s="3"/>
      <c r="J550" s="4"/>
      <c r="K550" s="5"/>
      <c r="L550" s="6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ht="15.75" customHeight="1">
      <c r="A551" s="1"/>
      <c r="B551" s="2"/>
      <c r="D551" s="3"/>
      <c r="J551" s="4"/>
      <c r="K551" s="5"/>
      <c r="L551" s="6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ht="15.75" customHeight="1">
      <c r="A552" s="1"/>
      <c r="B552" s="2"/>
      <c r="D552" s="3"/>
      <c r="J552" s="4"/>
      <c r="K552" s="5"/>
      <c r="L552" s="6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ht="15.75" customHeight="1">
      <c r="A553" s="1"/>
      <c r="B553" s="2"/>
      <c r="D553" s="3"/>
      <c r="J553" s="4"/>
      <c r="K553" s="5"/>
      <c r="L553" s="6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ht="15.75" customHeight="1">
      <c r="A554" s="1"/>
      <c r="B554" s="2"/>
      <c r="D554" s="3"/>
      <c r="J554" s="4"/>
      <c r="K554" s="5"/>
      <c r="L554" s="6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ht="15.75" customHeight="1">
      <c r="A555" s="1"/>
      <c r="B555" s="2"/>
      <c r="D555" s="3"/>
      <c r="J555" s="4"/>
      <c r="K555" s="5"/>
      <c r="L555" s="6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ht="15.75" customHeight="1">
      <c r="A556" s="1"/>
      <c r="B556" s="2"/>
      <c r="D556" s="3"/>
      <c r="J556" s="4"/>
      <c r="K556" s="5"/>
      <c r="L556" s="6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ht="15.75" customHeight="1">
      <c r="A557" s="1"/>
      <c r="B557" s="2"/>
      <c r="D557" s="3"/>
      <c r="J557" s="4"/>
      <c r="K557" s="5"/>
      <c r="L557" s="6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ht="15.75" customHeight="1">
      <c r="A558" s="1"/>
      <c r="B558" s="2"/>
      <c r="D558" s="3"/>
      <c r="J558" s="4"/>
      <c r="K558" s="5"/>
      <c r="L558" s="6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ht="15.75" customHeight="1">
      <c r="A559" s="1"/>
      <c r="B559" s="2"/>
      <c r="D559" s="3"/>
      <c r="J559" s="4"/>
      <c r="K559" s="5"/>
      <c r="L559" s="6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ht="15.75" customHeight="1">
      <c r="A560" s="1"/>
      <c r="B560" s="2"/>
      <c r="D560" s="3"/>
      <c r="J560" s="4"/>
      <c r="K560" s="5"/>
      <c r="L560" s="6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ht="15.75" customHeight="1">
      <c r="A561" s="1"/>
      <c r="B561" s="2"/>
      <c r="D561" s="3"/>
      <c r="J561" s="4"/>
      <c r="K561" s="5"/>
      <c r="L561" s="6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ht="15.75" customHeight="1">
      <c r="A562" s="1"/>
      <c r="B562" s="2"/>
      <c r="D562" s="3"/>
      <c r="J562" s="4"/>
      <c r="K562" s="5"/>
      <c r="L562" s="6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ht="15.75" customHeight="1">
      <c r="A563" s="1"/>
      <c r="B563" s="2"/>
      <c r="D563" s="3"/>
      <c r="J563" s="4"/>
      <c r="K563" s="5"/>
      <c r="L563" s="6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ht="15.75" customHeight="1">
      <c r="A564" s="1"/>
      <c r="B564" s="2"/>
      <c r="D564" s="3"/>
      <c r="J564" s="4"/>
      <c r="K564" s="5"/>
      <c r="L564" s="6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ht="15.75" customHeight="1">
      <c r="A565" s="1"/>
      <c r="B565" s="2"/>
      <c r="D565" s="3"/>
      <c r="J565" s="4"/>
      <c r="K565" s="5"/>
      <c r="L565" s="6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ht="15.75" customHeight="1">
      <c r="A566" s="1"/>
      <c r="B566" s="2"/>
      <c r="D566" s="3"/>
      <c r="J566" s="4"/>
      <c r="K566" s="5"/>
      <c r="L566" s="6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ht="15.75" customHeight="1">
      <c r="A567" s="1"/>
      <c r="B567" s="2"/>
      <c r="D567" s="3"/>
      <c r="J567" s="4"/>
      <c r="K567" s="5"/>
      <c r="L567" s="6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ht="15.75" customHeight="1">
      <c r="A568" s="1"/>
      <c r="B568" s="2"/>
      <c r="D568" s="3"/>
      <c r="J568" s="4"/>
      <c r="K568" s="5"/>
      <c r="L568" s="6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ht="15.75" customHeight="1">
      <c r="A569" s="1"/>
      <c r="B569" s="2"/>
      <c r="D569" s="3"/>
      <c r="J569" s="4"/>
      <c r="K569" s="5"/>
      <c r="L569" s="6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ht="15.75" customHeight="1">
      <c r="A570" s="1"/>
      <c r="B570" s="2"/>
      <c r="D570" s="3"/>
      <c r="J570" s="4"/>
      <c r="K570" s="5"/>
      <c r="L570" s="6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ht="15.75" customHeight="1">
      <c r="A571" s="1"/>
      <c r="B571" s="2"/>
      <c r="D571" s="3"/>
      <c r="J571" s="4"/>
      <c r="K571" s="5"/>
      <c r="L571" s="6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ht="15.75" customHeight="1">
      <c r="A572" s="1"/>
      <c r="B572" s="2"/>
      <c r="D572" s="3"/>
      <c r="J572" s="4"/>
      <c r="K572" s="5"/>
      <c r="L572" s="6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ht="15.75" customHeight="1">
      <c r="A573" s="1"/>
      <c r="B573" s="2"/>
      <c r="D573" s="3"/>
      <c r="J573" s="4"/>
      <c r="K573" s="5"/>
      <c r="L573" s="6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ht="15.75" customHeight="1">
      <c r="A574" s="1"/>
      <c r="B574" s="2"/>
      <c r="D574" s="3"/>
      <c r="J574" s="4"/>
      <c r="K574" s="5"/>
      <c r="L574" s="6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ht="15.75" customHeight="1">
      <c r="A575" s="1"/>
      <c r="B575" s="2"/>
      <c r="D575" s="3"/>
      <c r="J575" s="4"/>
      <c r="K575" s="5"/>
      <c r="L575" s="6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ht="15.75" customHeight="1">
      <c r="A576" s="1"/>
      <c r="B576" s="2"/>
      <c r="D576" s="3"/>
      <c r="J576" s="4"/>
      <c r="K576" s="5"/>
      <c r="L576" s="6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ht="15.75" customHeight="1">
      <c r="A577" s="1"/>
      <c r="B577" s="2"/>
      <c r="D577" s="3"/>
      <c r="J577" s="4"/>
      <c r="K577" s="5"/>
      <c r="L577" s="6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ht="15.75" customHeight="1">
      <c r="A578" s="1"/>
      <c r="B578" s="2"/>
      <c r="D578" s="3"/>
      <c r="J578" s="4"/>
      <c r="K578" s="5"/>
      <c r="L578" s="6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ht="15.75" customHeight="1">
      <c r="A579" s="1"/>
      <c r="B579" s="2"/>
      <c r="D579" s="3"/>
      <c r="J579" s="4"/>
      <c r="K579" s="5"/>
      <c r="L579" s="6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ht="15.75" customHeight="1">
      <c r="A580" s="1"/>
      <c r="B580" s="2"/>
      <c r="D580" s="3"/>
      <c r="J580" s="4"/>
      <c r="K580" s="5"/>
      <c r="L580" s="6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ht="15.75" customHeight="1">
      <c r="A581" s="1"/>
      <c r="B581" s="2"/>
      <c r="D581" s="3"/>
      <c r="J581" s="4"/>
      <c r="K581" s="5"/>
      <c r="L581" s="6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ht="15.75" customHeight="1">
      <c r="A582" s="1"/>
      <c r="B582" s="2"/>
      <c r="D582" s="3"/>
      <c r="J582" s="4"/>
      <c r="K582" s="5"/>
      <c r="L582" s="6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ht="15.75" customHeight="1">
      <c r="A583" s="1"/>
      <c r="B583" s="2"/>
      <c r="D583" s="3"/>
      <c r="J583" s="4"/>
      <c r="K583" s="5"/>
      <c r="L583" s="6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ht="15.75" customHeight="1">
      <c r="A584" s="1"/>
      <c r="B584" s="2"/>
      <c r="D584" s="3"/>
      <c r="J584" s="4"/>
      <c r="K584" s="5"/>
      <c r="L584" s="6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ht="15.75" customHeight="1">
      <c r="A585" s="1"/>
      <c r="B585" s="2"/>
      <c r="D585" s="3"/>
      <c r="J585" s="4"/>
      <c r="K585" s="5"/>
      <c r="L585" s="6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ht="15.75" customHeight="1">
      <c r="A586" s="1"/>
      <c r="B586" s="2"/>
      <c r="D586" s="3"/>
      <c r="J586" s="4"/>
      <c r="K586" s="5"/>
      <c r="L586" s="6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ht="15.75" customHeight="1">
      <c r="A587" s="1"/>
      <c r="B587" s="2"/>
      <c r="D587" s="3"/>
      <c r="J587" s="4"/>
      <c r="K587" s="5"/>
      <c r="L587" s="6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ht="15.75" customHeight="1">
      <c r="A588" s="1"/>
      <c r="B588" s="2"/>
      <c r="D588" s="3"/>
      <c r="J588" s="4"/>
      <c r="K588" s="5"/>
      <c r="L588" s="6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ht="15.75" customHeight="1">
      <c r="A589" s="1"/>
      <c r="B589" s="2"/>
      <c r="D589" s="3"/>
      <c r="J589" s="4"/>
      <c r="K589" s="5"/>
      <c r="L589" s="6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ht="15.75" customHeight="1">
      <c r="A590" s="1"/>
      <c r="B590" s="2"/>
      <c r="D590" s="3"/>
      <c r="J590" s="4"/>
      <c r="K590" s="5"/>
      <c r="L590" s="6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ht="15.75" customHeight="1">
      <c r="A591" s="1"/>
      <c r="B591" s="2"/>
      <c r="D591" s="3"/>
      <c r="J591" s="4"/>
      <c r="K591" s="5"/>
      <c r="L591" s="6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ht="15.75" customHeight="1">
      <c r="A592" s="1"/>
      <c r="B592" s="2"/>
      <c r="D592" s="3"/>
      <c r="J592" s="4"/>
      <c r="K592" s="5"/>
      <c r="L592" s="6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ht="15.75" customHeight="1">
      <c r="A593" s="1"/>
      <c r="B593" s="2"/>
      <c r="D593" s="3"/>
      <c r="J593" s="4"/>
      <c r="K593" s="5"/>
      <c r="L593" s="6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ht="15.75" customHeight="1">
      <c r="A594" s="1"/>
      <c r="B594" s="2"/>
      <c r="D594" s="3"/>
      <c r="J594" s="4"/>
      <c r="K594" s="5"/>
      <c r="L594" s="6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ht="15.75" customHeight="1">
      <c r="A595" s="1"/>
      <c r="B595" s="2"/>
      <c r="D595" s="3"/>
      <c r="J595" s="4"/>
      <c r="K595" s="5"/>
      <c r="L595" s="6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ht="15.75" customHeight="1">
      <c r="A596" s="1"/>
      <c r="B596" s="2"/>
      <c r="D596" s="3"/>
      <c r="J596" s="4"/>
      <c r="K596" s="5"/>
      <c r="L596" s="6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ht="15.75" customHeight="1">
      <c r="A597" s="1"/>
      <c r="B597" s="2"/>
      <c r="D597" s="3"/>
      <c r="J597" s="4"/>
      <c r="K597" s="5"/>
      <c r="L597" s="6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ht="15.75" customHeight="1">
      <c r="A598" s="1"/>
      <c r="B598" s="2"/>
      <c r="D598" s="3"/>
      <c r="J598" s="4"/>
      <c r="K598" s="5"/>
      <c r="L598" s="6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ht="15.75" customHeight="1">
      <c r="A599" s="1"/>
      <c r="B599" s="2"/>
      <c r="D599" s="3"/>
      <c r="J599" s="4"/>
      <c r="K599" s="5"/>
      <c r="L599" s="6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ht="15.75" customHeight="1">
      <c r="A600" s="1"/>
      <c r="B600" s="2"/>
      <c r="D600" s="3"/>
      <c r="J600" s="4"/>
      <c r="K600" s="5"/>
      <c r="L600" s="6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ht="15.75" customHeight="1">
      <c r="A601" s="1"/>
      <c r="B601" s="2"/>
      <c r="D601" s="3"/>
      <c r="J601" s="4"/>
      <c r="K601" s="5"/>
      <c r="L601" s="6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ht="15.75" customHeight="1">
      <c r="A602" s="1"/>
      <c r="B602" s="2"/>
      <c r="D602" s="3"/>
      <c r="J602" s="4"/>
      <c r="K602" s="5"/>
      <c r="L602" s="6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ht="15.75" customHeight="1">
      <c r="A603" s="1"/>
      <c r="B603" s="2"/>
      <c r="D603" s="3"/>
      <c r="J603" s="4"/>
      <c r="K603" s="5"/>
      <c r="L603" s="6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ht="15.75" customHeight="1">
      <c r="A604" s="1"/>
      <c r="B604" s="2"/>
      <c r="D604" s="3"/>
      <c r="J604" s="4"/>
      <c r="K604" s="5"/>
      <c r="L604" s="6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ht="15.75" customHeight="1">
      <c r="A605" s="1"/>
      <c r="B605" s="2"/>
      <c r="D605" s="3"/>
      <c r="J605" s="4"/>
      <c r="K605" s="5"/>
      <c r="L605" s="6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ht="15.75" customHeight="1">
      <c r="A606" s="1"/>
      <c r="B606" s="2"/>
      <c r="D606" s="3"/>
      <c r="J606" s="4"/>
      <c r="K606" s="5"/>
      <c r="L606" s="6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ht="15.75" customHeight="1">
      <c r="A607" s="1"/>
      <c r="B607" s="2"/>
      <c r="D607" s="3"/>
      <c r="J607" s="4"/>
      <c r="K607" s="5"/>
      <c r="L607" s="6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ht="15.75" customHeight="1">
      <c r="A608" s="1"/>
      <c r="B608" s="2"/>
      <c r="D608" s="3"/>
      <c r="J608" s="4"/>
      <c r="K608" s="5"/>
      <c r="L608" s="6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ht="15.75" customHeight="1">
      <c r="A609" s="1"/>
      <c r="B609" s="2"/>
      <c r="D609" s="3"/>
      <c r="J609" s="4"/>
      <c r="K609" s="5"/>
      <c r="L609" s="6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ht="15.75" customHeight="1">
      <c r="A610" s="1"/>
      <c r="B610" s="2"/>
      <c r="D610" s="3"/>
      <c r="J610" s="4"/>
      <c r="K610" s="5"/>
      <c r="L610" s="6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ht="15.75" customHeight="1">
      <c r="A611" s="1"/>
      <c r="B611" s="2"/>
      <c r="D611" s="3"/>
      <c r="J611" s="4"/>
      <c r="K611" s="5"/>
      <c r="L611" s="6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ht="15.75" customHeight="1">
      <c r="A612" s="1"/>
      <c r="B612" s="2"/>
      <c r="D612" s="3"/>
      <c r="J612" s="4"/>
      <c r="K612" s="5"/>
      <c r="L612" s="6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ht="15.75" customHeight="1">
      <c r="A613" s="1"/>
      <c r="B613" s="2"/>
      <c r="D613" s="3"/>
      <c r="J613" s="4"/>
      <c r="K613" s="5"/>
      <c r="L613" s="6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ht="15.75" customHeight="1">
      <c r="A614" s="1"/>
      <c r="B614" s="2"/>
      <c r="D614" s="3"/>
      <c r="J614" s="4"/>
      <c r="K614" s="5"/>
      <c r="L614" s="6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ht="15.75" customHeight="1">
      <c r="A615" s="1"/>
      <c r="B615" s="2"/>
      <c r="D615" s="3"/>
      <c r="J615" s="4"/>
      <c r="K615" s="5"/>
      <c r="L615" s="6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ht="15.75" customHeight="1">
      <c r="A616" s="1"/>
      <c r="B616" s="2"/>
      <c r="D616" s="3"/>
      <c r="J616" s="4"/>
      <c r="K616" s="5"/>
      <c r="L616" s="6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ht="15.75" customHeight="1">
      <c r="A617" s="1"/>
      <c r="B617" s="2"/>
      <c r="D617" s="3"/>
      <c r="J617" s="4"/>
      <c r="K617" s="5"/>
      <c r="L617" s="6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ht="15.75" customHeight="1">
      <c r="A618" s="1"/>
      <c r="B618" s="2"/>
      <c r="D618" s="3"/>
      <c r="J618" s="4"/>
      <c r="K618" s="5"/>
      <c r="L618" s="6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ht="15.75" customHeight="1">
      <c r="A619" s="1"/>
      <c r="B619" s="2"/>
      <c r="D619" s="3"/>
      <c r="J619" s="4"/>
      <c r="K619" s="5"/>
      <c r="L619" s="6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ht="15.75" customHeight="1">
      <c r="A620" s="1"/>
      <c r="B620" s="2"/>
      <c r="D620" s="3"/>
      <c r="J620" s="4"/>
      <c r="K620" s="5"/>
      <c r="L620" s="6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ht="15.75" customHeight="1">
      <c r="A621" s="1"/>
      <c r="B621" s="2"/>
      <c r="D621" s="3"/>
      <c r="J621" s="4"/>
      <c r="K621" s="5"/>
      <c r="L621" s="6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ht="15.75" customHeight="1">
      <c r="A622" s="1"/>
      <c r="B622" s="2"/>
      <c r="D622" s="3"/>
      <c r="J622" s="4"/>
      <c r="K622" s="5"/>
      <c r="L622" s="6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ht="15.75" customHeight="1">
      <c r="A623" s="1"/>
      <c r="B623" s="2"/>
      <c r="D623" s="3"/>
      <c r="J623" s="4"/>
      <c r="K623" s="5"/>
      <c r="L623" s="6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ht="15.75" customHeight="1">
      <c r="A624" s="1"/>
      <c r="B624" s="2"/>
      <c r="D624" s="3"/>
      <c r="J624" s="4"/>
      <c r="K624" s="5"/>
      <c r="L624" s="6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ht="15.75" customHeight="1">
      <c r="A625" s="1"/>
      <c r="B625" s="2"/>
      <c r="D625" s="3"/>
      <c r="J625" s="4"/>
      <c r="K625" s="5"/>
      <c r="L625" s="6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ht="15.75" customHeight="1">
      <c r="A626" s="1"/>
      <c r="B626" s="2"/>
      <c r="D626" s="3"/>
      <c r="J626" s="4"/>
      <c r="K626" s="5"/>
      <c r="L626" s="6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ht="15.75" customHeight="1">
      <c r="A627" s="1"/>
      <c r="B627" s="2"/>
      <c r="D627" s="3"/>
      <c r="J627" s="4"/>
      <c r="K627" s="5"/>
      <c r="L627" s="6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ht="15.75" customHeight="1">
      <c r="A628" s="1"/>
      <c r="B628" s="2"/>
      <c r="D628" s="3"/>
      <c r="J628" s="4"/>
      <c r="K628" s="5"/>
      <c r="L628" s="6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ht="15.75" customHeight="1">
      <c r="A629" s="1"/>
      <c r="B629" s="2"/>
      <c r="D629" s="3"/>
      <c r="J629" s="4"/>
      <c r="K629" s="5"/>
      <c r="L629" s="6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ht="15.75" customHeight="1">
      <c r="A630" s="1"/>
      <c r="B630" s="2"/>
      <c r="D630" s="3"/>
      <c r="J630" s="4"/>
      <c r="K630" s="5"/>
      <c r="L630" s="6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ht="15.75" customHeight="1">
      <c r="A631" s="1"/>
      <c r="B631" s="2"/>
      <c r="D631" s="3"/>
      <c r="J631" s="4"/>
      <c r="K631" s="5"/>
      <c r="L631" s="6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ht="15.75" customHeight="1">
      <c r="A632" s="1"/>
      <c r="B632" s="2"/>
      <c r="D632" s="3"/>
      <c r="J632" s="4"/>
      <c r="K632" s="5"/>
      <c r="L632" s="6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ht="15.75" customHeight="1">
      <c r="A633" s="1"/>
      <c r="B633" s="2"/>
      <c r="D633" s="3"/>
      <c r="J633" s="4"/>
      <c r="K633" s="5"/>
      <c r="L633" s="6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ht="15.75" customHeight="1">
      <c r="A634" s="1"/>
      <c r="B634" s="2"/>
      <c r="D634" s="3"/>
      <c r="J634" s="4"/>
      <c r="K634" s="5"/>
      <c r="L634" s="6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ht="15.75" customHeight="1">
      <c r="A635" s="1"/>
      <c r="B635" s="2"/>
      <c r="D635" s="3"/>
      <c r="J635" s="4"/>
      <c r="K635" s="5"/>
      <c r="L635" s="6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ht="15.75" customHeight="1">
      <c r="A636" s="1"/>
      <c r="B636" s="2"/>
      <c r="D636" s="3"/>
      <c r="J636" s="4"/>
      <c r="K636" s="5"/>
      <c r="L636" s="6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ht="15.75" customHeight="1">
      <c r="A637" s="1"/>
      <c r="B637" s="2"/>
      <c r="D637" s="3"/>
      <c r="J637" s="4"/>
      <c r="K637" s="5"/>
      <c r="L637" s="6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ht="15.75" customHeight="1">
      <c r="A638" s="1"/>
      <c r="B638" s="2"/>
      <c r="D638" s="3"/>
      <c r="J638" s="4"/>
      <c r="K638" s="5"/>
      <c r="L638" s="6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ht="15.75" customHeight="1">
      <c r="A639" s="1"/>
      <c r="B639" s="2"/>
      <c r="D639" s="3"/>
      <c r="J639" s="4"/>
      <c r="K639" s="5"/>
      <c r="L639" s="6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ht="15.75" customHeight="1">
      <c r="A640" s="1"/>
      <c r="B640" s="2"/>
      <c r="D640" s="3"/>
      <c r="J640" s="4"/>
      <c r="K640" s="5"/>
      <c r="L640" s="6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ht="15.75" customHeight="1">
      <c r="A641" s="1"/>
      <c r="B641" s="2"/>
      <c r="D641" s="3"/>
      <c r="J641" s="4"/>
      <c r="K641" s="5"/>
      <c r="L641" s="6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ht="15.75" customHeight="1">
      <c r="A642" s="1"/>
      <c r="B642" s="2"/>
      <c r="D642" s="3"/>
      <c r="J642" s="4"/>
      <c r="K642" s="5"/>
      <c r="L642" s="6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ht="15.75" customHeight="1">
      <c r="A643" s="1"/>
      <c r="B643" s="2"/>
      <c r="D643" s="3"/>
      <c r="J643" s="4"/>
      <c r="K643" s="5"/>
      <c r="L643" s="6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ht="15.75" customHeight="1">
      <c r="A644" s="1"/>
      <c r="B644" s="2"/>
      <c r="D644" s="3"/>
      <c r="J644" s="4"/>
      <c r="K644" s="5"/>
      <c r="L644" s="6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ht="15.75" customHeight="1">
      <c r="A645" s="1"/>
      <c r="B645" s="2"/>
      <c r="D645" s="3"/>
      <c r="J645" s="4"/>
      <c r="K645" s="5"/>
      <c r="L645" s="6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ht="15.75" customHeight="1">
      <c r="A646" s="1"/>
      <c r="B646" s="2"/>
      <c r="D646" s="3"/>
      <c r="J646" s="4"/>
      <c r="K646" s="5"/>
      <c r="L646" s="6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ht="15.75" customHeight="1">
      <c r="A647" s="1"/>
      <c r="B647" s="2"/>
      <c r="D647" s="3"/>
      <c r="J647" s="4"/>
      <c r="K647" s="5"/>
      <c r="L647" s="6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ht="15.75" customHeight="1">
      <c r="A648" s="1"/>
      <c r="B648" s="2"/>
      <c r="D648" s="3"/>
      <c r="J648" s="4"/>
      <c r="K648" s="5"/>
      <c r="L648" s="6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ht="15.75" customHeight="1">
      <c r="A649" s="1"/>
      <c r="B649" s="2"/>
      <c r="D649" s="3"/>
      <c r="J649" s="4"/>
      <c r="K649" s="5"/>
      <c r="L649" s="6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ht="15.75" customHeight="1">
      <c r="A650" s="1"/>
      <c r="B650" s="2"/>
      <c r="D650" s="3"/>
      <c r="J650" s="4"/>
      <c r="K650" s="5"/>
      <c r="L650" s="6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ht="15.75" customHeight="1">
      <c r="A651" s="1"/>
      <c r="B651" s="2"/>
      <c r="D651" s="3"/>
      <c r="J651" s="4"/>
      <c r="K651" s="5"/>
      <c r="L651" s="6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ht="15.75" customHeight="1">
      <c r="A652" s="1"/>
      <c r="B652" s="2"/>
      <c r="D652" s="3"/>
      <c r="J652" s="4"/>
      <c r="K652" s="5"/>
      <c r="L652" s="6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ht="15.75" customHeight="1">
      <c r="A653" s="1"/>
      <c r="B653" s="2"/>
      <c r="D653" s="3"/>
      <c r="J653" s="4"/>
      <c r="K653" s="5"/>
      <c r="L653" s="6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ht="15.75" customHeight="1">
      <c r="A654" s="1"/>
      <c r="B654" s="2"/>
      <c r="D654" s="3"/>
      <c r="J654" s="4"/>
      <c r="K654" s="5"/>
      <c r="L654" s="6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ht="15.75" customHeight="1">
      <c r="A655" s="1"/>
      <c r="B655" s="2"/>
      <c r="D655" s="3"/>
      <c r="J655" s="4"/>
      <c r="K655" s="5"/>
      <c r="L655" s="6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ht="15.75" customHeight="1">
      <c r="A656" s="1"/>
      <c r="B656" s="2"/>
      <c r="D656" s="3"/>
      <c r="J656" s="4"/>
      <c r="K656" s="5"/>
      <c r="L656" s="6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ht="15.75" customHeight="1">
      <c r="A657" s="1"/>
      <c r="B657" s="2"/>
      <c r="D657" s="3"/>
      <c r="J657" s="4"/>
      <c r="K657" s="5"/>
      <c r="L657" s="6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ht="15.75" customHeight="1">
      <c r="A658" s="1"/>
      <c r="B658" s="2"/>
      <c r="D658" s="3"/>
      <c r="J658" s="4"/>
      <c r="K658" s="5"/>
      <c r="L658" s="6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ht="15.75" customHeight="1">
      <c r="A659" s="1"/>
      <c r="B659" s="2"/>
      <c r="D659" s="3"/>
      <c r="J659" s="4"/>
      <c r="K659" s="5"/>
      <c r="L659" s="6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ht="15.75" customHeight="1">
      <c r="A660" s="1"/>
      <c r="B660" s="2"/>
      <c r="D660" s="3"/>
      <c r="J660" s="4"/>
      <c r="K660" s="5"/>
      <c r="L660" s="6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ht="15.75" customHeight="1">
      <c r="A661" s="1"/>
      <c r="B661" s="2"/>
      <c r="D661" s="3"/>
      <c r="J661" s="4"/>
      <c r="K661" s="5"/>
      <c r="L661" s="6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ht="15.75" customHeight="1">
      <c r="A662" s="1"/>
      <c r="B662" s="2"/>
      <c r="D662" s="3"/>
      <c r="J662" s="4"/>
      <c r="K662" s="5"/>
      <c r="L662" s="6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ht="15.75" customHeight="1">
      <c r="A663" s="1"/>
      <c r="B663" s="2"/>
      <c r="D663" s="3"/>
      <c r="J663" s="4"/>
      <c r="K663" s="5"/>
      <c r="L663" s="6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ht="15.75" customHeight="1">
      <c r="A664" s="1"/>
      <c r="B664" s="2"/>
      <c r="D664" s="3"/>
      <c r="J664" s="4"/>
      <c r="K664" s="5"/>
      <c r="L664" s="6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ht="15.75" customHeight="1">
      <c r="A665" s="1"/>
      <c r="B665" s="2"/>
      <c r="D665" s="3"/>
      <c r="J665" s="4"/>
      <c r="K665" s="5"/>
      <c r="L665" s="6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ht="15.75" customHeight="1">
      <c r="A666" s="1"/>
      <c r="B666" s="2"/>
      <c r="D666" s="3"/>
      <c r="J666" s="4"/>
      <c r="K666" s="5"/>
      <c r="L666" s="6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ht="15.75" customHeight="1">
      <c r="A667" s="1"/>
      <c r="B667" s="2"/>
      <c r="D667" s="3"/>
      <c r="J667" s="4"/>
      <c r="K667" s="5"/>
      <c r="L667" s="6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ht="15.75" customHeight="1">
      <c r="A668" s="1"/>
      <c r="B668" s="2"/>
      <c r="D668" s="3"/>
      <c r="J668" s="4"/>
      <c r="K668" s="5"/>
      <c r="L668" s="6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ht="15.75" customHeight="1">
      <c r="A669" s="1"/>
      <c r="B669" s="2"/>
      <c r="D669" s="3"/>
      <c r="J669" s="4"/>
      <c r="K669" s="5"/>
      <c r="L669" s="6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ht="15.75" customHeight="1">
      <c r="A670" s="1"/>
      <c r="B670" s="2"/>
      <c r="D670" s="3"/>
      <c r="J670" s="4"/>
      <c r="K670" s="5"/>
      <c r="L670" s="6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ht="15.75" customHeight="1">
      <c r="A671" s="1"/>
      <c r="B671" s="2"/>
      <c r="D671" s="3"/>
      <c r="J671" s="4"/>
      <c r="K671" s="5"/>
      <c r="L671" s="6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ht="15.75" customHeight="1">
      <c r="A672" s="1"/>
      <c r="B672" s="2"/>
      <c r="D672" s="3"/>
      <c r="J672" s="4"/>
      <c r="K672" s="5"/>
      <c r="L672" s="6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ht="15.75" customHeight="1">
      <c r="A673" s="1"/>
      <c r="B673" s="2"/>
      <c r="D673" s="3"/>
      <c r="J673" s="4"/>
      <c r="K673" s="5"/>
      <c r="L673" s="6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ht="15.75" customHeight="1">
      <c r="A674" s="1"/>
      <c r="B674" s="2"/>
      <c r="D674" s="3"/>
      <c r="J674" s="4"/>
      <c r="K674" s="5"/>
      <c r="L674" s="6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ht="15.75" customHeight="1">
      <c r="A675" s="1"/>
      <c r="B675" s="2"/>
      <c r="D675" s="3"/>
      <c r="J675" s="4"/>
      <c r="K675" s="5"/>
      <c r="L675" s="6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ht="15.75" customHeight="1">
      <c r="A676" s="1"/>
      <c r="B676" s="2"/>
      <c r="D676" s="3"/>
      <c r="J676" s="4"/>
      <c r="K676" s="5"/>
      <c r="L676" s="6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ht="15.75" customHeight="1">
      <c r="A677" s="1"/>
      <c r="B677" s="2"/>
      <c r="D677" s="3"/>
      <c r="J677" s="4"/>
      <c r="K677" s="5"/>
      <c r="L677" s="6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ht="15.75" customHeight="1">
      <c r="A678" s="1"/>
      <c r="B678" s="2"/>
      <c r="D678" s="3"/>
      <c r="J678" s="4"/>
      <c r="K678" s="5"/>
      <c r="L678" s="6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ht="15.75" customHeight="1">
      <c r="A679" s="1"/>
      <c r="B679" s="2"/>
      <c r="D679" s="3"/>
      <c r="J679" s="4"/>
      <c r="K679" s="5"/>
      <c r="L679" s="6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ht="15.75" customHeight="1">
      <c r="A680" s="1"/>
      <c r="B680" s="2"/>
      <c r="D680" s="3"/>
      <c r="J680" s="4"/>
      <c r="K680" s="5"/>
      <c r="L680" s="6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ht="15.75" customHeight="1">
      <c r="A681" s="1"/>
      <c r="B681" s="2"/>
      <c r="D681" s="3"/>
      <c r="J681" s="4"/>
      <c r="K681" s="5"/>
      <c r="L681" s="6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ht="15.75" customHeight="1">
      <c r="A682" s="1"/>
      <c r="B682" s="2"/>
      <c r="D682" s="3"/>
      <c r="J682" s="4"/>
      <c r="K682" s="5"/>
      <c r="L682" s="6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ht="15.75" customHeight="1">
      <c r="A683" s="1"/>
      <c r="B683" s="2"/>
      <c r="D683" s="3"/>
      <c r="J683" s="4"/>
      <c r="K683" s="5"/>
      <c r="L683" s="6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ht="15.75" customHeight="1">
      <c r="A684" s="1"/>
      <c r="B684" s="2"/>
      <c r="D684" s="3"/>
      <c r="J684" s="4"/>
      <c r="K684" s="5"/>
      <c r="L684" s="6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ht="15.75" customHeight="1">
      <c r="A685" s="1"/>
      <c r="B685" s="2"/>
      <c r="D685" s="3"/>
      <c r="J685" s="4"/>
      <c r="K685" s="5"/>
      <c r="L685" s="6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ht="15.75" customHeight="1">
      <c r="A686" s="1"/>
      <c r="B686" s="2"/>
      <c r="D686" s="3"/>
      <c r="J686" s="4"/>
      <c r="K686" s="5"/>
      <c r="L686" s="6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ht="15.75" customHeight="1">
      <c r="A687" s="1"/>
      <c r="B687" s="2"/>
      <c r="D687" s="3"/>
      <c r="J687" s="4"/>
      <c r="K687" s="5"/>
      <c r="L687" s="6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ht="15.75" customHeight="1">
      <c r="A688" s="1"/>
      <c r="B688" s="2"/>
      <c r="D688" s="3"/>
      <c r="J688" s="4"/>
      <c r="K688" s="5"/>
      <c r="L688" s="6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ht="15.75" customHeight="1">
      <c r="A689" s="1"/>
      <c r="B689" s="2"/>
      <c r="D689" s="3"/>
      <c r="J689" s="4"/>
      <c r="K689" s="5"/>
      <c r="L689" s="6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ht="15.75" customHeight="1">
      <c r="A690" s="1"/>
      <c r="B690" s="2"/>
      <c r="D690" s="3"/>
      <c r="J690" s="4"/>
      <c r="K690" s="5"/>
      <c r="L690" s="6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ht="15.75" customHeight="1">
      <c r="A691" s="1"/>
      <c r="B691" s="2"/>
      <c r="D691" s="3"/>
      <c r="J691" s="4"/>
      <c r="K691" s="5"/>
      <c r="L691" s="6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ht="15.75" customHeight="1">
      <c r="A692" s="1"/>
      <c r="B692" s="2"/>
      <c r="D692" s="3"/>
      <c r="J692" s="4"/>
      <c r="K692" s="5"/>
      <c r="L692" s="6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ht="15.75" customHeight="1">
      <c r="A693" s="1"/>
      <c r="B693" s="2"/>
      <c r="D693" s="3"/>
      <c r="J693" s="4"/>
      <c r="K693" s="5"/>
      <c r="L693" s="6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ht="15.75" customHeight="1">
      <c r="A694" s="1"/>
      <c r="B694" s="2"/>
      <c r="D694" s="3"/>
      <c r="J694" s="4"/>
      <c r="K694" s="5"/>
      <c r="L694" s="6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ht="15.75" customHeight="1">
      <c r="A695" s="1"/>
      <c r="B695" s="2"/>
      <c r="D695" s="3"/>
      <c r="J695" s="4"/>
      <c r="K695" s="5"/>
      <c r="L695" s="6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ht="15.75" customHeight="1">
      <c r="A696" s="1"/>
      <c r="B696" s="2"/>
      <c r="D696" s="3"/>
      <c r="J696" s="4"/>
      <c r="K696" s="5"/>
      <c r="L696" s="6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ht="15.75" customHeight="1">
      <c r="A697" s="1"/>
      <c r="B697" s="2"/>
      <c r="D697" s="3"/>
      <c r="J697" s="4"/>
      <c r="K697" s="5"/>
      <c r="L697" s="6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ht="15.75" customHeight="1">
      <c r="A698" s="1"/>
      <c r="B698" s="2"/>
      <c r="D698" s="3"/>
      <c r="J698" s="4"/>
      <c r="K698" s="5"/>
      <c r="L698" s="6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ht="15.75" customHeight="1">
      <c r="A699" s="1"/>
      <c r="B699" s="2"/>
      <c r="D699" s="3"/>
      <c r="J699" s="4"/>
      <c r="K699" s="5"/>
      <c r="L699" s="6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ht="15.75" customHeight="1">
      <c r="A700" s="1"/>
      <c r="B700" s="2"/>
      <c r="D700" s="3"/>
      <c r="J700" s="4"/>
      <c r="K700" s="5"/>
      <c r="L700" s="6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ht="15.75" customHeight="1">
      <c r="A701" s="1"/>
      <c r="B701" s="2"/>
      <c r="D701" s="3"/>
      <c r="J701" s="4"/>
      <c r="K701" s="5"/>
      <c r="L701" s="6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ht="15.75" customHeight="1">
      <c r="A702" s="1"/>
      <c r="B702" s="2"/>
      <c r="D702" s="3"/>
      <c r="J702" s="4"/>
      <c r="K702" s="5"/>
      <c r="L702" s="6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ht="15.75" customHeight="1">
      <c r="A703" s="1"/>
      <c r="B703" s="2"/>
      <c r="D703" s="3"/>
      <c r="J703" s="4"/>
      <c r="K703" s="5"/>
      <c r="L703" s="6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ht="15.75" customHeight="1">
      <c r="A704" s="1"/>
      <c r="B704" s="2"/>
      <c r="D704" s="3"/>
      <c r="J704" s="4"/>
      <c r="K704" s="5"/>
      <c r="L704" s="6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ht="15.75" customHeight="1">
      <c r="A705" s="1"/>
      <c r="B705" s="2"/>
      <c r="D705" s="3"/>
      <c r="J705" s="4"/>
      <c r="K705" s="5"/>
      <c r="L705" s="6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ht="15.75" customHeight="1">
      <c r="A706" s="1"/>
      <c r="B706" s="2"/>
      <c r="D706" s="3"/>
      <c r="J706" s="4"/>
      <c r="K706" s="5"/>
      <c r="L706" s="6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ht="15.75" customHeight="1">
      <c r="A707" s="1"/>
      <c r="B707" s="2"/>
      <c r="D707" s="3"/>
      <c r="J707" s="4"/>
      <c r="K707" s="5"/>
      <c r="L707" s="6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ht="15.75" customHeight="1">
      <c r="A708" s="1"/>
      <c r="B708" s="2"/>
      <c r="D708" s="3"/>
      <c r="J708" s="4"/>
      <c r="K708" s="5"/>
      <c r="L708" s="6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ht="15.75" customHeight="1">
      <c r="A709" s="1"/>
      <c r="B709" s="2"/>
      <c r="D709" s="3"/>
      <c r="J709" s="4"/>
      <c r="K709" s="5"/>
      <c r="L709" s="6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ht="15.75" customHeight="1">
      <c r="A710" s="1"/>
      <c r="B710" s="2"/>
      <c r="D710" s="3"/>
      <c r="J710" s="4"/>
      <c r="K710" s="5"/>
      <c r="L710" s="6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ht="15.75" customHeight="1">
      <c r="A711" s="1"/>
      <c r="B711" s="2"/>
      <c r="D711" s="3"/>
      <c r="J711" s="4"/>
      <c r="K711" s="5"/>
      <c r="L711" s="6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ht="15.75" customHeight="1">
      <c r="A712" s="1"/>
      <c r="B712" s="2"/>
      <c r="D712" s="3"/>
      <c r="J712" s="4"/>
      <c r="K712" s="5"/>
      <c r="L712" s="6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ht="15.75" customHeight="1">
      <c r="A713" s="1"/>
      <c r="B713" s="2"/>
      <c r="D713" s="3"/>
      <c r="J713" s="4"/>
      <c r="K713" s="5"/>
      <c r="L713" s="6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ht="15.75" customHeight="1">
      <c r="A714" s="1"/>
      <c r="B714" s="2"/>
      <c r="D714" s="3"/>
      <c r="J714" s="4"/>
      <c r="K714" s="5"/>
      <c r="L714" s="6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ht="15.75" customHeight="1">
      <c r="A715" s="1"/>
      <c r="B715" s="2"/>
      <c r="D715" s="3"/>
      <c r="J715" s="4"/>
      <c r="K715" s="5"/>
      <c r="L715" s="6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ht="15.75" customHeight="1">
      <c r="A716" s="1"/>
      <c r="B716" s="2"/>
      <c r="D716" s="3"/>
      <c r="J716" s="4"/>
      <c r="K716" s="5"/>
      <c r="L716" s="6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ht="15.75" customHeight="1">
      <c r="A717" s="1"/>
      <c r="B717" s="2"/>
      <c r="D717" s="3"/>
      <c r="J717" s="4"/>
      <c r="K717" s="5"/>
      <c r="L717" s="6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ht="15.75" customHeight="1">
      <c r="A718" s="1"/>
      <c r="B718" s="2"/>
      <c r="D718" s="3"/>
      <c r="J718" s="4"/>
      <c r="K718" s="5"/>
      <c r="L718" s="6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ht="15.75" customHeight="1">
      <c r="A719" s="1"/>
      <c r="B719" s="2"/>
      <c r="D719" s="3"/>
      <c r="J719" s="4"/>
      <c r="K719" s="5"/>
      <c r="L719" s="6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ht="15.75" customHeight="1">
      <c r="A720" s="1"/>
      <c r="B720" s="2"/>
      <c r="D720" s="3"/>
      <c r="J720" s="4"/>
      <c r="K720" s="5"/>
      <c r="L720" s="6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ht="15.75" customHeight="1">
      <c r="A721" s="1"/>
      <c r="B721" s="2"/>
      <c r="D721" s="3"/>
      <c r="J721" s="4"/>
      <c r="K721" s="5"/>
      <c r="L721" s="6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ht="15.75" customHeight="1">
      <c r="A722" s="1"/>
      <c r="B722" s="2"/>
      <c r="D722" s="3"/>
      <c r="J722" s="4"/>
      <c r="K722" s="5"/>
      <c r="L722" s="6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ht="15.75" customHeight="1">
      <c r="A723" s="1"/>
      <c r="B723" s="2"/>
      <c r="D723" s="3"/>
      <c r="J723" s="4"/>
      <c r="K723" s="5"/>
      <c r="L723" s="6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ht="15.75" customHeight="1">
      <c r="A724" s="1"/>
      <c r="B724" s="2"/>
      <c r="D724" s="3"/>
      <c r="J724" s="4"/>
      <c r="K724" s="5"/>
      <c r="L724" s="6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ht="15.75" customHeight="1">
      <c r="A725" s="1"/>
      <c r="B725" s="2"/>
      <c r="D725" s="3"/>
      <c r="J725" s="4"/>
      <c r="K725" s="5"/>
      <c r="L725" s="6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ht="15.75" customHeight="1">
      <c r="A726" s="1"/>
      <c r="B726" s="2"/>
      <c r="D726" s="3"/>
      <c r="J726" s="4"/>
      <c r="K726" s="5"/>
      <c r="L726" s="6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ht="15.75" customHeight="1">
      <c r="A727" s="1"/>
      <c r="B727" s="2"/>
      <c r="D727" s="3"/>
      <c r="J727" s="4"/>
      <c r="K727" s="5"/>
      <c r="L727" s="6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ht="15.75" customHeight="1">
      <c r="A728" s="1"/>
      <c r="B728" s="2"/>
      <c r="D728" s="3"/>
      <c r="J728" s="4"/>
      <c r="K728" s="5"/>
      <c r="L728" s="6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ht="15.75" customHeight="1">
      <c r="A729" s="1"/>
      <c r="B729" s="2"/>
      <c r="D729" s="3"/>
      <c r="J729" s="4"/>
      <c r="K729" s="5"/>
      <c r="L729" s="6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ht="15.75" customHeight="1">
      <c r="A730" s="1"/>
      <c r="B730" s="2"/>
      <c r="D730" s="3"/>
      <c r="J730" s="4"/>
      <c r="K730" s="5"/>
      <c r="L730" s="6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ht="15.75" customHeight="1">
      <c r="A731" s="1"/>
      <c r="B731" s="2"/>
      <c r="D731" s="3"/>
      <c r="J731" s="4"/>
      <c r="K731" s="5"/>
      <c r="L731" s="6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ht="15.75" customHeight="1">
      <c r="A732" s="1"/>
      <c r="B732" s="2"/>
      <c r="D732" s="3"/>
      <c r="J732" s="4"/>
      <c r="K732" s="5"/>
      <c r="L732" s="6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ht="15.75" customHeight="1">
      <c r="A733" s="1"/>
      <c r="B733" s="2"/>
      <c r="D733" s="3"/>
      <c r="J733" s="4"/>
      <c r="K733" s="5"/>
      <c r="L733" s="6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ht="15.75" customHeight="1">
      <c r="A734" s="1"/>
      <c r="B734" s="2"/>
      <c r="D734" s="3"/>
      <c r="J734" s="4"/>
      <c r="K734" s="5"/>
      <c r="L734" s="6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ht="15.75" customHeight="1">
      <c r="A735" s="1"/>
      <c r="B735" s="2"/>
      <c r="D735" s="3"/>
      <c r="J735" s="4"/>
      <c r="K735" s="5"/>
      <c r="L735" s="6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ht="15.75" customHeight="1">
      <c r="A736" s="1"/>
      <c r="B736" s="2"/>
      <c r="D736" s="3"/>
      <c r="J736" s="4"/>
      <c r="K736" s="5"/>
      <c r="L736" s="6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ht="15.75" customHeight="1">
      <c r="A737" s="1"/>
      <c r="B737" s="2"/>
      <c r="D737" s="3"/>
      <c r="J737" s="4"/>
      <c r="K737" s="5"/>
      <c r="L737" s="6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ht="15.75" customHeight="1">
      <c r="A738" s="1"/>
      <c r="B738" s="2"/>
      <c r="D738" s="3"/>
      <c r="J738" s="4"/>
      <c r="K738" s="5"/>
      <c r="L738" s="6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ht="15.75" customHeight="1">
      <c r="A739" s="1"/>
      <c r="B739" s="2"/>
      <c r="D739" s="3"/>
      <c r="J739" s="4"/>
      <c r="K739" s="5"/>
      <c r="L739" s="6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ht="15.75" customHeight="1">
      <c r="A740" s="1"/>
      <c r="B740" s="2"/>
      <c r="D740" s="3"/>
      <c r="J740" s="4"/>
      <c r="K740" s="5"/>
      <c r="L740" s="6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ht="15.75" customHeight="1">
      <c r="A741" s="1"/>
      <c r="B741" s="2"/>
      <c r="D741" s="3"/>
      <c r="J741" s="4"/>
      <c r="K741" s="5"/>
      <c r="L741" s="6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ht="15.75" customHeight="1">
      <c r="A742" s="1"/>
      <c r="B742" s="2"/>
      <c r="D742" s="3"/>
      <c r="J742" s="4"/>
      <c r="K742" s="5"/>
      <c r="L742" s="6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ht="15.75" customHeight="1">
      <c r="A743" s="1"/>
      <c r="B743" s="2"/>
      <c r="D743" s="3"/>
      <c r="J743" s="4"/>
      <c r="K743" s="5"/>
      <c r="L743" s="6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ht="15.75" customHeight="1">
      <c r="A744" s="1"/>
      <c r="B744" s="2"/>
      <c r="D744" s="3"/>
      <c r="J744" s="4"/>
      <c r="K744" s="5"/>
      <c r="L744" s="6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ht="15.75" customHeight="1">
      <c r="A745" s="1"/>
      <c r="B745" s="2"/>
      <c r="D745" s="3"/>
      <c r="J745" s="4"/>
      <c r="K745" s="5"/>
      <c r="L745" s="6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ht="15.75" customHeight="1">
      <c r="A746" s="1"/>
      <c r="B746" s="2"/>
      <c r="D746" s="3"/>
      <c r="J746" s="4"/>
      <c r="K746" s="5"/>
      <c r="L746" s="6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ht="15.75" customHeight="1">
      <c r="A747" s="1"/>
      <c r="B747" s="2"/>
      <c r="D747" s="3"/>
      <c r="J747" s="4"/>
      <c r="K747" s="5"/>
      <c r="L747" s="6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ht="15.75" customHeight="1">
      <c r="A748" s="1"/>
      <c r="B748" s="2"/>
      <c r="D748" s="3"/>
      <c r="J748" s="4"/>
      <c r="K748" s="5"/>
      <c r="L748" s="6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ht="15.75" customHeight="1">
      <c r="A749" s="1"/>
      <c r="B749" s="2"/>
      <c r="D749" s="3"/>
      <c r="J749" s="4"/>
      <c r="K749" s="5"/>
      <c r="L749" s="6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ht="15.75" customHeight="1">
      <c r="A750" s="1"/>
      <c r="B750" s="2"/>
      <c r="D750" s="3"/>
      <c r="J750" s="4"/>
      <c r="K750" s="5"/>
      <c r="L750" s="6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ht="15.75" customHeight="1">
      <c r="A751" s="1"/>
      <c r="B751" s="2"/>
      <c r="D751" s="3"/>
      <c r="J751" s="4"/>
      <c r="K751" s="5"/>
      <c r="L751" s="6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ht="15.75" customHeight="1">
      <c r="A752" s="1"/>
      <c r="B752" s="2"/>
      <c r="D752" s="3"/>
      <c r="J752" s="4"/>
      <c r="K752" s="5"/>
      <c r="L752" s="6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ht="15.75" customHeight="1">
      <c r="A753" s="1"/>
      <c r="B753" s="2"/>
      <c r="D753" s="3"/>
      <c r="J753" s="4"/>
      <c r="K753" s="5"/>
      <c r="L753" s="6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ht="15.75" customHeight="1">
      <c r="A754" s="1"/>
      <c r="B754" s="2"/>
      <c r="D754" s="3"/>
      <c r="J754" s="4"/>
      <c r="K754" s="5"/>
      <c r="L754" s="6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ht="15.75" customHeight="1">
      <c r="A755" s="1"/>
      <c r="B755" s="2"/>
      <c r="D755" s="3"/>
      <c r="J755" s="4"/>
      <c r="K755" s="5"/>
      <c r="L755" s="6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ht="15.75" customHeight="1">
      <c r="A756" s="1"/>
      <c r="B756" s="2"/>
      <c r="D756" s="3"/>
      <c r="J756" s="4"/>
      <c r="K756" s="5"/>
      <c r="L756" s="6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ht="15.75" customHeight="1">
      <c r="A757" s="1"/>
      <c r="B757" s="2"/>
      <c r="D757" s="3"/>
      <c r="J757" s="4"/>
      <c r="K757" s="5"/>
      <c r="L757" s="6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ht="15.75" customHeight="1">
      <c r="A758" s="1"/>
      <c r="B758" s="2"/>
      <c r="D758" s="3"/>
      <c r="J758" s="4"/>
      <c r="K758" s="5"/>
      <c r="L758" s="6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ht="15.75" customHeight="1">
      <c r="A759" s="1"/>
      <c r="B759" s="2"/>
      <c r="D759" s="3"/>
      <c r="J759" s="4"/>
      <c r="K759" s="5"/>
      <c r="L759" s="6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ht="15.75" customHeight="1">
      <c r="A760" s="1"/>
      <c r="B760" s="2"/>
      <c r="D760" s="3"/>
      <c r="J760" s="4"/>
      <c r="K760" s="5"/>
      <c r="L760" s="6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ht="15.75" customHeight="1">
      <c r="A761" s="1"/>
      <c r="B761" s="2"/>
      <c r="D761" s="3"/>
      <c r="J761" s="4"/>
      <c r="K761" s="5"/>
      <c r="L761" s="6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ht="15.75" customHeight="1">
      <c r="A762" s="1"/>
      <c r="B762" s="2"/>
      <c r="D762" s="3"/>
      <c r="J762" s="4"/>
      <c r="K762" s="5"/>
      <c r="L762" s="6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ht="15.75" customHeight="1">
      <c r="A763" s="1"/>
      <c r="B763" s="2"/>
      <c r="D763" s="3"/>
      <c r="J763" s="4"/>
      <c r="K763" s="5"/>
      <c r="L763" s="6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ht="15.75" customHeight="1">
      <c r="A764" s="1"/>
      <c r="B764" s="2"/>
      <c r="D764" s="3"/>
      <c r="J764" s="4"/>
      <c r="K764" s="5"/>
      <c r="L764" s="6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ht="15.75" customHeight="1">
      <c r="A765" s="1"/>
      <c r="B765" s="2"/>
      <c r="D765" s="3"/>
      <c r="J765" s="4"/>
      <c r="K765" s="5"/>
      <c r="L765" s="6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ht="15.75" customHeight="1">
      <c r="A766" s="1"/>
      <c r="B766" s="2"/>
      <c r="D766" s="3"/>
      <c r="J766" s="4"/>
      <c r="K766" s="5"/>
      <c r="L766" s="6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ht="15.75" customHeight="1">
      <c r="A767" s="1"/>
      <c r="B767" s="2"/>
      <c r="D767" s="3"/>
      <c r="J767" s="4"/>
      <c r="K767" s="5"/>
      <c r="L767" s="6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ht="15.75" customHeight="1">
      <c r="A768" s="1"/>
      <c r="B768" s="2"/>
      <c r="D768" s="3"/>
      <c r="J768" s="4"/>
      <c r="K768" s="5"/>
      <c r="L768" s="6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ht="15.75" customHeight="1">
      <c r="A769" s="1"/>
      <c r="B769" s="2"/>
      <c r="D769" s="3"/>
      <c r="J769" s="4"/>
      <c r="K769" s="5"/>
      <c r="L769" s="6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ht="15.75" customHeight="1">
      <c r="A770" s="1"/>
      <c r="B770" s="2"/>
      <c r="D770" s="3"/>
      <c r="J770" s="4"/>
      <c r="K770" s="5"/>
      <c r="L770" s="6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ht="15.75" customHeight="1">
      <c r="A771" s="1"/>
      <c r="B771" s="2"/>
      <c r="D771" s="3"/>
      <c r="J771" s="4"/>
      <c r="K771" s="5"/>
      <c r="L771" s="6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ht="15.75" customHeight="1">
      <c r="A772" s="1"/>
      <c r="B772" s="2"/>
      <c r="D772" s="3"/>
      <c r="J772" s="4"/>
      <c r="K772" s="5"/>
      <c r="L772" s="6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ht="15.75" customHeight="1">
      <c r="A773" s="1"/>
      <c r="B773" s="2"/>
      <c r="D773" s="3"/>
      <c r="J773" s="4"/>
      <c r="K773" s="5"/>
      <c r="L773" s="6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ht="15.75" customHeight="1">
      <c r="A774" s="1"/>
      <c r="B774" s="2"/>
      <c r="D774" s="3"/>
      <c r="J774" s="4"/>
      <c r="K774" s="5"/>
      <c r="L774" s="6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ht="15.75" customHeight="1">
      <c r="A775" s="1"/>
      <c r="B775" s="2"/>
      <c r="D775" s="3"/>
      <c r="J775" s="4"/>
      <c r="K775" s="5"/>
      <c r="L775" s="6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ht="15.75" customHeight="1">
      <c r="A776" s="1"/>
      <c r="B776" s="2"/>
      <c r="D776" s="3"/>
      <c r="J776" s="4"/>
      <c r="K776" s="5"/>
      <c r="L776" s="6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ht="15.75" customHeight="1">
      <c r="A777" s="1"/>
      <c r="B777" s="2"/>
      <c r="D777" s="3"/>
      <c r="J777" s="4"/>
      <c r="K777" s="5"/>
      <c r="L777" s="6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ht="15.75" customHeight="1">
      <c r="A778" s="1"/>
      <c r="B778" s="2"/>
      <c r="D778" s="3"/>
      <c r="J778" s="4"/>
      <c r="K778" s="5"/>
      <c r="L778" s="6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ht="15.75" customHeight="1">
      <c r="A779" s="1"/>
      <c r="B779" s="2"/>
      <c r="D779" s="3"/>
      <c r="J779" s="4"/>
      <c r="K779" s="5"/>
      <c r="L779" s="6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ht="15.75" customHeight="1">
      <c r="A780" s="1"/>
      <c r="B780" s="2"/>
      <c r="D780" s="3"/>
      <c r="J780" s="4"/>
      <c r="K780" s="5"/>
      <c r="L780" s="6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ht="15.75" customHeight="1">
      <c r="A781" s="1"/>
      <c r="B781" s="2"/>
      <c r="D781" s="3"/>
      <c r="J781" s="4"/>
      <c r="K781" s="5"/>
      <c r="L781" s="6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ht="15.75" customHeight="1">
      <c r="A782" s="1"/>
      <c r="B782" s="2"/>
      <c r="D782" s="3"/>
      <c r="J782" s="4"/>
      <c r="K782" s="5"/>
      <c r="L782" s="6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ht="15.75" customHeight="1">
      <c r="A783" s="1"/>
      <c r="B783" s="2"/>
      <c r="D783" s="3"/>
      <c r="J783" s="4"/>
      <c r="K783" s="5"/>
      <c r="L783" s="6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ht="15.75" customHeight="1">
      <c r="A784" s="1"/>
      <c r="B784" s="2"/>
      <c r="D784" s="3"/>
      <c r="J784" s="4"/>
      <c r="K784" s="5"/>
      <c r="L784" s="6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ht="15.75" customHeight="1">
      <c r="A785" s="1"/>
      <c r="B785" s="2"/>
      <c r="D785" s="3"/>
      <c r="J785" s="4"/>
      <c r="K785" s="5"/>
      <c r="L785" s="6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ht="15.75" customHeight="1">
      <c r="A786" s="1"/>
      <c r="B786" s="2"/>
      <c r="D786" s="3"/>
      <c r="J786" s="4"/>
      <c r="K786" s="5"/>
      <c r="L786" s="6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ht="15.75" customHeight="1">
      <c r="A787" s="1"/>
      <c r="B787" s="2"/>
      <c r="D787" s="3"/>
      <c r="J787" s="4"/>
      <c r="K787" s="5"/>
      <c r="L787" s="6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ht="15.75" customHeight="1">
      <c r="A788" s="1"/>
      <c r="B788" s="2"/>
      <c r="D788" s="3"/>
      <c r="J788" s="4"/>
      <c r="K788" s="5"/>
      <c r="L788" s="6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ht="15.75" customHeight="1">
      <c r="A789" s="1"/>
      <c r="B789" s="2"/>
      <c r="D789" s="3"/>
      <c r="J789" s="4"/>
      <c r="K789" s="5"/>
      <c r="L789" s="6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ht="15.75" customHeight="1">
      <c r="A790" s="1"/>
      <c r="B790" s="2"/>
      <c r="D790" s="3"/>
      <c r="J790" s="4"/>
      <c r="K790" s="5"/>
      <c r="L790" s="6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ht="15.75" customHeight="1">
      <c r="A791" s="1"/>
      <c r="B791" s="2"/>
      <c r="D791" s="3"/>
      <c r="J791" s="4"/>
      <c r="K791" s="5"/>
      <c r="L791" s="6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ht="15.75" customHeight="1">
      <c r="A792" s="1"/>
      <c r="B792" s="2"/>
      <c r="D792" s="3"/>
      <c r="J792" s="4"/>
      <c r="K792" s="5"/>
      <c r="L792" s="6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ht="15.75" customHeight="1">
      <c r="A793" s="1"/>
      <c r="B793" s="2"/>
      <c r="D793" s="3"/>
      <c r="J793" s="4"/>
      <c r="K793" s="5"/>
      <c r="L793" s="6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ht="15.75" customHeight="1">
      <c r="A794" s="1"/>
      <c r="B794" s="2"/>
      <c r="D794" s="3"/>
      <c r="J794" s="4"/>
      <c r="K794" s="5"/>
      <c r="L794" s="6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ht="15.75" customHeight="1">
      <c r="A795" s="1"/>
      <c r="B795" s="2"/>
      <c r="D795" s="3"/>
      <c r="J795" s="4"/>
      <c r="K795" s="5"/>
      <c r="L795" s="6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ht="15.75" customHeight="1">
      <c r="A796" s="1"/>
      <c r="B796" s="2"/>
      <c r="D796" s="3"/>
      <c r="J796" s="4"/>
      <c r="K796" s="5"/>
      <c r="L796" s="6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ht="15.75" customHeight="1">
      <c r="A797" s="1"/>
      <c r="B797" s="2"/>
      <c r="D797" s="3"/>
      <c r="J797" s="4"/>
      <c r="K797" s="5"/>
      <c r="L797" s="6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ht="15.75" customHeight="1">
      <c r="A798" s="1"/>
      <c r="B798" s="2"/>
      <c r="D798" s="3"/>
      <c r="J798" s="4"/>
      <c r="K798" s="5"/>
      <c r="L798" s="6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ht="15.75" customHeight="1">
      <c r="A799" s="1"/>
      <c r="B799" s="2"/>
      <c r="D799" s="3"/>
      <c r="J799" s="4"/>
      <c r="K799" s="5"/>
      <c r="L799" s="6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ht="15.75" customHeight="1">
      <c r="A800" s="1"/>
      <c r="B800" s="2"/>
      <c r="D800" s="3"/>
      <c r="J800" s="4"/>
      <c r="K800" s="5"/>
      <c r="L800" s="6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ht="15.75" customHeight="1">
      <c r="A801" s="1"/>
      <c r="B801" s="2"/>
      <c r="D801" s="3"/>
      <c r="J801" s="4"/>
      <c r="K801" s="5"/>
      <c r="L801" s="6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ht="15.75" customHeight="1">
      <c r="A802" s="1"/>
      <c r="B802" s="2"/>
      <c r="D802" s="3"/>
      <c r="J802" s="4"/>
      <c r="K802" s="5"/>
      <c r="L802" s="6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ht="15.75" customHeight="1">
      <c r="A803" s="1"/>
      <c r="B803" s="2"/>
      <c r="D803" s="3"/>
      <c r="J803" s="4"/>
      <c r="K803" s="5"/>
      <c r="L803" s="6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ht="15.75" customHeight="1">
      <c r="A804" s="1"/>
      <c r="B804" s="2"/>
      <c r="D804" s="3"/>
      <c r="J804" s="4"/>
      <c r="K804" s="5"/>
      <c r="L804" s="6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ht="15.75" customHeight="1">
      <c r="A805" s="1"/>
      <c r="B805" s="2"/>
      <c r="D805" s="3"/>
      <c r="J805" s="4"/>
      <c r="K805" s="5"/>
      <c r="L805" s="6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ht="15.75" customHeight="1">
      <c r="A806" s="1"/>
      <c r="B806" s="2"/>
      <c r="D806" s="3"/>
      <c r="J806" s="4"/>
      <c r="K806" s="5"/>
      <c r="L806" s="6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ht="15.75" customHeight="1">
      <c r="A807" s="1"/>
      <c r="B807" s="2"/>
      <c r="D807" s="3"/>
      <c r="J807" s="4"/>
      <c r="K807" s="5"/>
      <c r="L807" s="6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ht="15.75" customHeight="1">
      <c r="A808" s="1"/>
      <c r="B808" s="2"/>
      <c r="D808" s="3"/>
      <c r="J808" s="4"/>
      <c r="K808" s="5"/>
      <c r="L808" s="6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ht="15.75" customHeight="1">
      <c r="A809" s="1"/>
      <c r="B809" s="2"/>
      <c r="D809" s="3"/>
      <c r="J809" s="4"/>
      <c r="K809" s="5"/>
      <c r="L809" s="6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ht="15.75" customHeight="1">
      <c r="A810" s="1"/>
      <c r="B810" s="2"/>
      <c r="D810" s="3"/>
      <c r="J810" s="4"/>
      <c r="K810" s="5"/>
      <c r="L810" s="6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ht="15.75" customHeight="1">
      <c r="A811" s="1"/>
      <c r="B811" s="2"/>
      <c r="D811" s="3"/>
      <c r="J811" s="4"/>
      <c r="K811" s="5"/>
      <c r="L811" s="6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ht="15.75" customHeight="1">
      <c r="A812" s="1"/>
      <c r="B812" s="2"/>
      <c r="D812" s="3"/>
      <c r="J812" s="4"/>
      <c r="K812" s="5"/>
      <c r="L812" s="6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ht="15.75" customHeight="1">
      <c r="A813" s="1"/>
      <c r="B813" s="2"/>
      <c r="D813" s="3"/>
      <c r="J813" s="4"/>
      <c r="K813" s="5"/>
      <c r="L813" s="6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ht="15.75" customHeight="1">
      <c r="A814" s="1"/>
      <c r="B814" s="2"/>
      <c r="D814" s="3"/>
      <c r="J814" s="4"/>
      <c r="K814" s="5"/>
      <c r="L814" s="6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ht="15.75" customHeight="1">
      <c r="A815" s="1"/>
      <c r="B815" s="2"/>
      <c r="D815" s="3"/>
      <c r="J815" s="4"/>
      <c r="K815" s="5"/>
      <c r="L815" s="6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ht="15.75" customHeight="1">
      <c r="A816" s="1"/>
      <c r="B816" s="2"/>
      <c r="D816" s="3"/>
      <c r="J816" s="4"/>
      <c r="K816" s="5"/>
      <c r="L816" s="6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ht="15.75" customHeight="1">
      <c r="A817" s="1"/>
      <c r="B817" s="2"/>
      <c r="D817" s="3"/>
      <c r="J817" s="4"/>
      <c r="K817" s="5"/>
      <c r="L817" s="6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ht="15.75" customHeight="1">
      <c r="A818" s="1"/>
      <c r="B818" s="2"/>
      <c r="D818" s="3"/>
      <c r="J818" s="4"/>
      <c r="K818" s="5"/>
      <c r="L818" s="6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ht="15.75" customHeight="1">
      <c r="A819" s="1"/>
      <c r="B819" s="2"/>
      <c r="D819" s="3"/>
      <c r="J819" s="4"/>
      <c r="K819" s="5"/>
      <c r="L819" s="6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ht="15.75" customHeight="1">
      <c r="A820" s="1"/>
      <c r="B820" s="2"/>
      <c r="D820" s="3"/>
      <c r="J820" s="4"/>
      <c r="K820" s="5"/>
      <c r="L820" s="6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ht="15.75" customHeight="1">
      <c r="A821" s="1"/>
      <c r="B821" s="2"/>
      <c r="D821" s="3"/>
      <c r="J821" s="4"/>
      <c r="K821" s="5"/>
      <c r="L821" s="6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ht="15.75" customHeight="1">
      <c r="A822" s="1"/>
      <c r="B822" s="2"/>
      <c r="D822" s="3"/>
      <c r="J822" s="4"/>
      <c r="K822" s="5"/>
      <c r="L822" s="6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ht="15.75" customHeight="1">
      <c r="A823" s="1"/>
      <c r="B823" s="2"/>
      <c r="D823" s="3"/>
      <c r="J823" s="4"/>
      <c r="K823" s="5"/>
      <c r="L823" s="6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ht="15.75" customHeight="1">
      <c r="A824" s="1"/>
      <c r="B824" s="2"/>
      <c r="D824" s="3"/>
      <c r="J824" s="4"/>
      <c r="K824" s="5"/>
      <c r="L824" s="6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ht="15.75" customHeight="1">
      <c r="A825" s="1"/>
      <c r="B825" s="2"/>
      <c r="D825" s="3"/>
      <c r="J825" s="4"/>
      <c r="K825" s="5"/>
      <c r="L825" s="6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ht="15.75" customHeight="1">
      <c r="A826" s="1"/>
      <c r="B826" s="2"/>
      <c r="D826" s="3"/>
      <c r="J826" s="4"/>
      <c r="K826" s="5"/>
      <c r="L826" s="6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ht="15.75" customHeight="1">
      <c r="A827" s="1"/>
      <c r="B827" s="2"/>
      <c r="D827" s="3"/>
      <c r="J827" s="4"/>
      <c r="K827" s="5"/>
      <c r="L827" s="6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ht="15.75" customHeight="1">
      <c r="A828" s="1"/>
      <c r="B828" s="2"/>
      <c r="D828" s="3"/>
      <c r="J828" s="4"/>
      <c r="K828" s="5"/>
      <c r="L828" s="6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ht="15.75" customHeight="1">
      <c r="A829" s="1"/>
      <c r="B829" s="2"/>
      <c r="D829" s="3"/>
      <c r="J829" s="4"/>
      <c r="K829" s="5"/>
      <c r="L829" s="6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ht="15.75" customHeight="1">
      <c r="A830" s="1"/>
      <c r="B830" s="2"/>
      <c r="D830" s="3"/>
      <c r="J830" s="4"/>
      <c r="K830" s="5"/>
      <c r="L830" s="6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ht="15.75" customHeight="1">
      <c r="A831" s="1"/>
      <c r="B831" s="2"/>
      <c r="D831" s="3"/>
      <c r="J831" s="4"/>
      <c r="K831" s="5"/>
      <c r="L831" s="6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ht="15.75" customHeight="1">
      <c r="A832" s="1"/>
      <c r="B832" s="2"/>
      <c r="D832" s="3"/>
      <c r="J832" s="4"/>
      <c r="K832" s="5"/>
      <c r="L832" s="6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ht="15.75" customHeight="1">
      <c r="A833" s="1"/>
      <c r="B833" s="2"/>
      <c r="D833" s="3"/>
      <c r="J833" s="4"/>
      <c r="K833" s="5"/>
      <c r="L833" s="6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ht="15.75" customHeight="1">
      <c r="A834" s="1"/>
      <c r="B834" s="2"/>
      <c r="D834" s="3"/>
      <c r="J834" s="4"/>
      <c r="K834" s="5"/>
      <c r="L834" s="6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ht="15.75" customHeight="1">
      <c r="A835" s="1"/>
      <c r="B835" s="2"/>
      <c r="D835" s="3"/>
      <c r="J835" s="4"/>
      <c r="K835" s="5"/>
      <c r="L835" s="6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ht="15.75" customHeight="1">
      <c r="A836" s="1"/>
      <c r="B836" s="2"/>
      <c r="D836" s="3"/>
      <c r="J836" s="4"/>
      <c r="K836" s="5"/>
      <c r="L836" s="6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ht="15.75" customHeight="1">
      <c r="A837" s="1"/>
      <c r="B837" s="2"/>
      <c r="D837" s="3"/>
      <c r="J837" s="4"/>
      <c r="K837" s="5"/>
      <c r="L837" s="6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ht="15.75" customHeight="1">
      <c r="A838" s="1"/>
      <c r="B838" s="2"/>
      <c r="D838" s="3"/>
      <c r="J838" s="4"/>
      <c r="K838" s="5"/>
      <c r="L838" s="6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ht="15.75" customHeight="1">
      <c r="A839" s="1"/>
      <c r="B839" s="2"/>
      <c r="D839" s="3"/>
      <c r="J839" s="4"/>
      <c r="K839" s="5"/>
      <c r="L839" s="6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ht="15.75" customHeight="1">
      <c r="A840" s="1"/>
      <c r="B840" s="2"/>
      <c r="D840" s="3"/>
      <c r="J840" s="4"/>
      <c r="K840" s="5"/>
      <c r="L840" s="6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ht="15.75" customHeight="1">
      <c r="A841" s="1"/>
      <c r="B841" s="2"/>
      <c r="D841" s="3"/>
      <c r="J841" s="4"/>
      <c r="K841" s="5"/>
      <c r="L841" s="6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ht="15.75" customHeight="1">
      <c r="A842" s="1"/>
      <c r="B842" s="2"/>
      <c r="D842" s="3"/>
      <c r="J842" s="4"/>
      <c r="K842" s="5"/>
      <c r="L842" s="6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ht="15.75" customHeight="1">
      <c r="A843" s="1"/>
      <c r="B843" s="2"/>
      <c r="D843" s="3"/>
      <c r="J843" s="4"/>
      <c r="K843" s="5"/>
      <c r="L843" s="6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ht="15.75" customHeight="1">
      <c r="A844" s="1"/>
      <c r="B844" s="2"/>
      <c r="D844" s="3"/>
      <c r="J844" s="4"/>
      <c r="K844" s="5"/>
      <c r="L844" s="6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ht="15.75" customHeight="1">
      <c r="A845" s="1"/>
      <c r="B845" s="2"/>
      <c r="D845" s="3"/>
      <c r="J845" s="4"/>
      <c r="K845" s="5"/>
      <c r="L845" s="6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ht="15.75" customHeight="1">
      <c r="A846" s="1"/>
      <c r="B846" s="2"/>
      <c r="D846" s="3"/>
      <c r="J846" s="4"/>
      <c r="K846" s="5"/>
      <c r="L846" s="6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ht="15.75" customHeight="1">
      <c r="A847" s="1"/>
      <c r="B847" s="2"/>
      <c r="D847" s="3"/>
      <c r="J847" s="4"/>
      <c r="K847" s="5"/>
      <c r="L847" s="6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ht="15.75" customHeight="1">
      <c r="A848" s="1"/>
      <c r="B848" s="2"/>
      <c r="D848" s="3"/>
      <c r="J848" s="4"/>
      <c r="K848" s="5"/>
      <c r="L848" s="6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ht="15.75" customHeight="1">
      <c r="A849" s="1"/>
      <c r="B849" s="2"/>
      <c r="D849" s="3"/>
      <c r="J849" s="4"/>
      <c r="K849" s="5"/>
      <c r="L849" s="6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ht="15.75" customHeight="1">
      <c r="A850" s="1"/>
      <c r="B850" s="2"/>
      <c r="D850" s="3"/>
      <c r="J850" s="4"/>
      <c r="K850" s="5"/>
      <c r="L850" s="6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ht="15.75" customHeight="1">
      <c r="A851" s="1"/>
      <c r="B851" s="2"/>
      <c r="D851" s="3"/>
      <c r="J851" s="4"/>
      <c r="K851" s="5"/>
      <c r="L851" s="6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ht="15.75" customHeight="1">
      <c r="A852" s="1"/>
      <c r="B852" s="2"/>
      <c r="D852" s="3"/>
      <c r="J852" s="4"/>
      <c r="K852" s="5"/>
      <c r="L852" s="6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ht="15.75" customHeight="1">
      <c r="A853" s="1"/>
      <c r="B853" s="2"/>
      <c r="D853" s="3"/>
      <c r="J853" s="4"/>
      <c r="K853" s="5"/>
      <c r="L853" s="6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ht="15.75" customHeight="1">
      <c r="A854" s="1"/>
      <c r="B854" s="2"/>
      <c r="D854" s="3"/>
      <c r="J854" s="4"/>
      <c r="K854" s="5"/>
      <c r="L854" s="6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ht="15.75" customHeight="1">
      <c r="A855" s="1"/>
      <c r="B855" s="2"/>
      <c r="D855" s="3"/>
      <c r="J855" s="4"/>
      <c r="K855" s="5"/>
      <c r="L855" s="6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ht="15.75" customHeight="1">
      <c r="A856" s="1"/>
      <c r="B856" s="2"/>
      <c r="D856" s="3"/>
      <c r="J856" s="4"/>
      <c r="K856" s="5"/>
      <c r="L856" s="6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ht="15.75" customHeight="1">
      <c r="A857" s="1"/>
      <c r="B857" s="2"/>
      <c r="D857" s="3"/>
      <c r="J857" s="4"/>
      <c r="K857" s="5"/>
      <c r="L857" s="6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ht="15.75" customHeight="1">
      <c r="A858" s="1"/>
      <c r="B858" s="2"/>
      <c r="D858" s="3"/>
      <c r="J858" s="4"/>
      <c r="K858" s="5"/>
      <c r="L858" s="6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ht="15.75" customHeight="1">
      <c r="A859" s="1"/>
      <c r="B859" s="2"/>
      <c r="D859" s="3"/>
      <c r="J859" s="4"/>
      <c r="K859" s="5"/>
      <c r="L859" s="6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ht="15.75" customHeight="1">
      <c r="A860" s="1"/>
      <c r="B860" s="2"/>
      <c r="D860" s="3"/>
      <c r="J860" s="4"/>
      <c r="K860" s="5"/>
      <c r="L860" s="6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ht="15.75" customHeight="1">
      <c r="A861" s="1"/>
      <c r="B861" s="2"/>
      <c r="D861" s="3"/>
      <c r="J861" s="4"/>
      <c r="K861" s="5"/>
      <c r="L861" s="6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ht="15.75" customHeight="1">
      <c r="A862" s="1"/>
      <c r="B862" s="2"/>
      <c r="D862" s="3"/>
      <c r="J862" s="4"/>
      <c r="K862" s="5"/>
      <c r="L862" s="6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ht="15.75" customHeight="1">
      <c r="A863" s="1"/>
      <c r="B863" s="2"/>
      <c r="D863" s="3"/>
      <c r="J863" s="4"/>
      <c r="K863" s="5"/>
      <c r="L863" s="6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ht="15.75" customHeight="1">
      <c r="A864" s="1"/>
      <c r="B864" s="2"/>
      <c r="D864" s="3"/>
      <c r="J864" s="4"/>
      <c r="K864" s="5"/>
      <c r="L864" s="6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ht="15.75" customHeight="1">
      <c r="A865" s="1"/>
      <c r="B865" s="2"/>
      <c r="D865" s="3"/>
      <c r="J865" s="4"/>
      <c r="K865" s="5"/>
      <c r="L865" s="6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ht="15.75" customHeight="1">
      <c r="A866" s="1"/>
      <c r="B866" s="2"/>
      <c r="D866" s="3"/>
      <c r="J866" s="4"/>
      <c r="K866" s="5"/>
      <c r="L866" s="6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ht="15.75" customHeight="1">
      <c r="A867" s="1"/>
      <c r="B867" s="2"/>
      <c r="D867" s="3"/>
      <c r="J867" s="4"/>
      <c r="K867" s="5"/>
      <c r="L867" s="6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ht="15.75" customHeight="1">
      <c r="A868" s="1"/>
      <c r="B868" s="2"/>
      <c r="D868" s="3"/>
      <c r="J868" s="4"/>
      <c r="K868" s="5"/>
      <c r="L868" s="6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ht="15.75" customHeight="1">
      <c r="A869" s="1"/>
      <c r="B869" s="2"/>
      <c r="D869" s="3"/>
      <c r="J869" s="4"/>
      <c r="K869" s="5"/>
      <c r="L869" s="6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ht="15.75" customHeight="1">
      <c r="A870" s="1"/>
      <c r="B870" s="2"/>
      <c r="D870" s="3"/>
      <c r="J870" s="4"/>
      <c r="K870" s="5"/>
      <c r="L870" s="6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ht="15.75" customHeight="1">
      <c r="A871" s="1"/>
      <c r="B871" s="2"/>
      <c r="D871" s="3"/>
      <c r="J871" s="4"/>
      <c r="K871" s="5"/>
      <c r="L871" s="6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ht="15.75" customHeight="1">
      <c r="A872" s="1"/>
      <c r="B872" s="2"/>
      <c r="D872" s="3"/>
      <c r="J872" s="4"/>
      <c r="K872" s="5"/>
      <c r="L872" s="6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ht="15.75" customHeight="1">
      <c r="A873" s="1"/>
      <c r="B873" s="2"/>
      <c r="D873" s="3"/>
      <c r="J873" s="4"/>
      <c r="K873" s="5"/>
      <c r="L873" s="6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ht="15.75" customHeight="1">
      <c r="A874" s="1"/>
      <c r="B874" s="2"/>
      <c r="D874" s="3"/>
      <c r="J874" s="4"/>
      <c r="K874" s="5"/>
      <c r="L874" s="6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ht="15.75" customHeight="1">
      <c r="A875" s="1"/>
      <c r="B875" s="2"/>
      <c r="D875" s="3"/>
      <c r="J875" s="4"/>
      <c r="K875" s="5"/>
      <c r="L875" s="6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ht="15.75" customHeight="1">
      <c r="A876" s="1"/>
      <c r="B876" s="2"/>
      <c r="D876" s="3"/>
      <c r="J876" s="4"/>
      <c r="K876" s="5"/>
      <c r="L876" s="6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ht="15.75" customHeight="1">
      <c r="A877" s="1"/>
      <c r="B877" s="2"/>
      <c r="D877" s="3"/>
      <c r="J877" s="4"/>
      <c r="K877" s="5"/>
      <c r="L877" s="6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ht="15.75" customHeight="1">
      <c r="A878" s="1"/>
      <c r="B878" s="2"/>
      <c r="D878" s="3"/>
      <c r="J878" s="4"/>
      <c r="K878" s="5"/>
      <c r="L878" s="6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ht="15.75" customHeight="1">
      <c r="A879" s="1"/>
      <c r="B879" s="2"/>
      <c r="D879" s="3"/>
      <c r="J879" s="4"/>
      <c r="K879" s="5"/>
      <c r="L879" s="6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ht="15.75" customHeight="1">
      <c r="A880" s="1"/>
      <c r="B880" s="2"/>
      <c r="D880" s="3"/>
      <c r="J880" s="4"/>
      <c r="K880" s="5"/>
      <c r="L880" s="6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ht="15.75" customHeight="1">
      <c r="A881" s="1"/>
      <c r="B881" s="2"/>
      <c r="D881" s="3"/>
      <c r="J881" s="4"/>
      <c r="K881" s="5"/>
      <c r="L881" s="6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ht="15.75" customHeight="1">
      <c r="A882" s="1"/>
      <c r="B882" s="2"/>
      <c r="D882" s="3"/>
      <c r="J882" s="4"/>
      <c r="K882" s="5"/>
      <c r="L882" s="6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ht="15.75" customHeight="1">
      <c r="A883" s="1"/>
      <c r="B883" s="2"/>
      <c r="D883" s="3"/>
      <c r="J883" s="4"/>
      <c r="K883" s="5"/>
      <c r="L883" s="6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ht="15.75" customHeight="1">
      <c r="A884" s="1"/>
      <c r="B884" s="2"/>
      <c r="D884" s="3"/>
      <c r="J884" s="4"/>
      <c r="K884" s="5"/>
      <c r="L884" s="6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ht="15.75" customHeight="1">
      <c r="A885" s="1"/>
      <c r="B885" s="2"/>
      <c r="D885" s="3"/>
      <c r="J885" s="4"/>
      <c r="K885" s="5"/>
      <c r="L885" s="6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ht="15.75" customHeight="1">
      <c r="A886" s="1"/>
      <c r="B886" s="2"/>
      <c r="D886" s="3"/>
      <c r="J886" s="4"/>
      <c r="K886" s="5"/>
      <c r="L886" s="6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ht="15.75" customHeight="1">
      <c r="A887" s="1"/>
      <c r="B887" s="2"/>
      <c r="D887" s="3"/>
      <c r="J887" s="4"/>
      <c r="K887" s="5"/>
      <c r="L887" s="6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ht="15.75" customHeight="1">
      <c r="A888" s="1"/>
      <c r="B888" s="2"/>
      <c r="D888" s="3"/>
      <c r="J888" s="4"/>
      <c r="K888" s="5"/>
      <c r="L888" s="6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ht="15.75" customHeight="1">
      <c r="A889" s="1"/>
      <c r="B889" s="2"/>
      <c r="D889" s="3"/>
      <c r="J889" s="4"/>
      <c r="K889" s="5"/>
      <c r="L889" s="6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ht="15.75" customHeight="1">
      <c r="A890" s="1"/>
      <c r="B890" s="2"/>
      <c r="D890" s="3"/>
      <c r="J890" s="4"/>
      <c r="K890" s="5"/>
      <c r="L890" s="6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ht="15.75" customHeight="1">
      <c r="A891" s="1"/>
      <c r="B891" s="2"/>
      <c r="D891" s="3"/>
      <c r="J891" s="4"/>
      <c r="K891" s="5"/>
      <c r="L891" s="6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ht="15.75" customHeight="1">
      <c r="A892" s="1"/>
      <c r="B892" s="2"/>
      <c r="D892" s="3"/>
      <c r="J892" s="4"/>
      <c r="K892" s="5"/>
      <c r="L892" s="6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ht="15.75" customHeight="1">
      <c r="A893" s="1"/>
      <c r="B893" s="2"/>
      <c r="D893" s="3"/>
      <c r="J893" s="4"/>
      <c r="K893" s="5"/>
      <c r="L893" s="6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ht="15.75" customHeight="1">
      <c r="A894" s="1"/>
      <c r="B894" s="2"/>
      <c r="D894" s="3"/>
      <c r="J894" s="4"/>
      <c r="K894" s="5"/>
      <c r="L894" s="6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ht="15.75" customHeight="1">
      <c r="A895" s="1"/>
      <c r="B895" s="2"/>
      <c r="D895" s="3"/>
      <c r="J895" s="4"/>
      <c r="K895" s="5"/>
      <c r="L895" s="6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ht="15.75" customHeight="1">
      <c r="A896" s="1"/>
      <c r="B896" s="2"/>
      <c r="D896" s="3"/>
      <c r="J896" s="4"/>
      <c r="K896" s="5"/>
      <c r="L896" s="6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ht="15.75" customHeight="1">
      <c r="A897" s="1"/>
      <c r="B897" s="2"/>
      <c r="D897" s="3"/>
      <c r="J897" s="4"/>
      <c r="K897" s="5"/>
      <c r="L897" s="6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ht="15.75" customHeight="1">
      <c r="A898" s="1"/>
      <c r="B898" s="2"/>
      <c r="D898" s="3"/>
      <c r="J898" s="4"/>
      <c r="K898" s="5"/>
      <c r="L898" s="6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ht="15.75" customHeight="1">
      <c r="A899" s="1"/>
      <c r="B899" s="2"/>
      <c r="D899" s="3"/>
      <c r="J899" s="4"/>
      <c r="K899" s="5"/>
      <c r="L899" s="6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ht="15.75" customHeight="1">
      <c r="A900" s="1"/>
      <c r="B900" s="2"/>
      <c r="D900" s="3"/>
      <c r="J900" s="4"/>
      <c r="K900" s="5"/>
      <c r="L900" s="6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ht="15.75" customHeight="1">
      <c r="A901" s="1"/>
      <c r="B901" s="2"/>
      <c r="D901" s="3"/>
      <c r="J901" s="4"/>
      <c r="K901" s="5"/>
      <c r="L901" s="6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ht="15.75" customHeight="1">
      <c r="A902" s="1"/>
      <c r="B902" s="2"/>
      <c r="D902" s="3"/>
      <c r="J902" s="4"/>
      <c r="K902" s="5"/>
      <c r="L902" s="6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ht="15.75" customHeight="1">
      <c r="A903" s="1"/>
      <c r="B903" s="2"/>
      <c r="D903" s="3"/>
      <c r="J903" s="4"/>
      <c r="K903" s="5"/>
      <c r="L903" s="6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ht="15.75" customHeight="1">
      <c r="A904" s="1"/>
      <c r="B904" s="2"/>
      <c r="D904" s="3"/>
      <c r="J904" s="4"/>
      <c r="K904" s="5"/>
      <c r="L904" s="6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ht="15.75" customHeight="1">
      <c r="A905" s="1"/>
      <c r="B905" s="2"/>
      <c r="D905" s="3"/>
      <c r="J905" s="4"/>
      <c r="K905" s="5"/>
      <c r="L905" s="6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ht="15.75" customHeight="1">
      <c r="A906" s="1"/>
      <c r="B906" s="2"/>
      <c r="D906" s="3"/>
      <c r="J906" s="4"/>
      <c r="K906" s="5"/>
      <c r="L906" s="6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ht="15.75" customHeight="1">
      <c r="A907" s="1"/>
      <c r="B907" s="2"/>
      <c r="D907" s="3"/>
      <c r="J907" s="4"/>
      <c r="K907" s="5"/>
      <c r="L907" s="6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ht="15.75" customHeight="1">
      <c r="A908" s="1"/>
      <c r="B908" s="2"/>
      <c r="D908" s="3"/>
      <c r="J908" s="4"/>
      <c r="K908" s="5"/>
      <c r="L908" s="6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ht="15.75" customHeight="1">
      <c r="A909" s="1"/>
      <c r="B909" s="2"/>
      <c r="D909" s="3"/>
      <c r="J909" s="4"/>
      <c r="K909" s="5"/>
      <c r="L909" s="6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ht="15.75" customHeight="1">
      <c r="A910" s="1"/>
      <c r="B910" s="2"/>
      <c r="D910" s="3"/>
      <c r="J910" s="4"/>
      <c r="K910" s="5"/>
      <c r="L910" s="6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ht="15.75" customHeight="1">
      <c r="A911" s="1"/>
      <c r="B911" s="2"/>
      <c r="D911" s="3"/>
      <c r="J911" s="4"/>
      <c r="K911" s="5"/>
      <c r="L911" s="6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ht="15.75" customHeight="1">
      <c r="A912" s="1"/>
      <c r="B912" s="2"/>
      <c r="D912" s="3"/>
      <c r="J912" s="4"/>
      <c r="K912" s="5"/>
      <c r="L912" s="6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ht="15.75" customHeight="1">
      <c r="A913" s="1"/>
      <c r="B913" s="2"/>
      <c r="D913" s="3"/>
      <c r="J913" s="4"/>
      <c r="K913" s="5"/>
      <c r="L913" s="6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ht="15.75" customHeight="1">
      <c r="A914" s="1"/>
      <c r="B914" s="2"/>
      <c r="D914" s="3"/>
      <c r="J914" s="4"/>
      <c r="K914" s="5"/>
      <c r="L914" s="6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ht="15.75" customHeight="1">
      <c r="A915" s="1"/>
      <c r="B915" s="2"/>
      <c r="D915" s="3"/>
      <c r="J915" s="4"/>
      <c r="K915" s="5"/>
      <c r="L915" s="6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ht="15.75" customHeight="1">
      <c r="A916" s="1"/>
      <c r="B916" s="2"/>
      <c r="D916" s="3"/>
      <c r="J916" s="4"/>
      <c r="K916" s="5"/>
      <c r="L916" s="6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ht="15.75" customHeight="1">
      <c r="A917" s="1"/>
      <c r="B917" s="2"/>
      <c r="D917" s="3"/>
      <c r="J917" s="4"/>
      <c r="K917" s="5"/>
      <c r="L917" s="6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ht="15.75" customHeight="1">
      <c r="A918" s="1"/>
      <c r="B918" s="2"/>
      <c r="D918" s="3"/>
      <c r="J918" s="4"/>
      <c r="K918" s="5"/>
      <c r="L918" s="6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ht="15.75" customHeight="1">
      <c r="A919" s="1"/>
      <c r="B919" s="2"/>
      <c r="D919" s="3"/>
      <c r="J919" s="4"/>
      <c r="K919" s="5"/>
      <c r="L919" s="6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ht="15.75" customHeight="1">
      <c r="A920" s="1"/>
      <c r="B920" s="2"/>
      <c r="D920" s="3"/>
      <c r="J920" s="4"/>
      <c r="K920" s="5"/>
      <c r="L920" s="6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ht="15.75" customHeight="1">
      <c r="A921" s="1"/>
      <c r="B921" s="2"/>
      <c r="D921" s="3"/>
      <c r="J921" s="4"/>
      <c r="K921" s="5"/>
      <c r="L921" s="6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ht="15.75" customHeight="1">
      <c r="A922" s="1"/>
      <c r="B922" s="2"/>
      <c r="D922" s="3"/>
      <c r="J922" s="4"/>
      <c r="K922" s="5"/>
      <c r="L922" s="6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ht="15.75" customHeight="1">
      <c r="A923" s="1"/>
      <c r="B923" s="2"/>
      <c r="D923" s="3"/>
      <c r="J923" s="4"/>
      <c r="K923" s="5"/>
      <c r="L923" s="6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ht="15.75" customHeight="1">
      <c r="A924" s="1"/>
      <c r="B924" s="2"/>
      <c r="D924" s="3"/>
      <c r="J924" s="4"/>
      <c r="K924" s="5"/>
      <c r="L924" s="6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ht="15.75" customHeight="1">
      <c r="A925" s="1"/>
      <c r="B925" s="2"/>
      <c r="D925" s="3"/>
      <c r="J925" s="4"/>
      <c r="K925" s="5"/>
      <c r="L925" s="6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ht="15.75" customHeight="1">
      <c r="A926" s="1"/>
      <c r="B926" s="2"/>
      <c r="D926" s="3"/>
      <c r="J926" s="4"/>
      <c r="K926" s="5"/>
      <c r="L926" s="6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ht="15.75" customHeight="1">
      <c r="A927" s="1"/>
      <c r="B927" s="2"/>
      <c r="D927" s="3"/>
      <c r="J927" s="4"/>
      <c r="K927" s="5"/>
      <c r="L927" s="6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ht="15.75" customHeight="1">
      <c r="A928" s="1"/>
      <c r="B928" s="2"/>
      <c r="D928" s="3"/>
      <c r="J928" s="4"/>
      <c r="K928" s="5"/>
      <c r="L928" s="6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ht="15.75" customHeight="1">
      <c r="A929" s="1"/>
      <c r="B929" s="2"/>
      <c r="D929" s="3"/>
      <c r="J929" s="4"/>
      <c r="K929" s="5"/>
      <c r="L929" s="6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ht="15.75" customHeight="1">
      <c r="A930" s="1"/>
      <c r="B930" s="2"/>
      <c r="D930" s="3"/>
      <c r="J930" s="4"/>
      <c r="K930" s="5"/>
      <c r="L930" s="6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ht="15.75" customHeight="1">
      <c r="A931" s="1"/>
      <c r="B931" s="2"/>
      <c r="D931" s="3"/>
      <c r="J931" s="4"/>
      <c r="K931" s="5"/>
      <c r="L931" s="6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ht="15.75" customHeight="1">
      <c r="A932" s="1"/>
      <c r="B932" s="2"/>
      <c r="D932" s="3"/>
      <c r="J932" s="4"/>
      <c r="K932" s="5"/>
      <c r="L932" s="6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ht="15.75" customHeight="1">
      <c r="A933" s="1"/>
      <c r="B933" s="2"/>
      <c r="D933" s="3"/>
      <c r="J933" s="4"/>
      <c r="K933" s="5"/>
      <c r="L933" s="6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ht="15.75" customHeight="1">
      <c r="A934" s="1"/>
      <c r="B934" s="2"/>
      <c r="D934" s="3"/>
      <c r="J934" s="4"/>
      <c r="K934" s="5"/>
      <c r="L934" s="6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ht="15.75" customHeight="1">
      <c r="A935" s="1"/>
      <c r="B935" s="2"/>
      <c r="D935" s="3"/>
      <c r="J935" s="4"/>
      <c r="K935" s="5"/>
      <c r="L935" s="6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ht="15.75" customHeight="1">
      <c r="A936" s="1"/>
      <c r="B936" s="2"/>
      <c r="D936" s="3"/>
      <c r="J936" s="4"/>
      <c r="K936" s="5"/>
      <c r="L936" s="6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ht="15.75" customHeight="1">
      <c r="A937" s="1"/>
      <c r="B937" s="2"/>
      <c r="D937" s="3"/>
      <c r="J937" s="4"/>
      <c r="K937" s="5"/>
      <c r="L937" s="6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ht="15.75" customHeight="1">
      <c r="A938" s="1"/>
      <c r="B938" s="2"/>
      <c r="D938" s="3"/>
      <c r="J938" s="4"/>
      <c r="K938" s="5"/>
      <c r="L938" s="6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ht="15.75" customHeight="1">
      <c r="A939" s="1"/>
      <c r="B939" s="2"/>
      <c r="D939" s="3"/>
      <c r="J939" s="4"/>
      <c r="K939" s="5"/>
      <c r="L939" s="6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ht="15.75" customHeight="1">
      <c r="A940" s="1"/>
      <c r="B940" s="2"/>
      <c r="D940" s="3"/>
      <c r="J940" s="4"/>
      <c r="K940" s="5"/>
      <c r="L940" s="6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ht="15.75" customHeight="1">
      <c r="A941" s="1"/>
      <c r="B941" s="2"/>
      <c r="D941" s="3"/>
      <c r="J941" s="4"/>
      <c r="K941" s="5"/>
      <c r="L941" s="6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ht="15.75" customHeight="1">
      <c r="A942" s="1"/>
      <c r="B942" s="2"/>
      <c r="D942" s="3"/>
      <c r="J942" s="4"/>
      <c r="K942" s="5"/>
      <c r="L942" s="6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ht="15.75" customHeight="1">
      <c r="A943" s="1"/>
      <c r="B943" s="2"/>
      <c r="D943" s="3"/>
      <c r="J943" s="4"/>
      <c r="K943" s="5"/>
      <c r="L943" s="6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ht="15.75" customHeight="1">
      <c r="A944" s="1"/>
      <c r="B944" s="2"/>
      <c r="D944" s="3"/>
      <c r="J944" s="4"/>
      <c r="K944" s="5"/>
      <c r="L944" s="6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ht="15.75" customHeight="1">
      <c r="A945" s="1"/>
      <c r="B945" s="2"/>
      <c r="D945" s="3"/>
      <c r="J945" s="4"/>
      <c r="K945" s="5"/>
      <c r="L945" s="6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ht="15.75" customHeight="1">
      <c r="A946" s="1"/>
      <c r="B946" s="2"/>
      <c r="D946" s="3"/>
      <c r="J946" s="4"/>
      <c r="K946" s="5"/>
      <c r="L946" s="6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ht="15.75" customHeight="1">
      <c r="A947" s="1"/>
      <c r="B947" s="2"/>
      <c r="D947" s="3"/>
      <c r="J947" s="4"/>
      <c r="K947" s="5"/>
      <c r="L947" s="6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ht="15.75" customHeight="1">
      <c r="A948" s="1"/>
      <c r="B948" s="2"/>
      <c r="D948" s="3"/>
      <c r="J948" s="4"/>
      <c r="K948" s="5"/>
      <c r="L948" s="6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ht="15.75" customHeight="1">
      <c r="A949" s="1"/>
      <c r="B949" s="2"/>
      <c r="D949" s="3"/>
      <c r="J949" s="4"/>
      <c r="K949" s="5"/>
      <c r="L949" s="6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ht="15.75" customHeight="1">
      <c r="A950" s="1"/>
      <c r="B950" s="2"/>
      <c r="D950" s="3"/>
      <c r="J950" s="4"/>
      <c r="K950" s="5"/>
      <c r="L950" s="6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ht="15.75" customHeight="1">
      <c r="A951" s="1"/>
      <c r="B951" s="2"/>
      <c r="D951" s="3"/>
      <c r="J951" s="4"/>
      <c r="K951" s="5"/>
      <c r="L951" s="6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ht="15.75" customHeight="1">
      <c r="A952" s="1"/>
      <c r="B952" s="2"/>
      <c r="D952" s="3"/>
      <c r="J952" s="4"/>
      <c r="K952" s="5"/>
      <c r="L952" s="6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ht="15.75" customHeight="1">
      <c r="A953" s="1"/>
      <c r="B953" s="2"/>
      <c r="D953" s="3"/>
      <c r="J953" s="4"/>
      <c r="K953" s="5"/>
      <c r="L953" s="6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ht="15.75" customHeight="1">
      <c r="A954" s="1"/>
      <c r="B954" s="2"/>
      <c r="D954" s="3"/>
      <c r="J954" s="4"/>
      <c r="K954" s="5"/>
      <c r="L954" s="6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ht="15.75" customHeight="1">
      <c r="A955" s="1"/>
      <c r="B955" s="2"/>
      <c r="D955" s="3"/>
      <c r="J955" s="4"/>
      <c r="K955" s="5"/>
      <c r="L955" s="6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ht="15.75" customHeight="1">
      <c r="A956" s="1"/>
      <c r="B956" s="2"/>
      <c r="D956" s="3"/>
      <c r="J956" s="4"/>
      <c r="K956" s="5"/>
      <c r="L956" s="6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ht="15.75" customHeight="1">
      <c r="A957" s="1"/>
      <c r="B957" s="2"/>
      <c r="D957" s="3"/>
      <c r="J957" s="4"/>
      <c r="K957" s="5"/>
      <c r="L957" s="6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ht="15.75" customHeight="1">
      <c r="A958" s="1"/>
      <c r="B958" s="2"/>
      <c r="D958" s="3"/>
      <c r="J958" s="4"/>
      <c r="K958" s="5"/>
      <c r="L958" s="6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ht="15.75" customHeight="1">
      <c r="A959" s="1"/>
      <c r="B959" s="2"/>
      <c r="D959" s="3"/>
      <c r="J959" s="4"/>
      <c r="K959" s="5"/>
      <c r="L959" s="6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ht="15.75" customHeight="1">
      <c r="A960" s="1"/>
      <c r="B960" s="2"/>
      <c r="D960" s="3"/>
      <c r="J960" s="4"/>
      <c r="K960" s="5"/>
      <c r="L960" s="6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ht="15.75" customHeight="1">
      <c r="A961" s="1"/>
      <c r="B961" s="2"/>
      <c r="D961" s="3"/>
      <c r="J961" s="4"/>
      <c r="K961" s="5"/>
      <c r="L961" s="6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ht="15.75" customHeight="1">
      <c r="A962" s="1"/>
      <c r="B962" s="2"/>
      <c r="D962" s="3"/>
      <c r="J962" s="4"/>
      <c r="K962" s="5"/>
      <c r="L962" s="6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ht="15.75" customHeight="1">
      <c r="A963" s="1"/>
      <c r="B963" s="2"/>
      <c r="D963" s="3"/>
      <c r="J963" s="4"/>
      <c r="K963" s="5"/>
      <c r="L963" s="6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ht="15.75" customHeight="1">
      <c r="A964" s="1"/>
      <c r="B964" s="2"/>
      <c r="D964" s="3"/>
      <c r="J964" s="4"/>
      <c r="K964" s="5"/>
      <c r="L964" s="6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ht="15.75" customHeight="1">
      <c r="A965" s="1"/>
      <c r="B965" s="2"/>
      <c r="D965" s="3"/>
      <c r="J965" s="4"/>
      <c r="K965" s="5"/>
      <c r="L965" s="6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ht="15.75" customHeight="1">
      <c r="A966" s="1"/>
      <c r="B966" s="2"/>
      <c r="D966" s="3"/>
      <c r="J966" s="4"/>
      <c r="K966" s="5"/>
      <c r="L966" s="6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ht="15.75" customHeight="1">
      <c r="A967" s="1"/>
      <c r="B967" s="2"/>
      <c r="D967" s="3"/>
      <c r="J967" s="4"/>
      <c r="K967" s="5"/>
      <c r="L967" s="6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ht="15.75" customHeight="1">
      <c r="A968" s="1"/>
      <c r="B968" s="2"/>
      <c r="D968" s="3"/>
      <c r="J968" s="4"/>
      <c r="K968" s="5"/>
      <c r="L968" s="6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ht="15.75" customHeight="1">
      <c r="A969" s="1"/>
      <c r="B969" s="2"/>
      <c r="D969" s="3"/>
      <c r="J969" s="4"/>
      <c r="K969" s="5"/>
      <c r="L969" s="6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ht="15.75" customHeight="1">
      <c r="A970" s="1"/>
      <c r="B970" s="2"/>
      <c r="D970" s="3"/>
      <c r="J970" s="4"/>
      <c r="K970" s="5"/>
      <c r="L970" s="6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ht="15.75" customHeight="1">
      <c r="A971" s="1"/>
      <c r="B971" s="2"/>
      <c r="D971" s="3"/>
      <c r="J971" s="4"/>
      <c r="K971" s="5"/>
      <c r="L971" s="6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ht="15.75" customHeight="1">
      <c r="A972" s="1"/>
      <c r="B972" s="2"/>
      <c r="D972" s="3"/>
      <c r="J972" s="4"/>
      <c r="K972" s="5"/>
      <c r="L972" s="6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ht="15.75" customHeight="1">
      <c r="A973" s="1"/>
      <c r="B973" s="2"/>
      <c r="D973" s="3"/>
      <c r="J973" s="4"/>
      <c r="K973" s="5"/>
      <c r="L973" s="6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ht="15.75" customHeight="1">
      <c r="A974" s="1"/>
      <c r="B974" s="2"/>
      <c r="D974" s="3"/>
      <c r="J974" s="4"/>
      <c r="K974" s="5"/>
      <c r="L974" s="6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ht="15.75" customHeight="1">
      <c r="A975" s="1"/>
      <c r="B975" s="2"/>
      <c r="D975" s="3"/>
      <c r="J975" s="4"/>
      <c r="K975" s="5"/>
      <c r="L975" s="6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ht="15.75" customHeight="1">
      <c r="A976" s="1"/>
      <c r="B976" s="2"/>
      <c r="D976" s="3"/>
      <c r="J976" s="4"/>
      <c r="K976" s="5"/>
      <c r="L976" s="6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ht="15.75" customHeight="1">
      <c r="A977" s="1"/>
      <c r="B977" s="2"/>
      <c r="D977" s="3"/>
      <c r="J977" s="4"/>
      <c r="K977" s="5"/>
      <c r="L977" s="6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ht="15.75" customHeight="1">
      <c r="A978" s="1"/>
      <c r="B978" s="2"/>
      <c r="D978" s="3"/>
      <c r="J978" s="4"/>
      <c r="K978" s="5"/>
      <c r="L978" s="6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ht="15.75" customHeight="1">
      <c r="A979" s="1"/>
      <c r="B979" s="2"/>
      <c r="D979" s="3"/>
      <c r="J979" s="4"/>
      <c r="K979" s="5"/>
      <c r="L979" s="6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ht="15.75" customHeight="1">
      <c r="A980" s="1"/>
      <c r="B980" s="2"/>
      <c r="D980" s="3"/>
      <c r="J980" s="4"/>
      <c r="K980" s="5"/>
      <c r="L980" s="6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ht="15.75" customHeight="1">
      <c r="A981" s="1"/>
      <c r="B981" s="2"/>
      <c r="D981" s="3"/>
      <c r="J981" s="4"/>
      <c r="K981" s="5"/>
      <c r="L981" s="6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ht="15.75" customHeight="1">
      <c r="A982" s="1"/>
      <c r="B982" s="2"/>
      <c r="D982" s="3"/>
      <c r="J982" s="4"/>
      <c r="K982" s="5"/>
      <c r="L982" s="6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ht="15.75" customHeight="1">
      <c r="A983" s="1"/>
      <c r="B983" s="2"/>
      <c r="D983" s="3"/>
      <c r="J983" s="4"/>
      <c r="K983" s="5"/>
      <c r="L983" s="6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ht="15.75" customHeight="1">
      <c r="A984" s="1"/>
      <c r="B984" s="2"/>
      <c r="D984" s="3"/>
      <c r="J984" s="4"/>
      <c r="K984" s="5"/>
      <c r="L984" s="6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ht="15.75" customHeight="1">
      <c r="A985" s="1"/>
      <c r="B985" s="2"/>
      <c r="D985" s="3"/>
      <c r="J985" s="4"/>
      <c r="K985" s="5"/>
      <c r="L985" s="6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ht="15.75" customHeight="1">
      <c r="A986" s="1"/>
      <c r="B986" s="2"/>
      <c r="D986" s="3"/>
      <c r="J986" s="4"/>
      <c r="K986" s="5"/>
      <c r="L986" s="6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ht="15.75" customHeight="1">
      <c r="A987" s="1"/>
      <c r="B987" s="2"/>
      <c r="D987" s="3"/>
      <c r="J987" s="4"/>
      <c r="K987" s="5"/>
      <c r="L987" s="6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ht="15.75" customHeight="1">
      <c r="A988" s="1"/>
      <c r="B988" s="2"/>
      <c r="D988" s="3"/>
      <c r="J988" s="4"/>
      <c r="K988" s="5"/>
      <c r="L988" s="6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ht="15.75" customHeight="1">
      <c r="A989" s="1"/>
      <c r="B989" s="2"/>
      <c r="D989" s="3"/>
      <c r="J989" s="4"/>
      <c r="K989" s="5"/>
      <c r="L989" s="6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ht="15.75" customHeight="1">
      <c r="A990" s="1"/>
      <c r="B990" s="2"/>
      <c r="D990" s="3"/>
      <c r="J990" s="4"/>
      <c r="K990" s="5"/>
      <c r="L990" s="6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ht="15.75" customHeight="1">
      <c r="A991" s="1"/>
      <c r="B991" s="2"/>
      <c r="D991" s="3"/>
      <c r="J991" s="4"/>
      <c r="K991" s="5"/>
      <c r="L991" s="6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ht="15.75" customHeight="1">
      <c r="A992" s="1"/>
      <c r="B992" s="2"/>
      <c r="D992" s="3"/>
      <c r="J992" s="4"/>
      <c r="K992" s="5"/>
      <c r="L992" s="6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ht="15.75" customHeight="1">
      <c r="A993" s="1"/>
      <c r="B993" s="2"/>
      <c r="D993" s="3"/>
      <c r="J993" s="4"/>
      <c r="K993" s="5"/>
      <c r="L993" s="6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ht="15.75" customHeight="1">
      <c r="A994" s="1"/>
      <c r="B994" s="2"/>
      <c r="D994" s="3"/>
      <c r="J994" s="4"/>
      <c r="K994" s="5"/>
      <c r="L994" s="6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ht="15.75" customHeight="1">
      <c r="A995" s="1"/>
      <c r="B995" s="2"/>
      <c r="D995" s="3"/>
      <c r="J995" s="4"/>
      <c r="K995" s="5"/>
      <c r="L995" s="6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ht="15.75" customHeight="1">
      <c r="A996" s="1"/>
      <c r="B996" s="2"/>
      <c r="D996" s="3"/>
      <c r="J996" s="4"/>
      <c r="K996" s="5"/>
      <c r="L996" s="6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ht="15.75" customHeight="1">
      <c r="A997" s="1"/>
      <c r="B997" s="2"/>
      <c r="D997" s="3"/>
      <c r="J997" s="4"/>
      <c r="K997" s="5"/>
      <c r="L997" s="6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ht="15.75" customHeight="1">
      <c r="A998" s="1"/>
      <c r="B998" s="2"/>
      <c r="D998" s="3"/>
      <c r="J998" s="4"/>
      <c r="K998" s="5"/>
      <c r="L998" s="6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ht="15.75" customHeight="1">
      <c r="A999" s="1"/>
      <c r="B999" s="2"/>
      <c r="D999" s="3"/>
      <c r="J999" s="4"/>
      <c r="K999" s="5"/>
      <c r="L999" s="6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ht="15.75" customHeight="1">
      <c r="A1000" s="1"/>
      <c r="B1000" s="2"/>
      <c r="D1000" s="3"/>
      <c r="J1000" s="4"/>
      <c r="K1000" s="5"/>
      <c r="L1000" s="6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ht="15.75" customHeight="1">
      <c r="A1001" s="1"/>
      <c r="B1001" s="2"/>
      <c r="D1001" s="3"/>
      <c r="J1001" s="4"/>
      <c r="K1001" s="5"/>
      <c r="L1001" s="6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ht="15.75" customHeight="1">
      <c r="A1002" s="1"/>
      <c r="B1002" s="2"/>
      <c r="D1002" s="3"/>
      <c r="J1002" s="4"/>
      <c r="K1002" s="5"/>
      <c r="L1002" s="6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ht="15.75" customHeight="1">
      <c r="A1003" s="1"/>
      <c r="B1003" s="2"/>
      <c r="D1003" s="3"/>
      <c r="J1003" s="4"/>
      <c r="K1003" s="5"/>
      <c r="L1003" s="6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</row>
    <row r="1004" ht="15.75" customHeight="1">
      <c r="A1004" s="1"/>
      <c r="B1004" s="2"/>
      <c r="D1004" s="3"/>
      <c r="J1004" s="4"/>
      <c r="K1004" s="5"/>
      <c r="L1004" s="6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</row>
    <row r="1005" ht="15.75" customHeight="1">
      <c r="A1005" s="1"/>
      <c r="B1005" s="2"/>
      <c r="D1005" s="3"/>
      <c r="J1005" s="4"/>
      <c r="K1005" s="5"/>
      <c r="L1005" s="6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</row>
    <row r="1006" ht="15.75" customHeight="1">
      <c r="A1006" s="1"/>
      <c r="B1006" s="2"/>
      <c r="D1006" s="3"/>
      <c r="J1006" s="4"/>
      <c r="K1006" s="5"/>
      <c r="L1006" s="6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</row>
    <row r="1007" ht="15.75" customHeight="1">
      <c r="A1007" s="1"/>
      <c r="B1007" s="2"/>
      <c r="D1007" s="3"/>
      <c r="J1007" s="4"/>
      <c r="K1007" s="5"/>
      <c r="L1007" s="6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</row>
    <row r="1008" ht="15.75" customHeight="1">
      <c r="A1008" s="1"/>
      <c r="B1008" s="2"/>
      <c r="D1008" s="3"/>
      <c r="J1008" s="4"/>
      <c r="K1008" s="5"/>
      <c r="L1008" s="6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</row>
    <row r="1009" ht="15.75" customHeight="1">
      <c r="A1009" s="1"/>
      <c r="B1009" s="2"/>
      <c r="D1009" s="3"/>
      <c r="J1009" s="4"/>
      <c r="K1009" s="5"/>
      <c r="L1009" s="6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</row>
    <row r="1010" ht="15.75" customHeight="1">
      <c r="A1010" s="1"/>
      <c r="B1010" s="2"/>
      <c r="D1010" s="3"/>
      <c r="J1010" s="4"/>
      <c r="K1010" s="5"/>
      <c r="L1010" s="6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</row>
    <row r="1011" ht="15.75" customHeight="1">
      <c r="A1011" s="1"/>
      <c r="B1011" s="2"/>
      <c r="D1011" s="3"/>
      <c r="J1011" s="4"/>
      <c r="K1011" s="5"/>
      <c r="L1011" s="6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</row>
    <row r="1012" ht="15.75" customHeight="1">
      <c r="A1012" s="1"/>
      <c r="B1012" s="2"/>
      <c r="D1012" s="3"/>
      <c r="J1012" s="4"/>
      <c r="K1012" s="5"/>
      <c r="L1012" s="6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</row>
    <row r="1013" ht="15.75" customHeight="1">
      <c r="A1013" s="1"/>
      <c r="B1013" s="2"/>
      <c r="D1013" s="3"/>
      <c r="J1013" s="4"/>
      <c r="K1013" s="5"/>
      <c r="L1013" s="6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</row>
    <row r="1014" ht="15.75" customHeight="1">
      <c r="A1014" s="1"/>
      <c r="B1014" s="2"/>
      <c r="D1014" s="3"/>
      <c r="J1014" s="4"/>
      <c r="K1014" s="5"/>
      <c r="L1014" s="6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</row>
    <row r="1015" ht="15.75" customHeight="1">
      <c r="A1015" s="1"/>
      <c r="B1015" s="2"/>
      <c r="D1015" s="3"/>
      <c r="J1015" s="4"/>
      <c r="K1015" s="5"/>
      <c r="L1015" s="6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</row>
    <row r="1016" ht="15.75" customHeight="1">
      <c r="A1016" s="1"/>
      <c r="B1016" s="2"/>
      <c r="D1016" s="3"/>
      <c r="J1016" s="4"/>
      <c r="K1016" s="5"/>
      <c r="L1016" s="6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</row>
    <row r="1017" ht="15.75" customHeight="1">
      <c r="A1017" s="1"/>
      <c r="B1017" s="2"/>
      <c r="D1017" s="3"/>
      <c r="J1017" s="4"/>
      <c r="K1017" s="5"/>
      <c r="L1017" s="6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</row>
    <row r="1018" ht="15.75" customHeight="1">
      <c r="A1018" s="1"/>
      <c r="B1018" s="2"/>
      <c r="D1018" s="3"/>
      <c r="J1018" s="4"/>
      <c r="K1018" s="5"/>
      <c r="L1018" s="6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</row>
    <row r="1019" ht="15.75" customHeight="1">
      <c r="A1019" s="1"/>
      <c r="B1019" s="2"/>
      <c r="D1019" s="3"/>
      <c r="J1019" s="4"/>
      <c r="K1019" s="5"/>
      <c r="L1019" s="6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</row>
  </sheetData>
  <autoFilter ref="$A$6:$BA$65">
    <sortState ref="A6:BA65">
      <sortCondition ref="A6:A65"/>
      <sortCondition ref="P6:P65"/>
      <sortCondition descending="1" ref="R6:R65"/>
      <sortCondition descending="1" ref="S6:S65"/>
      <sortCondition ref="C6:C65"/>
      <sortCondition ref="B6:B65"/>
      <sortCondition descending="1" ref="V6:V65"/>
      <sortCondition descending="1" ref="Q6:Q65"/>
      <sortCondition descending="1" ref="M6:M65"/>
      <sortCondition descending="1" ref="T6:T65"/>
    </sortState>
  </autoFilter>
  <mergeCells count="4">
    <mergeCell ref="A4:A5"/>
    <mergeCell ref="B4:B5"/>
    <mergeCell ref="C4:C5"/>
    <mergeCell ref="F5:I5"/>
  </mergeCells>
  <conditionalFormatting sqref="V4:BA4">
    <cfRule type="cellIs" dxfId="0" priority="1" operator="equal">
      <formula>"min"</formula>
    </cfRule>
  </conditionalFormatting>
  <conditionalFormatting sqref="V4:BA6">
    <cfRule type="expression" dxfId="0" priority="2">
      <formula>OR(TEXT(V$5,"[$-421]dddd")=$B$73)</formula>
    </cfRule>
  </conditionalFormatting>
  <conditionalFormatting sqref="V5:BA6">
    <cfRule type="cellIs" dxfId="0" priority="3" operator="equal">
      <formula>"minggu"</formula>
    </cfRule>
  </conditionalFormatting>
  <printOptions horizontalCentered="1"/>
  <pageMargins bottom="0.75" footer="0.0" header="0.0" left="0.25" right="0.25" top="0.75"/>
  <pageSetup orientation="landscape" paperHeight="9.842519685039369in" paperWidth="27.559055118110233i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71"/>
    <col customWidth="1" min="2" max="2" width="25.71"/>
    <col customWidth="1" min="3" max="3" width="25.86"/>
    <col customWidth="1" min="4" max="4" width="91.57"/>
    <col customWidth="1" min="5" max="5" width="17.71"/>
    <col customWidth="1" min="6" max="6" width="21.57"/>
    <col customWidth="1" min="7" max="7" width="22.14"/>
    <col customWidth="1" min="8" max="8" width="18.43"/>
  </cols>
  <sheetData>
    <row r="1">
      <c r="A1" s="65" t="s">
        <v>29</v>
      </c>
      <c r="B1" s="75"/>
      <c r="C1" s="76"/>
      <c r="F1" s="77"/>
    </row>
    <row r="2">
      <c r="B2" s="75"/>
      <c r="C2" s="76"/>
      <c r="F2" s="78">
        <f>SUM(F4:F235)</f>
        <v>265.5</v>
      </c>
    </row>
    <row r="3">
      <c r="A3" s="79" t="s">
        <v>122</v>
      </c>
      <c r="B3" s="80" t="s">
        <v>123</v>
      </c>
      <c r="C3" s="81" t="s">
        <v>124</v>
      </c>
      <c r="D3" s="82" t="s">
        <v>125</v>
      </c>
      <c r="E3" s="82" t="s">
        <v>8</v>
      </c>
      <c r="F3" s="82" t="s">
        <v>126</v>
      </c>
      <c r="G3" s="83" t="s">
        <v>127</v>
      </c>
      <c r="H3" s="83" t="s">
        <v>128</v>
      </c>
    </row>
    <row r="4">
      <c r="A4" s="84">
        <v>1.0</v>
      </c>
      <c r="B4" s="85" t="s">
        <v>65</v>
      </c>
      <c r="C4" s="86">
        <v>46078.0</v>
      </c>
      <c r="D4" s="87" t="s">
        <v>129</v>
      </c>
      <c r="E4" s="88" t="s">
        <v>130</v>
      </c>
      <c r="F4" s="89">
        <v>1.0</v>
      </c>
      <c r="G4" s="85" t="s">
        <v>131</v>
      </c>
      <c r="H4" s="90"/>
      <c r="K4" s="65"/>
      <c r="L4" s="65"/>
      <c r="M4" s="65"/>
      <c r="N4" s="65"/>
      <c r="O4" s="65"/>
      <c r="P4" s="65"/>
    </row>
    <row r="5">
      <c r="A5" s="84">
        <v>2.0</v>
      </c>
      <c r="B5" s="85" t="s">
        <v>102</v>
      </c>
      <c r="C5" s="86">
        <v>46079.0</v>
      </c>
      <c r="D5" s="87" t="s">
        <v>132</v>
      </c>
      <c r="E5" s="88" t="s">
        <v>133</v>
      </c>
      <c r="F5" s="89">
        <v>1.0</v>
      </c>
      <c r="G5" s="85" t="s">
        <v>100</v>
      </c>
      <c r="H5" s="90"/>
      <c r="I5" s="91"/>
      <c r="K5" s="65"/>
      <c r="L5" s="65"/>
      <c r="M5" s="65"/>
      <c r="N5" s="65"/>
      <c r="O5" s="65"/>
      <c r="P5" s="65"/>
    </row>
    <row r="6">
      <c r="A6" s="84">
        <v>3.0</v>
      </c>
      <c r="B6" s="85" t="s">
        <v>105</v>
      </c>
      <c r="C6" s="86">
        <v>46079.0</v>
      </c>
      <c r="D6" s="87" t="s">
        <v>134</v>
      </c>
      <c r="E6" s="88" t="s">
        <v>135</v>
      </c>
      <c r="F6" s="89">
        <v>1.0</v>
      </c>
      <c r="G6" s="85" t="s">
        <v>100</v>
      </c>
      <c r="H6" s="90"/>
      <c r="I6" s="91"/>
    </row>
    <row r="7">
      <c r="A7" s="84">
        <v>4.0</v>
      </c>
      <c r="B7" s="85" t="s">
        <v>46</v>
      </c>
      <c r="C7" s="86">
        <v>46076.0</v>
      </c>
      <c r="D7" s="87" t="s">
        <v>136</v>
      </c>
      <c r="E7" s="88" t="s">
        <v>137</v>
      </c>
      <c r="F7" s="89">
        <v>1.0</v>
      </c>
      <c r="G7" s="85" t="s">
        <v>131</v>
      </c>
      <c r="H7" s="90"/>
      <c r="I7" s="91"/>
      <c r="L7" s="65"/>
      <c r="M7" s="65"/>
      <c r="N7" s="65"/>
      <c r="O7" s="65"/>
      <c r="P7" s="65"/>
    </row>
    <row r="8">
      <c r="A8" s="84">
        <v>5.0</v>
      </c>
      <c r="B8" s="85" t="s">
        <v>77</v>
      </c>
      <c r="C8" s="86">
        <v>46080.0</v>
      </c>
      <c r="D8" s="87" t="s">
        <v>138</v>
      </c>
      <c r="E8" s="88" t="s">
        <v>139</v>
      </c>
      <c r="F8" s="89">
        <v>8.0</v>
      </c>
      <c r="G8" s="85" t="s">
        <v>100</v>
      </c>
      <c r="H8" s="90"/>
      <c r="I8" s="91"/>
      <c r="K8" s="65"/>
      <c r="L8" s="65"/>
      <c r="M8" s="65"/>
      <c r="N8" s="65"/>
      <c r="O8" s="65"/>
      <c r="P8" s="65"/>
    </row>
    <row r="9">
      <c r="A9" s="84">
        <v>6.0</v>
      </c>
      <c r="B9" s="85" t="s">
        <v>105</v>
      </c>
      <c r="C9" s="86">
        <v>46080.0</v>
      </c>
      <c r="D9" s="87" t="s">
        <v>138</v>
      </c>
      <c r="E9" s="88" t="s">
        <v>139</v>
      </c>
      <c r="F9" s="89">
        <v>8.0</v>
      </c>
      <c r="G9" s="85" t="s">
        <v>100</v>
      </c>
      <c r="H9" s="90"/>
      <c r="I9" s="91"/>
      <c r="L9" s="65"/>
      <c r="M9" s="65"/>
      <c r="N9" s="65"/>
      <c r="O9" s="65"/>
      <c r="P9" s="65"/>
    </row>
    <row r="10">
      <c r="A10" s="84">
        <v>7.0</v>
      </c>
      <c r="B10" s="85" t="s">
        <v>77</v>
      </c>
      <c r="C10" s="86">
        <v>46081.0</v>
      </c>
      <c r="D10" s="87" t="s">
        <v>140</v>
      </c>
      <c r="E10" s="88" t="s">
        <v>141</v>
      </c>
      <c r="F10" s="89">
        <v>1.0</v>
      </c>
      <c r="G10" s="85" t="s">
        <v>100</v>
      </c>
      <c r="H10" s="90"/>
      <c r="I10" s="91"/>
      <c r="K10" s="65"/>
      <c r="L10" s="65"/>
      <c r="M10" s="65"/>
      <c r="N10" s="65"/>
      <c r="O10" s="65"/>
      <c r="P10" s="65"/>
    </row>
    <row r="11">
      <c r="A11" s="84">
        <v>8.0</v>
      </c>
      <c r="B11" s="85" t="s">
        <v>77</v>
      </c>
      <c r="C11" s="86">
        <v>46082.0</v>
      </c>
      <c r="D11" s="87" t="s">
        <v>142</v>
      </c>
      <c r="E11" s="88" t="s">
        <v>143</v>
      </c>
      <c r="F11" s="89">
        <v>8.0</v>
      </c>
      <c r="G11" s="85" t="s">
        <v>100</v>
      </c>
      <c r="H11" s="90"/>
      <c r="I11" s="91"/>
      <c r="K11" s="65"/>
      <c r="L11" s="65"/>
      <c r="M11" s="65"/>
      <c r="N11" s="65"/>
      <c r="O11" s="65"/>
      <c r="P11" s="65"/>
    </row>
    <row r="12">
      <c r="A12" s="84">
        <v>9.0</v>
      </c>
      <c r="B12" s="85" t="s">
        <v>106</v>
      </c>
      <c r="C12" s="86">
        <v>46105.0</v>
      </c>
      <c r="D12" s="87" t="s">
        <v>144</v>
      </c>
      <c r="E12" s="88" t="s">
        <v>145</v>
      </c>
      <c r="F12" s="89">
        <v>2.0</v>
      </c>
      <c r="G12" s="85" t="s">
        <v>100</v>
      </c>
      <c r="H12" s="90"/>
      <c r="I12" s="91"/>
      <c r="K12" s="65"/>
      <c r="L12" s="65"/>
      <c r="M12" s="65"/>
      <c r="N12" s="65"/>
      <c r="O12" s="65"/>
      <c r="P12" s="65"/>
    </row>
    <row r="13">
      <c r="A13" s="84">
        <v>10.0</v>
      </c>
      <c r="B13" s="85" t="s">
        <v>105</v>
      </c>
      <c r="C13" s="86">
        <v>46082.0</v>
      </c>
      <c r="D13" s="87" t="s">
        <v>146</v>
      </c>
      <c r="E13" s="88" t="s">
        <v>143</v>
      </c>
      <c r="F13" s="89">
        <v>8.0</v>
      </c>
      <c r="G13" s="85" t="s">
        <v>100</v>
      </c>
      <c r="H13" s="90"/>
      <c r="I13" s="91"/>
      <c r="K13" s="65"/>
      <c r="L13" s="65"/>
      <c r="M13" s="65"/>
      <c r="N13" s="65"/>
      <c r="O13" s="65"/>
      <c r="P13" s="65"/>
    </row>
    <row r="14">
      <c r="A14" s="84">
        <v>11.0</v>
      </c>
      <c r="B14" s="85" t="s">
        <v>77</v>
      </c>
      <c r="C14" s="86">
        <v>46083.0</v>
      </c>
      <c r="D14" s="87" t="s">
        <v>147</v>
      </c>
      <c r="E14" s="88" t="s">
        <v>148</v>
      </c>
      <c r="F14" s="89">
        <v>2.0</v>
      </c>
      <c r="G14" s="85" t="s">
        <v>100</v>
      </c>
      <c r="H14" s="90"/>
      <c r="I14" s="91"/>
      <c r="K14" s="65"/>
      <c r="L14" s="65"/>
      <c r="M14" s="65"/>
      <c r="N14" s="65"/>
      <c r="O14" s="65"/>
      <c r="P14" s="65"/>
    </row>
    <row r="15">
      <c r="A15" s="84">
        <v>12.0</v>
      </c>
      <c r="B15" s="85" t="s">
        <v>92</v>
      </c>
      <c r="C15" s="86">
        <v>46083.0</v>
      </c>
      <c r="D15" s="87" t="s">
        <v>149</v>
      </c>
      <c r="E15" s="88" t="s">
        <v>150</v>
      </c>
      <c r="F15" s="89">
        <v>2.0</v>
      </c>
      <c r="G15" s="85" t="s">
        <v>131</v>
      </c>
      <c r="H15" s="90"/>
      <c r="I15" s="91"/>
      <c r="L15" s="65"/>
      <c r="M15" s="65"/>
      <c r="N15" s="65"/>
      <c r="O15" s="65"/>
      <c r="P15" s="65"/>
    </row>
    <row r="16">
      <c r="A16" s="84">
        <v>13.0</v>
      </c>
      <c r="B16" s="85" t="s">
        <v>77</v>
      </c>
      <c r="C16" s="86">
        <v>46084.0</v>
      </c>
      <c r="D16" s="87" t="s">
        <v>151</v>
      </c>
      <c r="E16" s="88" t="s">
        <v>152</v>
      </c>
      <c r="F16" s="89">
        <v>1.0</v>
      </c>
      <c r="G16" s="85" t="s">
        <v>100</v>
      </c>
      <c r="H16" s="90"/>
      <c r="I16" s="91"/>
      <c r="L16" s="65"/>
      <c r="M16" s="65"/>
      <c r="N16" s="65"/>
      <c r="O16" s="65"/>
      <c r="P16" s="65"/>
    </row>
    <row r="17">
      <c r="A17" s="84">
        <v>14.0</v>
      </c>
      <c r="B17" s="85" t="s">
        <v>94</v>
      </c>
      <c r="C17" s="86">
        <v>46084.0</v>
      </c>
      <c r="D17" s="87" t="s">
        <v>153</v>
      </c>
      <c r="E17" s="88" t="s">
        <v>154</v>
      </c>
      <c r="F17" s="89">
        <v>6.0</v>
      </c>
      <c r="G17" s="85" t="s">
        <v>131</v>
      </c>
      <c r="H17" s="90"/>
      <c r="I17" s="91"/>
      <c r="L17" s="65"/>
      <c r="M17" s="65"/>
      <c r="N17" s="65"/>
      <c r="O17" s="65"/>
      <c r="P17" s="65"/>
    </row>
    <row r="18">
      <c r="A18" s="84">
        <v>15.0</v>
      </c>
      <c r="B18" s="85" t="s">
        <v>107</v>
      </c>
      <c r="C18" s="86">
        <v>46085.0</v>
      </c>
      <c r="D18" s="87" t="s">
        <v>155</v>
      </c>
      <c r="E18" s="88" t="s">
        <v>156</v>
      </c>
      <c r="F18" s="89">
        <v>1.0</v>
      </c>
      <c r="G18" s="85" t="s">
        <v>131</v>
      </c>
      <c r="H18" s="90"/>
      <c r="I18" s="91"/>
    </row>
    <row r="19">
      <c r="A19" s="84">
        <v>16.0</v>
      </c>
      <c r="B19" s="85" t="s">
        <v>63</v>
      </c>
      <c r="C19" s="86">
        <v>46085.0</v>
      </c>
      <c r="D19" s="87" t="s">
        <v>157</v>
      </c>
      <c r="E19" s="88" t="s">
        <v>156</v>
      </c>
      <c r="F19" s="89">
        <v>1.0</v>
      </c>
      <c r="G19" s="85" t="s">
        <v>131</v>
      </c>
      <c r="H19" s="90"/>
      <c r="I19" s="91"/>
    </row>
    <row r="20">
      <c r="A20" s="84">
        <v>17.0</v>
      </c>
      <c r="B20" s="85" t="s">
        <v>67</v>
      </c>
      <c r="C20" s="86">
        <v>46083.0</v>
      </c>
      <c r="D20" s="87" t="s">
        <v>158</v>
      </c>
      <c r="E20" s="88" t="s">
        <v>159</v>
      </c>
      <c r="F20" s="89">
        <v>4.0</v>
      </c>
      <c r="G20" s="85" t="s">
        <v>131</v>
      </c>
      <c r="H20" s="90"/>
      <c r="I20" s="91"/>
    </row>
    <row r="21">
      <c r="A21" s="84">
        <v>18.0</v>
      </c>
      <c r="B21" s="85" t="s">
        <v>67</v>
      </c>
      <c r="C21" s="86">
        <v>46074.0</v>
      </c>
      <c r="D21" s="87" t="s">
        <v>160</v>
      </c>
      <c r="E21" s="88" t="s">
        <v>148</v>
      </c>
      <c r="F21" s="89">
        <v>1.5</v>
      </c>
      <c r="G21" s="85" t="s">
        <v>131</v>
      </c>
      <c r="H21" s="90"/>
      <c r="I21" s="91"/>
      <c r="L21" s="65"/>
      <c r="M21" s="65"/>
      <c r="N21" s="65"/>
      <c r="O21" s="65"/>
      <c r="P21" s="65"/>
    </row>
    <row r="22" ht="15.75" customHeight="1">
      <c r="A22" s="84">
        <v>19.0</v>
      </c>
      <c r="B22" s="85" t="s">
        <v>105</v>
      </c>
      <c r="C22" s="86">
        <v>46086.0</v>
      </c>
      <c r="D22" s="87" t="s">
        <v>161</v>
      </c>
      <c r="E22" s="88" t="s">
        <v>162</v>
      </c>
      <c r="F22" s="89">
        <v>3.0</v>
      </c>
      <c r="G22" s="85" t="s">
        <v>100</v>
      </c>
      <c r="H22" s="90"/>
      <c r="I22" s="91"/>
      <c r="L22" s="65"/>
      <c r="M22" s="65"/>
      <c r="N22" s="65"/>
      <c r="O22" s="65"/>
      <c r="P22" s="65"/>
    </row>
    <row r="23" ht="15.75" customHeight="1">
      <c r="A23" s="84">
        <v>20.0</v>
      </c>
      <c r="B23" s="85" t="s">
        <v>105</v>
      </c>
      <c r="C23" s="86">
        <v>46087.0</v>
      </c>
      <c r="D23" s="87" t="s">
        <v>163</v>
      </c>
      <c r="E23" s="88" t="s">
        <v>156</v>
      </c>
      <c r="F23" s="89">
        <v>1.0</v>
      </c>
      <c r="G23" s="85" t="s">
        <v>100</v>
      </c>
      <c r="H23" s="90"/>
      <c r="I23" s="91"/>
    </row>
    <row r="24" ht="15.75" customHeight="1">
      <c r="A24" s="84">
        <v>21.0</v>
      </c>
      <c r="B24" s="85" t="s">
        <v>92</v>
      </c>
      <c r="C24" s="86">
        <v>46088.0</v>
      </c>
      <c r="D24" s="87" t="s">
        <v>164</v>
      </c>
      <c r="E24" s="88" t="s">
        <v>141</v>
      </c>
      <c r="F24" s="89">
        <v>1.0</v>
      </c>
      <c r="G24" s="85" t="s">
        <v>131</v>
      </c>
      <c r="H24" s="90"/>
      <c r="I24" s="91"/>
      <c r="K24" s="65"/>
      <c r="L24" s="65"/>
      <c r="M24" s="65"/>
      <c r="N24" s="65"/>
      <c r="O24" s="65"/>
      <c r="P24" s="65"/>
    </row>
    <row r="25" ht="15.75" customHeight="1">
      <c r="A25" s="84">
        <v>22.0</v>
      </c>
      <c r="B25" s="85" t="s">
        <v>103</v>
      </c>
      <c r="C25" s="86">
        <v>46087.0</v>
      </c>
      <c r="D25" s="87" t="s">
        <v>165</v>
      </c>
      <c r="E25" s="88" t="s">
        <v>166</v>
      </c>
      <c r="F25" s="89">
        <v>1.0</v>
      </c>
      <c r="G25" s="85" t="s">
        <v>100</v>
      </c>
      <c r="H25" s="90"/>
      <c r="I25" s="91"/>
    </row>
    <row r="26" ht="15.75" customHeight="1">
      <c r="A26" s="84">
        <v>23.0</v>
      </c>
      <c r="B26" s="85" t="s">
        <v>105</v>
      </c>
      <c r="C26" s="86">
        <v>46088.0</v>
      </c>
      <c r="D26" s="87" t="s">
        <v>167</v>
      </c>
      <c r="E26" s="88" t="s">
        <v>141</v>
      </c>
      <c r="F26" s="89">
        <v>1.0</v>
      </c>
      <c r="G26" s="85" t="s">
        <v>100</v>
      </c>
      <c r="H26" s="90"/>
      <c r="I26" s="91"/>
    </row>
    <row r="27" ht="15.75" customHeight="1">
      <c r="A27" s="84">
        <v>24.0</v>
      </c>
      <c r="B27" s="85" t="s">
        <v>103</v>
      </c>
      <c r="C27" s="86">
        <v>46090.0</v>
      </c>
      <c r="D27" s="87" t="s">
        <v>168</v>
      </c>
      <c r="E27" s="88" t="s">
        <v>169</v>
      </c>
      <c r="F27" s="89">
        <v>1.0</v>
      </c>
      <c r="G27" s="85" t="s">
        <v>100</v>
      </c>
      <c r="H27" s="90"/>
      <c r="I27" s="91"/>
    </row>
    <row r="28" ht="15.75" customHeight="1">
      <c r="A28" s="84">
        <v>25.0</v>
      </c>
      <c r="B28" s="85" t="s">
        <v>92</v>
      </c>
      <c r="C28" s="86">
        <v>46090.0</v>
      </c>
      <c r="D28" s="87" t="s">
        <v>170</v>
      </c>
      <c r="E28" s="88" t="s">
        <v>150</v>
      </c>
      <c r="F28" s="89">
        <v>2.0</v>
      </c>
      <c r="G28" s="85" t="s">
        <v>131</v>
      </c>
      <c r="H28" s="90"/>
      <c r="I28" s="91"/>
      <c r="L28" s="65"/>
      <c r="M28" s="65"/>
      <c r="N28" s="65"/>
      <c r="O28" s="65"/>
      <c r="P28" s="65"/>
    </row>
    <row r="29" ht="15.75" customHeight="1">
      <c r="A29" s="84">
        <v>26.0</v>
      </c>
      <c r="B29" s="85" t="s">
        <v>92</v>
      </c>
      <c r="C29" s="86">
        <v>46090.0</v>
      </c>
      <c r="D29" s="87" t="s">
        <v>171</v>
      </c>
      <c r="E29" s="88" t="s">
        <v>172</v>
      </c>
      <c r="F29" s="89">
        <v>1.0</v>
      </c>
      <c r="G29" s="85" t="s">
        <v>131</v>
      </c>
      <c r="H29" s="90"/>
      <c r="I29" s="91"/>
    </row>
    <row r="30" ht="15.75" customHeight="1">
      <c r="A30" s="84">
        <v>27.0</v>
      </c>
      <c r="B30" s="85" t="s">
        <v>103</v>
      </c>
      <c r="C30" s="86">
        <v>46091.0</v>
      </c>
      <c r="D30" s="87" t="s">
        <v>173</v>
      </c>
      <c r="E30" s="88" t="s">
        <v>174</v>
      </c>
      <c r="F30" s="89">
        <v>3.0</v>
      </c>
      <c r="G30" s="85" t="s">
        <v>100</v>
      </c>
      <c r="H30" s="90"/>
      <c r="I30" s="91"/>
      <c r="L30" s="65"/>
      <c r="M30" s="65"/>
      <c r="N30" s="65"/>
      <c r="O30" s="65"/>
      <c r="P30" s="65"/>
    </row>
    <row r="31" ht="15.75" customHeight="1">
      <c r="A31" s="84">
        <v>28.0</v>
      </c>
      <c r="B31" s="85" t="s">
        <v>107</v>
      </c>
      <c r="C31" s="86">
        <v>46092.0</v>
      </c>
      <c r="D31" s="87" t="s">
        <v>175</v>
      </c>
      <c r="E31" s="88" t="s">
        <v>156</v>
      </c>
      <c r="F31" s="89">
        <v>1.0</v>
      </c>
      <c r="G31" s="85" t="s">
        <v>131</v>
      </c>
      <c r="H31" s="90"/>
      <c r="I31" s="91"/>
    </row>
    <row r="32" ht="15.75" customHeight="1">
      <c r="A32" s="84">
        <v>29.0</v>
      </c>
      <c r="B32" s="85" t="s">
        <v>105</v>
      </c>
      <c r="C32" s="86">
        <v>46092.0</v>
      </c>
      <c r="D32" s="87" t="s">
        <v>176</v>
      </c>
      <c r="E32" s="88" t="s">
        <v>177</v>
      </c>
      <c r="F32" s="89">
        <v>6.0</v>
      </c>
      <c r="G32" s="85" t="s">
        <v>100</v>
      </c>
      <c r="H32" s="90"/>
      <c r="I32" s="91"/>
    </row>
    <row r="33" ht="15.75" customHeight="1">
      <c r="A33" s="84">
        <v>30.0</v>
      </c>
      <c r="B33" s="85" t="s">
        <v>103</v>
      </c>
      <c r="C33" s="86">
        <v>46092.0</v>
      </c>
      <c r="D33" s="87" t="s">
        <v>178</v>
      </c>
      <c r="E33" s="88" t="s">
        <v>179</v>
      </c>
      <c r="F33" s="89">
        <v>3.0</v>
      </c>
      <c r="G33" s="85" t="s">
        <v>100</v>
      </c>
      <c r="H33" s="90"/>
      <c r="I33" s="91"/>
      <c r="K33" s="65"/>
      <c r="L33" s="65"/>
      <c r="M33" s="65"/>
      <c r="N33" s="65"/>
      <c r="O33" s="65"/>
      <c r="P33" s="65"/>
    </row>
    <row r="34" ht="15.75" customHeight="1">
      <c r="A34" s="84">
        <v>31.0</v>
      </c>
      <c r="B34" s="85" t="s">
        <v>69</v>
      </c>
      <c r="C34" s="86">
        <v>46092.0</v>
      </c>
      <c r="D34" s="87" t="s">
        <v>180</v>
      </c>
      <c r="E34" s="88" t="s">
        <v>156</v>
      </c>
      <c r="F34" s="89">
        <v>1.0</v>
      </c>
      <c r="G34" s="85" t="s">
        <v>131</v>
      </c>
      <c r="H34" s="90"/>
      <c r="I34" s="91"/>
      <c r="K34" s="65"/>
      <c r="L34" s="65"/>
      <c r="M34" s="65"/>
      <c r="N34" s="65"/>
      <c r="O34" s="65"/>
      <c r="P34" s="65"/>
    </row>
    <row r="35" ht="15.75" customHeight="1">
      <c r="A35" s="84">
        <v>32.0</v>
      </c>
      <c r="B35" s="85" t="s">
        <v>98</v>
      </c>
      <c r="C35" s="86">
        <v>46093.0</v>
      </c>
      <c r="D35" s="87" t="s">
        <v>181</v>
      </c>
      <c r="E35" s="88" t="s">
        <v>182</v>
      </c>
      <c r="F35" s="89">
        <v>1.0</v>
      </c>
      <c r="G35" s="85" t="s">
        <v>100</v>
      </c>
      <c r="H35" s="90"/>
      <c r="I35" s="91"/>
      <c r="K35" s="65"/>
      <c r="L35" s="65"/>
      <c r="M35" s="65"/>
      <c r="N35" s="65"/>
      <c r="O35" s="65"/>
      <c r="P35" s="65"/>
    </row>
    <row r="36" ht="15.75" customHeight="1">
      <c r="A36" s="84">
        <v>33.0</v>
      </c>
      <c r="B36" s="85" t="s">
        <v>64</v>
      </c>
      <c r="C36" s="86">
        <v>46092.0</v>
      </c>
      <c r="D36" s="87" t="s">
        <v>183</v>
      </c>
      <c r="E36" s="88" t="s">
        <v>156</v>
      </c>
      <c r="F36" s="89">
        <v>1.0</v>
      </c>
      <c r="G36" s="85" t="s">
        <v>131</v>
      </c>
      <c r="H36" s="90"/>
      <c r="I36" s="91"/>
    </row>
    <row r="37" ht="15.75" customHeight="1">
      <c r="A37" s="84">
        <v>34.0</v>
      </c>
      <c r="B37" s="85" t="s">
        <v>105</v>
      </c>
      <c r="C37" s="86">
        <v>46093.0</v>
      </c>
      <c r="D37" s="87" t="s">
        <v>176</v>
      </c>
      <c r="E37" s="88" t="s">
        <v>184</v>
      </c>
      <c r="F37" s="89">
        <v>11.0</v>
      </c>
      <c r="G37" s="85" t="s">
        <v>100</v>
      </c>
      <c r="H37" s="90"/>
      <c r="I37" s="91"/>
      <c r="L37" s="65"/>
      <c r="M37" s="65"/>
      <c r="N37" s="65"/>
      <c r="O37" s="65"/>
      <c r="P37" s="65"/>
    </row>
    <row r="38" ht="15.75" customHeight="1">
      <c r="A38" s="84">
        <v>35.0</v>
      </c>
      <c r="B38" s="85" t="s">
        <v>74</v>
      </c>
      <c r="C38" s="86">
        <v>46094.0</v>
      </c>
      <c r="D38" s="87" t="s">
        <v>185</v>
      </c>
      <c r="E38" s="88" t="s">
        <v>156</v>
      </c>
      <c r="F38" s="89">
        <v>1.0</v>
      </c>
      <c r="G38" s="85" t="s">
        <v>131</v>
      </c>
      <c r="H38" s="90"/>
      <c r="I38" s="91"/>
    </row>
    <row r="39" ht="15.75" customHeight="1">
      <c r="A39" s="84">
        <v>36.0</v>
      </c>
      <c r="B39" s="85" t="s">
        <v>92</v>
      </c>
      <c r="C39" s="86">
        <v>46093.0</v>
      </c>
      <c r="D39" s="87" t="s">
        <v>186</v>
      </c>
      <c r="E39" s="88" t="s">
        <v>141</v>
      </c>
      <c r="F39" s="89">
        <v>1.0</v>
      </c>
      <c r="G39" s="85" t="s">
        <v>131</v>
      </c>
      <c r="H39" s="90"/>
      <c r="I39" s="91"/>
      <c r="K39" s="65"/>
      <c r="L39" s="65"/>
      <c r="M39" s="65"/>
      <c r="N39" s="65"/>
      <c r="O39" s="65"/>
      <c r="P39" s="65"/>
    </row>
    <row r="40" ht="15.75" customHeight="1">
      <c r="A40" s="84">
        <v>37.0</v>
      </c>
      <c r="B40" s="85" t="s">
        <v>94</v>
      </c>
      <c r="C40" s="86">
        <v>46094.0</v>
      </c>
      <c r="D40" s="87" t="s">
        <v>187</v>
      </c>
      <c r="E40" s="88" t="s">
        <v>188</v>
      </c>
      <c r="F40" s="89">
        <v>5.0</v>
      </c>
      <c r="G40" s="85" t="s">
        <v>131</v>
      </c>
      <c r="H40" s="90"/>
      <c r="I40" s="91"/>
    </row>
    <row r="41" ht="15.75" customHeight="1">
      <c r="A41" s="84">
        <v>38.0</v>
      </c>
      <c r="B41" s="85" t="s">
        <v>46</v>
      </c>
      <c r="C41" s="86">
        <v>46090.0</v>
      </c>
      <c r="D41" s="88" t="s">
        <v>189</v>
      </c>
      <c r="E41" s="88" t="s">
        <v>148</v>
      </c>
      <c r="F41" s="89">
        <v>2.0</v>
      </c>
      <c r="G41" s="85" t="s">
        <v>131</v>
      </c>
      <c r="H41" s="90"/>
      <c r="I41" s="91"/>
      <c r="K41" s="65"/>
      <c r="L41" s="65"/>
      <c r="M41" s="65"/>
      <c r="N41" s="65"/>
      <c r="O41" s="65"/>
      <c r="P41" s="65"/>
    </row>
    <row r="42" ht="15.75" customHeight="1">
      <c r="A42" s="84">
        <v>39.0</v>
      </c>
      <c r="B42" s="85" t="s">
        <v>102</v>
      </c>
      <c r="C42" s="86">
        <v>46095.0</v>
      </c>
      <c r="D42" s="88" t="s">
        <v>190</v>
      </c>
      <c r="E42" s="88" t="s">
        <v>191</v>
      </c>
      <c r="F42" s="89">
        <v>3.0</v>
      </c>
      <c r="G42" s="85" t="s">
        <v>100</v>
      </c>
      <c r="H42" s="90"/>
      <c r="I42" s="91"/>
    </row>
    <row r="43" ht="15.75" customHeight="1">
      <c r="A43" s="84">
        <v>40.0</v>
      </c>
      <c r="B43" s="85" t="s">
        <v>94</v>
      </c>
      <c r="C43" s="86">
        <v>46097.0</v>
      </c>
      <c r="D43" s="88" t="s">
        <v>192</v>
      </c>
      <c r="E43" s="88" t="s">
        <v>193</v>
      </c>
      <c r="F43" s="89">
        <v>5.0</v>
      </c>
      <c r="G43" s="85" t="s">
        <v>38</v>
      </c>
      <c r="H43" s="90"/>
      <c r="I43" s="91"/>
    </row>
    <row r="44" ht="15.75" customHeight="1">
      <c r="A44" s="84">
        <v>41.0</v>
      </c>
      <c r="B44" s="85" t="s">
        <v>93</v>
      </c>
      <c r="C44" s="86">
        <v>46097.0</v>
      </c>
      <c r="D44" s="88" t="s">
        <v>194</v>
      </c>
      <c r="E44" s="88" t="s">
        <v>141</v>
      </c>
      <c r="F44" s="89">
        <v>1.0</v>
      </c>
      <c r="G44" s="85" t="s">
        <v>131</v>
      </c>
      <c r="H44" s="90"/>
      <c r="I44" s="91"/>
    </row>
    <row r="45" ht="15.75" customHeight="1">
      <c r="A45" s="84">
        <v>42.0</v>
      </c>
      <c r="B45" s="85" t="s">
        <v>105</v>
      </c>
      <c r="C45" s="86">
        <v>46097.0</v>
      </c>
      <c r="D45" s="88" t="s">
        <v>195</v>
      </c>
      <c r="E45" s="88" t="s">
        <v>156</v>
      </c>
      <c r="F45" s="89">
        <v>1.0</v>
      </c>
      <c r="G45" s="85" t="s">
        <v>100</v>
      </c>
      <c r="H45" s="90"/>
      <c r="I45" s="91"/>
    </row>
    <row r="46" ht="15.75" customHeight="1">
      <c r="A46" s="84">
        <v>43.0</v>
      </c>
      <c r="B46" s="85" t="s">
        <v>103</v>
      </c>
      <c r="C46" s="86">
        <v>46098.0</v>
      </c>
      <c r="D46" s="88" t="s">
        <v>196</v>
      </c>
      <c r="E46" s="88" t="s">
        <v>197</v>
      </c>
      <c r="F46" s="89">
        <v>1.0</v>
      </c>
      <c r="G46" s="85" t="s">
        <v>100</v>
      </c>
      <c r="H46" s="90"/>
      <c r="I46" s="91"/>
    </row>
    <row r="47" ht="15.75" customHeight="1">
      <c r="A47" s="84">
        <v>44.0</v>
      </c>
      <c r="B47" s="85" t="s">
        <v>94</v>
      </c>
      <c r="C47" s="86">
        <v>46098.0</v>
      </c>
      <c r="D47" s="88" t="s">
        <v>198</v>
      </c>
      <c r="E47" s="88" t="s">
        <v>199</v>
      </c>
      <c r="F47" s="89">
        <v>5.0</v>
      </c>
      <c r="G47" s="85" t="s">
        <v>38</v>
      </c>
      <c r="H47" s="90"/>
      <c r="I47" s="91"/>
      <c r="L47" s="65"/>
      <c r="M47" s="65"/>
      <c r="N47" s="65"/>
      <c r="O47" s="65"/>
      <c r="P47" s="65"/>
    </row>
    <row r="48" ht="15.75" customHeight="1">
      <c r="A48" s="84">
        <v>45.0</v>
      </c>
      <c r="B48" s="85" t="s">
        <v>102</v>
      </c>
      <c r="C48" s="86">
        <v>46098.0</v>
      </c>
      <c r="D48" s="88" t="s">
        <v>200</v>
      </c>
      <c r="E48" s="88" t="s">
        <v>148</v>
      </c>
      <c r="F48" s="89">
        <v>1.0</v>
      </c>
      <c r="G48" s="85" t="s">
        <v>100</v>
      </c>
      <c r="H48" s="90"/>
      <c r="I48" s="91"/>
    </row>
    <row r="49" ht="15.75" customHeight="1">
      <c r="A49" s="84">
        <v>46.0</v>
      </c>
      <c r="B49" s="85" t="s">
        <v>105</v>
      </c>
      <c r="C49" s="86">
        <v>46098.0</v>
      </c>
      <c r="D49" s="88" t="s">
        <v>201</v>
      </c>
      <c r="E49" s="88" t="s">
        <v>202</v>
      </c>
      <c r="F49" s="89">
        <v>8.0</v>
      </c>
      <c r="G49" s="85" t="s">
        <v>100</v>
      </c>
      <c r="H49" s="90"/>
      <c r="I49" s="91"/>
    </row>
    <row r="50" ht="15.75" customHeight="1">
      <c r="A50" s="84">
        <v>47.0</v>
      </c>
      <c r="B50" s="85" t="s">
        <v>90</v>
      </c>
      <c r="C50" s="86">
        <v>46099.0</v>
      </c>
      <c r="D50" s="88" t="s">
        <v>203</v>
      </c>
      <c r="E50" s="88" t="s">
        <v>156</v>
      </c>
      <c r="F50" s="89">
        <v>1.0</v>
      </c>
      <c r="G50" s="85" t="s">
        <v>131</v>
      </c>
      <c r="H50" s="90"/>
      <c r="I50" s="91"/>
    </row>
    <row r="51" ht="15.75" customHeight="1">
      <c r="A51" s="84">
        <v>48.0</v>
      </c>
      <c r="B51" s="85" t="s">
        <v>50</v>
      </c>
      <c r="C51" s="86">
        <v>46099.0</v>
      </c>
      <c r="D51" s="88" t="s">
        <v>204</v>
      </c>
      <c r="E51" s="88" t="s">
        <v>205</v>
      </c>
      <c r="F51" s="89">
        <v>5.0</v>
      </c>
      <c r="G51" s="85" t="s">
        <v>100</v>
      </c>
      <c r="H51" s="90"/>
      <c r="I51" s="91"/>
    </row>
    <row r="52" ht="15.75" customHeight="1">
      <c r="A52" s="84">
        <v>49.0</v>
      </c>
      <c r="B52" s="85" t="s">
        <v>94</v>
      </c>
      <c r="C52" s="86">
        <v>46099.0</v>
      </c>
      <c r="D52" s="88" t="s">
        <v>206</v>
      </c>
      <c r="E52" s="88" t="s">
        <v>207</v>
      </c>
      <c r="F52" s="89">
        <v>7.0</v>
      </c>
      <c r="G52" s="85" t="s">
        <v>38</v>
      </c>
      <c r="H52" s="90"/>
      <c r="I52" s="91"/>
    </row>
    <row r="53" ht="15.75" customHeight="1">
      <c r="A53" s="84">
        <v>50.0</v>
      </c>
      <c r="B53" s="85" t="s">
        <v>105</v>
      </c>
      <c r="C53" s="86">
        <v>46100.0</v>
      </c>
      <c r="D53" s="88" t="s">
        <v>208</v>
      </c>
      <c r="E53" s="88" t="s">
        <v>156</v>
      </c>
      <c r="F53" s="89">
        <v>1.0</v>
      </c>
      <c r="G53" s="85" t="s">
        <v>100</v>
      </c>
      <c r="H53" s="90"/>
      <c r="I53" s="91"/>
    </row>
    <row r="54" ht="15.75" customHeight="1">
      <c r="A54" s="84">
        <v>51.0</v>
      </c>
      <c r="B54" s="85" t="s">
        <v>65</v>
      </c>
      <c r="C54" s="86">
        <v>46085.0</v>
      </c>
      <c r="D54" s="88" t="s">
        <v>209</v>
      </c>
      <c r="E54" s="88" t="s">
        <v>156</v>
      </c>
      <c r="F54" s="89">
        <v>1.0</v>
      </c>
      <c r="G54" s="85" t="s">
        <v>131</v>
      </c>
      <c r="H54" s="90"/>
      <c r="I54" s="91"/>
    </row>
    <row r="55" ht="15.75" customHeight="1">
      <c r="A55" s="84">
        <v>52.0</v>
      </c>
      <c r="B55" s="85" t="s">
        <v>63</v>
      </c>
      <c r="C55" s="86">
        <v>46099.0</v>
      </c>
      <c r="D55" s="88" t="s">
        <v>157</v>
      </c>
      <c r="E55" s="88" t="s">
        <v>210</v>
      </c>
      <c r="F55" s="89">
        <v>1.0</v>
      </c>
      <c r="G55" s="85" t="s">
        <v>131</v>
      </c>
      <c r="H55" s="90"/>
      <c r="I55" s="91"/>
    </row>
    <row r="56" ht="15.75" customHeight="1">
      <c r="A56" s="84">
        <v>53.0</v>
      </c>
      <c r="B56" s="85" t="s">
        <v>91</v>
      </c>
      <c r="C56" s="86">
        <v>46103.0</v>
      </c>
      <c r="D56" s="88" t="s">
        <v>211</v>
      </c>
      <c r="E56" s="88" t="s">
        <v>212</v>
      </c>
      <c r="F56" s="89">
        <v>1.0</v>
      </c>
      <c r="G56" s="85" t="s">
        <v>131</v>
      </c>
      <c r="H56" s="90"/>
      <c r="I56" s="91"/>
    </row>
    <row r="57" ht="15.75" customHeight="1">
      <c r="A57" s="84">
        <v>54.0</v>
      </c>
      <c r="B57" s="85" t="s">
        <v>91</v>
      </c>
      <c r="C57" s="86">
        <v>46101.0</v>
      </c>
      <c r="D57" s="88" t="s">
        <v>213</v>
      </c>
      <c r="E57" s="88" t="s">
        <v>214</v>
      </c>
      <c r="F57" s="89">
        <v>1.0</v>
      </c>
      <c r="G57" s="85" t="s">
        <v>131</v>
      </c>
      <c r="H57" s="90"/>
      <c r="I57" s="91"/>
    </row>
    <row r="58" ht="15.75" customHeight="1">
      <c r="A58" s="84">
        <v>55.0</v>
      </c>
      <c r="B58" s="85" t="s">
        <v>77</v>
      </c>
      <c r="C58" s="86">
        <v>46103.0</v>
      </c>
      <c r="D58" s="88" t="s">
        <v>215</v>
      </c>
      <c r="E58" s="88" t="s">
        <v>202</v>
      </c>
      <c r="F58" s="89">
        <v>8.0</v>
      </c>
      <c r="G58" s="85" t="s">
        <v>100</v>
      </c>
      <c r="H58" s="90"/>
      <c r="I58" s="91"/>
    </row>
    <row r="59" ht="15.75" customHeight="1">
      <c r="A59" s="84">
        <v>56.0</v>
      </c>
      <c r="B59" s="85" t="s">
        <v>105</v>
      </c>
      <c r="C59" s="86">
        <v>46103.0</v>
      </c>
      <c r="D59" s="88" t="s">
        <v>216</v>
      </c>
      <c r="E59" s="88" t="s">
        <v>156</v>
      </c>
      <c r="F59" s="89">
        <v>1.0</v>
      </c>
      <c r="G59" s="85" t="s">
        <v>100</v>
      </c>
      <c r="H59" s="90"/>
      <c r="I59" s="91"/>
    </row>
    <row r="60" ht="15.75" customHeight="1">
      <c r="A60" s="84">
        <v>57.0</v>
      </c>
      <c r="B60" s="85" t="s">
        <v>47</v>
      </c>
      <c r="C60" s="86">
        <v>46086.0</v>
      </c>
      <c r="D60" s="88" t="s">
        <v>217</v>
      </c>
      <c r="E60" s="88" t="s">
        <v>218</v>
      </c>
      <c r="F60" s="89">
        <v>2.0</v>
      </c>
      <c r="G60" s="85" t="s">
        <v>38</v>
      </c>
      <c r="H60" s="90"/>
      <c r="I60" s="91"/>
      <c r="L60" s="65"/>
      <c r="M60" s="65"/>
      <c r="N60" s="65"/>
      <c r="O60" s="65"/>
      <c r="P60" s="65"/>
    </row>
    <row r="61" ht="15.75" customHeight="1">
      <c r="A61" s="84">
        <v>58.0</v>
      </c>
      <c r="B61" s="85" t="s">
        <v>47</v>
      </c>
      <c r="C61" s="86">
        <v>46095.0</v>
      </c>
      <c r="D61" s="88" t="s">
        <v>219</v>
      </c>
      <c r="E61" s="88" t="s">
        <v>220</v>
      </c>
      <c r="F61" s="89">
        <v>3.0</v>
      </c>
      <c r="G61" s="85" t="s">
        <v>38</v>
      </c>
      <c r="H61" s="90"/>
      <c r="I61" s="91"/>
      <c r="L61" s="65"/>
      <c r="M61" s="65"/>
      <c r="N61" s="65"/>
      <c r="O61" s="65"/>
      <c r="P61" s="65"/>
    </row>
    <row r="62" ht="15.75" customHeight="1">
      <c r="A62" s="84">
        <v>59.0</v>
      </c>
      <c r="B62" s="85" t="s">
        <v>47</v>
      </c>
      <c r="C62" s="86">
        <v>46097.0</v>
      </c>
      <c r="D62" s="88" t="s">
        <v>221</v>
      </c>
      <c r="E62" s="88" t="s">
        <v>222</v>
      </c>
      <c r="F62" s="89">
        <v>7.0</v>
      </c>
      <c r="G62" s="85" t="s">
        <v>38</v>
      </c>
      <c r="H62" s="90"/>
      <c r="I62" s="91"/>
    </row>
    <row r="63" ht="15.75" customHeight="1">
      <c r="A63" s="84">
        <v>60.0</v>
      </c>
      <c r="B63" s="85" t="s">
        <v>47</v>
      </c>
      <c r="C63" s="86">
        <v>46099.0</v>
      </c>
      <c r="D63" s="88" t="s">
        <v>223</v>
      </c>
      <c r="E63" s="88" t="s">
        <v>224</v>
      </c>
      <c r="F63" s="89">
        <v>7.0</v>
      </c>
      <c r="G63" s="85" t="s">
        <v>38</v>
      </c>
      <c r="H63" s="90"/>
      <c r="I63" s="91"/>
    </row>
    <row r="64" ht="15.75" customHeight="1">
      <c r="A64" s="84">
        <v>61.0</v>
      </c>
      <c r="B64" s="85" t="s">
        <v>82</v>
      </c>
      <c r="C64" s="86">
        <v>46078.0</v>
      </c>
      <c r="D64" s="88" t="s">
        <v>225</v>
      </c>
      <c r="E64" s="88" t="s">
        <v>226</v>
      </c>
      <c r="F64" s="89">
        <v>2.0</v>
      </c>
      <c r="G64" s="85" t="s">
        <v>227</v>
      </c>
      <c r="H64" s="90"/>
      <c r="I64" s="91"/>
    </row>
    <row r="65" ht="15.75" customHeight="1">
      <c r="A65" s="84">
        <v>62.0</v>
      </c>
      <c r="B65" s="85" t="s">
        <v>82</v>
      </c>
      <c r="C65" s="86">
        <v>46079.0</v>
      </c>
      <c r="D65" s="88" t="s">
        <v>225</v>
      </c>
      <c r="E65" s="88" t="s">
        <v>130</v>
      </c>
      <c r="F65" s="89">
        <v>2.0</v>
      </c>
      <c r="G65" s="85" t="s">
        <v>227</v>
      </c>
      <c r="H65" s="90"/>
      <c r="I65" s="91"/>
      <c r="L65" s="65"/>
      <c r="M65" s="65"/>
      <c r="N65" s="65"/>
      <c r="O65" s="65"/>
      <c r="P65" s="65"/>
    </row>
    <row r="66" ht="15.75" customHeight="1">
      <c r="A66" s="84">
        <v>63.0</v>
      </c>
      <c r="B66" s="85" t="s">
        <v>82</v>
      </c>
      <c r="C66" s="86">
        <v>46080.0</v>
      </c>
      <c r="D66" s="88" t="s">
        <v>225</v>
      </c>
      <c r="E66" s="88" t="s">
        <v>228</v>
      </c>
      <c r="F66" s="89">
        <v>1.5</v>
      </c>
      <c r="G66" s="85" t="s">
        <v>227</v>
      </c>
      <c r="H66" s="90"/>
      <c r="I66" s="91"/>
    </row>
    <row r="67" ht="15.75" customHeight="1">
      <c r="A67" s="84">
        <v>64.0</v>
      </c>
      <c r="B67" s="85" t="s">
        <v>82</v>
      </c>
      <c r="C67" s="86">
        <v>46081.0</v>
      </c>
      <c r="D67" s="88" t="s">
        <v>225</v>
      </c>
      <c r="E67" s="88" t="s">
        <v>229</v>
      </c>
      <c r="F67" s="89">
        <v>5.0</v>
      </c>
      <c r="G67" s="85" t="s">
        <v>227</v>
      </c>
      <c r="H67" s="90"/>
      <c r="I67" s="91"/>
    </row>
    <row r="68" ht="15.75" customHeight="1">
      <c r="A68" s="84">
        <v>65.0</v>
      </c>
      <c r="B68" s="85" t="s">
        <v>82</v>
      </c>
      <c r="C68" s="86">
        <v>46083.0</v>
      </c>
      <c r="D68" s="88" t="s">
        <v>225</v>
      </c>
      <c r="E68" s="88" t="s">
        <v>230</v>
      </c>
      <c r="F68" s="89">
        <v>3.5</v>
      </c>
      <c r="G68" s="85" t="s">
        <v>227</v>
      </c>
      <c r="H68" s="90"/>
      <c r="I68" s="91"/>
    </row>
    <row r="69" ht="15.75" customHeight="1">
      <c r="A69" s="84">
        <v>66.0</v>
      </c>
      <c r="B69" s="85" t="s">
        <v>82</v>
      </c>
      <c r="C69" s="86">
        <v>46085.0</v>
      </c>
      <c r="D69" s="88" t="s">
        <v>225</v>
      </c>
      <c r="E69" s="88" t="s">
        <v>231</v>
      </c>
      <c r="F69" s="89">
        <v>4.5</v>
      </c>
      <c r="G69" s="85" t="s">
        <v>227</v>
      </c>
      <c r="H69" s="90"/>
      <c r="I69" s="91"/>
    </row>
    <row r="70" ht="15.75" customHeight="1">
      <c r="A70" s="84">
        <v>67.0</v>
      </c>
      <c r="B70" s="85" t="s">
        <v>82</v>
      </c>
      <c r="C70" s="86">
        <v>46086.0</v>
      </c>
      <c r="D70" s="88" t="s">
        <v>225</v>
      </c>
      <c r="E70" s="88" t="s">
        <v>232</v>
      </c>
      <c r="F70" s="89">
        <v>2.0</v>
      </c>
      <c r="G70" s="85" t="s">
        <v>227</v>
      </c>
      <c r="H70" s="90"/>
      <c r="I70" s="91"/>
    </row>
    <row r="71" ht="15.75" customHeight="1">
      <c r="A71" s="84">
        <v>68.0</v>
      </c>
      <c r="B71" s="85" t="s">
        <v>82</v>
      </c>
      <c r="C71" s="86">
        <v>46087.0</v>
      </c>
      <c r="D71" s="88" t="s">
        <v>225</v>
      </c>
      <c r="E71" s="88" t="s">
        <v>228</v>
      </c>
      <c r="F71" s="89">
        <v>1.5</v>
      </c>
      <c r="G71" s="85" t="s">
        <v>227</v>
      </c>
      <c r="H71" s="90"/>
      <c r="I71" s="91"/>
    </row>
    <row r="72" ht="15.75" customHeight="1">
      <c r="A72" s="84">
        <v>69.0</v>
      </c>
      <c r="B72" s="85" t="s">
        <v>82</v>
      </c>
      <c r="C72" s="86">
        <v>46088.0</v>
      </c>
      <c r="D72" s="88" t="s">
        <v>225</v>
      </c>
      <c r="E72" s="88" t="s">
        <v>233</v>
      </c>
      <c r="F72" s="89">
        <v>1.0</v>
      </c>
      <c r="G72" s="85" t="s">
        <v>227</v>
      </c>
      <c r="H72" s="90"/>
      <c r="I72" s="91"/>
    </row>
    <row r="73" ht="15.75" customHeight="1">
      <c r="A73" s="84">
        <v>70.0</v>
      </c>
      <c r="B73" s="85" t="s">
        <v>82</v>
      </c>
      <c r="C73" s="86">
        <v>46090.0</v>
      </c>
      <c r="D73" s="88" t="s">
        <v>225</v>
      </c>
      <c r="E73" s="88" t="s">
        <v>234</v>
      </c>
      <c r="F73" s="89">
        <v>4.0</v>
      </c>
      <c r="G73" s="85" t="s">
        <v>227</v>
      </c>
      <c r="H73" s="90"/>
      <c r="I73" s="91"/>
      <c r="L73" s="65"/>
      <c r="M73" s="65"/>
      <c r="N73" s="65"/>
      <c r="O73" s="65"/>
      <c r="P73" s="65"/>
    </row>
    <row r="74" ht="15.75" customHeight="1">
      <c r="A74" s="84">
        <v>71.0</v>
      </c>
      <c r="B74" s="85" t="s">
        <v>82</v>
      </c>
      <c r="C74" s="86">
        <v>46091.0</v>
      </c>
      <c r="D74" s="88" t="s">
        <v>225</v>
      </c>
      <c r="E74" s="88" t="s">
        <v>235</v>
      </c>
      <c r="F74" s="89">
        <v>1.0</v>
      </c>
      <c r="G74" s="85" t="s">
        <v>227</v>
      </c>
      <c r="H74" s="90"/>
      <c r="I74" s="91"/>
      <c r="K74" s="65"/>
      <c r="L74" s="65"/>
      <c r="M74" s="65"/>
      <c r="N74" s="65"/>
      <c r="O74" s="65"/>
      <c r="P74" s="65"/>
    </row>
    <row r="75" ht="15.75" customHeight="1">
      <c r="A75" s="84">
        <v>72.0</v>
      </c>
      <c r="B75" s="85" t="s">
        <v>82</v>
      </c>
      <c r="C75" s="86">
        <v>46093.0</v>
      </c>
      <c r="D75" s="88" t="s">
        <v>236</v>
      </c>
      <c r="E75" s="88" t="s">
        <v>237</v>
      </c>
      <c r="F75" s="89">
        <v>1.0</v>
      </c>
      <c r="G75" s="85" t="s">
        <v>38</v>
      </c>
      <c r="H75" s="90"/>
      <c r="I75" s="91"/>
    </row>
    <row r="76" ht="15.75" customHeight="1">
      <c r="A76" s="84">
        <v>73.0</v>
      </c>
      <c r="B76" s="85" t="s">
        <v>82</v>
      </c>
      <c r="C76" s="86">
        <v>46095.0</v>
      </c>
      <c r="D76" s="88" t="s">
        <v>238</v>
      </c>
      <c r="E76" s="88" t="s">
        <v>239</v>
      </c>
      <c r="F76" s="89">
        <v>6.0</v>
      </c>
      <c r="G76" s="85" t="s">
        <v>38</v>
      </c>
      <c r="H76" s="90"/>
      <c r="I76" s="91"/>
      <c r="L76" s="92"/>
      <c r="M76" s="92"/>
      <c r="N76" s="92"/>
      <c r="O76" s="93"/>
      <c r="P76" s="93"/>
    </row>
    <row r="77" ht="15.75" customHeight="1">
      <c r="A77" s="84">
        <v>74.0</v>
      </c>
      <c r="B77" s="85" t="s">
        <v>82</v>
      </c>
      <c r="C77" s="86">
        <v>46097.0</v>
      </c>
      <c r="D77" s="88" t="s">
        <v>225</v>
      </c>
      <c r="E77" s="88" t="s">
        <v>240</v>
      </c>
      <c r="F77" s="89">
        <v>3.0</v>
      </c>
      <c r="G77" s="85" t="s">
        <v>227</v>
      </c>
      <c r="H77" s="90"/>
      <c r="I77" s="91"/>
      <c r="K77" s="94"/>
      <c r="L77" s="92"/>
      <c r="M77" s="92"/>
      <c r="N77" s="92"/>
      <c r="O77" s="93"/>
      <c r="P77" s="93"/>
    </row>
    <row r="78" ht="15.75" customHeight="1">
      <c r="A78" s="84">
        <v>75.0</v>
      </c>
      <c r="B78" s="85" t="s">
        <v>82</v>
      </c>
      <c r="C78" s="86">
        <v>46098.0</v>
      </c>
      <c r="D78" s="88" t="s">
        <v>225</v>
      </c>
      <c r="E78" s="88" t="s">
        <v>241</v>
      </c>
      <c r="F78" s="89">
        <v>3.0</v>
      </c>
      <c r="G78" s="85" t="s">
        <v>227</v>
      </c>
      <c r="H78" s="90"/>
      <c r="I78" s="91"/>
      <c r="L78" s="92"/>
      <c r="M78" s="92"/>
      <c r="N78" s="92"/>
      <c r="O78" s="93"/>
      <c r="P78" s="93"/>
    </row>
    <row r="79" ht="15.75" customHeight="1">
      <c r="A79" s="84">
        <v>76.0</v>
      </c>
      <c r="B79" s="85" t="s">
        <v>82</v>
      </c>
      <c r="C79" s="86">
        <v>46099.0</v>
      </c>
      <c r="D79" s="88" t="s">
        <v>225</v>
      </c>
      <c r="E79" s="88" t="s">
        <v>242</v>
      </c>
      <c r="F79" s="89">
        <v>4.0</v>
      </c>
      <c r="G79" s="85" t="s">
        <v>227</v>
      </c>
      <c r="H79" s="90"/>
      <c r="I79" s="91"/>
      <c r="K79" s="94"/>
      <c r="L79" s="92"/>
      <c r="M79" s="92"/>
      <c r="N79" s="92"/>
      <c r="O79" s="93"/>
      <c r="P79" s="93"/>
    </row>
    <row r="80" ht="15.75" customHeight="1">
      <c r="A80" s="84">
        <v>77.0</v>
      </c>
      <c r="B80" s="85" t="s">
        <v>71</v>
      </c>
      <c r="C80" s="86">
        <v>46079.0</v>
      </c>
      <c r="D80" s="88" t="s">
        <v>243</v>
      </c>
      <c r="E80" s="88" t="s">
        <v>244</v>
      </c>
      <c r="F80" s="89">
        <v>2.0</v>
      </c>
      <c r="G80" s="85" t="s">
        <v>38</v>
      </c>
      <c r="H80" s="90"/>
      <c r="I80" s="91"/>
      <c r="L80" s="92"/>
      <c r="M80" s="92"/>
      <c r="N80" s="92"/>
      <c r="O80" s="93"/>
      <c r="P80" s="93"/>
    </row>
    <row r="81" ht="15.75" customHeight="1">
      <c r="A81" s="84">
        <v>78.0</v>
      </c>
      <c r="B81" s="85" t="s">
        <v>71</v>
      </c>
      <c r="C81" s="86">
        <v>46081.0</v>
      </c>
      <c r="D81" s="88" t="s">
        <v>245</v>
      </c>
      <c r="E81" s="88" t="s">
        <v>246</v>
      </c>
      <c r="F81" s="89">
        <v>3.0</v>
      </c>
      <c r="G81" s="85" t="s">
        <v>38</v>
      </c>
      <c r="H81" s="90"/>
      <c r="K81" s="94"/>
      <c r="L81" s="92"/>
      <c r="M81" s="92"/>
      <c r="N81" s="92"/>
      <c r="O81" s="93"/>
      <c r="P81" s="93"/>
    </row>
    <row r="82" ht="15.75" customHeight="1">
      <c r="A82" s="84">
        <v>79.0</v>
      </c>
      <c r="B82" s="85" t="s">
        <v>71</v>
      </c>
      <c r="C82" s="86">
        <v>46083.0</v>
      </c>
      <c r="D82" s="88" t="s">
        <v>247</v>
      </c>
      <c r="E82" s="88" t="s">
        <v>135</v>
      </c>
      <c r="F82" s="89">
        <v>1.0</v>
      </c>
      <c r="G82" s="85" t="s">
        <v>38</v>
      </c>
      <c r="H82" s="90"/>
      <c r="L82" s="92"/>
      <c r="M82" s="92"/>
      <c r="N82" s="92"/>
      <c r="O82" s="93"/>
      <c r="P82" s="93"/>
    </row>
    <row r="83" ht="15.75" customHeight="1">
      <c r="A83" s="84">
        <v>80.0</v>
      </c>
      <c r="B83" s="85" t="s">
        <v>71</v>
      </c>
      <c r="C83" s="86">
        <v>46084.0</v>
      </c>
      <c r="D83" s="88" t="s">
        <v>248</v>
      </c>
      <c r="E83" s="88" t="s">
        <v>135</v>
      </c>
      <c r="F83" s="89">
        <v>1.0</v>
      </c>
      <c r="G83" s="85" t="s">
        <v>38</v>
      </c>
      <c r="H83" s="90"/>
      <c r="K83" s="94"/>
      <c r="L83" s="92"/>
      <c r="M83" s="92"/>
      <c r="N83" s="92"/>
      <c r="O83" s="93"/>
      <c r="P83" s="93"/>
    </row>
    <row r="84" ht="15.75" customHeight="1">
      <c r="A84" s="84">
        <v>81.0</v>
      </c>
      <c r="B84" s="85" t="s">
        <v>71</v>
      </c>
      <c r="C84" s="86">
        <v>46086.0</v>
      </c>
      <c r="D84" s="88" t="s">
        <v>249</v>
      </c>
      <c r="E84" s="88" t="s">
        <v>250</v>
      </c>
      <c r="F84" s="89">
        <v>1.0</v>
      </c>
      <c r="G84" s="85" t="s">
        <v>38</v>
      </c>
      <c r="H84" s="90"/>
      <c r="L84" s="92"/>
      <c r="M84" s="92"/>
      <c r="N84" s="92"/>
      <c r="O84" s="93"/>
      <c r="P84" s="93"/>
    </row>
    <row r="85" ht="15.75" customHeight="1">
      <c r="A85" s="84">
        <v>82.0</v>
      </c>
      <c r="B85" s="85" t="s">
        <v>71</v>
      </c>
      <c r="C85" s="86">
        <v>46090.0</v>
      </c>
      <c r="D85" s="88" t="s">
        <v>251</v>
      </c>
      <c r="E85" s="88" t="s">
        <v>135</v>
      </c>
      <c r="F85" s="89">
        <v>1.0</v>
      </c>
      <c r="G85" s="85" t="s">
        <v>38</v>
      </c>
      <c r="H85" s="90"/>
      <c r="K85" s="94"/>
      <c r="L85" s="92"/>
      <c r="M85" s="92"/>
      <c r="N85" s="92"/>
      <c r="O85" s="93"/>
      <c r="P85" s="93"/>
    </row>
    <row r="86" ht="15.75" customHeight="1">
      <c r="A86" s="84">
        <v>83.0</v>
      </c>
      <c r="B86" s="85" t="s">
        <v>71</v>
      </c>
      <c r="C86" s="86">
        <v>46091.0</v>
      </c>
      <c r="D86" s="88" t="s">
        <v>252</v>
      </c>
      <c r="E86" s="88" t="s">
        <v>135</v>
      </c>
      <c r="F86" s="89">
        <v>1.0</v>
      </c>
      <c r="G86" s="85" t="s">
        <v>38</v>
      </c>
      <c r="H86" s="90"/>
      <c r="L86" s="92"/>
      <c r="M86" s="92"/>
      <c r="N86" s="92"/>
      <c r="O86" s="93"/>
      <c r="P86" s="93"/>
    </row>
    <row r="87" ht="15.75" customHeight="1">
      <c r="A87" s="84">
        <v>84.0</v>
      </c>
      <c r="B87" s="85" t="s">
        <v>71</v>
      </c>
      <c r="C87" s="86">
        <v>46093.0</v>
      </c>
      <c r="D87" s="88" t="s">
        <v>253</v>
      </c>
      <c r="E87" s="88" t="s">
        <v>244</v>
      </c>
      <c r="F87" s="89">
        <v>2.0</v>
      </c>
      <c r="G87" s="85" t="s">
        <v>38</v>
      </c>
      <c r="H87" s="90"/>
      <c r="K87" s="94"/>
      <c r="L87" s="92"/>
      <c r="M87" s="92"/>
      <c r="N87" s="92"/>
      <c r="O87" s="93"/>
      <c r="P87" s="93"/>
    </row>
    <row r="88" ht="15.75" customHeight="1">
      <c r="A88" s="84">
        <v>85.0</v>
      </c>
      <c r="B88" s="85" t="s">
        <v>71</v>
      </c>
      <c r="C88" s="86">
        <v>46094.0</v>
      </c>
      <c r="D88" s="88" t="s">
        <v>254</v>
      </c>
      <c r="E88" s="88" t="s">
        <v>244</v>
      </c>
      <c r="F88" s="89">
        <v>2.0</v>
      </c>
      <c r="G88" s="85" t="s">
        <v>38</v>
      </c>
      <c r="H88" s="90"/>
      <c r="L88" s="92"/>
      <c r="M88" s="92"/>
      <c r="N88" s="92"/>
      <c r="O88" s="93"/>
      <c r="P88" s="93"/>
    </row>
    <row r="89" ht="15.75" customHeight="1">
      <c r="A89" s="84">
        <v>86.0</v>
      </c>
      <c r="B89" s="85" t="s">
        <v>71</v>
      </c>
      <c r="C89" s="86">
        <v>46095.0</v>
      </c>
      <c r="D89" s="88" t="s">
        <v>255</v>
      </c>
      <c r="E89" s="88" t="s">
        <v>256</v>
      </c>
      <c r="F89" s="89">
        <v>1.0</v>
      </c>
      <c r="G89" s="85" t="s">
        <v>38</v>
      </c>
      <c r="H89" s="90"/>
      <c r="K89" s="94"/>
      <c r="L89" s="92"/>
      <c r="M89" s="92"/>
      <c r="N89" s="92"/>
      <c r="O89" s="93"/>
      <c r="P89" s="93"/>
    </row>
    <row r="90" ht="15.75" customHeight="1">
      <c r="A90" s="84">
        <v>87.0</v>
      </c>
      <c r="B90" s="85" t="s">
        <v>71</v>
      </c>
      <c r="C90" s="86">
        <v>46097.0</v>
      </c>
      <c r="D90" s="88" t="s">
        <v>257</v>
      </c>
      <c r="E90" s="88" t="s">
        <v>258</v>
      </c>
      <c r="F90" s="89">
        <v>6.0</v>
      </c>
      <c r="G90" s="85" t="s">
        <v>38</v>
      </c>
      <c r="H90" s="90"/>
      <c r="L90" s="92"/>
      <c r="M90" s="92"/>
      <c r="N90" s="92"/>
      <c r="O90" s="93"/>
      <c r="P90" s="93"/>
    </row>
    <row r="91" ht="15.75" customHeight="1">
      <c r="A91" s="84">
        <v>88.0</v>
      </c>
      <c r="B91" s="85" t="s">
        <v>71</v>
      </c>
      <c r="C91" s="86">
        <v>46098.0</v>
      </c>
      <c r="D91" s="88" t="s">
        <v>259</v>
      </c>
      <c r="E91" s="88" t="s">
        <v>260</v>
      </c>
      <c r="F91" s="89">
        <v>6.0</v>
      </c>
      <c r="G91" s="85" t="s">
        <v>38</v>
      </c>
      <c r="H91" s="90"/>
      <c r="K91" s="94"/>
      <c r="L91" s="92"/>
      <c r="M91" s="92"/>
      <c r="N91" s="92"/>
      <c r="O91" s="93"/>
      <c r="P91" s="93"/>
    </row>
    <row r="92" ht="15.75" customHeight="1">
      <c r="A92" s="84">
        <v>89.0</v>
      </c>
      <c r="B92" s="85" t="s">
        <v>71</v>
      </c>
      <c r="C92" s="86">
        <v>46099.0</v>
      </c>
      <c r="D92" s="88" t="s">
        <v>261</v>
      </c>
      <c r="E92" s="88" t="s">
        <v>262</v>
      </c>
      <c r="F92" s="89">
        <v>7.0</v>
      </c>
      <c r="G92" s="85" t="s">
        <v>38</v>
      </c>
      <c r="H92" s="90"/>
      <c r="L92" s="92"/>
      <c r="M92" s="92"/>
      <c r="N92" s="92"/>
      <c r="O92" s="93"/>
      <c r="P92" s="93"/>
    </row>
    <row r="93" ht="15.75" customHeight="1">
      <c r="A93" s="84">
        <v>90.0</v>
      </c>
      <c r="B93" s="85" t="s">
        <v>106</v>
      </c>
      <c r="C93" s="86">
        <v>46099.0</v>
      </c>
      <c r="D93" s="88" t="s">
        <v>263</v>
      </c>
      <c r="E93" s="88" t="s">
        <v>212</v>
      </c>
      <c r="F93" s="89">
        <v>1.0</v>
      </c>
      <c r="G93" s="85" t="s">
        <v>264</v>
      </c>
      <c r="H93" s="90"/>
      <c r="K93" s="94"/>
      <c r="L93" s="92"/>
      <c r="M93" s="92"/>
      <c r="N93" s="92"/>
      <c r="O93" s="93"/>
      <c r="P93" s="93"/>
    </row>
    <row r="94" ht="15.75" customHeight="1">
      <c r="A94" s="84">
        <v>91.0</v>
      </c>
      <c r="B94" s="85" t="s">
        <v>50</v>
      </c>
      <c r="C94" s="86">
        <v>46106.0</v>
      </c>
      <c r="D94" s="88" t="s">
        <v>265</v>
      </c>
      <c r="E94" s="88" t="s">
        <v>266</v>
      </c>
      <c r="F94" s="89">
        <v>5.0</v>
      </c>
      <c r="G94" s="85" t="s">
        <v>100</v>
      </c>
      <c r="H94" s="90"/>
      <c r="L94" s="92"/>
      <c r="M94" s="92"/>
      <c r="N94" s="92"/>
      <c r="O94" s="93"/>
      <c r="P94" s="93"/>
    </row>
    <row r="95" ht="15.75" customHeight="1">
      <c r="A95" s="84">
        <v>92.0</v>
      </c>
      <c r="B95" s="85" t="s">
        <v>94</v>
      </c>
      <c r="C95" s="86">
        <v>46106.0</v>
      </c>
      <c r="D95" s="88" t="s">
        <v>267</v>
      </c>
      <c r="E95" s="88" t="s">
        <v>205</v>
      </c>
      <c r="F95" s="89">
        <v>5.0</v>
      </c>
      <c r="G95" s="85" t="s">
        <v>100</v>
      </c>
      <c r="H95" s="90"/>
      <c r="K95" s="94"/>
      <c r="L95" s="92"/>
      <c r="M95" s="92"/>
      <c r="N95" s="92"/>
      <c r="O95" s="93"/>
      <c r="P95" s="93"/>
    </row>
    <row r="96" ht="15.75" customHeight="1">
      <c r="A96" s="84">
        <v>93.0</v>
      </c>
      <c r="B96" s="85"/>
      <c r="C96" s="86"/>
      <c r="D96" s="88"/>
      <c r="E96" s="88"/>
      <c r="F96" s="89"/>
      <c r="G96" s="85"/>
      <c r="H96" s="90"/>
      <c r="K96" s="65"/>
      <c r="L96" s="92"/>
      <c r="M96" s="92"/>
      <c r="N96" s="92"/>
      <c r="O96" s="93"/>
      <c r="P96" s="93"/>
    </row>
    <row r="97" ht="15.75" customHeight="1">
      <c r="A97" s="84">
        <v>94.0</v>
      </c>
      <c r="B97" s="85"/>
      <c r="C97" s="86"/>
      <c r="D97" s="88"/>
      <c r="E97" s="88"/>
      <c r="F97" s="89"/>
      <c r="G97" s="85"/>
      <c r="H97" s="90"/>
      <c r="K97" s="94"/>
      <c r="L97" s="92"/>
      <c r="M97" s="92"/>
      <c r="N97" s="92"/>
      <c r="O97" s="93"/>
      <c r="P97" s="93"/>
    </row>
    <row r="98" ht="15.75" customHeight="1">
      <c r="A98" s="84">
        <v>95.0</v>
      </c>
      <c r="B98" s="85"/>
      <c r="C98" s="86"/>
      <c r="D98" s="88"/>
      <c r="E98" s="88"/>
      <c r="F98" s="89"/>
      <c r="G98" s="85"/>
      <c r="H98" s="90"/>
      <c r="K98" s="65"/>
      <c r="L98" s="92"/>
      <c r="M98" s="92"/>
      <c r="N98" s="92"/>
      <c r="O98" s="93"/>
      <c r="P98" s="93"/>
    </row>
    <row r="99" ht="15.75" customHeight="1">
      <c r="A99" s="84">
        <v>96.0</v>
      </c>
      <c r="B99" s="85"/>
      <c r="C99" s="86"/>
      <c r="D99" s="88"/>
      <c r="E99" s="88"/>
      <c r="F99" s="89"/>
      <c r="G99" s="85"/>
      <c r="H99" s="90"/>
      <c r="K99" s="94"/>
      <c r="L99" s="92"/>
      <c r="M99" s="92"/>
      <c r="N99" s="92"/>
      <c r="O99" s="93"/>
      <c r="P99" s="93"/>
    </row>
    <row r="100" ht="15.75" customHeight="1">
      <c r="A100" s="84">
        <v>97.0</v>
      </c>
      <c r="B100" s="85"/>
      <c r="C100" s="95"/>
      <c r="D100" s="88"/>
      <c r="E100" s="88"/>
      <c r="F100" s="89"/>
      <c r="G100" s="85"/>
      <c r="H100" s="90"/>
      <c r="K100" s="65"/>
      <c r="L100" s="92"/>
      <c r="M100" s="92"/>
      <c r="N100" s="92"/>
      <c r="O100" s="93"/>
      <c r="P100" s="93"/>
    </row>
    <row r="101" ht="15.75" customHeight="1">
      <c r="A101" s="84">
        <v>98.0</v>
      </c>
      <c r="B101" s="85"/>
      <c r="C101" s="95"/>
      <c r="D101" s="88"/>
      <c r="E101" s="88"/>
      <c r="F101" s="89"/>
      <c r="G101" s="85"/>
      <c r="H101" s="90"/>
      <c r="K101" s="94"/>
      <c r="L101" s="92"/>
      <c r="M101" s="92"/>
      <c r="N101" s="92"/>
      <c r="O101" s="93"/>
      <c r="P101" s="93"/>
    </row>
    <row r="102" ht="15.75" customHeight="1">
      <c r="A102" s="84">
        <v>99.0</v>
      </c>
      <c r="B102" s="85"/>
      <c r="C102" s="95"/>
      <c r="D102" s="88"/>
      <c r="E102" s="88"/>
      <c r="F102" s="89"/>
      <c r="G102" s="85"/>
      <c r="H102" s="90"/>
      <c r="L102" s="92"/>
      <c r="M102" s="92"/>
      <c r="N102" s="92"/>
      <c r="O102" s="93"/>
      <c r="P102" s="93"/>
    </row>
    <row r="103" ht="15.75" customHeight="1">
      <c r="A103" s="84">
        <v>100.0</v>
      </c>
      <c r="B103" s="85"/>
      <c r="C103" s="95"/>
      <c r="D103" s="88"/>
      <c r="E103" s="88"/>
      <c r="F103" s="89"/>
      <c r="G103" s="85"/>
      <c r="H103" s="90"/>
      <c r="L103" s="92"/>
      <c r="M103" s="92"/>
      <c r="N103" s="92"/>
      <c r="O103" s="93"/>
      <c r="P103" s="93"/>
    </row>
    <row r="104" ht="15.75" customHeight="1">
      <c r="A104" s="84">
        <v>101.0</v>
      </c>
      <c r="B104" s="85"/>
      <c r="C104" s="95"/>
      <c r="D104" s="88"/>
      <c r="E104" s="88"/>
      <c r="F104" s="89"/>
      <c r="G104" s="85"/>
      <c r="H104" s="90"/>
      <c r="L104" s="65"/>
      <c r="M104" s="65"/>
      <c r="N104" s="65"/>
      <c r="O104" s="65"/>
      <c r="P104" s="65"/>
    </row>
    <row r="105" ht="15.75" customHeight="1">
      <c r="A105" s="84">
        <v>102.0</v>
      </c>
      <c r="B105" s="85"/>
      <c r="C105" s="95"/>
      <c r="D105" s="88"/>
      <c r="E105" s="88"/>
      <c r="F105" s="89"/>
      <c r="G105" s="85"/>
      <c r="H105" s="90"/>
      <c r="K105" s="65"/>
      <c r="L105" s="65"/>
      <c r="M105" s="65"/>
      <c r="N105" s="65"/>
      <c r="O105" s="65"/>
      <c r="P105" s="65"/>
    </row>
    <row r="106" ht="15.75" customHeight="1">
      <c r="A106" s="84">
        <v>103.0</v>
      </c>
      <c r="B106" s="85"/>
      <c r="C106" s="95"/>
      <c r="D106" s="88"/>
      <c r="E106" s="88"/>
      <c r="F106" s="89"/>
      <c r="G106" s="85"/>
      <c r="H106" s="90"/>
      <c r="K106" s="65"/>
      <c r="L106" s="65"/>
      <c r="M106" s="65"/>
      <c r="N106" s="65"/>
      <c r="O106" s="65"/>
      <c r="P106" s="65"/>
    </row>
    <row r="107" ht="15.75" customHeight="1">
      <c r="A107" s="84">
        <v>104.0</v>
      </c>
      <c r="B107" s="85"/>
      <c r="C107" s="95"/>
      <c r="D107" s="88"/>
      <c r="E107" s="88"/>
      <c r="F107" s="89"/>
      <c r="G107" s="85"/>
      <c r="H107" s="90"/>
      <c r="L107" s="65"/>
      <c r="M107" s="65"/>
      <c r="N107" s="65"/>
      <c r="O107" s="65"/>
      <c r="P107" s="65"/>
    </row>
    <row r="108" ht="15.75" customHeight="1">
      <c r="A108" s="84">
        <v>105.0</v>
      </c>
      <c r="B108" s="85"/>
      <c r="C108" s="95"/>
      <c r="D108" s="88"/>
      <c r="E108" s="88"/>
      <c r="F108" s="89"/>
      <c r="G108" s="85"/>
      <c r="H108" s="90"/>
    </row>
    <row r="109" ht="15.75" customHeight="1">
      <c r="A109" s="84">
        <v>106.0</v>
      </c>
      <c r="B109" s="85"/>
      <c r="C109" s="95"/>
      <c r="D109" s="88"/>
      <c r="E109" s="88"/>
      <c r="F109" s="89"/>
      <c r="G109" s="85"/>
      <c r="H109" s="90"/>
    </row>
    <row r="110" ht="15.75" customHeight="1">
      <c r="A110" s="84">
        <v>107.0</v>
      </c>
      <c r="B110" s="85"/>
      <c r="C110" s="95"/>
      <c r="D110" s="88"/>
      <c r="E110" s="88"/>
      <c r="F110" s="89"/>
      <c r="G110" s="85"/>
      <c r="H110" s="90"/>
      <c r="L110" s="65"/>
      <c r="M110" s="65"/>
      <c r="N110" s="65"/>
      <c r="O110" s="65"/>
      <c r="P110" s="65"/>
    </row>
    <row r="111" ht="15.75" customHeight="1">
      <c r="A111" s="84">
        <v>108.0</v>
      </c>
      <c r="B111" s="85"/>
      <c r="C111" s="95"/>
      <c r="D111" s="88"/>
      <c r="E111" s="88"/>
      <c r="F111" s="89"/>
      <c r="G111" s="85"/>
      <c r="H111" s="90"/>
      <c r="L111" s="65"/>
      <c r="M111" s="65"/>
      <c r="N111" s="65"/>
      <c r="O111" s="65"/>
      <c r="P111" s="65"/>
    </row>
    <row r="112" ht="15.75" customHeight="1">
      <c r="A112" s="84">
        <v>109.0</v>
      </c>
      <c r="B112" s="85"/>
      <c r="C112" s="95"/>
      <c r="D112" s="88"/>
      <c r="E112" s="88"/>
      <c r="F112" s="89"/>
      <c r="G112" s="85"/>
      <c r="H112" s="90"/>
      <c r="L112" s="65"/>
      <c r="M112" s="65"/>
      <c r="N112" s="65"/>
      <c r="O112" s="65"/>
      <c r="P112" s="65"/>
    </row>
    <row r="113" ht="15.75" customHeight="1">
      <c r="A113" s="84">
        <v>110.0</v>
      </c>
      <c r="B113" s="85"/>
      <c r="C113" s="95"/>
      <c r="D113" s="88"/>
      <c r="E113" s="88"/>
      <c r="F113" s="89"/>
      <c r="G113" s="85"/>
      <c r="H113" s="90"/>
      <c r="L113" s="65"/>
      <c r="M113" s="65"/>
      <c r="N113" s="65"/>
      <c r="O113" s="65"/>
      <c r="P113" s="65"/>
    </row>
    <row r="114" ht="15.75" customHeight="1">
      <c r="A114" s="84">
        <v>111.0</v>
      </c>
      <c r="B114" s="85"/>
      <c r="C114" s="95"/>
      <c r="D114" s="88"/>
      <c r="E114" s="88"/>
      <c r="F114" s="89"/>
      <c r="G114" s="85"/>
      <c r="H114" s="90"/>
    </row>
    <row r="115" ht="15.75" customHeight="1">
      <c r="A115" s="84">
        <v>112.0</v>
      </c>
      <c r="B115" s="85"/>
      <c r="C115" s="95"/>
      <c r="D115" s="88"/>
      <c r="E115" s="88"/>
      <c r="F115" s="89"/>
      <c r="G115" s="85"/>
      <c r="H115" s="90"/>
      <c r="L115" s="65"/>
      <c r="M115" s="65"/>
      <c r="N115" s="65"/>
      <c r="O115" s="65"/>
      <c r="P115" s="65"/>
    </row>
    <row r="116" ht="15.75" customHeight="1">
      <c r="A116" s="84">
        <v>113.0</v>
      </c>
      <c r="B116" s="85"/>
      <c r="C116" s="95"/>
      <c r="D116" s="88"/>
      <c r="E116" s="88"/>
      <c r="F116" s="89"/>
      <c r="G116" s="85"/>
      <c r="H116" s="90"/>
      <c r="K116" s="65"/>
      <c r="L116" s="65"/>
      <c r="M116" s="65"/>
      <c r="N116" s="65"/>
      <c r="O116" s="65"/>
      <c r="P116" s="65"/>
    </row>
    <row r="117" ht="15.75" customHeight="1">
      <c r="A117" s="84">
        <v>114.0</v>
      </c>
      <c r="B117" s="85"/>
      <c r="C117" s="95"/>
      <c r="D117" s="88"/>
      <c r="E117" s="88"/>
      <c r="F117" s="89"/>
      <c r="G117" s="85"/>
      <c r="H117" s="90"/>
    </row>
    <row r="118" ht="15.75" customHeight="1">
      <c r="A118" s="84">
        <v>115.0</v>
      </c>
      <c r="B118" s="85"/>
      <c r="C118" s="95"/>
      <c r="D118" s="88"/>
      <c r="E118" s="88"/>
      <c r="F118" s="89"/>
      <c r="G118" s="85"/>
      <c r="H118" s="90"/>
    </row>
    <row r="119" ht="15.75" customHeight="1">
      <c r="A119" s="84">
        <v>116.0</v>
      </c>
      <c r="B119" s="85"/>
      <c r="C119" s="95"/>
      <c r="D119" s="88"/>
      <c r="E119" s="88"/>
      <c r="F119" s="89"/>
      <c r="G119" s="85"/>
      <c r="H119" s="90"/>
    </row>
    <row r="120" ht="15.75" customHeight="1">
      <c r="A120" s="84">
        <v>117.0</v>
      </c>
      <c r="B120" s="85"/>
      <c r="C120" s="95"/>
      <c r="D120" s="88"/>
      <c r="E120" s="88"/>
      <c r="F120" s="89"/>
      <c r="G120" s="85"/>
      <c r="H120" s="90"/>
    </row>
    <row r="121" ht="15.75" customHeight="1">
      <c r="A121" s="84">
        <v>118.0</v>
      </c>
      <c r="B121" s="85"/>
      <c r="C121" s="95"/>
      <c r="D121" s="88"/>
      <c r="E121" s="88"/>
      <c r="F121" s="89"/>
      <c r="G121" s="85"/>
      <c r="H121" s="90"/>
    </row>
    <row r="122" ht="15.75" customHeight="1">
      <c r="A122" s="84">
        <v>119.0</v>
      </c>
      <c r="B122" s="85"/>
      <c r="C122" s="95"/>
      <c r="D122" s="88"/>
      <c r="E122" s="88"/>
      <c r="F122" s="89"/>
      <c r="G122" s="85"/>
      <c r="H122" s="90"/>
    </row>
    <row r="123" ht="15.75" customHeight="1">
      <c r="A123" s="84">
        <v>120.0</v>
      </c>
      <c r="B123" s="85"/>
      <c r="C123" s="95"/>
      <c r="D123" s="88"/>
      <c r="E123" s="88"/>
      <c r="F123" s="89"/>
      <c r="G123" s="85"/>
      <c r="H123" s="90"/>
    </row>
    <row r="124" ht="15.75" customHeight="1">
      <c r="A124" s="84">
        <v>121.0</v>
      </c>
      <c r="B124" s="85"/>
      <c r="C124" s="95"/>
      <c r="D124" s="88"/>
      <c r="E124" s="88"/>
      <c r="F124" s="89"/>
      <c r="G124" s="85"/>
      <c r="H124" s="90"/>
      <c r="L124" s="65"/>
      <c r="M124" s="65"/>
      <c r="N124" s="65"/>
      <c r="O124" s="65"/>
      <c r="P124" s="65"/>
    </row>
    <row r="125" ht="15.75" customHeight="1">
      <c r="A125" s="84">
        <v>122.0</v>
      </c>
      <c r="B125" s="85"/>
      <c r="C125" s="95"/>
      <c r="D125" s="88"/>
      <c r="E125" s="88"/>
      <c r="F125" s="89"/>
      <c r="G125" s="85"/>
      <c r="H125" s="90"/>
    </row>
    <row r="126" ht="15.75" customHeight="1">
      <c r="A126" s="84">
        <v>123.0</v>
      </c>
      <c r="B126" s="85"/>
      <c r="C126" s="95"/>
      <c r="D126" s="88"/>
      <c r="E126" s="88"/>
      <c r="F126" s="89"/>
      <c r="G126" s="85"/>
      <c r="H126" s="90"/>
      <c r="L126" s="65"/>
      <c r="M126" s="65"/>
      <c r="N126" s="65"/>
      <c r="O126" s="65"/>
      <c r="P126" s="65"/>
    </row>
    <row r="127" ht="15.75" customHeight="1">
      <c r="A127" s="84">
        <v>124.0</v>
      </c>
      <c r="B127" s="85"/>
      <c r="C127" s="95"/>
      <c r="D127" s="88"/>
      <c r="E127" s="88"/>
      <c r="F127" s="89"/>
      <c r="G127" s="85"/>
      <c r="H127" s="90"/>
    </row>
    <row r="128" ht="15.75" customHeight="1">
      <c r="A128" s="84">
        <v>125.0</v>
      </c>
      <c r="B128" s="85"/>
      <c r="C128" s="95"/>
      <c r="D128" s="88"/>
      <c r="E128" s="88"/>
      <c r="F128" s="89"/>
      <c r="G128" s="85"/>
      <c r="H128" s="90"/>
    </row>
    <row r="129" ht="15.75" customHeight="1">
      <c r="A129" s="84">
        <v>126.0</v>
      </c>
      <c r="B129" s="85"/>
      <c r="C129" s="95"/>
      <c r="D129" s="88"/>
      <c r="E129" s="88"/>
      <c r="F129" s="89"/>
      <c r="G129" s="85"/>
      <c r="H129" s="90"/>
    </row>
    <row r="130" ht="15.75" customHeight="1">
      <c r="A130" s="84">
        <v>127.0</v>
      </c>
      <c r="B130" s="85"/>
      <c r="C130" s="95"/>
      <c r="D130" s="88"/>
      <c r="E130" s="88"/>
      <c r="F130" s="87"/>
      <c r="G130" s="85"/>
      <c r="H130" s="90"/>
    </row>
    <row r="131" ht="15.75" customHeight="1">
      <c r="A131" s="84">
        <v>128.0</v>
      </c>
      <c r="B131" s="85"/>
      <c r="C131" s="95"/>
      <c r="D131" s="88"/>
      <c r="E131" s="88"/>
      <c r="F131" s="87"/>
      <c r="G131" s="85"/>
      <c r="H131" s="90"/>
    </row>
    <row r="132" ht="15.75" customHeight="1">
      <c r="A132" s="84">
        <v>129.0</v>
      </c>
      <c r="B132" s="85"/>
      <c r="C132" s="95"/>
      <c r="D132" s="88"/>
      <c r="E132" s="88"/>
      <c r="F132" s="87"/>
      <c r="G132" s="85"/>
      <c r="H132" s="90"/>
    </row>
    <row r="133" ht="15.75" customHeight="1">
      <c r="A133" s="84">
        <v>130.0</v>
      </c>
      <c r="B133" s="85"/>
      <c r="C133" s="95"/>
      <c r="D133" s="88"/>
      <c r="E133" s="88"/>
      <c r="F133" s="87"/>
      <c r="G133" s="85"/>
      <c r="H133" s="90"/>
    </row>
    <row r="134" ht="15.75" customHeight="1">
      <c r="A134" s="84">
        <v>131.0</v>
      </c>
      <c r="B134" s="85"/>
      <c r="C134" s="95"/>
      <c r="D134" s="88"/>
      <c r="E134" s="88"/>
      <c r="F134" s="87"/>
      <c r="G134" s="85"/>
      <c r="H134" s="90"/>
    </row>
    <row r="135" ht="15.75" customHeight="1">
      <c r="A135" s="84">
        <v>132.0</v>
      </c>
      <c r="B135" s="85"/>
      <c r="C135" s="95"/>
      <c r="D135" s="88"/>
      <c r="E135" s="88"/>
      <c r="F135" s="87"/>
      <c r="G135" s="85"/>
      <c r="H135" s="90"/>
      <c r="L135" s="65"/>
      <c r="M135" s="65"/>
      <c r="N135" s="65"/>
      <c r="O135" s="65"/>
      <c r="P135" s="65"/>
    </row>
    <row r="136" ht="15.75" customHeight="1">
      <c r="A136" s="84">
        <v>133.0</v>
      </c>
      <c r="B136" s="85"/>
      <c r="C136" s="95"/>
      <c r="D136" s="88"/>
      <c r="E136" s="88"/>
      <c r="F136" s="87"/>
      <c r="G136" s="85"/>
      <c r="H136" s="90"/>
    </row>
    <row r="137" ht="15.75" customHeight="1">
      <c r="A137" s="84">
        <v>134.0</v>
      </c>
      <c r="B137" s="85"/>
      <c r="C137" s="95"/>
      <c r="D137" s="88"/>
      <c r="E137" s="88"/>
      <c r="F137" s="87"/>
      <c r="G137" s="85"/>
      <c r="H137" s="90"/>
    </row>
    <row r="138" ht="15.75" customHeight="1">
      <c r="A138" s="84">
        <v>135.0</v>
      </c>
      <c r="B138" s="85"/>
      <c r="C138" s="95"/>
      <c r="D138" s="88"/>
      <c r="E138" s="88"/>
      <c r="F138" s="87"/>
      <c r="G138" s="85"/>
      <c r="H138" s="90"/>
    </row>
    <row r="139" ht="15.75" customHeight="1">
      <c r="A139" s="84">
        <v>136.0</v>
      </c>
      <c r="B139" s="85"/>
      <c r="C139" s="95"/>
      <c r="D139" s="88"/>
      <c r="E139" s="88"/>
      <c r="F139" s="87"/>
      <c r="G139" s="85"/>
      <c r="H139" s="90"/>
    </row>
    <row r="140" ht="15.75" customHeight="1">
      <c r="A140" s="84">
        <v>137.0</v>
      </c>
      <c r="B140" s="85"/>
      <c r="C140" s="95"/>
      <c r="D140" s="88"/>
      <c r="E140" s="88"/>
      <c r="F140" s="87"/>
      <c r="G140" s="85"/>
      <c r="H140" s="90"/>
    </row>
    <row r="141" ht="15.75" customHeight="1">
      <c r="A141" s="84">
        <v>138.0</v>
      </c>
      <c r="B141" s="85"/>
      <c r="C141" s="95"/>
      <c r="D141" s="88"/>
      <c r="E141" s="88"/>
      <c r="F141" s="87"/>
      <c r="G141" s="85"/>
      <c r="H141" s="90"/>
    </row>
    <row r="142" ht="15.75" customHeight="1">
      <c r="A142" s="84">
        <v>139.0</v>
      </c>
      <c r="B142" s="85"/>
      <c r="C142" s="95"/>
      <c r="D142" s="88"/>
      <c r="E142" s="88"/>
      <c r="F142" s="87"/>
      <c r="G142" s="85"/>
      <c r="H142" s="90"/>
    </row>
    <row r="143" ht="15.75" customHeight="1">
      <c r="A143" s="84">
        <v>140.0</v>
      </c>
      <c r="B143" s="85"/>
      <c r="C143" s="95"/>
      <c r="D143" s="88"/>
      <c r="E143" s="88"/>
      <c r="F143" s="87"/>
      <c r="G143" s="85"/>
      <c r="H143" s="90"/>
    </row>
    <row r="144" ht="15.75" customHeight="1">
      <c r="A144" s="84">
        <v>141.0</v>
      </c>
      <c r="B144" s="85"/>
      <c r="C144" s="95"/>
      <c r="D144" s="88"/>
      <c r="E144" s="88"/>
      <c r="F144" s="87"/>
      <c r="G144" s="85"/>
      <c r="H144" s="90"/>
    </row>
    <row r="145" ht="15.75" customHeight="1">
      <c r="A145" s="84">
        <v>142.0</v>
      </c>
      <c r="B145" s="85"/>
      <c r="C145" s="95"/>
      <c r="D145" s="88"/>
      <c r="E145" s="88"/>
      <c r="F145" s="87"/>
      <c r="G145" s="85"/>
      <c r="H145" s="90"/>
    </row>
    <row r="146" ht="15.75" customHeight="1">
      <c r="A146" s="84">
        <v>143.0</v>
      </c>
      <c r="B146" s="85"/>
      <c r="C146" s="95"/>
      <c r="D146" s="88"/>
      <c r="E146" s="88"/>
      <c r="F146" s="87"/>
      <c r="G146" s="85"/>
      <c r="H146" s="90"/>
    </row>
    <row r="147" ht="15.75" customHeight="1">
      <c r="A147" s="84">
        <v>144.0</v>
      </c>
      <c r="B147" s="85"/>
      <c r="C147" s="95"/>
      <c r="D147" s="88"/>
      <c r="E147" s="88"/>
      <c r="F147" s="87"/>
      <c r="G147" s="85"/>
      <c r="H147" s="90"/>
    </row>
    <row r="148" ht="15.75" customHeight="1">
      <c r="A148" s="84">
        <v>145.0</v>
      </c>
      <c r="B148" s="85"/>
      <c r="C148" s="95"/>
      <c r="D148" s="88"/>
      <c r="E148" s="88"/>
      <c r="F148" s="87"/>
      <c r="G148" s="85"/>
      <c r="H148" s="90"/>
    </row>
    <row r="149" ht="15.75" customHeight="1">
      <c r="A149" s="84">
        <v>146.0</v>
      </c>
      <c r="B149" s="85"/>
      <c r="C149" s="95"/>
      <c r="D149" s="88"/>
      <c r="E149" s="88"/>
      <c r="F149" s="87"/>
      <c r="G149" s="85"/>
      <c r="H149" s="90"/>
    </row>
    <row r="150" ht="15.75" customHeight="1">
      <c r="A150" s="84">
        <v>147.0</v>
      </c>
      <c r="B150" s="85"/>
      <c r="C150" s="95"/>
      <c r="D150" s="88"/>
      <c r="E150" s="88"/>
      <c r="F150" s="87"/>
      <c r="G150" s="85"/>
      <c r="H150" s="90"/>
    </row>
    <row r="151" ht="15.75" customHeight="1">
      <c r="A151" s="84">
        <v>148.0</v>
      </c>
      <c r="B151" s="85"/>
      <c r="C151" s="95"/>
      <c r="D151" s="88"/>
      <c r="E151" s="88"/>
      <c r="F151" s="87"/>
      <c r="G151" s="85"/>
      <c r="H151" s="90"/>
    </row>
    <row r="152" ht="15.75" customHeight="1">
      <c r="A152" s="84">
        <v>149.0</v>
      </c>
      <c r="B152" s="85"/>
      <c r="C152" s="95"/>
      <c r="D152" s="88"/>
      <c r="E152" s="88"/>
      <c r="F152" s="87"/>
      <c r="G152" s="85"/>
      <c r="H152" s="90"/>
    </row>
    <row r="153" ht="15.75" customHeight="1">
      <c r="A153" s="84">
        <v>150.0</v>
      </c>
      <c r="B153" s="85"/>
      <c r="C153" s="95"/>
      <c r="D153" s="88"/>
      <c r="E153" s="88"/>
      <c r="F153" s="87"/>
      <c r="G153" s="85"/>
      <c r="H153" s="90"/>
    </row>
    <row r="154" ht="15.75" customHeight="1">
      <c r="A154" s="84">
        <v>151.0</v>
      </c>
      <c r="B154" s="85"/>
      <c r="C154" s="95"/>
      <c r="D154" s="88"/>
      <c r="E154" s="88"/>
      <c r="F154" s="87"/>
      <c r="G154" s="85"/>
      <c r="H154" s="90"/>
    </row>
    <row r="155" ht="15.75" customHeight="1">
      <c r="A155" s="84">
        <v>152.0</v>
      </c>
      <c r="B155" s="85"/>
      <c r="C155" s="95"/>
      <c r="D155" s="88"/>
      <c r="E155" s="88"/>
      <c r="F155" s="87"/>
      <c r="G155" s="85"/>
      <c r="H155" s="90"/>
    </row>
    <row r="156" ht="15.75" customHeight="1">
      <c r="A156" s="84">
        <v>153.0</v>
      </c>
      <c r="B156" s="85"/>
      <c r="C156" s="95"/>
      <c r="D156" s="88"/>
      <c r="E156" s="88"/>
      <c r="F156" s="87"/>
      <c r="G156" s="85"/>
      <c r="H156" s="90"/>
    </row>
    <row r="157" ht="15.75" customHeight="1">
      <c r="A157" s="84">
        <v>154.0</v>
      </c>
      <c r="B157" s="85"/>
      <c r="C157" s="95"/>
      <c r="D157" s="88"/>
      <c r="E157" s="88"/>
      <c r="F157" s="87"/>
      <c r="G157" s="85"/>
      <c r="H157" s="90"/>
    </row>
    <row r="158" ht="15.75" customHeight="1">
      <c r="A158" s="84">
        <v>155.0</v>
      </c>
      <c r="B158" s="85"/>
      <c r="C158" s="95"/>
      <c r="D158" s="88"/>
      <c r="E158" s="88"/>
      <c r="F158" s="87"/>
      <c r="G158" s="85"/>
      <c r="H158" s="90"/>
    </row>
    <row r="159" ht="15.75" customHeight="1">
      <c r="A159" s="84">
        <v>156.0</v>
      </c>
      <c r="B159" s="85"/>
      <c r="C159" s="95"/>
      <c r="D159" s="88"/>
      <c r="E159" s="88"/>
      <c r="F159" s="87"/>
      <c r="G159" s="85"/>
      <c r="H159" s="90"/>
    </row>
    <row r="160" ht="15.75" customHeight="1">
      <c r="A160" s="84">
        <v>157.0</v>
      </c>
      <c r="B160" s="85"/>
      <c r="C160" s="95"/>
      <c r="D160" s="88"/>
      <c r="E160" s="88"/>
      <c r="F160" s="87"/>
      <c r="G160" s="85"/>
      <c r="H160" s="90"/>
    </row>
    <row r="161" ht="15.75" customHeight="1">
      <c r="A161" s="84">
        <v>158.0</v>
      </c>
      <c r="B161" s="85"/>
      <c r="C161" s="95"/>
      <c r="D161" s="88"/>
      <c r="E161" s="88"/>
      <c r="F161" s="87"/>
      <c r="G161" s="85"/>
      <c r="H161" s="90"/>
    </row>
    <row r="162" ht="15.75" customHeight="1">
      <c r="A162" s="84">
        <v>159.0</v>
      </c>
      <c r="B162" s="85"/>
      <c r="C162" s="95"/>
      <c r="D162" s="88"/>
      <c r="E162" s="88"/>
      <c r="F162" s="87"/>
      <c r="G162" s="85"/>
      <c r="H162" s="90"/>
    </row>
    <row r="163" ht="15.75" customHeight="1">
      <c r="A163" s="84">
        <v>160.0</v>
      </c>
      <c r="B163" s="85"/>
      <c r="C163" s="95"/>
      <c r="D163" s="88"/>
      <c r="E163" s="88"/>
      <c r="F163" s="87"/>
      <c r="G163" s="85"/>
      <c r="H163" s="90"/>
    </row>
    <row r="164" ht="15.75" customHeight="1">
      <c r="A164" s="84">
        <v>161.0</v>
      </c>
      <c r="B164" s="85"/>
      <c r="C164" s="95"/>
      <c r="D164" s="88"/>
      <c r="E164" s="88"/>
      <c r="F164" s="87"/>
      <c r="G164" s="85"/>
      <c r="H164" s="90"/>
    </row>
    <row r="165" ht="15.75" customHeight="1">
      <c r="A165" s="84">
        <v>162.0</v>
      </c>
      <c r="B165" s="85"/>
      <c r="C165" s="95"/>
      <c r="D165" s="88"/>
      <c r="E165" s="88"/>
      <c r="F165" s="87"/>
      <c r="G165" s="85"/>
      <c r="H165" s="90"/>
    </row>
    <row r="166" ht="15.75" customHeight="1">
      <c r="A166" s="84">
        <v>163.0</v>
      </c>
      <c r="B166" s="85"/>
      <c r="C166" s="95"/>
      <c r="D166" s="88"/>
      <c r="E166" s="88"/>
      <c r="F166" s="87"/>
      <c r="G166" s="85"/>
      <c r="H166" s="90"/>
    </row>
    <row r="167" ht="15.75" customHeight="1">
      <c r="A167" s="84">
        <v>164.0</v>
      </c>
      <c r="B167" s="85"/>
      <c r="C167" s="95"/>
      <c r="D167" s="88"/>
      <c r="E167" s="88"/>
      <c r="F167" s="87"/>
      <c r="G167" s="85"/>
      <c r="H167" s="90"/>
    </row>
    <row r="168" ht="15.75" customHeight="1">
      <c r="A168" s="84">
        <v>165.0</v>
      </c>
      <c r="B168" s="85"/>
      <c r="C168" s="95"/>
      <c r="D168" s="88"/>
      <c r="E168" s="88"/>
      <c r="F168" s="87"/>
      <c r="G168" s="85"/>
      <c r="H168" s="90"/>
    </row>
    <row r="169" ht="15.75" customHeight="1">
      <c r="A169" s="84">
        <v>166.0</v>
      </c>
      <c r="B169" s="85"/>
      <c r="C169" s="95"/>
      <c r="D169" s="88"/>
      <c r="E169" s="88"/>
      <c r="F169" s="87"/>
      <c r="G169" s="85"/>
      <c r="H169" s="90"/>
    </row>
    <row r="170" ht="15.75" customHeight="1">
      <c r="A170" s="84">
        <v>167.0</v>
      </c>
      <c r="B170" s="85"/>
      <c r="C170" s="95"/>
      <c r="D170" s="88"/>
      <c r="E170" s="88"/>
      <c r="F170" s="87"/>
      <c r="G170" s="85"/>
      <c r="H170" s="90"/>
    </row>
    <row r="171" ht="15.75" customHeight="1">
      <c r="A171" s="84">
        <v>168.0</v>
      </c>
      <c r="B171" s="85"/>
      <c r="C171" s="95"/>
      <c r="D171" s="88"/>
      <c r="E171" s="88"/>
      <c r="F171" s="87"/>
      <c r="G171" s="85"/>
      <c r="H171" s="90"/>
    </row>
    <row r="172" ht="15.75" customHeight="1">
      <c r="A172" s="84">
        <v>169.0</v>
      </c>
      <c r="B172" s="96"/>
      <c r="C172" s="97"/>
      <c r="D172" s="88"/>
      <c r="E172" s="88"/>
      <c r="F172" s="88"/>
      <c r="G172" s="90"/>
      <c r="H172" s="90"/>
    </row>
    <row r="173" ht="15.75" customHeight="1">
      <c r="A173" s="84">
        <v>170.0</v>
      </c>
      <c r="B173" s="96"/>
      <c r="C173" s="97"/>
      <c r="D173" s="88"/>
      <c r="E173" s="88"/>
      <c r="F173" s="88"/>
      <c r="G173" s="90"/>
      <c r="H173" s="90"/>
    </row>
    <row r="174" ht="15.75" customHeight="1">
      <c r="A174" s="84">
        <v>171.0</v>
      </c>
      <c r="B174" s="96"/>
      <c r="C174" s="97"/>
      <c r="D174" s="88"/>
      <c r="E174" s="88"/>
      <c r="F174" s="88"/>
      <c r="G174" s="90"/>
      <c r="H174" s="90"/>
    </row>
    <row r="175" ht="15.75" customHeight="1">
      <c r="A175" s="84">
        <v>172.0</v>
      </c>
      <c r="B175" s="96"/>
      <c r="C175" s="97"/>
      <c r="D175" s="88"/>
      <c r="E175" s="88"/>
      <c r="F175" s="88"/>
      <c r="G175" s="90"/>
      <c r="H175" s="90"/>
    </row>
    <row r="176" ht="15.75" customHeight="1">
      <c r="A176" s="84">
        <v>173.0</v>
      </c>
      <c r="B176" s="96"/>
      <c r="C176" s="97"/>
      <c r="D176" s="88"/>
      <c r="E176" s="88"/>
      <c r="F176" s="88"/>
      <c r="G176" s="90"/>
      <c r="H176" s="90"/>
    </row>
    <row r="177" ht="15.75" customHeight="1">
      <c r="A177" s="84">
        <v>174.0</v>
      </c>
      <c r="B177" s="96"/>
      <c r="C177" s="97"/>
      <c r="D177" s="88"/>
      <c r="E177" s="88"/>
      <c r="F177" s="88"/>
      <c r="G177" s="90"/>
      <c r="H177" s="90"/>
    </row>
    <row r="178" ht="15.75" customHeight="1">
      <c r="A178" s="84">
        <v>175.0</v>
      </c>
      <c r="B178" s="96"/>
      <c r="C178" s="97"/>
      <c r="D178" s="88"/>
      <c r="E178" s="88"/>
      <c r="F178" s="88"/>
      <c r="G178" s="90"/>
      <c r="H178" s="90"/>
    </row>
    <row r="179" ht="15.75" customHeight="1">
      <c r="A179" s="84">
        <v>176.0</v>
      </c>
      <c r="B179" s="98"/>
      <c r="C179" s="97"/>
      <c r="D179" s="88"/>
      <c r="E179" s="88"/>
      <c r="F179" s="88"/>
      <c r="G179" s="90"/>
      <c r="H179" s="90"/>
    </row>
    <row r="180" ht="15.75" customHeight="1">
      <c r="A180" s="84">
        <v>177.0</v>
      </c>
      <c r="B180" s="99"/>
      <c r="C180" s="97"/>
      <c r="D180" s="88"/>
      <c r="E180" s="88"/>
      <c r="F180" s="88"/>
      <c r="G180" s="90"/>
      <c r="H180" s="90"/>
    </row>
    <row r="181" ht="15.75" customHeight="1">
      <c r="A181" s="84">
        <v>178.0</v>
      </c>
      <c r="B181" s="99"/>
      <c r="C181" s="97"/>
      <c r="D181" s="88"/>
      <c r="E181" s="88"/>
      <c r="F181" s="88"/>
      <c r="G181" s="90"/>
      <c r="H181" s="90"/>
    </row>
    <row r="182" ht="15.75" customHeight="1">
      <c r="A182" s="84">
        <v>179.0</v>
      </c>
      <c r="B182" s="99"/>
      <c r="C182" s="97"/>
      <c r="D182" s="88"/>
      <c r="E182" s="88"/>
      <c r="F182" s="88"/>
      <c r="G182" s="90"/>
      <c r="H182" s="90"/>
    </row>
    <row r="183" ht="15.75" customHeight="1">
      <c r="A183" s="84">
        <v>180.0</v>
      </c>
      <c r="B183" s="99"/>
      <c r="C183" s="97"/>
      <c r="D183" s="88"/>
      <c r="E183" s="88"/>
      <c r="F183" s="88"/>
      <c r="G183" s="90"/>
      <c r="H183" s="90"/>
    </row>
    <row r="184" ht="15.75" customHeight="1">
      <c r="A184" s="84">
        <v>181.0</v>
      </c>
      <c r="B184" s="99"/>
      <c r="C184" s="97"/>
      <c r="D184" s="88"/>
      <c r="E184" s="88"/>
      <c r="F184" s="88"/>
      <c r="G184" s="90"/>
      <c r="H184" s="90"/>
    </row>
    <row r="185" ht="15.75" customHeight="1">
      <c r="A185" s="84">
        <v>182.0</v>
      </c>
      <c r="B185" s="99"/>
      <c r="C185" s="97"/>
      <c r="D185" s="88"/>
      <c r="E185" s="88"/>
      <c r="F185" s="88"/>
      <c r="G185" s="90"/>
      <c r="H185" s="90"/>
    </row>
    <row r="186" ht="15.75" customHeight="1">
      <c r="A186" s="84">
        <v>183.0</v>
      </c>
      <c r="B186" s="99"/>
      <c r="C186" s="97"/>
      <c r="D186" s="88"/>
      <c r="E186" s="88"/>
      <c r="F186" s="88"/>
      <c r="G186" s="90"/>
      <c r="H186" s="90"/>
    </row>
    <row r="187" ht="15.75" customHeight="1">
      <c r="A187" s="84">
        <v>184.0</v>
      </c>
      <c r="B187" s="99"/>
      <c r="C187" s="97"/>
      <c r="D187" s="88"/>
      <c r="E187" s="88"/>
      <c r="F187" s="88"/>
      <c r="G187" s="90"/>
      <c r="H187" s="90"/>
    </row>
    <row r="188" ht="15.75" customHeight="1">
      <c r="A188" s="84">
        <v>185.0</v>
      </c>
      <c r="B188" s="99"/>
      <c r="C188" s="97"/>
      <c r="D188" s="88"/>
      <c r="E188" s="88"/>
      <c r="F188" s="88"/>
      <c r="G188" s="90"/>
      <c r="H188" s="90"/>
    </row>
    <row r="189" ht="15.75" customHeight="1">
      <c r="A189" s="84">
        <v>186.0</v>
      </c>
      <c r="B189" s="99"/>
      <c r="C189" s="97"/>
      <c r="D189" s="88"/>
      <c r="E189" s="88"/>
      <c r="F189" s="88"/>
      <c r="G189" s="90"/>
      <c r="H189" s="90"/>
    </row>
    <row r="190" ht="15.75" customHeight="1">
      <c r="A190" s="84">
        <v>187.0</v>
      </c>
      <c r="B190" s="99"/>
      <c r="C190" s="97"/>
      <c r="D190" s="88"/>
      <c r="E190" s="88"/>
      <c r="F190" s="88"/>
      <c r="G190" s="90"/>
      <c r="H190" s="90"/>
    </row>
    <row r="191" ht="15.75" customHeight="1">
      <c r="A191" s="84">
        <v>188.0</v>
      </c>
      <c r="B191" s="99"/>
      <c r="C191" s="97"/>
      <c r="D191" s="88"/>
      <c r="E191" s="88"/>
      <c r="F191" s="88"/>
      <c r="G191" s="90"/>
      <c r="H191" s="90"/>
    </row>
    <row r="192" ht="15.75" customHeight="1">
      <c r="A192" s="84">
        <v>189.0</v>
      </c>
      <c r="B192" s="99"/>
      <c r="C192" s="97"/>
      <c r="D192" s="88"/>
      <c r="E192" s="88"/>
      <c r="F192" s="88"/>
      <c r="G192" s="90"/>
      <c r="H192" s="90"/>
    </row>
    <row r="193" ht="15.75" customHeight="1">
      <c r="A193" s="84">
        <v>190.0</v>
      </c>
      <c r="B193" s="99"/>
      <c r="C193" s="97"/>
      <c r="D193" s="88"/>
      <c r="E193" s="88"/>
      <c r="F193" s="88"/>
      <c r="G193" s="90"/>
      <c r="H193" s="90"/>
    </row>
    <row r="194" ht="15.75" customHeight="1">
      <c r="A194" s="84">
        <v>191.0</v>
      </c>
      <c r="B194" s="99"/>
      <c r="C194" s="97"/>
      <c r="D194" s="88"/>
      <c r="E194" s="88"/>
      <c r="F194" s="88"/>
      <c r="G194" s="90"/>
      <c r="H194" s="90"/>
    </row>
    <row r="195" ht="15.75" customHeight="1">
      <c r="A195" s="84">
        <v>192.0</v>
      </c>
      <c r="B195" s="99"/>
      <c r="C195" s="97"/>
      <c r="D195" s="88"/>
      <c r="E195" s="88"/>
      <c r="F195" s="88"/>
      <c r="G195" s="90"/>
      <c r="H195" s="90"/>
    </row>
    <row r="196" ht="15.75" customHeight="1">
      <c r="A196" s="84">
        <v>193.0</v>
      </c>
      <c r="B196" s="99"/>
      <c r="C196" s="97"/>
      <c r="D196" s="88"/>
      <c r="E196" s="88"/>
      <c r="F196" s="88"/>
      <c r="G196" s="90"/>
      <c r="H196" s="90"/>
    </row>
    <row r="197" ht="15.75" customHeight="1">
      <c r="A197" s="84">
        <v>194.0</v>
      </c>
      <c r="B197" s="100"/>
      <c r="C197" s="97"/>
      <c r="D197" s="88"/>
      <c r="E197" s="88"/>
      <c r="F197" s="88"/>
      <c r="G197" s="90"/>
      <c r="H197" s="90"/>
    </row>
    <row r="198" ht="15.75" customHeight="1">
      <c r="A198" s="84">
        <v>195.0</v>
      </c>
      <c r="B198" s="98"/>
      <c r="C198" s="97"/>
      <c r="D198" s="88"/>
      <c r="E198" s="88"/>
      <c r="F198" s="88"/>
      <c r="G198" s="90"/>
      <c r="H198" s="90"/>
    </row>
    <row r="199" ht="15.75" customHeight="1">
      <c r="A199" s="84">
        <v>196.0</v>
      </c>
      <c r="B199" s="99"/>
      <c r="C199" s="97"/>
      <c r="D199" s="88"/>
      <c r="E199" s="88"/>
      <c r="F199" s="88"/>
      <c r="G199" s="90"/>
      <c r="H199" s="90"/>
    </row>
    <row r="200" ht="15.75" customHeight="1">
      <c r="A200" s="84">
        <v>197.0</v>
      </c>
      <c r="B200" s="99"/>
      <c r="C200" s="97"/>
      <c r="D200" s="88"/>
      <c r="E200" s="88"/>
      <c r="F200" s="88"/>
      <c r="G200" s="90"/>
      <c r="H200" s="90"/>
    </row>
    <row r="201" ht="15.75" customHeight="1">
      <c r="A201" s="84">
        <v>198.0</v>
      </c>
      <c r="B201" s="99"/>
      <c r="C201" s="97"/>
      <c r="D201" s="88"/>
      <c r="E201" s="88"/>
      <c r="F201" s="88"/>
      <c r="G201" s="90"/>
      <c r="H201" s="90"/>
    </row>
    <row r="202" ht="15.75" customHeight="1">
      <c r="A202" s="84">
        <v>199.0</v>
      </c>
      <c r="B202" s="99"/>
      <c r="C202" s="97"/>
      <c r="D202" s="88"/>
      <c r="E202" s="88"/>
      <c r="F202" s="88"/>
      <c r="G202" s="90"/>
      <c r="H202" s="90"/>
    </row>
    <row r="203" ht="15.75" customHeight="1">
      <c r="A203" s="84">
        <v>200.0</v>
      </c>
      <c r="B203" s="99"/>
      <c r="C203" s="97"/>
      <c r="D203" s="88"/>
      <c r="E203" s="88"/>
      <c r="F203" s="88"/>
      <c r="G203" s="90"/>
      <c r="H203" s="90"/>
    </row>
    <row r="204" ht="15.75" customHeight="1">
      <c r="A204" s="84">
        <v>201.0</v>
      </c>
      <c r="B204" s="99"/>
      <c r="C204" s="97"/>
      <c r="D204" s="88"/>
      <c r="E204" s="88"/>
      <c r="F204" s="88"/>
      <c r="G204" s="90"/>
      <c r="H204" s="90"/>
    </row>
    <row r="205" ht="15.75" customHeight="1">
      <c r="A205" s="84">
        <v>202.0</v>
      </c>
      <c r="B205" s="99"/>
      <c r="C205" s="97"/>
      <c r="D205" s="88"/>
      <c r="E205" s="88"/>
      <c r="F205" s="88"/>
      <c r="G205" s="90"/>
      <c r="H205" s="90"/>
    </row>
    <row r="206" ht="15.75" customHeight="1">
      <c r="A206" s="84">
        <v>203.0</v>
      </c>
      <c r="B206" s="99"/>
      <c r="C206" s="97"/>
      <c r="D206" s="88"/>
      <c r="E206" s="88"/>
      <c r="F206" s="88"/>
      <c r="G206" s="90"/>
      <c r="H206" s="90"/>
    </row>
    <row r="207" ht="15.75" customHeight="1">
      <c r="A207" s="84">
        <v>204.0</v>
      </c>
      <c r="B207" s="99"/>
      <c r="C207" s="97"/>
      <c r="D207" s="88"/>
      <c r="E207" s="88"/>
      <c r="F207" s="88"/>
      <c r="G207" s="90"/>
      <c r="H207" s="90"/>
    </row>
    <row r="208" ht="15.75" customHeight="1">
      <c r="A208" s="84">
        <v>205.0</v>
      </c>
      <c r="B208" s="99"/>
      <c r="C208" s="97"/>
      <c r="D208" s="88"/>
      <c r="E208" s="88"/>
      <c r="F208" s="88"/>
      <c r="G208" s="90"/>
      <c r="H208" s="90"/>
    </row>
    <row r="209" ht="15.75" customHeight="1">
      <c r="A209" s="84">
        <v>206.0</v>
      </c>
      <c r="B209" s="99"/>
      <c r="C209" s="97"/>
      <c r="D209" s="88"/>
      <c r="E209" s="88"/>
      <c r="F209" s="88"/>
      <c r="G209" s="90"/>
      <c r="H209" s="90"/>
    </row>
    <row r="210" ht="15.75" customHeight="1">
      <c r="A210" s="84">
        <v>207.0</v>
      </c>
      <c r="B210" s="99"/>
      <c r="C210" s="97"/>
      <c r="D210" s="88"/>
      <c r="E210" s="88"/>
      <c r="F210" s="88"/>
      <c r="G210" s="90"/>
      <c r="H210" s="90"/>
    </row>
    <row r="211" ht="15.75" customHeight="1">
      <c r="A211" s="84">
        <v>208.0</v>
      </c>
      <c r="B211" s="99"/>
      <c r="C211" s="97"/>
      <c r="D211" s="88"/>
      <c r="E211" s="88"/>
      <c r="F211" s="88"/>
      <c r="G211" s="90"/>
      <c r="H211" s="90"/>
    </row>
    <row r="212" ht="15.75" customHeight="1">
      <c r="A212" s="84">
        <v>209.0</v>
      </c>
      <c r="B212" s="99"/>
      <c r="C212" s="97"/>
      <c r="D212" s="88"/>
      <c r="E212" s="88"/>
      <c r="F212" s="88"/>
      <c r="G212" s="90"/>
      <c r="H212" s="90"/>
    </row>
    <row r="213" ht="15.75" customHeight="1">
      <c r="A213" s="84">
        <v>210.0</v>
      </c>
      <c r="B213" s="99"/>
      <c r="C213" s="97"/>
      <c r="D213" s="88"/>
      <c r="E213" s="88"/>
      <c r="F213" s="88"/>
      <c r="G213" s="90"/>
      <c r="H213" s="90"/>
    </row>
    <row r="214" ht="15.75" customHeight="1">
      <c r="A214" s="84">
        <v>211.0</v>
      </c>
      <c r="B214" s="99"/>
      <c r="C214" s="97"/>
      <c r="D214" s="88"/>
      <c r="E214" s="88"/>
      <c r="F214" s="88"/>
      <c r="G214" s="90"/>
      <c r="H214" s="90"/>
    </row>
    <row r="215" ht="15.75" customHeight="1">
      <c r="A215" s="84">
        <v>212.0</v>
      </c>
      <c r="B215" s="99"/>
      <c r="C215" s="97"/>
      <c r="D215" s="88"/>
      <c r="E215" s="88"/>
      <c r="F215" s="88"/>
      <c r="G215" s="90"/>
      <c r="H215" s="90"/>
    </row>
    <row r="216" ht="15.75" customHeight="1">
      <c r="A216" s="84">
        <v>213.0</v>
      </c>
      <c r="B216" s="100"/>
      <c r="C216" s="97"/>
      <c r="D216" s="88"/>
      <c r="E216" s="88"/>
      <c r="F216" s="88"/>
      <c r="G216" s="90"/>
      <c r="H216" s="90"/>
    </row>
    <row r="217" ht="15.75" customHeight="1">
      <c r="A217" s="84">
        <v>214.0</v>
      </c>
      <c r="B217" s="98"/>
      <c r="C217" s="101"/>
      <c r="D217" s="102"/>
      <c r="E217" s="102"/>
      <c r="F217" s="88"/>
      <c r="G217" s="103"/>
      <c r="H217" s="103"/>
    </row>
    <row r="218" ht="15.75" customHeight="1">
      <c r="A218" s="84">
        <v>215.0</v>
      </c>
      <c r="B218" s="98"/>
      <c r="C218" s="101"/>
      <c r="D218" s="102"/>
      <c r="E218" s="102"/>
      <c r="F218" s="88"/>
      <c r="G218" s="103"/>
      <c r="H218" s="103"/>
    </row>
    <row r="219" ht="15.75" customHeight="1">
      <c r="A219" s="84">
        <v>216.0</v>
      </c>
      <c r="B219" s="98"/>
      <c r="C219" s="101"/>
      <c r="D219" s="102"/>
      <c r="E219" s="102"/>
      <c r="F219" s="88"/>
      <c r="G219" s="103"/>
      <c r="H219" s="103"/>
    </row>
    <row r="220" ht="15.75" customHeight="1">
      <c r="A220" s="84">
        <v>217.0</v>
      </c>
      <c r="B220" s="98"/>
      <c r="C220" s="101"/>
      <c r="D220" s="102"/>
      <c r="E220" s="102"/>
      <c r="F220" s="88"/>
      <c r="G220" s="103"/>
      <c r="H220" s="103"/>
    </row>
    <row r="221" ht="15.75" customHeight="1">
      <c r="A221" s="84">
        <v>218.0</v>
      </c>
      <c r="B221" s="98"/>
      <c r="C221" s="101"/>
      <c r="D221" s="102"/>
      <c r="E221" s="102"/>
      <c r="F221" s="88"/>
      <c r="G221" s="103"/>
      <c r="H221" s="103"/>
    </row>
    <row r="222" ht="15.75" customHeight="1">
      <c r="A222" s="84">
        <v>219.0</v>
      </c>
      <c r="B222" s="98"/>
      <c r="C222" s="101"/>
      <c r="D222" s="102"/>
      <c r="E222" s="102"/>
      <c r="F222" s="88"/>
      <c r="G222" s="103"/>
      <c r="H222" s="103"/>
    </row>
    <row r="223" ht="15.75" customHeight="1">
      <c r="A223" s="84">
        <v>220.0</v>
      </c>
      <c r="B223" s="98"/>
      <c r="C223" s="101"/>
      <c r="D223" s="102"/>
      <c r="E223" s="102"/>
      <c r="F223" s="88"/>
      <c r="G223" s="103"/>
      <c r="H223" s="103"/>
    </row>
    <row r="224" ht="15.75" customHeight="1">
      <c r="A224" s="84">
        <v>221.0</v>
      </c>
      <c r="B224" s="98"/>
      <c r="C224" s="101"/>
      <c r="D224" s="102"/>
      <c r="E224" s="102"/>
      <c r="F224" s="88"/>
      <c r="G224" s="103"/>
      <c r="H224" s="103"/>
    </row>
    <row r="225" ht="15.75" customHeight="1">
      <c r="A225" s="84">
        <v>222.0</v>
      </c>
      <c r="B225" s="98"/>
      <c r="C225" s="101"/>
      <c r="D225" s="102"/>
      <c r="E225" s="102"/>
      <c r="F225" s="88"/>
      <c r="G225" s="103"/>
      <c r="H225" s="103"/>
    </row>
    <row r="226" ht="15.75" customHeight="1">
      <c r="A226" s="84">
        <v>223.0</v>
      </c>
      <c r="B226" s="98"/>
      <c r="C226" s="101"/>
      <c r="D226" s="102"/>
      <c r="E226" s="102"/>
      <c r="F226" s="88"/>
      <c r="G226" s="103"/>
      <c r="H226" s="103"/>
    </row>
    <row r="227" ht="15.75" customHeight="1">
      <c r="A227" s="84">
        <v>224.0</v>
      </c>
      <c r="B227" s="98"/>
      <c r="C227" s="101"/>
      <c r="D227" s="102"/>
      <c r="E227" s="102"/>
      <c r="F227" s="88"/>
      <c r="G227" s="103"/>
      <c r="H227" s="103"/>
    </row>
    <row r="228" ht="15.75" customHeight="1">
      <c r="A228" s="84">
        <v>225.0</v>
      </c>
      <c r="B228" s="98"/>
      <c r="C228" s="101"/>
      <c r="D228" s="102"/>
      <c r="E228" s="102"/>
      <c r="F228" s="88"/>
      <c r="G228" s="103"/>
      <c r="H228" s="103"/>
    </row>
    <row r="229" ht="15.75" customHeight="1">
      <c r="A229" s="84">
        <v>226.0</v>
      </c>
      <c r="B229" s="98"/>
      <c r="C229" s="101"/>
      <c r="D229" s="102"/>
      <c r="E229" s="102"/>
      <c r="F229" s="88"/>
      <c r="G229" s="103"/>
      <c r="H229" s="103"/>
    </row>
    <row r="230" ht="15.75" customHeight="1">
      <c r="A230" s="84">
        <v>227.0</v>
      </c>
      <c r="B230" s="98"/>
      <c r="C230" s="101"/>
      <c r="D230" s="102"/>
      <c r="E230" s="102"/>
      <c r="F230" s="88"/>
      <c r="G230" s="103"/>
      <c r="H230" s="103"/>
    </row>
    <row r="231" ht="15.75" customHeight="1">
      <c r="A231" s="84">
        <v>228.0</v>
      </c>
      <c r="B231" s="98"/>
      <c r="C231" s="101"/>
      <c r="D231" s="102"/>
      <c r="E231" s="102"/>
      <c r="F231" s="88"/>
      <c r="G231" s="103"/>
      <c r="H231" s="103"/>
    </row>
    <row r="232" ht="15.75" customHeight="1">
      <c r="A232" s="84">
        <v>229.0</v>
      </c>
      <c r="B232" s="98"/>
      <c r="C232" s="101"/>
      <c r="D232" s="102"/>
      <c r="E232" s="102"/>
      <c r="F232" s="88"/>
      <c r="G232" s="103"/>
      <c r="H232" s="103"/>
    </row>
    <row r="233" ht="15.75" customHeight="1">
      <c r="A233" s="84">
        <v>230.0</v>
      </c>
      <c r="B233" s="104"/>
      <c r="C233" s="105"/>
      <c r="D233" s="106"/>
      <c r="E233" s="106"/>
      <c r="F233" s="107"/>
      <c r="G233" s="108"/>
      <c r="H233" s="108"/>
    </row>
    <row r="234" ht="15.75" customHeight="1">
      <c r="A234" s="84">
        <v>231.0</v>
      </c>
      <c r="B234" s="104"/>
      <c r="C234" s="105"/>
      <c r="D234" s="106"/>
      <c r="E234" s="106"/>
      <c r="F234" s="107"/>
      <c r="G234" s="108"/>
      <c r="H234" s="108"/>
    </row>
    <row r="235" ht="15.75" customHeight="1">
      <c r="A235" s="84">
        <v>232.0</v>
      </c>
      <c r="B235" s="104"/>
      <c r="C235" s="105"/>
      <c r="D235" s="106"/>
      <c r="E235" s="106"/>
      <c r="F235" s="107"/>
      <c r="G235" s="108"/>
      <c r="H235" s="108"/>
    </row>
    <row r="236" ht="15.75" customHeight="1">
      <c r="B236" s="75"/>
      <c r="C236" s="76"/>
      <c r="F236" s="77"/>
    </row>
    <row r="237" ht="15.75" customHeight="1">
      <c r="B237" s="75"/>
      <c r="C237" s="76"/>
      <c r="F237" s="77"/>
    </row>
    <row r="238" ht="15.75" customHeight="1">
      <c r="B238" s="75"/>
      <c r="C238" s="76"/>
      <c r="F238" s="77"/>
    </row>
    <row r="239" ht="15.75" customHeight="1">
      <c r="B239" s="75"/>
      <c r="C239" s="76"/>
      <c r="F239" s="77"/>
    </row>
    <row r="240" ht="15.75" customHeight="1">
      <c r="B240" s="75"/>
      <c r="C240" s="76"/>
      <c r="F240" s="77"/>
    </row>
    <row r="241" ht="15.75" customHeight="1">
      <c r="B241" s="75"/>
      <c r="C241" s="76"/>
      <c r="F241" s="77"/>
    </row>
    <row r="242" ht="15.75" customHeight="1">
      <c r="B242" s="75"/>
      <c r="C242" s="76"/>
      <c r="F242" s="77"/>
    </row>
    <row r="243" ht="15.75" customHeight="1">
      <c r="B243" s="75"/>
      <c r="C243" s="76"/>
      <c r="F243" s="77"/>
    </row>
    <row r="244" ht="15.75" customHeight="1">
      <c r="B244" s="75"/>
      <c r="C244" s="76"/>
      <c r="F244" s="77"/>
    </row>
    <row r="245" ht="15.75" customHeight="1">
      <c r="B245" s="75"/>
      <c r="C245" s="76"/>
      <c r="F245" s="77"/>
    </row>
    <row r="246" ht="15.75" customHeight="1">
      <c r="B246" s="75"/>
      <c r="C246" s="76"/>
      <c r="F246" s="77"/>
    </row>
    <row r="247" ht="15.75" customHeight="1">
      <c r="B247" s="75"/>
      <c r="C247" s="76"/>
      <c r="F247" s="77"/>
    </row>
    <row r="248" ht="15.75" customHeight="1">
      <c r="B248" s="75"/>
      <c r="C248" s="76"/>
      <c r="F248" s="77"/>
    </row>
    <row r="249" ht="15.75" customHeight="1">
      <c r="B249" s="75"/>
      <c r="C249" s="76"/>
      <c r="F249" s="77"/>
    </row>
    <row r="250" ht="15.75" customHeight="1">
      <c r="B250" s="75"/>
      <c r="C250" s="76"/>
      <c r="F250" s="77"/>
    </row>
    <row r="251" ht="15.75" customHeight="1">
      <c r="B251" s="75"/>
      <c r="C251" s="76"/>
      <c r="F251" s="77"/>
    </row>
    <row r="252" ht="15.75" customHeight="1">
      <c r="B252" s="75"/>
      <c r="C252" s="76"/>
      <c r="F252" s="77"/>
    </row>
    <row r="253" ht="15.75" customHeight="1">
      <c r="B253" s="75"/>
      <c r="C253" s="76"/>
      <c r="F253" s="77"/>
    </row>
    <row r="254" ht="15.75" customHeight="1">
      <c r="B254" s="75"/>
      <c r="C254" s="76"/>
      <c r="F254" s="77"/>
    </row>
    <row r="255" ht="15.75" customHeight="1">
      <c r="B255" s="75"/>
      <c r="C255" s="76"/>
      <c r="F255" s="77"/>
    </row>
    <row r="256" ht="15.75" customHeight="1">
      <c r="B256" s="75"/>
      <c r="C256" s="76"/>
      <c r="F256" s="77"/>
    </row>
    <row r="257" ht="15.75" customHeight="1">
      <c r="B257" s="75"/>
      <c r="C257" s="76"/>
      <c r="F257" s="77"/>
    </row>
    <row r="258" ht="15.75" customHeight="1">
      <c r="B258" s="75"/>
      <c r="C258" s="76"/>
      <c r="F258" s="77"/>
    </row>
    <row r="259" ht="15.75" customHeight="1">
      <c r="B259" s="75"/>
      <c r="C259" s="76"/>
      <c r="F259" s="77"/>
    </row>
    <row r="260" ht="15.75" customHeight="1">
      <c r="B260" s="75"/>
      <c r="C260" s="76"/>
      <c r="F260" s="77"/>
    </row>
    <row r="261" ht="15.75" customHeight="1">
      <c r="B261" s="75"/>
      <c r="C261" s="76"/>
      <c r="F261" s="77"/>
    </row>
    <row r="262" ht="15.75" customHeight="1">
      <c r="B262" s="75"/>
      <c r="C262" s="76"/>
      <c r="F262" s="77"/>
    </row>
    <row r="263" ht="15.75" customHeight="1">
      <c r="B263" s="75"/>
      <c r="C263" s="76"/>
      <c r="F263" s="77"/>
    </row>
    <row r="264" ht="15.75" customHeight="1">
      <c r="B264" s="75"/>
      <c r="C264" s="76"/>
      <c r="F264" s="77"/>
    </row>
    <row r="265" ht="15.75" customHeight="1">
      <c r="B265" s="75"/>
      <c r="C265" s="76"/>
      <c r="F265" s="77"/>
    </row>
    <row r="266" ht="15.75" customHeight="1">
      <c r="B266" s="75"/>
      <c r="C266" s="76"/>
      <c r="F266" s="77"/>
    </row>
    <row r="267" ht="15.75" customHeight="1">
      <c r="B267" s="75"/>
      <c r="C267" s="76"/>
      <c r="F267" s="77"/>
    </row>
    <row r="268" ht="15.75" customHeight="1">
      <c r="B268" s="75"/>
      <c r="C268" s="76"/>
      <c r="F268" s="77"/>
    </row>
    <row r="269" ht="15.75" customHeight="1">
      <c r="B269" s="75"/>
      <c r="C269" s="76"/>
      <c r="F269" s="77"/>
    </row>
    <row r="270" ht="15.75" customHeight="1">
      <c r="B270" s="75"/>
      <c r="C270" s="76"/>
      <c r="F270" s="77"/>
    </row>
    <row r="271" ht="15.75" customHeight="1">
      <c r="B271" s="75"/>
      <c r="C271" s="76"/>
      <c r="F271" s="77"/>
    </row>
    <row r="272" ht="15.75" customHeight="1">
      <c r="B272" s="75"/>
      <c r="C272" s="76"/>
      <c r="F272" s="77"/>
    </row>
    <row r="273" ht="15.75" customHeight="1">
      <c r="B273" s="75"/>
      <c r="C273" s="76"/>
      <c r="F273" s="77"/>
    </row>
    <row r="274" ht="15.75" customHeight="1">
      <c r="B274" s="75"/>
      <c r="C274" s="76"/>
      <c r="F274" s="77"/>
    </row>
    <row r="275" ht="15.75" customHeight="1">
      <c r="B275" s="75"/>
      <c r="C275" s="76"/>
      <c r="F275" s="77"/>
    </row>
    <row r="276" ht="15.75" customHeight="1">
      <c r="B276" s="75"/>
      <c r="C276" s="76"/>
      <c r="F276" s="77"/>
    </row>
    <row r="277" ht="15.75" customHeight="1">
      <c r="B277" s="75"/>
      <c r="C277" s="76"/>
      <c r="F277" s="77"/>
    </row>
    <row r="278" ht="15.75" customHeight="1">
      <c r="B278" s="75"/>
      <c r="C278" s="76"/>
      <c r="F278" s="77"/>
    </row>
    <row r="279" ht="15.75" customHeight="1">
      <c r="B279" s="75"/>
      <c r="C279" s="76"/>
      <c r="F279" s="77"/>
    </row>
    <row r="280" ht="15.75" customHeight="1">
      <c r="B280" s="75"/>
      <c r="C280" s="76"/>
      <c r="F280" s="77"/>
    </row>
    <row r="281" ht="15.75" customHeight="1">
      <c r="B281" s="75"/>
      <c r="C281" s="76"/>
      <c r="F281" s="77"/>
    </row>
    <row r="282" ht="15.75" customHeight="1">
      <c r="B282" s="75"/>
      <c r="C282" s="76"/>
      <c r="F282" s="77"/>
    </row>
    <row r="283" ht="15.75" customHeight="1">
      <c r="B283" s="75"/>
      <c r="C283" s="76"/>
      <c r="F283" s="77"/>
    </row>
    <row r="284" ht="15.75" customHeight="1">
      <c r="B284" s="75"/>
      <c r="C284" s="76"/>
      <c r="F284" s="77"/>
    </row>
    <row r="285" ht="15.75" customHeight="1">
      <c r="B285" s="75"/>
      <c r="C285" s="76"/>
      <c r="F285" s="77"/>
    </row>
    <row r="286" ht="15.75" customHeight="1">
      <c r="B286" s="75"/>
      <c r="C286" s="76"/>
      <c r="F286" s="77"/>
    </row>
    <row r="287" ht="15.75" customHeight="1">
      <c r="B287" s="75"/>
      <c r="C287" s="76"/>
      <c r="F287" s="77"/>
    </row>
    <row r="288" ht="15.75" customHeight="1">
      <c r="B288" s="75"/>
      <c r="C288" s="76"/>
      <c r="F288" s="77"/>
    </row>
    <row r="289" ht="15.75" customHeight="1">
      <c r="B289" s="75"/>
      <c r="C289" s="76"/>
      <c r="F289" s="77"/>
    </row>
    <row r="290" ht="15.75" customHeight="1">
      <c r="B290" s="75"/>
      <c r="C290" s="76"/>
      <c r="F290" s="77"/>
    </row>
    <row r="291" ht="15.75" customHeight="1">
      <c r="B291" s="75"/>
      <c r="C291" s="76"/>
      <c r="F291" s="77"/>
    </row>
    <row r="292" ht="15.75" customHeight="1">
      <c r="B292" s="75"/>
      <c r="C292" s="76"/>
      <c r="F292" s="77"/>
    </row>
    <row r="293" ht="15.75" customHeight="1">
      <c r="B293" s="75"/>
      <c r="C293" s="76"/>
      <c r="F293" s="77"/>
    </row>
    <row r="294" ht="15.75" customHeight="1">
      <c r="B294" s="75"/>
      <c r="C294" s="76"/>
      <c r="F294" s="77"/>
    </row>
    <row r="295" ht="15.75" customHeight="1">
      <c r="B295" s="75"/>
      <c r="C295" s="76"/>
      <c r="F295" s="77"/>
    </row>
    <row r="296" ht="15.75" customHeight="1">
      <c r="B296" s="75"/>
      <c r="C296" s="76"/>
      <c r="F296" s="77"/>
    </row>
    <row r="297" ht="15.75" customHeight="1">
      <c r="B297" s="75"/>
      <c r="C297" s="76"/>
      <c r="F297" s="77"/>
    </row>
    <row r="298" ht="15.75" customHeight="1">
      <c r="B298" s="75"/>
      <c r="C298" s="76"/>
      <c r="F298" s="77"/>
    </row>
    <row r="299" ht="15.75" customHeight="1">
      <c r="B299" s="75"/>
      <c r="C299" s="76"/>
      <c r="F299" s="77"/>
    </row>
    <row r="300" ht="15.75" customHeight="1">
      <c r="B300" s="75"/>
      <c r="C300" s="76"/>
      <c r="F300" s="77"/>
    </row>
    <row r="301" ht="15.75" customHeight="1">
      <c r="B301" s="75"/>
      <c r="C301" s="76"/>
      <c r="F301" s="77"/>
    </row>
    <row r="302" ht="15.75" customHeight="1">
      <c r="B302" s="75"/>
      <c r="C302" s="76"/>
      <c r="F302" s="77"/>
    </row>
    <row r="303" ht="15.75" customHeight="1">
      <c r="B303" s="75"/>
      <c r="C303" s="76"/>
      <c r="F303" s="77"/>
    </row>
    <row r="304" ht="15.75" customHeight="1">
      <c r="B304" s="75"/>
      <c r="C304" s="76"/>
      <c r="F304" s="77"/>
    </row>
    <row r="305" ht="15.75" customHeight="1">
      <c r="B305" s="75"/>
      <c r="C305" s="76"/>
      <c r="F305" s="77"/>
    </row>
    <row r="306" ht="15.75" customHeight="1">
      <c r="B306" s="75"/>
      <c r="C306" s="76"/>
      <c r="F306" s="77"/>
    </row>
    <row r="307" ht="15.75" customHeight="1">
      <c r="B307" s="75"/>
      <c r="C307" s="76"/>
      <c r="F307" s="77"/>
    </row>
    <row r="308" ht="15.75" customHeight="1">
      <c r="B308" s="75"/>
      <c r="C308" s="76"/>
      <c r="F308" s="77"/>
    </row>
    <row r="309" ht="15.75" customHeight="1">
      <c r="B309" s="75"/>
      <c r="C309" s="76"/>
      <c r="F309" s="77"/>
    </row>
    <row r="310" ht="15.75" customHeight="1">
      <c r="B310" s="75"/>
      <c r="C310" s="76"/>
      <c r="F310" s="77"/>
    </row>
    <row r="311" ht="15.75" customHeight="1">
      <c r="B311" s="75"/>
      <c r="C311" s="76"/>
      <c r="F311" s="77"/>
    </row>
    <row r="312" ht="15.75" customHeight="1">
      <c r="B312" s="75"/>
      <c r="C312" s="76"/>
      <c r="F312" s="77"/>
    </row>
    <row r="313" ht="15.75" customHeight="1">
      <c r="B313" s="75"/>
      <c r="C313" s="76"/>
      <c r="F313" s="77"/>
    </row>
    <row r="314" ht="15.75" customHeight="1">
      <c r="B314" s="75"/>
      <c r="C314" s="76"/>
      <c r="F314" s="77"/>
    </row>
    <row r="315" ht="15.75" customHeight="1">
      <c r="B315" s="75"/>
      <c r="C315" s="76"/>
      <c r="F315" s="77"/>
    </row>
    <row r="316" ht="15.75" customHeight="1">
      <c r="B316" s="75"/>
      <c r="C316" s="76"/>
      <c r="F316" s="77"/>
    </row>
    <row r="317" ht="15.75" customHeight="1">
      <c r="B317" s="75"/>
      <c r="C317" s="76"/>
      <c r="F317" s="77"/>
    </row>
    <row r="318" ht="15.75" customHeight="1">
      <c r="B318" s="75"/>
      <c r="C318" s="76"/>
      <c r="F318" s="77"/>
    </row>
    <row r="319" ht="15.75" customHeight="1">
      <c r="B319" s="75"/>
      <c r="C319" s="76"/>
      <c r="F319" s="77"/>
    </row>
    <row r="320" ht="15.75" customHeight="1">
      <c r="B320" s="75"/>
      <c r="C320" s="76"/>
      <c r="F320" s="77"/>
    </row>
    <row r="321" ht="15.75" customHeight="1">
      <c r="B321" s="75"/>
      <c r="C321" s="76"/>
      <c r="F321" s="77"/>
    </row>
    <row r="322" ht="15.75" customHeight="1">
      <c r="B322" s="75"/>
      <c r="C322" s="76"/>
      <c r="F322" s="77"/>
    </row>
    <row r="323" ht="15.75" customHeight="1">
      <c r="B323" s="75"/>
      <c r="C323" s="76"/>
      <c r="F323" s="77"/>
    </row>
    <row r="324" ht="15.75" customHeight="1">
      <c r="B324" s="75"/>
      <c r="C324" s="76"/>
      <c r="F324" s="77"/>
    </row>
    <row r="325" ht="15.75" customHeight="1">
      <c r="B325" s="75"/>
      <c r="C325" s="76"/>
      <c r="F325" s="77"/>
    </row>
    <row r="326" ht="15.75" customHeight="1">
      <c r="B326" s="75"/>
      <c r="C326" s="76"/>
      <c r="F326" s="77"/>
    </row>
    <row r="327" ht="15.75" customHeight="1">
      <c r="B327" s="75"/>
      <c r="C327" s="76"/>
      <c r="F327" s="77"/>
    </row>
    <row r="328" ht="15.75" customHeight="1">
      <c r="B328" s="75"/>
      <c r="C328" s="76"/>
      <c r="F328" s="77"/>
    </row>
    <row r="329" ht="15.75" customHeight="1">
      <c r="B329" s="75"/>
      <c r="C329" s="76"/>
      <c r="F329" s="77"/>
    </row>
    <row r="330" ht="15.75" customHeight="1">
      <c r="B330" s="75"/>
      <c r="C330" s="76"/>
      <c r="F330" s="77"/>
    </row>
    <row r="331" ht="15.75" customHeight="1">
      <c r="B331" s="75"/>
      <c r="C331" s="76"/>
      <c r="F331" s="77"/>
    </row>
    <row r="332" ht="15.75" customHeight="1">
      <c r="B332" s="75"/>
      <c r="C332" s="76"/>
      <c r="F332" s="77"/>
    </row>
    <row r="333" ht="15.75" customHeight="1">
      <c r="B333" s="75"/>
      <c r="C333" s="76"/>
      <c r="F333" s="77"/>
    </row>
    <row r="334" ht="15.75" customHeight="1">
      <c r="B334" s="75"/>
      <c r="C334" s="76"/>
      <c r="F334" s="77"/>
    </row>
    <row r="335" ht="15.75" customHeight="1">
      <c r="B335" s="75"/>
      <c r="C335" s="76"/>
      <c r="F335" s="77"/>
    </row>
    <row r="336" ht="15.75" customHeight="1">
      <c r="B336" s="75"/>
      <c r="C336" s="76"/>
      <c r="F336" s="77"/>
    </row>
    <row r="337" ht="15.75" customHeight="1">
      <c r="B337" s="75"/>
      <c r="C337" s="76"/>
      <c r="F337" s="77"/>
    </row>
    <row r="338" ht="15.75" customHeight="1">
      <c r="B338" s="75"/>
      <c r="C338" s="76"/>
      <c r="F338" s="77"/>
    </row>
    <row r="339" ht="15.75" customHeight="1">
      <c r="B339" s="75"/>
      <c r="C339" s="76"/>
      <c r="F339" s="77"/>
    </row>
    <row r="340" ht="15.75" customHeight="1">
      <c r="B340" s="75"/>
      <c r="C340" s="76"/>
      <c r="F340" s="77"/>
    </row>
    <row r="341" ht="15.75" customHeight="1">
      <c r="B341" s="75"/>
      <c r="C341" s="76"/>
      <c r="F341" s="77"/>
    </row>
    <row r="342" ht="15.75" customHeight="1">
      <c r="B342" s="75"/>
      <c r="C342" s="76"/>
      <c r="F342" s="77"/>
    </row>
    <row r="343" ht="15.75" customHeight="1">
      <c r="B343" s="75"/>
      <c r="C343" s="76"/>
      <c r="F343" s="77"/>
    </row>
    <row r="344" ht="15.75" customHeight="1">
      <c r="B344" s="75"/>
      <c r="C344" s="76"/>
      <c r="F344" s="77"/>
    </row>
    <row r="345" ht="15.75" customHeight="1">
      <c r="B345" s="75"/>
      <c r="C345" s="76"/>
      <c r="F345" s="77"/>
    </row>
    <row r="346" ht="15.75" customHeight="1">
      <c r="B346" s="75"/>
      <c r="C346" s="76"/>
      <c r="F346" s="77"/>
    </row>
    <row r="347" ht="15.75" customHeight="1">
      <c r="B347" s="75"/>
      <c r="C347" s="76"/>
      <c r="F347" s="77"/>
    </row>
    <row r="348" ht="15.75" customHeight="1">
      <c r="B348" s="75"/>
      <c r="C348" s="76"/>
      <c r="F348" s="77"/>
    </row>
    <row r="349" ht="15.75" customHeight="1">
      <c r="B349" s="75"/>
      <c r="C349" s="76"/>
      <c r="F349" s="77"/>
    </row>
    <row r="350" ht="15.75" customHeight="1">
      <c r="B350" s="75"/>
      <c r="C350" s="76"/>
      <c r="F350" s="77"/>
    </row>
    <row r="351" ht="15.75" customHeight="1">
      <c r="B351" s="75"/>
      <c r="C351" s="76"/>
      <c r="F351" s="77"/>
    </row>
    <row r="352" ht="15.75" customHeight="1">
      <c r="B352" s="75"/>
      <c r="C352" s="76"/>
      <c r="F352" s="77"/>
    </row>
    <row r="353" ht="15.75" customHeight="1">
      <c r="B353" s="75"/>
      <c r="C353" s="76"/>
      <c r="F353" s="77"/>
    </row>
    <row r="354" ht="15.75" customHeight="1">
      <c r="B354" s="75"/>
      <c r="C354" s="76"/>
      <c r="F354" s="77"/>
    </row>
    <row r="355" ht="15.75" customHeight="1">
      <c r="B355" s="75"/>
      <c r="C355" s="76"/>
      <c r="F355" s="77"/>
    </row>
    <row r="356" ht="15.75" customHeight="1">
      <c r="B356" s="75"/>
      <c r="C356" s="76"/>
      <c r="F356" s="77"/>
    </row>
    <row r="357" ht="15.75" customHeight="1">
      <c r="B357" s="75"/>
      <c r="C357" s="76"/>
      <c r="F357" s="77"/>
    </row>
    <row r="358" ht="15.75" customHeight="1">
      <c r="B358" s="75"/>
      <c r="C358" s="76"/>
      <c r="F358" s="77"/>
    </row>
    <row r="359" ht="15.75" customHeight="1">
      <c r="B359" s="75"/>
      <c r="C359" s="76"/>
      <c r="F359" s="77"/>
    </row>
    <row r="360" ht="15.75" customHeight="1">
      <c r="B360" s="75"/>
      <c r="C360" s="76"/>
      <c r="F360" s="77"/>
    </row>
    <row r="361" ht="15.75" customHeight="1">
      <c r="B361" s="75"/>
      <c r="C361" s="76"/>
      <c r="F361" s="77"/>
    </row>
    <row r="362" ht="15.75" customHeight="1">
      <c r="B362" s="75"/>
      <c r="C362" s="76"/>
      <c r="F362" s="77"/>
    </row>
    <row r="363" ht="15.75" customHeight="1">
      <c r="B363" s="75"/>
      <c r="C363" s="76"/>
      <c r="F363" s="77"/>
    </row>
    <row r="364" ht="15.75" customHeight="1">
      <c r="B364" s="75"/>
      <c r="C364" s="76"/>
      <c r="F364" s="77"/>
    </row>
    <row r="365" ht="15.75" customHeight="1">
      <c r="B365" s="75"/>
      <c r="C365" s="76"/>
      <c r="F365" s="77"/>
    </row>
    <row r="366" ht="15.75" customHeight="1">
      <c r="B366" s="75"/>
      <c r="C366" s="76"/>
      <c r="F366" s="77"/>
    </row>
    <row r="367" ht="15.75" customHeight="1">
      <c r="B367" s="75"/>
      <c r="C367" s="76"/>
      <c r="F367" s="77"/>
    </row>
    <row r="368" ht="15.75" customHeight="1">
      <c r="B368" s="75"/>
      <c r="C368" s="76"/>
      <c r="F368" s="77"/>
    </row>
    <row r="369" ht="15.75" customHeight="1">
      <c r="B369" s="75"/>
      <c r="C369" s="76"/>
      <c r="F369" s="77"/>
    </row>
    <row r="370" ht="15.75" customHeight="1">
      <c r="B370" s="75"/>
      <c r="C370" s="76"/>
      <c r="F370" s="77"/>
    </row>
    <row r="371" ht="15.75" customHeight="1">
      <c r="B371" s="75"/>
      <c r="C371" s="76"/>
      <c r="F371" s="77"/>
    </row>
    <row r="372" ht="15.75" customHeight="1">
      <c r="B372" s="75"/>
      <c r="C372" s="76"/>
      <c r="F372" s="77"/>
    </row>
    <row r="373" ht="15.75" customHeight="1">
      <c r="B373" s="75"/>
      <c r="C373" s="76"/>
      <c r="F373" s="77"/>
    </row>
    <row r="374" ht="15.75" customHeight="1">
      <c r="B374" s="75"/>
      <c r="C374" s="76"/>
      <c r="F374" s="77"/>
    </row>
    <row r="375" ht="15.75" customHeight="1">
      <c r="B375" s="75"/>
      <c r="C375" s="76"/>
      <c r="F375" s="77"/>
    </row>
    <row r="376" ht="15.75" customHeight="1">
      <c r="B376" s="75"/>
      <c r="C376" s="76"/>
      <c r="F376" s="77"/>
    </row>
    <row r="377" ht="15.75" customHeight="1">
      <c r="B377" s="75"/>
      <c r="C377" s="76"/>
      <c r="F377" s="77"/>
    </row>
    <row r="378" ht="15.75" customHeight="1">
      <c r="B378" s="75"/>
      <c r="C378" s="76"/>
      <c r="F378" s="77"/>
    </row>
    <row r="379" ht="15.75" customHeight="1">
      <c r="B379" s="75"/>
      <c r="C379" s="76"/>
      <c r="F379" s="77"/>
    </row>
    <row r="380" ht="15.75" customHeight="1">
      <c r="B380" s="75"/>
      <c r="C380" s="76"/>
      <c r="F380" s="77"/>
    </row>
    <row r="381" ht="15.75" customHeight="1">
      <c r="B381" s="75"/>
      <c r="C381" s="76"/>
      <c r="F381" s="77"/>
    </row>
    <row r="382" ht="15.75" customHeight="1">
      <c r="B382" s="75"/>
      <c r="C382" s="76"/>
      <c r="F382" s="77"/>
    </row>
    <row r="383" ht="15.75" customHeight="1">
      <c r="B383" s="75"/>
      <c r="C383" s="76"/>
      <c r="F383" s="77"/>
    </row>
    <row r="384" ht="15.75" customHeight="1">
      <c r="B384" s="75"/>
      <c r="C384" s="76"/>
      <c r="F384" s="77"/>
    </row>
    <row r="385" ht="15.75" customHeight="1">
      <c r="B385" s="75"/>
      <c r="C385" s="76"/>
      <c r="F385" s="77"/>
    </row>
    <row r="386" ht="15.75" customHeight="1">
      <c r="B386" s="75"/>
      <c r="C386" s="76"/>
      <c r="F386" s="77"/>
    </row>
    <row r="387" ht="15.75" customHeight="1">
      <c r="B387" s="75"/>
      <c r="C387" s="76"/>
      <c r="F387" s="77"/>
    </row>
    <row r="388" ht="15.75" customHeight="1">
      <c r="B388" s="75"/>
      <c r="C388" s="76"/>
      <c r="F388" s="77"/>
    </row>
    <row r="389" ht="15.75" customHeight="1">
      <c r="B389" s="75"/>
      <c r="C389" s="76"/>
      <c r="F389" s="77"/>
    </row>
    <row r="390" ht="15.75" customHeight="1">
      <c r="B390" s="75"/>
      <c r="C390" s="76"/>
      <c r="F390" s="77"/>
    </row>
    <row r="391" ht="15.75" customHeight="1">
      <c r="B391" s="75"/>
      <c r="C391" s="76"/>
      <c r="F391" s="77"/>
    </row>
    <row r="392" ht="15.75" customHeight="1">
      <c r="B392" s="75"/>
      <c r="C392" s="76"/>
      <c r="F392" s="77"/>
    </row>
    <row r="393" ht="15.75" customHeight="1">
      <c r="B393" s="75"/>
      <c r="C393" s="76"/>
      <c r="F393" s="77"/>
    </row>
    <row r="394" ht="15.75" customHeight="1">
      <c r="B394" s="75"/>
      <c r="C394" s="76"/>
      <c r="F394" s="77"/>
    </row>
    <row r="395" ht="15.75" customHeight="1">
      <c r="B395" s="75"/>
      <c r="C395" s="76"/>
      <c r="F395" s="77"/>
    </row>
    <row r="396" ht="15.75" customHeight="1">
      <c r="B396" s="75"/>
      <c r="C396" s="76"/>
      <c r="F396" s="77"/>
    </row>
    <row r="397" ht="15.75" customHeight="1">
      <c r="B397" s="75"/>
      <c r="C397" s="76"/>
      <c r="F397" s="77"/>
    </row>
    <row r="398" ht="15.75" customHeight="1">
      <c r="B398" s="75"/>
      <c r="C398" s="76"/>
      <c r="F398" s="77"/>
    </row>
    <row r="399" ht="15.75" customHeight="1">
      <c r="B399" s="75"/>
      <c r="C399" s="76"/>
      <c r="F399" s="77"/>
    </row>
    <row r="400" ht="15.75" customHeight="1">
      <c r="B400" s="75"/>
      <c r="C400" s="76"/>
      <c r="F400" s="77"/>
    </row>
    <row r="401" ht="15.75" customHeight="1">
      <c r="B401" s="75"/>
      <c r="C401" s="76"/>
      <c r="F401" s="77"/>
    </row>
    <row r="402" ht="15.75" customHeight="1">
      <c r="B402" s="75"/>
      <c r="C402" s="76"/>
      <c r="F402" s="77"/>
    </row>
    <row r="403" ht="15.75" customHeight="1">
      <c r="B403" s="75"/>
      <c r="C403" s="76"/>
      <c r="F403" s="77"/>
    </row>
    <row r="404" ht="15.75" customHeight="1">
      <c r="B404" s="75"/>
      <c r="C404" s="76"/>
      <c r="F404" s="77"/>
    </row>
    <row r="405" ht="15.75" customHeight="1">
      <c r="B405" s="75"/>
      <c r="C405" s="76"/>
      <c r="F405" s="77"/>
    </row>
    <row r="406" ht="15.75" customHeight="1">
      <c r="B406" s="75"/>
      <c r="C406" s="76"/>
      <c r="F406" s="77"/>
    </row>
    <row r="407" ht="15.75" customHeight="1">
      <c r="B407" s="75"/>
      <c r="C407" s="76"/>
      <c r="F407" s="77"/>
    </row>
    <row r="408" ht="15.75" customHeight="1">
      <c r="B408" s="75"/>
      <c r="C408" s="76"/>
      <c r="F408" s="77"/>
    </row>
    <row r="409" ht="15.75" customHeight="1">
      <c r="B409" s="75"/>
      <c r="C409" s="76"/>
      <c r="F409" s="77"/>
    </row>
    <row r="410" ht="15.75" customHeight="1">
      <c r="B410" s="75"/>
      <c r="C410" s="76"/>
      <c r="F410" s="77"/>
    </row>
    <row r="411" ht="15.75" customHeight="1">
      <c r="B411" s="75"/>
      <c r="C411" s="76"/>
      <c r="F411" s="77"/>
    </row>
    <row r="412" ht="15.75" customHeight="1">
      <c r="B412" s="75"/>
      <c r="C412" s="76"/>
      <c r="F412" s="77"/>
    </row>
    <row r="413" ht="15.75" customHeight="1">
      <c r="B413" s="75"/>
      <c r="C413" s="76"/>
      <c r="F413" s="77"/>
    </row>
    <row r="414" ht="15.75" customHeight="1">
      <c r="B414" s="75"/>
      <c r="C414" s="76"/>
      <c r="F414" s="77"/>
    </row>
    <row r="415" ht="15.75" customHeight="1">
      <c r="B415" s="75"/>
      <c r="C415" s="76"/>
      <c r="F415" s="77"/>
    </row>
    <row r="416" ht="15.75" customHeight="1">
      <c r="B416" s="75"/>
      <c r="C416" s="76"/>
      <c r="F416" s="77"/>
    </row>
    <row r="417" ht="15.75" customHeight="1">
      <c r="B417" s="75"/>
      <c r="C417" s="76"/>
      <c r="F417" s="77"/>
    </row>
    <row r="418" ht="15.75" customHeight="1">
      <c r="B418" s="75"/>
      <c r="C418" s="76"/>
      <c r="F418" s="77"/>
    </row>
    <row r="419" ht="15.75" customHeight="1">
      <c r="B419" s="75"/>
      <c r="C419" s="76"/>
      <c r="F419" s="77"/>
    </row>
    <row r="420" ht="15.75" customHeight="1">
      <c r="B420" s="75"/>
      <c r="C420" s="76"/>
      <c r="F420" s="77"/>
    </row>
    <row r="421" ht="15.75" customHeight="1">
      <c r="B421" s="75"/>
      <c r="C421" s="76"/>
      <c r="F421" s="77"/>
    </row>
    <row r="422" ht="15.75" customHeight="1">
      <c r="B422" s="75"/>
      <c r="C422" s="76"/>
      <c r="F422" s="77"/>
    </row>
    <row r="423" ht="15.75" customHeight="1">
      <c r="B423" s="75"/>
      <c r="C423" s="76"/>
      <c r="F423" s="77"/>
    </row>
    <row r="424" ht="15.75" customHeight="1">
      <c r="B424" s="75"/>
      <c r="C424" s="76"/>
      <c r="F424" s="77"/>
    </row>
    <row r="425" ht="15.75" customHeight="1">
      <c r="B425" s="75"/>
      <c r="C425" s="76"/>
      <c r="F425" s="77"/>
    </row>
    <row r="426" ht="15.75" customHeight="1">
      <c r="B426" s="75"/>
      <c r="C426" s="76"/>
      <c r="F426" s="77"/>
    </row>
    <row r="427" ht="15.75" customHeight="1">
      <c r="B427" s="75"/>
      <c r="C427" s="76"/>
      <c r="F427" s="77"/>
    </row>
    <row r="428" ht="15.75" customHeight="1">
      <c r="B428" s="75"/>
      <c r="C428" s="76"/>
      <c r="F428" s="77"/>
    </row>
    <row r="429" ht="15.75" customHeight="1">
      <c r="B429" s="75"/>
      <c r="C429" s="76"/>
      <c r="F429" s="77"/>
    </row>
    <row r="430" ht="15.75" customHeight="1">
      <c r="B430" s="75"/>
      <c r="C430" s="76"/>
      <c r="F430" s="77"/>
    </row>
    <row r="431" ht="15.75" customHeight="1">
      <c r="B431" s="75"/>
      <c r="C431" s="76"/>
      <c r="F431" s="77"/>
    </row>
    <row r="432" ht="15.75" customHeight="1">
      <c r="B432" s="75"/>
      <c r="C432" s="76"/>
      <c r="F432" s="77"/>
    </row>
    <row r="433" ht="15.75" customHeight="1">
      <c r="B433" s="75"/>
      <c r="C433" s="76"/>
      <c r="F433" s="77"/>
    </row>
    <row r="434" ht="15.75" customHeight="1">
      <c r="B434" s="75"/>
      <c r="C434" s="76"/>
      <c r="F434" s="77"/>
    </row>
    <row r="435" ht="15.75" customHeight="1">
      <c r="B435" s="75"/>
      <c r="C435" s="76"/>
      <c r="F435" s="77"/>
    </row>
    <row r="436" ht="15.75" customHeight="1">
      <c r="B436" s="75"/>
      <c r="C436" s="76"/>
      <c r="F436" s="77"/>
    </row>
    <row r="437" ht="15.75" customHeight="1">
      <c r="B437" s="75"/>
      <c r="C437" s="76"/>
      <c r="F437" s="77"/>
    </row>
    <row r="438" ht="15.75" customHeight="1">
      <c r="B438" s="75"/>
      <c r="C438" s="76"/>
      <c r="F438" s="77"/>
    </row>
    <row r="439" ht="15.75" customHeight="1">
      <c r="B439" s="75"/>
      <c r="C439" s="76"/>
      <c r="F439" s="77"/>
    </row>
    <row r="440" ht="15.75" customHeight="1">
      <c r="B440" s="75"/>
      <c r="C440" s="76"/>
      <c r="F440" s="77"/>
    </row>
    <row r="441" ht="15.75" customHeight="1">
      <c r="B441" s="75"/>
      <c r="C441" s="76"/>
      <c r="F441" s="77"/>
    </row>
    <row r="442" ht="15.75" customHeight="1">
      <c r="B442" s="75"/>
      <c r="C442" s="76"/>
      <c r="F442" s="77"/>
    </row>
    <row r="443" ht="15.75" customHeight="1">
      <c r="B443" s="75"/>
      <c r="C443" s="76"/>
      <c r="F443" s="77"/>
    </row>
    <row r="444" ht="15.75" customHeight="1">
      <c r="B444" s="75"/>
      <c r="C444" s="76"/>
      <c r="F444" s="77"/>
    </row>
    <row r="445" ht="15.75" customHeight="1">
      <c r="B445" s="75"/>
      <c r="C445" s="76"/>
      <c r="F445" s="77"/>
    </row>
    <row r="446" ht="15.75" customHeight="1">
      <c r="B446" s="75"/>
      <c r="C446" s="76"/>
      <c r="F446" s="77"/>
    </row>
    <row r="447" ht="15.75" customHeight="1">
      <c r="B447" s="75"/>
      <c r="C447" s="76"/>
      <c r="F447" s="77"/>
    </row>
    <row r="448" ht="15.75" customHeight="1">
      <c r="B448" s="75"/>
      <c r="C448" s="76"/>
      <c r="F448" s="77"/>
    </row>
    <row r="449" ht="15.75" customHeight="1">
      <c r="B449" s="75"/>
      <c r="C449" s="76"/>
      <c r="F449" s="77"/>
    </row>
    <row r="450" ht="15.75" customHeight="1">
      <c r="B450" s="75"/>
      <c r="C450" s="76"/>
      <c r="F450" s="77"/>
    </row>
    <row r="451" ht="15.75" customHeight="1">
      <c r="B451" s="75"/>
      <c r="C451" s="76"/>
      <c r="F451" s="77"/>
    </row>
    <row r="452" ht="15.75" customHeight="1">
      <c r="B452" s="75"/>
      <c r="C452" s="76"/>
      <c r="F452" s="77"/>
    </row>
    <row r="453" ht="15.75" customHeight="1">
      <c r="B453" s="75"/>
      <c r="C453" s="76"/>
      <c r="F453" s="77"/>
    </row>
    <row r="454" ht="15.75" customHeight="1">
      <c r="B454" s="75"/>
      <c r="C454" s="76"/>
      <c r="F454" s="77"/>
    </row>
    <row r="455" ht="15.75" customHeight="1">
      <c r="B455" s="75"/>
      <c r="C455" s="76"/>
      <c r="F455" s="77"/>
    </row>
    <row r="456" ht="15.75" customHeight="1">
      <c r="B456" s="75"/>
      <c r="C456" s="76"/>
      <c r="F456" s="77"/>
    </row>
    <row r="457" ht="15.75" customHeight="1">
      <c r="B457" s="75"/>
      <c r="C457" s="76"/>
      <c r="F457" s="77"/>
    </row>
    <row r="458" ht="15.75" customHeight="1">
      <c r="B458" s="75"/>
      <c r="C458" s="76"/>
      <c r="F458" s="77"/>
    </row>
    <row r="459" ht="15.75" customHeight="1">
      <c r="B459" s="75"/>
      <c r="C459" s="76"/>
      <c r="F459" s="77"/>
    </row>
    <row r="460" ht="15.75" customHeight="1">
      <c r="B460" s="75"/>
      <c r="C460" s="76"/>
      <c r="F460" s="77"/>
    </row>
    <row r="461" ht="15.75" customHeight="1">
      <c r="B461" s="75"/>
      <c r="C461" s="76"/>
      <c r="F461" s="77"/>
    </row>
    <row r="462" ht="15.75" customHeight="1">
      <c r="B462" s="75"/>
      <c r="C462" s="76"/>
      <c r="F462" s="77"/>
    </row>
    <row r="463" ht="15.75" customHeight="1">
      <c r="B463" s="75"/>
      <c r="C463" s="76"/>
      <c r="F463" s="77"/>
    </row>
    <row r="464" ht="15.75" customHeight="1">
      <c r="B464" s="75"/>
      <c r="C464" s="76"/>
      <c r="F464" s="77"/>
    </row>
    <row r="465" ht="15.75" customHeight="1">
      <c r="B465" s="75"/>
      <c r="C465" s="76"/>
      <c r="F465" s="77"/>
    </row>
    <row r="466" ht="15.75" customHeight="1">
      <c r="B466" s="75"/>
      <c r="C466" s="76"/>
      <c r="F466" s="77"/>
    </row>
    <row r="467" ht="15.75" customHeight="1">
      <c r="B467" s="75"/>
      <c r="C467" s="76"/>
      <c r="F467" s="77"/>
    </row>
    <row r="468" ht="15.75" customHeight="1">
      <c r="B468" s="75"/>
      <c r="C468" s="76"/>
      <c r="F468" s="77"/>
    </row>
    <row r="469" ht="15.75" customHeight="1">
      <c r="B469" s="75"/>
      <c r="C469" s="76"/>
      <c r="F469" s="77"/>
    </row>
    <row r="470" ht="15.75" customHeight="1">
      <c r="B470" s="75"/>
      <c r="C470" s="76"/>
      <c r="F470" s="77"/>
    </row>
    <row r="471" ht="15.75" customHeight="1">
      <c r="B471" s="75"/>
      <c r="C471" s="76"/>
      <c r="F471" s="77"/>
    </row>
    <row r="472" ht="15.75" customHeight="1">
      <c r="B472" s="75"/>
      <c r="C472" s="76"/>
      <c r="F472" s="77"/>
    </row>
    <row r="473" ht="15.75" customHeight="1">
      <c r="B473" s="75"/>
      <c r="C473" s="76"/>
      <c r="F473" s="77"/>
    </row>
    <row r="474" ht="15.75" customHeight="1">
      <c r="B474" s="75"/>
      <c r="C474" s="76"/>
      <c r="F474" s="77"/>
    </row>
    <row r="475" ht="15.75" customHeight="1">
      <c r="B475" s="75"/>
      <c r="C475" s="76"/>
      <c r="F475" s="77"/>
    </row>
    <row r="476" ht="15.75" customHeight="1">
      <c r="B476" s="75"/>
      <c r="C476" s="76"/>
      <c r="F476" s="77"/>
    </row>
    <row r="477" ht="15.75" customHeight="1">
      <c r="B477" s="75"/>
      <c r="C477" s="76"/>
      <c r="F477" s="77"/>
    </row>
    <row r="478" ht="15.75" customHeight="1">
      <c r="B478" s="75"/>
      <c r="C478" s="76"/>
      <c r="F478" s="77"/>
    </row>
    <row r="479" ht="15.75" customHeight="1">
      <c r="B479" s="75"/>
      <c r="C479" s="76"/>
      <c r="F479" s="77"/>
    </row>
    <row r="480" ht="15.75" customHeight="1">
      <c r="B480" s="75"/>
      <c r="C480" s="76"/>
      <c r="F480" s="77"/>
    </row>
    <row r="481" ht="15.75" customHeight="1">
      <c r="B481" s="75"/>
      <c r="C481" s="76"/>
      <c r="F481" s="77"/>
    </row>
    <row r="482" ht="15.75" customHeight="1">
      <c r="B482" s="75"/>
      <c r="C482" s="76"/>
      <c r="F482" s="77"/>
    </row>
    <row r="483" ht="15.75" customHeight="1">
      <c r="B483" s="75"/>
      <c r="C483" s="76"/>
      <c r="F483" s="77"/>
    </row>
    <row r="484" ht="15.75" customHeight="1">
      <c r="B484" s="75"/>
      <c r="C484" s="76"/>
      <c r="F484" s="77"/>
    </row>
    <row r="485" ht="15.75" customHeight="1">
      <c r="B485" s="75"/>
      <c r="C485" s="76"/>
      <c r="F485" s="77"/>
    </row>
    <row r="486" ht="15.75" customHeight="1">
      <c r="B486" s="75"/>
      <c r="C486" s="76"/>
      <c r="F486" s="77"/>
    </row>
    <row r="487" ht="15.75" customHeight="1">
      <c r="B487" s="75"/>
      <c r="C487" s="76"/>
      <c r="F487" s="77"/>
    </row>
    <row r="488" ht="15.75" customHeight="1">
      <c r="B488" s="75"/>
      <c r="C488" s="76"/>
      <c r="F488" s="77"/>
    </row>
    <row r="489" ht="15.75" customHeight="1">
      <c r="B489" s="75"/>
      <c r="C489" s="76"/>
      <c r="F489" s="77"/>
    </row>
    <row r="490" ht="15.75" customHeight="1">
      <c r="B490" s="75"/>
      <c r="C490" s="76"/>
      <c r="F490" s="77"/>
    </row>
    <row r="491" ht="15.75" customHeight="1">
      <c r="B491" s="75"/>
      <c r="C491" s="76"/>
      <c r="F491" s="77"/>
    </row>
    <row r="492" ht="15.75" customHeight="1">
      <c r="B492" s="75"/>
      <c r="C492" s="76"/>
      <c r="F492" s="77"/>
    </row>
    <row r="493" ht="15.75" customHeight="1">
      <c r="B493" s="75"/>
      <c r="C493" s="76"/>
      <c r="F493" s="77"/>
    </row>
    <row r="494" ht="15.75" customHeight="1">
      <c r="B494" s="75"/>
      <c r="C494" s="76"/>
      <c r="F494" s="77"/>
    </row>
    <row r="495" ht="15.75" customHeight="1">
      <c r="B495" s="75"/>
      <c r="C495" s="76"/>
      <c r="F495" s="77"/>
    </row>
    <row r="496" ht="15.75" customHeight="1">
      <c r="B496" s="75"/>
      <c r="C496" s="76"/>
      <c r="F496" s="77"/>
    </row>
    <row r="497" ht="15.75" customHeight="1">
      <c r="B497" s="75"/>
      <c r="C497" s="76"/>
      <c r="F497" s="77"/>
    </row>
    <row r="498" ht="15.75" customHeight="1">
      <c r="B498" s="75"/>
      <c r="C498" s="76"/>
      <c r="F498" s="77"/>
    </row>
    <row r="499" ht="15.75" customHeight="1">
      <c r="B499" s="75"/>
      <c r="C499" s="76"/>
      <c r="F499" s="77"/>
    </row>
    <row r="500" ht="15.75" customHeight="1">
      <c r="B500" s="75"/>
      <c r="C500" s="76"/>
      <c r="F500" s="77"/>
    </row>
    <row r="501" ht="15.75" customHeight="1">
      <c r="B501" s="75"/>
      <c r="C501" s="76"/>
      <c r="F501" s="77"/>
    </row>
    <row r="502" ht="15.75" customHeight="1">
      <c r="B502" s="75"/>
      <c r="C502" s="76"/>
      <c r="F502" s="77"/>
    </row>
    <row r="503" ht="15.75" customHeight="1">
      <c r="B503" s="75"/>
      <c r="C503" s="76"/>
      <c r="F503" s="77"/>
    </row>
    <row r="504" ht="15.75" customHeight="1">
      <c r="B504" s="75"/>
      <c r="C504" s="76"/>
      <c r="F504" s="77"/>
    </row>
    <row r="505" ht="15.75" customHeight="1">
      <c r="B505" s="75"/>
      <c r="C505" s="76"/>
      <c r="F505" s="77"/>
    </row>
    <row r="506" ht="15.75" customHeight="1">
      <c r="B506" s="75"/>
      <c r="C506" s="76"/>
      <c r="F506" s="77"/>
    </row>
    <row r="507" ht="15.75" customHeight="1">
      <c r="B507" s="75"/>
      <c r="C507" s="76"/>
      <c r="F507" s="77"/>
    </row>
    <row r="508" ht="15.75" customHeight="1">
      <c r="B508" s="75"/>
      <c r="C508" s="76"/>
      <c r="F508" s="77"/>
    </row>
    <row r="509" ht="15.75" customHeight="1">
      <c r="B509" s="75"/>
      <c r="C509" s="76"/>
      <c r="F509" s="77"/>
    </row>
    <row r="510" ht="15.75" customHeight="1">
      <c r="B510" s="75"/>
      <c r="C510" s="76"/>
      <c r="F510" s="77"/>
    </row>
    <row r="511" ht="15.75" customHeight="1">
      <c r="B511" s="75"/>
      <c r="C511" s="76"/>
      <c r="F511" s="77"/>
    </row>
    <row r="512" ht="15.75" customHeight="1">
      <c r="B512" s="75"/>
      <c r="C512" s="76"/>
      <c r="F512" s="77"/>
    </row>
    <row r="513" ht="15.75" customHeight="1">
      <c r="B513" s="75"/>
      <c r="C513" s="76"/>
      <c r="F513" s="77"/>
    </row>
    <row r="514" ht="15.75" customHeight="1">
      <c r="B514" s="75"/>
      <c r="C514" s="76"/>
      <c r="F514" s="77"/>
    </row>
    <row r="515" ht="15.75" customHeight="1">
      <c r="B515" s="75"/>
      <c r="C515" s="76"/>
      <c r="F515" s="77"/>
    </row>
    <row r="516" ht="15.75" customHeight="1">
      <c r="B516" s="75"/>
      <c r="C516" s="76"/>
      <c r="F516" s="77"/>
    </row>
    <row r="517" ht="15.75" customHeight="1">
      <c r="B517" s="75"/>
      <c r="C517" s="76"/>
      <c r="F517" s="77"/>
    </row>
    <row r="518" ht="15.75" customHeight="1">
      <c r="B518" s="75"/>
      <c r="C518" s="76"/>
      <c r="F518" s="77"/>
    </row>
    <row r="519" ht="15.75" customHeight="1">
      <c r="B519" s="75"/>
      <c r="C519" s="76"/>
      <c r="F519" s="77"/>
    </row>
    <row r="520" ht="15.75" customHeight="1">
      <c r="B520" s="75"/>
      <c r="C520" s="76"/>
      <c r="F520" s="77"/>
    </row>
    <row r="521" ht="15.75" customHeight="1">
      <c r="B521" s="75"/>
      <c r="C521" s="76"/>
      <c r="F521" s="77"/>
    </row>
    <row r="522" ht="15.75" customHeight="1">
      <c r="B522" s="75"/>
      <c r="C522" s="76"/>
      <c r="F522" s="77"/>
    </row>
    <row r="523" ht="15.75" customHeight="1">
      <c r="B523" s="75"/>
      <c r="C523" s="76"/>
      <c r="F523" s="77"/>
    </row>
    <row r="524" ht="15.75" customHeight="1">
      <c r="B524" s="75"/>
      <c r="C524" s="76"/>
      <c r="F524" s="77"/>
    </row>
    <row r="525" ht="15.75" customHeight="1">
      <c r="B525" s="75"/>
      <c r="C525" s="76"/>
      <c r="F525" s="77"/>
    </row>
    <row r="526" ht="15.75" customHeight="1">
      <c r="B526" s="75"/>
      <c r="C526" s="76"/>
      <c r="F526" s="77"/>
    </row>
    <row r="527" ht="15.75" customHeight="1">
      <c r="B527" s="75"/>
      <c r="C527" s="76"/>
      <c r="F527" s="77"/>
    </row>
    <row r="528" ht="15.75" customHeight="1">
      <c r="B528" s="75"/>
      <c r="C528" s="76"/>
      <c r="F528" s="77"/>
    </row>
    <row r="529" ht="15.75" customHeight="1">
      <c r="B529" s="75"/>
      <c r="C529" s="76"/>
      <c r="F529" s="77"/>
    </row>
    <row r="530" ht="15.75" customHeight="1">
      <c r="B530" s="75"/>
      <c r="C530" s="76"/>
      <c r="F530" s="77"/>
    </row>
    <row r="531" ht="15.75" customHeight="1">
      <c r="B531" s="75"/>
      <c r="C531" s="76"/>
      <c r="F531" s="77"/>
    </row>
    <row r="532" ht="15.75" customHeight="1">
      <c r="B532" s="75"/>
      <c r="C532" s="76"/>
      <c r="F532" s="77"/>
    </row>
    <row r="533" ht="15.75" customHeight="1">
      <c r="B533" s="75"/>
      <c r="C533" s="76"/>
      <c r="F533" s="77"/>
    </row>
    <row r="534" ht="15.75" customHeight="1">
      <c r="B534" s="75"/>
      <c r="C534" s="76"/>
      <c r="F534" s="77"/>
    </row>
    <row r="535" ht="15.75" customHeight="1">
      <c r="B535" s="75"/>
      <c r="C535" s="76"/>
      <c r="F535" s="77"/>
    </row>
    <row r="536" ht="15.75" customHeight="1">
      <c r="B536" s="75"/>
      <c r="C536" s="76"/>
      <c r="F536" s="77"/>
    </row>
    <row r="537" ht="15.75" customHeight="1">
      <c r="B537" s="75"/>
      <c r="C537" s="76"/>
      <c r="F537" s="77"/>
    </row>
    <row r="538" ht="15.75" customHeight="1">
      <c r="B538" s="75"/>
      <c r="C538" s="76"/>
      <c r="F538" s="77"/>
    </row>
    <row r="539" ht="15.75" customHeight="1">
      <c r="B539" s="75"/>
      <c r="C539" s="76"/>
      <c r="F539" s="77"/>
    </row>
    <row r="540" ht="15.75" customHeight="1">
      <c r="B540" s="75"/>
      <c r="C540" s="76"/>
      <c r="F540" s="77"/>
    </row>
    <row r="541" ht="15.75" customHeight="1">
      <c r="B541" s="75"/>
      <c r="C541" s="76"/>
      <c r="F541" s="77"/>
    </row>
    <row r="542" ht="15.75" customHeight="1">
      <c r="B542" s="75"/>
      <c r="C542" s="76"/>
      <c r="F542" s="77"/>
    </row>
    <row r="543" ht="15.75" customHeight="1">
      <c r="B543" s="75"/>
      <c r="C543" s="76"/>
      <c r="F543" s="77"/>
    </row>
    <row r="544" ht="15.75" customHeight="1">
      <c r="B544" s="75"/>
      <c r="C544" s="76"/>
      <c r="F544" s="77"/>
    </row>
    <row r="545" ht="15.75" customHeight="1">
      <c r="B545" s="75"/>
      <c r="C545" s="76"/>
      <c r="F545" s="77"/>
    </row>
    <row r="546" ht="15.75" customHeight="1">
      <c r="B546" s="75"/>
      <c r="C546" s="76"/>
      <c r="F546" s="77"/>
    </row>
    <row r="547" ht="15.75" customHeight="1">
      <c r="B547" s="75"/>
      <c r="C547" s="76"/>
      <c r="F547" s="77"/>
    </row>
    <row r="548" ht="15.75" customHeight="1">
      <c r="B548" s="75"/>
      <c r="C548" s="76"/>
      <c r="F548" s="77"/>
    </row>
    <row r="549" ht="15.75" customHeight="1">
      <c r="B549" s="75"/>
      <c r="C549" s="76"/>
      <c r="F549" s="77"/>
    </row>
    <row r="550" ht="15.75" customHeight="1">
      <c r="B550" s="75"/>
      <c r="C550" s="76"/>
      <c r="F550" s="77"/>
    </row>
    <row r="551" ht="15.75" customHeight="1">
      <c r="B551" s="75"/>
      <c r="C551" s="76"/>
      <c r="F551" s="77"/>
    </row>
    <row r="552" ht="15.75" customHeight="1">
      <c r="B552" s="75"/>
      <c r="C552" s="76"/>
      <c r="F552" s="77"/>
    </row>
    <row r="553" ht="15.75" customHeight="1">
      <c r="B553" s="75"/>
      <c r="C553" s="76"/>
      <c r="F553" s="77"/>
    </row>
    <row r="554" ht="15.75" customHeight="1">
      <c r="B554" s="75"/>
      <c r="C554" s="76"/>
      <c r="F554" s="77"/>
    </row>
    <row r="555" ht="15.75" customHeight="1">
      <c r="B555" s="75"/>
      <c r="C555" s="76"/>
      <c r="F555" s="77"/>
    </row>
    <row r="556" ht="15.75" customHeight="1">
      <c r="B556" s="75"/>
      <c r="C556" s="76"/>
      <c r="F556" s="77"/>
    </row>
    <row r="557" ht="15.75" customHeight="1">
      <c r="B557" s="75"/>
      <c r="C557" s="76"/>
      <c r="F557" s="77"/>
    </row>
    <row r="558" ht="15.75" customHeight="1">
      <c r="B558" s="75"/>
      <c r="C558" s="76"/>
      <c r="F558" s="77"/>
    </row>
    <row r="559" ht="15.75" customHeight="1">
      <c r="B559" s="75"/>
      <c r="C559" s="76"/>
      <c r="F559" s="77"/>
    </row>
    <row r="560" ht="15.75" customHeight="1">
      <c r="B560" s="75"/>
      <c r="C560" s="76"/>
      <c r="F560" s="77"/>
    </row>
    <row r="561" ht="15.75" customHeight="1">
      <c r="B561" s="75"/>
      <c r="C561" s="76"/>
      <c r="F561" s="77"/>
    </row>
    <row r="562" ht="15.75" customHeight="1">
      <c r="B562" s="75"/>
      <c r="C562" s="76"/>
      <c r="F562" s="77"/>
    </row>
    <row r="563" ht="15.75" customHeight="1">
      <c r="B563" s="75"/>
      <c r="C563" s="76"/>
      <c r="F563" s="77"/>
    </row>
    <row r="564" ht="15.75" customHeight="1">
      <c r="B564" s="75"/>
      <c r="C564" s="76"/>
      <c r="F564" s="77"/>
    </row>
    <row r="565" ht="15.75" customHeight="1">
      <c r="B565" s="75"/>
      <c r="C565" s="76"/>
      <c r="F565" s="77"/>
    </row>
    <row r="566" ht="15.75" customHeight="1">
      <c r="B566" s="75"/>
      <c r="C566" s="76"/>
      <c r="F566" s="77"/>
    </row>
    <row r="567" ht="15.75" customHeight="1">
      <c r="B567" s="75"/>
      <c r="C567" s="76"/>
      <c r="F567" s="77"/>
    </row>
    <row r="568" ht="15.75" customHeight="1">
      <c r="B568" s="75"/>
      <c r="C568" s="76"/>
      <c r="F568" s="77"/>
    </row>
    <row r="569" ht="15.75" customHeight="1">
      <c r="B569" s="75"/>
      <c r="C569" s="76"/>
      <c r="F569" s="77"/>
    </row>
    <row r="570" ht="15.75" customHeight="1">
      <c r="B570" s="75"/>
      <c r="C570" s="76"/>
      <c r="F570" s="77"/>
    </row>
    <row r="571" ht="15.75" customHeight="1">
      <c r="B571" s="75"/>
      <c r="C571" s="76"/>
      <c r="F571" s="77"/>
    </row>
    <row r="572" ht="15.75" customHeight="1">
      <c r="B572" s="75"/>
      <c r="C572" s="76"/>
      <c r="F572" s="77"/>
    </row>
    <row r="573" ht="15.75" customHeight="1">
      <c r="B573" s="75"/>
      <c r="C573" s="76"/>
      <c r="F573" s="77"/>
    </row>
    <row r="574" ht="15.75" customHeight="1">
      <c r="B574" s="75"/>
      <c r="C574" s="76"/>
      <c r="F574" s="77"/>
    </row>
    <row r="575" ht="15.75" customHeight="1">
      <c r="B575" s="75"/>
      <c r="C575" s="76"/>
      <c r="F575" s="77"/>
    </row>
    <row r="576" ht="15.75" customHeight="1">
      <c r="B576" s="75"/>
      <c r="C576" s="76"/>
      <c r="F576" s="77"/>
    </row>
    <row r="577" ht="15.75" customHeight="1">
      <c r="B577" s="75"/>
      <c r="C577" s="76"/>
      <c r="F577" s="77"/>
    </row>
    <row r="578" ht="15.75" customHeight="1">
      <c r="B578" s="75"/>
      <c r="C578" s="76"/>
      <c r="F578" s="77"/>
    </row>
    <row r="579" ht="15.75" customHeight="1">
      <c r="B579" s="75"/>
      <c r="C579" s="76"/>
      <c r="F579" s="77"/>
    </row>
    <row r="580" ht="15.75" customHeight="1">
      <c r="B580" s="75"/>
      <c r="C580" s="76"/>
      <c r="F580" s="77"/>
    </row>
    <row r="581" ht="15.75" customHeight="1">
      <c r="B581" s="75"/>
      <c r="C581" s="76"/>
      <c r="F581" s="77"/>
    </row>
    <row r="582" ht="15.75" customHeight="1">
      <c r="B582" s="75"/>
      <c r="C582" s="76"/>
      <c r="F582" s="77"/>
    </row>
    <row r="583" ht="15.75" customHeight="1">
      <c r="B583" s="75"/>
      <c r="C583" s="76"/>
      <c r="F583" s="77"/>
    </row>
    <row r="584" ht="15.75" customHeight="1">
      <c r="B584" s="75"/>
      <c r="C584" s="76"/>
      <c r="F584" s="77"/>
    </row>
    <row r="585" ht="15.75" customHeight="1">
      <c r="B585" s="75"/>
      <c r="C585" s="76"/>
      <c r="F585" s="77"/>
    </row>
    <row r="586" ht="15.75" customHeight="1">
      <c r="B586" s="75"/>
      <c r="C586" s="76"/>
      <c r="F586" s="77"/>
    </row>
    <row r="587" ht="15.75" customHeight="1">
      <c r="B587" s="75"/>
      <c r="C587" s="76"/>
      <c r="F587" s="77"/>
    </row>
    <row r="588" ht="15.75" customHeight="1">
      <c r="B588" s="75"/>
      <c r="C588" s="76"/>
      <c r="F588" s="77"/>
    </row>
    <row r="589" ht="15.75" customHeight="1">
      <c r="B589" s="75"/>
      <c r="C589" s="76"/>
      <c r="F589" s="77"/>
    </row>
    <row r="590" ht="15.75" customHeight="1">
      <c r="B590" s="75"/>
      <c r="C590" s="76"/>
      <c r="F590" s="77"/>
    </row>
    <row r="591" ht="15.75" customHeight="1">
      <c r="B591" s="75"/>
      <c r="C591" s="76"/>
      <c r="F591" s="77"/>
    </row>
    <row r="592" ht="15.75" customHeight="1">
      <c r="B592" s="75"/>
      <c r="C592" s="76"/>
      <c r="F592" s="77"/>
    </row>
    <row r="593" ht="15.75" customHeight="1">
      <c r="B593" s="75"/>
      <c r="C593" s="76"/>
      <c r="F593" s="77"/>
    </row>
    <row r="594" ht="15.75" customHeight="1">
      <c r="B594" s="75"/>
      <c r="C594" s="76"/>
      <c r="F594" s="77"/>
    </row>
    <row r="595" ht="15.75" customHeight="1">
      <c r="B595" s="75"/>
      <c r="C595" s="76"/>
      <c r="F595" s="77"/>
    </row>
    <row r="596" ht="15.75" customHeight="1">
      <c r="B596" s="75"/>
      <c r="C596" s="76"/>
      <c r="F596" s="77"/>
    </row>
    <row r="597" ht="15.75" customHeight="1">
      <c r="B597" s="75"/>
      <c r="C597" s="76"/>
      <c r="F597" s="77"/>
    </row>
    <row r="598" ht="15.75" customHeight="1">
      <c r="B598" s="75"/>
      <c r="C598" s="76"/>
      <c r="F598" s="77"/>
    </row>
    <row r="599" ht="15.75" customHeight="1">
      <c r="B599" s="75"/>
      <c r="C599" s="76"/>
      <c r="F599" s="77"/>
    </row>
    <row r="600" ht="15.75" customHeight="1">
      <c r="B600" s="75"/>
      <c r="C600" s="76"/>
      <c r="F600" s="77"/>
    </row>
    <row r="601" ht="15.75" customHeight="1">
      <c r="B601" s="75"/>
      <c r="C601" s="76"/>
      <c r="F601" s="77"/>
    </row>
    <row r="602" ht="15.75" customHeight="1">
      <c r="B602" s="75"/>
      <c r="C602" s="76"/>
      <c r="F602" s="77"/>
    </row>
    <row r="603" ht="15.75" customHeight="1">
      <c r="B603" s="75"/>
      <c r="C603" s="76"/>
      <c r="F603" s="77"/>
    </row>
    <row r="604" ht="15.75" customHeight="1">
      <c r="B604" s="75"/>
      <c r="C604" s="76"/>
      <c r="F604" s="77"/>
    </row>
    <row r="605" ht="15.75" customHeight="1">
      <c r="B605" s="75"/>
      <c r="C605" s="76"/>
      <c r="F605" s="77"/>
    </row>
    <row r="606" ht="15.75" customHeight="1">
      <c r="B606" s="75"/>
      <c r="C606" s="76"/>
      <c r="F606" s="77"/>
    </row>
    <row r="607" ht="15.75" customHeight="1">
      <c r="B607" s="75"/>
      <c r="C607" s="76"/>
      <c r="F607" s="77"/>
    </row>
    <row r="608" ht="15.75" customHeight="1">
      <c r="B608" s="75"/>
      <c r="C608" s="76"/>
      <c r="F608" s="77"/>
    </row>
    <row r="609" ht="15.75" customHeight="1">
      <c r="B609" s="75"/>
      <c r="C609" s="76"/>
      <c r="F609" s="77"/>
    </row>
    <row r="610" ht="15.75" customHeight="1">
      <c r="B610" s="75"/>
      <c r="C610" s="76"/>
      <c r="F610" s="77"/>
    </row>
    <row r="611" ht="15.75" customHeight="1">
      <c r="B611" s="75"/>
      <c r="C611" s="76"/>
      <c r="F611" s="77"/>
    </row>
    <row r="612" ht="15.75" customHeight="1">
      <c r="B612" s="75"/>
      <c r="C612" s="76"/>
      <c r="F612" s="77"/>
    </row>
    <row r="613" ht="15.75" customHeight="1">
      <c r="B613" s="75"/>
      <c r="C613" s="76"/>
      <c r="F613" s="77"/>
    </row>
    <row r="614" ht="15.75" customHeight="1">
      <c r="B614" s="75"/>
      <c r="C614" s="76"/>
      <c r="F614" s="77"/>
    </row>
    <row r="615" ht="15.75" customHeight="1">
      <c r="B615" s="75"/>
      <c r="C615" s="76"/>
      <c r="F615" s="77"/>
    </row>
    <row r="616" ht="15.75" customHeight="1">
      <c r="B616" s="75"/>
      <c r="C616" s="76"/>
      <c r="F616" s="77"/>
    </row>
    <row r="617" ht="15.75" customHeight="1">
      <c r="B617" s="75"/>
      <c r="C617" s="76"/>
      <c r="F617" s="77"/>
    </row>
    <row r="618" ht="15.75" customHeight="1">
      <c r="B618" s="75"/>
      <c r="C618" s="76"/>
      <c r="F618" s="77"/>
    </row>
    <row r="619" ht="15.75" customHeight="1">
      <c r="B619" s="75"/>
      <c r="C619" s="76"/>
      <c r="F619" s="77"/>
    </row>
    <row r="620" ht="15.75" customHeight="1">
      <c r="B620" s="75"/>
      <c r="C620" s="76"/>
      <c r="F620" s="77"/>
    </row>
    <row r="621" ht="15.75" customHeight="1">
      <c r="B621" s="75"/>
      <c r="C621" s="76"/>
      <c r="F621" s="77"/>
    </row>
    <row r="622" ht="15.75" customHeight="1">
      <c r="B622" s="75"/>
      <c r="C622" s="76"/>
      <c r="F622" s="77"/>
    </row>
    <row r="623" ht="15.75" customHeight="1">
      <c r="B623" s="75"/>
      <c r="C623" s="76"/>
      <c r="F623" s="77"/>
    </row>
    <row r="624" ht="15.75" customHeight="1">
      <c r="B624" s="75"/>
      <c r="C624" s="76"/>
      <c r="F624" s="77"/>
    </row>
    <row r="625" ht="15.75" customHeight="1">
      <c r="B625" s="75"/>
      <c r="C625" s="76"/>
      <c r="F625" s="77"/>
    </row>
    <row r="626" ht="15.75" customHeight="1">
      <c r="B626" s="75"/>
      <c r="C626" s="76"/>
      <c r="F626" s="77"/>
    </row>
    <row r="627" ht="15.75" customHeight="1">
      <c r="B627" s="75"/>
      <c r="C627" s="76"/>
      <c r="F627" s="77"/>
    </row>
    <row r="628" ht="15.75" customHeight="1">
      <c r="B628" s="75"/>
      <c r="C628" s="76"/>
      <c r="F628" s="77"/>
    </row>
    <row r="629" ht="15.75" customHeight="1">
      <c r="B629" s="75"/>
      <c r="C629" s="76"/>
      <c r="F629" s="77"/>
    </row>
    <row r="630" ht="15.75" customHeight="1">
      <c r="B630" s="75"/>
      <c r="C630" s="76"/>
      <c r="F630" s="77"/>
    </row>
    <row r="631" ht="15.75" customHeight="1">
      <c r="B631" s="75"/>
      <c r="C631" s="76"/>
      <c r="F631" s="77"/>
    </row>
    <row r="632" ht="15.75" customHeight="1">
      <c r="B632" s="75"/>
      <c r="C632" s="76"/>
      <c r="F632" s="77"/>
    </row>
    <row r="633" ht="15.75" customHeight="1">
      <c r="B633" s="75"/>
      <c r="C633" s="76"/>
      <c r="F633" s="77"/>
    </row>
    <row r="634" ht="15.75" customHeight="1">
      <c r="B634" s="75"/>
      <c r="C634" s="76"/>
      <c r="F634" s="77"/>
    </row>
    <row r="635" ht="15.75" customHeight="1">
      <c r="B635" s="75"/>
      <c r="C635" s="76"/>
      <c r="F635" s="77"/>
    </row>
    <row r="636" ht="15.75" customHeight="1">
      <c r="B636" s="75"/>
      <c r="C636" s="76"/>
      <c r="F636" s="77"/>
    </row>
    <row r="637" ht="15.75" customHeight="1">
      <c r="B637" s="75"/>
      <c r="C637" s="76"/>
      <c r="F637" s="77"/>
    </row>
    <row r="638" ht="15.75" customHeight="1">
      <c r="B638" s="75"/>
      <c r="C638" s="76"/>
      <c r="F638" s="77"/>
    </row>
    <row r="639" ht="15.75" customHeight="1">
      <c r="B639" s="75"/>
      <c r="C639" s="76"/>
      <c r="F639" s="77"/>
    </row>
    <row r="640" ht="15.75" customHeight="1">
      <c r="B640" s="75"/>
      <c r="C640" s="76"/>
      <c r="F640" s="77"/>
    </row>
    <row r="641" ht="15.75" customHeight="1">
      <c r="B641" s="75"/>
      <c r="C641" s="76"/>
      <c r="F641" s="77"/>
    </row>
    <row r="642" ht="15.75" customHeight="1">
      <c r="B642" s="75"/>
      <c r="C642" s="76"/>
      <c r="F642" s="77"/>
    </row>
    <row r="643" ht="15.75" customHeight="1">
      <c r="B643" s="75"/>
      <c r="C643" s="76"/>
      <c r="F643" s="77"/>
    </row>
    <row r="644" ht="15.75" customHeight="1">
      <c r="B644" s="75"/>
      <c r="C644" s="76"/>
      <c r="F644" s="77"/>
    </row>
    <row r="645" ht="15.75" customHeight="1">
      <c r="B645" s="75"/>
      <c r="C645" s="76"/>
      <c r="F645" s="77"/>
    </row>
    <row r="646" ht="15.75" customHeight="1">
      <c r="B646" s="75"/>
      <c r="C646" s="76"/>
      <c r="F646" s="77"/>
    </row>
    <row r="647" ht="15.75" customHeight="1">
      <c r="B647" s="75"/>
      <c r="C647" s="76"/>
      <c r="F647" s="77"/>
    </row>
    <row r="648" ht="15.75" customHeight="1">
      <c r="B648" s="75"/>
      <c r="C648" s="76"/>
      <c r="F648" s="77"/>
    </row>
    <row r="649" ht="15.75" customHeight="1">
      <c r="B649" s="75"/>
      <c r="C649" s="76"/>
      <c r="F649" s="77"/>
    </row>
    <row r="650" ht="15.75" customHeight="1">
      <c r="B650" s="75"/>
      <c r="C650" s="76"/>
      <c r="F650" s="77"/>
    </row>
    <row r="651" ht="15.75" customHeight="1">
      <c r="B651" s="75"/>
      <c r="C651" s="76"/>
      <c r="F651" s="77"/>
    </row>
    <row r="652" ht="15.75" customHeight="1">
      <c r="B652" s="75"/>
      <c r="C652" s="76"/>
      <c r="F652" s="77"/>
    </row>
    <row r="653" ht="15.75" customHeight="1">
      <c r="B653" s="75"/>
      <c r="C653" s="76"/>
      <c r="F653" s="77"/>
    </row>
    <row r="654" ht="15.75" customHeight="1">
      <c r="B654" s="75"/>
      <c r="C654" s="76"/>
      <c r="F654" s="77"/>
    </row>
    <row r="655" ht="15.75" customHeight="1">
      <c r="B655" s="75"/>
      <c r="C655" s="76"/>
      <c r="F655" s="77"/>
    </row>
    <row r="656" ht="15.75" customHeight="1">
      <c r="B656" s="75"/>
      <c r="C656" s="76"/>
      <c r="F656" s="77"/>
    </row>
    <row r="657" ht="15.75" customHeight="1">
      <c r="B657" s="75"/>
      <c r="C657" s="76"/>
      <c r="F657" s="77"/>
    </row>
    <row r="658" ht="15.75" customHeight="1">
      <c r="B658" s="75"/>
      <c r="C658" s="76"/>
      <c r="F658" s="77"/>
    </row>
    <row r="659" ht="15.75" customHeight="1">
      <c r="B659" s="75"/>
      <c r="C659" s="76"/>
      <c r="F659" s="77"/>
    </row>
    <row r="660" ht="15.75" customHeight="1">
      <c r="B660" s="75"/>
      <c r="C660" s="76"/>
      <c r="F660" s="77"/>
    </row>
    <row r="661" ht="15.75" customHeight="1">
      <c r="B661" s="75"/>
      <c r="C661" s="76"/>
      <c r="F661" s="77"/>
    </row>
    <row r="662" ht="15.75" customHeight="1">
      <c r="B662" s="75"/>
      <c r="C662" s="76"/>
      <c r="F662" s="77"/>
    </row>
    <row r="663" ht="15.75" customHeight="1">
      <c r="B663" s="75"/>
      <c r="C663" s="76"/>
      <c r="F663" s="77"/>
    </row>
    <row r="664" ht="15.75" customHeight="1">
      <c r="B664" s="75"/>
      <c r="C664" s="76"/>
      <c r="F664" s="77"/>
    </row>
    <row r="665" ht="15.75" customHeight="1">
      <c r="B665" s="75"/>
      <c r="C665" s="76"/>
      <c r="F665" s="77"/>
    </row>
    <row r="666" ht="15.75" customHeight="1">
      <c r="B666" s="75"/>
      <c r="C666" s="76"/>
      <c r="F666" s="77"/>
    </row>
    <row r="667" ht="15.75" customHeight="1">
      <c r="B667" s="75"/>
      <c r="C667" s="76"/>
      <c r="F667" s="77"/>
    </row>
    <row r="668" ht="15.75" customHeight="1">
      <c r="B668" s="75"/>
      <c r="C668" s="76"/>
      <c r="F668" s="77"/>
    </row>
    <row r="669" ht="15.75" customHeight="1">
      <c r="B669" s="75"/>
      <c r="C669" s="76"/>
      <c r="F669" s="77"/>
    </row>
    <row r="670" ht="15.75" customHeight="1">
      <c r="B670" s="75"/>
      <c r="C670" s="76"/>
      <c r="F670" s="77"/>
    </row>
    <row r="671" ht="15.75" customHeight="1">
      <c r="B671" s="75"/>
      <c r="C671" s="76"/>
      <c r="F671" s="77"/>
    </row>
    <row r="672" ht="15.75" customHeight="1">
      <c r="B672" s="75"/>
      <c r="C672" s="76"/>
      <c r="F672" s="77"/>
    </row>
    <row r="673" ht="15.75" customHeight="1">
      <c r="B673" s="75"/>
      <c r="C673" s="76"/>
      <c r="F673" s="77"/>
    </row>
    <row r="674" ht="15.75" customHeight="1">
      <c r="B674" s="75"/>
      <c r="C674" s="76"/>
      <c r="F674" s="77"/>
    </row>
    <row r="675" ht="15.75" customHeight="1">
      <c r="B675" s="75"/>
      <c r="C675" s="76"/>
      <c r="F675" s="77"/>
    </row>
    <row r="676" ht="15.75" customHeight="1">
      <c r="B676" s="75"/>
      <c r="C676" s="76"/>
      <c r="F676" s="77"/>
    </row>
    <row r="677" ht="15.75" customHeight="1">
      <c r="B677" s="75"/>
      <c r="C677" s="76"/>
      <c r="F677" s="77"/>
    </row>
    <row r="678" ht="15.75" customHeight="1">
      <c r="B678" s="75"/>
      <c r="C678" s="76"/>
      <c r="F678" s="77"/>
    </row>
    <row r="679" ht="15.75" customHeight="1">
      <c r="B679" s="75"/>
      <c r="C679" s="76"/>
      <c r="F679" s="77"/>
    </row>
    <row r="680" ht="15.75" customHeight="1">
      <c r="B680" s="75"/>
      <c r="C680" s="76"/>
      <c r="F680" s="77"/>
    </row>
    <row r="681" ht="15.75" customHeight="1">
      <c r="B681" s="75"/>
      <c r="C681" s="76"/>
      <c r="F681" s="77"/>
    </row>
    <row r="682" ht="15.75" customHeight="1">
      <c r="B682" s="75"/>
      <c r="C682" s="76"/>
      <c r="F682" s="77"/>
    </row>
    <row r="683" ht="15.75" customHeight="1">
      <c r="B683" s="75"/>
      <c r="C683" s="76"/>
      <c r="F683" s="77"/>
    </row>
    <row r="684" ht="15.75" customHeight="1">
      <c r="B684" s="75"/>
      <c r="C684" s="76"/>
      <c r="F684" s="77"/>
    </row>
    <row r="685" ht="15.75" customHeight="1">
      <c r="B685" s="75"/>
      <c r="C685" s="76"/>
      <c r="F685" s="77"/>
    </row>
    <row r="686" ht="15.75" customHeight="1">
      <c r="B686" s="75"/>
      <c r="C686" s="76"/>
      <c r="F686" s="77"/>
    </row>
    <row r="687" ht="15.75" customHeight="1">
      <c r="B687" s="75"/>
      <c r="C687" s="76"/>
      <c r="F687" s="77"/>
    </row>
    <row r="688" ht="15.75" customHeight="1">
      <c r="B688" s="75"/>
      <c r="C688" s="76"/>
      <c r="F688" s="77"/>
    </row>
    <row r="689" ht="15.75" customHeight="1">
      <c r="B689" s="75"/>
      <c r="C689" s="76"/>
      <c r="F689" s="77"/>
    </row>
    <row r="690" ht="15.75" customHeight="1">
      <c r="B690" s="75"/>
      <c r="C690" s="76"/>
      <c r="F690" s="77"/>
    </row>
    <row r="691" ht="15.75" customHeight="1">
      <c r="B691" s="75"/>
      <c r="C691" s="76"/>
      <c r="F691" s="77"/>
    </row>
    <row r="692" ht="15.75" customHeight="1">
      <c r="B692" s="75"/>
      <c r="C692" s="76"/>
      <c r="F692" s="77"/>
    </row>
    <row r="693" ht="15.75" customHeight="1">
      <c r="B693" s="75"/>
      <c r="C693" s="76"/>
      <c r="F693" s="77"/>
    </row>
    <row r="694" ht="15.75" customHeight="1">
      <c r="B694" s="75"/>
      <c r="C694" s="76"/>
      <c r="F694" s="77"/>
    </row>
    <row r="695" ht="15.75" customHeight="1">
      <c r="B695" s="75"/>
      <c r="C695" s="76"/>
      <c r="F695" s="77"/>
    </row>
    <row r="696" ht="15.75" customHeight="1">
      <c r="B696" s="75"/>
      <c r="C696" s="76"/>
      <c r="F696" s="77"/>
    </row>
    <row r="697" ht="15.75" customHeight="1">
      <c r="B697" s="75"/>
      <c r="C697" s="76"/>
      <c r="F697" s="77"/>
    </row>
    <row r="698" ht="15.75" customHeight="1">
      <c r="B698" s="75"/>
      <c r="C698" s="76"/>
      <c r="F698" s="77"/>
    </row>
    <row r="699" ht="15.75" customHeight="1">
      <c r="B699" s="75"/>
      <c r="C699" s="76"/>
      <c r="F699" s="77"/>
    </row>
    <row r="700" ht="15.75" customHeight="1">
      <c r="B700" s="75"/>
      <c r="C700" s="76"/>
      <c r="F700" s="77"/>
    </row>
    <row r="701" ht="15.75" customHeight="1">
      <c r="B701" s="75"/>
      <c r="C701" s="76"/>
      <c r="F701" s="77"/>
    </row>
    <row r="702" ht="15.75" customHeight="1">
      <c r="B702" s="75"/>
      <c r="C702" s="76"/>
      <c r="F702" s="77"/>
    </row>
    <row r="703" ht="15.75" customHeight="1">
      <c r="B703" s="75"/>
      <c r="C703" s="76"/>
      <c r="F703" s="77"/>
    </row>
    <row r="704" ht="15.75" customHeight="1">
      <c r="B704" s="75"/>
      <c r="C704" s="76"/>
      <c r="F704" s="77"/>
    </row>
    <row r="705" ht="15.75" customHeight="1">
      <c r="B705" s="75"/>
      <c r="C705" s="76"/>
      <c r="F705" s="77"/>
    </row>
    <row r="706" ht="15.75" customHeight="1">
      <c r="B706" s="75"/>
      <c r="C706" s="76"/>
      <c r="F706" s="77"/>
    </row>
    <row r="707" ht="15.75" customHeight="1">
      <c r="B707" s="75"/>
      <c r="C707" s="76"/>
      <c r="F707" s="77"/>
    </row>
    <row r="708" ht="15.75" customHeight="1">
      <c r="B708" s="75"/>
      <c r="C708" s="76"/>
      <c r="F708" s="77"/>
    </row>
    <row r="709" ht="15.75" customHeight="1">
      <c r="B709" s="75"/>
      <c r="C709" s="76"/>
      <c r="F709" s="77"/>
    </row>
    <row r="710" ht="15.75" customHeight="1">
      <c r="B710" s="75"/>
      <c r="C710" s="76"/>
      <c r="F710" s="77"/>
    </row>
    <row r="711" ht="15.75" customHeight="1">
      <c r="B711" s="75"/>
      <c r="C711" s="76"/>
      <c r="F711" s="77"/>
    </row>
    <row r="712" ht="15.75" customHeight="1">
      <c r="B712" s="75"/>
      <c r="C712" s="76"/>
      <c r="F712" s="77"/>
    </row>
    <row r="713" ht="15.75" customHeight="1">
      <c r="B713" s="75"/>
      <c r="C713" s="76"/>
      <c r="F713" s="77"/>
    </row>
    <row r="714" ht="15.75" customHeight="1">
      <c r="B714" s="75"/>
      <c r="C714" s="76"/>
      <c r="F714" s="77"/>
    </row>
    <row r="715" ht="15.75" customHeight="1">
      <c r="B715" s="75"/>
      <c r="C715" s="76"/>
      <c r="F715" s="77"/>
    </row>
    <row r="716" ht="15.75" customHeight="1">
      <c r="B716" s="75"/>
      <c r="C716" s="76"/>
      <c r="F716" s="77"/>
    </row>
    <row r="717" ht="15.75" customHeight="1">
      <c r="B717" s="75"/>
      <c r="C717" s="76"/>
      <c r="F717" s="77"/>
    </row>
    <row r="718" ht="15.75" customHeight="1">
      <c r="B718" s="75"/>
      <c r="C718" s="76"/>
      <c r="F718" s="77"/>
    </row>
    <row r="719" ht="15.75" customHeight="1">
      <c r="B719" s="75"/>
      <c r="C719" s="76"/>
      <c r="F719" s="77"/>
    </row>
    <row r="720" ht="15.75" customHeight="1">
      <c r="B720" s="75"/>
      <c r="C720" s="76"/>
      <c r="F720" s="77"/>
    </row>
    <row r="721" ht="15.75" customHeight="1">
      <c r="B721" s="75"/>
      <c r="C721" s="76"/>
      <c r="F721" s="77"/>
    </row>
    <row r="722" ht="15.75" customHeight="1">
      <c r="B722" s="75"/>
      <c r="C722" s="76"/>
      <c r="F722" s="77"/>
    </row>
    <row r="723" ht="15.75" customHeight="1">
      <c r="B723" s="75"/>
      <c r="C723" s="76"/>
      <c r="F723" s="77"/>
    </row>
    <row r="724" ht="15.75" customHeight="1">
      <c r="B724" s="75"/>
      <c r="C724" s="76"/>
      <c r="F724" s="77"/>
    </row>
    <row r="725" ht="15.75" customHeight="1">
      <c r="B725" s="75"/>
      <c r="C725" s="76"/>
      <c r="F725" s="77"/>
    </row>
    <row r="726" ht="15.75" customHeight="1">
      <c r="B726" s="75"/>
      <c r="C726" s="76"/>
      <c r="F726" s="77"/>
    </row>
    <row r="727" ht="15.75" customHeight="1">
      <c r="B727" s="75"/>
      <c r="C727" s="76"/>
      <c r="F727" s="77"/>
    </row>
    <row r="728" ht="15.75" customHeight="1">
      <c r="B728" s="75"/>
      <c r="C728" s="76"/>
      <c r="F728" s="77"/>
    </row>
    <row r="729" ht="15.75" customHeight="1">
      <c r="B729" s="75"/>
      <c r="C729" s="76"/>
      <c r="F729" s="77"/>
    </row>
    <row r="730" ht="15.75" customHeight="1">
      <c r="B730" s="75"/>
      <c r="C730" s="76"/>
      <c r="F730" s="77"/>
    </row>
    <row r="731" ht="15.75" customHeight="1">
      <c r="B731" s="75"/>
      <c r="C731" s="76"/>
      <c r="F731" s="77"/>
    </row>
    <row r="732" ht="15.75" customHeight="1">
      <c r="B732" s="75"/>
      <c r="C732" s="76"/>
      <c r="F732" s="77"/>
    </row>
    <row r="733" ht="15.75" customHeight="1">
      <c r="B733" s="75"/>
      <c r="C733" s="76"/>
      <c r="F733" s="77"/>
    </row>
    <row r="734" ht="15.75" customHeight="1">
      <c r="B734" s="75"/>
      <c r="C734" s="76"/>
      <c r="F734" s="77"/>
    </row>
    <row r="735" ht="15.75" customHeight="1">
      <c r="B735" s="75"/>
      <c r="C735" s="76"/>
      <c r="F735" s="77"/>
    </row>
    <row r="736" ht="15.75" customHeight="1">
      <c r="B736" s="75"/>
      <c r="C736" s="76"/>
      <c r="F736" s="77"/>
    </row>
    <row r="737" ht="15.75" customHeight="1">
      <c r="B737" s="75"/>
      <c r="C737" s="76"/>
      <c r="F737" s="77"/>
    </row>
    <row r="738" ht="15.75" customHeight="1">
      <c r="B738" s="75"/>
      <c r="C738" s="76"/>
      <c r="F738" s="77"/>
    </row>
    <row r="739" ht="15.75" customHeight="1">
      <c r="B739" s="75"/>
      <c r="C739" s="76"/>
      <c r="F739" s="77"/>
    </row>
    <row r="740" ht="15.75" customHeight="1">
      <c r="B740" s="75"/>
      <c r="C740" s="76"/>
      <c r="F740" s="77"/>
    </row>
    <row r="741" ht="15.75" customHeight="1">
      <c r="B741" s="75"/>
      <c r="C741" s="76"/>
      <c r="F741" s="77"/>
    </row>
    <row r="742" ht="15.75" customHeight="1">
      <c r="B742" s="75"/>
      <c r="C742" s="76"/>
      <c r="F742" s="77"/>
    </row>
    <row r="743" ht="15.75" customHeight="1">
      <c r="B743" s="75"/>
      <c r="C743" s="76"/>
      <c r="F743" s="77"/>
    </row>
    <row r="744" ht="15.75" customHeight="1">
      <c r="B744" s="75"/>
      <c r="C744" s="76"/>
      <c r="F744" s="77"/>
    </row>
    <row r="745" ht="15.75" customHeight="1">
      <c r="B745" s="75"/>
      <c r="C745" s="76"/>
      <c r="F745" s="77"/>
    </row>
    <row r="746" ht="15.75" customHeight="1">
      <c r="B746" s="75"/>
      <c r="C746" s="76"/>
      <c r="F746" s="77"/>
    </row>
    <row r="747" ht="15.75" customHeight="1">
      <c r="B747" s="75"/>
      <c r="C747" s="76"/>
      <c r="F747" s="77"/>
    </row>
    <row r="748" ht="15.75" customHeight="1">
      <c r="B748" s="75"/>
      <c r="C748" s="76"/>
      <c r="F748" s="77"/>
    </row>
    <row r="749" ht="15.75" customHeight="1">
      <c r="B749" s="75"/>
      <c r="C749" s="76"/>
      <c r="F749" s="77"/>
    </row>
    <row r="750" ht="15.75" customHeight="1">
      <c r="B750" s="75"/>
      <c r="C750" s="76"/>
      <c r="F750" s="77"/>
    </row>
    <row r="751" ht="15.75" customHeight="1">
      <c r="B751" s="75"/>
      <c r="C751" s="76"/>
      <c r="F751" s="77"/>
    </row>
    <row r="752" ht="15.75" customHeight="1">
      <c r="B752" s="75"/>
      <c r="C752" s="76"/>
      <c r="F752" s="77"/>
    </row>
    <row r="753" ht="15.75" customHeight="1">
      <c r="B753" s="75"/>
      <c r="C753" s="76"/>
      <c r="F753" s="77"/>
    </row>
    <row r="754" ht="15.75" customHeight="1">
      <c r="B754" s="75"/>
      <c r="C754" s="76"/>
      <c r="F754" s="77"/>
    </row>
    <row r="755" ht="15.75" customHeight="1">
      <c r="B755" s="75"/>
      <c r="C755" s="76"/>
      <c r="F755" s="77"/>
    </row>
    <row r="756" ht="15.75" customHeight="1">
      <c r="B756" s="75"/>
      <c r="C756" s="76"/>
      <c r="F756" s="77"/>
    </row>
    <row r="757" ht="15.75" customHeight="1">
      <c r="B757" s="75"/>
      <c r="C757" s="76"/>
      <c r="F757" s="77"/>
    </row>
    <row r="758" ht="15.75" customHeight="1">
      <c r="B758" s="75"/>
      <c r="C758" s="76"/>
      <c r="F758" s="77"/>
    </row>
    <row r="759" ht="15.75" customHeight="1">
      <c r="B759" s="75"/>
      <c r="C759" s="76"/>
      <c r="F759" s="77"/>
    </row>
    <row r="760" ht="15.75" customHeight="1">
      <c r="B760" s="75"/>
      <c r="C760" s="76"/>
      <c r="F760" s="77"/>
    </row>
    <row r="761" ht="15.75" customHeight="1">
      <c r="B761" s="75"/>
      <c r="C761" s="76"/>
      <c r="F761" s="77"/>
    </row>
    <row r="762" ht="15.75" customHeight="1">
      <c r="B762" s="75"/>
      <c r="C762" s="76"/>
      <c r="F762" s="77"/>
    </row>
    <row r="763" ht="15.75" customHeight="1">
      <c r="B763" s="75"/>
      <c r="C763" s="76"/>
      <c r="F763" s="77"/>
    </row>
    <row r="764" ht="15.75" customHeight="1">
      <c r="B764" s="75"/>
      <c r="C764" s="76"/>
      <c r="F764" s="77"/>
    </row>
    <row r="765" ht="15.75" customHeight="1">
      <c r="B765" s="75"/>
      <c r="C765" s="76"/>
      <c r="F765" s="77"/>
    </row>
    <row r="766" ht="15.75" customHeight="1">
      <c r="B766" s="75"/>
      <c r="C766" s="76"/>
      <c r="F766" s="77"/>
    </row>
    <row r="767" ht="15.75" customHeight="1">
      <c r="B767" s="75"/>
      <c r="C767" s="76"/>
      <c r="F767" s="77"/>
    </row>
    <row r="768" ht="15.75" customHeight="1">
      <c r="B768" s="75"/>
      <c r="C768" s="76"/>
      <c r="F768" s="77"/>
    </row>
    <row r="769" ht="15.75" customHeight="1">
      <c r="B769" s="75"/>
      <c r="C769" s="76"/>
      <c r="F769" s="77"/>
    </row>
    <row r="770" ht="15.75" customHeight="1">
      <c r="B770" s="75"/>
      <c r="C770" s="76"/>
      <c r="F770" s="77"/>
    </row>
    <row r="771" ht="15.75" customHeight="1">
      <c r="B771" s="75"/>
      <c r="C771" s="76"/>
      <c r="F771" s="77"/>
    </row>
    <row r="772" ht="15.75" customHeight="1">
      <c r="B772" s="75"/>
      <c r="C772" s="76"/>
      <c r="F772" s="77"/>
    </row>
    <row r="773" ht="15.75" customHeight="1">
      <c r="B773" s="75"/>
      <c r="C773" s="76"/>
      <c r="F773" s="77"/>
    </row>
    <row r="774" ht="15.75" customHeight="1">
      <c r="B774" s="75"/>
      <c r="C774" s="76"/>
      <c r="F774" s="77"/>
    </row>
    <row r="775" ht="15.75" customHeight="1">
      <c r="B775" s="75"/>
      <c r="C775" s="76"/>
      <c r="F775" s="77"/>
    </row>
    <row r="776" ht="15.75" customHeight="1">
      <c r="B776" s="75"/>
      <c r="C776" s="76"/>
      <c r="F776" s="77"/>
    </row>
    <row r="777" ht="15.75" customHeight="1">
      <c r="B777" s="75"/>
      <c r="C777" s="76"/>
      <c r="F777" s="77"/>
    </row>
    <row r="778" ht="15.75" customHeight="1">
      <c r="B778" s="75"/>
      <c r="C778" s="76"/>
      <c r="F778" s="77"/>
    </row>
    <row r="779" ht="15.75" customHeight="1">
      <c r="B779" s="75"/>
      <c r="C779" s="76"/>
      <c r="F779" s="77"/>
    </row>
    <row r="780" ht="15.75" customHeight="1">
      <c r="B780" s="75"/>
      <c r="C780" s="76"/>
      <c r="F780" s="77"/>
    </row>
    <row r="781" ht="15.75" customHeight="1">
      <c r="B781" s="75"/>
      <c r="C781" s="76"/>
      <c r="F781" s="77"/>
    </row>
    <row r="782" ht="15.75" customHeight="1">
      <c r="B782" s="75"/>
      <c r="C782" s="76"/>
      <c r="F782" s="77"/>
    </row>
    <row r="783" ht="15.75" customHeight="1">
      <c r="B783" s="75"/>
      <c r="C783" s="76"/>
      <c r="F783" s="77"/>
    </row>
    <row r="784" ht="15.75" customHeight="1">
      <c r="B784" s="75"/>
      <c r="C784" s="76"/>
      <c r="F784" s="77"/>
    </row>
    <row r="785" ht="15.75" customHeight="1">
      <c r="B785" s="75"/>
      <c r="C785" s="76"/>
      <c r="F785" s="77"/>
    </row>
    <row r="786" ht="15.75" customHeight="1">
      <c r="B786" s="75"/>
      <c r="C786" s="76"/>
      <c r="F786" s="77"/>
    </row>
    <row r="787" ht="15.75" customHeight="1">
      <c r="B787" s="75"/>
      <c r="C787" s="76"/>
      <c r="F787" s="77"/>
    </row>
    <row r="788" ht="15.75" customHeight="1">
      <c r="B788" s="75"/>
      <c r="C788" s="76"/>
      <c r="F788" s="77"/>
    </row>
    <row r="789" ht="15.75" customHeight="1">
      <c r="B789" s="75"/>
      <c r="C789" s="76"/>
      <c r="F789" s="77"/>
    </row>
    <row r="790" ht="15.75" customHeight="1">
      <c r="B790" s="75"/>
      <c r="C790" s="76"/>
      <c r="F790" s="77"/>
    </row>
    <row r="791" ht="15.75" customHeight="1">
      <c r="B791" s="75"/>
      <c r="C791" s="76"/>
      <c r="F791" s="77"/>
    </row>
    <row r="792" ht="15.75" customHeight="1">
      <c r="B792" s="75"/>
      <c r="C792" s="76"/>
      <c r="F792" s="77"/>
    </row>
    <row r="793" ht="15.75" customHeight="1">
      <c r="B793" s="75"/>
      <c r="C793" s="76"/>
      <c r="F793" s="77"/>
    </row>
    <row r="794" ht="15.75" customHeight="1">
      <c r="B794" s="75"/>
      <c r="C794" s="76"/>
      <c r="F794" s="77"/>
    </row>
    <row r="795" ht="15.75" customHeight="1">
      <c r="B795" s="75"/>
      <c r="C795" s="76"/>
      <c r="F795" s="77"/>
    </row>
    <row r="796" ht="15.75" customHeight="1">
      <c r="B796" s="75"/>
      <c r="C796" s="76"/>
      <c r="F796" s="77"/>
    </row>
    <row r="797" ht="15.75" customHeight="1">
      <c r="B797" s="75"/>
      <c r="C797" s="76"/>
      <c r="F797" s="77"/>
    </row>
    <row r="798" ht="15.75" customHeight="1">
      <c r="B798" s="75"/>
      <c r="C798" s="76"/>
      <c r="F798" s="77"/>
    </row>
    <row r="799" ht="15.75" customHeight="1">
      <c r="B799" s="75"/>
      <c r="C799" s="76"/>
      <c r="F799" s="77"/>
    </row>
    <row r="800" ht="15.75" customHeight="1">
      <c r="B800" s="75"/>
      <c r="C800" s="76"/>
      <c r="F800" s="77"/>
    </row>
    <row r="801" ht="15.75" customHeight="1">
      <c r="B801" s="75"/>
      <c r="C801" s="76"/>
      <c r="F801" s="77"/>
    </row>
    <row r="802" ht="15.75" customHeight="1">
      <c r="B802" s="75"/>
      <c r="C802" s="76"/>
      <c r="F802" s="77"/>
    </row>
    <row r="803" ht="15.75" customHeight="1">
      <c r="B803" s="75"/>
      <c r="C803" s="76"/>
      <c r="F803" s="77"/>
    </row>
    <row r="804" ht="15.75" customHeight="1">
      <c r="B804" s="75"/>
      <c r="C804" s="76"/>
      <c r="F804" s="77"/>
    </row>
    <row r="805" ht="15.75" customHeight="1">
      <c r="B805" s="75"/>
      <c r="C805" s="76"/>
      <c r="F805" s="77"/>
    </row>
    <row r="806" ht="15.75" customHeight="1">
      <c r="B806" s="75"/>
      <c r="C806" s="76"/>
      <c r="F806" s="77"/>
    </row>
    <row r="807" ht="15.75" customHeight="1">
      <c r="B807" s="75"/>
      <c r="C807" s="76"/>
      <c r="F807" s="77"/>
    </row>
    <row r="808" ht="15.75" customHeight="1">
      <c r="B808" s="75"/>
      <c r="C808" s="76"/>
      <c r="F808" s="77"/>
    </row>
    <row r="809" ht="15.75" customHeight="1">
      <c r="B809" s="75"/>
      <c r="C809" s="76"/>
      <c r="F809" s="77"/>
    </row>
    <row r="810" ht="15.75" customHeight="1">
      <c r="B810" s="75"/>
      <c r="C810" s="76"/>
      <c r="F810" s="77"/>
    </row>
    <row r="811" ht="15.75" customHeight="1">
      <c r="B811" s="75"/>
      <c r="C811" s="76"/>
      <c r="F811" s="77"/>
    </row>
    <row r="812" ht="15.75" customHeight="1">
      <c r="B812" s="75"/>
      <c r="C812" s="76"/>
      <c r="F812" s="77"/>
    </row>
    <row r="813" ht="15.75" customHeight="1">
      <c r="B813" s="75"/>
      <c r="C813" s="76"/>
      <c r="F813" s="77"/>
    </row>
    <row r="814" ht="15.75" customHeight="1">
      <c r="B814" s="75"/>
      <c r="C814" s="76"/>
      <c r="F814" s="77"/>
    </row>
    <row r="815" ht="15.75" customHeight="1">
      <c r="B815" s="75"/>
      <c r="C815" s="76"/>
      <c r="F815" s="77"/>
    </row>
    <row r="816" ht="15.75" customHeight="1">
      <c r="B816" s="75"/>
      <c r="C816" s="76"/>
      <c r="F816" s="77"/>
    </row>
    <row r="817" ht="15.75" customHeight="1">
      <c r="B817" s="75"/>
      <c r="C817" s="76"/>
      <c r="F817" s="77"/>
    </row>
    <row r="818" ht="15.75" customHeight="1">
      <c r="B818" s="75"/>
      <c r="C818" s="76"/>
      <c r="F818" s="77"/>
    </row>
    <row r="819" ht="15.75" customHeight="1">
      <c r="B819" s="75"/>
      <c r="C819" s="76"/>
      <c r="F819" s="77"/>
    </row>
    <row r="820" ht="15.75" customHeight="1">
      <c r="B820" s="75"/>
      <c r="C820" s="76"/>
      <c r="F820" s="77"/>
    </row>
    <row r="821" ht="15.75" customHeight="1">
      <c r="B821" s="75"/>
      <c r="C821" s="76"/>
      <c r="F821" s="77"/>
    </row>
    <row r="822" ht="15.75" customHeight="1">
      <c r="B822" s="75"/>
      <c r="C822" s="76"/>
      <c r="F822" s="77"/>
    </row>
    <row r="823" ht="15.75" customHeight="1">
      <c r="B823" s="75"/>
      <c r="C823" s="76"/>
      <c r="F823" s="77"/>
    </row>
    <row r="824" ht="15.75" customHeight="1">
      <c r="B824" s="75"/>
      <c r="C824" s="76"/>
      <c r="F824" s="77"/>
    </row>
    <row r="825" ht="15.75" customHeight="1">
      <c r="B825" s="75"/>
      <c r="C825" s="76"/>
      <c r="F825" s="77"/>
    </row>
    <row r="826" ht="15.75" customHeight="1">
      <c r="B826" s="75"/>
      <c r="C826" s="76"/>
      <c r="F826" s="77"/>
    </row>
    <row r="827" ht="15.75" customHeight="1">
      <c r="B827" s="75"/>
      <c r="C827" s="76"/>
      <c r="F827" s="77"/>
    </row>
    <row r="828" ht="15.75" customHeight="1">
      <c r="B828" s="75"/>
      <c r="C828" s="76"/>
      <c r="F828" s="77"/>
    </row>
    <row r="829" ht="15.75" customHeight="1">
      <c r="B829" s="75"/>
      <c r="C829" s="76"/>
      <c r="F829" s="77"/>
    </row>
    <row r="830" ht="15.75" customHeight="1">
      <c r="B830" s="75"/>
      <c r="C830" s="76"/>
      <c r="F830" s="77"/>
    </row>
    <row r="831" ht="15.75" customHeight="1">
      <c r="B831" s="75"/>
      <c r="C831" s="76"/>
      <c r="F831" s="77"/>
    </row>
    <row r="832" ht="15.75" customHeight="1">
      <c r="B832" s="75"/>
      <c r="C832" s="76"/>
      <c r="F832" s="77"/>
    </row>
    <row r="833" ht="15.75" customHeight="1">
      <c r="B833" s="75"/>
      <c r="C833" s="76"/>
      <c r="F833" s="77"/>
    </row>
    <row r="834" ht="15.75" customHeight="1">
      <c r="B834" s="75"/>
      <c r="C834" s="76"/>
      <c r="F834" s="77"/>
    </row>
    <row r="835" ht="15.75" customHeight="1">
      <c r="B835" s="75"/>
      <c r="C835" s="76"/>
      <c r="F835" s="77"/>
    </row>
    <row r="836" ht="15.75" customHeight="1">
      <c r="B836" s="75"/>
      <c r="C836" s="76"/>
      <c r="F836" s="77"/>
    </row>
    <row r="837" ht="15.75" customHeight="1">
      <c r="B837" s="75"/>
      <c r="C837" s="76"/>
      <c r="F837" s="77"/>
    </row>
    <row r="838" ht="15.75" customHeight="1">
      <c r="B838" s="75"/>
      <c r="C838" s="76"/>
      <c r="F838" s="77"/>
    </row>
    <row r="839" ht="15.75" customHeight="1">
      <c r="B839" s="75"/>
      <c r="C839" s="76"/>
      <c r="F839" s="77"/>
    </row>
    <row r="840" ht="15.75" customHeight="1">
      <c r="B840" s="75"/>
      <c r="C840" s="76"/>
      <c r="F840" s="77"/>
    </row>
    <row r="841" ht="15.75" customHeight="1">
      <c r="B841" s="75"/>
      <c r="C841" s="76"/>
      <c r="F841" s="77"/>
    </row>
    <row r="842" ht="15.75" customHeight="1">
      <c r="B842" s="75"/>
      <c r="C842" s="76"/>
      <c r="F842" s="77"/>
    </row>
    <row r="843" ht="15.75" customHeight="1">
      <c r="B843" s="75"/>
      <c r="C843" s="76"/>
      <c r="F843" s="77"/>
    </row>
    <row r="844" ht="15.75" customHeight="1">
      <c r="B844" s="75"/>
      <c r="C844" s="76"/>
      <c r="F844" s="77"/>
    </row>
    <row r="845" ht="15.75" customHeight="1">
      <c r="B845" s="75"/>
      <c r="C845" s="76"/>
      <c r="F845" s="77"/>
    </row>
    <row r="846" ht="15.75" customHeight="1">
      <c r="B846" s="75"/>
      <c r="C846" s="76"/>
      <c r="F846" s="77"/>
    </row>
    <row r="847" ht="15.75" customHeight="1">
      <c r="B847" s="75"/>
      <c r="C847" s="76"/>
      <c r="F847" s="77"/>
    </row>
    <row r="848" ht="15.75" customHeight="1">
      <c r="B848" s="75"/>
      <c r="C848" s="76"/>
      <c r="F848" s="77"/>
    </row>
    <row r="849" ht="15.75" customHeight="1">
      <c r="B849" s="75"/>
      <c r="C849" s="76"/>
      <c r="F849" s="77"/>
    </row>
    <row r="850" ht="15.75" customHeight="1">
      <c r="B850" s="75"/>
      <c r="C850" s="76"/>
      <c r="F850" s="77"/>
    </row>
    <row r="851" ht="15.75" customHeight="1">
      <c r="B851" s="75"/>
      <c r="C851" s="76"/>
      <c r="F851" s="77"/>
    </row>
    <row r="852" ht="15.75" customHeight="1">
      <c r="B852" s="75"/>
      <c r="C852" s="76"/>
      <c r="F852" s="77"/>
    </row>
    <row r="853" ht="15.75" customHeight="1">
      <c r="B853" s="75"/>
      <c r="C853" s="76"/>
      <c r="F853" s="77"/>
    </row>
    <row r="854" ht="15.75" customHeight="1">
      <c r="B854" s="75"/>
      <c r="C854" s="76"/>
      <c r="F854" s="77"/>
    </row>
    <row r="855" ht="15.75" customHeight="1">
      <c r="B855" s="75"/>
      <c r="C855" s="76"/>
      <c r="F855" s="77"/>
    </row>
    <row r="856" ht="15.75" customHeight="1">
      <c r="B856" s="75"/>
      <c r="C856" s="76"/>
      <c r="F856" s="77"/>
    </row>
    <row r="857" ht="15.75" customHeight="1">
      <c r="B857" s="75"/>
      <c r="C857" s="76"/>
      <c r="F857" s="77"/>
    </row>
    <row r="858" ht="15.75" customHeight="1">
      <c r="B858" s="75"/>
      <c r="C858" s="76"/>
      <c r="F858" s="77"/>
    </row>
    <row r="859" ht="15.75" customHeight="1">
      <c r="B859" s="75"/>
      <c r="C859" s="76"/>
      <c r="F859" s="77"/>
    </row>
    <row r="860" ht="15.75" customHeight="1">
      <c r="B860" s="75"/>
      <c r="C860" s="76"/>
      <c r="F860" s="77"/>
    </row>
    <row r="861" ht="15.75" customHeight="1">
      <c r="B861" s="75"/>
      <c r="C861" s="76"/>
      <c r="F861" s="77"/>
    </row>
    <row r="862" ht="15.75" customHeight="1">
      <c r="B862" s="75"/>
      <c r="C862" s="76"/>
      <c r="F862" s="77"/>
    </row>
    <row r="863" ht="15.75" customHeight="1">
      <c r="B863" s="75"/>
      <c r="C863" s="76"/>
      <c r="F863" s="77"/>
    </row>
    <row r="864" ht="15.75" customHeight="1">
      <c r="B864" s="75"/>
      <c r="C864" s="76"/>
      <c r="F864" s="77"/>
    </row>
    <row r="865" ht="15.75" customHeight="1">
      <c r="B865" s="75"/>
      <c r="C865" s="76"/>
      <c r="F865" s="77"/>
    </row>
    <row r="866" ht="15.75" customHeight="1">
      <c r="B866" s="75"/>
      <c r="C866" s="76"/>
      <c r="F866" s="77"/>
    </row>
    <row r="867" ht="15.75" customHeight="1">
      <c r="B867" s="75"/>
      <c r="C867" s="76"/>
      <c r="F867" s="77"/>
    </row>
    <row r="868" ht="15.75" customHeight="1">
      <c r="B868" s="75"/>
      <c r="C868" s="76"/>
      <c r="F868" s="77"/>
    </row>
    <row r="869" ht="15.75" customHeight="1">
      <c r="B869" s="75"/>
      <c r="C869" s="76"/>
      <c r="F869" s="77"/>
    </row>
    <row r="870" ht="15.75" customHeight="1">
      <c r="B870" s="75"/>
      <c r="C870" s="76"/>
      <c r="F870" s="77"/>
    </row>
    <row r="871" ht="15.75" customHeight="1">
      <c r="B871" s="75"/>
      <c r="C871" s="76"/>
      <c r="F871" s="77"/>
    </row>
    <row r="872" ht="15.75" customHeight="1">
      <c r="B872" s="75"/>
      <c r="C872" s="76"/>
      <c r="F872" s="77"/>
    </row>
    <row r="873" ht="15.75" customHeight="1">
      <c r="B873" s="75"/>
      <c r="C873" s="76"/>
      <c r="F873" s="77"/>
    </row>
    <row r="874" ht="15.75" customHeight="1">
      <c r="B874" s="75"/>
      <c r="C874" s="76"/>
      <c r="F874" s="77"/>
    </row>
    <row r="875" ht="15.75" customHeight="1">
      <c r="B875" s="75"/>
      <c r="C875" s="76"/>
      <c r="F875" s="77"/>
    </row>
    <row r="876" ht="15.75" customHeight="1">
      <c r="B876" s="75"/>
      <c r="C876" s="76"/>
      <c r="F876" s="77"/>
    </row>
    <row r="877" ht="15.75" customHeight="1">
      <c r="B877" s="75"/>
      <c r="C877" s="76"/>
      <c r="F877" s="77"/>
    </row>
    <row r="878" ht="15.75" customHeight="1">
      <c r="B878" s="75"/>
      <c r="C878" s="76"/>
      <c r="F878" s="77"/>
    </row>
    <row r="879" ht="15.75" customHeight="1">
      <c r="B879" s="75"/>
      <c r="C879" s="76"/>
      <c r="F879" s="77"/>
    </row>
    <row r="880" ht="15.75" customHeight="1">
      <c r="B880" s="75"/>
      <c r="C880" s="76"/>
      <c r="F880" s="77"/>
    </row>
    <row r="881" ht="15.75" customHeight="1">
      <c r="B881" s="75"/>
      <c r="C881" s="76"/>
      <c r="F881" s="77"/>
    </row>
    <row r="882" ht="15.75" customHeight="1">
      <c r="B882" s="75"/>
      <c r="C882" s="76"/>
      <c r="F882" s="77"/>
    </row>
    <row r="883" ht="15.75" customHeight="1">
      <c r="B883" s="75"/>
      <c r="C883" s="76"/>
      <c r="F883" s="77"/>
    </row>
    <row r="884" ht="15.75" customHeight="1">
      <c r="B884" s="75"/>
      <c r="C884" s="76"/>
      <c r="F884" s="77"/>
    </row>
    <row r="885" ht="15.75" customHeight="1">
      <c r="B885" s="75"/>
      <c r="C885" s="76"/>
      <c r="F885" s="77"/>
    </row>
    <row r="886" ht="15.75" customHeight="1">
      <c r="B886" s="75"/>
      <c r="C886" s="76"/>
      <c r="F886" s="77"/>
    </row>
    <row r="887" ht="15.75" customHeight="1">
      <c r="B887" s="75"/>
      <c r="C887" s="76"/>
      <c r="F887" s="77"/>
    </row>
    <row r="888" ht="15.75" customHeight="1">
      <c r="B888" s="75"/>
      <c r="C888" s="76"/>
      <c r="F888" s="77"/>
    </row>
    <row r="889" ht="15.75" customHeight="1">
      <c r="B889" s="75"/>
      <c r="C889" s="76"/>
      <c r="F889" s="77"/>
    </row>
    <row r="890" ht="15.75" customHeight="1">
      <c r="B890" s="75"/>
      <c r="C890" s="76"/>
      <c r="F890" s="77"/>
    </row>
    <row r="891" ht="15.75" customHeight="1">
      <c r="B891" s="75"/>
      <c r="C891" s="76"/>
      <c r="F891" s="77"/>
    </row>
    <row r="892" ht="15.75" customHeight="1">
      <c r="B892" s="75"/>
      <c r="C892" s="76"/>
      <c r="F892" s="77"/>
    </row>
    <row r="893" ht="15.75" customHeight="1">
      <c r="B893" s="75"/>
      <c r="C893" s="76"/>
      <c r="F893" s="77"/>
    </row>
    <row r="894" ht="15.75" customHeight="1">
      <c r="B894" s="75"/>
      <c r="C894" s="76"/>
      <c r="F894" s="77"/>
    </row>
    <row r="895" ht="15.75" customHeight="1">
      <c r="B895" s="75"/>
      <c r="C895" s="76"/>
      <c r="F895" s="77"/>
    </row>
    <row r="896" ht="15.75" customHeight="1">
      <c r="B896" s="75"/>
      <c r="C896" s="76"/>
      <c r="F896" s="77"/>
    </row>
    <row r="897" ht="15.75" customHeight="1">
      <c r="B897" s="75"/>
      <c r="C897" s="76"/>
      <c r="F897" s="77"/>
    </row>
    <row r="898" ht="15.75" customHeight="1">
      <c r="B898" s="75"/>
      <c r="C898" s="76"/>
      <c r="F898" s="77"/>
    </row>
    <row r="899" ht="15.75" customHeight="1">
      <c r="B899" s="75"/>
      <c r="C899" s="76"/>
      <c r="F899" s="77"/>
    </row>
    <row r="900" ht="15.75" customHeight="1">
      <c r="B900" s="75"/>
      <c r="C900" s="76"/>
      <c r="F900" s="77"/>
    </row>
    <row r="901" ht="15.75" customHeight="1">
      <c r="B901" s="75"/>
      <c r="C901" s="76"/>
      <c r="F901" s="77"/>
    </row>
    <row r="902" ht="15.75" customHeight="1">
      <c r="B902" s="75"/>
      <c r="C902" s="76"/>
      <c r="F902" s="77"/>
    </row>
    <row r="903" ht="15.75" customHeight="1">
      <c r="B903" s="75"/>
      <c r="C903" s="76"/>
      <c r="F903" s="77"/>
    </row>
    <row r="904" ht="15.75" customHeight="1">
      <c r="B904" s="75"/>
      <c r="C904" s="76"/>
      <c r="F904" s="77"/>
    </row>
    <row r="905" ht="15.75" customHeight="1">
      <c r="B905" s="75"/>
      <c r="C905" s="76"/>
      <c r="F905" s="77"/>
    </row>
    <row r="906" ht="15.75" customHeight="1">
      <c r="B906" s="75"/>
      <c r="C906" s="76"/>
      <c r="F906" s="77"/>
    </row>
    <row r="907" ht="15.75" customHeight="1">
      <c r="B907" s="75"/>
      <c r="C907" s="76"/>
      <c r="F907" s="77"/>
    </row>
    <row r="908" ht="15.75" customHeight="1">
      <c r="B908" s="75"/>
      <c r="C908" s="76"/>
      <c r="F908" s="77"/>
    </row>
    <row r="909" ht="15.75" customHeight="1">
      <c r="B909" s="75"/>
      <c r="C909" s="76"/>
      <c r="F909" s="77"/>
    </row>
    <row r="910" ht="15.75" customHeight="1">
      <c r="B910" s="75"/>
      <c r="C910" s="76"/>
      <c r="F910" s="77"/>
    </row>
    <row r="911" ht="15.75" customHeight="1">
      <c r="B911" s="75"/>
      <c r="C911" s="76"/>
      <c r="F911" s="77"/>
    </row>
    <row r="912" ht="15.75" customHeight="1">
      <c r="B912" s="75"/>
      <c r="C912" s="76"/>
      <c r="F912" s="77"/>
    </row>
    <row r="913" ht="15.75" customHeight="1">
      <c r="B913" s="75"/>
      <c r="C913" s="76"/>
      <c r="F913" s="77"/>
    </row>
    <row r="914" ht="15.75" customHeight="1">
      <c r="B914" s="75"/>
      <c r="C914" s="76"/>
      <c r="F914" s="77"/>
    </row>
    <row r="915" ht="15.75" customHeight="1">
      <c r="B915" s="75"/>
      <c r="C915" s="76"/>
      <c r="F915" s="77"/>
    </row>
    <row r="916" ht="15.75" customHeight="1">
      <c r="B916" s="75"/>
      <c r="C916" s="76"/>
      <c r="F916" s="77"/>
    </row>
    <row r="917" ht="15.75" customHeight="1">
      <c r="B917" s="75"/>
      <c r="C917" s="76"/>
      <c r="F917" s="77"/>
    </row>
    <row r="918" ht="15.75" customHeight="1">
      <c r="B918" s="75"/>
      <c r="C918" s="76"/>
      <c r="F918" s="77"/>
    </row>
    <row r="919" ht="15.75" customHeight="1">
      <c r="B919" s="75"/>
      <c r="C919" s="76"/>
      <c r="F919" s="77"/>
    </row>
    <row r="920" ht="15.75" customHeight="1">
      <c r="B920" s="75"/>
      <c r="C920" s="76"/>
      <c r="F920" s="77"/>
    </row>
    <row r="921" ht="15.75" customHeight="1">
      <c r="B921" s="75"/>
      <c r="C921" s="76"/>
      <c r="F921" s="77"/>
    </row>
    <row r="922" ht="15.75" customHeight="1">
      <c r="B922" s="75"/>
      <c r="C922" s="76"/>
      <c r="F922" s="77"/>
    </row>
    <row r="923" ht="15.75" customHeight="1">
      <c r="B923" s="75"/>
      <c r="C923" s="76"/>
      <c r="F923" s="77"/>
    </row>
    <row r="924" ht="15.75" customHeight="1">
      <c r="B924" s="75"/>
      <c r="C924" s="76"/>
      <c r="F924" s="77"/>
    </row>
    <row r="925" ht="15.75" customHeight="1">
      <c r="B925" s="75"/>
      <c r="C925" s="76"/>
      <c r="F925" s="77"/>
    </row>
    <row r="926" ht="15.75" customHeight="1">
      <c r="B926" s="75"/>
      <c r="C926" s="76"/>
      <c r="F926" s="77"/>
    </row>
    <row r="927" ht="15.75" customHeight="1">
      <c r="B927" s="75"/>
      <c r="C927" s="76"/>
      <c r="F927" s="77"/>
    </row>
    <row r="928" ht="15.75" customHeight="1">
      <c r="B928" s="75"/>
      <c r="C928" s="76"/>
      <c r="F928" s="77"/>
    </row>
    <row r="929" ht="15.75" customHeight="1">
      <c r="B929" s="75"/>
      <c r="C929" s="76"/>
      <c r="F929" s="77"/>
    </row>
    <row r="930" ht="15.75" customHeight="1">
      <c r="B930" s="75"/>
      <c r="C930" s="76"/>
      <c r="F930" s="77"/>
    </row>
    <row r="931" ht="15.75" customHeight="1">
      <c r="B931" s="75"/>
      <c r="C931" s="76"/>
      <c r="F931" s="77"/>
    </row>
    <row r="932" ht="15.75" customHeight="1">
      <c r="B932" s="75"/>
      <c r="C932" s="76"/>
      <c r="F932" s="77"/>
    </row>
    <row r="933" ht="15.75" customHeight="1">
      <c r="B933" s="75"/>
      <c r="C933" s="76"/>
      <c r="F933" s="77"/>
    </row>
    <row r="934" ht="15.75" customHeight="1">
      <c r="B934" s="75"/>
      <c r="C934" s="76"/>
      <c r="F934" s="77"/>
    </row>
    <row r="935" ht="15.75" customHeight="1">
      <c r="B935" s="75"/>
      <c r="C935" s="76"/>
      <c r="F935" s="77"/>
    </row>
    <row r="936" ht="15.75" customHeight="1">
      <c r="B936" s="75"/>
      <c r="C936" s="76"/>
      <c r="F936" s="77"/>
    </row>
    <row r="937" ht="15.75" customHeight="1">
      <c r="B937" s="75"/>
      <c r="C937" s="76"/>
      <c r="F937" s="77"/>
    </row>
    <row r="938" ht="15.75" customHeight="1">
      <c r="B938" s="75"/>
      <c r="C938" s="76"/>
      <c r="F938" s="77"/>
    </row>
    <row r="939" ht="15.75" customHeight="1">
      <c r="B939" s="75"/>
      <c r="C939" s="76"/>
      <c r="F939" s="77"/>
    </row>
    <row r="940" ht="15.75" customHeight="1">
      <c r="B940" s="75"/>
      <c r="C940" s="76"/>
      <c r="F940" s="77"/>
    </row>
    <row r="941" ht="15.75" customHeight="1">
      <c r="B941" s="75"/>
      <c r="C941" s="76"/>
      <c r="F941" s="77"/>
    </row>
    <row r="942" ht="15.75" customHeight="1">
      <c r="B942" s="75"/>
      <c r="C942" s="76"/>
      <c r="F942" s="77"/>
    </row>
    <row r="943" ht="15.75" customHeight="1">
      <c r="B943" s="75"/>
      <c r="C943" s="76"/>
      <c r="F943" s="77"/>
    </row>
    <row r="944" ht="15.75" customHeight="1">
      <c r="B944" s="75"/>
      <c r="C944" s="76"/>
      <c r="F944" s="77"/>
    </row>
    <row r="945" ht="15.75" customHeight="1">
      <c r="B945" s="75"/>
      <c r="C945" s="76"/>
      <c r="F945" s="77"/>
    </row>
    <row r="946" ht="15.75" customHeight="1">
      <c r="B946" s="75"/>
      <c r="C946" s="76"/>
      <c r="F946" s="77"/>
    </row>
    <row r="947" ht="15.75" customHeight="1">
      <c r="B947" s="75"/>
      <c r="C947" s="76"/>
      <c r="F947" s="77"/>
    </row>
    <row r="948" ht="15.75" customHeight="1">
      <c r="B948" s="75"/>
      <c r="C948" s="76"/>
      <c r="F948" s="77"/>
    </row>
    <row r="949" ht="15.75" customHeight="1">
      <c r="B949" s="75"/>
      <c r="C949" s="76"/>
      <c r="F949" s="77"/>
    </row>
    <row r="950" ht="15.75" customHeight="1">
      <c r="B950" s="75"/>
      <c r="C950" s="76"/>
      <c r="F950" s="77"/>
    </row>
    <row r="951" ht="15.75" customHeight="1">
      <c r="B951" s="75"/>
      <c r="C951" s="76"/>
      <c r="F951" s="77"/>
    </row>
    <row r="952" ht="15.75" customHeight="1">
      <c r="B952" s="75"/>
      <c r="C952" s="76"/>
      <c r="F952" s="77"/>
    </row>
    <row r="953" ht="15.75" customHeight="1">
      <c r="B953" s="75"/>
      <c r="C953" s="76"/>
      <c r="F953" s="77"/>
    </row>
    <row r="954" ht="15.75" customHeight="1">
      <c r="B954" s="75"/>
      <c r="C954" s="76"/>
      <c r="F954" s="77"/>
    </row>
    <row r="955" ht="15.75" customHeight="1">
      <c r="B955" s="75"/>
      <c r="C955" s="76"/>
      <c r="F955" s="77"/>
    </row>
    <row r="956" ht="15.75" customHeight="1">
      <c r="B956" s="75"/>
      <c r="C956" s="76"/>
      <c r="F956" s="77"/>
    </row>
    <row r="957" ht="15.75" customHeight="1">
      <c r="B957" s="75"/>
      <c r="C957" s="76"/>
      <c r="F957" s="77"/>
    </row>
    <row r="958" ht="15.75" customHeight="1">
      <c r="B958" s="75"/>
      <c r="C958" s="76"/>
      <c r="F958" s="77"/>
    </row>
    <row r="959" ht="15.75" customHeight="1">
      <c r="B959" s="75"/>
      <c r="C959" s="76"/>
      <c r="F959" s="77"/>
    </row>
    <row r="960" ht="15.75" customHeight="1">
      <c r="B960" s="75"/>
      <c r="C960" s="76"/>
      <c r="F960" s="77"/>
    </row>
    <row r="961" ht="15.75" customHeight="1">
      <c r="B961" s="75"/>
      <c r="C961" s="76"/>
      <c r="F961" s="77"/>
    </row>
    <row r="962" ht="15.75" customHeight="1">
      <c r="B962" s="75"/>
      <c r="C962" s="76"/>
      <c r="F962" s="77"/>
    </row>
    <row r="963" ht="15.75" customHeight="1">
      <c r="B963" s="75"/>
      <c r="C963" s="76"/>
      <c r="F963" s="77"/>
    </row>
    <row r="964" ht="15.75" customHeight="1">
      <c r="B964" s="75"/>
      <c r="C964" s="76"/>
      <c r="F964" s="77"/>
    </row>
    <row r="965" ht="15.75" customHeight="1">
      <c r="B965" s="75"/>
      <c r="C965" s="76"/>
      <c r="F965" s="77"/>
    </row>
    <row r="966" ht="15.75" customHeight="1">
      <c r="B966" s="75"/>
      <c r="C966" s="76"/>
      <c r="F966" s="77"/>
    </row>
    <row r="967" ht="15.75" customHeight="1">
      <c r="B967" s="75"/>
      <c r="C967" s="76"/>
      <c r="F967" s="77"/>
    </row>
    <row r="968" ht="15.75" customHeight="1">
      <c r="B968" s="75"/>
      <c r="C968" s="76"/>
      <c r="F968" s="77"/>
    </row>
    <row r="969" ht="15.75" customHeight="1">
      <c r="B969" s="75"/>
      <c r="C969" s="76"/>
      <c r="F969" s="77"/>
    </row>
    <row r="970" ht="15.75" customHeight="1">
      <c r="B970" s="75"/>
      <c r="C970" s="76"/>
      <c r="F970" s="77"/>
    </row>
    <row r="971" ht="15.75" customHeight="1">
      <c r="B971" s="75"/>
      <c r="C971" s="76"/>
      <c r="F971" s="77"/>
    </row>
    <row r="972" ht="15.75" customHeight="1">
      <c r="B972" s="75"/>
      <c r="C972" s="76"/>
      <c r="F972" s="77"/>
    </row>
    <row r="973" ht="15.75" customHeight="1">
      <c r="B973" s="75"/>
      <c r="C973" s="76"/>
      <c r="F973" s="77"/>
    </row>
    <row r="974" ht="15.75" customHeight="1">
      <c r="B974" s="75"/>
      <c r="C974" s="76"/>
      <c r="F974" s="77"/>
    </row>
    <row r="975" ht="15.75" customHeight="1">
      <c r="B975" s="75"/>
      <c r="C975" s="76"/>
      <c r="F975" s="77"/>
    </row>
    <row r="976" ht="15.75" customHeight="1">
      <c r="B976" s="75"/>
      <c r="C976" s="76"/>
      <c r="F976" s="77"/>
    </row>
    <row r="977" ht="15.75" customHeight="1">
      <c r="B977" s="75"/>
      <c r="C977" s="76"/>
      <c r="F977" s="77"/>
    </row>
    <row r="978" ht="15.75" customHeight="1">
      <c r="B978" s="75"/>
      <c r="C978" s="76"/>
      <c r="F978" s="77"/>
    </row>
    <row r="979" ht="15.75" customHeight="1">
      <c r="B979" s="75"/>
      <c r="C979" s="76"/>
      <c r="F979" s="77"/>
    </row>
    <row r="980" ht="15.75" customHeight="1">
      <c r="B980" s="75"/>
      <c r="C980" s="76"/>
      <c r="F980" s="77"/>
    </row>
    <row r="981" ht="15.75" customHeight="1">
      <c r="B981" s="75"/>
      <c r="C981" s="76"/>
      <c r="F981" s="77"/>
    </row>
    <row r="982" ht="15.75" customHeight="1">
      <c r="B982" s="75"/>
      <c r="C982" s="76"/>
      <c r="F982" s="77"/>
    </row>
    <row r="983" ht="15.75" customHeight="1">
      <c r="B983" s="75"/>
      <c r="C983" s="76"/>
      <c r="F983" s="77"/>
    </row>
    <row r="984" ht="15.75" customHeight="1">
      <c r="B984" s="75"/>
      <c r="C984" s="76"/>
      <c r="F984" s="77"/>
    </row>
    <row r="985" ht="15.75" customHeight="1">
      <c r="B985" s="75"/>
      <c r="C985" s="76"/>
      <c r="F985" s="77"/>
    </row>
    <row r="986" ht="15.75" customHeight="1">
      <c r="B986" s="75"/>
      <c r="C986" s="76"/>
      <c r="F986" s="77"/>
    </row>
    <row r="987" ht="15.75" customHeight="1">
      <c r="B987" s="75"/>
      <c r="C987" s="76"/>
      <c r="F987" s="77"/>
    </row>
    <row r="988" ht="15.75" customHeight="1">
      <c r="B988" s="75"/>
      <c r="C988" s="76"/>
      <c r="F988" s="77"/>
    </row>
    <row r="989" ht="15.75" customHeight="1">
      <c r="B989" s="75"/>
      <c r="C989" s="76"/>
      <c r="F989" s="77"/>
    </row>
    <row r="990" ht="15.75" customHeight="1">
      <c r="B990" s="75"/>
      <c r="C990" s="76"/>
      <c r="F990" s="77"/>
    </row>
    <row r="991" ht="15.75" customHeight="1">
      <c r="B991" s="75"/>
      <c r="C991" s="76"/>
      <c r="F991" s="77"/>
    </row>
    <row r="992" ht="15.75" customHeight="1">
      <c r="B992" s="75"/>
      <c r="C992" s="76"/>
      <c r="F992" s="77"/>
    </row>
    <row r="993" ht="15.75" customHeight="1">
      <c r="B993" s="75"/>
      <c r="C993" s="76"/>
      <c r="F993" s="77"/>
    </row>
    <row r="994" ht="15.75" customHeight="1">
      <c r="B994" s="75"/>
      <c r="C994" s="76"/>
      <c r="F994" s="77"/>
    </row>
    <row r="995" ht="15.75" customHeight="1">
      <c r="B995" s="75"/>
      <c r="C995" s="76"/>
      <c r="F995" s="77"/>
    </row>
    <row r="996" ht="15.75" customHeight="1">
      <c r="B996" s="75"/>
      <c r="C996" s="76"/>
      <c r="F996" s="77"/>
    </row>
    <row r="997" ht="15.75" customHeight="1">
      <c r="B997" s="75"/>
      <c r="C997" s="76"/>
      <c r="F997" s="77"/>
    </row>
    <row r="998" ht="15.75" customHeight="1">
      <c r="B998" s="75"/>
      <c r="C998" s="76"/>
      <c r="F998" s="77"/>
    </row>
    <row r="999" ht="15.75" customHeight="1">
      <c r="B999" s="75"/>
      <c r="C999" s="76"/>
      <c r="F999" s="77"/>
    </row>
    <row r="1000" ht="15.75" customHeight="1">
      <c r="B1000" s="75"/>
      <c r="C1000" s="76"/>
      <c r="F1000" s="77"/>
    </row>
    <row r="1001" ht="15.75" customHeight="1">
      <c r="B1001" s="75"/>
      <c r="C1001" s="76"/>
      <c r="F1001" s="77"/>
    </row>
    <row r="1002" ht="15.75" customHeight="1">
      <c r="B1002" s="75"/>
      <c r="C1002" s="76"/>
      <c r="F1002" s="77"/>
    </row>
    <row r="1003" ht="15.75" customHeight="1">
      <c r="B1003" s="75"/>
      <c r="C1003" s="76"/>
      <c r="F1003" s="77"/>
    </row>
    <row r="1004" ht="15.75" customHeight="1">
      <c r="B1004" s="75"/>
      <c r="C1004" s="76"/>
      <c r="F1004" s="77"/>
    </row>
  </sheetData>
  <autoFilter ref="$A$3:$AA$235">
    <sortState ref="A3:AA235">
      <sortCondition ref="B3:B235"/>
      <sortCondition descending="1" sortBy="cellColor" ref="C3:C235" dxfId="2"/>
      <sortCondition descending="1" ref="F3:F235"/>
      <sortCondition ref="A3:A235"/>
    </sortState>
  </autoFilter>
  <dataValidations>
    <dataValidation type="list" allowBlank="1" showErrorMessage="1" sqref="B4:B235">
      <formula1>ABSENSI!$B$7:$B$65</formula1>
    </dataValidation>
    <dataValidation type="list" allowBlank="1" showErrorMessage="1" sqref="G4:H235">
      <formula1>"Ita Ernia,Rudi Dwi Yanto,Badrul Komar,Moch Anis Fatony"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71"/>
    <col customWidth="1" min="2" max="2" width="30.0"/>
    <col customWidth="1" min="3" max="3" width="13.14"/>
    <col customWidth="1" min="4" max="4" width="40.29"/>
    <col customWidth="1" min="5" max="5" width="25.86"/>
    <col customWidth="1" min="6" max="6" width="33.71"/>
    <col customWidth="1" min="7" max="7" width="13.43"/>
    <col customWidth="1" min="8" max="9" width="16.14"/>
    <col customWidth="1" min="10" max="12" width="17.71"/>
    <col customWidth="1" min="13" max="13" width="18.43"/>
  </cols>
  <sheetData>
    <row r="1">
      <c r="B1" s="77"/>
      <c r="C1" s="77" t="s">
        <v>268</v>
      </c>
      <c r="D1" s="77"/>
      <c r="E1" s="109"/>
      <c r="F1" s="77"/>
      <c r="G1" s="77"/>
      <c r="H1" s="77" t="s">
        <v>269</v>
      </c>
      <c r="I1" s="77" t="s">
        <v>270</v>
      </c>
      <c r="J1" s="77" t="s">
        <v>271</v>
      </c>
      <c r="K1" s="77" t="s">
        <v>272</v>
      </c>
    </row>
    <row r="2">
      <c r="B2" s="77"/>
      <c r="C2" s="77" t="s">
        <v>273</v>
      </c>
      <c r="D2" s="77"/>
      <c r="E2" s="109"/>
      <c r="F2" s="77"/>
      <c r="G2" s="77"/>
      <c r="H2" s="77" t="s">
        <v>273</v>
      </c>
      <c r="I2" s="77" t="s">
        <v>273</v>
      </c>
      <c r="J2" s="77" t="s">
        <v>273</v>
      </c>
      <c r="K2" s="77" t="s">
        <v>273</v>
      </c>
    </row>
    <row r="3">
      <c r="A3" s="110" t="s">
        <v>122</v>
      </c>
      <c r="B3" s="111" t="s">
        <v>123</v>
      </c>
      <c r="C3" s="111" t="s">
        <v>274</v>
      </c>
      <c r="D3" s="111" t="s">
        <v>275</v>
      </c>
      <c r="E3" s="112" t="s">
        <v>276</v>
      </c>
      <c r="F3" s="111" t="s">
        <v>277</v>
      </c>
      <c r="G3" s="111" t="s">
        <v>278</v>
      </c>
      <c r="H3" s="111" t="s">
        <v>8</v>
      </c>
      <c r="I3" s="111" t="s">
        <v>18</v>
      </c>
      <c r="J3" s="111" t="s">
        <v>279</v>
      </c>
      <c r="K3" s="111" t="s">
        <v>280</v>
      </c>
      <c r="L3" s="111" t="s">
        <v>127</v>
      </c>
      <c r="M3" s="111" t="s">
        <v>128</v>
      </c>
    </row>
    <row r="4">
      <c r="A4" s="11">
        <v>1.0</v>
      </c>
      <c r="B4" s="113" t="s">
        <v>40</v>
      </c>
      <c r="C4" s="114">
        <v>1.0</v>
      </c>
      <c r="D4" s="113" t="s">
        <v>281</v>
      </c>
      <c r="E4" s="113" t="s">
        <v>282</v>
      </c>
      <c r="F4" s="113" t="s">
        <v>283</v>
      </c>
      <c r="G4" s="113">
        <v>60.0</v>
      </c>
      <c r="H4" s="115">
        <f>ROUNDDOWN(KUNJUNGAN!$G4/60,0)</f>
        <v>1</v>
      </c>
      <c r="I4" s="116">
        <f t="shared" ref="I4:I446" si="1">G4-(H4*60)</f>
        <v>0</v>
      </c>
      <c r="J4" s="116">
        <f>(KUNJUNGAN!$H4*60)+KUNJUNGAN!$I4</f>
        <v>60</v>
      </c>
      <c r="K4" s="116"/>
      <c r="L4" s="11" t="s">
        <v>284</v>
      </c>
      <c r="M4" s="11"/>
    </row>
    <row r="5">
      <c r="A5" s="11">
        <v>2.0</v>
      </c>
      <c r="B5" s="113" t="s">
        <v>40</v>
      </c>
      <c r="C5" s="114">
        <v>1.0</v>
      </c>
      <c r="D5" s="113" t="s">
        <v>285</v>
      </c>
      <c r="E5" s="113" t="s">
        <v>286</v>
      </c>
      <c r="F5" s="113" t="s">
        <v>287</v>
      </c>
      <c r="G5" s="113">
        <v>60.0</v>
      </c>
      <c r="H5" s="115">
        <f>ROUNDDOWN(KUNJUNGAN!$G5/60,0)</f>
        <v>1</v>
      </c>
      <c r="I5" s="116">
        <f t="shared" si="1"/>
        <v>0</v>
      </c>
      <c r="J5" s="116">
        <f>(KUNJUNGAN!$H5*60)+KUNJUNGAN!$I5</f>
        <v>60</v>
      </c>
      <c r="K5" s="115"/>
      <c r="L5" s="11" t="s">
        <v>284</v>
      </c>
      <c r="M5" s="11"/>
    </row>
    <row r="6">
      <c r="A6" s="11">
        <v>3.0</v>
      </c>
      <c r="B6" s="113" t="s">
        <v>40</v>
      </c>
      <c r="C6" s="114">
        <v>1.0</v>
      </c>
      <c r="D6" s="113" t="s">
        <v>288</v>
      </c>
      <c r="E6" s="113" t="s">
        <v>289</v>
      </c>
      <c r="F6" s="113" t="s">
        <v>290</v>
      </c>
      <c r="G6" s="113">
        <v>60.0</v>
      </c>
      <c r="H6" s="115">
        <f>ROUNDDOWN(KUNJUNGAN!$G6/60,0)</f>
        <v>1</v>
      </c>
      <c r="I6" s="116">
        <f t="shared" si="1"/>
        <v>0</v>
      </c>
      <c r="J6" s="116">
        <f>(KUNJUNGAN!$H6*60)+KUNJUNGAN!$I6</f>
        <v>60</v>
      </c>
      <c r="K6" s="115"/>
      <c r="L6" s="11" t="s">
        <v>284</v>
      </c>
      <c r="M6" s="11"/>
    </row>
    <row r="7">
      <c r="A7" s="11">
        <v>4.0</v>
      </c>
      <c r="B7" s="113" t="s">
        <v>40</v>
      </c>
      <c r="C7" s="114">
        <v>1.0</v>
      </c>
      <c r="D7" s="113" t="s">
        <v>291</v>
      </c>
      <c r="E7" s="113" t="s">
        <v>292</v>
      </c>
      <c r="F7" s="113" t="s">
        <v>293</v>
      </c>
      <c r="G7" s="113">
        <v>60.0</v>
      </c>
      <c r="H7" s="115">
        <f>ROUNDDOWN(KUNJUNGAN!$G7/60,0)</f>
        <v>1</v>
      </c>
      <c r="I7" s="116">
        <f t="shared" si="1"/>
        <v>0</v>
      </c>
      <c r="J7" s="116">
        <f>(KUNJUNGAN!$H7*60)+KUNJUNGAN!$I7</f>
        <v>60</v>
      </c>
      <c r="K7" s="115"/>
      <c r="L7" s="11" t="s">
        <v>284</v>
      </c>
      <c r="M7" s="11"/>
    </row>
    <row r="8">
      <c r="A8" s="11">
        <v>5.0</v>
      </c>
      <c r="B8" s="113" t="s">
        <v>40</v>
      </c>
      <c r="C8" s="114">
        <v>1.0</v>
      </c>
      <c r="D8" s="113" t="s">
        <v>294</v>
      </c>
      <c r="E8" s="113" t="s">
        <v>295</v>
      </c>
      <c r="F8" s="113" t="s">
        <v>296</v>
      </c>
      <c r="G8" s="113">
        <v>60.0</v>
      </c>
      <c r="H8" s="115">
        <f>ROUNDDOWN(KUNJUNGAN!$G8/60,0)</f>
        <v>1</v>
      </c>
      <c r="I8" s="116">
        <f t="shared" si="1"/>
        <v>0</v>
      </c>
      <c r="J8" s="116">
        <f>(KUNJUNGAN!$H8*60)+KUNJUNGAN!$I8</f>
        <v>60</v>
      </c>
      <c r="K8" s="115"/>
      <c r="L8" s="11" t="s">
        <v>284</v>
      </c>
      <c r="M8" s="11"/>
    </row>
    <row r="9">
      <c r="A9" s="11">
        <v>6.0</v>
      </c>
      <c r="B9" s="113" t="s">
        <v>40</v>
      </c>
      <c r="C9" s="114">
        <v>1.0</v>
      </c>
      <c r="D9" s="113" t="s">
        <v>297</v>
      </c>
      <c r="E9" s="113" t="s">
        <v>298</v>
      </c>
      <c r="F9" s="113" t="s">
        <v>299</v>
      </c>
      <c r="G9" s="113">
        <v>60.0</v>
      </c>
      <c r="H9" s="115">
        <f>ROUNDDOWN(KUNJUNGAN!$G9/60,0)</f>
        <v>1</v>
      </c>
      <c r="I9" s="116">
        <f t="shared" si="1"/>
        <v>0</v>
      </c>
      <c r="J9" s="116">
        <f>(KUNJUNGAN!$H9*60)+KUNJUNGAN!$I9</f>
        <v>60</v>
      </c>
      <c r="K9" s="115"/>
      <c r="L9" s="11" t="s">
        <v>284</v>
      </c>
      <c r="M9" s="11"/>
    </row>
    <row r="10">
      <c r="A10" s="11">
        <v>7.0</v>
      </c>
      <c r="B10" s="113" t="s">
        <v>40</v>
      </c>
      <c r="C10" s="114">
        <v>1.0</v>
      </c>
      <c r="D10" s="113" t="s">
        <v>300</v>
      </c>
      <c r="E10" s="113" t="s">
        <v>301</v>
      </c>
      <c r="F10" s="113" t="s">
        <v>302</v>
      </c>
      <c r="G10" s="113">
        <v>60.0</v>
      </c>
      <c r="H10" s="115">
        <f>ROUNDDOWN(KUNJUNGAN!$G10/60,0)</f>
        <v>1</v>
      </c>
      <c r="I10" s="116">
        <f t="shared" si="1"/>
        <v>0</v>
      </c>
      <c r="J10" s="116">
        <f>(KUNJUNGAN!$H10*60)+KUNJUNGAN!$I10</f>
        <v>60</v>
      </c>
      <c r="K10" s="115"/>
      <c r="L10" s="11" t="s">
        <v>284</v>
      </c>
      <c r="M10" s="11"/>
    </row>
    <row r="11">
      <c r="A11" s="11">
        <v>8.0</v>
      </c>
      <c r="B11" s="113" t="s">
        <v>40</v>
      </c>
      <c r="C11" s="114">
        <v>1.0</v>
      </c>
      <c r="D11" s="113" t="s">
        <v>303</v>
      </c>
      <c r="E11" s="113" t="s">
        <v>304</v>
      </c>
      <c r="F11" s="113" t="s">
        <v>305</v>
      </c>
      <c r="G11" s="113">
        <v>60.0</v>
      </c>
      <c r="H11" s="115">
        <f>ROUNDDOWN(KUNJUNGAN!$G11/60,0)</f>
        <v>1</v>
      </c>
      <c r="I11" s="116">
        <f t="shared" si="1"/>
        <v>0</v>
      </c>
      <c r="J11" s="116">
        <f>(KUNJUNGAN!$H11*60)+KUNJUNGAN!$I11</f>
        <v>60</v>
      </c>
      <c r="K11" s="115"/>
      <c r="L11" s="11" t="s">
        <v>284</v>
      </c>
      <c r="M11" s="11"/>
    </row>
    <row r="12">
      <c r="A12" s="11">
        <v>9.0</v>
      </c>
      <c r="B12" s="113" t="s">
        <v>40</v>
      </c>
      <c r="C12" s="114">
        <v>1.0</v>
      </c>
      <c r="D12" s="113" t="s">
        <v>306</v>
      </c>
      <c r="E12" s="113" t="s">
        <v>307</v>
      </c>
      <c r="F12" s="113" t="s">
        <v>308</v>
      </c>
      <c r="G12" s="113">
        <v>60.0</v>
      </c>
      <c r="H12" s="115">
        <f>ROUNDDOWN(KUNJUNGAN!$G12/60,0)</f>
        <v>1</v>
      </c>
      <c r="I12" s="116">
        <f t="shared" si="1"/>
        <v>0</v>
      </c>
      <c r="J12" s="116">
        <f>(KUNJUNGAN!$H12*60)+KUNJUNGAN!$I12</f>
        <v>60</v>
      </c>
      <c r="K12" s="115"/>
      <c r="L12" s="11" t="s">
        <v>284</v>
      </c>
      <c r="M12" s="11"/>
    </row>
    <row r="13">
      <c r="A13" s="11">
        <v>10.0</v>
      </c>
      <c r="B13" s="113" t="s">
        <v>40</v>
      </c>
      <c r="C13" s="114">
        <v>1.0</v>
      </c>
      <c r="D13" s="113" t="s">
        <v>300</v>
      </c>
      <c r="E13" s="113" t="s">
        <v>309</v>
      </c>
      <c r="F13" s="113" t="s">
        <v>310</v>
      </c>
      <c r="G13" s="113">
        <v>60.0</v>
      </c>
      <c r="H13" s="115">
        <f>ROUNDDOWN(KUNJUNGAN!$G13/60,0)</f>
        <v>1</v>
      </c>
      <c r="I13" s="116">
        <f t="shared" si="1"/>
        <v>0</v>
      </c>
      <c r="J13" s="116">
        <f>(KUNJUNGAN!$H13*60)+KUNJUNGAN!$I13</f>
        <v>60</v>
      </c>
      <c r="K13" s="115"/>
      <c r="L13" s="11" t="s">
        <v>284</v>
      </c>
      <c r="M13" s="11"/>
    </row>
    <row r="14">
      <c r="A14" s="11">
        <v>11.0</v>
      </c>
      <c r="B14" s="113" t="s">
        <v>40</v>
      </c>
      <c r="C14" s="114">
        <v>1.0</v>
      </c>
      <c r="D14" s="113" t="s">
        <v>311</v>
      </c>
      <c r="E14" s="113" t="s">
        <v>312</v>
      </c>
      <c r="F14" s="113" t="s">
        <v>313</v>
      </c>
      <c r="G14" s="113">
        <v>60.0</v>
      </c>
      <c r="H14" s="115">
        <f>ROUNDDOWN(KUNJUNGAN!$G14/60,0)</f>
        <v>1</v>
      </c>
      <c r="I14" s="116">
        <f t="shared" si="1"/>
        <v>0</v>
      </c>
      <c r="J14" s="116">
        <f>(KUNJUNGAN!$H14*60)+KUNJUNGAN!$I14</f>
        <v>60</v>
      </c>
      <c r="K14" s="115"/>
      <c r="L14" s="11" t="s">
        <v>284</v>
      </c>
      <c r="M14" s="11"/>
    </row>
    <row r="15">
      <c r="A15" s="11">
        <v>12.0</v>
      </c>
      <c r="B15" s="113" t="s">
        <v>40</v>
      </c>
      <c r="C15" s="114">
        <v>1.0</v>
      </c>
      <c r="D15" s="113" t="s">
        <v>314</v>
      </c>
      <c r="E15" s="113" t="s">
        <v>315</v>
      </c>
      <c r="F15" s="113" t="s">
        <v>316</v>
      </c>
      <c r="G15" s="113">
        <v>60.0</v>
      </c>
      <c r="H15" s="115">
        <f>ROUNDDOWN(KUNJUNGAN!$G15/60,0)</f>
        <v>1</v>
      </c>
      <c r="I15" s="116">
        <f t="shared" si="1"/>
        <v>0</v>
      </c>
      <c r="J15" s="116">
        <f>(KUNJUNGAN!$H15*60)+KUNJUNGAN!$I15</f>
        <v>60</v>
      </c>
      <c r="K15" s="115"/>
      <c r="L15" s="11" t="s">
        <v>284</v>
      </c>
      <c r="M15" s="11"/>
    </row>
    <row r="16">
      <c r="A16" s="11">
        <v>13.0</v>
      </c>
      <c r="B16" s="113" t="s">
        <v>40</v>
      </c>
      <c r="C16" s="114">
        <v>1.0</v>
      </c>
      <c r="D16" s="113" t="s">
        <v>314</v>
      </c>
      <c r="E16" s="113" t="s">
        <v>317</v>
      </c>
      <c r="F16" s="113" t="s">
        <v>318</v>
      </c>
      <c r="G16" s="113">
        <v>60.0</v>
      </c>
      <c r="H16" s="115">
        <f>ROUNDDOWN(KUNJUNGAN!$G16/60,0)</f>
        <v>1</v>
      </c>
      <c r="I16" s="116">
        <f t="shared" si="1"/>
        <v>0</v>
      </c>
      <c r="J16" s="116">
        <f>(KUNJUNGAN!$H16*60)+KUNJUNGAN!$I16</f>
        <v>60</v>
      </c>
      <c r="K16" s="115"/>
      <c r="L16" s="11" t="s">
        <v>284</v>
      </c>
      <c r="M16" s="11"/>
    </row>
    <row r="17">
      <c r="A17" s="11">
        <v>14.0</v>
      </c>
      <c r="B17" s="113" t="s">
        <v>40</v>
      </c>
      <c r="C17" s="114">
        <v>1.0</v>
      </c>
      <c r="D17" s="113" t="s">
        <v>319</v>
      </c>
      <c r="E17" s="113" t="s">
        <v>320</v>
      </c>
      <c r="F17" s="113" t="s">
        <v>321</v>
      </c>
      <c r="G17" s="113">
        <v>60.0</v>
      </c>
      <c r="H17" s="115">
        <f>ROUNDDOWN(KUNJUNGAN!$G17/60,0)</f>
        <v>1</v>
      </c>
      <c r="I17" s="116">
        <f t="shared" si="1"/>
        <v>0</v>
      </c>
      <c r="J17" s="116">
        <f>(KUNJUNGAN!$H17*60)+KUNJUNGAN!$I17</f>
        <v>60</v>
      </c>
      <c r="K17" s="115"/>
      <c r="L17" s="11" t="s">
        <v>284</v>
      </c>
      <c r="M17" s="11"/>
    </row>
    <row r="18">
      <c r="A18" s="11">
        <v>15.0</v>
      </c>
      <c r="B18" s="113" t="s">
        <v>40</v>
      </c>
      <c r="C18" s="114">
        <v>1.0</v>
      </c>
      <c r="D18" s="113" t="s">
        <v>322</v>
      </c>
      <c r="E18" s="113" t="s">
        <v>323</v>
      </c>
      <c r="F18" s="113" t="s">
        <v>324</v>
      </c>
      <c r="G18" s="113">
        <v>60.0</v>
      </c>
      <c r="H18" s="115">
        <f>ROUNDDOWN(KUNJUNGAN!$G18/60,0)</f>
        <v>1</v>
      </c>
      <c r="I18" s="116">
        <f t="shared" si="1"/>
        <v>0</v>
      </c>
      <c r="J18" s="116">
        <f>(KUNJUNGAN!$H18*60)+KUNJUNGAN!$I18</f>
        <v>60</v>
      </c>
      <c r="K18" s="115"/>
      <c r="L18" s="11" t="s">
        <v>284</v>
      </c>
      <c r="M18" s="11"/>
    </row>
    <row r="19">
      <c r="A19" s="11">
        <v>16.0</v>
      </c>
      <c r="B19" s="113" t="s">
        <v>40</v>
      </c>
      <c r="C19" s="114">
        <v>1.0</v>
      </c>
      <c r="D19" s="113" t="s">
        <v>291</v>
      </c>
      <c r="E19" s="113" t="s">
        <v>325</v>
      </c>
      <c r="F19" s="113" t="s">
        <v>326</v>
      </c>
      <c r="G19" s="113">
        <v>60.0</v>
      </c>
      <c r="H19" s="115">
        <f>ROUNDDOWN(KUNJUNGAN!$G19/60,0)</f>
        <v>1</v>
      </c>
      <c r="I19" s="116">
        <f t="shared" si="1"/>
        <v>0</v>
      </c>
      <c r="J19" s="116">
        <f>(KUNJUNGAN!$H19*60)+KUNJUNGAN!$I19</f>
        <v>60</v>
      </c>
      <c r="K19" s="115"/>
      <c r="L19" s="11" t="s">
        <v>284</v>
      </c>
      <c r="M19" s="11"/>
    </row>
    <row r="20">
      <c r="A20" s="11">
        <v>17.0</v>
      </c>
      <c r="B20" s="113" t="s">
        <v>40</v>
      </c>
      <c r="C20" s="114">
        <v>1.0</v>
      </c>
      <c r="D20" s="113" t="s">
        <v>294</v>
      </c>
      <c r="E20" s="113" t="s">
        <v>327</v>
      </c>
      <c r="F20" s="113" t="s">
        <v>328</v>
      </c>
      <c r="G20" s="113">
        <v>60.0</v>
      </c>
      <c r="H20" s="115">
        <f>ROUNDDOWN(KUNJUNGAN!$G20/60,0)</f>
        <v>1</v>
      </c>
      <c r="I20" s="116">
        <f t="shared" si="1"/>
        <v>0</v>
      </c>
      <c r="J20" s="116">
        <f>(KUNJUNGAN!$H20*60)+KUNJUNGAN!$I20</f>
        <v>60</v>
      </c>
      <c r="K20" s="115"/>
      <c r="L20" s="11" t="s">
        <v>284</v>
      </c>
      <c r="M20" s="11"/>
    </row>
    <row r="21" ht="15.75" customHeight="1">
      <c r="A21" s="11">
        <v>18.0</v>
      </c>
      <c r="B21" s="113" t="s">
        <v>40</v>
      </c>
      <c r="C21" s="114">
        <v>1.0</v>
      </c>
      <c r="D21" s="113" t="s">
        <v>329</v>
      </c>
      <c r="E21" s="113" t="s">
        <v>330</v>
      </c>
      <c r="F21" s="113" t="s">
        <v>331</v>
      </c>
      <c r="G21" s="113">
        <v>60.0</v>
      </c>
      <c r="H21" s="115">
        <f>ROUNDDOWN(KUNJUNGAN!$G21/60,0)</f>
        <v>1</v>
      </c>
      <c r="I21" s="116">
        <f t="shared" si="1"/>
        <v>0</v>
      </c>
      <c r="J21" s="116">
        <f>(KUNJUNGAN!$H21*60)+KUNJUNGAN!$I21</f>
        <v>60</v>
      </c>
      <c r="K21" s="115"/>
      <c r="L21" s="11" t="s">
        <v>284</v>
      </c>
      <c r="M21" s="11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</row>
    <row r="22" ht="15.75" customHeight="1">
      <c r="A22" s="11">
        <v>19.0</v>
      </c>
      <c r="B22" s="113" t="s">
        <v>40</v>
      </c>
      <c r="C22" s="114">
        <v>1.0</v>
      </c>
      <c r="D22" s="113" t="s">
        <v>332</v>
      </c>
      <c r="E22" s="113" t="s">
        <v>333</v>
      </c>
      <c r="F22" s="113" t="s">
        <v>334</v>
      </c>
      <c r="G22" s="113">
        <v>60.0</v>
      </c>
      <c r="H22" s="115">
        <f>ROUNDDOWN(KUNJUNGAN!$G22/60,0)</f>
        <v>1</v>
      </c>
      <c r="I22" s="116">
        <f t="shared" si="1"/>
        <v>0</v>
      </c>
      <c r="J22" s="116">
        <f>(KUNJUNGAN!$H22*60)+KUNJUNGAN!$I22</f>
        <v>60</v>
      </c>
      <c r="K22" s="115"/>
      <c r="L22" s="11" t="s">
        <v>284</v>
      </c>
      <c r="M22" s="11"/>
    </row>
    <row r="23" ht="15.75" customHeight="1">
      <c r="A23" s="11">
        <v>20.0</v>
      </c>
      <c r="B23" s="113" t="s">
        <v>40</v>
      </c>
      <c r="C23" s="114">
        <v>1.0</v>
      </c>
      <c r="D23" s="113" t="s">
        <v>335</v>
      </c>
      <c r="E23" s="118" t="s">
        <v>336</v>
      </c>
      <c r="F23" s="113" t="s">
        <v>337</v>
      </c>
      <c r="G23" s="113">
        <v>60.0</v>
      </c>
      <c r="H23" s="115">
        <f>ROUNDDOWN(KUNJUNGAN!$G23/60,0)</f>
        <v>1</v>
      </c>
      <c r="I23" s="116">
        <f t="shared" si="1"/>
        <v>0</v>
      </c>
      <c r="J23" s="116">
        <f>(KUNJUNGAN!$H23*60)+KUNJUNGAN!$I23</f>
        <v>60</v>
      </c>
      <c r="K23" s="115"/>
      <c r="L23" s="11" t="s">
        <v>284</v>
      </c>
      <c r="M23" s="11"/>
    </row>
    <row r="24" ht="15.75" customHeight="1">
      <c r="A24" s="11">
        <v>21.0</v>
      </c>
      <c r="B24" s="113" t="s">
        <v>40</v>
      </c>
      <c r="C24" s="114">
        <v>1.0</v>
      </c>
      <c r="D24" s="113" t="s">
        <v>288</v>
      </c>
      <c r="E24" s="118" t="s">
        <v>338</v>
      </c>
      <c r="F24" s="113" t="s">
        <v>339</v>
      </c>
      <c r="G24" s="113">
        <v>60.0</v>
      </c>
      <c r="H24" s="115">
        <f>ROUNDDOWN(KUNJUNGAN!$G24/60,0)</f>
        <v>1</v>
      </c>
      <c r="I24" s="116">
        <f t="shared" si="1"/>
        <v>0</v>
      </c>
      <c r="J24" s="116">
        <f>(KUNJUNGAN!$H24*60)+KUNJUNGAN!$I24</f>
        <v>60</v>
      </c>
      <c r="K24" s="115"/>
      <c r="L24" s="11" t="s">
        <v>284</v>
      </c>
      <c r="M24" s="11"/>
    </row>
    <row r="25" ht="15.75" customHeight="1">
      <c r="A25" s="11">
        <v>22.0</v>
      </c>
      <c r="B25" s="113" t="s">
        <v>40</v>
      </c>
      <c r="C25" s="114">
        <v>1.0</v>
      </c>
      <c r="D25" s="113" t="s">
        <v>288</v>
      </c>
      <c r="E25" s="118" t="s">
        <v>340</v>
      </c>
      <c r="F25" s="113" t="s">
        <v>341</v>
      </c>
      <c r="G25" s="113">
        <v>60.0</v>
      </c>
      <c r="H25" s="115">
        <f>ROUNDDOWN(KUNJUNGAN!$G25/60,0)</f>
        <v>1</v>
      </c>
      <c r="I25" s="116">
        <f t="shared" si="1"/>
        <v>0</v>
      </c>
      <c r="J25" s="116">
        <f>(KUNJUNGAN!$H25*60)+KUNJUNGAN!$I25</f>
        <v>60</v>
      </c>
      <c r="K25" s="115"/>
      <c r="L25" s="11" t="s">
        <v>284</v>
      </c>
      <c r="M25" s="11"/>
    </row>
    <row r="26" ht="15.75" customHeight="1">
      <c r="A26" s="11">
        <v>23.0</v>
      </c>
      <c r="B26" s="113" t="s">
        <v>40</v>
      </c>
      <c r="C26" s="114">
        <v>1.0</v>
      </c>
      <c r="D26" s="113" t="s">
        <v>342</v>
      </c>
      <c r="E26" s="118" t="s">
        <v>343</v>
      </c>
      <c r="F26" s="113" t="s">
        <v>344</v>
      </c>
      <c r="G26" s="113">
        <v>60.0</v>
      </c>
      <c r="H26" s="115">
        <f>ROUNDDOWN(KUNJUNGAN!$G26/60,0)</f>
        <v>1</v>
      </c>
      <c r="I26" s="116">
        <f t="shared" si="1"/>
        <v>0</v>
      </c>
      <c r="J26" s="116">
        <f>(KUNJUNGAN!$H26*60)+KUNJUNGAN!$I26</f>
        <v>60</v>
      </c>
      <c r="K26" s="115"/>
      <c r="L26" s="11" t="s">
        <v>284</v>
      </c>
      <c r="M26" s="11"/>
    </row>
    <row r="27" ht="15.75" customHeight="1">
      <c r="A27" s="11">
        <v>24.0</v>
      </c>
      <c r="B27" s="113" t="s">
        <v>40</v>
      </c>
      <c r="C27" s="114">
        <v>1.0</v>
      </c>
      <c r="D27" s="113" t="s">
        <v>322</v>
      </c>
      <c r="E27" s="118" t="s">
        <v>345</v>
      </c>
      <c r="F27" s="113" t="s">
        <v>346</v>
      </c>
      <c r="G27" s="113">
        <v>60.0</v>
      </c>
      <c r="H27" s="115">
        <f>ROUNDDOWN(KUNJUNGAN!$G27/60,0)</f>
        <v>1</v>
      </c>
      <c r="I27" s="116">
        <f t="shared" si="1"/>
        <v>0</v>
      </c>
      <c r="J27" s="116">
        <f>(KUNJUNGAN!$H27*60)+KUNJUNGAN!$I27</f>
        <v>60</v>
      </c>
      <c r="K27" s="115"/>
      <c r="L27" s="11" t="s">
        <v>284</v>
      </c>
      <c r="M27" s="11"/>
    </row>
    <row r="28" ht="15.75" customHeight="1">
      <c r="A28" s="11">
        <v>25.0</v>
      </c>
      <c r="B28" s="113" t="s">
        <v>40</v>
      </c>
      <c r="C28" s="114">
        <v>1.0</v>
      </c>
      <c r="D28" s="113" t="s">
        <v>347</v>
      </c>
      <c r="E28" s="118" t="s">
        <v>348</v>
      </c>
      <c r="F28" s="113" t="s">
        <v>349</v>
      </c>
      <c r="G28" s="113">
        <v>169.0</v>
      </c>
      <c r="H28" s="115">
        <f>ROUNDDOWN(KUNJUNGAN!$G28/60,0)</f>
        <v>2</v>
      </c>
      <c r="I28" s="116">
        <f t="shared" si="1"/>
        <v>49</v>
      </c>
      <c r="J28" s="116">
        <f>(KUNJUNGAN!$H28*60)+KUNJUNGAN!$I28</f>
        <v>169</v>
      </c>
      <c r="K28" s="115"/>
      <c r="L28" s="11" t="s">
        <v>284</v>
      </c>
      <c r="M28" s="11"/>
    </row>
    <row r="29" ht="15.75" customHeight="1">
      <c r="A29" s="11">
        <v>26.0</v>
      </c>
      <c r="B29" s="113" t="s">
        <v>40</v>
      </c>
      <c r="C29" s="114">
        <v>1.0</v>
      </c>
      <c r="D29" s="113" t="s">
        <v>303</v>
      </c>
      <c r="E29" s="118" t="s">
        <v>350</v>
      </c>
      <c r="F29" s="113" t="s">
        <v>351</v>
      </c>
      <c r="G29" s="113">
        <v>138.0</v>
      </c>
      <c r="H29" s="115">
        <f>ROUNDDOWN(KUNJUNGAN!$G29/60,0)</f>
        <v>2</v>
      </c>
      <c r="I29" s="116">
        <f t="shared" si="1"/>
        <v>18</v>
      </c>
      <c r="J29" s="116">
        <f>(KUNJUNGAN!$H29*60)+KUNJUNGAN!$I29</f>
        <v>138</v>
      </c>
      <c r="K29" s="115"/>
      <c r="L29" s="11" t="s">
        <v>284</v>
      </c>
      <c r="M29" s="11"/>
    </row>
    <row r="30" ht="15.75" customHeight="1">
      <c r="A30" s="11">
        <v>27.0</v>
      </c>
      <c r="B30" s="113" t="s">
        <v>40</v>
      </c>
      <c r="C30" s="114">
        <v>1.0</v>
      </c>
      <c r="D30" s="113" t="s">
        <v>297</v>
      </c>
      <c r="E30" s="118" t="s">
        <v>352</v>
      </c>
      <c r="F30" s="113" t="s">
        <v>353</v>
      </c>
      <c r="G30" s="113">
        <v>120.0</v>
      </c>
      <c r="H30" s="115">
        <f>ROUNDDOWN(KUNJUNGAN!$G30/60,0)</f>
        <v>2</v>
      </c>
      <c r="I30" s="116">
        <f t="shared" si="1"/>
        <v>0</v>
      </c>
      <c r="J30" s="116">
        <f>(KUNJUNGAN!$H30*60)+KUNJUNGAN!$I30</f>
        <v>120</v>
      </c>
      <c r="K30" s="115"/>
      <c r="L30" s="11" t="s">
        <v>284</v>
      </c>
      <c r="M30" s="11"/>
    </row>
    <row r="31" ht="15.75" customHeight="1">
      <c r="A31" s="11">
        <v>28.0</v>
      </c>
      <c r="B31" s="113" t="s">
        <v>40</v>
      </c>
      <c r="C31" s="114">
        <v>1.0</v>
      </c>
      <c r="D31" s="113" t="s">
        <v>281</v>
      </c>
      <c r="E31" s="118" t="s">
        <v>354</v>
      </c>
      <c r="F31" s="113" t="s">
        <v>355</v>
      </c>
      <c r="G31" s="113">
        <v>130.0</v>
      </c>
      <c r="H31" s="115">
        <f>ROUNDDOWN(KUNJUNGAN!$G31/60,0)</f>
        <v>2</v>
      </c>
      <c r="I31" s="116">
        <f t="shared" si="1"/>
        <v>10</v>
      </c>
      <c r="J31" s="116">
        <f>(KUNJUNGAN!$H31*60)+KUNJUNGAN!$I31</f>
        <v>130</v>
      </c>
      <c r="K31" s="115"/>
      <c r="L31" s="11" t="s">
        <v>284</v>
      </c>
      <c r="M31" s="11"/>
    </row>
    <row r="32" ht="15.75" customHeight="1">
      <c r="A32" s="11">
        <v>29.0</v>
      </c>
      <c r="B32" s="113" t="s">
        <v>40</v>
      </c>
      <c r="C32" s="114">
        <v>1.0</v>
      </c>
      <c r="D32" s="113" t="s">
        <v>314</v>
      </c>
      <c r="E32" s="118" t="s">
        <v>356</v>
      </c>
      <c r="F32" s="113" t="s">
        <v>357</v>
      </c>
      <c r="G32" s="113">
        <v>166.0</v>
      </c>
      <c r="H32" s="115">
        <f>ROUNDDOWN(KUNJUNGAN!$G32/60,0)</f>
        <v>2</v>
      </c>
      <c r="I32" s="116">
        <f t="shared" si="1"/>
        <v>46</v>
      </c>
      <c r="J32" s="116">
        <f>(KUNJUNGAN!$H32*60)+KUNJUNGAN!$I32</f>
        <v>166</v>
      </c>
      <c r="K32" s="115"/>
      <c r="L32" s="11" t="s">
        <v>284</v>
      </c>
      <c r="M32" s="11"/>
    </row>
    <row r="33" ht="15.75" customHeight="1">
      <c r="A33" s="11">
        <v>30.0</v>
      </c>
      <c r="B33" s="113" t="s">
        <v>40</v>
      </c>
      <c r="C33" s="114">
        <v>1.0</v>
      </c>
      <c r="D33" s="113" t="s">
        <v>358</v>
      </c>
      <c r="E33" s="118" t="s">
        <v>359</v>
      </c>
      <c r="F33" s="113" t="s">
        <v>360</v>
      </c>
      <c r="G33" s="113">
        <v>60.0</v>
      </c>
      <c r="H33" s="115">
        <f>ROUNDDOWN(KUNJUNGAN!$G33/60,0)</f>
        <v>1</v>
      </c>
      <c r="I33" s="116">
        <f t="shared" si="1"/>
        <v>0</v>
      </c>
      <c r="J33" s="116">
        <f>(KUNJUNGAN!$H33*60)+KUNJUNGAN!$I33</f>
        <v>60</v>
      </c>
      <c r="K33" s="115"/>
      <c r="L33" s="11" t="s">
        <v>284</v>
      </c>
      <c r="M33" s="11"/>
    </row>
    <row r="34" ht="15.75" customHeight="1">
      <c r="A34" s="11">
        <v>31.0</v>
      </c>
      <c r="B34" s="113" t="s">
        <v>40</v>
      </c>
      <c r="C34" s="114">
        <v>1.0</v>
      </c>
      <c r="D34" s="113" t="s">
        <v>361</v>
      </c>
      <c r="E34" s="118" t="s">
        <v>362</v>
      </c>
      <c r="F34" s="113" t="s">
        <v>363</v>
      </c>
      <c r="G34" s="113">
        <v>60.0</v>
      </c>
      <c r="H34" s="115">
        <f>ROUNDDOWN(KUNJUNGAN!$G34/60,0)</f>
        <v>1</v>
      </c>
      <c r="I34" s="116">
        <f t="shared" si="1"/>
        <v>0</v>
      </c>
      <c r="J34" s="116">
        <f>(KUNJUNGAN!$H34*60)+KUNJUNGAN!$I34</f>
        <v>60</v>
      </c>
      <c r="K34" s="115"/>
      <c r="L34" s="11" t="s">
        <v>284</v>
      </c>
      <c r="M34" s="11"/>
    </row>
    <row r="35" ht="15.75" customHeight="1">
      <c r="A35" s="11">
        <v>32.0</v>
      </c>
      <c r="B35" s="113" t="s">
        <v>40</v>
      </c>
      <c r="C35" s="114">
        <v>1.0</v>
      </c>
      <c r="D35" s="113" t="s">
        <v>291</v>
      </c>
      <c r="E35" s="118" t="s">
        <v>364</v>
      </c>
      <c r="F35" s="113" t="s">
        <v>365</v>
      </c>
      <c r="G35" s="113">
        <v>79.0</v>
      </c>
      <c r="H35" s="115">
        <f>ROUNDDOWN(KUNJUNGAN!$G35/60,0)</f>
        <v>1</v>
      </c>
      <c r="I35" s="116">
        <f t="shared" si="1"/>
        <v>19</v>
      </c>
      <c r="J35" s="116">
        <f>(KUNJUNGAN!$H35*60)+KUNJUNGAN!$I35</f>
        <v>79</v>
      </c>
      <c r="K35" s="115"/>
      <c r="L35" s="11" t="s">
        <v>284</v>
      </c>
      <c r="M35" s="11"/>
    </row>
    <row r="36" ht="15.75" customHeight="1">
      <c r="A36" s="11">
        <v>33.0</v>
      </c>
      <c r="B36" s="113" t="s">
        <v>40</v>
      </c>
      <c r="C36" s="114">
        <v>1.0</v>
      </c>
      <c r="D36" s="113" t="s">
        <v>366</v>
      </c>
      <c r="E36" s="118" t="s">
        <v>367</v>
      </c>
      <c r="F36" s="113" t="s">
        <v>368</v>
      </c>
      <c r="G36" s="113">
        <v>90.0</v>
      </c>
      <c r="H36" s="115">
        <f>ROUNDDOWN(KUNJUNGAN!$G36/60,0)</f>
        <v>1</v>
      </c>
      <c r="I36" s="116">
        <f t="shared" si="1"/>
        <v>30</v>
      </c>
      <c r="J36" s="116">
        <f>(KUNJUNGAN!$H36*60)+KUNJUNGAN!$I36</f>
        <v>90</v>
      </c>
      <c r="K36" s="115"/>
      <c r="L36" s="11" t="s">
        <v>284</v>
      </c>
      <c r="M36" s="11"/>
    </row>
    <row r="37" ht="15.75" customHeight="1">
      <c r="A37" s="11">
        <v>34.0</v>
      </c>
      <c r="B37" s="113" t="s">
        <v>40</v>
      </c>
      <c r="C37" s="114">
        <v>1.0</v>
      </c>
      <c r="D37" s="113" t="s">
        <v>366</v>
      </c>
      <c r="E37" s="118" t="s">
        <v>369</v>
      </c>
      <c r="F37" s="113" t="s">
        <v>370</v>
      </c>
      <c r="G37" s="113">
        <v>90.0</v>
      </c>
      <c r="H37" s="115">
        <f>ROUNDDOWN(KUNJUNGAN!$G37/60,0)</f>
        <v>1</v>
      </c>
      <c r="I37" s="116">
        <f t="shared" si="1"/>
        <v>30</v>
      </c>
      <c r="J37" s="116">
        <f>(KUNJUNGAN!$H37*60)+KUNJUNGAN!$I37</f>
        <v>90</v>
      </c>
      <c r="K37" s="115"/>
      <c r="L37" s="11" t="s">
        <v>284</v>
      </c>
      <c r="M37" s="11"/>
    </row>
    <row r="38" ht="15.75" customHeight="1">
      <c r="A38" s="11">
        <v>35.0</v>
      </c>
      <c r="B38" s="113" t="s">
        <v>40</v>
      </c>
      <c r="C38" s="114">
        <v>1.0</v>
      </c>
      <c r="D38" s="113" t="s">
        <v>366</v>
      </c>
      <c r="E38" s="118" t="s">
        <v>371</v>
      </c>
      <c r="F38" s="113" t="s">
        <v>372</v>
      </c>
      <c r="G38" s="113">
        <v>90.0</v>
      </c>
      <c r="H38" s="115">
        <f>ROUNDDOWN(KUNJUNGAN!$G38/60,0)</f>
        <v>1</v>
      </c>
      <c r="I38" s="116">
        <f t="shared" si="1"/>
        <v>30</v>
      </c>
      <c r="J38" s="116">
        <f>(KUNJUNGAN!$H38*60)+KUNJUNGAN!$I38</f>
        <v>90</v>
      </c>
      <c r="K38" s="115"/>
      <c r="L38" s="11" t="s">
        <v>284</v>
      </c>
      <c r="M38" s="11"/>
    </row>
    <row r="39" ht="15.75" customHeight="1">
      <c r="A39" s="11">
        <v>36.0</v>
      </c>
      <c r="B39" s="113" t="s">
        <v>40</v>
      </c>
      <c r="C39" s="114">
        <v>1.0</v>
      </c>
      <c r="D39" s="113" t="s">
        <v>373</v>
      </c>
      <c r="E39" s="118" t="s">
        <v>374</v>
      </c>
      <c r="F39" s="113" t="s">
        <v>375</v>
      </c>
      <c r="G39" s="113">
        <v>90.0</v>
      </c>
      <c r="H39" s="115">
        <f>ROUNDDOWN(KUNJUNGAN!$G39/60,0)</f>
        <v>1</v>
      </c>
      <c r="I39" s="116">
        <f t="shared" si="1"/>
        <v>30</v>
      </c>
      <c r="J39" s="116">
        <f>(KUNJUNGAN!$H39*60)+KUNJUNGAN!$I39</f>
        <v>90</v>
      </c>
      <c r="K39" s="115"/>
      <c r="L39" s="11" t="s">
        <v>284</v>
      </c>
      <c r="M39" s="11"/>
    </row>
    <row r="40" ht="15.75" customHeight="1">
      <c r="A40" s="11">
        <v>37.0</v>
      </c>
      <c r="B40" s="113" t="s">
        <v>40</v>
      </c>
      <c r="C40" s="114">
        <v>1.0</v>
      </c>
      <c r="D40" s="113" t="s">
        <v>373</v>
      </c>
      <c r="E40" s="118" t="s">
        <v>376</v>
      </c>
      <c r="F40" s="113" t="s">
        <v>377</v>
      </c>
      <c r="G40" s="113">
        <v>90.0</v>
      </c>
      <c r="H40" s="115">
        <f>ROUNDDOWN(KUNJUNGAN!$G40/60,0)</f>
        <v>1</v>
      </c>
      <c r="I40" s="116">
        <f t="shared" si="1"/>
        <v>30</v>
      </c>
      <c r="J40" s="116">
        <f>(KUNJUNGAN!$H40*60)+KUNJUNGAN!$I40</f>
        <v>90</v>
      </c>
      <c r="K40" s="115"/>
      <c r="L40" s="11" t="s">
        <v>284</v>
      </c>
      <c r="M40" s="11"/>
    </row>
    <row r="41" ht="15.75" customHeight="1">
      <c r="A41" s="11">
        <v>38.0</v>
      </c>
      <c r="B41" s="113" t="s">
        <v>40</v>
      </c>
      <c r="C41" s="114">
        <v>1.0</v>
      </c>
      <c r="D41" s="113" t="s">
        <v>373</v>
      </c>
      <c r="E41" s="118" t="s">
        <v>378</v>
      </c>
      <c r="F41" s="113" t="s">
        <v>379</v>
      </c>
      <c r="G41" s="113">
        <v>90.0</v>
      </c>
      <c r="H41" s="115">
        <f>ROUNDDOWN(KUNJUNGAN!$G41/60,0)</f>
        <v>1</v>
      </c>
      <c r="I41" s="116">
        <f t="shared" si="1"/>
        <v>30</v>
      </c>
      <c r="J41" s="116">
        <f>(KUNJUNGAN!$H41*60)+KUNJUNGAN!$I41</f>
        <v>90</v>
      </c>
      <c r="K41" s="115"/>
      <c r="L41" s="11" t="s">
        <v>284</v>
      </c>
      <c r="M41" s="11"/>
    </row>
    <row r="42" ht="15.75" customHeight="1">
      <c r="A42" s="11">
        <v>39.0</v>
      </c>
      <c r="B42" s="113" t="s">
        <v>40</v>
      </c>
      <c r="C42" s="114">
        <v>1.0</v>
      </c>
      <c r="D42" s="113" t="s">
        <v>297</v>
      </c>
      <c r="E42" s="118" t="s">
        <v>380</v>
      </c>
      <c r="F42" s="113" t="s">
        <v>381</v>
      </c>
      <c r="G42" s="113">
        <v>60.0</v>
      </c>
      <c r="H42" s="115">
        <f>ROUNDDOWN(KUNJUNGAN!$G42/60,0)</f>
        <v>1</v>
      </c>
      <c r="I42" s="116">
        <f t="shared" si="1"/>
        <v>0</v>
      </c>
      <c r="J42" s="116">
        <f>(KUNJUNGAN!$H42*60)+KUNJUNGAN!$I42</f>
        <v>60</v>
      </c>
      <c r="K42" s="115"/>
      <c r="L42" s="11" t="s">
        <v>284</v>
      </c>
      <c r="M42" s="11"/>
    </row>
    <row r="43" ht="15.75" customHeight="1">
      <c r="A43" s="11">
        <v>40.0</v>
      </c>
      <c r="B43" s="113" t="s">
        <v>40</v>
      </c>
      <c r="C43" s="114">
        <v>1.0</v>
      </c>
      <c r="D43" s="113" t="s">
        <v>329</v>
      </c>
      <c r="E43" s="118" t="s">
        <v>382</v>
      </c>
      <c r="F43" s="113" t="s">
        <v>383</v>
      </c>
      <c r="G43" s="113">
        <v>86.0</v>
      </c>
      <c r="H43" s="115">
        <f>ROUNDDOWN(KUNJUNGAN!$G43/60,0)</f>
        <v>1</v>
      </c>
      <c r="I43" s="116">
        <f t="shared" si="1"/>
        <v>26</v>
      </c>
      <c r="J43" s="116">
        <f>(KUNJUNGAN!$H43*60)+KUNJUNGAN!$I43</f>
        <v>86</v>
      </c>
      <c r="K43" s="115"/>
      <c r="L43" s="11" t="s">
        <v>284</v>
      </c>
      <c r="M43" s="11"/>
    </row>
    <row r="44" ht="15.75" customHeight="1">
      <c r="A44" s="11">
        <v>41.0</v>
      </c>
      <c r="B44" s="113" t="s">
        <v>40</v>
      </c>
      <c r="C44" s="114">
        <v>1.0</v>
      </c>
      <c r="D44" s="113" t="s">
        <v>329</v>
      </c>
      <c r="E44" s="118" t="s">
        <v>384</v>
      </c>
      <c r="F44" s="113" t="s">
        <v>385</v>
      </c>
      <c r="G44" s="113">
        <v>92.0</v>
      </c>
      <c r="H44" s="115">
        <f>ROUNDDOWN(KUNJUNGAN!$G44/60,0)</f>
        <v>1</v>
      </c>
      <c r="I44" s="116">
        <f t="shared" si="1"/>
        <v>32</v>
      </c>
      <c r="J44" s="116">
        <f>(KUNJUNGAN!$H44*60)+KUNJUNGAN!$I44</f>
        <v>92</v>
      </c>
      <c r="K44" s="115"/>
      <c r="L44" s="11" t="s">
        <v>284</v>
      </c>
      <c r="M44" s="11"/>
    </row>
    <row r="45" ht="15.75" customHeight="1">
      <c r="A45" s="11">
        <v>42.0</v>
      </c>
      <c r="B45" s="113" t="s">
        <v>40</v>
      </c>
      <c r="C45" s="114">
        <v>1.0</v>
      </c>
      <c r="D45" s="113" t="s">
        <v>386</v>
      </c>
      <c r="E45" s="118" t="s">
        <v>387</v>
      </c>
      <c r="F45" s="113" t="s">
        <v>388</v>
      </c>
      <c r="G45" s="113">
        <v>91.0</v>
      </c>
      <c r="H45" s="115">
        <f>ROUNDDOWN(KUNJUNGAN!$G45/60,0)</f>
        <v>1</v>
      </c>
      <c r="I45" s="116">
        <f t="shared" si="1"/>
        <v>31</v>
      </c>
      <c r="J45" s="116">
        <f>(KUNJUNGAN!$H45*60)+KUNJUNGAN!$I45</f>
        <v>91</v>
      </c>
      <c r="K45" s="115"/>
      <c r="L45" s="11" t="s">
        <v>284</v>
      </c>
      <c r="M45" s="11"/>
    </row>
    <row r="46" ht="15.75" customHeight="1">
      <c r="A46" s="11">
        <v>43.0</v>
      </c>
      <c r="B46" s="113" t="s">
        <v>40</v>
      </c>
      <c r="C46" s="114">
        <v>1.0</v>
      </c>
      <c r="D46" s="113" t="s">
        <v>389</v>
      </c>
      <c r="E46" s="118" t="s">
        <v>390</v>
      </c>
      <c r="F46" s="113" t="s">
        <v>391</v>
      </c>
      <c r="G46" s="113">
        <v>85.0</v>
      </c>
      <c r="H46" s="115">
        <f>ROUNDDOWN(KUNJUNGAN!$G46/60,0)</f>
        <v>1</v>
      </c>
      <c r="I46" s="116">
        <f t="shared" si="1"/>
        <v>25</v>
      </c>
      <c r="J46" s="116">
        <f>(KUNJUNGAN!$H46*60)+KUNJUNGAN!$I46</f>
        <v>85</v>
      </c>
      <c r="K46" s="115"/>
      <c r="L46" s="11" t="s">
        <v>284</v>
      </c>
      <c r="M46" s="11"/>
    </row>
    <row r="47" ht="15.75" customHeight="1">
      <c r="A47" s="11">
        <v>44.0</v>
      </c>
      <c r="B47" s="113" t="s">
        <v>40</v>
      </c>
      <c r="C47" s="114">
        <v>1.0</v>
      </c>
      <c r="D47" s="113" t="s">
        <v>332</v>
      </c>
      <c r="E47" s="118" t="s">
        <v>392</v>
      </c>
      <c r="F47" s="113" t="s">
        <v>393</v>
      </c>
      <c r="G47" s="113">
        <v>75.0</v>
      </c>
      <c r="H47" s="115">
        <f>ROUNDDOWN(KUNJUNGAN!$G47/60,0)</f>
        <v>1</v>
      </c>
      <c r="I47" s="116">
        <f t="shared" si="1"/>
        <v>15</v>
      </c>
      <c r="J47" s="116">
        <f>(KUNJUNGAN!$H47*60)+KUNJUNGAN!$I47</f>
        <v>75</v>
      </c>
      <c r="K47" s="115"/>
      <c r="L47" s="11" t="s">
        <v>284</v>
      </c>
      <c r="M47" s="11"/>
    </row>
    <row r="48" ht="15.75" customHeight="1">
      <c r="A48" s="11">
        <v>45.0</v>
      </c>
      <c r="B48" s="113" t="s">
        <v>40</v>
      </c>
      <c r="C48" s="114">
        <v>1.0</v>
      </c>
      <c r="D48" s="113" t="s">
        <v>394</v>
      </c>
      <c r="E48" s="118" t="s">
        <v>395</v>
      </c>
      <c r="F48" s="113" t="s">
        <v>396</v>
      </c>
      <c r="G48" s="113">
        <v>60.0</v>
      </c>
      <c r="H48" s="115">
        <f>ROUNDDOWN(KUNJUNGAN!$G48/60,0)</f>
        <v>1</v>
      </c>
      <c r="I48" s="116">
        <f t="shared" si="1"/>
        <v>0</v>
      </c>
      <c r="J48" s="116">
        <f>(KUNJUNGAN!$H48*60)+KUNJUNGAN!$I48</f>
        <v>60</v>
      </c>
      <c r="K48" s="115"/>
      <c r="L48" s="11" t="s">
        <v>284</v>
      </c>
      <c r="M48" s="11"/>
    </row>
    <row r="49" ht="15.75" customHeight="1">
      <c r="A49" s="11">
        <v>46.0</v>
      </c>
      <c r="B49" s="113" t="s">
        <v>40</v>
      </c>
      <c r="C49" s="114">
        <v>1.0</v>
      </c>
      <c r="D49" s="113" t="s">
        <v>394</v>
      </c>
      <c r="E49" s="118" t="s">
        <v>397</v>
      </c>
      <c r="F49" s="113" t="s">
        <v>398</v>
      </c>
      <c r="G49" s="113">
        <v>102.0</v>
      </c>
      <c r="H49" s="115">
        <f>ROUNDDOWN(KUNJUNGAN!$G49/60,0)</f>
        <v>1</v>
      </c>
      <c r="I49" s="116">
        <f t="shared" si="1"/>
        <v>42</v>
      </c>
      <c r="J49" s="116">
        <f>(KUNJUNGAN!$H49*60)+KUNJUNGAN!$I49</f>
        <v>102</v>
      </c>
      <c r="K49" s="115"/>
      <c r="L49" s="11" t="s">
        <v>284</v>
      </c>
      <c r="M49" s="11"/>
    </row>
    <row r="50" ht="15.75" customHeight="1">
      <c r="A50" s="11">
        <v>47.0</v>
      </c>
      <c r="B50" s="113" t="s">
        <v>40</v>
      </c>
      <c r="C50" s="114">
        <v>1.0</v>
      </c>
      <c r="D50" s="113" t="s">
        <v>311</v>
      </c>
      <c r="E50" s="118" t="s">
        <v>399</v>
      </c>
      <c r="F50" s="113" t="s">
        <v>400</v>
      </c>
      <c r="G50" s="113">
        <v>77.0</v>
      </c>
      <c r="H50" s="115">
        <f>ROUNDDOWN(KUNJUNGAN!$G50/60,0)</f>
        <v>1</v>
      </c>
      <c r="I50" s="116">
        <f t="shared" si="1"/>
        <v>17</v>
      </c>
      <c r="J50" s="116">
        <f>(KUNJUNGAN!$H50*60)+KUNJUNGAN!$I50</f>
        <v>77</v>
      </c>
      <c r="K50" s="115"/>
      <c r="L50" s="11" t="s">
        <v>284</v>
      </c>
      <c r="M50" s="11"/>
    </row>
    <row r="51" ht="15.75" customHeight="1">
      <c r="A51" s="11">
        <v>48.0</v>
      </c>
      <c r="B51" s="113" t="s">
        <v>40</v>
      </c>
      <c r="C51" s="114">
        <v>1.0</v>
      </c>
      <c r="D51" s="113" t="s">
        <v>401</v>
      </c>
      <c r="E51" s="118" t="s">
        <v>402</v>
      </c>
      <c r="F51" s="113" t="s">
        <v>403</v>
      </c>
      <c r="G51" s="113">
        <v>65.0</v>
      </c>
      <c r="H51" s="115">
        <f>ROUNDDOWN(KUNJUNGAN!$G51/60,0)</f>
        <v>1</v>
      </c>
      <c r="I51" s="116">
        <f t="shared" si="1"/>
        <v>5</v>
      </c>
      <c r="J51" s="116">
        <f>(KUNJUNGAN!$H51*60)+KUNJUNGAN!$I51</f>
        <v>65</v>
      </c>
      <c r="K51" s="115"/>
      <c r="L51" s="11" t="s">
        <v>284</v>
      </c>
      <c r="M51" s="11"/>
    </row>
    <row r="52" ht="15.75" customHeight="1">
      <c r="A52" s="11">
        <v>49.0</v>
      </c>
      <c r="B52" s="113" t="s">
        <v>40</v>
      </c>
      <c r="C52" s="114">
        <v>1.0</v>
      </c>
      <c r="D52" s="113" t="s">
        <v>404</v>
      </c>
      <c r="E52" s="118" t="s">
        <v>405</v>
      </c>
      <c r="F52" s="113" t="s">
        <v>406</v>
      </c>
      <c r="G52" s="113">
        <v>118.0</v>
      </c>
      <c r="H52" s="115">
        <f>ROUNDDOWN(KUNJUNGAN!$G52/60,0)</f>
        <v>1</v>
      </c>
      <c r="I52" s="116">
        <f t="shared" si="1"/>
        <v>58</v>
      </c>
      <c r="J52" s="116">
        <f>(KUNJUNGAN!$H52*60)+KUNJUNGAN!$I52</f>
        <v>118</v>
      </c>
      <c r="K52" s="115"/>
      <c r="L52" s="11" t="s">
        <v>284</v>
      </c>
      <c r="M52" s="11"/>
    </row>
    <row r="53" ht="15.75" customHeight="1">
      <c r="A53" s="11">
        <v>50.0</v>
      </c>
      <c r="B53" s="113" t="s">
        <v>40</v>
      </c>
      <c r="C53" s="114">
        <v>1.0</v>
      </c>
      <c r="D53" s="113" t="s">
        <v>319</v>
      </c>
      <c r="E53" s="118" t="s">
        <v>407</v>
      </c>
      <c r="F53" s="113" t="s">
        <v>408</v>
      </c>
      <c r="G53" s="113">
        <v>109.0</v>
      </c>
      <c r="H53" s="115">
        <f>ROUNDDOWN(KUNJUNGAN!$G53/60,0)</f>
        <v>1</v>
      </c>
      <c r="I53" s="116">
        <f t="shared" si="1"/>
        <v>49</v>
      </c>
      <c r="J53" s="116">
        <f>(KUNJUNGAN!$H53*60)+KUNJUNGAN!$I53</f>
        <v>109</v>
      </c>
      <c r="K53" s="115"/>
      <c r="L53" s="11" t="s">
        <v>284</v>
      </c>
      <c r="M53" s="11"/>
    </row>
    <row r="54" ht="15.75" customHeight="1">
      <c r="A54" s="11">
        <v>51.0</v>
      </c>
      <c r="B54" s="113" t="s">
        <v>40</v>
      </c>
      <c r="C54" s="114">
        <v>1.0</v>
      </c>
      <c r="D54" s="113" t="s">
        <v>358</v>
      </c>
      <c r="E54" s="118" t="s">
        <v>409</v>
      </c>
      <c r="F54" s="113" t="s">
        <v>410</v>
      </c>
      <c r="G54" s="113">
        <v>84.0</v>
      </c>
      <c r="H54" s="115">
        <f>ROUNDDOWN(KUNJUNGAN!$G54/60,0)</f>
        <v>1</v>
      </c>
      <c r="I54" s="116">
        <f t="shared" si="1"/>
        <v>24</v>
      </c>
      <c r="J54" s="116">
        <f>(KUNJUNGAN!$H54*60)+KUNJUNGAN!$I54</f>
        <v>84</v>
      </c>
      <c r="K54" s="115"/>
      <c r="L54" s="11" t="s">
        <v>284</v>
      </c>
      <c r="M54" s="11"/>
    </row>
    <row r="55" ht="15.75" customHeight="1">
      <c r="A55" s="11">
        <v>52.0</v>
      </c>
      <c r="B55" s="113" t="s">
        <v>40</v>
      </c>
      <c r="C55" s="114">
        <v>1.0</v>
      </c>
      <c r="D55" s="113" t="s">
        <v>361</v>
      </c>
      <c r="E55" s="118" t="s">
        <v>411</v>
      </c>
      <c r="F55" s="113" t="s">
        <v>412</v>
      </c>
      <c r="G55" s="113">
        <v>88.0</v>
      </c>
      <c r="H55" s="115">
        <f>ROUNDDOWN(KUNJUNGAN!$G55/60,0)</f>
        <v>1</v>
      </c>
      <c r="I55" s="116">
        <f t="shared" si="1"/>
        <v>28</v>
      </c>
      <c r="J55" s="116">
        <f>(KUNJUNGAN!$H55*60)+KUNJUNGAN!$I55</f>
        <v>88</v>
      </c>
      <c r="K55" s="115"/>
      <c r="L55" s="11" t="s">
        <v>284</v>
      </c>
      <c r="M55" s="11"/>
    </row>
    <row r="56" ht="15.75" customHeight="1">
      <c r="A56" s="11">
        <v>53.0</v>
      </c>
      <c r="B56" s="113" t="s">
        <v>40</v>
      </c>
      <c r="C56" s="114">
        <v>1.0</v>
      </c>
      <c r="D56" s="113" t="s">
        <v>285</v>
      </c>
      <c r="E56" s="118" t="s">
        <v>413</v>
      </c>
      <c r="F56" s="113" t="s">
        <v>414</v>
      </c>
      <c r="G56" s="113">
        <v>60.0</v>
      </c>
      <c r="H56" s="115">
        <f>ROUNDDOWN(KUNJUNGAN!$G56/60,0)</f>
        <v>1</v>
      </c>
      <c r="I56" s="116">
        <f t="shared" si="1"/>
        <v>0</v>
      </c>
      <c r="J56" s="116">
        <f>(KUNJUNGAN!$H56*60)+KUNJUNGAN!$I56</f>
        <v>60</v>
      </c>
      <c r="K56" s="115"/>
      <c r="L56" s="11" t="s">
        <v>284</v>
      </c>
      <c r="M56" s="11"/>
    </row>
    <row r="57" ht="15.75" customHeight="1">
      <c r="A57" s="11">
        <v>54.0</v>
      </c>
      <c r="B57" s="113" t="s">
        <v>40</v>
      </c>
      <c r="C57" s="114">
        <v>1.0</v>
      </c>
      <c r="D57" s="113" t="s">
        <v>306</v>
      </c>
      <c r="E57" s="118" t="s">
        <v>415</v>
      </c>
      <c r="F57" s="113" t="s">
        <v>416</v>
      </c>
      <c r="G57" s="113">
        <v>72.0</v>
      </c>
      <c r="H57" s="115">
        <f>ROUNDDOWN(KUNJUNGAN!$G57/60,0)</f>
        <v>1</v>
      </c>
      <c r="I57" s="116">
        <f t="shared" si="1"/>
        <v>12</v>
      </c>
      <c r="J57" s="116">
        <f>(KUNJUNGAN!$H57*60)+KUNJUNGAN!$I57</f>
        <v>72</v>
      </c>
      <c r="K57" s="115"/>
      <c r="L57" s="11" t="s">
        <v>284</v>
      </c>
      <c r="M57" s="11"/>
    </row>
    <row r="58" ht="15.75" customHeight="1">
      <c r="A58" s="11">
        <v>55.0</v>
      </c>
      <c r="B58" s="113" t="s">
        <v>55</v>
      </c>
      <c r="C58" s="114">
        <v>1.0</v>
      </c>
      <c r="D58" s="113" t="s">
        <v>417</v>
      </c>
      <c r="E58" s="118" t="s">
        <v>418</v>
      </c>
      <c r="F58" s="113" t="s">
        <v>419</v>
      </c>
      <c r="G58" s="113">
        <v>52.0</v>
      </c>
      <c r="H58" s="115">
        <f>ROUNDDOWN(KUNJUNGAN!$G58/60,0)</f>
        <v>0</v>
      </c>
      <c r="I58" s="116">
        <f t="shared" si="1"/>
        <v>52</v>
      </c>
      <c r="J58" s="116">
        <f>(KUNJUNGAN!$H58*60)+KUNJUNGAN!$I58</f>
        <v>52</v>
      </c>
      <c r="K58" s="115"/>
      <c r="L58" s="11" t="s">
        <v>284</v>
      </c>
      <c r="M58" s="11"/>
    </row>
    <row r="59" ht="15.75" customHeight="1">
      <c r="A59" s="11">
        <v>56.0</v>
      </c>
      <c r="B59" s="113" t="s">
        <v>55</v>
      </c>
      <c r="C59" s="114">
        <v>1.0</v>
      </c>
      <c r="D59" s="113" t="s">
        <v>417</v>
      </c>
      <c r="E59" s="118" t="s">
        <v>420</v>
      </c>
      <c r="F59" s="113" t="s">
        <v>421</v>
      </c>
      <c r="G59" s="113">
        <v>85.0</v>
      </c>
      <c r="H59" s="115">
        <f>ROUNDDOWN(KUNJUNGAN!$G59/60,0)</f>
        <v>1</v>
      </c>
      <c r="I59" s="116">
        <f t="shared" si="1"/>
        <v>25</v>
      </c>
      <c r="J59" s="116">
        <f>(KUNJUNGAN!$H59*60)+KUNJUNGAN!$I59</f>
        <v>85</v>
      </c>
      <c r="K59" s="115"/>
      <c r="L59" s="11" t="s">
        <v>284</v>
      </c>
      <c r="M59" s="11"/>
    </row>
    <row r="60" ht="15.75" customHeight="1">
      <c r="A60" s="11">
        <v>57.0</v>
      </c>
      <c r="B60" s="113" t="s">
        <v>55</v>
      </c>
      <c r="C60" s="114">
        <v>1.0</v>
      </c>
      <c r="D60" s="113" t="s">
        <v>417</v>
      </c>
      <c r="E60" s="118" t="s">
        <v>422</v>
      </c>
      <c r="F60" s="113" t="s">
        <v>423</v>
      </c>
      <c r="G60" s="113">
        <v>60.0</v>
      </c>
      <c r="H60" s="115">
        <f>ROUNDDOWN(KUNJUNGAN!$G60/60,0)</f>
        <v>1</v>
      </c>
      <c r="I60" s="116">
        <f t="shared" si="1"/>
        <v>0</v>
      </c>
      <c r="J60" s="116">
        <f>(KUNJUNGAN!$H60*60)+KUNJUNGAN!$I60</f>
        <v>60</v>
      </c>
      <c r="K60" s="115"/>
      <c r="L60" s="11" t="s">
        <v>284</v>
      </c>
      <c r="M60" s="11"/>
    </row>
    <row r="61" ht="15.75" customHeight="1">
      <c r="A61" s="11">
        <v>58.0</v>
      </c>
      <c r="B61" s="113" t="s">
        <v>55</v>
      </c>
      <c r="C61" s="114">
        <v>1.0</v>
      </c>
      <c r="D61" s="113" t="s">
        <v>424</v>
      </c>
      <c r="E61" s="118" t="s">
        <v>425</v>
      </c>
      <c r="F61" s="113" t="s">
        <v>426</v>
      </c>
      <c r="G61" s="113">
        <v>31.0</v>
      </c>
      <c r="H61" s="115">
        <f>ROUNDDOWN(KUNJUNGAN!$G61/60,0)</f>
        <v>0</v>
      </c>
      <c r="I61" s="116">
        <f t="shared" si="1"/>
        <v>31</v>
      </c>
      <c r="J61" s="116">
        <f>(KUNJUNGAN!$H61*60)+KUNJUNGAN!$I61</f>
        <v>31</v>
      </c>
      <c r="K61" s="115"/>
      <c r="L61" s="11" t="s">
        <v>284</v>
      </c>
      <c r="M61" s="11"/>
    </row>
    <row r="62" ht="15.75" customHeight="1">
      <c r="A62" s="11">
        <v>59.0</v>
      </c>
      <c r="B62" s="113" t="s">
        <v>55</v>
      </c>
      <c r="C62" s="114">
        <v>1.0</v>
      </c>
      <c r="D62" s="113" t="s">
        <v>427</v>
      </c>
      <c r="E62" s="118" t="s">
        <v>428</v>
      </c>
      <c r="F62" s="113" t="s">
        <v>429</v>
      </c>
      <c r="G62" s="113">
        <v>34.0</v>
      </c>
      <c r="H62" s="115">
        <f>ROUNDDOWN(KUNJUNGAN!$G62/60,0)</f>
        <v>0</v>
      </c>
      <c r="I62" s="116">
        <f t="shared" si="1"/>
        <v>34</v>
      </c>
      <c r="J62" s="116">
        <f>(KUNJUNGAN!$H62*60)+KUNJUNGAN!$I62</f>
        <v>34</v>
      </c>
      <c r="K62" s="115"/>
      <c r="L62" s="11" t="s">
        <v>284</v>
      </c>
      <c r="M62" s="11"/>
      <c r="N62" s="119"/>
    </row>
    <row r="63" ht="15.75" customHeight="1">
      <c r="A63" s="11">
        <v>60.0</v>
      </c>
      <c r="B63" s="113" t="s">
        <v>55</v>
      </c>
      <c r="C63" s="114">
        <v>1.0</v>
      </c>
      <c r="D63" s="113" t="s">
        <v>427</v>
      </c>
      <c r="E63" s="118" t="s">
        <v>430</v>
      </c>
      <c r="F63" s="113" t="s">
        <v>431</v>
      </c>
      <c r="G63" s="113">
        <v>33.0</v>
      </c>
      <c r="H63" s="115">
        <f>ROUNDDOWN(KUNJUNGAN!$G63/60,0)</f>
        <v>0</v>
      </c>
      <c r="I63" s="116">
        <f t="shared" si="1"/>
        <v>33</v>
      </c>
      <c r="J63" s="116">
        <f>(KUNJUNGAN!$H63*60)+KUNJUNGAN!$I63</f>
        <v>33</v>
      </c>
      <c r="K63" s="115"/>
      <c r="L63" s="11" t="s">
        <v>284</v>
      </c>
      <c r="M63" s="11"/>
      <c r="N63" s="119"/>
    </row>
    <row r="64" ht="15.75" customHeight="1">
      <c r="A64" s="11">
        <v>61.0</v>
      </c>
      <c r="B64" s="113" t="s">
        <v>55</v>
      </c>
      <c r="C64" s="114">
        <v>1.0</v>
      </c>
      <c r="D64" s="113" t="s">
        <v>432</v>
      </c>
      <c r="E64" s="118" t="s">
        <v>433</v>
      </c>
      <c r="F64" s="113" t="s">
        <v>434</v>
      </c>
      <c r="G64" s="113">
        <v>39.0</v>
      </c>
      <c r="H64" s="115">
        <f>ROUNDDOWN(KUNJUNGAN!$G64/60,0)</f>
        <v>0</v>
      </c>
      <c r="I64" s="116">
        <f t="shared" si="1"/>
        <v>39</v>
      </c>
      <c r="J64" s="116">
        <f>(KUNJUNGAN!$H64*60)+KUNJUNGAN!$I64</f>
        <v>39</v>
      </c>
      <c r="K64" s="115"/>
      <c r="L64" s="11" t="s">
        <v>284</v>
      </c>
      <c r="M64" s="11"/>
      <c r="N64" s="119"/>
    </row>
    <row r="65" ht="15.75" customHeight="1">
      <c r="A65" s="11">
        <v>62.0</v>
      </c>
      <c r="B65" s="113" t="s">
        <v>55</v>
      </c>
      <c r="C65" s="114">
        <v>1.0</v>
      </c>
      <c r="D65" s="113" t="s">
        <v>432</v>
      </c>
      <c r="E65" s="118" t="s">
        <v>435</v>
      </c>
      <c r="F65" s="113" t="s">
        <v>436</v>
      </c>
      <c r="G65" s="113">
        <v>34.0</v>
      </c>
      <c r="H65" s="115">
        <f>ROUNDDOWN(KUNJUNGAN!$G65/60,0)</f>
        <v>0</v>
      </c>
      <c r="I65" s="116">
        <f t="shared" si="1"/>
        <v>34</v>
      </c>
      <c r="J65" s="116">
        <f>(KUNJUNGAN!$H65*60)+KUNJUNGAN!$I65</f>
        <v>34</v>
      </c>
      <c r="K65" s="115"/>
      <c r="L65" s="11" t="s">
        <v>284</v>
      </c>
      <c r="M65" s="11"/>
      <c r="N65" s="119"/>
    </row>
    <row r="66" ht="15.75" customHeight="1">
      <c r="A66" s="11">
        <v>63.0</v>
      </c>
      <c r="B66" s="113" t="s">
        <v>55</v>
      </c>
      <c r="C66" s="114">
        <v>1.0</v>
      </c>
      <c r="D66" s="113" t="s">
        <v>437</v>
      </c>
      <c r="E66" s="118" t="s">
        <v>438</v>
      </c>
      <c r="F66" s="113" t="s">
        <v>439</v>
      </c>
      <c r="G66" s="113">
        <v>73.0</v>
      </c>
      <c r="H66" s="115">
        <f>ROUNDDOWN(KUNJUNGAN!$G66/60,0)</f>
        <v>1</v>
      </c>
      <c r="I66" s="116">
        <f t="shared" si="1"/>
        <v>13</v>
      </c>
      <c r="J66" s="116">
        <f>(KUNJUNGAN!$H66*60)+KUNJUNGAN!$I66</f>
        <v>73</v>
      </c>
      <c r="K66" s="115"/>
      <c r="L66" s="11" t="s">
        <v>284</v>
      </c>
      <c r="M66" s="11"/>
      <c r="N66" s="119"/>
    </row>
    <row r="67" ht="15.75" customHeight="1">
      <c r="A67" s="11">
        <v>64.0</v>
      </c>
      <c r="B67" s="113" t="s">
        <v>55</v>
      </c>
      <c r="C67" s="114">
        <v>1.0</v>
      </c>
      <c r="D67" s="113" t="s">
        <v>440</v>
      </c>
      <c r="E67" s="118" t="s">
        <v>441</v>
      </c>
      <c r="F67" s="113" t="s">
        <v>442</v>
      </c>
      <c r="G67" s="113">
        <v>125.0</v>
      </c>
      <c r="H67" s="115">
        <f>ROUNDDOWN(KUNJUNGAN!$G67/60,0)</f>
        <v>2</v>
      </c>
      <c r="I67" s="116">
        <f t="shared" si="1"/>
        <v>5</v>
      </c>
      <c r="J67" s="116">
        <f>(KUNJUNGAN!$H67*60)+KUNJUNGAN!$I67</f>
        <v>125</v>
      </c>
      <c r="K67" s="115"/>
      <c r="L67" s="11" t="s">
        <v>284</v>
      </c>
      <c r="M67" s="11"/>
      <c r="N67" s="119"/>
    </row>
    <row r="68" ht="15.75" customHeight="1">
      <c r="A68" s="11">
        <v>65.0</v>
      </c>
      <c r="B68" s="113" t="s">
        <v>55</v>
      </c>
      <c r="C68" s="114">
        <v>1.0</v>
      </c>
      <c r="D68" s="113" t="s">
        <v>443</v>
      </c>
      <c r="E68" s="118" t="s">
        <v>444</v>
      </c>
      <c r="F68" s="113" t="s">
        <v>445</v>
      </c>
      <c r="G68" s="113">
        <v>118.0</v>
      </c>
      <c r="H68" s="115">
        <f>ROUNDDOWN(KUNJUNGAN!$G68/60,0)</f>
        <v>1</v>
      </c>
      <c r="I68" s="116">
        <f t="shared" si="1"/>
        <v>58</v>
      </c>
      <c r="J68" s="116">
        <f>(KUNJUNGAN!$H68*60)+KUNJUNGAN!$I68</f>
        <v>118</v>
      </c>
      <c r="K68" s="115"/>
      <c r="L68" s="11" t="s">
        <v>284</v>
      </c>
      <c r="M68" s="11"/>
      <c r="N68" s="119"/>
    </row>
    <row r="69" ht="15.75" customHeight="1">
      <c r="A69" s="11">
        <v>66.0</v>
      </c>
      <c r="B69" s="113" t="s">
        <v>55</v>
      </c>
      <c r="C69" s="114">
        <v>1.0</v>
      </c>
      <c r="D69" s="113" t="s">
        <v>443</v>
      </c>
      <c r="E69" s="118" t="s">
        <v>446</v>
      </c>
      <c r="F69" s="113" t="s">
        <v>447</v>
      </c>
      <c r="G69" s="113">
        <v>127.0</v>
      </c>
      <c r="H69" s="115">
        <f>ROUNDDOWN(KUNJUNGAN!$G69/60,0)</f>
        <v>2</v>
      </c>
      <c r="I69" s="116">
        <f t="shared" si="1"/>
        <v>7</v>
      </c>
      <c r="J69" s="116">
        <f>(KUNJUNGAN!$H69*60)+KUNJUNGAN!$I69</f>
        <v>127</v>
      </c>
      <c r="K69" s="115"/>
      <c r="L69" s="11" t="s">
        <v>284</v>
      </c>
      <c r="M69" s="11"/>
      <c r="N69" s="119"/>
    </row>
    <row r="70" ht="15.75" customHeight="1">
      <c r="A70" s="11">
        <v>67.0</v>
      </c>
      <c r="B70" s="113" t="s">
        <v>55</v>
      </c>
      <c r="C70" s="114">
        <v>1.0</v>
      </c>
      <c r="D70" s="113" t="s">
        <v>448</v>
      </c>
      <c r="E70" s="118" t="s">
        <v>449</v>
      </c>
      <c r="F70" s="113" t="s">
        <v>450</v>
      </c>
      <c r="G70" s="113">
        <v>90.0</v>
      </c>
      <c r="H70" s="115">
        <f>ROUNDDOWN(KUNJUNGAN!$G70/60,0)</f>
        <v>1</v>
      </c>
      <c r="I70" s="116">
        <f t="shared" si="1"/>
        <v>30</v>
      </c>
      <c r="J70" s="116">
        <f>(KUNJUNGAN!$H70*60)+KUNJUNGAN!$I70</f>
        <v>90</v>
      </c>
      <c r="K70" s="115"/>
      <c r="L70" s="11" t="s">
        <v>284</v>
      </c>
      <c r="M70" s="11"/>
      <c r="N70" s="119"/>
    </row>
    <row r="71" ht="15.75" customHeight="1">
      <c r="A71" s="11">
        <v>68.0</v>
      </c>
      <c r="B71" s="113" t="s">
        <v>55</v>
      </c>
      <c r="C71" s="114">
        <v>1.0</v>
      </c>
      <c r="D71" s="113" t="s">
        <v>451</v>
      </c>
      <c r="E71" s="118" t="s">
        <v>452</v>
      </c>
      <c r="F71" s="113" t="s">
        <v>453</v>
      </c>
      <c r="G71" s="113">
        <v>204.0</v>
      </c>
      <c r="H71" s="115">
        <f>ROUNDDOWN(KUNJUNGAN!$G71/60,0)</f>
        <v>3</v>
      </c>
      <c r="I71" s="116">
        <f t="shared" si="1"/>
        <v>24</v>
      </c>
      <c r="J71" s="116">
        <f>(KUNJUNGAN!$H71*60)+KUNJUNGAN!$I71</f>
        <v>204</v>
      </c>
      <c r="K71" s="115"/>
      <c r="L71" s="11" t="s">
        <v>284</v>
      </c>
      <c r="M71" s="11"/>
      <c r="N71" s="119"/>
    </row>
    <row r="72" ht="15.75" customHeight="1">
      <c r="A72" s="11">
        <v>69.0</v>
      </c>
      <c r="B72" s="113" t="s">
        <v>55</v>
      </c>
      <c r="C72" s="114">
        <v>1.0</v>
      </c>
      <c r="D72" s="113" t="s">
        <v>451</v>
      </c>
      <c r="E72" s="118" t="s">
        <v>454</v>
      </c>
      <c r="F72" s="113" t="s">
        <v>455</v>
      </c>
      <c r="G72" s="113">
        <v>201.0</v>
      </c>
      <c r="H72" s="115">
        <f>ROUNDDOWN(KUNJUNGAN!$G72/60,0)</f>
        <v>3</v>
      </c>
      <c r="I72" s="116">
        <f t="shared" si="1"/>
        <v>21</v>
      </c>
      <c r="J72" s="116">
        <f>(KUNJUNGAN!$H72*60)+KUNJUNGAN!$I72</f>
        <v>201</v>
      </c>
      <c r="K72" s="115"/>
      <c r="L72" s="11" t="s">
        <v>284</v>
      </c>
      <c r="M72" s="11"/>
      <c r="N72" s="119"/>
    </row>
    <row r="73" ht="15.75" customHeight="1">
      <c r="A73" s="11">
        <v>70.0</v>
      </c>
      <c r="B73" s="113" t="s">
        <v>55</v>
      </c>
      <c r="C73" s="114">
        <v>1.0</v>
      </c>
      <c r="D73" s="113" t="s">
        <v>451</v>
      </c>
      <c r="E73" s="118" t="s">
        <v>456</v>
      </c>
      <c r="F73" s="113" t="s">
        <v>457</v>
      </c>
      <c r="G73" s="113">
        <v>194.0</v>
      </c>
      <c r="H73" s="115">
        <f>ROUNDDOWN(KUNJUNGAN!$G73/60,0)</f>
        <v>3</v>
      </c>
      <c r="I73" s="116">
        <f t="shared" si="1"/>
        <v>14</v>
      </c>
      <c r="J73" s="116">
        <f>(KUNJUNGAN!$H73*60)+KUNJUNGAN!$I73</f>
        <v>194</v>
      </c>
      <c r="K73" s="115"/>
      <c r="L73" s="11" t="s">
        <v>284</v>
      </c>
      <c r="M73" s="11"/>
      <c r="N73" s="119"/>
    </row>
    <row r="74" ht="15.75" customHeight="1">
      <c r="A74" s="11">
        <v>71.0</v>
      </c>
      <c r="B74" s="113" t="s">
        <v>55</v>
      </c>
      <c r="C74" s="114">
        <v>1.0</v>
      </c>
      <c r="D74" s="113" t="s">
        <v>451</v>
      </c>
      <c r="E74" s="118" t="s">
        <v>458</v>
      </c>
      <c r="F74" s="113" t="s">
        <v>459</v>
      </c>
      <c r="G74" s="113">
        <v>204.0</v>
      </c>
      <c r="H74" s="115">
        <f>ROUNDDOWN(KUNJUNGAN!$G74/60,0)</f>
        <v>3</v>
      </c>
      <c r="I74" s="116">
        <f t="shared" si="1"/>
        <v>24</v>
      </c>
      <c r="J74" s="116">
        <f>(KUNJUNGAN!$H74*60)+KUNJUNGAN!$I74</f>
        <v>204</v>
      </c>
      <c r="K74" s="115"/>
      <c r="L74" s="11" t="s">
        <v>284</v>
      </c>
      <c r="M74" s="11"/>
      <c r="N74" s="119"/>
    </row>
    <row r="75" ht="15.75" customHeight="1">
      <c r="A75" s="11">
        <v>72.0</v>
      </c>
      <c r="B75" s="113" t="s">
        <v>55</v>
      </c>
      <c r="C75" s="114">
        <v>1.0</v>
      </c>
      <c r="D75" s="113" t="s">
        <v>451</v>
      </c>
      <c r="E75" s="118" t="s">
        <v>460</v>
      </c>
      <c r="F75" s="113" t="s">
        <v>461</v>
      </c>
      <c r="G75" s="113">
        <v>226.0</v>
      </c>
      <c r="H75" s="115">
        <f>ROUNDDOWN(KUNJUNGAN!$G75/60,0)</f>
        <v>3</v>
      </c>
      <c r="I75" s="116">
        <f t="shared" si="1"/>
        <v>46</v>
      </c>
      <c r="J75" s="116">
        <f>(KUNJUNGAN!$H75*60)+KUNJUNGAN!$I75</f>
        <v>226</v>
      </c>
      <c r="K75" s="115"/>
      <c r="L75" s="11" t="s">
        <v>284</v>
      </c>
      <c r="M75" s="11"/>
      <c r="N75" s="119"/>
    </row>
    <row r="76" ht="15.75" customHeight="1">
      <c r="A76" s="11">
        <v>140.0</v>
      </c>
      <c r="B76" s="113" t="s">
        <v>55</v>
      </c>
      <c r="C76" s="114">
        <v>1.0</v>
      </c>
      <c r="D76" s="113" t="s">
        <v>451</v>
      </c>
      <c r="E76" s="118" t="s">
        <v>462</v>
      </c>
      <c r="F76" s="113" t="s">
        <v>463</v>
      </c>
      <c r="G76" s="113">
        <v>208.0</v>
      </c>
      <c r="H76" s="115">
        <f>ROUNDDOWN(KUNJUNGAN!$G76/60,0)</f>
        <v>3</v>
      </c>
      <c r="I76" s="116">
        <f t="shared" si="1"/>
        <v>28</v>
      </c>
      <c r="J76" s="116">
        <f>(KUNJUNGAN!$H76*60)+KUNJUNGAN!$I76</f>
        <v>208</v>
      </c>
      <c r="K76" s="115"/>
      <c r="L76" s="11" t="s">
        <v>284</v>
      </c>
      <c r="M76" s="11"/>
      <c r="N76" s="120"/>
    </row>
    <row r="77" ht="15.75" customHeight="1">
      <c r="A77" s="11">
        <v>141.0</v>
      </c>
      <c r="B77" s="113" t="s">
        <v>55</v>
      </c>
      <c r="C77" s="114">
        <v>1.0</v>
      </c>
      <c r="D77" s="113" t="s">
        <v>451</v>
      </c>
      <c r="E77" s="118" t="s">
        <v>464</v>
      </c>
      <c r="F77" s="113" t="s">
        <v>465</v>
      </c>
      <c r="G77" s="113">
        <v>201.0</v>
      </c>
      <c r="H77" s="115">
        <f>ROUNDDOWN(KUNJUNGAN!$G77/60,0)</f>
        <v>3</v>
      </c>
      <c r="I77" s="116">
        <f t="shared" si="1"/>
        <v>21</v>
      </c>
      <c r="J77" s="116">
        <f>(KUNJUNGAN!$H77*60)+KUNJUNGAN!$I77</f>
        <v>201</v>
      </c>
      <c r="K77" s="115"/>
      <c r="L77" s="11" t="s">
        <v>284</v>
      </c>
      <c r="M77" s="11"/>
      <c r="N77" s="120"/>
    </row>
    <row r="78" ht="15.75" customHeight="1">
      <c r="A78" s="11">
        <v>142.0</v>
      </c>
      <c r="B78" s="113" t="s">
        <v>55</v>
      </c>
      <c r="C78" s="114">
        <v>1.0</v>
      </c>
      <c r="D78" s="113" t="s">
        <v>466</v>
      </c>
      <c r="E78" s="118" t="s">
        <v>467</v>
      </c>
      <c r="F78" s="113" t="s">
        <v>468</v>
      </c>
      <c r="G78" s="113">
        <v>82.0</v>
      </c>
      <c r="H78" s="115">
        <f>ROUNDDOWN(KUNJUNGAN!$G78/60,0)</f>
        <v>1</v>
      </c>
      <c r="I78" s="116">
        <f t="shared" si="1"/>
        <v>22</v>
      </c>
      <c r="J78" s="116">
        <f>(KUNJUNGAN!$H78*60)+KUNJUNGAN!$I78</f>
        <v>82</v>
      </c>
      <c r="K78" s="115"/>
      <c r="L78" s="11" t="s">
        <v>284</v>
      </c>
      <c r="M78" s="11"/>
    </row>
    <row r="79" ht="15.75" customHeight="1">
      <c r="A79" s="11">
        <v>143.0</v>
      </c>
      <c r="B79" s="113" t="s">
        <v>55</v>
      </c>
      <c r="C79" s="114">
        <v>1.0</v>
      </c>
      <c r="D79" s="113" t="s">
        <v>469</v>
      </c>
      <c r="E79" s="118" t="s">
        <v>470</v>
      </c>
      <c r="F79" s="113" t="s">
        <v>471</v>
      </c>
      <c r="G79" s="113">
        <v>33.0</v>
      </c>
      <c r="H79" s="115">
        <f>ROUNDDOWN(KUNJUNGAN!$G79/60,0)</f>
        <v>0</v>
      </c>
      <c r="I79" s="116">
        <f t="shared" si="1"/>
        <v>33</v>
      </c>
      <c r="J79" s="116">
        <f>(KUNJUNGAN!$H79*60)+KUNJUNGAN!$I79</f>
        <v>33</v>
      </c>
      <c r="K79" s="115"/>
      <c r="L79" s="11" t="s">
        <v>284</v>
      </c>
      <c r="M79" s="11"/>
      <c r="N79" s="120"/>
    </row>
    <row r="80" ht="15.75" customHeight="1">
      <c r="A80" s="11">
        <v>144.0</v>
      </c>
      <c r="B80" s="113" t="s">
        <v>55</v>
      </c>
      <c r="C80" s="114">
        <v>1.0</v>
      </c>
      <c r="D80" s="113" t="s">
        <v>469</v>
      </c>
      <c r="E80" s="118" t="s">
        <v>472</v>
      </c>
      <c r="F80" s="113" t="s">
        <v>473</v>
      </c>
      <c r="G80" s="113">
        <v>31.0</v>
      </c>
      <c r="H80" s="115">
        <f>ROUNDDOWN(KUNJUNGAN!$G80/60,0)</f>
        <v>0</v>
      </c>
      <c r="I80" s="116">
        <f t="shared" si="1"/>
        <v>31</v>
      </c>
      <c r="J80" s="116">
        <f>(KUNJUNGAN!$H80*60)+KUNJUNGAN!$I80</f>
        <v>31</v>
      </c>
      <c r="K80" s="115"/>
      <c r="L80" s="11" t="s">
        <v>284</v>
      </c>
      <c r="M80" s="11"/>
      <c r="N80" s="120"/>
    </row>
    <row r="81" ht="15.75" customHeight="1">
      <c r="A81" s="11">
        <v>145.0</v>
      </c>
      <c r="B81" s="113" t="s">
        <v>55</v>
      </c>
      <c r="C81" s="114">
        <v>1.0</v>
      </c>
      <c r="D81" s="113" t="s">
        <v>474</v>
      </c>
      <c r="E81" s="113" t="s">
        <v>475</v>
      </c>
      <c r="F81" s="113" t="s">
        <v>476</v>
      </c>
      <c r="G81" s="113">
        <v>89.0</v>
      </c>
      <c r="H81" s="115">
        <f>ROUNDDOWN(KUNJUNGAN!$G81/60,0)</f>
        <v>1</v>
      </c>
      <c r="I81" s="116">
        <f t="shared" si="1"/>
        <v>29</v>
      </c>
      <c r="J81" s="116">
        <f>(KUNJUNGAN!$H81*60)+KUNJUNGAN!$I81</f>
        <v>89</v>
      </c>
      <c r="K81" s="115"/>
      <c r="L81" s="11" t="s">
        <v>284</v>
      </c>
      <c r="M81" s="11"/>
      <c r="N81" s="120"/>
    </row>
    <row r="82" ht="15.75" customHeight="1">
      <c r="A82" s="11">
        <v>146.0</v>
      </c>
      <c r="B82" s="113" t="s">
        <v>55</v>
      </c>
      <c r="C82" s="114">
        <v>1.0</v>
      </c>
      <c r="D82" s="113" t="s">
        <v>477</v>
      </c>
      <c r="E82" s="113" t="s">
        <v>478</v>
      </c>
      <c r="F82" s="113" t="s">
        <v>479</v>
      </c>
      <c r="G82" s="113">
        <v>172.0</v>
      </c>
      <c r="H82" s="115">
        <f>ROUNDDOWN(KUNJUNGAN!$G82/60,0)</f>
        <v>2</v>
      </c>
      <c r="I82" s="116">
        <f t="shared" si="1"/>
        <v>52</v>
      </c>
      <c r="J82" s="116">
        <f>(KUNJUNGAN!$H82*60)+KUNJUNGAN!$I82</f>
        <v>172</v>
      </c>
      <c r="K82" s="115"/>
      <c r="L82" s="11" t="s">
        <v>284</v>
      </c>
      <c r="M82" s="11"/>
      <c r="N82" s="120"/>
    </row>
    <row r="83" ht="15.75" customHeight="1">
      <c r="A83" s="11">
        <v>147.0</v>
      </c>
      <c r="B83" s="113" t="s">
        <v>55</v>
      </c>
      <c r="C83" s="114">
        <v>1.0</v>
      </c>
      <c r="D83" s="113" t="s">
        <v>477</v>
      </c>
      <c r="E83" s="113" t="s">
        <v>480</v>
      </c>
      <c r="F83" s="113" t="s">
        <v>481</v>
      </c>
      <c r="G83" s="113">
        <v>157.0</v>
      </c>
      <c r="H83" s="115">
        <f>ROUNDDOWN(KUNJUNGAN!$G83/60,0)</f>
        <v>2</v>
      </c>
      <c r="I83" s="116">
        <f t="shared" si="1"/>
        <v>37</v>
      </c>
      <c r="J83" s="116">
        <f>(KUNJUNGAN!$H83*60)+KUNJUNGAN!$I83</f>
        <v>157</v>
      </c>
      <c r="K83" s="115"/>
      <c r="L83" s="11" t="s">
        <v>284</v>
      </c>
      <c r="M83" s="11"/>
      <c r="N83" s="120"/>
    </row>
    <row r="84" ht="15.75" customHeight="1">
      <c r="A84" s="11">
        <v>148.0</v>
      </c>
      <c r="B84" s="113" t="s">
        <v>55</v>
      </c>
      <c r="C84" s="114">
        <v>1.0</v>
      </c>
      <c r="D84" s="113" t="s">
        <v>477</v>
      </c>
      <c r="E84" s="113" t="s">
        <v>482</v>
      </c>
      <c r="F84" s="113" t="s">
        <v>483</v>
      </c>
      <c r="G84" s="113">
        <v>165.0</v>
      </c>
      <c r="H84" s="115">
        <f>ROUNDDOWN(KUNJUNGAN!$G84/60,0)</f>
        <v>2</v>
      </c>
      <c r="I84" s="116">
        <f t="shared" si="1"/>
        <v>45</v>
      </c>
      <c r="J84" s="116">
        <f>(KUNJUNGAN!$H84*60)+KUNJUNGAN!$I84</f>
        <v>165</v>
      </c>
      <c r="K84" s="115"/>
      <c r="L84" s="11" t="s">
        <v>284</v>
      </c>
      <c r="M84" s="11"/>
      <c r="N84" s="120"/>
    </row>
    <row r="85" ht="15.75" customHeight="1">
      <c r="A85" s="11">
        <v>149.0</v>
      </c>
      <c r="B85" s="113" t="s">
        <v>55</v>
      </c>
      <c r="C85" s="114">
        <v>1.0</v>
      </c>
      <c r="D85" s="113" t="s">
        <v>477</v>
      </c>
      <c r="E85" s="113" t="s">
        <v>484</v>
      </c>
      <c r="F85" s="113" t="s">
        <v>485</v>
      </c>
      <c r="G85" s="113">
        <v>157.0</v>
      </c>
      <c r="H85" s="115">
        <f>ROUNDDOWN(KUNJUNGAN!$G85/60,0)</f>
        <v>2</v>
      </c>
      <c r="I85" s="116">
        <f t="shared" si="1"/>
        <v>37</v>
      </c>
      <c r="J85" s="116">
        <f>(KUNJUNGAN!$H85*60)+KUNJUNGAN!$I85</f>
        <v>157</v>
      </c>
      <c r="K85" s="115"/>
      <c r="L85" s="11" t="s">
        <v>284</v>
      </c>
      <c r="M85" s="11"/>
      <c r="N85" s="120"/>
    </row>
    <row r="86" ht="15.75" customHeight="1">
      <c r="A86" s="11">
        <v>150.0</v>
      </c>
      <c r="B86" s="113" t="s">
        <v>55</v>
      </c>
      <c r="C86" s="114">
        <v>1.0</v>
      </c>
      <c r="D86" s="113" t="s">
        <v>477</v>
      </c>
      <c r="E86" s="113" t="s">
        <v>486</v>
      </c>
      <c r="F86" s="113" t="s">
        <v>487</v>
      </c>
      <c r="G86" s="113">
        <v>168.0</v>
      </c>
      <c r="H86" s="115">
        <f>ROUNDDOWN(KUNJUNGAN!$G86/60,0)</f>
        <v>2</v>
      </c>
      <c r="I86" s="116">
        <f t="shared" si="1"/>
        <v>48</v>
      </c>
      <c r="J86" s="116">
        <f>(KUNJUNGAN!$H86*60)+KUNJUNGAN!$I86</f>
        <v>168</v>
      </c>
      <c r="K86" s="115"/>
      <c r="L86" s="11" t="s">
        <v>284</v>
      </c>
      <c r="M86" s="11"/>
      <c r="N86" s="120"/>
    </row>
    <row r="87" ht="15.75" customHeight="1">
      <c r="A87" s="11">
        <v>151.0</v>
      </c>
      <c r="B87" s="113" t="s">
        <v>55</v>
      </c>
      <c r="C87" s="114">
        <v>1.0</v>
      </c>
      <c r="D87" s="113" t="s">
        <v>488</v>
      </c>
      <c r="E87" s="113" t="s">
        <v>489</v>
      </c>
      <c r="F87" s="113" t="s">
        <v>490</v>
      </c>
      <c r="G87" s="113">
        <v>145.0</v>
      </c>
      <c r="H87" s="115">
        <f>ROUNDDOWN(KUNJUNGAN!$G87/60,0)</f>
        <v>2</v>
      </c>
      <c r="I87" s="116">
        <f t="shared" si="1"/>
        <v>25</v>
      </c>
      <c r="J87" s="116">
        <f>(KUNJUNGAN!$H87*60)+KUNJUNGAN!$I87</f>
        <v>145</v>
      </c>
      <c r="K87" s="115"/>
      <c r="L87" s="11" t="s">
        <v>284</v>
      </c>
      <c r="M87" s="11"/>
      <c r="N87" s="120"/>
    </row>
    <row r="88" ht="15.75" customHeight="1">
      <c r="A88" s="11">
        <v>152.0</v>
      </c>
      <c r="B88" s="113" t="s">
        <v>55</v>
      </c>
      <c r="C88" s="114">
        <v>1.0</v>
      </c>
      <c r="D88" s="113" t="s">
        <v>491</v>
      </c>
      <c r="E88" s="113" t="s">
        <v>492</v>
      </c>
      <c r="F88" s="113" t="s">
        <v>493</v>
      </c>
      <c r="G88" s="113">
        <v>71.0</v>
      </c>
      <c r="H88" s="115">
        <f>ROUNDDOWN(KUNJUNGAN!$G88/60,0)</f>
        <v>1</v>
      </c>
      <c r="I88" s="116">
        <f t="shared" si="1"/>
        <v>11</v>
      </c>
      <c r="J88" s="116">
        <f>(KUNJUNGAN!$H88*60)+KUNJUNGAN!$I88</f>
        <v>71</v>
      </c>
      <c r="K88" s="115"/>
      <c r="L88" s="11" t="s">
        <v>284</v>
      </c>
      <c r="M88" s="11"/>
      <c r="N88" s="120"/>
    </row>
    <row r="89" ht="15.75" customHeight="1">
      <c r="A89" s="11">
        <v>153.0</v>
      </c>
      <c r="B89" s="113" t="s">
        <v>55</v>
      </c>
      <c r="C89" s="114">
        <v>1.0</v>
      </c>
      <c r="D89" s="113" t="s">
        <v>491</v>
      </c>
      <c r="E89" s="113" t="s">
        <v>494</v>
      </c>
      <c r="F89" s="113" t="s">
        <v>495</v>
      </c>
      <c r="G89" s="113">
        <v>57.0</v>
      </c>
      <c r="H89" s="115">
        <f>ROUNDDOWN(KUNJUNGAN!$G89/60,0)</f>
        <v>0</v>
      </c>
      <c r="I89" s="116">
        <f t="shared" si="1"/>
        <v>57</v>
      </c>
      <c r="J89" s="116">
        <f>(KUNJUNGAN!$H89*60)+KUNJUNGAN!$I89</f>
        <v>57</v>
      </c>
      <c r="K89" s="115"/>
      <c r="L89" s="11" t="s">
        <v>284</v>
      </c>
      <c r="M89" s="11"/>
      <c r="N89" s="120"/>
    </row>
    <row r="90" ht="15.75" customHeight="1">
      <c r="A90" s="11">
        <v>154.0</v>
      </c>
      <c r="B90" s="113" t="s">
        <v>55</v>
      </c>
      <c r="C90" s="114">
        <v>1.0</v>
      </c>
      <c r="D90" s="113" t="s">
        <v>491</v>
      </c>
      <c r="E90" s="113" t="s">
        <v>496</v>
      </c>
      <c r="F90" s="113" t="s">
        <v>497</v>
      </c>
      <c r="G90" s="113">
        <v>58.0</v>
      </c>
      <c r="H90" s="115">
        <f>ROUNDDOWN(KUNJUNGAN!$G90/60,0)</f>
        <v>0</v>
      </c>
      <c r="I90" s="116">
        <f t="shared" si="1"/>
        <v>58</v>
      </c>
      <c r="J90" s="116">
        <f>(KUNJUNGAN!$H90*60)+KUNJUNGAN!$I90</f>
        <v>58</v>
      </c>
      <c r="K90" s="115"/>
      <c r="L90" s="11" t="s">
        <v>284</v>
      </c>
      <c r="M90" s="11"/>
      <c r="N90" s="120"/>
    </row>
    <row r="91" ht="15.75" customHeight="1">
      <c r="A91" s="11">
        <v>183.0</v>
      </c>
      <c r="B91" s="113" t="s">
        <v>55</v>
      </c>
      <c r="C91" s="114">
        <v>1.0</v>
      </c>
      <c r="D91" s="113" t="s">
        <v>491</v>
      </c>
      <c r="E91" s="113" t="s">
        <v>498</v>
      </c>
      <c r="F91" s="113" t="s">
        <v>499</v>
      </c>
      <c r="G91" s="113">
        <v>59.0</v>
      </c>
      <c r="H91" s="115">
        <f>ROUNDDOWN(KUNJUNGAN!$G91/60,0)</f>
        <v>0</v>
      </c>
      <c r="I91" s="116">
        <f t="shared" si="1"/>
        <v>59</v>
      </c>
      <c r="J91" s="116">
        <f>(KUNJUNGAN!$H91*60)+KUNJUNGAN!$I91</f>
        <v>59</v>
      </c>
      <c r="K91" s="115"/>
      <c r="L91" s="11" t="s">
        <v>284</v>
      </c>
      <c r="M91" s="11"/>
      <c r="N91" s="120"/>
    </row>
    <row r="92" ht="15.75" customHeight="1">
      <c r="A92" s="11">
        <v>155.0</v>
      </c>
      <c r="B92" s="113" t="s">
        <v>55</v>
      </c>
      <c r="C92" s="114">
        <v>1.0</v>
      </c>
      <c r="D92" s="113" t="s">
        <v>491</v>
      </c>
      <c r="E92" s="113" t="s">
        <v>500</v>
      </c>
      <c r="F92" s="113" t="s">
        <v>501</v>
      </c>
      <c r="G92" s="113">
        <v>54.0</v>
      </c>
      <c r="H92" s="115">
        <f>ROUNDDOWN(KUNJUNGAN!$G92/60,0)</f>
        <v>0</v>
      </c>
      <c r="I92" s="116">
        <f t="shared" si="1"/>
        <v>54</v>
      </c>
      <c r="J92" s="116">
        <f>(KUNJUNGAN!$H92*60)+KUNJUNGAN!$I92</f>
        <v>54</v>
      </c>
      <c r="K92" s="115"/>
      <c r="L92" s="11" t="s">
        <v>284</v>
      </c>
      <c r="M92" s="11"/>
      <c r="N92" s="120"/>
    </row>
    <row r="93" ht="15.75" customHeight="1">
      <c r="A93" s="11">
        <v>156.0</v>
      </c>
      <c r="B93" s="113" t="s">
        <v>55</v>
      </c>
      <c r="C93" s="114">
        <v>1.0</v>
      </c>
      <c r="D93" s="113" t="s">
        <v>502</v>
      </c>
      <c r="E93" s="113" t="s">
        <v>503</v>
      </c>
      <c r="F93" s="113" t="s">
        <v>504</v>
      </c>
      <c r="G93" s="113">
        <v>65.0</v>
      </c>
      <c r="H93" s="115">
        <f>ROUNDDOWN(KUNJUNGAN!$G93/60,0)</f>
        <v>1</v>
      </c>
      <c r="I93" s="116">
        <f t="shared" si="1"/>
        <v>5</v>
      </c>
      <c r="J93" s="116">
        <f>(KUNJUNGAN!$H93*60)+KUNJUNGAN!$I93</f>
        <v>65</v>
      </c>
      <c r="K93" s="115"/>
      <c r="L93" s="11" t="s">
        <v>284</v>
      </c>
      <c r="M93" s="11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ht="15.75" customHeight="1">
      <c r="A94" s="11">
        <v>157.0</v>
      </c>
      <c r="B94" s="113" t="s">
        <v>55</v>
      </c>
      <c r="C94" s="114">
        <v>1.0</v>
      </c>
      <c r="D94" s="113" t="s">
        <v>502</v>
      </c>
      <c r="E94" s="113" t="s">
        <v>505</v>
      </c>
      <c r="F94" s="113" t="s">
        <v>506</v>
      </c>
      <c r="G94" s="113">
        <v>63.0</v>
      </c>
      <c r="H94" s="115">
        <f>ROUNDDOWN(KUNJUNGAN!$G94/60,0)</f>
        <v>1</v>
      </c>
      <c r="I94" s="116">
        <f t="shared" si="1"/>
        <v>3</v>
      </c>
      <c r="J94" s="116">
        <f>(KUNJUNGAN!$H94*60)+KUNJUNGAN!$I94</f>
        <v>63</v>
      </c>
      <c r="K94" s="115"/>
      <c r="L94" s="11" t="s">
        <v>284</v>
      </c>
      <c r="M94" s="11"/>
      <c r="N94" s="120"/>
    </row>
    <row r="95" ht="15.75" customHeight="1">
      <c r="A95" s="11">
        <v>158.0</v>
      </c>
      <c r="B95" s="113" t="s">
        <v>55</v>
      </c>
      <c r="C95" s="114">
        <v>1.0</v>
      </c>
      <c r="D95" s="113" t="s">
        <v>502</v>
      </c>
      <c r="E95" s="113" t="s">
        <v>507</v>
      </c>
      <c r="F95" s="113" t="s">
        <v>508</v>
      </c>
      <c r="G95" s="113">
        <v>66.0</v>
      </c>
      <c r="H95" s="115">
        <f>ROUNDDOWN(KUNJUNGAN!$G95/60,0)</f>
        <v>1</v>
      </c>
      <c r="I95" s="116">
        <f t="shared" si="1"/>
        <v>6</v>
      </c>
      <c r="J95" s="116">
        <f>(KUNJUNGAN!$H95*60)+KUNJUNGAN!$I95</f>
        <v>66</v>
      </c>
      <c r="K95" s="115"/>
      <c r="L95" s="11" t="s">
        <v>284</v>
      </c>
      <c r="M95" s="11"/>
      <c r="N95" s="120"/>
    </row>
    <row r="96" ht="15.75" customHeight="1">
      <c r="A96" s="11">
        <v>159.0</v>
      </c>
      <c r="B96" s="113" t="s">
        <v>55</v>
      </c>
      <c r="C96" s="114">
        <v>1.0</v>
      </c>
      <c r="D96" s="113" t="s">
        <v>502</v>
      </c>
      <c r="E96" s="113" t="s">
        <v>509</v>
      </c>
      <c r="F96" s="113" t="s">
        <v>510</v>
      </c>
      <c r="G96" s="113">
        <v>60.0</v>
      </c>
      <c r="H96" s="115">
        <f>ROUNDDOWN(KUNJUNGAN!$G96/60,0)</f>
        <v>1</v>
      </c>
      <c r="I96" s="116">
        <f t="shared" si="1"/>
        <v>0</v>
      </c>
      <c r="J96" s="116">
        <f>(KUNJUNGAN!$H96*60)+KUNJUNGAN!$I96</f>
        <v>60</v>
      </c>
      <c r="K96" s="115"/>
      <c r="L96" s="11" t="s">
        <v>284</v>
      </c>
      <c r="M96" s="11"/>
      <c r="N96" s="120"/>
    </row>
    <row r="97" ht="15.75" customHeight="1">
      <c r="A97" s="11">
        <v>160.0</v>
      </c>
      <c r="B97" s="113" t="s">
        <v>55</v>
      </c>
      <c r="C97" s="114">
        <v>1.0</v>
      </c>
      <c r="D97" s="113" t="s">
        <v>511</v>
      </c>
      <c r="E97" s="113" t="s">
        <v>512</v>
      </c>
      <c r="F97" s="113" t="s">
        <v>513</v>
      </c>
      <c r="G97" s="113">
        <v>102.0</v>
      </c>
      <c r="H97" s="115">
        <f>ROUNDDOWN(KUNJUNGAN!$G97/60,0)</f>
        <v>1</v>
      </c>
      <c r="I97" s="116">
        <f t="shared" si="1"/>
        <v>42</v>
      </c>
      <c r="J97" s="116">
        <f>(KUNJUNGAN!$H97*60)+KUNJUNGAN!$I97</f>
        <v>102</v>
      </c>
      <c r="K97" s="115"/>
      <c r="L97" s="11" t="s">
        <v>284</v>
      </c>
      <c r="M97" s="11"/>
      <c r="N97" s="120"/>
    </row>
    <row r="98" ht="15.75" customHeight="1">
      <c r="A98" s="11">
        <v>182.0</v>
      </c>
      <c r="B98" s="113" t="s">
        <v>55</v>
      </c>
      <c r="C98" s="114">
        <v>1.0</v>
      </c>
      <c r="D98" s="113" t="s">
        <v>511</v>
      </c>
      <c r="E98" s="113" t="s">
        <v>514</v>
      </c>
      <c r="F98" s="113" t="s">
        <v>515</v>
      </c>
      <c r="G98" s="113">
        <v>102.0</v>
      </c>
      <c r="H98" s="115">
        <f>ROUNDDOWN(KUNJUNGAN!$G98/60,0)</f>
        <v>1</v>
      </c>
      <c r="I98" s="116">
        <f t="shared" si="1"/>
        <v>42</v>
      </c>
      <c r="J98" s="116">
        <f>(KUNJUNGAN!$H98*60)+KUNJUNGAN!$I98</f>
        <v>102</v>
      </c>
      <c r="K98" s="115"/>
      <c r="L98" s="11" t="s">
        <v>284</v>
      </c>
      <c r="M98" s="11"/>
    </row>
    <row r="99" ht="15.75" customHeight="1">
      <c r="A99" s="11">
        <v>161.0</v>
      </c>
      <c r="B99" s="113" t="s">
        <v>55</v>
      </c>
      <c r="C99" s="114">
        <v>1.0</v>
      </c>
      <c r="D99" s="113" t="s">
        <v>516</v>
      </c>
      <c r="E99" s="113" t="s">
        <v>517</v>
      </c>
      <c r="F99" s="113" t="s">
        <v>518</v>
      </c>
      <c r="G99" s="113">
        <v>94.0</v>
      </c>
      <c r="H99" s="115">
        <f>ROUNDDOWN(KUNJUNGAN!$G99/60,0)</f>
        <v>1</v>
      </c>
      <c r="I99" s="116">
        <f t="shared" si="1"/>
        <v>34</v>
      </c>
      <c r="J99" s="116">
        <f>(KUNJUNGAN!$H99*60)+KUNJUNGAN!$I99</f>
        <v>94</v>
      </c>
      <c r="K99" s="115"/>
      <c r="L99" s="11" t="s">
        <v>284</v>
      </c>
      <c r="M99" s="11"/>
    </row>
    <row r="100" ht="15.75" customHeight="1">
      <c r="A100" s="11">
        <v>162.0</v>
      </c>
      <c r="B100" s="113" t="s">
        <v>55</v>
      </c>
      <c r="C100" s="114">
        <v>1.0</v>
      </c>
      <c r="D100" s="113" t="s">
        <v>519</v>
      </c>
      <c r="E100" s="113" t="s">
        <v>520</v>
      </c>
      <c r="F100" s="113" t="s">
        <v>521</v>
      </c>
      <c r="G100" s="113">
        <v>55.0</v>
      </c>
      <c r="H100" s="115">
        <f>ROUNDDOWN(KUNJUNGAN!$G100/60,0)</f>
        <v>0</v>
      </c>
      <c r="I100" s="116">
        <f t="shared" si="1"/>
        <v>55</v>
      </c>
      <c r="J100" s="116">
        <f>(KUNJUNGAN!$H100*60)+KUNJUNGAN!$I100</f>
        <v>55</v>
      </c>
      <c r="K100" s="115"/>
      <c r="L100" s="11" t="s">
        <v>284</v>
      </c>
      <c r="M100" s="11"/>
    </row>
    <row r="101" ht="15.75" customHeight="1">
      <c r="A101" s="11">
        <v>163.0</v>
      </c>
      <c r="B101" s="113" t="s">
        <v>55</v>
      </c>
      <c r="C101" s="114">
        <v>1.0</v>
      </c>
      <c r="D101" s="113" t="s">
        <v>519</v>
      </c>
      <c r="E101" s="113" t="s">
        <v>522</v>
      </c>
      <c r="F101" s="113" t="s">
        <v>523</v>
      </c>
      <c r="G101" s="113">
        <v>90.0</v>
      </c>
      <c r="H101" s="115">
        <f>ROUNDDOWN(KUNJUNGAN!$G101/60,0)</f>
        <v>1</v>
      </c>
      <c r="I101" s="116">
        <f t="shared" si="1"/>
        <v>30</v>
      </c>
      <c r="J101" s="116">
        <f>(KUNJUNGAN!$H101*60)+KUNJUNGAN!$I101</f>
        <v>90</v>
      </c>
      <c r="K101" s="115"/>
      <c r="L101" s="11" t="s">
        <v>284</v>
      </c>
      <c r="M101" s="11"/>
    </row>
    <row r="102" ht="15.75" customHeight="1">
      <c r="A102" s="11">
        <v>164.0</v>
      </c>
      <c r="B102" s="113" t="s">
        <v>55</v>
      </c>
      <c r="C102" s="114">
        <v>1.0</v>
      </c>
      <c r="D102" s="113" t="s">
        <v>519</v>
      </c>
      <c r="E102" s="113" t="s">
        <v>524</v>
      </c>
      <c r="F102" s="113" t="s">
        <v>525</v>
      </c>
      <c r="G102" s="113">
        <v>58.0</v>
      </c>
      <c r="H102" s="115">
        <f>ROUNDDOWN(KUNJUNGAN!$G102/60,0)</f>
        <v>0</v>
      </c>
      <c r="I102" s="116">
        <f t="shared" si="1"/>
        <v>58</v>
      </c>
      <c r="J102" s="116">
        <f>(KUNJUNGAN!$H102*60)+KUNJUNGAN!$I102</f>
        <v>58</v>
      </c>
      <c r="K102" s="115"/>
      <c r="L102" s="11" t="s">
        <v>284</v>
      </c>
      <c r="M102" s="11"/>
    </row>
    <row r="103" ht="15.75" customHeight="1">
      <c r="A103" s="11">
        <v>165.0</v>
      </c>
      <c r="B103" s="113" t="s">
        <v>55</v>
      </c>
      <c r="C103" s="114">
        <v>1.0</v>
      </c>
      <c r="D103" s="113" t="s">
        <v>526</v>
      </c>
      <c r="E103" s="113" t="s">
        <v>527</v>
      </c>
      <c r="F103" s="113" t="s">
        <v>528</v>
      </c>
      <c r="G103" s="113">
        <v>112.0</v>
      </c>
      <c r="H103" s="115">
        <f>ROUNDDOWN(KUNJUNGAN!$G103/60,0)</f>
        <v>1</v>
      </c>
      <c r="I103" s="116">
        <f t="shared" si="1"/>
        <v>52</v>
      </c>
      <c r="J103" s="116">
        <f>(KUNJUNGAN!$H103*60)+KUNJUNGAN!$I103</f>
        <v>112</v>
      </c>
      <c r="K103" s="115"/>
      <c r="L103" s="11" t="s">
        <v>284</v>
      </c>
      <c r="M103" s="11"/>
    </row>
    <row r="104" ht="15.75" customHeight="1">
      <c r="A104" s="11">
        <v>166.0</v>
      </c>
      <c r="B104" s="113" t="s">
        <v>55</v>
      </c>
      <c r="C104" s="114">
        <v>1.0</v>
      </c>
      <c r="D104" s="113" t="s">
        <v>526</v>
      </c>
      <c r="E104" s="113" t="s">
        <v>529</v>
      </c>
      <c r="F104" s="113" t="s">
        <v>530</v>
      </c>
      <c r="G104" s="113">
        <v>133.0</v>
      </c>
      <c r="H104" s="115">
        <f>ROUNDDOWN(KUNJUNGAN!$G104/60,0)</f>
        <v>2</v>
      </c>
      <c r="I104" s="116">
        <f t="shared" si="1"/>
        <v>13</v>
      </c>
      <c r="J104" s="116">
        <f>(KUNJUNGAN!$H104*60)+KUNJUNGAN!$I104</f>
        <v>133</v>
      </c>
      <c r="K104" s="115"/>
      <c r="L104" s="11" t="s">
        <v>284</v>
      </c>
      <c r="M104" s="11"/>
    </row>
    <row r="105" ht="15.75" customHeight="1">
      <c r="A105" s="11">
        <v>167.0</v>
      </c>
      <c r="B105" s="113" t="s">
        <v>55</v>
      </c>
      <c r="C105" s="114">
        <v>1.0</v>
      </c>
      <c r="D105" s="113" t="s">
        <v>526</v>
      </c>
      <c r="E105" s="113" t="s">
        <v>531</v>
      </c>
      <c r="F105" s="113" t="s">
        <v>532</v>
      </c>
      <c r="G105" s="113">
        <v>123.0</v>
      </c>
      <c r="H105" s="115">
        <f>ROUNDDOWN(KUNJUNGAN!$G105/60,0)</f>
        <v>2</v>
      </c>
      <c r="I105" s="116">
        <f t="shared" si="1"/>
        <v>3</v>
      </c>
      <c r="J105" s="116">
        <f>(KUNJUNGAN!$H105*60)+KUNJUNGAN!$I105</f>
        <v>123</v>
      </c>
      <c r="K105" s="115"/>
      <c r="L105" s="11" t="s">
        <v>284</v>
      </c>
      <c r="M105" s="11"/>
    </row>
    <row r="106" ht="15.75" customHeight="1">
      <c r="A106" s="11">
        <v>187.0</v>
      </c>
      <c r="B106" s="113" t="s">
        <v>55</v>
      </c>
      <c r="C106" s="114">
        <v>1.0</v>
      </c>
      <c r="D106" s="121" t="s">
        <v>533</v>
      </c>
      <c r="E106" s="113" t="s">
        <v>527</v>
      </c>
      <c r="F106" s="113" t="s">
        <v>528</v>
      </c>
      <c r="G106" s="113">
        <v>112.0</v>
      </c>
      <c r="H106" s="115">
        <f>ROUNDDOWN(KUNJUNGAN!$G106/60,0)</f>
        <v>1</v>
      </c>
      <c r="I106" s="116">
        <f t="shared" si="1"/>
        <v>52</v>
      </c>
      <c r="J106" s="116">
        <f>(KUNJUNGAN!$H106*60)+KUNJUNGAN!$I106</f>
        <v>112</v>
      </c>
      <c r="K106" s="115"/>
      <c r="L106" s="11" t="s">
        <v>284</v>
      </c>
      <c r="M106" s="11"/>
    </row>
    <row r="107" ht="15.75" customHeight="1">
      <c r="A107" s="11">
        <v>168.0</v>
      </c>
      <c r="B107" s="113" t="s">
        <v>55</v>
      </c>
      <c r="C107" s="114">
        <v>1.0</v>
      </c>
      <c r="D107" s="121" t="s">
        <v>533</v>
      </c>
      <c r="E107" s="113" t="s">
        <v>529</v>
      </c>
      <c r="F107" s="113" t="s">
        <v>530</v>
      </c>
      <c r="G107" s="113">
        <v>133.0</v>
      </c>
      <c r="H107" s="115">
        <f>ROUNDDOWN(KUNJUNGAN!$G107/60,0)</f>
        <v>2</v>
      </c>
      <c r="I107" s="116">
        <f t="shared" si="1"/>
        <v>13</v>
      </c>
      <c r="J107" s="116">
        <f>(KUNJUNGAN!$H107*60)+KUNJUNGAN!$I107</f>
        <v>133</v>
      </c>
      <c r="K107" s="115"/>
      <c r="L107" s="11" t="s">
        <v>284</v>
      </c>
      <c r="M107" s="11"/>
    </row>
    <row r="108" ht="15.75" customHeight="1">
      <c r="A108" s="11">
        <v>169.0</v>
      </c>
      <c r="B108" s="113" t="s">
        <v>55</v>
      </c>
      <c r="C108" s="114">
        <v>1.0</v>
      </c>
      <c r="D108" s="121" t="s">
        <v>533</v>
      </c>
      <c r="E108" s="113" t="s">
        <v>531</v>
      </c>
      <c r="F108" s="113" t="s">
        <v>532</v>
      </c>
      <c r="G108" s="113">
        <v>123.0</v>
      </c>
      <c r="H108" s="115">
        <f>ROUNDDOWN(KUNJUNGAN!$G108/60,0)</f>
        <v>2</v>
      </c>
      <c r="I108" s="116">
        <f t="shared" si="1"/>
        <v>3</v>
      </c>
      <c r="J108" s="116">
        <f>(KUNJUNGAN!$H108*60)+KUNJUNGAN!$I108</f>
        <v>123</v>
      </c>
      <c r="K108" s="115"/>
      <c r="L108" s="11" t="s">
        <v>284</v>
      </c>
      <c r="M108" s="11"/>
    </row>
    <row r="109" ht="15.75" customHeight="1">
      <c r="A109" s="11">
        <v>184.0</v>
      </c>
      <c r="B109" s="113" t="s">
        <v>55</v>
      </c>
      <c r="C109" s="114">
        <v>1.0</v>
      </c>
      <c r="D109" s="113" t="s">
        <v>534</v>
      </c>
      <c r="E109" s="113" t="s">
        <v>535</v>
      </c>
      <c r="F109" s="113" t="s">
        <v>536</v>
      </c>
      <c r="G109" s="113">
        <v>55.0</v>
      </c>
      <c r="H109" s="115">
        <f>ROUNDDOWN(KUNJUNGAN!$G109/60,0)</f>
        <v>0</v>
      </c>
      <c r="I109" s="116">
        <f t="shared" si="1"/>
        <v>55</v>
      </c>
      <c r="J109" s="116">
        <f>(KUNJUNGAN!$H109*60)+KUNJUNGAN!$I109</f>
        <v>55</v>
      </c>
      <c r="K109" s="115"/>
      <c r="L109" s="11" t="s">
        <v>284</v>
      </c>
      <c r="M109" s="11"/>
    </row>
    <row r="110" ht="15.75" customHeight="1">
      <c r="A110" s="11">
        <v>170.0</v>
      </c>
      <c r="B110" s="113" t="s">
        <v>55</v>
      </c>
      <c r="C110" s="114">
        <v>1.0</v>
      </c>
      <c r="D110" s="113" t="s">
        <v>534</v>
      </c>
      <c r="E110" s="113" t="s">
        <v>537</v>
      </c>
      <c r="F110" s="113" t="s">
        <v>538</v>
      </c>
      <c r="G110" s="113">
        <v>56.0</v>
      </c>
      <c r="H110" s="115">
        <f>ROUNDDOWN(KUNJUNGAN!$G110/60,0)</f>
        <v>0</v>
      </c>
      <c r="I110" s="116">
        <f t="shared" si="1"/>
        <v>56</v>
      </c>
      <c r="J110" s="116">
        <f>(KUNJUNGAN!$H110*60)+KUNJUNGAN!$I110</f>
        <v>56</v>
      </c>
      <c r="K110" s="115"/>
      <c r="L110" s="11" t="s">
        <v>284</v>
      </c>
      <c r="M110" s="11"/>
    </row>
    <row r="111" ht="15.75" customHeight="1">
      <c r="A111" s="11">
        <v>171.0</v>
      </c>
      <c r="B111" s="113" t="s">
        <v>55</v>
      </c>
      <c r="C111" s="114">
        <v>1.0</v>
      </c>
      <c r="D111" s="113" t="s">
        <v>539</v>
      </c>
      <c r="E111" s="113" t="s">
        <v>540</v>
      </c>
      <c r="F111" s="113" t="s">
        <v>541</v>
      </c>
      <c r="G111" s="113">
        <v>57.0</v>
      </c>
      <c r="H111" s="115">
        <f>ROUNDDOWN(KUNJUNGAN!$G111/60,0)</f>
        <v>0</v>
      </c>
      <c r="I111" s="116">
        <f t="shared" si="1"/>
        <v>57</v>
      </c>
      <c r="J111" s="116">
        <f>(KUNJUNGAN!$H111*60)+KUNJUNGAN!$I111</f>
        <v>57</v>
      </c>
      <c r="K111" s="115"/>
      <c r="L111" s="11" t="s">
        <v>284</v>
      </c>
      <c r="M111" s="11"/>
    </row>
    <row r="112" ht="15.75" customHeight="1">
      <c r="A112" s="11">
        <v>186.0</v>
      </c>
      <c r="B112" s="113" t="s">
        <v>52</v>
      </c>
      <c r="C112" s="114">
        <v>1.0</v>
      </c>
      <c r="D112" s="113" t="s">
        <v>542</v>
      </c>
      <c r="E112" s="113" t="s">
        <v>543</v>
      </c>
      <c r="F112" s="113" t="s">
        <v>544</v>
      </c>
      <c r="G112" s="113">
        <v>60.0</v>
      </c>
      <c r="H112" s="115">
        <f>ROUNDDOWN(KUNJUNGAN!$G112/60,0)</f>
        <v>1</v>
      </c>
      <c r="I112" s="116">
        <f t="shared" si="1"/>
        <v>0</v>
      </c>
      <c r="J112" s="116">
        <f>(KUNJUNGAN!$H112*60)+KUNJUNGAN!$I112</f>
        <v>60</v>
      </c>
      <c r="K112" s="115"/>
      <c r="L112" s="11" t="s">
        <v>284</v>
      </c>
      <c r="M112" s="11"/>
    </row>
    <row r="113" ht="15.75" customHeight="1">
      <c r="A113" s="11">
        <v>172.0</v>
      </c>
      <c r="B113" s="113" t="s">
        <v>52</v>
      </c>
      <c r="C113" s="114">
        <v>1.0</v>
      </c>
      <c r="D113" s="113" t="s">
        <v>542</v>
      </c>
      <c r="E113" s="113" t="s">
        <v>545</v>
      </c>
      <c r="F113" s="113" t="s">
        <v>546</v>
      </c>
      <c r="G113" s="113">
        <v>60.0</v>
      </c>
      <c r="H113" s="115">
        <f>ROUNDDOWN(KUNJUNGAN!$G113/60,0)</f>
        <v>1</v>
      </c>
      <c r="I113" s="116">
        <f t="shared" si="1"/>
        <v>0</v>
      </c>
      <c r="J113" s="116">
        <f>(KUNJUNGAN!$H113*60)+KUNJUNGAN!$I113</f>
        <v>60</v>
      </c>
      <c r="K113" s="115"/>
      <c r="L113" s="11" t="s">
        <v>284</v>
      </c>
      <c r="M113" s="11"/>
    </row>
    <row r="114" ht="15.75" customHeight="1">
      <c r="A114" s="11">
        <v>185.0</v>
      </c>
      <c r="B114" s="113" t="s">
        <v>52</v>
      </c>
      <c r="C114" s="114">
        <v>1.0</v>
      </c>
      <c r="D114" s="113" t="s">
        <v>547</v>
      </c>
      <c r="E114" s="113" t="s">
        <v>548</v>
      </c>
      <c r="F114" s="113" t="s">
        <v>549</v>
      </c>
      <c r="G114" s="113">
        <v>180.0</v>
      </c>
      <c r="H114" s="115">
        <f>ROUNDDOWN(KUNJUNGAN!$G114/60,0)</f>
        <v>3</v>
      </c>
      <c r="I114" s="116">
        <f t="shared" si="1"/>
        <v>0</v>
      </c>
      <c r="J114" s="116">
        <f>(KUNJUNGAN!$H114*60)+KUNJUNGAN!$I114</f>
        <v>180</v>
      </c>
      <c r="K114" s="115"/>
      <c r="L114" s="11" t="s">
        <v>284</v>
      </c>
      <c r="M114" s="11"/>
    </row>
    <row r="115" ht="15.75" customHeight="1">
      <c r="A115" s="11">
        <v>173.0</v>
      </c>
      <c r="B115" s="113" t="s">
        <v>52</v>
      </c>
      <c r="C115" s="114">
        <v>1.0</v>
      </c>
      <c r="D115" s="113" t="s">
        <v>547</v>
      </c>
      <c r="E115" s="113" t="s">
        <v>550</v>
      </c>
      <c r="F115" s="113" t="s">
        <v>551</v>
      </c>
      <c r="G115" s="113">
        <v>60.0</v>
      </c>
      <c r="H115" s="115">
        <f>ROUNDDOWN(KUNJUNGAN!$G115/60,0)</f>
        <v>1</v>
      </c>
      <c r="I115" s="116">
        <f t="shared" si="1"/>
        <v>0</v>
      </c>
      <c r="J115" s="116">
        <f>(KUNJUNGAN!$H115*60)+KUNJUNGAN!$I115</f>
        <v>60</v>
      </c>
      <c r="K115" s="115"/>
      <c r="L115" s="11" t="s">
        <v>284</v>
      </c>
      <c r="M115" s="11"/>
    </row>
    <row r="116" ht="15.75" customHeight="1">
      <c r="A116" s="11">
        <v>174.0</v>
      </c>
      <c r="B116" s="113" t="s">
        <v>52</v>
      </c>
      <c r="C116" s="114">
        <v>1.0</v>
      </c>
      <c r="D116" s="113" t="s">
        <v>547</v>
      </c>
      <c r="E116" s="113" t="s">
        <v>412</v>
      </c>
      <c r="F116" s="113" t="s">
        <v>552</v>
      </c>
      <c r="G116" s="113">
        <v>60.0</v>
      </c>
      <c r="H116" s="115">
        <f>ROUNDDOWN(KUNJUNGAN!$G116/60,0)</f>
        <v>1</v>
      </c>
      <c r="I116" s="116">
        <f t="shared" si="1"/>
        <v>0</v>
      </c>
      <c r="J116" s="116">
        <f>(KUNJUNGAN!$H116*60)+KUNJUNGAN!$I116</f>
        <v>60</v>
      </c>
      <c r="K116" s="115"/>
      <c r="L116" s="11" t="s">
        <v>284</v>
      </c>
      <c r="M116" s="11"/>
    </row>
    <row r="117" ht="15.75" customHeight="1">
      <c r="A117" s="11">
        <v>175.0</v>
      </c>
      <c r="B117" s="113" t="s">
        <v>52</v>
      </c>
      <c r="C117" s="114">
        <v>1.0</v>
      </c>
      <c r="D117" s="113" t="s">
        <v>547</v>
      </c>
      <c r="E117" s="113" t="s">
        <v>553</v>
      </c>
      <c r="F117" s="113" t="s">
        <v>554</v>
      </c>
      <c r="G117" s="113">
        <v>180.0</v>
      </c>
      <c r="H117" s="115">
        <f>ROUNDDOWN(KUNJUNGAN!$G117/60,0)</f>
        <v>3</v>
      </c>
      <c r="I117" s="116">
        <f t="shared" si="1"/>
        <v>0</v>
      </c>
      <c r="J117" s="116">
        <f>(KUNJUNGAN!$H117*60)+KUNJUNGAN!$I117</f>
        <v>180</v>
      </c>
      <c r="K117" s="115"/>
      <c r="L117" s="11" t="s">
        <v>284</v>
      </c>
      <c r="M117" s="11"/>
    </row>
    <row r="118" ht="15.75" customHeight="1">
      <c r="A118" s="11">
        <v>176.0</v>
      </c>
      <c r="B118" s="113" t="s">
        <v>52</v>
      </c>
      <c r="C118" s="114">
        <v>1.0</v>
      </c>
      <c r="D118" s="113" t="s">
        <v>547</v>
      </c>
      <c r="E118" s="113" t="s">
        <v>555</v>
      </c>
      <c r="F118" s="113" t="s">
        <v>556</v>
      </c>
      <c r="G118" s="113">
        <v>60.0</v>
      </c>
      <c r="H118" s="115">
        <f>ROUNDDOWN(KUNJUNGAN!$G118/60,0)</f>
        <v>1</v>
      </c>
      <c r="I118" s="116">
        <f t="shared" si="1"/>
        <v>0</v>
      </c>
      <c r="J118" s="116">
        <f>(KUNJUNGAN!$H118*60)+KUNJUNGAN!$I118</f>
        <v>60</v>
      </c>
      <c r="K118" s="115"/>
      <c r="L118" s="11" t="s">
        <v>284</v>
      </c>
      <c r="M118" s="11"/>
    </row>
    <row r="119" ht="15.75" customHeight="1">
      <c r="A119" s="11">
        <v>177.0</v>
      </c>
      <c r="B119" s="113" t="s">
        <v>52</v>
      </c>
      <c r="C119" s="114">
        <v>1.0</v>
      </c>
      <c r="D119" s="113" t="s">
        <v>547</v>
      </c>
      <c r="E119" s="113" t="s">
        <v>557</v>
      </c>
      <c r="F119" s="113" t="s">
        <v>558</v>
      </c>
      <c r="G119" s="113">
        <v>142.0</v>
      </c>
      <c r="H119" s="115">
        <f>ROUNDDOWN(KUNJUNGAN!$G119/60,0)</f>
        <v>2</v>
      </c>
      <c r="I119" s="116">
        <f t="shared" si="1"/>
        <v>22</v>
      </c>
      <c r="J119" s="116">
        <f>(KUNJUNGAN!$H119*60)+KUNJUNGAN!$I119</f>
        <v>142</v>
      </c>
      <c r="K119" s="115"/>
      <c r="L119" s="11" t="s">
        <v>284</v>
      </c>
      <c r="M119" s="11"/>
    </row>
    <row r="120" ht="15.75" customHeight="1">
      <c r="A120" s="11">
        <v>178.0</v>
      </c>
      <c r="B120" s="113" t="s">
        <v>52</v>
      </c>
      <c r="C120" s="114">
        <v>1.0</v>
      </c>
      <c r="D120" s="113" t="s">
        <v>547</v>
      </c>
      <c r="E120" s="113" t="s">
        <v>559</v>
      </c>
      <c r="F120" s="113" t="s">
        <v>560</v>
      </c>
      <c r="G120" s="113">
        <v>76.0</v>
      </c>
      <c r="H120" s="115">
        <f>ROUNDDOWN(KUNJUNGAN!$G120/60,0)</f>
        <v>1</v>
      </c>
      <c r="I120" s="116">
        <f t="shared" si="1"/>
        <v>16</v>
      </c>
      <c r="J120" s="116">
        <f>(KUNJUNGAN!$H120*60)+KUNJUNGAN!$I120</f>
        <v>76</v>
      </c>
      <c r="K120" s="115"/>
      <c r="L120" s="11" t="s">
        <v>284</v>
      </c>
      <c r="M120" s="11"/>
    </row>
    <row r="121" ht="15.75" customHeight="1">
      <c r="A121" s="11">
        <v>179.0</v>
      </c>
      <c r="B121" s="113" t="s">
        <v>52</v>
      </c>
      <c r="C121" s="114">
        <v>1.0</v>
      </c>
      <c r="D121" s="113" t="s">
        <v>547</v>
      </c>
      <c r="E121" s="113" t="s">
        <v>561</v>
      </c>
      <c r="F121" s="113" t="s">
        <v>562</v>
      </c>
      <c r="G121" s="113">
        <v>86.0</v>
      </c>
      <c r="H121" s="115">
        <f>ROUNDDOWN(KUNJUNGAN!$G121/60,0)</f>
        <v>1</v>
      </c>
      <c r="I121" s="116">
        <f t="shared" si="1"/>
        <v>26</v>
      </c>
      <c r="J121" s="116">
        <f>(KUNJUNGAN!$H121*60)+KUNJUNGAN!$I121</f>
        <v>86</v>
      </c>
      <c r="K121" s="115"/>
      <c r="L121" s="11" t="s">
        <v>284</v>
      </c>
      <c r="M121" s="11"/>
    </row>
    <row r="122" ht="15.75" customHeight="1">
      <c r="A122" s="11">
        <v>180.0</v>
      </c>
      <c r="B122" s="113" t="s">
        <v>52</v>
      </c>
      <c r="C122" s="114">
        <v>1.0</v>
      </c>
      <c r="D122" s="113" t="s">
        <v>547</v>
      </c>
      <c r="E122" s="113" t="s">
        <v>563</v>
      </c>
      <c r="F122" s="113" t="s">
        <v>564</v>
      </c>
      <c r="G122" s="113">
        <v>111.0</v>
      </c>
      <c r="H122" s="115">
        <f>ROUNDDOWN(KUNJUNGAN!$G122/60,0)</f>
        <v>1</v>
      </c>
      <c r="I122" s="116">
        <f t="shared" si="1"/>
        <v>51</v>
      </c>
      <c r="J122" s="116">
        <f>(KUNJUNGAN!$H122*60)+KUNJUNGAN!$I122</f>
        <v>111</v>
      </c>
      <c r="K122" s="115"/>
      <c r="L122" s="11" t="s">
        <v>284</v>
      </c>
      <c r="M122" s="11"/>
    </row>
    <row r="123" ht="15.75" customHeight="1">
      <c r="A123" s="11">
        <v>181.0</v>
      </c>
      <c r="B123" s="113" t="s">
        <v>52</v>
      </c>
      <c r="C123" s="114">
        <v>1.0</v>
      </c>
      <c r="D123" s="113" t="s">
        <v>565</v>
      </c>
      <c r="E123" s="113" t="s">
        <v>566</v>
      </c>
      <c r="F123" s="113" t="s">
        <v>567</v>
      </c>
      <c r="G123" s="113">
        <v>60.0</v>
      </c>
      <c r="H123" s="115">
        <f>ROUNDDOWN(KUNJUNGAN!$G123/60,0)</f>
        <v>1</v>
      </c>
      <c r="I123" s="116">
        <f t="shared" si="1"/>
        <v>0</v>
      </c>
      <c r="J123" s="116">
        <f>(KUNJUNGAN!$H123*60)+KUNJUNGAN!$I123</f>
        <v>60</v>
      </c>
      <c r="K123" s="115"/>
      <c r="L123" s="11" t="s">
        <v>284</v>
      </c>
      <c r="M123" s="11"/>
    </row>
    <row r="124" ht="15.75" customHeight="1">
      <c r="A124" s="11">
        <v>73.0</v>
      </c>
      <c r="B124" s="113" t="s">
        <v>52</v>
      </c>
      <c r="C124" s="114">
        <v>1.0</v>
      </c>
      <c r="D124" s="113" t="s">
        <v>565</v>
      </c>
      <c r="E124" s="118" t="s">
        <v>568</v>
      </c>
      <c r="F124" s="113" t="s">
        <v>569</v>
      </c>
      <c r="G124" s="113">
        <v>60.0</v>
      </c>
      <c r="H124" s="115">
        <f>ROUNDDOWN(KUNJUNGAN!$G124/60,0)</f>
        <v>1</v>
      </c>
      <c r="I124" s="116">
        <f t="shared" si="1"/>
        <v>0</v>
      </c>
      <c r="J124" s="116">
        <f>(KUNJUNGAN!$H124*60)+KUNJUNGAN!$I124</f>
        <v>60</v>
      </c>
      <c r="K124" s="115"/>
      <c r="L124" s="11" t="s">
        <v>284</v>
      </c>
      <c r="M124" s="11"/>
      <c r="N124" s="122"/>
    </row>
    <row r="125" ht="15.75" customHeight="1">
      <c r="A125" s="11">
        <v>74.0</v>
      </c>
      <c r="B125" s="113" t="s">
        <v>52</v>
      </c>
      <c r="C125" s="114">
        <v>1.0</v>
      </c>
      <c r="D125" s="113" t="s">
        <v>565</v>
      </c>
      <c r="E125" s="118" t="s">
        <v>570</v>
      </c>
      <c r="F125" s="113" t="s">
        <v>571</v>
      </c>
      <c r="G125" s="113">
        <v>154.0</v>
      </c>
      <c r="H125" s="115">
        <f>ROUNDDOWN(KUNJUNGAN!$G125/60,0)</f>
        <v>2</v>
      </c>
      <c r="I125" s="116">
        <f t="shared" si="1"/>
        <v>34</v>
      </c>
      <c r="J125" s="116">
        <f>(KUNJUNGAN!$H125*60)+KUNJUNGAN!$I125</f>
        <v>154</v>
      </c>
      <c r="K125" s="115"/>
      <c r="L125" s="11" t="s">
        <v>284</v>
      </c>
      <c r="M125" s="11"/>
      <c r="N125" s="122"/>
    </row>
    <row r="126" ht="15.75" customHeight="1">
      <c r="A126" s="11">
        <v>75.0</v>
      </c>
      <c r="B126" s="113" t="s">
        <v>52</v>
      </c>
      <c r="C126" s="114">
        <v>1.0</v>
      </c>
      <c r="D126" s="113" t="s">
        <v>572</v>
      </c>
      <c r="E126" s="118" t="s">
        <v>573</v>
      </c>
      <c r="F126" s="113" t="s">
        <v>574</v>
      </c>
      <c r="G126" s="113">
        <v>180.0</v>
      </c>
      <c r="H126" s="115">
        <f>ROUNDDOWN(KUNJUNGAN!$G126/60,0)</f>
        <v>3</v>
      </c>
      <c r="I126" s="116">
        <f t="shared" si="1"/>
        <v>0</v>
      </c>
      <c r="J126" s="116">
        <f>(KUNJUNGAN!$H126*60)+KUNJUNGAN!$I126</f>
        <v>180</v>
      </c>
      <c r="K126" s="115"/>
      <c r="L126" s="11" t="s">
        <v>284</v>
      </c>
      <c r="M126" s="11"/>
      <c r="N126" s="122"/>
    </row>
    <row r="127" ht="15.75" customHeight="1">
      <c r="A127" s="11">
        <v>76.0</v>
      </c>
      <c r="B127" s="113" t="s">
        <v>52</v>
      </c>
      <c r="C127" s="114">
        <v>1.0</v>
      </c>
      <c r="D127" s="113" t="s">
        <v>575</v>
      </c>
      <c r="E127" s="118" t="s">
        <v>576</v>
      </c>
      <c r="F127" s="113" t="s">
        <v>577</v>
      </c>
      <c r="G127" s="113">
        <v>60.0</v>
      </c>
      <c r="H127" s="115">
        <f>ROUNDDOWN(KUNJUNGAN!$G127/60,0)</f>
        <v>1</v>
      </c>
      <c r="I127" s="116">
        <f t="shared" si="1"/>
        <v>0</v>
      </c>
      <c r="J127" s="116">
        <f>(KUNJUNGAN!$H127*60)+KUNJUNGAN!$I127</f>
        <v>60</v>
      </c>
      <c r="K127" s="115"/>
      <c r="L127" s="11" t="s">
        <v>284</v>
      </c>
      <c r="M127" s="11"/>
      <c r="N127" s="122"/>
    </row>
    <row r="128" ht="15.75" customHeight="1">
      <c r="A128" s="11">
        <v>77.0</v>
      </c>
      <c r="B128" s="113" t="s">
        <v>52</v>
      </c>
      <c r="C128" s="114">
        <v>1.0</v>
      </c>
      <c r="D128" s="113" t="s">
        <v>575</v>
      </c>
      <c r="E128" s="118" t="s">
        <v>578</v>
      </c>
      <c r="F128" s="113" t="s">
        <v>579</v>
      </c>
      <c r="G128" s="113">
        <v>60.0</v>
      </c>
      <c r="H128" s="115">
        <f>ROUNDDOWN(KUNJUNGAN!$G128/60,0)</f>
        <v>1</v>
      </c>
      <c r="I128" s="116">
        <f t="shared" si="1"/>
        <v>0</v>
      </c>
      <c r="J128" s="116">
        <f>(KUNJUNGAN!$H128*60)+KUNJUNGAN!$I128</f>
        <v>60</v>
      </c>
      <c r="K128" s="115"/>
      <c r="L128" s="11" t="s">
        <v>284</v>
      </c>
      <c r="M128" s="11"/>
      <c r="N128" s="122"/>
    </row>
    <row r="129" ht="15.75" customHeight="1">
      <c r="A129" s="11">
        <v>78.0</v>
      </c>
      <c r="B129" s="113" t="s">
        <v>52</v>
      </c>
      <c r="C129" s="114">
        <v>1.0</v>
      </c>
      <c r="D129" s="113" t="s">
        <v>580</v>
      </c>
      <c r="E129" s="118" t="s">
        <v>581</v>
      </c>
      <c r="F129" s="113" t="s">
        <v>582</v>
      </c>
      <c r="G129" s="113">
        <v>99.0</v>
      </c>
      <c r="H129" s="115">
        <f>ROUNDDOWN(KUNJUNGAN!$G129/60,0)</f>
        <v>1</v>
      </c>
      <c r="I129" s="116">
        <f t="shared" si="1"/>
        <v>39</v>
      </c>
      <c r="J129" s="116">
        <f>(KUNJUNGAN!$H129*60)+KUNJUNGAN!$I129</f>
        <v>99</v>
      </c>
      <c r="K129" s="115"/>
      <c r="L129" s="11" t="s">
        <v>284</v>
      </c>
      <c r="M129" s="11"/>
      <c r="N129" s="122"/>
    </row>
    <row r="130" ht="15.75" customHeight="1">
      <c r="A130" s="11">
        <v>79.0</v>
      </c>
      <c r="B130" s="113" t="s">
        <v>52</v>
      </c>
      <c r="C130" s="114">
        <v>1.0</v>
      </c>
      <c r="D130" s="113" t="s">
        <v>583</v>
      </c>
      <c r="E130" s="118" t="s">
        <v>584</v>
      </c>
      <c r="F130" s="113" t="s">
        <v>585</v>
      </c>
      <c r="G130" s="113">
        <v>60.0</v>
      </c>
      <c r="H130" s="115">
        <f>ROUNDDOWN(KUNJUNGAN!$G130/60,0)</f>
        <v>1</v>
      </c>
      <c r="I130" s="116">
        <f t="shared" si="1"/>
        <v>0</v>
      </c>
      <c r="J130" s="116">
        <f>(KUNJUNGAN!$H130*60)+KUNJUNGAN!$I130</f>
        <v>60</v>
      </c>
      <c r="K130" s="115"/>
      <c r="L130" s="11" t="s">
        <v>284</v>
      </c>
      <c r="M130" s="11"/>
      <c r="N130" s="122"/>
    </row>
    <row r="131" ht="15.75" customHeight="1">
      <c r="A131" s="11">
        <v>80.0</v>
      </c>
      <c r="B131" s="113" t="s">
        <v>52</v>
      </c>
      <c r="C131" s="114">
        <v>1.0</v>
      </c>
      <c r="D131" s="113" t="s">
        <v>583</v>
      </c>
      <c r="E131" s="118" t="s">
        <v>586</v>
      </c>
      <c r="F131" s="113" t="s">
        <v>587</v>
      </c>
      <c r="G131" s="113">
        <v>60.0</v>
      </c>
      <c r="H131" s="115">
        <f>ROUNDDOWN(KUNJUNGAN!$G131/60,0)</f>
        <v>1</v>
      </c>
      <c r="I131" s="116">
        <f t="shared" si="1"/>
        <v>0</v>
      </c>
      <c r="J131" s="116">
        <f>(KUNJUNGAN!$H131*60)+KUNJUNGAN!$I131</f>
        <v>60</v>
      </c>
      <c r="K131" s="115"/>
      <c r="L131" s="11" t="s">
        <v>284</v>
      </c>
      <c r="M131" s="11"/>
      <c r="N131" s="122"/>
    </row>
    <row r="132" ht="15.75" customHeight="1">
      <c r="A132" s="11">
        <v>81.0</v>
      </c>
      <c r="B132" s="113" t="s">
        <v>52</v>
      </c>
      <c r="C132" s="114">
        <v>1.0</v>
      </c>
      <c r="D132" s="113" t="s">
        <v>588</v>
      </c>
      <c r="E132" s="118" t="s">
        <v>589</v>
      </c>
      <c r="F132" s="113" t="s">
        <v>590</v>
      </c>
      <c r="G132" s="113">
        <v>60.0</v>
      </c>
      <c r="H132" s="115">
        <f>ROUNDDOWN(KUNJUNGAN!$G132/60,0)</f>
        <v>1</v>
      </c>
      <c r="I132" s="116">
        <f t="shared" si="1"/>
        <v>0</v>
      </c>
      <c r="J132" s="116">
        <f>(KUNJUNGAN!$H132*60)+KUNJUNGAN!$I132</f>
        <v>60</v>
      </c>
      <c r="K132" s="115"/>
      <c r="L132" s="11" t="s">
        <v>284</v>
      </c>
      <c r="M132" s="11"/>
      <c r="N132" s="122"/>
    </row>
    <row r="133" ht="15.75" customHeight="1">
      <c r="A133" s="11">
        <v>82.0</v>
      </c>
      <c r="B133" s="113" t="s">
        <v>52</v>
      </c>
      <c r="C133" s="114">
        <v>1.0</v>
      </c>
      <c r="D133" s="113" t="s">
        <v>588</v>
      </c>
      <c r="E133" s="118" t="s">
        <v>591</v>
      </c>
      <c r="F133" s="113" t="s">
        <v>592</v>
      </c>
      <c r="G133" s="113">
        <v>140.0</v>
      </c>
      <c r="H133" s="115">
        <f>ROUNDDOWN(KUNJUNGAN!$G133/60,0)</f>
        <v>2</v>
      </c>
      <c r="I133" s="116">
        <f t="shared" si="1"/>
        <v>20</v>
      </c>
      <c r="J133" s="116">
        <f>(KUNJUNGAN!$H133*60)+KUNJUNGAN!$I133</f>
        <v>140</v>
      </c>
      <c r="K133" s="115"/>
      <c r="L133" s="11" t="s">
        <v>284</v>
      </c>
      <c r="M133" s="11"/>
      <c r="N133" s="122"/>
    </row>
    <row r="134" ht="15.75" customHeight="1">
      <c r="A134" s="11">
        <v>83.0</v>
      </c>
      <c r="B134" s="113" t="s">
        <v>52</v>
      </c>
      <c r="C134" s="114">
        <v>1.0</v>
      </c>
      <c r="D134" s="113" t="s">
        <v>593</v>
      </c>
      <c r="E134" s="118" t="s">
        <v>594</v>
      </c>
      <c r="F134" s="113" t="s">
        <v>595</v>
      </c>
      <c r="G134" s="113">
        <v>60.0</v>
      </c>
      <c r="H134" s="115">
        <f>ROUNDDOWN(KUNJUNGAN!$G134/60,0)</f>
        <v>1</v>
      </c>
      <c r="I134" s="116">
        <f t="shared" si="1"/>
        <v>0</v>
      </c>
      <c r="J134" s="116">
        <f>(KUNJUNGAN!$H134*60)+KUNJUNGAN!$I134</f>
        <v>60</v>
      </c>
      <c r="K134" s="115"/>
      <c r="L134" s="11" t="s">
        <v>284</v>
      </c>
      <c r="M134" s="11"/>
      <c r="N134" s="122"/>
    </row>
    <row r="135" ht="15.75" customHeight="1">
      <c r="A135" s="11">
        <v>84.0</v>
      </c>
      <c r="B135" s="113" t="s">
        <v>52</v>
      </c>
      <c r="C135" s="114">
        <v>1.0</v>
      </c>
      <c r="D135" s="113" t="s">
        <v>593</v>
      </c>
      <c r="E135" s="118" t="s">
        <v>596</v>
      </c>
      <c r="F135" s="113" t="s">
        <v>597</v>
      </c>
      <c r="G135" s="113">
        <v>60.0</v>
      </c>
      <c r="H135" s="115">
        <f>ROUNDDOWN(KUNJUNGAN!$G135/60,0)</f>
        <v>1</v>
      </c>
      <c r="I135" s="116">
        <f t="shared" si="1"/>
        <v>0</v>
      </c>
      <c r="J135" s="116">
        <f>(KUNJUNGAN!$H135*60)+KUNJUNGAN!$I135</f>
        <v>60</v>
      </c>
      <c r="K135" s="115"/>
      <c r="L135" s="11" t="s">
        <v>284</v>
      </c>
      <c r="M135" s="11"/>
      <c r="N135" s="122"/>
    </row>
    <row r="136" ht="15.75" customHeight="1">
      <c r="A136" s="11">
        <v>85.0</v>
      </c>
      <c r="B136" s="113" t="s">
        <v>52</v>
      </c>
      <c r="C136" s="114">
        <v>1.0</v>
      </c>
      <c r="D136" s="113" t="s">
        <v>598</v>
      </c>
      <c r="E136" s="118" t="s">
        <v>599</v>
      </c>
      <c r="F136" s="113" t="s">
        <v>600</v>
      </c>
      <c r="G136" s="113">
        <v>60.0</v>
      </c>
      <c r="H136" s="115">
        <f>ROUNDDOWN(KUNJUNGAN!$G136/60,0)</f>
        <v>1</v>
      </c>
      <c r="I136" s="116">
        <f t="shared" si="1"/>
        <v>0</v>
      </c>
      <c r="J136" s="116">
        <f>(KUNJUNGAN!$H136*60)+KUNJUNGAN!$I136</f>
        <v>60</v>
      </c>
      <c r="K136" s="115"/>
      <c r="L136" s="11" t="s">
        <v>284</v>
      </c>
      <c r="M136" s="11"/>
      <c r="N136" s="122"/>
    </row>
    <row r="137" ht="15.75" customHeight="1">
      <c r="A137" s="11">
        <v>86.0</v>
      </c>
      <c r="B137" s="113" t="s">
        <v>52</v>
      </c>
      <c r="C137" s="114">
        <v>1.0</v>
      </c>
      <c r="D137" s="113" t="s">
        <v>598</v>
      </c>
      <c r="E137" s="118" t="s">
        <v>601</v>
      </c>
      <c r="F137" s="113" t="s">
        <v>602</v>
      </c>
      <c r="G137" s="113">
        <v>60.0</v>
      </c>
      <c r="H137" s="115">
        <f>ROUNDDOWN(KUNJUNGAN!$G137/60,0)</f>
        <v>1</v>
      </c>
      <c r="I137" s="116">
        <f t="shared" si="1"/>
        <v>0</v>
      </c>
      <c r="J137" s="116">
        <f>(KUNJUNGAN!$H137*60)+KUNJUNGAN!$I137</f>
        <v>60</v>
      </c>
      <c r="K137" s="115"/>
      <c r="L137" s="11" t="s">
        <v>284</v>
      </c>
      <c r="M137" s="11"/>
      <c r="N137" s="122"/>
    </row>
    <row r="138" ht="15.75" customHeight="1">
      <c r="A138" s="11">
        <v>87.0</v>
      </c>
      <c r="B138" s="113" t="s">
        <v>52</v>
      </c>
      <c r="C138" s="114">
        <v>1.0</v>
      </c>
      <c r="D138" s="113" t="s">
        <v>598</v>
      </c>
      <c r="E138" s="118" t="s">
        <v>603</v>
      </c>
      <c r="F138" s="113" t="s">
        <v>604</v>
      </c>
      <c r="G138" s="113">
        <v>60.0</v>
      </c>
      <c r="H138" s="115">
        <f>ROUNDDOWN(KUNJUNGAN!$G138/60,0)</f>
        <v>1</v>
      </c>
      <c r="I138" s="116">
        <f t="shared" si="1"/>
        <v>0</v>
      </c>
      <c r="J138" s="116">
        <f>(KUNJUNGAN!$H138*60)+KUNJUNGAN!$I138</f>
        <v>60</v>
      </c>
      <c r="K138" s="115"/>
      <c r="L138" s="11" t="s">
        <v>284</v>
      </c>
      <c r="M138" s="11"/>
      <c r="N138" s="122"/>
    </row>
    <row r="139" ht="15.75" customHeight="1">
      <c r="A139" s="11">
        <v>88.0</v>
      </c>
      <c r="B139" s="113" t="s">
        <v>52</v>
      </c>
      <c r="C139" s="114">
        <v>1.0</v>
      </c>
      <c r="D139" s="113" t="s">
        <v>605</v>
      </c>
      <c r="E139" s="118" t="s">
        <v>606</v>
      </c>
      <c r="F139" s="113" t="s">
        <v>607</v>
      </c>
      <c r="G139" s="113">
        <v>60.0</v>
      </c>
      <c r="H139" s="115">
        <f>ROUNDDOWN(KUNJUNGAN!$G139/60,0)</f>
        <v>1</v>
      </c>
      <c r="I139" s="116">
        <f t="shared" si="1"/>
        <v>0</v>
      </c>
      <c r="J139" s="116">
        <f>(KUNJUNGAN!$H139*60)+KUNJUNGAN!$I139</f>
        <v>60</v>
      </c>
      <c r="K139" s="115"/>
      <c r="L139" s="11" t="s">
        <v>284</v>
      </c>
      <c r="M139" s="11"/>
      <c r="N139" s="122"/>
    </row>
    <row r="140" ht="15.75" customHeight="1">
      <c r="A140" s="11">
        <v>89.0</v>
      </c>
      <c r="B140" s="113" t="s">
        <v>52</v>
      </c>
      <c r="C140" s="114">
        <v>1.0</v>
      </c>
      <c r="D140" s="113" t="s">
        <v>605</v>
      </c>
      <c r="E140" s="118" t="s">
        <v>608</v>
      </c>
      <c r="F140" s="113" t="s">
        <v>609</v>
      </c>
      <c r="G140" s="113">
        <v>60.0</v>
      </c>
      <c r="H140" s="115">
        <f>ROUNDDOWN(KUNJUNGAN!$G140/60,0)</f>
        <v>1</v>
      </c>
      <c r="I140" s="116">
        <f t="shared" si="1"/>
        <v>0</v>
      </c>
      <c r="J140" s="116">
        <f>(KUNJUNGAN!$H140*60)+KUNJUNGAN!$I140</f>
        <v>60</v>
      </c>
      <c r="K140" s="115"/>
      <c r="L140" s="11" t="s">
        <v>284</v>
      </c>
      <c r="M140" s="11"/>
      <c r="N140" s="122"/>
    </row>
    <row r="141" ht="15.75" customHeight="1">
      <c r="A141" s="11">
        <v>90.0</v>
      </c>
      <c r="B141" s="113" t="s">
        <v>52</v>
      </c>
      <c r="C141" s="114">
        <v>1.0</v>
      </c>
      <c r="D141" s="113" t="s">
        <v>610</v>
      </c>
      <c r="E141" s="118" t="s">
        <v>611</v>
      </c>
      <c r="F141" s="113" t="s">
        <v>612</v>
      </c>
      <c r="G141" s="113">
        <v>60.0</v>
      </c>
      <c r="H141" s="115">
        <f>ROUNDDOWN(KUNJUNGAN!$G141/60,0)</f>
        <v>1</v>
      </c>
      <c r="I141" s="116">
        <f t="shared" si="1"/>
        <v>0</v>
      </c>
      <c r="J141" s="116">
        <f>(KUNJUNGAN!$H141*60)+KUNJUNGAN!$I141</f>
        <v>60</v>
      </c>
      <c r="K141" s="115"/>
      <c r="L141" s="11" t="s">
        <v>284</v>
      </c>
      <c r="M141" s="11"/>
      <c r="N141" s="122"/>
    </row>
    <row r="142" ht="15.75" customHeight="1">
      <c r="A142" s="11">
        <v>91.0</v>
      </c>
      <c r="B142" s="113" t="s">
        <v>52</v>
      </c>
      <c r="C142" s="114">
        <v>1.0</v>
      </c>
      <c r="D142" s="113" t="s">
        <v>613</v>
      </c>
      <c r="E142" s="118" t="s">
        <v>614</v>
      </c>
      <c r="F142" s="113" t="s">
        <v>615</v>
      </c>
      <c r="G142" s="113">
        <v>60.0</v>
      </c>
      <c r="H142" s="115">
        <f>ROUNDDOWN(KUNJUNGAN!$G142/60,0)</f>
        <v>1</v>
      </c>
      <c r="I142" s="116">
        <f t="shared" si="1"/>
        <v>0</v>
      </c>
      <c r="J142" s="116">
        <f>(KUNJUNGAN!$H142*60)+KUNJUNGAN!$I142</f>
        <v>60</v>
      </c>
      <c r="K142" s="115"/>
      <c r="L142" s="11" t="s">
        <v>284</v>
      </c>
      <c r="M142" s="11"/>
      <c r="N142" s="122"/>
    </row>
    <row r="143" ht="15.75" customHeight="1">
      <c r="A143" s="11">
        <v>92.0</v>
      </c>
      <c r="B143" s="113" t="s">
        <v>52</v>
      </c>
      <c r="C143" s="114">
        <v>1.0</v>
      </c>
      <c r="D143" s="113" t="s">
        <v>616</v>
      </c>
      <c r="E143" s="118" t="s">
        <v>617</v>
      </c>
      <c r="F143" s="113" t="s">
        <v>473</v>
      </c>
      <c r="G143" s="113">
        <v>60.0</v>
      </c>
      <c r="H143" s="115">
        <f>ROUNDDOWN(KUNJUNGAN!$G143/60,0)</f>
        <v>1</v>
      </c>
      <c r="I143" s="116">
        <f t="shared" si="1"/>
        <v>0</v>
      </c>
      <c r="J143" s="116">
        <f>(KUNJUNGAN!$H143*60)+KUNJUNGAN!$I143</f>
        <v>60</v>
      </c>
      <c r="K143" s="115"/>
      <c r="L143" s="11" t="s">
        <v>284</v>
      </c>
      <c r="M143" s="11"/>
      <c r="N143" s="122"/>
    </row>
    <row r="144" ht="15.75" customHeight="1">
      <c r="A144" s="11">
        <v>93.0</v>
      </c>
      <c r="B144" s="113" t="s">
        <v>52</v>
      </c>
      <c r="C144" s="114">
        <v>1.0</v>
      </c>
      <c r="D144" s="113" t="s">
        <v>618</v>
      </c>
      <c r="E144" s="118" t="s">
        <v>619</v>
      </c>
      <c r="F144" s="113" t="s">
        <v>620</v>
      </c>
      <c r="G144" s="113">
        <v>60.0</v>
      </c>
      <c r="H144" s="115">
        <f>ROUNDDOWN(KUNJUNGAN!$G144/60,0)</f>
        <v>1</v>
      </c>
      <c r="I144" s="116">
        <f t="shared" si="1"/>
        <v>0</v>
      </c>
      <c r="J144" s="116">
        <f>(KUNJUNGAN!$H144*60)+KUNJUNGAN!$I144</f>
        <v>60</v>
      </c>
      <c r="K144" s="115"/>
      <c r="L144" s="11" t="s">
        <v>284</v>
      </c>
      <c r="M144" s="11"/>
      <c r="N144" s="65"/>
    </row>
    <row r="145" ht="15.75" customHeight="1">
      <c r="A145" s="11">
        <v>94.0</v>
      </c>
      <c r="B145" s="113" t="s">
        <v>52</v>
      </c>
      <c r="C145" s="114">
        <v>1.0</v>
      </c>
      <c r="D145" s="113" t="s">
        <v>618</v>
      </c>
      <c r="E145" s="118" t="s">
        <v>621</v>
      </c>
      <c r="F145" s="113" t="s">
        <v>622</v>
      </c>
      <c r="G145" s="113">
        <v>60.0</v>
      </c>
      <c r="H145" s="115">
        <f>ROUNDDOWN(KUNJUNGAN!$G145/60,0)</f>
        <v>1</v>
      </c>
      <c r="I145" s="116">
        <f t="shared" si="1"/>
        <v>0</v>
      </c>
      <c r="J145" s="116">
        <f>(KUNJUNGAN!$H145*60)+KUNJUNGAN!$I145</f>
        <v>60</v>
      </c>
      <c r="K145" s="115"/>
      <c r="L145" s="11" t="s">
        <v>284</v>
      </c>
      <c r="M145" s="11"/>
      <c r="N145" s="65"/>
    </row>
    <row r="146" ht="15.75" customHeight="1">
      <c r="A146" s="11">
        <v>133.0</v>
      </c>
      <c r="B146" s="113" t="s">
        <v>52</v>
      </c>
      <c r="C146" s="114">
        <v>1.0</v>
      </c>
      <c r="D146" s="113" t="s">
        <v>623</v>
      </c>
      <c r="E146" s="118" t="s">
        <v>624</v>
      </c>
      <c r="F146" s="113" t="s">
        <v>625</v>
      </c>
      <c r="G146" s="113">
        <v>60.0</v>
      </c>
      <c r="H146" s="115">
        <f>ROUNDDOWN(KUNJUNGAN!$G146/60,0)</f>
        <v>1</v>
      </c>
      <c r="I146" s="116">
        <f t="shared" si="1"/>
        <v>0</v>
      </c>
      <c r="J146" s="116">
        <f>(KUNJUNGAN!$H146*60)+KUNJUNGAN!$I146</f>
        <v>60</v>
      </c>
      <c r="K146" s="115"/>
      <c r="L146" s="11" t="s">
        <v>284</v>
      </c>
      <c r="M146" s="11"/>
      <c r="N146" s="65"/>
    </row>
    <row r="147" ht="15.75" customHeight="1">
      <c r="A147" s="11">
        <v>95.0</v>
      </c>
      <c r="B147" s="113" t="s">
        <v>52</v>
      </c>
      <c r="C147" s="114">
        <v>1.0</v>
      </c>
      <c r="D147" s="113" t="s">
        <v>623</v>
      </c>
      <c r="E147" s="118" t="s">
        <v>626</v>
      </c>
      <c r="F147" s="113" t="s">
        <v>627</v>
      </c>
      <c r="G147" s="113">
        <v>118.0</v>
      </c>
      <c r="H147" s="115">
        <f>ROUNDDOWN(KUNJUNGAN!$G147/60,0)</f>
        <v>1</v>
      </c>
      <c r="I147" s="116">
        <f t="shared" si="1"/>
        <v>58</v>
      </c>
      <c r="J147" s="116">
        <f>(KUNJUNGAN!$H147*60)+KUNJUNGAN!$I147</f>
        <v>118</v>
      </c>
      <c r="K147" s="115"/>
      <c r="L147" s="11" t="s">
        <v>284</v>
      </c>
      <c r="M147" s="11"/>
      <c r="N147" s="65"/>
    </row>
    <row r="148" ht="15.75" customHeight="1">
      <c r="A148" s="11">
        <v>96.0</v>
      </c>
      <c r="B148" s="113" t="s">
        <v>52</v>
      </c>
      <c r="C148" s="114">
        <v>1.0</v>
      </c>
      <c r="D148" s="113" t="s">
        <v>628</v>
      </c>
      <c r="E148" s="118" t="s">
        <v>629</v>
      </c>
      <c r="F148" s="113" t="s">
        <v>630</v>
      </c>
      <c r="G148" s="113">
        <v>180.0</v>
      </c>
      <c r="H148" s="115">
        <f>ROUNDDOWN(KUNJUNGAN!$G148/60,0)</f>
        <v>3</v>
      </c>
      <c r="I148" s="116">
        <f t="shared" si="1"/>
        <v>0</v>
      </c>
      <c r="J148" s="116">
        <f>(KUNJUNGAN!$H148*60)+KUNJUNGAN!$I148</f>
        <v>180</v>
      </c>
      <c r="K148" s="115"/>
      <c r="L148" s="11" t="s">
        <v>284</v>
      </c>
      <c r="M148" s="11"/>
      <c r="N148" s="65"/>
    </row>
    <row r="149" ht="15.75" customHeight="1">
      <c r="A149" s="11">
        <v>97.0</v>
      </c>
      <c r="B149" s="113" t="s">
        <v>52</v>
      </c>
      <c r="C149" s="114">
        <v>1.0</v>
      </c>
      <c r="D149" s="113" t="s">
        <v>628</v>
      </c>
      <c r="E149" s="118" t="s">
        <v>544</v>
      </c>
      <c r="F149" s="113" t="s">
        <v>631</v>
      </c>
      <c r="G149" s="113">
        <v>180.0</v>
      </c>
      <c r="H149" s="115">
        <f>ROUNDDOWN(KUNJUNGAN!$G149/60,0)</f>
        <v>3</v>
      </c>
      <c r="I149" s="116">
        <f t="shared" si="1"/>
        <v>0</v>
      </c>
      <c r="J149" s="116">
        <f>(KUNJUNGAN!$H149*60)+KUNJUNGAN!$I149</f>
        <v>180</v>
      </c>
      <c r="K149" s="115"/>
      <c r="L149" s="11" t="s">
        <v>284</v>
      </c>
      <c r="M149" s="11"/>
      <c r="N149" s="65"/>
    </row>
    <row r="150" ht="15.75" customHeight="1">
      <c r="A150" s="11">
        <v>98.0</v>
      </c>
      <c r="B150" s="113" t="s">
        <v>52</v>
      </c>
      <c r="C150" s="114">
        <v>1.0</v>
      </c>
      <c r="D150" s="113" t="s">
        <v>628</v>
      </c>
      <c r="E150" s="118" t="s">
        <v>632</v>
      </c>
      <c r="F150" s="113" t="s">
        <v>633</v>
      </c>
      <c r="G150" s="113">
        <v>60.0</v>
      </c>
      <c r="H150" s="115">
        <f>ROUNDDOWN(KUNJUNGAN!$G150/60,0)</f>
        <v>1</v>
      </c>
      <c r="I150" s="116">
        <f t="shared" si="1"/>
        <v>0</v>
      </c>
      <c r="J150" s="116">
        <f>(KUNJUNGAN!$H150*60)+KUNJUNGAN!$I150</f>
        <v>60</v>
      </c>
      <c r="K150" s="115"/>
      <c r="L150" s="11" t="s">
        <v>284</v>
      </c>
      <c r="M150" s="11"/>
      <c r="N150" s="65"/>
    </row>
    <row r="151" ht="15.75" customHeight="1">
      <c r="A151" s="11">
        <v>99.0</v>
      </c>
      <c r="B151" s="113" t="s">
        <v>52</v>
      </c>
      <c r="C151" s="114">
        <v>1.0</v>
      </c>
      <c r="D151" s="113" t="s">
        <v>628</v>
      </c>
      <c r="E151" s="118" t="s">
        <v>634</v>
      </c>
      <c r="F151" s="113" t="s">
        <v>635</v>
      </c>
      <c r="G151" s="113">
        <v>120.0</v>
      </c>
      <c r="H151" s="115">
        <f>ROUNDDOWN(KUNJUNGAN!$G151/60,0)</f>
        <v>2</v>
      </c>
      <c r="I151" s="116">
        <f t="shared" si="1"/>
        <v>0</v>
      </c>
      <c r="J151" s="116">
        <f>(KUNJUNGAN!$H151*60)+KUNJUNGAN!$I151</f>
        <v>120</v>
      </c>
      <c r="K151" s="115"/>
      <c r="L151" s="11" t="s">
        <v>284</v>
      </c>
      <c r="M151" s="11"/>
      <c r="N151" s="65"/>
    </row>
    <row r="152" ht="15.75" customHeight="1">
      <c r="A152" s="11">
        <v>100.0</v>
      </c>
      <c r="B152" s="113" t="s">
        <v>52</v>
      </c>
      <c r="C152" s="114">
        <v>1.0</v>
      </c>
      <c r="D152" s="113" t="s">
        <v>628</v>
      </c>
      <c r="E152" s="118" t="s">
        <v>636</v>
      </c>
      <c r="F152" s="11"/>
      <c r="G152" s="113">
        <v>180.0</v>
      </c>
      <c r="H152" s="115">
        <f>ROUNDDOWN(KUNJUNGAN!$G152/60,0)</f>
        <v>3</v>
      </c>
      <c r="I152" s="116">
        <f t="shared" si="1"/>
        <v>0</v>
      </c>
      <c r="J152" s="116">
        <f>(KUNJUNGAN!$H152*60)+KUNJUNGAN!$I152</f>
        <v>180</v>
      </c>
      <c r="K152" s="115"/>
      <c r="L152" s="11" t="s">
        <v>284</v>
      </c>
      <c r="M152" s="11"/>
      <c r="N152" s="65"/>
    </row>
    <row r="153" ht="15.75" customHeight="1">
      <c r="A153" s="11">
        <v>101.0</v>
      </c>
      <c r="B153" s="113" t="s">
        <v>52</v>
      </c>
      <c r="C153" s="114">
        <v>1.0</v>
      </c>
      <c r="D153" s="113" t="s">
        <v>628</v>
      </c>
      <c r="E153" s="118" t="s">
        <v>637</v>
      </c>
      <c r="F153" s="113" t="s">
        <v>638</v>
      </c>
      <c r="G153" s="113">
        <v>55.0</v>
      </c>
      <c r="H153" s="115">
        <f>ROUNDDOWN(KUNJUNGAN!$G153/60,0)</f>
        <v>0</v>
      </c>
      <c r="I153" s="116">
        <f t="shared" si="1"/>
        <v>55</v>
      </c>
      <c r="J153" s="116">
        <f>(KUNJUNGAN!$H153*60)+KUNJUNGAN!$I153</f>
        <v>55</v>
      </c>
      <c r="K153" s="115"/>
      <c r="L153" s="11" t="s">
        <v>284</v>
      </c>
      <c r="M153" s="11"/>
      <c r="N153" s="65"/>
    </row>
    <row r="154" ht="15.75" customHeight="1">
      <c r="A154" s="11">
        <v>102.0</v>
      </c>
      <c r="B154" s="113" t="s">
        <v>52</v>
      </c>
      <c r="C154" s="114">
        <v>1.0</v>
      </c>
      <c r="D154" s="113" t="s">
        <v>639</v>
      </c>
      <c r="E154" s="118" t="s">
        <v>640</v>
      </c>
      <c r="F154" s="113" t="s">
        <v>641</v>
      </c>
      <c r="G154" s="113">
        <v>90.0</v>
      </c>
      <c r="H154" s="115">
        <f>ROUNDDOWN(KUNJUNGAN!$G154/60,0)</f>
        <v>1</v>
      </c>
      <c r="I154" s="116">
        <f t="shared" si="1"/>
        <v>30</v>
      </c>
      <c r="J154" s="116">
        <f>(KUNJUNGAN!$H154*60)+KUNJUNGAN!$I154</f>
        <v>90</v>
      </c>
      <c r="K154" s="115"/>
      <c r="L154" s="11" t="s">
        <v>284</v>
      </c>
      <c r="M154" s="11"/>
      <c r="N154" s="65"/>
    </row>
    <row r="155" ht="15.75" customHeight="1">
      <c r="A155" s="11">
        <v>103.0</v>
      </c>
      <c r="B155" s="113" t="s">
        <v>52</v>
      </c>
      <c r="C155" s="114">
        <v>1.0</v>
      </c>
      <c r="D155" s="113" t="s">
        <v>639</v>
      </c>
      <c r="E155" s="118" t="s">
        <v>642</v>
      </c>
      <c r="F155" s="113" t="s">
        <v>643</v>
      </c>
      <c r="G155" s="113">
        <v>90.0</v>
      </c>
      <c r="H155" s="115">
        <f>ROUNDDOWN(KUNJUNGAN!$G155/60,0)</f>
        <v>1</v>
      </c>
      <c r="I155" s="116">
        <f t="shared" si="1"/>
        <v>30</v>
      </c>
      <c r="J155" s="116">
        <f>(KUNJUNGAN!$H155*60)+KUNJUNGAN!$I155</f>
        <v>90</v>
      </c>
      <c r="K155" s="115"/>
      <c r="L155" s="11" t="s">
        <v>284</v>
      </c>
      <c r="M155" s="11"/>
      <c r="N155" s="65"/>
    </row>
    <row r="156" ht="15.75" customHeight="1">
      <c r="A156" s="11">
        <v>137.0</v>
      </c>
      <c r="B156" s="113" t="s">
        <v>52</v>
      </c>
      <c r="C156" s="114">
        <v>1.0</v>
      </c>
      <c r="D156" s="113" t="s">
        <v>639</v>
      </c>
      <c r="E156" s="118" t="s">
        <v>644</v>
      </c>
      <c r="F156" s="113" t="s">
        <v>645</v>
      </c>
      <c r="G156" s="113">
        <v>90.0</v>
      </c>
      <c r="H156" s="115">
        <f>ROUNDDOWN(KUNJUNGAN!$G156/60,0)</f>
        <v>1</v>
      </c>
      <c r="I156" s="116">
        <f t="shared" si="1"/>
        <v>30</v>
      </c>
      <c r="J156" s="116">
        <f>(KUNJUNGAN!$H156*60)+KUNJUNGAN!$I156</f>
        <v>90</v>
      </c>
      <c r="K156" s="115"/>
      <c r="L156" s="11" t="s">
        <v>284</v>
      </c>
      <c r="M156" s="11"/>
    </row>
    <row r="157" ht="15.75" customHeight="1">
      <c r="A157" s="11">
        <v>104.0</v>
      </c>
      <c r="B157" s="113" t="s">
        <v>52</v>
      </c>
      <c r="C157" s="114">
        <v>1.0</v>
      </c>
      <c r="D157" s="113" t="s">
        <v>639</v>
      </c>
      <c r="E157" s="118" t="s">
        <v>646</v>
      </c>
      <c r="F157" s="113" t="s">
        <v>647</v>
      </c>
      <c r="G157" s="113">
        <v>90.0</v>
      </c>
      <c r="H157" s="115">
        <f>ROUNDDOWN(KUNJUNGAN!$G157/60,0)</f>
        <v>1</v>
      </c>
      <c r="I157" s="116">
        <f t="shared" si="1"/>
        <v>30</v>
      </c>
      <c r="J157" s="116">
        <f>(KUNJUNGAN!$H157*60)+KUNJUNGAN!$I157</f>
        <v>90</v>
      </c>
      <c r="K157" s="115"/>
      <c r="L157" s="11" t="s">
        <v>284</v>
      </c>
      <c r="M157" s="11"/>
      <c r="N157" s="122"/>
    </row>
    <row r="158" ht="15.75" customHeight="1">
      <c r="A158" s="11">
        <v>105.0</v>
      </c>
      <c r="B158" s="113" t="s">
        <v>52</v>
      </c>
      <c r="C158" s="114">
        <v>1.0</v>
      </c>
      <c r="D158" s="113" t="s">
        <v>648</v>
      </c>
      <c r="E158" s="118" t="s">
        <v>649</v>
      </c>
      <c r="F158" s="113" t="s">
        <v>650</v>
      </c>
      <c r="G158" s="113">
        <v>180.0</v>
      </c>
      <c r="H158" s="115">
        <f>ROUNDDOWN(KUNJUNGAN!$G158/60,0)</f>
        <v>3</v>
      </c>
      <c r="I158" s="116">
        <f t="shared" si="1"/>
        <v>0</v>
      </c>
      <c r="J158" s="116">
        <f>(KUNJUNGAN!$H158*60)+KUNJUNGAN!$I158</f>
        <v>180</v>
      </c>
      <c r="K158" s="115"/>
      <c r="L158" s="11" t="s">
        <v>284</v>
      </c>
      <c r="M158" s="11"/>
      <c r="N158" s="65"/>
    </row>
    <row r="159" ht="15.75" customHeight="1">
      <c r="A159" s="11">
        <v>106.0</v>
      </c>
      <c r="B159" s="113" t="s">
        <v>52</v>
      </c>
      <c r="C159" s="114">
        <v>1.0</v>
      </c>
      <c r="D159" s="113" t="s">
        <v>648</v>
      </c>
      <c r="E159" s="118" t="s">
        <v>651</v>
      </c>
      <c r="F159" s="113" t="s">
        <v>652</v>
      </c>
      <c r="G159" s="113">
        <v>60.0</v>
      </c>
      <c r="H159" s="115">
        <f>ROUNDDOWN(KUNJUNGAN!$G159/60,0)</f>
        <v>1</v>
      </c>
      <c r="I159" s="116">
        <f t="shared" si="1"/>
        <v>0</v>
      </c>
      <c r="J159" s="116">
        <f>(KUNJUNGAN!$H159*60)+KUNJUNGAN!$I159</f>
        <v>60</v>
      </c>
      <c r="K159" s="115"/>
      <c r="L159" s="11" t="s">
        <v>284</v>
      </c>
      <c r="M159" s="11"/>
      <c r="N159" s="123"/>
    </row>
    <row r="160" ht="15.75" customHeight="1">
      <c r="A160" s="11">
        <v>107.0</v>
      </c>
      <c r="B160" s="113" t="s">
        <v>52</v>
      </c>
      <c r="C160" s="114">
        <v>1.0</v>
      </c>
      <c r="D160" s="113" t="s">
        <v>648</v>
      </c>
      <c r="E160" s="118" t="s">
        <v>653</v>
      </c>
      <c r="F160" s="113" t="s">
        <v>654</v>
      </c>
      <c r="G160" s="113">
        <v>60.0</v>
      </c>
      <c r="H160" s="115">
        <f>ROUNDDOWN(KUNJUNGAN!$G160/60,0)</f>
        <v>1</v>
      </c>
      <c r="I160" s="116">
        <f t="shared" si="1"/>
        <v>0</v>
      </c>
      <c r="J160" s="116">
        <f>(KUNJUNGAN!$H160*60)+KUNJUNGAN!$I160</f>
        <v>60</v>
      </c>
      <c r="K160" s="115"/>
      <c r="L160" s="11" t="s">
        <v>284</v>
      </c>
      <c r="M160" s="11"/>
      <c r="N160" s="65"/>
    </row>
    <row r="161" ht="15.75" customHeight="1">
      <c r="A161" s="11">
        <v>139.0</v>
      </c>
      <c r="B161" s="113" t="s">
        <v>52</v>
      </c>
      <c r="C161" s="114">
        <v>1.0</v>
      </c>
      <c r="D161" s="113" t="s">
        <v>648</v>
      </c>
      <c r="E161" s="118" t="s">
        <v>415</v>
      </c>
      <c r="F161" s="113" t="s">
        <v>473</v>
      </c>
      <c r="G161" s="113">
        <v>160.0</v>
      </c>
      <c r="H161" s="115">
        <f>ROUNDDOWN(KUNJUNGAN!$G161/60,0)</f>
        <v>2</v>
      </c>
      <c r="I161" s="116">
        <f t="shared" si="1"/>
        <v>40</v>
      </c>
      <c r="J161" s="116">
        <f>(KUNJUNGAN!$H161*60)+KUNJUNGAN!$I161</f>
        <v>160</v>
      </c>
      <c r="K161" s="115"/>
      <c r="L161" s="11" t="s">
        <v>284</v>
      </c>
      <c r="M161" s="11"/>
    </row>
    <row r="162" ht="15.75" customHeight="1">
      <c r="A162" s="11">
        <v>108.0</v>
      </c>
      <c r="B162" s="113" t="s">
        <v>52</v>
      </c>
      <c r="C162" s="114">
        <v>1.0</v>
      </c>
      <c r="D162" s="113" t="s">
        <v>648</v>
      </c>
      <c r="E162" s="118" t="s">
        <v>655</v>
      </c>
      <c r="F162" s="113" t="s">
        <v>656</v>
      </c>
      <c r="G162" s="113">
        <v>8.0</v>
      </c>
      <c r="H162" s="115">
        <f>ROUNDDOWN(KUNJUNGAN!$G162/60,0)</f>
        <v>0</v>
      </c>
      <c r="I162" s="116">
        <f t="shared" si="1"/>
        <v>8</v>
      </c>
      <c r="J162" s="116">
        <f>(KUNJUNGAN!$H162*60)+KUNJUNGAN!$I162</f>
        <v>8</v>
      </c>
      <c r="K162" s="115"/>
      <c r="L162" s="11" t="s">
        <v>284</v>
      </c>
      <c r="M162" s="11"/>
      <c r="N162" s="65"/>
    </row>
    <row r="163" ht="15.75" customHeight="1">
      <c r="A163" s="11">
        <v>109.0</v>
      </c>
      <c r="B163" s="113" t="s">
        <v>52</v>
      </c>
      <c r="C163" s="114">
        <v>1.0</v>
      </c>
      <c r="D163" s="113" t="s">
        <v>657</v>
      </c>
      <c r="E163" s="118" t="s">
        <v>658</v>
      </c>
      <c r="F163" s="113" t="s">
        <v>659</v>
      </c>
      <c r="G163" s="113">
        <v>60.0</v>
      </c>
      <c r="H163" s="115">
        <f>ROUNDDOWN(KUNJUNGAN!$G163/60,0)</f>
        <v>1</v>
      </c>
      <c r="I163" s="116">
        <f t="shared" si="1"/>
        <v>0</v>
      </c>
      <c r="J163" s="116">
        <f>(KUNJUNGAN!$H163*60)+KUNJUNGAN!$I163</f>
        <v>60</v>
      </c>
      <c r="K163" s="115"/>
      <c r="L163" s="11" t="s">
        <v>284</v>
      </c>
      <c r="M163" s="11"/>
    </row>
    <row r="164" ht="15.75" customHeight="1">
      <c r="A164" s="11">
        <v>110.0</v>
      </c>
      <c r="B164" s="113" t="s">
        <v>52</v>
      </c>
      <c r="C164" s="114">
        <v>1.0</v>
      </c>
      <c r="D164" s="113" t="s">
        <v>657</v>
      </c>
      <c r="E164" s="118" t="s">
        <v>660</v>
      </c>
      <c r="F164" s="113" t="s">
        <v>661</v>
      </c>
      <c r="G164" s="113">
        <v>90.0</v>
      </c>
      <c r="H164" s="115">
        <f>ROUNDDOWN(KUNJUNGAN!$G164/60,0)</f>
        <v>1</v>
      </c>
      <c r="I164" s="116">
        <f t="shared" si="1"/>
        <v>30</v>
      </c>
      <c r="J164" s="116">
        <f>(KUNJUNGAN!$H164*60)+KUNJUNGAN!$I164</f>
        <v>90</v>
      </c>
      <c r="K164" s="115"/>
      <c r="L164" s="11" t="s">
        <v>284</v>
      </c>
      <c r="M164" s="11"/>
      <c r="N164" s="65"/>
    </row>
    <row r="165" ht="15.75" customHeight="1">
      <c r="A165" s="11">
        <v>111.0</v>
      </c>
      <c r="B165" s="113" t="s">
        <v>52</v>
      </c>
      <c r="C165" s="114">
        <v>1.0</v>
      </c>
      <c r="D165" s="113" t="s">
        <v>657</v>
      </c>
      <c r="E165" s="118" t="s">
        <v>662</v>
      </c>
      <c r="F165" s="113" t="s">
        <v>663</v>
      </c>
      <c r="G165" s="113">
        <v>132.0</v>
      </c>
      <c r="H165" s="115">
        <f>ROUNDDOWN(KUNJUNGAN!$G165/60,0)</f>
        <v>2</v>
      </c>
      <c r="I165" s="116">
        <f t="shared" si="1"/>
        <v>12</v>
      </c>
      <c r="J165" s="116">
        <f>(KUNJUNGAN!$H165*60)+KUNJUNGAN!$I165</f>
        <v>132</v>
      </c>
      <c r="K165" s="115"/>
      <c r="L165" s="11" t="s">
        <v>284</v>
      </c>
      <c r="M165" s="11"/>
      <c r="N165" s="65"/>
    </row>
    <row r="166" ht="15.75" customHeight="1">
      <c r="A166" s="11">
        <v>134.0</v>
      </c>
      <c r="B166" s="113" t="s">
        <v>52</v>
      </c>
      <c r="C166" s="114">
        <v>1.0</v>
      </c>
      <c r="D166" s="113" t="s">
        <v>664</v>
      </c>
      <c r="E166" s="118" t="s">
        <v>619</v>
      </c>
      <c r="F166" s="113" t="s">
        <v>665</v>
      </c>
      <c r="G166" s="113">
        <v>60.0</v>
      </c>
      <c r="H166" s="115">
        <f>ROUNDDOWN(KUNJUNGAN!$G166/60,0)</f>
        <v>1</v>
      </c>
      <c r="I166" s="116">
        <f t="shared" si="1"/>
        <v>0</v>
      </c>
      <c r="J166" s="116">
        <f>(KUNJUNGAN!$H166*60)+KUNJUNGAN!$I166</f>
        <v>60</v>
      </c>
      <c r="K166" s="115"/>
      <c r="L166" s="11" t="s">
        <v>284</v>
      </c>
      <c r="M166" s="11"/>
    </row>
    <row r="167" ht="15.75" customHeight="1">
      <c r="A167" s="11">
        <v>112.0</v>
      </c>
      <c r="B167" s="113" t="s">
        <v>52</v>
      </c>
      <c r="C167" s="114">
        <v>1.0</v>
      </c>
      <c r="D167" s="113" t="s">
        <v>664</v>
      </c>
      <c r="E167" s="118" t="s">
        <v>666</v>
      </c>
      <c r="F167" s="113" t="s">
        <v>667</v>
      </c>
      <c r="G167" s="113">
        <v>71.0</v>
      </c>
      <c r="H167" s="115">
        <f>ROUNDDOWN(KUNJUNGAN!$G167/60,0)</f>
        <v>1</v>
      </c>
      <c r="I167" s="116">
        <f t="shared" si="1"/>
        <v>11</v>
      </c>
      <c r="J167" s="116">
        <f>(KUNJUNGAN!$H167*60)+KUNJUNGAN!$I167</f>
        <v>71</v>
      </c>
      <c r="K167" s="115"/>
      <c r="L167" s="11" t="s">
        <v>284</v>
      </c>
      <c r="M167" s="11"/>
      <c r="N167" s="65"/>
    </row>
    <row r="168" ht="15.75" customHeight="1">
      <c r="A168" s="11">
        <v>113.0</v>
      </c>
      <c r="B168" s="113" t="s">
        <v>52</v>
      </c>
      <c r="C168" s="114">
        <v>1.0</v>
      </c>
      <c r="D168" s="113" t="s">
        <v>668</v>
      </c>
      <c r="E168" s="118" t="s">
        <v>669</v>
      </c>
      <c r="F168" s="11"/>
      <c r="G168" s="113">
        <v>180.0</v>
      </c>
      <c r="H168" s="115">
        <f>ROUNDDOWN(KUNJUNGAN!$G168/60,0)</f>
        <v>3</v>
      </c>
      <c r="I168" s="116">
        <f t="shared" si="1"/>
        <v>0</v>
      </c>
      <c r="J168" s="116">
        <f>(KUNJUNGAN!$H168*60)+KUNJUNGAN!$I168</f>
        <v>180</v>
      </c>
      <c r="K168" s="115"/>
      <c r="L168" s="11" t="s">
        <v>284</v>
      </c>
      <c r="M168" s="11"/>
      <c r="N168" s="65"/>
    </row>
    <row r="169" ht="15.75" customHeight="1">
      <c r="A169" s="11">
        <v>114.0</v>
      </c>
      <c r="B169" s="113" t="s">
        <v>52</v>
      </c>
      <c r="C169" s="114">
        <v>1.0</v>
      </c>
      <c r="D169" s="113" t="s">
        <v>668</v>
      </c>
      <c r="E169" s="118" t="s">
        <v>670</v>
      </c>
      <c r="F169" s="11"/>
      <c r="G169" s="113">
        <v>180.0</v>
      </c>
      <c r="H169" s="115">
        <f>ROUNDDOWN(KUNJUNGAN!$G169/60,0)</f>
        <v>3</v>
      </c>
      <c r="I169" s="116">
        <f t="shared" si="1"/>
        <v>0</v>
      </c>
      <c r="J169" s="116">
        <f>(KUNJUNGAN!$H169*60)+KUNJUNGAN!$I169</f>
        <v>180</v>
      </c>
      <c r="K169" s="115"/>
      <c r="L169" s="11" t="s">
        <v>284</v>
      </c>
      <c r="M169" s="11"/>
    </row>
    <row r="170" ht="15.75" customHeight="1">
      <c r="A170" s="11">
        <v>115.0</v>
      </c>
      <c r="B170" s="113" t="s">
        <v>52</v>
      </c>
      <c r="C170" s="114">
        <v>1.0</v>
      </c>
      <c r="D170" s="113" t="s">
        <v>668</v>
      </c>
      <c r="E170" s="118" t="s">
        <v>671</v>
      </c>
      <c r="F170" s="11"/>
      <c r="G170" s="113">
        <v>180.0</v>
      </c>
      <c r="H170" s="115">
        <f>ROUNDDOWN(KUNJUNGAN!$G170/60,0)</f>
        <v>3</v>
      </c>
      <c r="I170" s="116">
        <f t="shared" si="1"/>
        <v>0</v>
      </c>
      <c r="J170" s="116">
        <f>(KUNJUNGAN!$H170*60)+KUNJUNGAN!$I170</f>
        <v>180</v>
      </c>
      <c r="K170" s="115"/>
      <c r="L170" s="11" t="s">
        <v>284</v>
      </c>
      <c r="M170" s="11"/>
    </row>
    <row r="171" ht="15.75" customHeight="1">
      <c r="A171" s="11">
        <v>116.0</v>
      </c>
      <c r="B171" s="113" t="s">
        <v>52</v>
      </c>
      <c r="C171" s="114">
        <v>1.0</v>
      </c>
      <c r="D171" s="113" t="s">
        <v>668</v>
      </c>
      <c r="E171" s="118" t="s">
        <v>672</v>
      </c>
      <c r="F171" s="113" t="s">
        <v>673</v>
      </c>
      <c r="G171" s="113">
        <v>180.0</v>
      </c>
      <c r="H171" s="115">
        <f>ROUNDDOWN(KUNJUNGAN!$G171/60,0)</f>
        <v>3</v>
      </c>
      <c r="I171" s="116">
        <f t="shared" si="1"/>
        <v>0</v>
      </c>
      <c r="J171" s="116">
        <f>(KUNJUNGAN!$H171*60)+KUNJUNGAN!$I171</f>
        <v>180</v>
      </c>
      <c r="K171" s="115"/>
      <c r="L171" s="11" t="s">
        <v>284</v>
      </c>
      <c r="M171" s="11"/>
    </row>
    <row r="172" ht="15.75" customHeight="1">
      <c r="A172" s="11">
        <v>135.0</v>
      </c>
      <c r="B172" s="113" t="s">
        <v>56</v>
      </c>
      <c r="C172" s="124">
        <v>1.0</v>
      </c>
      <c r="D172" s="113" t="s">
        <v>674</v>
      </c>
      <c r="E172" s="118" t="s">
        <v>675</v>
      </c>
      <c r="F172" s="113" t="s">
        <v>676</v>
      </c>
      <c r="G172" s="113">
        <v>73.0</v>
      </c>
      <c r="H172" s="115">
        <f>ROUNDDOWN(KUNJUNGAN!$G172/60,0)</f>
        <v>1</v>
      </c>
      <c r="I172" s="116">
        <f t="shared" si="1"/>
        <v>13</v>
      </c>
      <c r="J172" s="116">
        <f>(KUNJUNGAN!$H172*60)+KUNJUNGAN!$I172</f>
        <v>73</v>
      </c>
      <c r="K172" s="115"/>
      <c r="L172" s="11" t="s">
        <v>284</v>
      </c>
      <c r="M172" s="11"/>
    </row>
    <row r="173" ht="15.75" customHeight="1">
      <c r="A173" s="11">
        <v>138.0</v>
      </c>
      <c r="B173" s="113" t="s">
        <v>56</v>
      </c>
      <c r="C173" s="124">
        <v>1.0</v>
      </c>
      <c r="D173" s="113" t="s">
        <v>674</v>
      </c>
      <c r="E173" s="118" t="s">
        <v>677</v>
      </c>
      <c r="F173" s="113" t="s">
        <v>678</v>
      </c>
      <c r="G173" s="113">
        <v>78.0</v>
      </c>
      <c r="H173" s="115">
        <f>ROUNDDOWN(KUNJUNGAN!$G173/60,0)</f>
        <v>1</v>
      </c>
      <c r="I173" s="116">
        <f t="shared" si="1"/>
        <v>18</v>
      </c>
      <c r="J173" s="116">
        <f>(KUNJUNGAN!$H173*60)+KUNJUNGAN!$I173</f>
        <v>78</v>
      </c>
      <c r="K173" s="115"/>
      <c r="L173" s="11" t="s">
        <v>284</v>
      </c>
      <c r="M173" s="11"/>
    </row>
    <row r="174" ht="15.75" customHeight="1">
      <c r="A174" s="11">
        <v>117.0</v>
      </c>
      <c r="B174" s="113" t="s">
        <v>56</v>
      </c>
      <c r="C174" s="124">
        <v>1.0</v>
      </c>
      <c r="D174" s="113" t="s">
        <v>679</v>
      </c>
      <c r="E174" s="118" t="s">
        <v>680</v>
      </c>
      <c r="F174" s="113" t="s">
        <v>681</v>
      </c>
      <c r="G174" s="113">
        <v>47.0</v>
      </c>
      <c r="H174" s="115">
        <f>ROUNDDOWN(KUNJUNGAN!$G174/60,0)</f>
        <v>0</v>
      </c>
      <c r="I174" s="116">
        <f t="shared" si="1"/>
        <v>47</v>
      </c>
      <c r="J174" s="116">
        <f>(KUNJUNGAN!$H174*60)+KUNJUNGAN!$I174</f>
        <v>47</v>
      </c>
      <c r="K174" s="115"/>
      <c r="L174" s="11" t="s">
        <v>284</v>
      </c>
      <c r="M174" s="11"/>
    </row>
    <row r="175" ht="15.75" customHeight="1">
      <c r="A175" s="11">
        <v>118.0</v>
      </c>
      <c r="B175" s="113" t="s">
        <v>56</v>
      </c>
      <c r="C175" s="124">
        <v>1.0</v>
      </c>
      <c r="D175" s="113" t="s">
        <v>679</v>
      </c>
      <c r="E175" s="118" t="s">
        <v>682</v>
      </c>
      <c r="F175" s="113" t="s">
        <v>683</v>
      </c>
      <c r="G175" s="113">
        <v>46.0</v>
      </c>
      <c r="H175" s="115">
        <f>ROUNDDOWN(KUNJUNGAN!$G175/60,0)</f>
        <v>0</v>
      </c>
      <c r="I175" s="116">
        <f t="shared" si="1"/>
        <v>46</v>
      </c>
      <c r="J175" s="116">
        <f>(KUNJUNGAN!$H175*60)+KUNJUNGAN!$I175</f>
        <v>46</v>
      </c>
      <c r="K175" s="115"/>
      <c r="L175" s="11" t="s">
        <v>284</v>
      </c>
      <c r="M175" s="11"/>
    </row>
    <row r="176" ht="15.75" customHeight="1">
      <c r="A176" s="11">
        <v>119.0</v>
      </c>
      <c r="B176" s="113" t="s">
        <v>56</v>
      </c>
      <c r="C176" s="124">
        <v>1.0</v>
      </c>
      <c r="D176" s="113" t="s">
        <v>679</v>
      </c>
      <c r="E176" s="118" t="s">
        <v>684</v>
      </c>
      <c r="F176" s="113" t="s">
        <v>685</v>
      </c>
      <c r="G176" s="113">
        <v>174.0</v>
      </c>
      <c r="H176" s="115">
        <f>ROUNDDOWN(KUNJUNGAN!$G176/60,0)</f>
        <v>2</v>
      </c>
      <c r="I176" s="116">
        <f t="shared" si="1"/>
        <v>54</v>
      </c>
      <c r="J176" s="116">
        <f>(KUNJUNGAN!$H176*60)+KUNJUNGAN!$I176</f>
        <v>174</v>
      </c>
      <c r="K176" s="115"/>
      <c r="L176" s="11" t="s">
        <v>284</v>
      </c>
      <c r="M176" s="11"/>
    </row>
    <row r="177" ht="15.75" customHeight="1">
      <c r="A177" s="11">
        <v>120.0</v>
      </c>
      <c r="B177" s="113" t="s">
        <v>56</v>
      </c>
      <c r="C177" s="124">
        <v>1.0</v>
      </c>
      <c r="D177" s="113" t="s">
        <v>686</v>
      </c>
      <c r="E177" s="118" t="s">
        <v>687</v>
      </c>
      <c r="F177" s="113" t="s">
        <v>688</v>
      </c>
      <c r="G177" s="113">
        <v>143.0</v>
      </c>
      <c r="H177" s="115">
        <f>ROUNDDOWN(KUNJUNGAN!$G177/60,0)</f>
        <v>2</v>
      </c>
      <c r="I177" s="116">
        <f t="shared" si="1"/>
        <v>23</v>
      </c>
      <c r="J177" s="116">
        <f>(KUNJUNGAN!$H177*60)+KUNJUNGAN!$I177</f>
        <v>143</v>
      </c>
      <c r="K177" s="115"/>
      <c r="L177" s="11" t="s">
        <v>284</v>
      </c>
      <c r="M177" s="11"/>
    </row>
    <row r="178" ht="15.75" customHeight="1">
      <c r="A178" s="11">
        <v>121.0</v>
      </c>
      <c r="B178" s="113" t="s">
        <v>56</v>
      </c>
      <c r="C178" s="124">
        <v>1.0</v>
      </c>
      <c r="D178" s="113" t="s">
        <v>686</v>
      </c>
      <c r="E178" s="118" t="s">
        <v>689</v>
      </c>
      <c r="F178" s="113" t="s">
        <v>690</v>
      </c>
      <c r="G178" s="113">
        <v>69.0</v>
      </c>
      <c r="H178" s="115">
        <f>ROUNDDOWN(KUNJUNGAN!$G178/60,0)</f>
        <v>1</v>
      </c>
      <c r="I178" s="116">
        <f t="shared" si="1"/>
        <v>9</v>
      </c>
      <c r="J178" s="116">
        <f>(KUNJUNGAN!$H178*60)+KUNJUNGAN!$I178</f>
        <v>69</v>
      </c>
      <c r="K178" s="115"/>
      <c r="L178" s="11" t="s">
        <v>284</v>
      </c>
      <c r="M178" s="11"/>
    </row>
    <row r="179" ht="15.75" customHeight="1">
      <c r="A179" s="11">
        <v>122.0</v>
      </c>
      <c r="B179" s="113" t="s">
        <v>56</v>
      </c>
      <c r="C179" s="124">
        <v>1.0</v>
      </c>
      <c r="D179" s="113" t="s">
        <v>691</v>
      </c>
      <c r="E179" s="118" t="s">
        <v>675</v>
      </c>
      <c r="F179" s="113" t="s">
        <v>692</v>
      </c>
      <c r="G179" s="113">
        <v>75.0</v>
      </c>
      <c r="H179" s="115">
        <f>ROUNDDOWN(KUNJUNGAN!$G179/60,0)</f>
        <v>1</v>
      </c>
      <c r="I179" s="116">
        <f t="shared" si="1"/>
        <v>15</v>
      </c>
      <c r="J179" s="116">
        <f>(KUNJUNGAN!$H179*60)+KUNJUNGAN!$I179</f>
        <v>75</v>
      </c>
      <c r="K179" s="115"/>
      <c r="L179" s="11" t="s">
        <v>284</v>
      </c>
      <c r="M179" s="11"/>
    </row>
    <row r="180" ht="15.75" customHeight="1">
      <c r="A180" s="11">
        <v>123.0</v>
      </c>
      <c r="B180" s="113" t="s">
        <v>56</v>
      </c>
      <c r="C180" s="124">
        <v>1.0</v>
      </c>
      <c r="D180" s="113" t="s">
        <v>691</v>
      </c>
      <c r="E180" s="118" t="s">
        <v>677</v>
      </c>
      <c r="F180" s="113" t="s">
        <v>693</v>
      </c>
      <c r="G180" s="113">
        <v>76.0</v>
      </c>
      <c r="H180" s="115">
        <f>ROUNDDOWN(KUNJUNGAN!$G180/60,0)</f>
        <v>1</v>
      </c>
      <c r="I180" s="116">
        <f t="shared" si="1"/>
        <v>16</v>
      </c>
      <c r="J180" s="116">
        <f>(KUNJUNGAN!$H180*60)+KUNJUNGAN!$I180</f>
        <v>76</v>
      </c>
      <c r="K180" s="115"/>
      <c r="L180" s="11" t="s">
        <v>284</v>
      </c>
      <c r="M180" s="11"/>
    </row>
    <row r="181" ht="15.75" customHeight="1">
      <c r="A181" s="11">
        <v>124.0</v>
      </c>
      <c r="B181" s="113" t="s">
        <v>56</v>
      </c>
      <c r="C181" s="124">
        <v>1.0</v>
      </c>
      <c r="D181" s="113" t="s">
        <v>694</v>
      </c>
      <c r="E181" s="118" t="s">
        <v>695</v>
      </c>
      <c r="F181" s="113" t="s">
        <v>696</v>
      </c>
      <c r="G181" s="113">
        <v>4.0</v>
      </c>
      <c r="H181" s="115">
        <f>ROUNDDOWN(KUNJUNGAN!$G181/60,0)</f>
        <v>0</v>
      </c>
      <c r="I181" s="116">
        <f t="shared" si="1"/>
        <v>4</v>
      </c>
      <c r="J181" s="116">
        <f>(KUNJUNGAN!$H181*60)+KUNJUNGAN!$I181</f>
        <v>4</v>
      </c>
      <c r="K181" s="115"/>
      <c r="L181" s="11" t="s">
        <v>284</v>
      </c>
      <c r="M181" s="11"/>
    </row>
    <row r="182" ht="15.75" customHeight="1">
      <c r="A182" s="11">
        <v>125.0</v>
      </c>
      <c r="B182" s="113" t="s">
        <v>56</v>
      </c>
      <c r="C182" s="124">
        <v>1.0</v>
      </c>
      <c r="D182" s="113" t="s">
        <v>694</v>
      </c>
      <c r="E182" s="118" t="s">
        <v>697</v>
      </c>
      <c r="F182" s="113" t="s">
        <v>698</v>
      </c>
      <c r="G182" s="113">
        <v>31.0</v>
      </c>
      <c r="H182" s="115">
        <f>ROUNDDOWN(KUNJUNGAN!$G182/60,0)</f>
        <v>0</v>
      </c>
      <c r="I182" s="116">
        <f t="shared" si="1"/>
        <v>31</v>
      </c>
      <c r="J182" s="116">
        <f>(KUNJUNGAN!$H182*60)+KUNJUNGAN!$I182</f>
        <v>31</v>
      </c>
      <c r="K182" s="115"/>
      <c r="L182" s="11" t="s">
        <v>284</v>
      </c>
      <c r="M182" s="11"/>
    </row>
    <row r="183" ht="15.75" customHeight="1">
      <c r="A183" s="11">
        <v>126.0</v>
      </c>
      <c r="B183" s="113" t="s">
        <v>56</v>
      </c>
      <c r="C183" s="124">
        <v>1.0</v>
      </c>
      <c r="D183" s="113" t="s">
        <v>694</v>
      </c>
      <c r="E183" s="118" t="s">
        <v>699</v>
      </c>
      <c r="F183" s="113" t="s">
        <v>700</v>
      </c>
      <c r="G183" s="113">
        <v>60.0</v>
      </c>
      <c r="H183" s="115">
        <f>ROUNDDOWN(KUNJUNGAN!$G183/60,0)</f>
        <v>1</v>
      </c>
      <c r="I183" s="116">
        <f t="shared" si="1"/>
        <v>0</v>
      </c>
      <c r="J183" s="116">
        <f>(KUNJUNGAN!$H183*60)+KUNJUNGAN!$I183</f>
        <v>60</v>
      </c>
      <c r="K183" s="115"/>
      <c r="L183" s="11" t="s">
        <v>284</v>
      </c>
      <c r="M183" s="11"/>
    </row>
    <row r="184" ht="15.75" customHeight="1">
      <c r="A184" s="11">
        <v>136.0</v>
      </c>
      <c r="B184" s="113" t="s">
        <v>56</v>
      </c>
      <c r="C184" s="124">
        <v>1.0</v>
      </c>
      <c r="D184" s="113" t="s">
        <v>694</v>
      </c>
      <c r="E184" s="118" t="s">
        <v>701</v>
      </c>
      <c r="F184" s="113" t="s">
        <v>702</v>
      </c>
      <c r="G184" s="113">
        <v>30.0</v>
      </c>
      <c r="H184" s="115">
        <f>ROUNDDOWN(KUNJUNGAN!$G184/60,0)</f>
        <v>0</v>
      </c>
      <c r="I184" s="116">
        <f t="shared" si="1"/>
        <v>30</v>
      </c>
      <c r="J184" s="116">
        <f>(KUNJUNGAN!$H184*60)+KUNJUNGAN!$I184</f>
        <v>30</v>
      </c>
      <c r="K184" s="115"/>
      <c r="L184" s="11" t="s">
        <v>284</v>
      </c>
      <c r="M184" s="11"/>
    </row>
    <row r="185" ht="15.75" customHeight="1">
      <c r="A185" s="11">
        <v>127.0</v>
      </c>
      <c r="B185" s="113" t="s">
        <v>56</v>
      </c>
      <c r="C185" s="124">
        <v>1.0</v>
      </c>
      <c r="D185" s="113" t="s">
        <v>703</v>
      </c>
      <c r="E185" s="118" t="s">
        <v>704</v>
      </c>
      <c r="F185" s="113" t="s">
        <v>705</v>
      </c>
      <c r="G185" s="113">
        <v>222.0</v>
      </c>
      <c r="H185" s="115">
        <f>ROUNDDOWN(KUNJUNGAN!$G185/60,0)</f>
        <v>3</v>
      </c>
      <c r="I185" s="116">
        <f t="shared" si="1"/>
        <v>42</v>
      </c>
      <c r="J185" s="116">
        <f>(KUNJUNGAN!$H185*60)+KUNJUNGAN!$I185</f>
        <v>222</v>
      </c>
      <c r="K185" s="115"/>
      <c r="L185" s="11" t="s">
        <v>284</v>
      </c>
      <c r="M185" s="11"/>
    </row>
    <row r="186" ht="15.75" customHeight="1">
      <c r="A186" s="11">
        <v>128.0</v>
      </c>
      <c r="B186" s="113" t="s">
        <v>56</v>
      </c>
      <c r="C186" s="124">
        <v>1.0</v>
      </c>
      <c r="D186" s="113" t="s">
        <v>703</v>
      </c>
      <c r="E186" s="118" t="s">
        <v>706</v>
      </c>
      <c r="F186" s="113" t="s">
        <v>707</v>
      </c>
      <c r="G186" s="113">
        <v>247.0</v>
      </c>
      <c r="H186" s="115">
        <f>ROUNDDOWN(KUNJUNGAN!$G186/60,0)</f>
        <v>4</v>
      </c>
      <c r="I186" s="116">
        <f t="shared" si="1"/>
        <v>7</v>
      </c>
      <c r="J186" s="116">
        <f>(KUNJUNGAN!$H186*60)+KUNJUNGAN!$I186</f>
        <v>247</v>
      </c>
      <c r="K186" s="115"/>
      <c r="L186" s="11" t="s">
        <v>284</v>
      </c>
      <c r="M186" s="11"/>
    </row>
    <row r="187" ht="15.75" customHeight="1">
      <c r="A187" s="11">
        <v>132.0</v>
      </c>
      <c r="B187" s="113" t="s">
        <v>56</v>
      </c>
      <c r="C187" s="124">
        <v>1.0</v>
      </c>
      <c r="D187" s="113" t="s">
        <v>703</v>
      </c>
      <c r="E187" s="118" t="s">
        <v>708</v>
      </c>
      <c r="F187" s="113" t="s">
        <v>709</v>
      </c>
      <c r="G187" s="113">
        <v>180.0</v>
      </c>
      <c r="H187" s="115">
        <f>ROUNDDOWN(KUNJUNGAN!$G187/60,0)</f>
        <v>3</v>
      </c>
      <c r="I187" s="116">
        <f t="shared" si="1"/>
        <v>0</v>
      </c>
      <c r="J187" s="116">
        <f>(KUNJUNGAN!$H187*60)+KUNJUNGAN!$I187</f>
        <v>180</v>
      </c>
      <c r="K187" s="115"/>
      <c r="L187" s="11" t="s">
        <v>284</v>
      </c>
      <c r="M187" s="11"/>
      <c r="N187" s="65"/>
    </row>
    <row r="188" ht="15.75" customHeight="1">
      <c r="A188" s="11">
        <v>129.0</v>
      </c>
      <c r="B188" s="113" t="s">
        <v>56</v>
      </c>
      <c r="C188" s="124">
        <v>1.0</v>
      </c>
      <c r="D188" s="113" t="s">
        <v>703</v>
      </c>
      <c r="E188" s="118" t="s">
        <v>710</v>
      </c>
      <c r="F188" s="113" t="s">
        <v>711</v>
      </c>
      <c r="G188" s="113">
        <v>182.0</v>
      </c>
      <c r="H188" s="115">
        <f>ROUNDDOWN(KUNJUNGAN!$G188/60,0)</f>
        <v>3</v>
      </c>
      <c r="I188" s="116">
        <f t="shared" si="1"/>
        <v>2</v>
      </c>
      <c r="J188" s="116">
        <f>(KUNJUNGAN!$H188*60)+KUNJUNGAN!$I188</f>
        <v>182</v>
      </c>
      <c r="K188" s="115"/>
      <c r="L188" s="11" t="s">
        <v>284</v>
      </c>
      <c r="M188" s="11"/>
    </row>
    <row r="189" ht="15.75" customHeight="1">
      <c r="A189" s="11">
        <v>130.0</v>
      </c>
      <c r="B189" s="113" t="s">
        <v>56</v>
      </c>
      <c r="C189" s="124">
        <v>1.0</v>
      </c>
      <c r="D189" s="113" t="s">
        <v>703</v>
      </c>
      <c r="E189" s="118" t="s">
        <v>712</v>
      </c>
      <c r="F189" s="113" t="s">
        <v>713</v>
      </c>
      <c r="G189" s="113">
        <v>191.0</v>
      </c>
      <c r="H189" s="115">
        <f>ROUNDDOWN(KUNJUNGAN!$G189/60,0)</f>
        <v>3</v>
      </c>
      <c r="I189" s="116">
        <f t="shared" si="1"/>
        <v>11</v>
      </c>
      <c r="J189" s="116">
        <f>(KUNJUNGAN!$H189*60)+KUNJUNGAN!$I189</f>
        <v>191</v>
      </c>
      <c r="K189" s="115"/>
      <c r="L189" s="11" t="s">
        <v>284</v>
      </c>
      <c r="M189" s="11"/>
    </row>
    <row r="190" ht="15.75" customHeight="1">
      <c r="A190" s="11">
        <v>131.0</v>
      </c>
      <c r="B190" s="113" t="s">
        <v>56</v>
      </c>
      <c r="C190" s="124">
        <v>1.0</v>
      </c>
      <c r="D190" s="113" t="s">
        <v>703</v>
      </c>
      <c r="E190" s="118" t="s">
        <v>714</v>
      </c>
      <c r="F190" s="113" t="s">
        <v>715</v>
      </c>
      <c r="G190" s="113">
        <v>189.0</v>
      </c>
      <c r="H190" s="115">
        <f>ROUNDDOWN(KUNJUNGAN!$G190/60,0)</f>
        <v>3</v>
      </c>
      <c r="I190" s="116">
        <f t="shared" si="1"/>
        <v>9</v>
      </c>
      <c r="J190" s="116">
        <f>(KUNJUNGAN!$H190*60)+KUNJUNGAN!$I190</f>
        <v>189</v>
      </c>
      <c r="K190" s="115"/>
      <c r="L190" s="11" t="s">
        <v>284</v>
      </c>
      <c r="M190" s="11"/>
    </row>
    <row r="191" ht="15.75" customHeight="1">
      <c r="A191" s="11">
        <v>326.0</v>
      </c>
      <c r="B191" s="113" t="s">
        <v>56</v>
      </c>
      <c r="C191" s="124">
        <v>1.0</v>
      </c>
      <c r="D191" s="113" t="s">
        <v>703</v>
      </c>
      <c r="E191" s="113" t="s">
        <v>716</v>
      </c>
      <c r="F191" s="113" t="s">
        <v>717</v>
      </c>
      <c r="G191" s="113">
        <v>194.0</v>
      </c>
      <c r="H191" s="115">
        <f>ROUNDDOWN(KUNJUNGAN!$G191/60,0)</f>
        <v>3</v>
      </c>
      <c r="I191" s="116">
        <f t="shared" si="1"/>
        <v>14</v>
      </c>
      <c r="J191" s="116">
        <f>(KUNJUNGAN!$H191*60)+KUNJUNGAN!$I191</f>
        <v>194</v>
      </c>
      <c r="K191" s="115"/>
      <c r="L191" s="11" t="s">
        <v>284</v>
      </c>
      <c r="M191" s="11"/>
    </row>
    <row r="192" ht="15.75" customHeight="1">
      <c r="A192" s="11">
        <v>327.0</v>
      </c>
      <c r="B192" s="113" t="s">
        <v>56</v>
      </c>
      <c r="C192" s="124">
        <v>1.0</v>
      </c>
      <c r="D192" s="113" t="s">
        <v>703</v>
      </c>
      <c r="E192" s="113" t="s">
        <v>718</v>
      </c>
      <c r="F192" s="113" t="s">
        <v>719</v>
      </c>
      <c r="G192" s="113">
        <v>162.0</v>
      </c>
      <c r="H192" s="115">
        <f>ROUNDDOWN(KUNJUNGAN!$G192/60,0)</f>
        <v>2</v>
      </c>
      <c r="I192" s="116">
        <f t="shared" si="1"/>
        <v>42</v>
      </c>
      <c r="J192" s="116">
        <f>(KUNJUNGAN!$H192*60)+KUNJUNGAN!$I192</f>
        <v>162</v>
      </c>
      <c r="K192" s="115"/>
      <c r="L192" s="11" t="s">
        <v>284</v>
      </c>
      <c r="M192" s="11"/>
    </row>
    <row r="193" ht="15.75" customHeight="1">
      <c r="A193" s="11">
        <v>328.0</v>
      </c>
      <c r="B193" s="113" t="s">
        <v>56</v>
      </c>
      <c r="C193" s="124">
        <v>1.0</v>
      </c>
      <c r="D193" s="113" t="s">
        <v>703</v>
      </c>
      <c r="E193" s="113" t="s">
        <v>720</v>
      </c>
      <c r="F193" s="113" t="s">
        <v>721</v>
      </c>
      <c r="G193" s="113">
        <v>265.0</v>
      </c>
      <c r="H193" s="115">
        <f>ROUNDDOWN(KUNJUNGAN!$G193/60,0)</f>
        <v>4</v>
      </c>
      <c r="I193" s="116">
        <f t="shared" si="1"/>
        <v>25</v>
      </c>
      <c r="J193" s="116">
        <f>(KUNJUNGAN!$H193*60)+KUNJUNGAN!$I193</f>
        <v>265</v>
      </c>
      <c r="K193" s="115"/>
      <c r="L193" s="11" t="s">
        <v>284</v>
      </c>
      <c r="M193" s="11"/>
    </row>
    <row r="194" ht="15.75" customHeight="1">
      <c r="A194" s="11">
        <v>329.0</v>
      </c>
      <c r="B194" s="113" t="s">
        <v>56</v>
      </c>
      <c r="C194" s="124">
        <v>1.0</v>
      </c>
      <c r="D194" s="113" t="s">
        <v>703</v>
      </c>
      <c r="E194" s="113" t="s">
        <v>722</v>
      </c>
      <c r="F194" s="113" t="s">
        <v>723</v>
      </c>
      <c r="G194" s="113">
        <v>311.0</v>
      </c>
      <c r="H194" s="115">
        <f>ROUNDDOWN(KUNJUNGAN!$G194/60,0)</f>
        <v>5</v>
      </c>
      <c r="I194" s="116">
        <f t="shared" si="1"/>
        <v>11</v>
      </c>
      <c r="J194" s="116">
        <f>(KUNJUNGAN!$H194*60)+KUNJUNGAN!$I194</f>
        <v>311</v>
      </c>
      <c r="K194" s="115"/>
      <c r="L194" s="11" t="s">
        <v>284</v>
      </c>
      <c r="M194" s="11"/>
    </row>
    <row r="195" ht="15.75" customHeight="1">
      <c r="A195" s="11">
        <v>330.0</v>
      </c>
      <c r="B195" s="113" t="s">
        <v>56</v>
      </c>
      <c r="C195" s="124">
        <v>1.0</v>
      </c>
      <c r="D195" s="113" t="s">
        <v>703</v>
      </c>
      <c r="E195" s="113" t="s">
        <v>724</v>
      </c>
      <c r="F195" s="113" t="s">
        <v>725</v>
      </c>
      <c r="G195" s="113">
        <v>243.0</v>
      </c>
      <c r="H195" s="115">
        <f>ROUNDDOWN(KUNJUNGAN!$G195/60,0)</f>
        <v>4</v>
      </c>
      <c r="I195" s="116">
        <f t="shared" si="1"/>
        <v>3</v>
      </c>
      <c r="J195" s="116">
        <f>(KUNJUNGAN!$H195*60)+KUNJUNGAN!$I195</f>
        <v>243</v>
      </c>
      <c r="K195" s="115"/>
      <c r="L195" s="11" t="s">
        <v>284</v>
      </c>
      <c r="M195" s="11"/>
    </row>
    <row r="196" ht="15.75" customHeight="1">
      <c r="A196" s="11">
        <v>331.0</v>
      </c>
      <c r="B196" s="113" t="s">
        <v>56</v>
      </c>
      <c r="C196" s="124">
        <v>1.0</v>
      </c>
      <c r="D196" s="113" t="s">
        <v>703</v>
      </c>
      <c r="E196" s="113" t="s">
        <v>726</v>
      </c>
      <c r="F196" s="113" t="s">
        <v>727</v>
      </c>
      <c r="G196" s="113">
        <v>174.0</v>
      </c>
      <c r="H196" s="115">
        <f>ROUNDDOWN(KUNJUNGAN!$G196/60,0)</f>
        <v>2</v>
      </c>
      <c r="I196" s="116">
        <f t="shared" si="1"/>
        <v>54</v>
      </c>
      <c r="J196" s="116">
        <f>(KUNJUNGAN!$H196*60)+KUNJUNGAN!$I196</f>
        <v>174</v>
      </c>
      <c r="K196" s="115"/>
      <c r="L196" s="11" t="s">
        <v>284</v>
      </c>
      <c r="M196" s="11"/>
    </row>
    <row r="197" ht="15.75" customHeight="1">
      <c r="A197" s="11">
        <v>332.0</v>
      </c>
      <c r="B197" s="113" t="s">
        <v>56</v>
      </c>
      <c r="C197" s="124">
        <v>1.0</v>
      </c>
      <c r="D197" s="113" t="s">
        <v>703</v>
      </c>
      <c r="E197" s="113" t="s">
        <v>728</v>
      </c>
      <c r="F197" s="113" t="s">
        <v>729</v>
      </c>
      <c r="G197" s="113">
        <v>266.0</v>
      </c>
      <c r="H197" s="115">
        <f>ROUNDDOWN(KUNJUNGAN!$G197/60,0)</f>
        <v>4</v>
      </c>
      <c r="I197" s="116">
        <f t="shared" si="1"/>
        <v>26</v>
      </c>
      <c r="J197" s="116">
        <f>(KUNJUNGAN!$H197*60)+KUNJUNGAN!$I197</f>
        <v>266</v>
      </c>
      <c r="K197" s="115"/>
      <c r="L197" s="11" t="s">
        <v>284</v>
      </c>
      <c r="M197" s="11"/>
    </row>
    <row r="198" ht="15.75" customHeight="1">
      <c r="A198" s="11">
        <v>333.0</v>
      </c>
      <c r="B198" s="113" t="s">
        <v>56</v>
      </c>
      <c r="C198" s="124">
        <v>1.0</v>
      </c>
      <c r="D198" s="113" t="s">
        <v>730</v>
      </c>
      <c r="E198" s="113" t="s">
        <v>731</v>
      </c>
      <c r="F198" s="113" t="s">
        <v>732</v>
      </c>
      <c r="G198" s="113">
        <v>194.0</v>
      </c>
      <c r="H198" s="115">
        <f>ROUNDDOWN(KUNJUNGAN!$G198/60,0)</f>
        <v>3</v>
      </c>
      <c r="I198" s="116">
        <f t="shared" si="1"/>
        <v>14</v>
      </c>
      <c r="J198" s="116">
        <f>(KUNJUNGAN!$H198*60)+KUNJUNGAN!$I198</f>
        <v>194</v>
      </c>
      <c r="K198" s="115"/>
      <c r="L198" s="11" t="s">
        <v>284</v>
      </c>
      <c r="M198" s="11"/>
    </row>
    <row r="199" ht="15.75" customHeight="1">
      <c r="A199" s="11">
        <v>334.0</v>
      </c>
      <c r="B199" s="113" t="s">
        <v>56</v>
      </c>
      <c r="C199" s="124">
        <v>1.0</v>
      </c>
      <c r="D199" s="113" t="s">
        <v>730</v>
      </c>
      <c r="E199" s="113" t="s">
        <v>733</v>
      </c>
      <c r="F199" s="113" t="s">
        <v>734</v>
      </c>
      <c r="G199" s="113">
        <v>181.0</v>
      </c>
      <c r="H199" s="115">
        <f>ROUNDDOWN(KUNJUNGAN!$G199/60,0)</f>
        <v>3</v>
      </c>
      <c r="I199" s="116">
        <f t="shared" si="1"/>
        <v>1</v>
      </c>
      <c r="J199" s="116">
        <f>(KUNJUNGAN!$H199*60)+KUNJUNGAN!$I199</f>
        <v>181</v>
      </c>
      <c r="K199" s="115"/>
      <c r="L199" s="11" t="s">
        <v>284</v>
      </c>
      <c r="M199" s="11"/>
    </row>
    <row r="200" ht="15.75" customHeight="1">
      <c r="A200" s="11">
        <v>335.0</v>
      </c>
      <c r="B200" s="113" t="s">
        <v>56</v>
      </c>
      <c r="C200" s="124">
        <v>1.0</v>
      </c>
      <c r="D200" s="113" t="s">
        <v>730</v>
      </c>
      <c r="E200" s="113" t="s">
        <v>735</v>
      </c>
      <c r="F200" s="113" t="s">
        <v>736</v>
      </c>
      <c r="G200" s="113">
        <v>193.0</v>
      </c>
      <c r="H200" s="115">
        <f>ROUNDDOWN(KUNJUNGAN!$G200/60,0)</f>
        <v>3</v>
      </c>
      <c r="I200" s="116">
        <f t="shared" si="1"/>
        <v>13</v>
      </c>
      <c r="J200" s="116">
        <f>(KUNJUNGAN!$H200*60)+KUNJUNGAN!$I200</f>
        <v>193</v>
      </c>
      <c r="K200" s="115"/>
      <c r="L200" s="11" t="s">
        <v>284</v>
      </c>
      <c r="M200" s="11"/>
    </row>
    <row r="201" ht="15.75" customHeight="1">
      <c r="A201" s="11">
        <v>336.0</v>
      </c>
      <c r="B201" s="113" t="s">
        <v>56</v>
      </c>
      <c r="C201" s="124">
        <v>1.0</v>
      </c>
      <c r="D201" s="113" t="s">
        <v>730</v>
      </c>
      <c r="E201" s="113" t="s">
        <v>737</v>
      </c>
      <c r="F201" s="113" t="s">
        <v>738</v>
      </c>
      <c r="G201" s="113">
        <v>184.0</v>
      </c>
      <c r="H201" s="115">
        <f>ROUNDDOWN(KUNJUNGAN!$G201/60,0)</f>
        <v>3</v>
      </c>
      <c r="I201" s="116">
        <f t="shared" si="1"/>
        <v>4</v>
      </c>
      <c r="J201" s="116">
        <f>(KUNJUNGAN!$H201*60)+KUNJUNGAN!$I201</f>
        <v>184</v>
      </c>
      <c r="K201" s="115"/>
      <c r="L201" s="11" t="s">
        <v>284</v>
      </c>
      <c r="M201" s="11"/>
    </row>
    <row r="202" ht="15.75" customHeight="1">
      <c r="A202" s="11">
        <v>337.0</v>
      </c>
      <c r="B202" s="113" t="s">
        <v>56</v>
      </c>
      <c r="C202" s="124">
        <v>1.0</v>
      </c>
      <c r="D202" s="113" t="s">
        <v>730</v>
      </c>
      <c r="E202" s="113" t="s">
        <v>739</v>
      </c>
      <c r="F202" s="113" t="s">
        <v>740</v>
      </c>
      <c r="G202" s="113">
        <v>123.0</v>
      </c>
      <c r="H202" s="115">
        <f>ROUNDDOWN(KUNJUNGAN!$G202/60,0)</f>
        <v>2</v>
      </c>
      <c r="I202" s="116">
        <f t="shared" si="1"/>
        <v>3</v>
      </c>
      <c r="J202" s="116">
        <f>(KUNJUNGAN!$H202*60)+KUNJUNGAN!$I202</f>
        <v>123</v>
      </c>
      <c r="K202" s="115"/>
      <c r="L202" s="11" t="s">
        <v>284</v>
      </c>
      <c r="M202" s="11"/>
    </row>
    <row r="203" ht="15.75" customHeight="1">
      <c r="A203" s="11">
        <v>384.0</v>
      </c>
      <c r="B203" s="113" t="s">
        <v>56</v>
      </c>
      <c r="C203" s="124">
        <v>1.0</v>
      </c>
      <c r="D203" s="113" t="s">
        <v>730</v>
      </c>
      <c r="E203" s="113" t="s">
        <v>741</v>
      </c>
      <c r="F203" s="113" t="s">
        <v>742</v>
      </c>
      <c r="G203" s="113">
        <v>325.0</v>
      </c>
      <c r="H203" s="115">
        <f>ROUNDDOWN(KUNJUNGAN!$G203/60,0)</f>
        <v>5</v>
      </c>
      <c r="I203" s="116">
        <f t="shared" si="1"/>
        <v>25</v>
      </c>
      <c r="J203" s="116">
        <f>(KUNJUNGAN!$H203*60)+KUNJUNGAN!$I203</f>
        <v>325</v>
      </c>
      <c r="K203" s="115"/>
      <c r="L203" s="11" t="s">
        <v>284</v>
      </c>
      <c r="M203" s="11"/>
      <c r="N203" s="65"/>
    </row>
    <row r="204" ht="15.75" customHeight="1">
      <c r="A204" s="11">
        <v>388.0</v>
      </c>
      <c r="B204" s="113" t="s">
        <v>56</v>
      </c>
      <c r="C204" s="124">
        <v>1.0</v>
      </c>
      <c r="D204" s="113" t="s">
        <v>730</v>
      </c>
      <c r="E204" s="113" t="s">
        <v>743</v>
      </c>
      <c r="F204" s="113" t="s">
        <v>744</v>
      </c>
      <c r="G204" s="113">
        <v>170.0</v>
      </c>
      <c r="H204" s="115">
        <f>ROUNDDOWN(KUNJUNGAN!$G204/60,0)</f>
        <v>2</v>
      </c>
      <c r="I204" s="116">
        <f t="shared" si="1"/>
        <v>50</v>
      </c>
      <c r="J204" s="116">
        <f>(KUNJUNGAN!$H204*60)+KUNJUNGAN!$I204</f>
        <v>170</v>
      </c>
      <c r="K204" s="115"/>
      <c r="L204" s="11" t="s">
        <v>284</v>
      </c>
      <c r="M204" s="11"/>
      <c r="N204" s="65"/>
    </row>
    <row r="205" ht="15.75" customHeight="1">
      <c r="A205" s="11">
        <v>338.0</v>
      </c>
      <c r="B205" s="113" t="s">
        <v>56</v>
      </c>
      <c r="C205" s="124">
        <v>1.0</v>
      </c>
      <c r="D205" s="113" t="s">
        <v>730</v>
      </c>
      <c r="E205" s="113" t="s">
        <v>745</v>
      </c>
      <c r="F205" s="113" t="s">
        <v>746</v>
      </c>
      <c r="G205" s="113">
        <v>177.0</v>
      </c>
      <c r="H205" s="115">
        <f>ROUNDDOWN(KUNJUNGAN!$G205/60,0)</f>
        <v>2</v>
      </c>
      <c r="I205" s="116">
        <f t="shared" si="1"/>
        <v>57</v>
      </c>
      <c r="J205" s="116">
        <f>(KUNJUNGAN!$H205*60)+KUNJUNGAN!$I205</f>
        <v>177</v>
      </c>
      <c r="K205" s="115"/>
      <c r="L205" s="11" t="s">
        <v>284</v>
      </c>
      <c r="M205" s="11"/>
    </row>
    <row r="206" ht="15.75" customHeight="1">
      <c r="A206" s="11">
        <v>339.0</v>
      </c>
      <c r="B206" s="113" t="s">
        <v>56</v>
      </c>
      <c r="C206" s="124">
        <v>1.0</v>
      </c>
      <c r="D206" s="113" t="s">
        <v>730</v>
      </c>
      <c r="E206" s="113" t="s">
        <v>747</v>
      </c>
      <c r="F206" s="113" t="s">
        <v>748</v>
      </c>
      <c r="G206" s="113">
        <v>124.0</v>
      </c>
      <c r="H206" s="115">
        <f>ROUNDDOWN(KUNJUNGAN!$G206/60,0)</f>
        <v>2</v>
      </c>
      <c r="I206" s="116">
        <f t="shared" si="1"/>
        <v>4</v>
      </c>
      <c r="J206" s="116">
        <f>(KUNJUNGAN!$H206*60)+KUNJUNGAN!$I206</f>
        <v>124</v>
      </c>
      <c r="K206" s="115"/>
      <c r="L206" s="11" t="s">
        <v>284</v>
      </c>
      <c r="M206" s="11"/>
    </row>
    <row r="207" ht="15.75" customHeight="1">
      <c r="A207" s="11">
        <v>340.0</v>
      </c>
      <c r="B207" s="113" t="s">
        <v>56</v>
      </c>
      <c r="C207" s="124">
        <v>1.0</v>
      </c>
      <c r="D207" s="113" t="s">
        <v>730</v>
      </c>
      <c r="E207" s="113" t="s">
        <v>749</v>
      </c>
      <c r="F207" s="113" t="s">
        <v>750</v>
      </c>
      <c r="G207" s="113">
        <v>225.0</v>
      </c>
      <c r="H207" s="115">
        <f>ROUNDDOWN(KUNJUNGAN!$G207/60,0)</f>
        <v>3</v>
      </c>
      <c r="I207" s="116">
        <f t="shared" si="1"/>
        <v>45</v>
      </c>
      <c r="J207" s="116">
        <f>(KUNJUNGAN!$H207*60)+KUNJUNGAN!$I207</f>
        <v>225</v>
      </c>
      <c r="K207" s="115"/>
      <c r="L207" s="11" t="s">
        <v>284</v>
      </c>
      <c r="M207" s="11"/>
    </row>
    <row r="208" ht="15.75" customHeight="1">
      <c r="A208" s="11">
        <v>341.0</v>
      </c>
      <c r="B208" s="113" t="s">
        <v>56</v>
      </c>
      <c r="C208" s="124">
        <v>1.0</v>
      </c>
      <c r="D208" s="113" t="s">
        <v>730</v>
      </c>
      <c r="E208" s="113" t="s">
        <v>751</v>
      </c>
      <c r="F208" s="113" t="s">
        <v>752</v>
      </c>
      <c r="G208" s="113">
        <v>240.0</v>
      </c>
      <c r="H208" s="115">
        <f>ROUNDDOWN(KUNJUNGAN!$G208/60,0)</f>
        <v>4</v>
      </c>
      <c r="I208" s="116">
        <f t="shared" si="1"/>
        <v>0</v>
      </c>
      <c r="J208" s="116">
        <f>(KUNJUNGAN!$H208*60)+KUNJUNGAN!$I208</f>
        <v>240</v>
      </c>
      <c r="K208" s="115"/>
      <c r="L208" s="11" t="s">
        <v>284</v>
      </c>
      <c r="M208" s="11"/>
    </row>
    <row r="209" ht="15.75" customHeight="1">
      <c r="A209" s="11">
        <v>342.0</v>
      </c>
      <c r="B209" s="113" t="s">
        <v>56</v>
      </c>
      <c r="C209" s="124">
        <v>1.0</v>
      </c>
      <c r="D209" s="113" t="s">
        <v>730</v>
      </c>
      <c r="E209" s="113" t="s">
        <v>753</v>
      </c>
      <c r="F209" s="113" t="s">
        <v>754</v>
      </c>
      <c r="G209" s="113">
        <v>169.0</v>
      </c>
      <c r="H209" s="115">
        <f>ROUNDDOWN(KUNJUNGAN!$G209/60,0)</f>
        <v>2</v>
      </c>
      <c r="I209" s="116">
        <f t="shared" si="1"/>
        <v>49</v>
      </c>
      <c r="J209" s="116">
        <f>(KUNJUNGAN!$H209*60)+KUNJUNGAN!$I209</f>
        <v>169</v>
      </c>
      <c r="K209" s="115"/>
      <c r="L209" s="11" t="s">
        <v>284</v>
      </c>
      <c r="M209" s="11"/>
    </row>
    <row r="210" ht="15.75" customHeight="1">
      <c r="A210" s="11">
        <v>343.0</v>
      </c>
      <c r="B210" s="113" t="s">
        <v>56</v>
      </c>
      <c r="C210" s="124">
        <v>1.0</v>
      </c>
      <c r="D210" s="113" t="s">
        <v>730</v>
      </c>
      <c r="E210" s="113" t="s">
        <v>755</v>
      </c>
      <c r="F210" s="113" t="s">
        <v>756</v>
      </c>
      <c r="G210" s="113">
        <v>212.0</v>
      </c>
      <c r="H210" s="115">
        <f>ROUNDDOWN(KUNJUNGAN!$G210/60,0)</f>
        <v>3</v>
      </c>
      <c r="I210" s="116">
        <f t="shared" si="1"/>
        <v>32</v>
      </c>
      <c r="J210" s="116">
        <f>(KUNJUNGAN!$H210*60)+KUNJUNGAN!$I210</f>
        <v>212</v>
      </c>
      <c r="K210" s="115"/>
      <c r="L210" s="11" t="s">
        <v>284</v>
      </c>
      <c r="M210" s="11"/>
    </row>
    <row r="211" ht="15.75" customHeight="1">
      <c r="A211" s="11">
        <v>344.0</v>
      </c>
      <c r="B211" s="113" t="s">
        <v>56</v>
      </c>
      <c r="C211" s="124">
        <v>1.0</v>
      </c>
      <c r="D211" s="113" t="s">
        <v>730</v>
      </c>
      <c r="E211" s="113" t="s">
        <v>757</v>
      </c>
      <c r="F211" s="113" t="s">
        <v>758</v>
      </c>
      <c r="G211" s="113">
        <v>276.0</v>
      </c>
      <c r="H211" s="115">
        <f>ROUNDDOWN(KUNJUNGAN!$G211/60,0)</f>
        <v>4</v>
      </c>
      <c r="I211" s="116">
        <f t="shared" si="1"/>
        <v>36</v>
      </c>
      <c r="J211" s="116">
        <f>(KUNJUNGAN!$H211*60)+KUNJUNGAN!$I211</f>
        <v>276</v>
      </c>
      <c r="K211" s="115"/>
      <c r="L211" s="11" t="s">
        <v>284</v>
      </c>
      <c r="M211" s="11"/>
    </row>
    <row r="212" ht="15.75" customHeight="1">
      <c r="A212" s="11">
        <v>345.0</v>
      </c>
      <c r="B212" s="113" t="s">
        <v>56</v>
      </c>
      <c r="C212" s="124">
        <v>1.0</v>
      </c>
      <c r="D212" s="113" t="s">
        <v>759</v>
      </c>
      <c r="E212" s="113" t="s">
        <v>760</v>
      </c>
      <c r="F212" s="113" t="s">
        <v>761</v>
      </c>
      <c r="G212" s="113">
        <v>46.0</v>
      </c>
      <c r="H212" s="115">
        <f>ROUNDDOWN(KUNJUNGAN!$G212/60,0)</f>
        <v>0</v>
      </c>
      <c r="I212" s="116">
        <f t="shared" si="1"/>
        <v>46</v>
      </c>
      <c r="J212" s="116">
        <f>(KUNJUNGAN!$H212*60)+KUNJUNGAN!$I212</f>
        <v>46</v>
      </c>
      <c r="K212" s="115"/>
      <c r="L212" s="11" t="s">
        <v>284</v>
      </c>
      <c r="M212" s="11"/>
    </row>
    <row r="213" ht="15.75" customHeight="1">
      <c r="A213" s="11">
        <v>346.0</v>
      </c>
      <c r="B213" s="113" t="s">
        <v>56</v>
      </c>
      <c r="C213" s="124">
        <v>1.0</v>
      </c>
      <c r="D213" s="113" t="s">
        <v>762</v>
      </c>
      <c r="E213" s="113" t="s">
        <v>763</v>
      </c>
      <c r="F213" s="113" t="s">
        <v>764</v>
      </c>
      <c r="G213" s="113">
        <v>33.0</v>
      </c>
      <c r="H213" s="115">
        <f>ROUNDDOWN(KUNJUNGAN!$G213/60,0)</f>
        <v>0</v>
      </c>
      <c r="I213" s="116">
        <f t="shared" si="1"/>
        <v>33</v>
      </c>
      <c r="J213" s="116">
        <f>(KUNJUNGAN!$H213*60)+KUNJUNGAN!$I213</f>
        <v>33</v>
      </c>
      <c r="K213" s="115"/>
      <c r="L213" s="11" t="s">
        <v>284</v>
      </c>
      <c r="M213" s="11"/>
    </row>
    <row r="214" ht="15.75" customHeight="1">
      <c r="A214" s="11">
        <v>389.0</v>
      </c>
      <c r="B214" s="113" t="s">
        <v>56</v>
      </c>
      <c r="C214" s="124">
        <v>1.0</v>
      </c>
      <c r="D214" s="113" t="s">
        <v>765</v>
      </c>
      <c r="E214" s="113" t="s">
        <v>766</v>
      </c>
      <c r="F214" s="113" t="s">
        <v>767</v>
      </c>
      <c r="G214" s="113">
        <v>37.0</v>
      </c>
      <c r="H214" s="115">
        <f>ROUNDDOWN(KUNJUNGAN!$G214/60,0)</f>
        <v>0</v>
      </c>
      <c r="I214" s="116">
        <f t="shared" si="1"/>
        <v>37</v>
      </c>
      <c r="J214" s="116">
        <f>(KUNJUNGAN!$H214*60)+KUNJUNGAN!$I214</f>
        <v>37</v>
      </c>
      <c r="K214" s="115"/>
      <c r="L214" s="11" t="s">
        <v>284</v>
      </c>
      <c r="M214" s="11"/>
      <c r="N214" s="65"/>
    </row>
    <row r="215" ht="15.75" customHeight="1">
      <c r="A215" s="11">
        <v>347.0</v>
      </c>
      <c r="B215" s="113" t="s">
        <v>56</v>
      </c>
      <c r="C215" s="124">
        <v>1.0</v>
      </c>
      <c r="D215" s="113" t="s">
        <v>765</v>
      </c>
      <c r="E215" s="113" t="s">
        <v>768</v>
      </c>
      <c r="F215" s="113" t="s">
        <v>769</v>
      </c>
      <c r="G215" s="113">
        <v>28.0</v>
      </c>
      <c r="H215" s="115">
        <f>ROUNDDOWN(KUNJUNGAN!$G215/60,0)</f>
        <v>0</v>
      </c>
      <c r="I215" s="116">
        <f t="shared" si="1"/>
        <v>28</v>
      </c>
      <c r="J215" s="116">
        <f>(KUNJUNGAN!$H215*60)+KUNJUNGAN!$I215</f>
        <v>28</v>
      </c>
      <c r="K215" s="115"/>
      <c r="L215" s="11" t="s">
        <v>284</v>
      </c>
      <c r="M215" s="11"/>
    </row>
    <row r="216" ht="15.75" customHeight="1">
      <c r="A216" s="11">
        <v>348.0</v>
      </c>
      <c r="B216" s="113" t="s">
        <v>56</v>
      </c>
      <c r="C216" s="124">
        <v>1.0</v>
      </c>
      <c r="D216" s="113" t="s">
        <v>770</v>
      </c>
      <c r="E216" s="113" t="s">
        <v>771</v>
      </c>
      <c r="F216" s="113" t="s">
        <v>772</v>
      </c>
      <c r="G216" s="113">
        <v>77.0</v>
      </c>
      <c r="H216" s="115">
        <f>ROUNDDOWN(KUNJUNGAN!$G216/60,0)</f>
        <v>1</v>
      </c>
      <c r="I216" s="116">
        <f t="shared" si="1"/>
        <v>17</v>
      </c>
      <c r="J216" s="116">
        <f>(KUNJUNGAN!$H216*60)+KUNJUNGAN!$I216</f>
        <v>77</v>
      </c>
      <c r="K216" s="115"/>
      <c r="L216" s="11" t="s">
        <v>284</v>
      </c>
      <c r="M216" s="11"/>
    </row>
    <row r="217" ht="15.75" customHeight="1">
      <c r="A217" s="11">
        <v>349.0</v>
      </c>
      <c r="B217" s="113" t="s">
        <v>56</v>
      </c>
      <c r="C217" s="124">
        <v>1.0</v>
      </c>
      <c r="D217" s="113" t="s">
        <v>770</v>
      </c>
      <c r="E217" s="113" t="s">
        <v>773</v>
      </c>
      <c r="F217" s="113" t="s">
        <v>774</v>
      </c>
      <c r="G217" s="113">
        <v>91.0</v>
      </c>
      <c r="H217" s="115">
        <f>ROUNDDOWN(KUNJUNGAN!$G217/60,0)</f>
        <v>1</v>
      </c>
      <c r="I217" s="116">
        <f t="shared" si="1"/>
        <v>31</v>
      </c>
      <c r="J217" s="116">
        <f>(KUNJUNGAN!$H217*60)+KUNJUNGAN!$I217</f>
        <v>91</v>
      </c>
      <c r="K217" s="115"/>
      <c r="L217" s="11" t="s">
        <v>284</v>
      </c>
      <c r="M217" s="11"/>
    </row>
    <row r="218" ht="15.75" customHeight="1">
      <c r="A218" s="11">
        <v>350.0</v>
      </c>
      <c r="B218" s="113" t="s">
        <v>56</v>
      </c>
      <c r="C218" s="124">
        <v>1.0</v>
      </c>
      <c r="D218" s="113" t="s">
        <v>775</v>
      </c>
      <c r="E218" s="113" t="s">
        <v>776</v>
      </c>
      <c r="F218" s="113" t="s">
        <v>777</v>
      </c>
      <c r="G218" s="113">
        <v>74.0</v>
      </c>
      <c r="H218" s="115">
        <f>ROUNDDOWN(KUNJUNGAN!$G218/60,0)</f>
        <v>1</v>
      </c>
      <c r="I218" s="116">
        <f t="shared" si="1"/>
        <v>14</v>
      </c>
      <c r="J218" s="116">
        <f>(KUNJUNGAN!$H218*60)+KUNJUNGAN!$I218</f>
        <v>74</v>
      </c>
      <c r="K218" s="115"/>
      <c r="L218" s="11" t="s">
        <v>284</v>
      </c>
      <c r="M218" s="11"/>
    </row>
    <row r="219" ht="15.75" customHeight="1">
      <c r="A219" s="11">
        <v>351.0</v>
      </c>
      <c r="B219" s="113" t="s">
        <v>56</v>
      </c>
      <c r="C219" s="124">
        <v>1.0</v>
      </c>
      <c r="D219" s="113" t="s">
        <v>775</v>
      </c>
      <c r="E219" s="113" t="s">
        <v>778</v>
      </c>
      <c r="F219" s="113" t="s">
        <v>779</v>
      </c>
      <c r="G219" s="113">
        <v>45.0</v>
      </c>
      <c r="H219" s="115">
        <f>ROUNDDOWN(KUNJUNGAN!$G219/60,0)</f>
        <v>0</v>
      </c>
      <c r="I219" s="116">
        <f t="shared" si="1"/>
        <v>45</v>
      </c>
      <c r="J219" s="116">
        <f>(KUNJUNGAN!$H219*60)+KUNJUNGAN!$I219</f>
        <v>45</v>
      </c>
      <c r="K219" s="115"/>
      <c r="L219" s="11" t="s">
        <v>284</v>
      </c>
      <c r="M219" s="11"/>
    </row>
    <row r="220" ht="15.75" customHeight="1">
      <c r="A220" s="11">
        <v>352.0</v>
      </c>
      <c r="B220" s="113" t="s">
        <v>56</v>
      </c>
      <c r="C220" s="124">
        <v>1.0</v>
      </c>
      <c r="D220" s="113" t="s">
        <v>780</v>
      </c>
      <c r="E220" s="113" t="s">
        <v>781</v>
      </c>
      <c r="F220" s="113" t="s">
        <v>782</v>
      </c>
      <c r="G220" s="113">
        <v>56.0</v>
      </c>
      <c r="H220" s="115">
        <f>ROUNDDOWN(KUNJUNGAN!$G220/60,0)</f>
        <v>0</v>
      </c>
      <c r="I220" s="116">
        <f t="shared" si="1"/>
        <v>56</v>
      </c>
      <c r="J220" s="116">
        <f>(KUNJUNGAN!$H220*60)+KUNJUNGAN!$I220</f>
        <v>56</v>
      </c>
      <c r="K220" s="115"/>
      <c r="L220" s="11" t="s">
        <v>284</v>
      </c>
      <c r="M220" s="11"/>
    </row>
    <row r="221" ht="15.75" customHeight="1">
      <c r="A221" s="11">
        <v>353.0</v>
      </c>
      <c r="B221" s="113" t="s">
        <v>56</v>
      </c>
      <c r="C221" s="124">
        <v>1.0</v>
      </c>
      <c r="D221" s="113" t="s">
        <v>780</v>
      </c>
      <c r="E221" s="113" t="s">
        <v>783</v>
      </c>
      <c r="F221" s="113" t="s">
        <v>784</v>
      </c>
      <c r="G221" s="113">
        <v>60.0</v>
      </c>
      <c r="H221" s="115">
        <f>ROUNDDOWN(KUNJUNGAN!$G221/60,0)</f>
        <v>1</v>
      </c>
      <c r="I221" s="116">
        <f t="shared" si="1"/>
        <v>0</v>
      </c>
      <c r="J221" s="116">
        <f>(KUNJUNGAN!$H221*60)+KUNJUNGAN!$I221</f>
        <v>60</v>
      </c>
      <c r="K221" s="115"/>
      <c r="L221" s="11" t="s">
        <v>284</v>
      </c>
      <c r="M221" s="11"/>
    </row>
    <row r="222" ht="15.75" customHeight="1">
      <c r="A222" s="11">
        <v>354.0</v>
      </c>
      <c r="B222" s="113" t="s">
        <v>62</v>
      </c>
      <c r="C222" s="124">
        <v>1.0</v>
      </c>
      <c r="D222" s="113" t="s">
        <v>785</v>
      </c>
      <c r="E222" s="113" t="s">
        <v>786</v>
      </c>
      <c r="F222" s="113" t="s">
        <v>787</v>
      </c>
      <c r="G222" s="113">
        <v>107.0</v>
      </c>
      <c r="H222" s="115">
        <f>ROUNDDOWN(KUNJUNGAN!$G222/60,0)</f>
        <v>1</v>
      </c>
      <c r="I222" s="116">
        <f t="shared" si="1"/>
        <v>47</v>
      </c>
      <c r="J222" s="116">
        <f>(KUNJUNGAN!$H222*60)+KUNJUNGAN!$I222</f>
        <v>107</v>
      </c>
      <c r="K222" s="115"/>
      <c r="L222" s="11" t="s">
        <v>284</v>
      </c>
      <c r="M222" s="11"/>
    </row>
    <row r="223" ht="15.75" customHeight="1">
      <c r="A223" s="11">
        <v>355.0</v>
      </c>
      <c r="B223" s="113" t="s">
        <v>62</v>
      </c>
      <c r="C223" s="124">
        <v>1.0</v>
      </c>
      <c r="D223" s="113" t="s">
        <v>785</v>
      </c>
      <c r="E223" s="113" t="s">
        <v>788</v>
      </c>
      <c r="F223" s="113" t="s">
        <v>789</v>
      </c>
      <c r="G223" s="113">
        <v>18.0</v>
      </c>
      <c r="H223" s="115">
        <f>ROUNDDOWN(KUNJUNGAN!$G223/60,0)</f>
        <v>0</v>
      </c>
      <c r="I223" s="116">
        <f t="shared" si="1"/>
        <v>18</v>
      </c>
      <c r="J223" s="116">
        <f>(KUNJUNGAN!$H223*60)+KUNJUNGAN!$I223</f>
        <v>18</v>
      </c>
      <c r="K223" s="115"/>
      <c r="L223" s="11" t="s">
        <v>284</v>
      </c>
      <c r="M223" s="11"/>
    </row>
    <row r="224" ht="15.75" customHeight="1">
      <c r="A224" s="11">
        <v>356.0</v>
      </c>
      <c r="B224" s="113" t="s">
        <v>62</v>
      </c>
      <c r="C224" s="124">
        <v>1.0</v>
      </c>
      <c r="D224" s="113" t="s">
        <v>790</v>
      </c>
      <c r="E224" s="113" t="s">
        <v>791</v>
      </c>
      <c r="F224" s="113" t="s">
        <v>792</v>
      </c>
      <c r="G224" s="113">
        <v>91.0</v>
      </c>
      <c r="H224" s="115">
        <f>ROUNDDOWN(KUNJUNGAN!$G224/60,0)</f>
        <v>1</v>
      </c>
      <c r="I224" s="116">
        <f t="shared" si="1"/>
        <v>31</v>
      </c>
      <c r="J224" s="116">
        <f>(KUNJUNGAN!$H224*60)+KUNJUNGAN!$I224</f>
        <v>91</v>
      </c>
      <c r="K224" s="115"/>
      <c r="L224" s="11" t="s">
        <v>284</v>
      </c>
      <c r="M224" s="11"/>
    </row>
    <row r="225" ht="15.75" customHeight="1">
      <c r="A225" s="11">
        <v>357.0</v>
      </c>
      <c r="B225" s="113" t="s">
        <v>62</v>
      </c>
      <c r="C225" s="124">
        <v>1.0</v>
      </c>
      <c r="D225" s="113" t="s">
        <v>793</v>
      </c>
      <c r="E225" s="113" t="s">
        <v>794</v>
      </c>
      <c r="F225" s="113" t="s">
        <v>795</v>
      </c>
      <c r="G225" s="113">
        <v>25.0</v>
      </c>
      <c r="H225" s="115">
        <f>ROUNDDOWN(KUNJUNGAN!$G225/60,0)</f>
        <v>0</v>
      </c>
      <c r="I225" s="116">
        <f t="shared" si="1"/>
        <v>25</v>
      </c>
      <c r="J225" s="116">
        <f>(KUNJUNGAN!$H225*60)+KUNJUNGAN!$I225</f>
        <v>25</v>
      </c>
      <c r="K225" s="115"/>
      <c r="L225" s="11" t="s">
        <v>284</v>
      </c>
      <c r="M225" s="11"/>
    </row>
    <row r="226" ht="15.75" customHeight="1">
      <c r="A226" s="11">
        <v>358.0</v>
      </c>
      <c r="B226" s="113" t="s">
        <v>62</v>
      </c>
      <c r="C226" s="124">
        <v>1.0</v>
      </c>
      <c r="D226" s="113" t="s">
        <v>793</v>
      </c>
      <c r="E226" s="113" t="s">
        <v>796</v>
      </c>
      <c r="F226" s="113" t="s">
        <v>797</v>
      </c>
      <c r="G226" s="113">
        <v>55.0</v>
      </c>
      <c r="H226" s="115">
        <f>ROUNDDOWN(KUNJUNGAN!$G226/60,0)</f>
        <v>0</v>
      </c>
      <c r="I226" s="116">
        <f t="shared" si="1"/>
        <v>55</v>
      </c>
      <c r="J226" s="116">
        <f>(KUNJUNGAN!$H226*60)+KUNJUNGAN!$I226</f>
        <v>55</v>
      </c>
      <c r="K226" s="115"/>
      <c r="L226" s="11" t="s">
        <v>284</v>
      </c>
      <c r="M226" s="11"/>
    </row>
    <row r="227" ht="15.75" customHeight="1">
      <c r="A227" s="11">
        <v>359.0</v>
      </c>
      <c r="B227" s="113" t="s">
        <v>62</v>
      </c>
      <c r="C227" s="124">
        <v>1.0</v>
      </c>
      <c r="D227" s="113" t="s">
        <v>798</v>
      </c>
      <c r="E227" s="113" t="s">
        <v>799</v>
      </c>
      <c r="F227" s="113" t="s">
        <v>800</v>
      </c>
      <c r="G227" s="113">
        <v>51.0</v>
      </c>
      <c r="H227" s="115">
        <f>ROUNDDOWN(KUNJUNGAN!$G227/60,0)</f>
        <v>0</v>
      </c>
      <c r="I227" s="116">
        <f t="shared" si="1"/>
        <v>51</v>
      </c>
      <c r="J227" s="116">
        <f>(KUNJUNGAN!$H227*60)+KUNJUNGAN!$I227</f>
        <v>51</v>
      </c>
      <c r="K227" s="115"/>
      <c r="L227" s="11" t="s">
        <v>284</v>
      </c>
      <c r="M227" s="11"/>
    </row>
    <row r="228" ht="15.75" customHeight="1">
      <c r="A228" s="11">
        <v>360.0</v>
      </c>
      <c r="B228" s="113" t="s">
        <v>62</v>
      </c>
      <c r="C228" s="124">
        <v>1.0</v>
      </c>
      <c r="D228" s="113" t="s">
        <v>801</v>
      </c>
      <c r="E228" s="113" t="s">
        <v>802</v>
      </c>
      <c r="F228" s="113" t="s">
        <v>591</v>
      </c>
      <c r="G228" s="113">
        <v>33.0</v>
      </c>
      <c r="H228" s="115">
        <f>ROUNDDOWN(KUNJUNGAN!$G228/60,0)</f>
        <v>0</v>
      </c>
      <c r="I228" s="116">
        <f t="shared" si="1"/>
        <v>33</v>
      </c>
      <c r="J228" s="116">
        <f>(KUNJUNGAN!$H228*60)+KUNJUNGAN!$I228</f>
        <v>33</v>
      </c>
      <c r="K228" s="115"/>
      <c r="L228" s="11" t="s">
        <v>284</v>
      </c>
      <c r="M228" s="11"/>
    </row>
    <row r="229" ht="15.75" customHeight="1">
      <c r="A229" s="11">
        <v>390.0</v>
      </c>
      <c r="B229" s="113" t="s">
        <v>62</v>
      </c>
      <c r="C229" s="124">
        <v>1.0</v>
      </c>
      <c r="D229" s="113" t="s">
        <v>801</v>
      </c>
      <c r="E229" s="113" t="s">
        <v>803</v>
      </c>
      <c r="F229" s="113" t="s">
        <v>804</v>
      </c>
      <c r="G229" s="113">
        <v>35.0</v>
      </c>
      <c r="H229" s="115">
        <f>ROUNDDOWN(KUNJUNGAN!$G229/60,0)</f>
        <v>0</v>
      </c>
      <c r="I229" s="116">
        <f t="shared" si="1"/>
        <v>35</v>
      </c>
      <c r="J229" s="116">
        <f>(KUNJUNGAN!$H229*60)+KUNJUNGAN!$I229</f>
        <v>35</v>
      </c>
      <c r="K229" s="115"/>
      <c r="L229" s="11" t="s">
        <v>284</v>
      </c>
      <c r="M229" s="11"/>
      <c r="N229" s="65"/>
    </row>
    <row r="230" ht="15.75" customHeight="1">
      <c r="A230" s="11">
        <v>361.0</v>
      </c>
      <c r="B230" s="113" t="s">
        <v>62</v>
      </c>
      <c r="C230" s="124">
        <v>1.0</v>
      </c>
      <c r="D230" s="113" t="s">
        <v>805</v>
      </c>
      <c r="E230" s="113" t="s">
        <v>806</v>
      </c>
      <c r="F230" s="113" t="s">
        <v>807</v>
      </c>
      <c r="G230" s="113">
        <v>127.0</v>
      </c>
      <c r="H230" s="115">
        <f>ROUNDDOWN(KUNJUNGAN!$G230/60,0)</f>
        <v>2</v>
      </c>
      <c r="I230" s="116">
        <f t="shared" si="1"/>
        <v>7</v>
      </c>
      <c r="J230" s="116">
        <f>(KUNJUNGAN!$H230*60)+KUNJUNGAN!$I230</f>
        <v>127</v>
      </c>
      <c r="K230" s="115"/>
      <c r="L230" s="11" t="s">
        <v>284</v>
      </c>
      <c r="M230" s="11"/>
    </row>
    <row r="231" ht="15.75" customHeight="1">
      <c r="A231" s="11">
        <v>362.0</v>
      </c>
      <c r="B231" s="113" t="s">
        <v>62</v>
      </c>
      <c r="C231" s="124">
        <v>1.0</v>
      </c>
      <c r="D231" s="113" t="s">
        <v>805</v>
      </c>
      <c r="E231" s="113" t="s">
        <v>808</v>
      </c>
      <c r="F231" s="113" t="s">
        <v>809</v>
      </c>
      <c r="G231" s="113">
        <v>67.0</v>
      </c>
      <c r="H231" s="115">
        <f>ROUNDDOWN(KUNJUNGAN!$G231/60,0)</f>
        <v>1</v>
      </c>
      <c r="I231" s="116">
        <f t="shared" si="1"/>
        <v>7</v>
      </c>
      <c r="J231" s="116">
        <f>(KUNJUNGAN!$H231*60)+KUNJUNGAN!$I231</f>
        <v>67</v>
      </c>
      <c r="K231" s="115"/>
      <c r="L231" s="11" t="s">
        <v>284</v>
      </c>
      <c r="M231" s="11"/>
    </row>
    <row r="232" ht="15.75" customHeight="1">
      <c r="A232" s="11">
        <v>386.0</v>
      </c>
      <c r="B232" s="113" t="s">
        <v>62</v>
      </c>
      <c r="C232" s="124">
        <v>1.0</v>
      </c>
      <c r="D232" s="113" t="s">
        <v>805</v>
      </c>
      <c r="E232" s="113" t="s">
        <v>810</v>
      </c>
      <c r="F232" s="113" t="s">
        <v>811</v>
      </c>
      <c r="G232" s="113">
        <v>71.0</v>
      </c>
      <c r="H232" s="115">
        <f>ROUNDDOWN(KUNJUNGAN!$G232/60,0)</f>
        <v>1</v>
      </c>
      <c r="I232" s="116">
        <f t="shared" si="1"/>
        <v>11</v>
      </c>
      <c r="J232" s="116">
        <f>(KUNJUNGAN!$H232*60)+KUNJUNGAN!$I232</f>
        <v>71</v>
      </c>
      <c r="K232" s="115"/>
      <c r="L232" s="11" t="s">
        <v>284</v>
      </c>
      <c r="M232" s="11"/>
      <c r="N232" s="65"/>
    </row>
    <row r="233" ht="15.75" customHeight="1">
      <c r="A233" s="11">
        <v>363.0</v>
      </c>
      <c r="B233" s="113" t="s">
        <v>62</v>
      </c>
      <c r="C233" s="124">
        <v>1.0</v>
      </c>
      <c r="D233" s="113" t="s">
        <v>812</v>
      </c>
      <c r="E233" s="113" t="s">
        <v>813</v>
      </c>
      <c r="F233" s="113" t="s">
        <v>814</v>
      </c>
      <c r="G233" s="113">
        <v>52.0</v>
      </c>
      <c r="H233" s="115">
        <f>ROUNDDOWN(KUNJUNGAN!$G233/60,0)</f>
        <v>0</v>
      </c>
      <c r="I233" s="116">
        <f t="shared" si="1"/>
        <v>52</v>
      </c>
      <c r="J233" s="116">
        <f>(KUNJUNGAN!$H233*60)+KUNJUNGAN!$I233</f>
        <v>52</v>
      </c>
      <c r="K233" s="115"/>
      <c r="L233" s="11" t="s">
        <v>284</v>
      </c>
      <c r="M233" s="11"/>
    </row>
    <row r="234" ht="15.75" customHeight="1">
      <c r="A234" s="11">
        <v>364.0</v>
      </c>
      <c r="B234" s="113" t="s">
        <v>62</v>
      </c>
      <c r="C234" s="124">
        <v>1.0</v>
      </c>
      <c r="D234" s="113" t="s">
        <v>815</v>
      </c>
      <c r="E234" s="113" t="s">
        <v>816</v>
      </c>
      <c r="F234" s="113" t="s">
        <v>817</v>
      </c>
      <c r="G234" s="113">
        <v>76.0</v>
      </c>
      <c r="H234" s="115">
        <f>ROUNDDOWN(KUNJUNGAN!$G234/60,0)</f>
        <v>1</v>
      </c>
      <c r="I234" s="116">
        <f t="shared" si="1"/>
        <v>16</v>
      </c>
      <c r="J234" s="116">
        <f>(KUNJUNGAN!$H234*60)+KUNJUNGAN!$I234</f>
        <v>76</v>
      </c>
      <c r="K234" s="115"/>
      <c r="L234" s="11" t="s">
        <v>284</v>
      </c>
      <c r="M234" s="11"/>
    </row>
    <row r="235" ht="15.75" customHeight="1">
      <c r="A235" s="11">
        <v>365.0</v>
      </c>
      <c r="B235" s="113" t="s">
        <v>62</v>
      </c>
      <c r="C235" s="124">
        <v>1.0</v>
      </c>
      <c r="D235" s="113" t="s">
        <v>818</v>
      </c>
      <c r="E235" s="113" t="s">
        <v>819</v>
      </c>
      <c r="F235" s="113" t="s">
        <v>820</v>
      </c>
      <c r="G235" s="113">
        <v>122.0</v>
      </c>
      <c r="H235" s="115">
        <f>ROUNDDOWN(KUNJUNGAN!$G235/60,0)</f>
        <v>2</v>
      </c>
      <c r="I235" s="116">
        <f t="shared" si="1"/>
        <v>2</v>
      </c>
      <c r="J235" s="116">
        <f>(KUNJUNGAN!$H235*60)+KUNJUNGAN!$I235</f>
        <v>122</v>
      </c>
      <c r="K235" s="115"/>
      <c r="L235" s="11" t="s">
        <v>284</v>
      </c>
      <c r="M235" s="11"/>
    </row>
    <row r="236" ht="15.75" customHeight="1">
      <c r="A236" s="11">
        <v>366.0</v>
      </c>
      <c r="B236" s="113" t="s">
        <v>62</v>
      </c>
      <c r="C236" s="124">
        <v>1.0</v>
      </c>
      <c r="D236" s="113" t="s">
        <v>821</v>
      </c>
      <c r="E236" s="113" t="s">
        <v>822</v>
      </c>
      <c r="F236" s="113" t="s">
        <v>823</v>
      </c>
      <c r="G236" s="113">
        <v>90.0</v>
      </c>
      <c r="H236" s="115">
        <f>ROUNDDOWN(KUNJUNGAN!$G236/60,0)</f>
        <v>1</v>
      </c>
      <c r="I236" s="116">
        <f t="shared" si="1"/>
        <v>30</v>
      </c>
      <c r="J236" s="116">
        <f>(KUNJUNGAN!$H236*60)+KUNJUNGAN!$I236</f>
        <v>90</v>
      </c>
      <c r="K236" s="115"/>
      <c r="L236" s="11" t="s">
        <v>284</v>
      </c>
      <c r="M236" s="11"/>
    </row>
    <row r="237" ht="15.75" customHeight="1">
      <c r="A237" s="11">
        <v>385.0</v>
      </c>
      <c r="B237" s="113" t="s">
        <v>62</v>
      </c>
      <c r="C237" s="124">
        <v>1.0</v>
      </c>
      <c r="D237" s="113" t="s">
        <v>821</v>
      </c>
      <c r="E237" s="113" t="s">
        <v>824</v>
      </c>
      <c r="F237" s="113" t="s">
        <v>825</v>
      </c>
      <c r="G237" s="113">
        <v>131.0</v>
      </c>
      <c r="H237" s="115">
        <f>ROUNDDOWN(KUNJUNGAN!$G237/60,0)</f>
        <v>2</v>
      </c>
      <c r="I237" s="116">
        <f t="shared" si="1"/>
        <v>11</v>
      </c>
      <c r="J237" s="116">
        <f>(KUNJUNGAN!$H237*60)+KUNJUNGAN!$I237</f>
        <v>131</v>
      </c>
      <c r="K237" s="115"/>
      <c r="L237" s="11" t="s">
        <v>284</v>
      </c>
      <c r="M237" s="11"/>
      <c r="N237" s="65"/>
    </row>
    <row r="238" ht="15.75" customHeight="1">
      <c r="A238" s="11">
        <v>367.0</v>
      </c>
      <c r="B238" s="113" t="s">
        <v>62</v>
      </c>
      <c r="C238" s="124">
        <v>1.0</v>
      </c>
      <c r="D238" s="113" t="s">
        <v>821</v>
      </c>
      <c r="E238" s="113" t="s">
        <v>826</v>
      </c>
      <c r="F238" s="113" t="s">
        <v>827</v>
      </c>
      <c r="G238" s="113">
        <v>125.0</v>
      </c>
      <c r="H238" s="115">
        <f>ROUNDDOWN(KUNJUNGAN!$G238/60,0)</f>
        <v>2</v>
      </c>
      <c r="I238" s="116">
        <f t="shared" si="1"/>
        <v>5</v>
      </c>
      <c r="J238" s="116">
        <f>(KUNJUNGAN!$H238*60)+KUNJUNGAN!$I238</f>
        <v>125</v>
      </c>
      <c r="K238" s="115"/>
      <c r="L238" s="11" t="s">
        <v>284</v>
      </c>
      <c r="M238" s="11"/>
    </row>
    <row r="239" ht="15.75" customHeight="1">
      <c r="A239" s="11">
        <v>368.0</v>
      </c>
      <c r="B239" s="113" t="s">
        <v>62</v>
      </c>
      <c r="C239" s="124">
        <v>1.0</v>
      </c>
      <c r="D239" s="113" t="s">
        <v>828</v>
      </c>
      <c r="E239" s="113" t="s">
        <v>829</v>
      </c>
      <c r="F239" s="113" t="s">
        <v>830</v>
      </c>
      <c r="G239" s="113">
        <v>27.0</v>
      </c>
      <c r="H239" s="115">
        <f>ROUNDDOWN(KUNJUNGAN!$G239/60,0)</f>
        <v>0</v>
      </c>
      <c r="I239" s="116">
        <f t="shared" si="1"/>
        <v>27</v>
      </c>
      <c r="J239" s="116">
        <f>(KUNJUNGAN!$H239*60)+KUNJUNGAN!$I239</f>
        <v>27</v>
      </c>
      <c r="K239" s="115"/>
      <c r="L239" s="11" t="s">
        <v>284</v>
      </c>
      <c r="M239" s="11"/>
    </row>
    <row r="240" ht="15.75" customHeight="1">
      <c r="A240" s="11">
        <v>369.0</v>
      </c>
      <c r="B240" s="113" t="s">
        <v>62</v>
      </c>
      <c r="C240" s="124">
        <v>1.0</v>
      </c>
      <c r="D240" s="113" t="s">
        <v>828</v>
      </c>
      <c r="E240" s="113" t="s">
        <v>831</v>
      </c>
      <c r="F240" s="113" t="s">
        <v>832</v>
      </c>
      <c r="G240" s="113">
        <v>5.0</v>
      </c>
      <c r="H240" s="115">
        <f>ROUNDDOWN(KUNJUNGAN!$G240/60,0)</f>
        <v>0</v>
      </c>
      <c r="I240" s="116">
        <f t="shared" si="1"/>
        <v>5</v>
      </c>
      <c r="J240" s="116">
        <f>(KUNJUNGAN!$H240*60)+KUNJUNGAN!$I240</f>
        <v>5</v>
      </c>
      <c r="K240" s="115"/>
      <c r="L240" s="11" t="s">
        <v>284</v>
      </c>
      <c r="M240" s="11"/>
      <c r="N240" s="122"/>
    </row>
    <row r="241" ht="15.75" customHeight="1">
      <c r="A241" s="11">
        <v>370.0</v>
      </c>
      <c r="B241" s="113" t="s">
        <v>62</v>
      </c>
      <c r="C241" s="124">
        <v>1.0</v>
      </c>
      <c r="D241" s="113" t="s">
        <v>833</v>
      </c>
      <c r="E241" s="113" t="s">
        <v>834</v>
      </c>
      <c r="F241" s="113" t="s">
        <v>835</v>
      </c>
      <c r="G241" s="113">
        <v>11.0</v>
      </c>
      <c r="H241" s="115">
        <f>ROUNDDOWN(KUNJUNGAN!$G241/60,0)</f>
        <v>0</v>
      </c>
      <c r="I241" s="116">
        <f t="shared" si="1"/>
        <v>11</v>
      </c>
      <c r="J241" s="116">
        <f>(KUNJUNGAN!$H241*60)+KUNJUNGAN!$I241</f>
        <v>11</v>
      </c>
      <c r="K241" s="115"/>
      <c r="L241" s="11" t="s">
        <v>284</v>
      </c>
      <c r="M241" s="11"/>
      <c r="N241" s="122"/>
    </row>
    <row r="242" ht="15.75" customHeight="1">
      <c r="A242" s="11">
        <v>371.0</v>
      </c>
      <c r="B242" s="113" t="s">
        <v>62</v>
      </c>
      <c r="C242" s="124">
        <v>1.0</v>
      </c>
      <c r="D242" s="113" t="s">
        <v>833</v>
      </c>
      <c r="E242" s="113" t="s">
        <v>836</v>
      </c>
      <c r="F242" s="113" t="s">
        <v>837</v>
      </c>
      <c r="G242" s="113">
        <v>1.0</v>
      </c>
      <c r="H242" s="115">
        <f>ROUNDDOWN(KUNJUNGAN!$G242/60,0)</f>
        <v>0</v>
      </c>
      <c r="I242" s="116">
        <f t="shared" si="1"/>
        <v>1</v>
      </c>
      <c r="J242" s="116">
        <f>(KUNJUNGAN!$H242*60)+KUNJUNGAN!$I242</f>
        <v>1</v>
      </c>
      <c r="K242" s="115"/>
      <c r="L242" s="11" t="s">
        <v>284</v>
      </c>
      <c r="M242" s="11"/>
      <c r="N242" s="122"/>
    </row>
    <row r="243" ht="15.75" customHeight="1">
      <c r="A243" s="11">
        <v>372.0</v>
      </c>
      <c r="B243" s="113" t="s">
        <v>62</v>
      </c>
      <c r="C243" s="124">
        <v>1.0</v>
      </c>
      <c r="D243" s="113" t="s">
        <v>838</v>
      </c>
      <c r="E243" s="113" t="s">
        <v>839</v>
      </c>
      <c r="F243" s="113" t="s">
        <v>840</v>
      </c>
      <c r="G243" s="113">
        <v>63.0</v>
      </c>
      <c r="H243" s="115">
        <f>ROUNDDOWN(KUNJUNGAN!$G243/60,0)</f>
        <v>1</v>
      </c>
      <c r="I243" s="116">
        <f t="shared" si="1"/>
        <v>3</v>
      </c>
      <c r="J243" s="116">
        <f>(KUNJUNGAN!$H243*60)+KUNJUNGAN!$I243</f>
        <v>63</v>
      </c>
      <c r="K243" s="115"/>
      <c r="L243" s="11" t="s">
        <v>284</v>
      </c>
      <c r="M243" s="11"/>
      <c r="N243" s="122"/>
    </row>
    <row r="244" ht="15.75" customHeight="1">
      <c r="A244" s="11">
        <v>373.0</v>
      </c>
      <c r="B244" s="113" t="s">
        <v>62</v>
      </c>
      <c r="C244" s="124">
        <v>1.0</v>
      </c>
      <c r="D244" s="113" t="s">
        <v>838</v>
      </c>
      <c r="E244" s="113" t="s">
        <v>841</v>
      </c>
      <c r="F244" s="113" t="s">
        <v>842</v>
      </c>
      <c r="G244" s="113">
        <v>47.0</v>
      </c>
      <c r="H244" s="115">
        <f>ROUNDDOWN(KUNJUNGAN!$G244/60,0)</f>
        <v>0</v>
      </c>
      <c r="I244" s="116">
        <f t="shared" si="1"/>
        <v>47</v>
      </c>
      <c r="J244" s="116">
        <f>(KUNJUNGAN!$H244*60)+KUNJUNGAN!$I244</f>
        <v>47</v>
      </c>
      <c r="K244" s="115"/>
      <c r="L244" s="11" t="s">
        <v>284</v>
      </c>
      <c r="M244" s="11"/>
      <c r="N244" s="122"/>
    </row>
    <row r="245" ht="15.75" customHeight="1">
      <c r="A245" s="11">
        <v>387.0</v>
      </c>
      <c r="B245" s="113" t="s">
        <v>62</v>
      </c>
      <c r="C245" s="124">
        <v>1.0</v>
      </c>
      <c r="D245" s="113" t="s">
        <v>843</v>
      </c>
      <c r="E245" s="113" t="s">
        <v>844</v>
      </c>
      <c r="F245" s="113" t="s">
        <v>845</v>
      </c>
      <c r="G245" s="113">
        <v>66.0</v>
      </c>
      <c r="H245" s="115">
        <f>ROUNDDOWN(KUNJUNGAN!$G245/60,0)</f>
        <v>1</v>
      </c>
      <c r="I245" s="116">
        <f t="shared" si="1"/>
        <v>6</v>
      </c>
      <c r="J245" s="116">
        <f>(KUNJUNGAN!$H245*60)+KUNJUNGAN!$I245</f>
        <v>66</v>
      </c>
      <c r="K245" s="115"/>
      <c r="L245" s="11" t="s">
        <v>284</v>
      </c>
      <c r="M245" s="11"/>
      <c r="N245" s="65"/>
    </row>
    <row r="246" ht="15.75" customHeight="1">
      <c r="A246" s="11">
        <v>381.0</v>
      </c>
      <c r="B246" s="113" t="s">
        <v>62</v>
      </c>
      <c r="C246" s="124">
        <v>1.0</v>
      </c>
      <c r="D246" s="113" t="s">
        <v>843</v>
      </c>
      <c r="E246" s="113" t="s">
        <v>846</v>
      </c>
      <c r="F246" s="113" t="s">
        <v>847</v>
      </c>
      <c r="G246" s="113">
        <v>44.0</v>
      </c>
      <c r="H246" s="115">
        <f>ROUNDDOWN(KUNJUNGAN!$G246/60,0)</f>
        <v>0</v>
      </c>
      <c r="I246" s="116">
        <f t="shared" si="1"/>
        <v>44</v>
      </c>
      <c r="J246" s="116">
        <f>(KUNJUNGAN!$H246*60)+KUNJUNGAN!$I246</f>
        <v>44</v>
      </c>
      <c r="K246" s="115"/>
      <c r="L246" s="11" t="s">
        <v>284</v>
      </c>
      <c r="M246" s="11"/>
      <c r="N246" s="65"/>
    </row>
    <row r="247" ht="15.75" customHeight="1">
      <c r="A247" s="11">
        <v>382.0</v>
      </c>
      <c r="B247" s="113" t="s">
        <v>62</v>
      </c>
      <c r="C247" s="124">
        <v>1.0</v>
      </c>
      <c r="D247" s="113" t="s">
        <v>843</v>
      </c>
      <c r="E247" s="113" t="s">
        <v>848</v>
      </c>
      <c r="F247" s="113" t="s">
        <v>849</v>
      </c>
      <c r="G247" s="113">
        <v>99.0</v>
      </c>
      <c r="H247" s="115">
        <f>ROUNDDOWN(KUNJUNGAN!$G247/60,0)</f>
        <v>1</v>
      </c>
      <c r="I247" s="116">
        <f t="shared" si="1"/>
        <v>39</v>
      </c>
      <c r="J247" s="116">
        <f>(KUNJUNGAN!$H247*60)+KUNJUNGAN!$I247</f>
        <v>99</v>
      </c>
      <c r="K247" s="115"/>
      <c r="L247" s="11" t="s">
        <v>284</v>
      </c>
      <c r="M247" s="11"/>
      <c r="N247" s="65"/>
    </row>
    <row r="248" ht="15.75" customHeight="1">
      <c r="A248" s="11">
        <v>383.0</v>
      </c>
      <c r="B248" s="113" t="s">
        <v>62</v>
      </c>
      <c r="C248" s="124">
        <v>1.0</v>
      </c>
      <c r="D248" s="113" t="s">
        <v>843</v>
      </c>
      <c r="E248" s="113" t="s">
        <v>850</v>
      </c>
      <c r="F248" s="113" t="s">
        <v>851</v>
      </c>
      <c r="G248" s="113">
        <v>73.0</v>
      </c>
      <c r="H248" s="115">
        <f>ROUNDDOWN(KUNJUNGAN!$G248/60,0)</f>
        <v>1</v>
      </c>
      <c r="I248" s="116">
        <f t="shared" si="1"/>
        <v>13</v>
      </c>
      <c r="J248" s="116">
        <f>(KUNJUNGAN!$H248*60)+KUNJUNGAN!$I248</f>
        <v>73</v>
      </c>
      <c r="K248" s="115"/>
      <c r="L248" s="11" t="s">
        <v>284</v>
      </c>
      <c r="M248" s="11"/>
      <c r="N248" s="65"/>
    </row>
    <row r="249" ht="15.75" customHeight="1">
      <c r="A249" s="11">
        <v>374.0</v>
      </c>
      <c r="B249" s="113" t="s">
        <v>62</v>
      </c>
      <c r="C249" s="124">
        <v>1.0</v>
      </c>
      <c r="D249" s="113" t="s">
        <v>843</v>
      </c>
      <c r="E249" s="113" t="s">
        <v>852</v>
      </c>
      <c r="F249" s="113" t="s">
        <v>853</v>
      </c>
      <c r="G249" s="113">
        <v>66.0</v>
      </c>
      <c r="H249" s="115">
        <f>ROUNDDOWN(KUNJUNGAN!$G249/60,0)</f>
        <v>1</v>
      </c>
      <c r="I249" s="116">
        <f t="shared" si="1"/>
        <v>6</v>
      </c>
      <c r="J249" s="116">
        <f>(KUNJUNGAN!$H249*60)+KUNJUNGAN!$I249</f>
        <v>66</v>
      </c>
      <c r="K249" s="115"/>
      <c r="L249" s="11" t="s">
        <v>284</v>
      </c>
      <c r="M249" s="11"/>
      <c r="N249" s="122"/>
    </row>
    <row r="250" ht="15.75" customHeight="1">
      <c r="A250" s="11">
        <v>375.0</v>
      </c>
      <c r="B250" s="113" t="s">
        <v>62</v>
      </c>
      <c r="C250" s="124">
        <v>1.0</v>
      </c>
      <c r="D250" s="113" t="s">
        <v>854</v>
      </c>
      <c r="E250" s="113" t="s">
        <v>855</v>
      </c>
      <c r="F250" s="113" t="s">
        <v>856</v>
      </c>
      <c r="G250" s="113">
        <v>71.0</v>
      </c>
      <c r="H250" s="115">
        <f>ROUNDDOWN(KUNJUNGAN!$G250/60,0)</f>
        <v>1</v>
      </c>
      <c r="I250" s="116">
        <f t="shared" si="1"/>
        <v>11</v>
      </c>
      <c r="J250" s="116">
        <f>(KUNJUNGAN!$H250*60)+KUNJUNGAN!$I250</f>
        <v>71</v>
      </c>
      <c r="K250" s="115"/>
      <c r="L250" s="11" t="s">
        <v>284</v>
      </c>
      <c r="M250" s="11"/>
      <c r="N250" s="65"/>
    </row>
    <row r="251" ht="15.75" customHeight="1">
      <c r="A251" s="11">
        <v>376.0</v>
      </c>
      <c r="B251" s="113" t="s">
        <v>62</v>
      </c>
      <c r="C251" s="124">
        <v>1.0</v>
      </c>
      <c r="D251" s="113" t="s">
        <v>854</v>
      </c>
      <c r="E251" s="113" t="s">
        <v>857</v>
      </c>
      <c r="F251" s="113" t="s">
        <v>858</v>
      </c>
      <c r="G251" s="113">
        <v>33.0</v>
      </c>
      <c r="H251" s="115">
        <f>ROUNDDOWN(KUNJUNGAN!$G251/60,0)</f>
        <v>0</v>
      </c>
      <c r="I251" s="116">
        <f t="shared" si="1"/>
        <v>33</v>
      </c>
      <c r="J251" s="116">
        <f>(KUNJUNGAN!$H251*60)+KUNJUNGAN!$I251</f>
        <v>33</v>
      </c>
      <c r="K251" s="115"/>
      <c r="L251" s="11" t="s">
        <v>284</v>
      </c>
      <c r="M251" s="11"/>
      <c r="N251" s="65"/>
    </row>
    <row r="252" ht="15.75" customHeight="1">
      <c r="A252" s="11">
        <v>377.0</v>
      </c>
      <c r="B252" s="113" t="s">
        <v>62</v>
      </c>
      <c r="C252" s="124">
        <v>1.0</v>
      </c>
      <c r="D252" s="113" t="s">
        <v>859</v>
      </c>
      <c r="E252" s="113" t="s">
        <v>860</v>
      </c>
      <c r="F252" s="113" t="s">
        <v>861</v>
      </c>
      <c r="G252" s="113">
        <v>101.0</v>
      </c>
      <c r="H252" s="115">
        <f>ROUNDDOWN(KUNJUNGAN!$G252/60,0)</f>
        <v>1</v>
      </c>
      <c r="I252" s="116">
        <f t="shared" si="1"/>
        <v>41</v>
      </c>
      <c r="J252" s="116">
        <f>(KUNJUNGAN!$H252*60)+KUNJUNGAN!$I252</f>
        <v>101</v>
      </c>
      <c r="K252" s="115"/>
      <c r="L252" s="11" t="s">
        <v>284</v>
      </c>
      <c r="M252" s="11"/>
      <c r="N252" s="65"/>
    </row>
    <row r="253" ht="15.75" customHeight="1">
      <c r="A253" s="11">
        <v>378.0</v>
      </c>
      <c r="B253" s="113" t="s">
        <v>62</v>
      </c>
      <c r="C253" s="124">
        <v>1.0</v>
      </c>
      <c r="D253" s="113" t="s">
        <v>859</v>
      </c>
      <c r="E253" s="113" t="s">
        <v>862</v>
      </c>
      <c r="F253" s="113" t="s">
        <v>863</v>
      </c>
      <c r="G253" s="113">
        <v>83.0</v>
      </c>
      <c r="H253" s="115">
        <f>ROUNDDOWN(KUNJUNGAN!$G253/60,0)</f>
        <v>1</v>
      </c>
      <c r="I253" s="116">
        <f t="shared" si="1"/>
        <v>23</v>
      </c>
      <c r="J253" s="116">
        <f>(KUNJUNGAN!$H253*60)+KUNJUNGAN!$I253</f>
        <v>83</v>
      </c>
      <c r="K253" s="115"/>
      <c r="L253" s="11" t="s">
        <v>284</v>
      </c>
      <c r="M253" s="11"/>
      <c r="N253" s="65"/>
    </row>
    <row r="254" ht="15.75" customHeight="1">
      <c r="A254" s="11">
        <v>379.0</v>
      </c>
      <c r="B254" s="113" t="s">
        <v>62</v>
      </c>
      <c r="C254" s="124">
        <v>1.0</v>
      </c>
      <c r="D254" s="113" t="s">
        <v>864</v>
      </c>
      <c r="E254" s="113" t="s">
        <v>865</v>
      </c>
      <c r="F254" s="113" t="s">
        <v>866</v>
      </c>
      <c r="G254" s="113">
        <v>35.0</v>
      </c>
      <c r="H254" s="115">
        <f>ROUNDDOWN(KUNJUNGAN!$G254/60,0)</f>
        <v>0</v>
      </c>
      <c r="I254" s="116">
        <f t="shared" si="1"/>
        <v>35</v>
      </c>
      <c r="J254" s="116">
        <f>(KUNJUNGAN!$H254*60)+KUNJUNGAN!$I254</f>
        <v>35</v>
      </c>
      <c r="K254" s="115"/>
      <c r="L254" s="11" t="s">
        <v>284</v>
      </c>
      <c r="M254" s="11"/>
      <c r="N254" s="65"/>
    </row>
    <row r="255" ht="15.75" customHeight="1">
      <c r="A255" s="11">
        <v>380.0</v>
      </c>
      <c r="B255" s="113" t="s">
        <v>62</v>
      </c>
      <c r="C255" s="124">
        <v>1.0</v>
      </c>
      <c r="D255" s="113" t="s">
        <v>864</v>
      </c>
      <c r="E255" s="113" t="s">
        <v>867</v>
      </c>
      <c r="F255" s="113" t="s">
        <v>868</v>
      </c>
      <c r="G255" s="113">
        <v>67.0</v>
      </c>
      <c r="H255" s="115">
        <f>ROUNDDOWN(KUNJUNGAN!$G255/60,0)</f>
        <v>1</v>
      </c>
      <c r="I255" s="116">
        <f t="shared" si="1"/>
        <v>7</v>
      </c>
      <c r="J255" s="116">
        <f>(KUNJUNGAN!$H255*60)+KUNJUNGAN!$I255</f>
        <v>67</v>
      </c>
      <c r="K255" s="115"/>
      <c r="L255" s="11" t="s">
        <v>284</v>
      </c>
      <c r="M255" s="11"/>
      <c r="N255" s="65"/>
    </row>
    <row r="256" ht="15.75" customHeight="1">
      <c r="A256" s="11">
        <v>188.0</v>
      </c>
      <c r="B256" s="113" t="s">
        <v>62</v>
      </c>
      <c r="C256" s="124">
        <v>1.0</v>
      </c>
      <c r="D256" s="113" t="s">
        <v>869</v>
      </c>
      <c r="E256" s="113" t="s">
        <v>870</v>
      </c>
      <c r="F256" s="113" t="s">
        <v>871</v>
      </c>
      <c r="G256" s="113">
        <v>74.0</v>
      </c>
      <c r="H256" s="115">
        <f>ROUNDDOWN(KUNJUNGAN!$G256/60,0)</f>
        <v>1</v>
      </c>
      <c r="I256" s="116">
        <f t="shared" si="1"/>
        <v>14</v>
      </c>
      <c r="J256" s="116">
        <f>(KUNJUNGAN!$H256*60)+KUNJUNGAN!$I256</f>
        <v>74</v>
      </c>
      <c r="K256" s="115"/>
      <c r="L256" s="11" t="s">
        <v>284</v>
      </c>
      <c r="M256" s="11"/>
    </row>
    <row r="257" ht="15.75" customHeight="1">
      <c r="A257" s="11">
        <v>189.0</v>
      </c>
      <c r="B257" s="113" t="s">
        <v>62</v>
      </c>
      <c r="C257" s="124">
        <v>1.0</v>
      </c>
      <c r="D257" s="113" t="s">
        <v>869</v>
      </c>
      <c r="E257" s="113" t="s">
        <v>872</v>
      </c>
      <c r="F257" s="113" t="s">
        <v>873</v>
      </c>
      <c r="G257" s="113">
        <v>94.0</v>
      </c>
      <c r="H257" s="115">
        <f>ROUNDDOWN(KUNJUNGAN!$G257/60,0)</f>
        <v>1</v>
      </c>
      <c r="I257" s="116">
        <f t="shared" si="1"/>
        <v>34</v>
      </c>
      <c r="J257" s="116">
        <f>(KUNJUNGAN!$H257*60)+KUNJUNGAN!$I257</f>
        <v>94</v>
      </c>
      <c r="K257" s="115"/>
      <c r="L257" s="11" t="s">
        <v>284</v>
      </c>
      <c r="M257" s="11"/>
    </row>
    <row r="258" ht="15.75" customHeight="1">
      <c r="A258" s="11">
        <v>190.0</v>
      </c>
      <c r="B258" s="113" t="s">
        <v>62</v>
      </c>
      <c r="C258" s="124">
        <v>1.0</v>
      </c>
      <c r="D258" s="113" t="s">
        <v>874</v>
      </c>
      <c r="E258" s="113" t="s">
        <v>875</v>
      </c>
      <c r="F258" s="113" t="s">
        <v>876</v>
      </c>
      <c r="G258" s="113">
        <v>81.0</v>
      </c>
      <c r="H258" s="115">
        <f>ROUNDDOWN(KUNJUNGAN!$G258/60,0)</f>
        <v>1</v>
      </c>
      <c r="I258" s="116">
        <f t="shared" si="1"/>
        <v>21</v>
      </c>
      <c r="J258" s="116">
        <f>(KUNJUNGAN!$H258*60)+KUNJUNGAN!$I258</f>
        <v>81</v>
      </c>
      <c r="K258" s="115"/>
      <c r="L258" s="11" t="s">
        <v>284</v>
      </c>
      <c r="M258" s="11"/>
    </row>
    <row r="259" ht="15.75" customHeight="1">
      <c r="A259" s="11">
        <v>191.0</v>
      </c>
      <c r="B259" s="113" t="s">
        <v>62</v>
      </c>
      <c r="C259" s="124">
        <v>1.0</v>
      </c>
      <c r="D259" s="113" t="s">
        <v>874</v>
      </c>
      <c r="E259" s="113" t="s">
        <v>877</v>
      </c>
      <c r="F259" s="113" t="s">
        <v>878</v>
      </c>
      <c r="G259" s="113">
        <v>30.0</v>
      </c>
      <c r="H259" s="115">
        <f>ROUNDDOWN(KUNJUNGAN!$G259/60,0)</f>
        <v>0</v>
      </c>
      <c r="I259" s="116">
        <f t="shared" si="1"/>
        <v>30</v>
      </c>
      <c r="J259" s="116">
        <f>(KUNJUNGAN!$H259*60)+KUNJUNGAN!$I259</f>
        <v>30</v>
      </c>
      <c r="K259" s="115"/>
      <c r="L259" s="11" t="s">
        <v>284</v>
      </c>
      <c r="M259" s="11"/>
    </row>
    <row r="260" ht="15.75" customHeight="1">
      <c r="A260" s="11">
        <v>192.0</v>
      </c>
      <c r="B260" s="113" t="s">
        <v>62</v>
      </c>
      <c r="C260" s="124">
        <v>1.0</v>
      </c>
      <c r="D260" s="113" t="s">
        <v>879</v>
      </c>
      <c r="E260" s="113" t="s">
        <v>880</v>
      </c>
      <c r="F260" s="113" t="s">
        <v>881</v>
      </c>
      <c r="G260" s="113">
        <v>50.0</v>
      </c>
      <c r="H260" s="115">
        <f>ROUNDDOWN(KUNJUNGAN!$G260/60,0)</f>
        <v>0</v>
      </c>
      <c r="I260" s="116">
        <f t="shared" si="1"/>
        <v>50</v>
      </c>
      <c r="J260" s="116">
        <f>(KUNJUNGAN!$H260*60)+KUNJUNGAN!$I260</f>
        <v>50</v>
      </c>
      <c r="K260" s="115"/>
      <c r="L260" s="11" t="s">
        <v>284</v>
      </c>
      <c r="M260" s="11"/>
    </row>
    <row r="261" ht="15.75" customHeight="1">
      <c r="A261" s="11">
        <v>193.0</v>
      </c>
      <c r="B261" s="113" t="s">
        <v>62</v>
      </c>
      <c r="C261" s="124">
        <v>1.0</v>
      </c>
      <c r="D261" s="113" t="s">
        <v>879</v>
      </c>
      <c r="E261" s="113" t="s">
        <v>882</v>
      </c>
      <c r="F261" s="113" t="s">
        <v>883</v>
      </c>
      <c r="G261" s="113">
        <v>46.0</v>
      </c>
      <c r="H261" s="115">
        <f>ROUNDDOWN(KUNJUNGAN!$G261/60,0)</f>
        <v>0</v>
      </c>
      <c r="I261" s="116">
        <f t="shared" si="1"/>
        <v>46</v>
      </c>
      <c r="J261" s="116">
        <f>(KUNJUNGAN!$H261*60)+KUNJUNGAN!$I261</f>
        <v>46</v>
      </c>
      <c r="K261" s="115"/>
      <c r="L261" s="11" t="s">
        <v>284</v>
      </c>
      <c r="M261" s="11"/>
    </row>
    <row r="262" ht="15.75" customHeight="1">
      <c r="A262" s="11">
        <v>194.0</v>
      </c>
      <c r="B262" s="113" t="s">
        <v>62</v>
      </c>
      <c r="C262" s="124">
        <v>1.0</v>
      </c>
      <c r="D262" s="113" t="s">
        <v>879</v>
      </c>
      <c r="E262" s="113" t="s">
        <v>884</v>
      </c>
      <c r="F262" s="113" t="s">
        <v>885</v>
      </c>
      <c r="G262" s="113">
        <v>43.0</v>
      </c>
      <c r="H262" s="115">
        <f>ROUNDDOWN(KUNJUNGAN!$G262/60,0)</f>
        <v>0</v>
      </c>
      <c r="I262" s="116">
        <f t="shared" si="1"/>
        <v>43</v>
      </c>
      <c r="J262" s="116">
        <f>(KUNJUNGAN!$H262*60)+KUNJUNGAN!$I262</f>
        <v>43</v>
      </c>
      <c r="K262" s="115"/>
      <c r="L262" s="11" t="s">
        <v>284</v>
      </c>
      <c r="M262" s="11"/>
    </row>
    <row r="263" ht="15.75" customHeight="1">
      <c r="A263" s="11">
        <v>195.0</v>
      </c>
      <c r="B263" s="113" t="s">
        <v>62</v>
      </c>
      <c r="C263" s="124">
        <v>1.0</v>
      </c>
      <c r="D263" s="113" t="s">
        <v>879</v>
      </c>
      <c r="E263" s="113" t="s">
        <v>886</v>
      </c>
      <c r="F263" s="113" t="s">
        <v>887</v>
      </c>
      <c r="G263" s="113">
        <v>82.0</v>
      </c>
      <c r="H263" s="115">
        <f>ROUNDDOWN(KUNJUNGAN!$G263/60,0)</f>
        <v>1</v>
      </c>
      <c r="I263" s="116">
        <f t="shared" si="1"/>
        <v>22</v>
      </c>
      <c r="J263" s="116">
        <f>(KUNJUNGAN!$H263*60)+KUNJUNGAN!$I263</f>
        <v>82</v>
      </c>
      <c r="K263" s="115"/>
      <c r="L263" s="11" t="s">
        <v>284</v>
      </c>
      <c r="M263" s="11"/>
    </row>
    <row r="264" ht="15.75" customHeight="1">
      <c r="A264" s="11">
        <v>196.0</v>
      </c>
      <c r="B264" s="113" t="s">
        <v>62</v>
      </c>
      <c r="C264" s="124">
        <v>1.0</v>
      </c>
      <c r="D264" s="113" t="s">
        <v>888</v>
      </c>
      <c r="E264" s="113" t="s">
        <v>889</v>
      </c>
      <c r="F264" s="113" t="s">
        <v>890</v>
      </c>
      <c r="G264" s="113">
        <v>117.0</v>
      </c>
      <c r="H264" s="115">
        <f>ROUNDDOWN(KUNJUNGAN!$G264/60,0)</f>
        <v>1</v>
      </c>
      <c r="I264" s="116">
        <f t="shared" si="1"/>
        <v>57</v>
      </c>
      <c r="J264" s="116">
        <f>(KUNJUNGAN!$H264*60)+KUNJUNGAN!$I264</f>
        <v>117</v>
      </c>
      <c r="K264" s="115"/>
      <c r="L264" s="11" t="s">
        <v>284</v>
      </c>
      <c r="M264" s="11"/>
    </row>
    <row r="265" ht="15.75" customHeight="1">
      <c r="A265" s="11">
        <v>197.0</v>
      </c>
      <c r="B265" s="113" t="s">
        <v>62</v>
      </c>
      <c r="C265" s="124">
        <v>1.0</v>
      </c>
      <c r="D265" s="113" t="s">
        <v>888</v>
      </c>
      <c r="E265" s="113" t="s">
        <v>891</v>
      </c>
      <c r="F265" s="113" t="s">
        <v>892</v>
      </c>
      <c r="G265" s="113">
        <v>118.0</v>
      </c>
      <c r="H265" s="115">
        <f>ROUNDDOWN(KUNJUNGAN!$G265/60,0)</f>
        <v>1</v>
      </c>
      <c r="I265" s="116">
        <f t="shared" si="1"/>
        <v>58</v>
      </c>
      <c r="J265" s="116">
        <f>(KUNJUNGAN!$H265*60)+KUNJUNGAN!$I265</f>
        <v>118</v>
      </c>
      <c r="K265" s="115"/>
      <c r="L265" s="11" t="s">
        <v>284</v>
      </c>
      <c r="M265" s="11"/>
    </row>
    <row r="266" ht="15.75" customHeight="1">
      <c r="A266" s="11">
        <v>198.0</v>
      </c>
      <c r="B266" s="113" t="s">
        <v>62</v>
      </c>
      <c r="C266" s="124">
        <v>1.0</v>
      </c>
      <c r="D266" s="113" t="s">
        <v>888</v>
      </c>
      <c r="E266" s="113" t="s">
        <v>893</v>
      </c>
      <c r="F266" s="113" t="s">
        <v>894</v>
      </c>
      <c r="G266" s="113">
        <v>76.0</v>
      </c>
      <c r="H266" s="115">
        <f>ROUNDDOWN(KUNJUNGAN!$G266/60,0)</f>
        <v>1</v>
      </c>
      <c r="I266" s="116">
        <f t="shared" si="1"/>
        <v>16</v>
      </c>
      <c r="J266" s="116">
        <f>(KUNJUNGAN!$H266*60)+KUNJUNGAN!$I266</f>
        <v>76</v>
      </c>
      <c r="K266" s="115"/>
      <c r="L266" s="11" t="s">
        <v>284</v>
      </c>
      <c r="M266" s="11"/>
    </row>
    <row r="267" ht="15.75" customHeight="1">
      <c r="A267" s="11">
        <v>199.0</v>
      </c>
      <c r="B267" s="113" t="s">
        <v>62</v>
      </c>
      <c r="C267" s="124">
        <v>1.0</v>
      </c>
      <c r="D267" s="113" t="s">
        <v>895</v>
      </c>
      <c r="E267" s="113" t="s">
        <v>896</v>
      </c>
      <c r="F267" s="113" t="s">
        <v>897</v>
      </c>
      <c r="G267" s="113">
        <v>97.0</v>
      </c>
      <c r="H267" s="115">
        <f>ROUNDDOWN(KUNJUNGAN!$G267/60,0)</f>
        <v>1</v>
      </c>
      <c r="I267" s="116">
        <f t="shared" si="1"/>
        <v>37</v>
      </c>
      <c r="J267" s="116">
        <f>(KUNJUNGAN!$H267*60)+KUNJUNGAN!$I267</f>
        <v>97</v>
      </c>
      <c r="K267" s="115"/>
      <c r="L267" s="11" t="s">
        <v>284</v>
      </c>
      <c r="M267" s="11"/>
    </row>
    <row r="268" ht="15.75" customHeight="1">
      <c r="A268" s="11">
        <v>200.0</v>
      </c>
      <c r="B268" s="113" t="s">
        <v>62</v>
      </c>
      <c r="C268" s="124">
        <v>1.0</v>
      </c>
      <c r="D268" s="113" t="s">
        <v>898</v>
      </c>
      <c r="E268" s="113" t="s">
        <v>899</v>
      </c>
      <c r="F268" s="113" t="s">
        <v>900</v>
      </c>
      <c r="G268" s="113">
        <v>90.0</v>
      </c>
      <c r="H268" s="115">
        <f>ROUNDDOWN(KUNJUNGAN!$G268/60,0)</f>
        <v>1</v>
      </c>
      <c r="I268" s="116">
        <f t="shared" si="1"/>
        <v>30</v>
      </c>
      <c r="J268" s="116">
        <f>(KUNJUNGAN!$H268*60)+KUNJUNGAN!$I268</f>
        <v>90</v>
      </c>
      <c r="K268" s="115"/>
      <c r="L268" s="11" t="s">
        <v>284</v>
      </c>
      <c r="M268" s="11"/>
    </row>
    <row r="269" ht="15.75" customHeight="1">
      <c r="A269" s="11">
        <v>201.0</v>
      </c>
      <c r="B269" s="113" t="s">
        <v>62</v>
      </c>
      <c r="C269" s="124">
        <v>1.0</v>
      </c>
      <c r="D269" s="113" t="s">
        <v>901</v>
      </c>
      <c r="E269" s="113" t="s">
        <v>902</v>
      </c>
      <c r="F269" s="113" t="s">
        <v>903</v>
      </c>
      <c r="G269" s="113">
        <v>206.0</v>
      </c>
      <c r="H269" s="115">
        <f>ROUNDDOWN(KUNJUNGAN!$G269/60,0)</f>
        <v>3</v>
      </c>
      <c r="I269" s="116">
        <f t="shared" si="1"/>
        <v>26</v>
      </c>
      <c r="J269" s="116">
        <f>(KUNJUNGAN!$H269*60)+KUNJUNGAN!$I269</f>
        <v>206</v>
      </c>
      <c r="K269" s="115"/>
      <c r="L269" s="11" t="s">
        <v>284</v>
      </c>
      <c r="M269" s="11"/>
    </row>
    <row r="270" ht="15.75" customHeight="1">
      <c r="A270" s="11">
        <v>202.0</v>
      </c>
      <c r="B270" s="113" t="s">
        <v>62</v>
      </c>
      <c r="C270" s="124">
        <v>1.0</v>
      </c>
      <c r="D270" s="113" t="s">
        <v>901</v>
      </c>
      <c r="E270" s="113" t="s">
        <v>904</v>
      </c>
      <c r="F270" s="113" t="s">
        <v>905</v>
      </c>
      <c r="G270" s="113">
        <v>294.0</v>
      </c>
      <c r="H270" s="115">
        <f>ROUNDDOWN(KUNJUNGAN!$G270/60,0)</f>
        <v>4</v>
      </c>
      <c r="I270" s="116">
        <f t="shared" si="1"/>
        <v>54</v>
      </c>
      <c r="J270" s="116">
        <f>(KUNJUNGAN!$H270*60)+KUNJUNGAN!$I270</f>
        <v>294</v>
      </c>
      <c r="K270" s="115"/>
      <c r="L270" s="11" t="s">
        <v>284</v>
      </c>
      <c r="M270" s="11"/>
    </row>
    <row r="271" ht="15.75" customHeight="1">
      <c r="A271" s="11">
        <v>203.0</v>
      </c>
      <c r="B271" s="113" t="s">
        <v>62</v>
      </c>
      <c r="C271" s="124">
        <v>1.0</v>
      </c>
      <c r="D271" s="113" t="s">
        <v>906</v>
      </c>
      <c r="E271" s="113" t="s">
        <v>907</v>
      </c>
      <c r="F271" s="113" t="s">
        <v>908</v>
      </c>
      <c r="G271" s="113">
        <v>143.0</v>
      </c>
      <c r="H271" s="115">
        <f>ROUNDDOWN(KUNJUNGAN!$G271/60,0)</f>
        <v>2</v>
      </c>
      <c r="I271" s="116">
        <f t="shared" si="1"/>
        <v>23</v>
      </c>
      <c r="J271" s="116">
        <f>(KUNJUNGAN!$H271*60)+KUNJUNGAN!$I271</f>
        <v>143</v>
      </c>
      <c r="K271" s="115"/>
      <c r="L271" s="11" t="s">
        <v>284</v>
      </c>
      <c r="M271" s="11"/>
    </row>
    <row r="272" ht="15.75" customHeight="1">
      <c r="A272" s="11">
        <v>204.0</v>
      </c>
      <c r="B272" s="113" t="s">
        <v>62</v>
      </c>
      <c r="C272" s="124">
        <v>1.0</v>
      </c>
      <c r="D272" s="113" t="s">
        <v>906</v>
      </c>
      <c r="E272" s="113" t="s">
        <v>909</v>
      </c>
      <c r="F272" s="113" t="s">
        <v>910</v>
      </c>
      <c r="G272" s="113">
        <v>36.0</v>
      </c>
      <c r="H272" s="115">
        <f>ROUNDDOWN(KUNJUNGAN!$G272/60,0)</f>
        <v>0</v>
      </c>
      <c r="I272" s="116">
        <f t="shared" si="1"/>
        <v>36</v>
      </c>
      <c r="J272" s="116">
        <f>(KUNJUNGAN!$H272*60)+KUNJUNGAN!$I272</f>
        <v>36</v>
      </c>
      <c r="K272" s="115"/>
      <c r="L272" s="11" t="s">
        <v>284</v>
      </c>
      <c r="M272" s="11"/>
    </row>
    <row r="273" ht="15.75" customHeight="1">
      <c r="A273" s="11">
        <v>205.0</v>
      </c>
      <c r="B273" s="113" t="s">
        <v>62</v>
      </c>
      <c r="C273" s="124">
        <v>1.0</v>
      </c>
      <c r="D273" s="113" t="s">
        <v>906</v>
      </c>
      <c r="E273" s="113" t="s">
        <v>911</v>
      </c>
      <c r="F273" s="113" t="s">
        <v>912</v>
      </c>
      <c r="G273" s="113">
        <v>107.0</v>
      </c>
      <c r="H273" s="115">
        <f>ROUNDDOWN(KUNJUNGAN!$G273/60,0)</f>
        <v>1</v>
      </c>
      <c r="I273" s="116">
        <f t="shared" si="1"/>
        <v>47</v>
      </c>
      <c r="J273" s="116">
        <f>(KUNJUNGAN!$H273*60)+KUNJUNGAN!$I273</f>
        <v>107</v>
      </c>
      <c r="K273" s="115"/>
      <c r="L273" s="11" t="s">
        <v>284</v>
      </c>
      <c r="M273" s="11"/>
    </row>
    <row r="274" ht="15.75" customHeight="1">
      <c r="A274" s="11">
        <v>206.0</v>
      </c>
      <c r="B274" s="113" t="s">
        <v>62</v>
      </c>
      <c r="C274" s="124">
        <v>1.0</v>
      </c>
      <c r="D274" s="113" t="s">
        <v>906</v>
      </c>
      <c r="E274" s="113" t="s">
        <v>913</v>
      </c>
      <c r="F274" s="113" t="s">
        <v>914</v>
      </c>
      <c r="G274" s="113">
        <v>65.0</v>
      </c>
      <c r="H274" s="115">
        <f>ROUNDDOWN(KUNJUNGAN!$G274/60,0)</f>
        <v>1</v>
      </c>
      <c r="I274" s="116">
        <f t="shared" si="1"/>
        <v>5</v>
      </c>
      <c r="J274" s="116">
        <f>(KUNJUNGAN!$H274*60)+KUNJUNGAN!$I274</f>
        <v>65</v>
      </c>
      <c r="K274" s="115"/>
      <c r="L274" s="11" t="s">
        <v>284</v>
      </c>
      <c r="M274" s="11"/>
    </row>
    <row r="275" ht="15.75" customHeight="1">
      <c r="A275" s="11">
        <v>207.0</v>
      </c>
      <c r="B275" s="113" t="s">
        <v>62</v>
      </c>
      <c r="C275" s="124">
        <v>1.0</v>
      </c>
      <c r="D275" s="113" t="s">
        <v>915</v>
      </c>
      <c r="E275" s="118" t="s">
        <v>916</v>
      </c>
      <c r="F275" s="113" t="s">
        <v>917</v>
      </c>
      <c r="G275" s="113">
        <v>47.0</v>
      </c>
      <c r="H275" s="115">
        <f>ROUNDDOWN(KUNJUNGAN!$G275/60,0)</f>
        <v>0</v>
      </c>
      <c r="I275" s="116">
        <f t="shared" si="1"/>
        <v>47</v>
      </c>
      <c r="J275" s="116">
        <f>(KUNJUNGAN!$H275*60)+KUNJUNGAN!$I275</f>
        <v>47</v>
      </c>
      <c r="K275" s="115"/>
      <c r="L275" s="11" t="s">
        <v>284</v>
      </c>
      <c r="M275" s="11"/>
    </row>
    <row r="276" ht="15.75" customHeight="1">
      <c r="A276" s="11">
        <v>208.0</v>
      </c>
      <c r="B276" s="113" t="s">
        <v>62</v>
      </c>
      <c r="C276" s="124">
        <v>1.0</v>
      </c>
      <c r="D276" s="113" t="s">
        <v>918</v>
      </c>
      <c r="E276" s="118" t="s">
        <v>919</v>
      </c>
      <c r="F276" s="113" t="s">
        <v>920</v>
      </c>
      <c r="G276" s="113">
        <v>109.0</v>
      </c>
      <c r="H276" s="115">
        <f>ROUNDDOWN(KUNJUNGAN!$G276/60,0)</f>
        <v>1</v>
      </c>
      <c r="I276" s="116">
        <f t="shared" si="1"/>
        <v>49</v>
      </c>
      <c r="J276" s="116">
        <f>(KUNJUNGAN!$H276*60)+KUNJUNGAN!$I276</f>
        <v>109</v>
      </c>
      <c r="K276" s="115"/>
      <c r="L276" s="11" t="s">
        <v>284</v>
      </c>
      <c r="M276" s="11"/>
    </row>
    <row r="277" ht="15.75" customHeight="1">
      <c r="A277" s="11">
        <v>209.0</v>
      </c>
      <c r="B277" s="113" t="s">
        <v>62</v>
      </c>
      <c r="C277" s="124">
        <v>1.0</v>
      </c>
      <c r="D277" s="113" t="s">
        <v>918</v>
      </c>
      <c r="E277" s="118" t="s">
        <v>921</v>
      </c>
      <c r="F277" s="113" t="s">
        <v>922</v>
      </c>
      <c r="G277" s="113">
        <v>127.0</v>
      </c>
      <c r="H277" s="115">
        <f>ROUNDDOWN(KUNJUNGAN!$G277/60,0)</f>
        <v>2</v>
      </c>
      <c r="I277" s="116">
        <f t="shared" si="1"/>
        <v>7</v>
      </c>
      <c r="J277" s="116">
        <f>(KUNJUNGAN!$H277*60)+KUNJUNGAN!$I277</f>
        <v>127</v>
      </c>
      <c r="K277" s="115"/>
      <c r="L277" s="11" t="s">
        <v>284</v>
      </c>
      <c r="M277" s="11"/>
    </row>
    <row r="278" ht="15.75" customHeight="1">
      <c r="A278" s="11">
        <v>210.0</v>
      </c>
      <c r="B278" s="113" t="s">
        <v>73</v>
      </c>
      <c r="C278" s="124">
        <v>1.0</v>
      </c>
      <c r="D278" s="113" t="s">
        <v>923</v>
      </c>
      <c r="E278" s="118" t="s">
        <v>924</v>
      </c>
      <c r="F278" s="113" t="s">
        <v>925</v>
      </c>
      <c r="G278" s="113">
        <v>90.0</v>
      </c>
      <c r="H278" s="115">
        <f>ROUNDDOWN(KUNJUNGAN!$G278/60,0)</f>
        <v>1</v>
      </c>
      <c r="I278" s="116">
        <f t="shared" si="1"/>
        <v>30</v>
      </c>
      <c r="J278" s="116">
        <f>(KUNJUNGAN!$H278*60)+KUNJUNGAN!$I278</f>
        <v>90</v>
      </c>
      <c r="K278" s="115"/>
      <c r="L278" s="11" t="s">
        <v>284</v>
      </c>
      <c r="M278" s="11"/>
    </row>
    <row r="279" ht="15.75" customHeight="1">
      <c r="A279" s="11">
        <v>211.0</v>
      </c>
      <c r="B279" s="113" t="s">
        <v>73</v>
      </c>
      <c r="C279" s="124">
        <v>1.0</v>
      </c>
      <c r="D279" s="113" t="s">
        <v>923</v>
      </c>
      <c r="E279" s="118" t="s">
        <v>926</v>
      </c>
      <c r="F279" s="113" t="s">
        <v>927</v>
      </c>
      <c r="G279" s="113">
        <v>150.0</v>
      </c>
      <c r="H279" s="115">
        <f>ROUNDDOWN(KUNJUNGAN!$G279/60,0)</f>
        <v>2</v>
      </c>
      <c r="I279" s="116">
        <f t="shared" si="1"/>
        <v>30</v>
      </c>
      <c r="J279" s="116">
        <f>(KUNJUNGAN!$H279*60)+KUNJUNGAN!$I279</f>
        <v>150</v>
      </c>
      <c r="K279" s="115"/>
      <c r="L279" s="11" t="s">
        <v>284</v>
      </c>
      <c r="M279" s="11"/>
    </row>
    <row r="280" ht="15.75" customHeight="1">
      <c r="A280" s="11">
        <v>212.0</v>
      </c>
      <c r="B280" s="113" t="s">
        <v>73</v>
      </c>
      <c r="C280" s="124">
        <v>1.0</v>
      </c>
      <c r="D280" s="113" t="s">
        <v>923</v>
      </c>
      <c r="E280" s="118" t="s">
        <v>928</v>
      </c>
      <c r="F280" s="113" t="s">
        <v>929</v>
      </c>
      <c r="G280" s="113">
        <v>134.0</v>
      </c>
      <c r="H280" s="115">
        <f>ROUNDDOWN(KUNJUNGAN!$G280/60,0)</f>
        <v>2</v>
      </c>
      <c r="I280" s="116">
        <f t="shared" si="1"/>
        <v>14</v>
      </c>
      <c r="J280" s="116">
        <f>(KUNJUNGAN!$H280*60)+KUNJUNGAN!$I280</f>
        <v>134</v>
      </c>
      <c r="K280" s="115"/>
      <c r="L280" s="11" t="s">
        <v>284</v>
      </c>
      <c r="M280" s="11"/>
    </row>
    <row r="281" ht="15.75" customHeight="1">
      <c r="A281" s="11">
        <v>213.0</v>
      </c>
      <c r="B281" s="113" t="s">
        <v>73</v>
      </c>
      <c r="C281" s="124">
        <v>1.0</v>
      </c>
      <c r="D281" s="113" t="s">
        <v>930</v>
      </c>
      <c r="E281" s="113" t="s">
        <v>931</v>
      </c>
      <c r="F281" s="113" t="s">
        <v>932</v>
      </c>
      <c r="G281" s="113">
        <v>60.0</v>
      </c>
      <c r="H281" s="115">
        <f>ROUNDDOWN(KUNJUNGAN!$G281/60,0)</f>
        <v>1</v>
      </c>
      <c r="I281" s="116">
        <f t="shared" si="1"/>
        <v>0</v>
      </c>
      <c r="J281" s="116">
        <f>(KUNJUNGAN!$H281*60)+KUNJUNGAN!$I281</f>
        <v>60</v>
      </c>
      <c r="K281" s="115"/>
      <c r="L281" s="11" t="s">
        <v>284</v>
      </c>
      <c r="M281" s="11"/>
    </row>
    <row r="282" ht="15.75" customHeight="1">
      <c r="A282" s="11">
        <v>214.0</v>
      </c>
      <c r="B282" s="113" t="s">
        <v>73</v>
      </c>
      <c r="C282" s="124">
        <v>1.0</v>
      </c>
      <c r="D282" s="113" t="s">
        <v>930</v>
      </c>
      <c r="E282" s="113" t="s">
        <v>933</v>
      </c>
      <c r="F282" s="113" t="s">
        <v>934</v>
      </c>
      <c r="G282" s="113">
        <v>121.0</v>
      </c>
      <c r="H282" s="115">
        <f>ROUNDDOWN(KUNJUNGAN!$G282/60,0)</f>
        <v>2</v>
      </c>
      <c r="I282" s="116">
        <f t="shared" si="1"/>
        <v>1</v>
      </c>
      <c r="J282" s="116">
        <f>(KUNJUNGAN!$H282*60)+KUNJUNGAN!$I282</f>
        <v>121</v>
      </c>
      <c r="K282" s="115"/>
      <c r="L282" s="11" t="s">
        <v>284</v>
      </c>
      <c r="M282" s="11"/>
    </row>
    <row r="283" ht="15.75" customHeight="1">
      <c r="A283" s="11">
        <v>215.0</v>
      </c>
      <c r="B283" s="113" t="s">
        <v>73</v>
      </c>
      <c r="C283" s="124">
        <v>1.0</v>
      </c>
      <c r="D283" s="113" t="s">
        <v>935</v>
      </c>
      <c r="E283" s="113" t="s">
        <v>936</v>
      </c>
      <c r="F283" s="113" t="s">
        <v>363</v>
      </c>
      <c r="G283" s="113">
        <v>163.0</v>
      </c>
      <c r="H283" s="115">
        <f>ROUNDDOWN(KUNJUNGAN!$G283/60,0)</f>
        <v>2</v>
      </c>
      <c r="I283" s="116">
        <f t="shared" si="1"/>
        <v>43</v>
      </c>
      <c r="J283" s="116">
        <f>(KUNJUNGAN!$H283*60)+KUNJUNGAN!$I283</f>
        <v>163</v>
      </c>
      <c r="K283" s="115"/>
      <c r="L283" s="11" t="s">
        <v>284</v>
      </c>
      <c r="M283" s="11"/>
    </row>
    <row r="284" ht="15.75" customHeight="1">
      <c r="A284" s="11">
        <v>216.0</v>
      </c>
      <c r="B284" s="113" t="s">
        <v>73</v>
      </c>
      <c r="C284" s="124">
        <v>1.0</v>
      </c>
      <c r="D284" s="113" t="s">
        <v>935</v>
      </c>
      <c r="E284" s="113" t="s">
        <v>937</v>
      </c>
      <c r="F284" s="113" t="s">
        <v>938</v>
      </c>
      <c r="G284" s="113">
        <v>110.0</v>
      </c>
      <c r="H284" s="115">
        <f>ROUNDDOWN(KUNJUNGAN!$G284/60,0)</f>
        <v>1</v>
      </c>
      <c r="I284" s="116">
        <f t="shared" si="1"/>
        <v>50</v>
      </c>
      <c r="J284" s="116">
        <f>(KUNJUNGAN!$H284*60)+KUNJUNGAN!$I284</f>
        <v>110</v>
      </c>
      <c r="K284" s="115"/>
      <c r="L284" s="11" t="s">
        <v>284</v>
      </c>
      <c r="M284" s="11"/>
    </row>
    <row r="285" ht="15.75" customHeight="1">
      <c r="A285" s="11">
        <v>217.0</v>
      </c>
      <c r="B285" s="113" t="s">
        <v>73</v>
      </c>
      <c r="C285" s="124">
        <v>1.0</v>
      </c>
      <c r="D285" s="113" t="s">
        <v>939</v>
      </c>
      <c r="E285" s="113" t="s">
        <v>940</v>
      </c>
      <c r="F285" s="113" t="s">
        <v>941</v>
      </c>
      <c r="G285" s="113">
        <v>131.0</v>
      </c>
      <c r="H285" s="115">
        <f>ROUNDDOWN(KUNJUNGAN!$G285/60,0)</f>
        <v>2</v>
      </c>
      <c r="I285" s="116">
        <f t="shared" si="1"/>
        <v>11</v>
      </c>
      <c r="J285" s="116">
        <f>(KUNJUNGAN!$H285*60)+KUNJUNGAN!$I285</f>
        <v>131</v>
      </c>
      <c r="K285" s="115"/>
      <c r="L285" s="11" t="s">
        <v>284</v>
      </c>
      <c r="M285" s="11"/>
    </row>
    <row r="286" ht="15.75" customHeight="1">
      <c r="A286" s="11">
        <v>218.0</v>
      </c>
      <c r="B286" s="113" t="s">
        <v>73</v>
      </c>
      <c r="C286" s="124">
        <v>1.0</v>
      </c>
      <c r="D286" s="113" t="s">
        <v>942</v>
      </c>
      <c r="E286" s="113" t="s">
        <v>943</v>
      </c>
      <c r="F286" s="113" t="s">
        <v>944</v>
      </c>
      <c r="G286" s="113">
        <v>60.0</v>
      </c>
      <c r="H286" s="115">
        <f>ROUNDDOWN(KUNJUNGAN!$G286/60,0)</f>
        <v>1</v>
      </c>
      <c r="I286" s="116">
        <f t="shared" si="1"/>
        <v>0</v>
      </c>
      <c r="J286" s="116">
        <f>(KUNJUNGAN!$H286*60)+KUNJUNGAN!$I286</f>
        <v>60</v>
      </c>
      <c r="K286" s="115"/>
      <c r="L286" s="11" t="s">
        <v>284</v>
      </c>
      <c r="M286" s="11"/>
    </row>
    <row r="287" ht="15.75" customHeight="1">
      <c r="A287" s="11">
        <v>219.0</v>
      </c>
      <c r="B287" s="113" t="s">
        <v>73</v>
      </c>
      <c r="C287" s="124">
        <v>1.0</v>
      </c>
      <c r="D287" s="113" t="s">
        <v>942</v>
      </c>
      <c r="E287" s="113" t="s">
        <v>945</v>
      </c>
      <c r="F287" s="113" t="s">
        <v>946</v>
      </c>
      <c r="G287" s="113">
        <v>118.0</v>
      </c>
      <c r="H287" s="115">
        <f>ROUNDDOWN(KUNJUNGAN!$G287/60,0)</f>
        <v>1</v>
      </c>
      <c r="I287" s="116">
        <f t="shared" si="1"/>
        <v>58</v>
      </c>
      <c r="J287" s="116">
        <f>(KUNJUNGAN!$H287*60)+KUNJUNGAN!$I287</f>
        <v>118</v>
      </c>
      <c r="K287" s="115"/>
      <c r="L287" s="11" t="s">
        <v>284</v>
      </c>
      <c r="M287" s="11"/>
    </row>
    <row r="288" ht="15.75" customHeight="1">
      <c r="A288" s="11">
        <v>220.0</v>
      </c>
      <c r="B288" s="113" t="s">
        <v>73</v>
      </c>
      <c r="C288" s="124">
        <v>1.0</v>
      </c>
      <c r="D288" s="113" t="s">
        <v>947</v>
      </c>
      <c r="E288" s="113" t="s">
        <v>948</v>
      </c>
      <c r="F288" s="113" t="s">
        <v>949</v>
      </c>
      <c r="G288" s="113">
        <v>178.0</v>
      </c>
      <c r="H288" s="115">
        <f>ROUNDDOWN(KUNJUNGAN!$G288/60,0)</f>
        <v>2</v>
      </c>
      <c r="I288" s="116">
        <f t="shared" si="1"/>
        <v>58</v>
      </c>
      <c r="J288" s="116">
        <f>(KUNJUNGAN!$H288*60)+KUNJUNGAN!$I288</f>
        <v>178</v>
      </c>
      <c r="K288" s="115"/>
      <c r="L288" s="11" t="s">
        <v>284</v>
      </c>
      <c r="M288" s="11"/>
    </row>
    <row r="289" ht="15.75" customHeight="1">
      <c r="A289" s="11">
        <v>221.0</v>
      </c>
      <c r="B289" s="113" t="s">
        <v>73</v>
      </c>
      <c r="C289" s="124">
        <v>1.0</v>
      </c>
      <c r="D289" s="113" t="s">
        <v>950</v>
      </c>
      <c r="E289" s="113" t="s">
        <v>951</v>
      </c>
      <c r="F289" s="113" t="s">
        <v>952</v>
      </c>
      <c r="G289" s="113">
        <v>155.0</v>
      </c>
      <c r="H289" s="115">
        <f>ROUNDDOWN(KUNJUNGAN!$G289/60,0)</f>
        <v>2</v>
      </c>
      <c r="I289" s="116">
        <f t="shared" si="1"/>
        <v>35</v>
      </c>
      <c r="J289" s="116">
        <f>(KUNJUNGAN!$H289*60)+KUNJUNGAN!$I289</f>
        <v>155</v>
      </c>
      <c r="K289" s="115"/>
      <c r="L289" s="11" t="s">
        <v>284</v>
      </c>
      <c r="M289" s="11"/>
    </row>
    <row r="290" ht="15.75" customHeight="1">
      <c r="A290" s="11">
        <v>222.0</v>
      </c>
      <c r="B290" s="113" t="s">
        <v>73</v>
      </c>
      <c r="C290" s="124">
        <v>1.0</v>
      </c>
      <c r="D290" s="113" t="s">
        <v>953</v>
      </c>
      <c r="E290" s="113" t="s">
        <v>954</v>
      </c>
      <c r="F290" s="113" t="s">
        <v>955</v>
      </c>
      <c r="G290" s="113">
        <v>60.0</v>
      </c>
      <c r="H290" s="115">
        <f>ROUNDDOWN(KUNJUNGAN!$G290/60,0)</f>
        <v>1</v>
      </c>
      <c r="I290" s="116">
        <f t="shared" si="1"/>
        <v>0</v>
      </c>
      <c r="J290" s="116">
        <f>(KUNJUNGAN!$H290*60)+KUNJUNGAN!$I290</f>
        <v>60</v>
      </c>
      <c r="K290" s="115"/>
      <c r="L290" s="11" t="s">
        <v>284</v>
      </c>
      <c r="M290" s="11"/>
    </row>
    <row r="291" ht="15.75" customHeight="1">
      <c r="A291" s="11">
        <v>223.0</v>
      </c>
      <c r="B291" s="113" t="s">
        <v>73</v>
      </c>
      <c r="C291" s="124">
        <v>1.0</v>
      </c>
      <c r="D291" s="113" t="s">
        <v>953</v>
      </c>
      <c r="E291" s="113" t="s">
        <v>956</v>
      </c>
      <c r="F291" s="113" t="s">
        <v>957</v>
      </c>
      <c r="G291" s="113">
        <v>137.0</v>
      </c>
      <c r="H291" s="115">
        <f>ROUNDDOWN(KUNJUNGAN!$G291/60,0)</f>
        <v>2</v>
      </c>
      <c r="I291" s="116">
        <f t="shared" si="1"/>
        <v>17</v>
      </c>
      <c r="J291" s="116">
        <f>(KUNJUNGAN!$H291*60)+KUNJUNGAN!$I291</f>
        <v>137</v>
      </c>
      <c r="K291" s="115"/>
      <c r="L291" s="11" t="s">
        <v>284</v>
      </c>
      <c r="M291" s="11"/>
    </row>
    <row r="292" ht="15.75" customHeight="1">
      <c r="A292" s="11">
        <v>224.0</v>
      </c>
      <c r="B292" s="113" t="s">
        <v>73</v>
      </c>
      <c r="C292" s="124">
        <v>1.0</v>
      </c>
      <c r="D292" s="113" t="s">
        <v>953</v>
      </c>
      <c r="E292" s="113" t="s">
        <v>958</v>
      </c>
      <c r="F292" s="113" t="s">
        <v>959</v>
      </c>
      <c r="G292" s="113">
        <v>142.0</v>
      </c>
      <c r="H292" s="115">
        <f>ROUNDDOWN(KUNJUNGAN!$G292/60,0)</f>
        <v>2</v>
      </c>
      <c r="I292" s="116">
        <f t="shared" si="1"/>
        <v>22</v>
      </c>
      <c r="J292" s="116">
        <f>(KUNJUNGAN!$H292*60)+KUNJUNGAN!$I292</f>
        <v>142</v>
      </c>
      <c r="K292" s="115"/>
      <c r="L292" s="11" t="s">
        <v>284</v>
      </c>
      <c r="M292" s="11"/>
    </row>
    <row r="293" ht="15.75" customHeight="1">
      <c r="A293" s="11">
        <v>225.0</v>
      </c>
      <c r="B293" s="113" t="s">
        <v>73</v>
      </c>
      <c r="C293" s="124">
        <v>1.0</v>
      </c>
      <c r="D293" s="113" t="s">
        <v>953</v>
      </c>
      <c r="E293" s="113" t="s">
        <v>960</v>
      </c>
      <c r="F293" s="113" t="s">
        <v>961</v>
      </c>
      <c r="G293" s="113">
        <v>162.0</v>
      </c>
      <c r="H293" s="115">
        <f>ROUNDDOWN(KUNJUNGAN!$G293/60,0)</f>
        <v>2</v>
      </c>
      <c r="I293" s="116">
        <f t="shared" si="1"/>
        <v>42</v>
      </c>
      <c r="J293" s="116">
        <f>(KUNJUNGAN!$H293*60)+KUNJUNGAN!$I293</f>
        <v>162</v>
      </c>
      <c r="K293" s="115"/>
      <c r="L293" s="11" t="s">
        <v>284</v>
      </c>
      <c r="M293" s="11"/>
    </row>
    <row r="294" ht="15.75" customHeight="1">
      <c r="A294" s="11">
        <v>226.0</v>
      </c>
      <c r="B294" s="113" t="s">
        <v>73</v>
      </c>
      <c r="C294" s="124">
        <v>1.0</v>
      </c>
      <c r="D294" s="113" t="s">
        <v>962</v>
      </c>
      <c r="E294" s="113" t="s">
        <v>963</v>
      </c>
      <c r="F294" s="113" t="s">
        <v>964</v>
      </c>
      <c r="G294" s="113">
        <v>60.0</v>
      </c>
      <c r="H294" s="115">
        <f>ROUNDDOWN(KUNJUNGAN!$G294/60,0)</f>
        <v>1</v>
      </c>
      <c r="I294" s="116">
        <f t="shared" si="1"/>
        <v>0</v>
      </c>
      <c r="J294" s="116">
        <f>(KUNJUNGAN!$H294*60)+KUNJUNGAN!$I294</f>
        <v>60</v>
      </c>
      <c r="K294" s="115"/>
      <c r="L294" s="11" t="s">
        <v>284</v>
      </c>
      <c r="M294" s="11"/>
    </row>
    <row r="295" ht="15.75" customHeight="1">
      <c r="A295" s="11">
        <v>227.0</v>
      </c>
      <c r="B295" s="113" t="s">
        <v>73</v>
      </c>
      <c r="C295" s="124">
        <v>1.0</v>
      </c>
      <c r="D295" s="113" t="s">
        <v>962</v>
      </c>
      <c r="E295" s="113" t="s">
        <v>965</v>
      </c>
      <c r="F295" s="113" t="s">
        <v>966</v>
      </c>
      <c r="G295" s="113">
        <v>60.0</v>
      </c>
      <c r="H295" s="115">
        <f>ROUNDDOWN(KUNJUNGAN!$G295/60,0)</f>
        <v>1</v>
      </c>
      <c r="I295" s="116">
        <f t="shared" si="1"/>
        <v>0</v>
      </c>
      <c r="J295" s="116">
        <f>(KUNJUNGAN!$H295*60)+KUNJUNGAN!$I295</f>
        <v>60</v>
      </c>
      <c r="K295" s="115"/>
      <c r="L295" s="11" t="s">
        <v>284</v>
      </c>
      <c r="M295" s="11"/>
    </row>
    <row r="296" ht="15.75" customHeight="1">
      <c r="A296" s="11">
        <v>228.0</v>
      </c>
      <c r="B296" s="113" t="s">
        <v>73</v>
      </c>
      <c r="C296" s="124">
        <v>1.0</v>
      </c>
      <c r="D296" s="113" t="s">
        <v>967</v>
      </c>
      <c r="E296" s="113" t="s">
        <v>968</v>
      </c>
      <c r="F296" s="113" t="s">
        <v>969</v>
      </c>
      <c r="G296" s="113">
        <v>60.0</v>
      </c>
      <c r="H296" s="115">
        <f>ROUNDDOWN(KUNJUNGAN!$G296/60,0)</f>
        <v>1</v>
      </c>
      <c r="I296" s="116">
        <f t="shared" si="1"/>
        <v>0</v>
      </c>
      <c r="J296" s="116">
        <f>(KUNJUNGAN!$H296*60)+KUNJUNGAN!$I296</f>
        <v>60</v>
      </c>
      <c r="K296" s="115"/>
      <c r="L296" s="11" t="s">
        <v>284</v>
      </c>
      <c r="M296" s="11"/>
    </row>
    <row r="297" ht="15.75" customHeight="1">
      <c r="A297" s="11">
        <v>229.0</v>
      </c>
      <c r="B297" s="113" t="s">
        <v>73</v>
      </c>
      <c r="C297" s="124">
        <v>1.0</v>
      </c>
      <c r="D297" s="113" t="s">
        <v>967</v>
      </c>
      <c r="E297" s="113" t="s">
        <v>970</v>
      </c>
      <c r="F297" s="113" t="s">
        <v>971</v>
      </c>
      <c r="G297" s="113">
        <v>92.0</v>
      </c>
      <c r="H297" s="115">
        <f>ROUNDDOWN(KUNJUNGAN!$G297/60,0)</f>
        <v>1</v>
      </c>
      <c r="I297" s="116">
        <f t="shared" si="1"/>
        <v>32</v>
      </c>
      <c r="J297" s="116">
        <f>(KUNJUNGAN!$H297*60)+KUNJUNGAN!$I297</f>
        <v>92</v>
      </c>
      <c r="K297" s="115"/>
      <c r="L297" s="11" t="s">
        <v>284</v>
      </c>
      <c r="M297" s="11"/>
    </row>
    <row r="298" ht="15.75" customHeight="1">
      <c r="A298" s="11">
        <v>230.0</v>
      </c>
      <c r="B298" s="113" t="s">
        <v>73</v>
      </c>
      <c r="C298" s="124">
        <v>1.0</v>
      </c>
      <c r="D298" s="113" t="s">
        <v>972</v>
      </c>
      <c r="E298" s="113" t="s">
        <v>973</v>
      </c>
      <c r="F298" s="113" t="s">
        <v>974</v>
      </c>
      <c r="G298" s="113">
        <v>112.0</v>
      </c>
      <c r="H298" s="115">
        <f>ROUNDDOWN(KUNJUNGAN!$G298/60,0)</f>
        <v>1</v>
      </c>
      <c r="I298" s="116">
        <f t="shared" si="1"/>
        <v>52</v>
      </c>
      <c r="J298" s="116">
        <f>(KUNJUNGAN!$H298*60)+KUNJUNGAN!$I298</f>
        <v>112</v>
      </c>
      <c r="K298" s="115"/>
      <c r="L298" s="11" t="s">
        <v>284</v>
      </c>
      <c r="M298" s="11"/>
    </row>
    <row r="299" ht="15.75" customHeight="1">
      <c r="A299" s="11">
        <v>231.0</v>
      </c>
      <c r="B299" s="113" t="s">
        <v>73</v>
      </c>
      <c r="C299" s="124">
        <v>1.0</v>
      </c>
      <c r="D299" s="113" t="s">
        <v>975</v>
      </c>
      <c r="E299" s="113" t="s">
        <v>976</v>
      </c>
      <c r="F299" s="113" t="s">
        <v>977</v>
      </c>
      <c r="G299" s="113">
        <v>60.0</v>
      </c>
      <c r="H299" s="115">
        <f>ROUNDDOWN(KUNJUNGAN!$G299/60,0)</f>
        <v>1</v>
      </c>
      <c r="I299" s="116">
        <f t="shared" si="1"/>
        <v>0</v>
      </c>
      <c r="J299" s="116">
        <f>(KUNJUNGAN!$H299*60)+KUNJUNGAN!$I299</f>
        <v>60</v>
      </c>
      <c r="K299" s="115"/>
      <c r="L299" s="11" t="s">
        <v>284</v>
      </c>
      <c r="M299" s="11"/>
    </row>
    <row r="300" ht="15.75" customHeight="1">
      <c r="A300" s="11">
        <v>232.0</v>
      </c>
      <c r="B300" s="113" t="s">
        <v>73</v>
      </c>
      <c r="C300" s="124">
        <v>1.0</v>
      </c>
      <c r="D300" s="113" t="s">
        <v>975</v>
      </c>
      <c r="E300" s="113" t="s">
        <v>978</v>
      </c>
      <c r="F300" s="113" t="s">
        <v>979</v>
      </c>
      <c r="G300" s="113">
        <v>60.0</v>
      </c>
      <c r="H300" s="115">
        <f>ROUNDDOWN(KUNJUNGAN!$G300/60,0)</f>
        <v>1</v>
      </c>
      <c r="I300" s="116">
        <f t="shared" si="1"/>
        <v>0</v>
      </c>
      <c r="J300" s="116">
        <f>(KUNJUNGAN!$H300*60)+KUNJUNGAN!$I300</f>
        <v>60</v>
      </c>
      <c r="K300" s="115"/>
      <c r="L300" s="11" t="s">
        <v>284</v>
      </c>
      <c r="M300" s="11"/>
      <c r="N300" s="65"/>
    </row>
    <row r="301" ht="15.75" customHeight="1">
      <c r="A301" s="11">
        <v>233.0</v>
      </c>
      <c r="B301" s="113" t="s">
        <v>73</v>
      </c>
      <c r="C301" s="124">
        <v>1.0</v>
      </c>
      <c r="D301" s="113" t="s">
        <v>975</v>
      </c>
      <c r="E301" s="113" t="s">
        <v>980</v>
      </c>
      <c r="F301" s="113" t="s">
        <v>981</v>
      </c>
      <c r="G301" s="113">
        <v>144.0</v>
      </c>
      <c r="H301" s="115">
        <f>ROUNDDOWN(KUNJUNGAN!$G301/60,0)</f>
        <v>2</v>
      </c>
      <c r="I301" s="116">
        <f t="shared" si="1"/>
        <v>24</v>
      </c>
      <c r="J301" s="116">
        <f>(KUNJUNGAN!$H301*60)+KUNJUNGAN!$I301</f>
        <v>144</v>
      </c>
      <c r="K301" s="115"/>
      <c r="L301" s="11" t="s">
        <v>284</v>
      </c>
      <c r="M301" s="11"/>
      <c r="N301" s="65"/>
    </row>
    <row r="302" ht="15.75" customHeight="1">
      <c r="A302" s="11">
        <v>234.0</v>
      </c>
      <c r="B302" s="113" t="s">
        <v>73</v>
      </c>
      <c r="C302" s="124">
        <v>1.0</v>
      </c>
      <c r="D302" s="113" t="s">
        <v>982</v>
      </c>
      <c r="E302" s="113" t="s">
        <v>704</v>
      </c>
      <c r="F302" s="113" t="s">
        <v>983</v>
      </c>
      <c r="G302" s="113">
        <v>189.0</v>
      </c>
      <c r="H302" s="115">
        <f>ROUNDDOWN(KUNJUNGAN!$G302/60,0)</f>
        <v>3</v>
      </c>
      <c r="I302" s="116">
        <f t="shared" si="1"/>
        <v>9</v>
      </c>
      <c r="J302" s="116">
        <f>(KUNJUNGAN!$H302*60)+KUNJUNGAN!$I302</f>
        <v>189</v>
      </c>
      <c r="K302" s="115"/>
      <c r="L302" s="11" t="s">
        <v>284</v>
      </c>
      <c r="M302" s="11"/>
      <c r="N302" s="65"/>
    </row>
    <row r="303" ht="15.75" customHeight="1">
      <c r="A303" s="11">
        <v>235.0</v>
      </c>
      <c r="B303" s="113" t="s">
        <v>73</v>
      </c>
      <c r="C303" s="124">
        <v>1.0</v>
      </c>
      <c r="D303" s="113" t="s">
        <v>982</v>
      </c>
      <c r="E303" s="113" t="s">
        <v>984</v>
      </c>
      <c r="F303" s="113" t="s">
        <v>985</v>
      </c>
      <c r="G303" s="113">
        <v>191.0</v>
      </c>
      <c r="H303" s="115">
        <f>ROUNDDOWN(KUNJUNGAN!$G303/60,0)</f>
        <v>3</v>
      </c>
      <c r="I303" s="116">
        <f t="shared" si="1"/>
        <v>11</v>
      </c>
      <c r="J303" s="116">
        <f>(KUNJUNGAN!$H303*60)+KUNJUNGAN!$I303</f>
        <v>191</v>
      </c>
      <c r="K303" s="115"/>
      <c r="L303" s="11" t="s">
        <v>284</v>
      </c>
      <c r="M303" s="11"/>
      <c r="N303" s="65"/>
    </row>
    <row r="304" ht="15.75" customHeight="1">
      <c r="A304" s="11">
        <v>236.0</v>
      </c>
      <c r="B304" s="113" t="s">
        <v>73</v>
      </c>
      <c r="C304" s="124">
        <v>1.0</v>
      </c>
      <c r="D304" s="113" t="s">
        <v>982</v>
      </c>
      <c r="E304" s="113" t="s">
        <v>986</v>
      </c>
      <c r="F304" s="113" t="s">
        <v>987</v>
      </c>
      <c r="G304" s="113">
        <v>198.0</v>
      </c>
      <c r="H304" s="115">
        <f>ROUNDDOWN(KUNJUNGAN!$G304/60,0)</f>
        <v>3</v>
      </c>
      <c r="I304" s="116">
        <f t="shared" si="1"/>
        <v>18</v>
      </c>
      <c r="J304" s="116">
        <f>(KUNJUNGAN!$H304*60)+KUNJUNGAN!$I304</f>
        <v>198</v>
      </c>
      <c r="K304" s="115"/>
      <c r="L304" s="11" t="s">
        <v>284</v>
      </c>
      <c r="M304" s="11"/>
      <c r="N304" s="65"/>
    </row>
    <row r="305" ht="15.75" customHeight="1">
      <c r="A305" s="11">
        <v>237.0</v>
      </c>
      <c r="B305" s="113" t="s">
        <v>73</v>
      </c>
      <c r="C305" s="124">
        <v>1.0</v>
      </c>
      <c r="D305" s="113" t="s">
        <v>982</v>
      </c>
      <c r="E305" s="113" t="s">
        <v>988</v>
      </c>
      <c r="F305" s="113" t="s">
        <v>989</v>
      </c>
      <c r="G305" s="113">
        <v>199.0</v>
      </c>
      <c r="H305" s="115">
        <f>ROUNDDOWN(KUNJUNGAN!$G305/60,0)</f>
        <v>3</v>
      </c>
      <c r="I305" s="116">
        <f t="shared" si="1"/>
        <v>19</v>
      </c>
      <c r="J305" s="116">
        <f>(KUNJUNGAN!$H305*60)+KUNJUNGAN!$I305</f>
        <v>199</v>
      </c>
      <c r="K305" s="115"/>
      <c r="L305" s="11" t="s">
        <v>284</v>
      </c>
      <c r="M305" s="11"/>
    </row>
    <row r="306" ht="15.75" customHeight="1">
      <c r="A306" s="11">
        <v>238.0</v>
      </c>
      <c r="B306" s="113" t="s">
        <v>73</v>
      </c>
      <c r="C306" s="124">
        <v>1.0</v>
      </c>
      <c r="D306" s="113" t="s">
        <v>982</v>
      </c>
      <c r="E306" s="113" t="s">
        <v>990</v>
      </c>
      <c r="F306" s="113" t="s">
        <v>991</v>
      </c>
      <c r="G306" s="113">
        <v>185.0</v>
      </c>
      <c r="H306" s="115">
        <f>ROUNDDOWN(KUNJUNGAN!$G306/60,0)</f>
        <v>3</v>
      </c>
      <c r="I306" s="116">
        <f t="shared" si="1"/>
        <v>5</v>
      </c>
      <c r="J306" s="116">
        <f>(KUNJUNGAN!$H306*60)+KUNJUNGAN!$I306</f>
        <v>185</v>
      </c>
      <c r="K306" s="115"/>
      <c r="L306" s="11" t="s">
        <v>284</v>
      </c>
      <c r="M306" s="11"/>
    </row>
    <row r="307" ht="15.75" customHeight="1">
      <c r="A307" s="11">
        <v>239.0</v>
      </c>
      <c r="B307" s="113" t="s">
        <v>73</v>
      </c>
      <c r="C307" s="124">
        <v>1.0</v>
      </c>
      <c r="D307" s="113" t="s">
        <v>982</v>
      </c>
      <c r="E307" s="113" t="s">
        <v>992</v>
      </c>
      <c r="F307" s="113" t="s">
        <v>993</v>
      </c>
      <c r="G307" s="113">
        <v>178.0</v>
      </c>
      <c r="H307" s="115">
        <f>ROUNDDOWN(KUNJUNGAN!$G307/60,0)</f>
        <v>2</v>
      </c>
      <c r="I307" s="116">
        <f t="shared" si="1"/>
        <v>58</v>
      </c>
      <c r="J307" s="116">
        <f>(KUNJUNGAN!$H307*60)+KUNJUNGAN!$I307</f>
        <v>178</v>
      </c>
      <c r="K307" s="115"/>
      <c r="L307" s="11" t="s">
        <v>284</v>
      </c>
      <c r="M307" s="11"/>
    </row>
    <row r="308" ht="15.75" customHeight="1">
      <c r="A308" s="11">
        <v>240.0</v>
      </c>
      <c r="B308" s="113" t="s">
        <v>73</v>
      </c>
      <c r="C308" s="124">
        <v>1.0</v>
      </c>
      <c r="D308" s="113" t="s">
        <v>982</v>
      </c>
      <c r="E308" s="113" t="s">
        <v>994</v>
      </c>
      <c r="F308" s="113" t="s">
        <v>995</v>
      </c>
      <c r="G308" s="113">
        <v>172.0</v>
      </c>
      <c r="H308" s="115">
        <f>ROUNDDOWN(KUNJUNGAN!$G308/60,0)</f>
        <v>2</v>
      </c>
      <c r="I308" s="116">
        <f t="shared" si="1"/>
        <v>52</v>
      </c>
      <c r="J308" s="116">
        <f>(KUNJUNGAN!$H308*60)+KUNJUNGAN!$I308</f>
        <v>172</v>
      </c>
      <c r="K308" s="115"/>
      <c r="L308" s="11" t="s">
        <v>284</v>
      </c>
      <c r="M308" s="11"/>
    </row>
    <row r="309" ht="15.75" customHeight="1">
      <c r="A309" s="11">
        <v>241.0</v>
      </c>
      <c r="B309" s="113" t="s">
        <v>73</v>
      </c>
      <c r="C309" s="124">
        <v>1.0</v>
      </c>
      <c r="D309" s="113" t="s">
        <v>982</v>
      </c>
      <c r="E309" s="113" t="s">
        <v>996</v>
      </c>
      <c r="F309" s="113" t="s">
        <v>997</v>
      </c>
      <c r="G309" s="113">
        <v>71.0</v>
      </c>
      <c r="H309" s="115">
        <f>ROUNDDOWN(KUNJUNGAN!$G309/60,0)</f>
        <v>1</v>
      </c>
      <c r="I309" s="116">
        <f t="shared" si="1"/>
        <v>11</v>
      </c>
      <c r="J309" s="116">
        <f>(KUNJUNGAN!$H309*60)+KUNJUNGAN!$I309</f>
        <v>71</v>
      </c>
      <c r="K309" s="115"/>
      <c r="L309" s="11" t="s">
        <v>284</v>
      </c>
      <c r="M309" s="11"/>
    </row>
    <row r="310" ht="15.75" customHeight="1">
      <c r="A310" s="11">
        <v>242.0</v>
      </c>
      <c r="B310" s="113" t="s">
        <v>73</v>
      </c>
      <c r="C310" s="124">
        <v>1.0</v>
      </c>
      <c r="D310" s="113" t="s">
        <v>998</v>
      </c>
      <c r="E310" s="113" t="s">
        <v>999</v>
      </c>
      <c r="F310" s="113" t="s">
        <v>1000</v>
      </c>
      <c r="G310" s="113">
        <v>82.0</v>
      </c>
      <c r="H310" s="115">
        <f>ROUNDDOWN(KUNJUNGAN!$G310/60,0)</f>
        <v>1</v>
      </c>
      <c r="I310" s="116">
        <f t="shared" si="1"/>
        <v>22</v>
      </c>
      <c r="J310" s="116">
        <f>(KUNJUNGAN!$H310*60)+KUNJUNGAN!$I310</f>
        <v>82</v>
      </c>
      <c r="K310" s="115"/>
      <c r="L310" s="11" t="s">
        <v>284</v>
      </c>
      <c r="M310" s="11"/>
    </row>
    <row r="311" ht="15.75" customHeight="1">
      <c r="A311" s="11">
        <v>243.0</v>
      </c>
      <c r="B311" s="113" t="s">
        <v>73</v>
      </c>
      <c r="C311" s="124">
        <v>1.0</v>
      </c>
      <c r="D311" s="113" t="s">
        <v>998</v>
      </c>
      <c r="E311" s="113" t="s">
        <v>1001</v>
      </c>
      <c r="F311" s="113" t="s">
        <v>1002</v>
      </c>
      <c r="G311" s="113">
        <v>49.0</v>
      </c>
      <c r="H311" s="115">
        <f>ROUNDDOWN(KUNJUNGAN!$G311/60,0)</f>
        <v>0</v>
      </c>
      <c r="I311" s="116">
        <f t="shared" si="1"/>
        <v>49</v>
      </c>
      <c r="J311" s="116">
        <f>(KUNJUNGAN!$H311*60)+KUNJUNGAN!$I311</f>
        <v>49</v>
      </c>
      <c r="K311" s="115"/>
      <c r="L311" s="11" t="s">
        <v>284</v>
      </c>
      <c r="M311" s="11"/>
    </row>
    <row r="312" ht="15.75" customHeight="1">
      <c r="A312" s="11">
        <v>244.0</v>
      </c>
      <c r="B312" s="113" t="s">
        <v>73</v>
      </c>
      <c r="C312" s="124">
        <v>1.0</v>
      </c>
      <c r="D312" s="113" t="s">
        <v>1003</v>
      </c>
      <c r="E312" s="113" t="s">
        <v>1004</v>
      </c>
      <c r="F312" s="113" t="s">
        <v>1005</v>
      </c>
      <c r="G312" s="113">
        <v>60.0</v>
      </c>
      <c r="H312" s="115">
        <f>ROUNDDOWN(KUNJUNGAN!$G312/60,0)</f>
        <v>1</v>
      </c>
      <c r="I312" s="116">
        <f t="shared" si="1"/>
        <v>0</v>
      </c>
      <c r="J312" s="116">
        <f>(KUNJUNGAN!$H312*60)+KUNJUNGAN!$I312</f>
        <v>60</v>
      </c>
      <c r="K312" s="115"/>
      <c r="L312" s="11" t="s">
        <v>284</v>
      </c>
      <c r="M312" s="11"/>
    </row>
    <row r="313" ht="15.75" customHeight="1">
      <c r="A313" s="11">
        <v>245.0</v>
      </c>
      <c r="B313" s="113" t="s">
        <v>73</v>
      </c>
      <c r="C313" s="124">
        <v>1.0</v>
      </c>
      <c r="D313" s="113" t="s">
        <v>1003</v>
      </c>
      <c r="E313" s="113" t="s">
        <v>1006</v>
      </c>
      <c r="F313" s="113" t="s">
        <v>1007</v>
      </c>
      <c r="G313" s="113">
        <v>60.0</v>
      </c>
      <c r="H313" s="115">
        <f>ROUNDDOWN(KUNJUNGAN!$G313/60,0)</f>
        <v>1</v>
      </c>
      <c r="I313" s="116">
        <f t="shared" si="1"/>
        <v>0</v>
      </c>
      <c r="J313" s="116">
        <f>(KUNJUNGAN!$H313*60)+KUNJUNGAN!$I313</f>
        <v>60</v>
      </c>
      <c r="K313" s="115"/>
      <c r="L313" s="11" t="s">
        <v>284</v>
      </c>
      <c r="M313" s="11"/>
    </row>
    <row r="314" ht="15.75" customHeight="1">
      <c r="A314" s="11">
        <v>246.0</v>
      </c>
      <c r="B314" s="113" t="s">
        <v>73</v>
      </c>
      <c r="C314" s="124">
        <v>1.0</v>
      </c>
      <c r="D314" s="113" t="s">
        <v>1003</v>
      </c>
      <c r="E314" s="113" t="s">
        <v>1008</v>
      </c>
      <c r="F314" s="113" t="s">
        <v>1009</v>
      </c>
      <c r="G314" s="113">
        <v>201.0</v>
      </c>
      <c r="H314" s="115">
        <f>ROUNDDOWN(KUNJUNGAN!$G314/60,0)</f>
        <v>3</v>
      </c>
      <c r="I314" s="116">
        <f t="shared" si="1"/>
        <v>21</v>
      </c>
      <c r="J314" s="116">
        <f>(KUNJUNGAN!$H314*60)+KUNJUNGAN!$I314</f>
        <v>201</v>
      </c>
      <c r="K314" s="115"/>
      <c r="L314" s="11" t="s">
        <v>284</v>
      </c>
      <c r="M314" s="11"/>
    </row>
    <row r="315" ht="15.75" customHeight="1">
      <c r="A315" s="11">
        <v>247.0</v>
      </c>
      <c r="B315" s="113" t="s">
        <v>73</v>
      </c>
      <c r="C315" s="124">
        <v>1.0</v>
      </c>
      <c r="D315" s="113" t="s">
        <v>1010</v>
      </c>
      <c r="E315" s="113" t="s">
        <v>1011</v>
      </c>
      <c r="F315" s="113" t="s">
        <v>1012</v>
      </c>
      <c r="G315" s="113">
        <v>60.0</v>
      </c>
      <c r="H315" s="115">
        <f>ROUNDDOWN(KUNJUNGAN!$G315/60,0)</f>
        <v>1</v>
      </c>
      <c r="I315" s="116">
        <f t="shared" si="1"/>
        <v>0</v>
      </c>
      <c r="J315" s="116">
        <f>(KUNJUNGAN!$H315*60)+KUNJUNGAN!$I315</f>
        <v>60</v>
      </c>
      <c r="K315" s="115"/>
      <c r="L315" s="11" t="s">
        <v>284</v>
      </c>
      <c r="M315" s="11"/>
    </row>
    <row r="316" ht="15.75" customHeight="1">
      <c r="A316" s="11">
        <v>248.0</v>
      </c>
      <c r="B316" s="113" t="s">
        <v>73</v>
      </c>
      <c r="C316" s="124">
        <v>1.0</v>
      </c>
      <c r="D316" s="113" t="s">
        <v>1010</v>
      </c>
      <c r="E316" s="113" t="s">
        <v>1013</v>
      </c>
      <c r="F316" s="113" t="s">
        <v>1014</v>
      </c>
      <c r="G316" s="113">
        <v>193.0</v>
      </c>
      <c r="H316" s="115">
        <f>ROUNDDOWN(KUNJUNGAN!$G316/60,0)</f>
        <v>3</v>
      </c>
      <c r="I316" s="116">
        <f t="shared" si="1"/>
        <v>13</v>
      </c>
      <c r="J316" s="116">
        <f>(KUNJUNGAN!$H316*60)+KUNJUNGAN!$I316</f>
        <v>193</v>
      </c>
      <c r="K316" s="115"/>
      <c r="L316" s="11" t="s">
        <v>284</v>
      </c>
      <c r="M316" s="11"/>
    </row>
    <row r="317" ht="15.75" customHeight="1">
      <c r="A317" s="11">
        <v>249.0</v>
      </c>
      <c r="B317" s="113" t="s">
        <v>73</v>
      </c>
      <c r="C317" s="124">
        <v>1.0</v>
      </c>
      <c r="D317" s="113" t="s">
        <v>1015</v>
      </c>
      <c r="E317" s="113" t="s">
        <v>1016</v>
      </c>
      <c r="F317" s="113" t="s">
        <v>1017</v>
      </c>
      <c r="G317" s="113">
        <v>60.0</v>
      </c>
      <c r="H317" s="115">
        <f>ROUNDDOWN(KUNJUNGAN!$G317/60,0)</f>
        <v>1</v>
      </c>
      <c r="I317" s="116">
        <f t="shared" si="1"/>
        <v>0</v>
      </c>
      <c r="J317" s="116">
        <f>(KUNJUNGAN!$H317*60)+KUNJUNGAN!$I317</f>
        <v>60</v>
      </c>
      <c r="K317" s="115"/>
      <c r="L317" s="11" t="s">
        <v>284</v>
      </c>
      <c r="M317" s="11"/>
    </row>
    <row r="318" ht="15.75" customHeight="1">
      <c r="A318" s="11">
        <v>250.0</v>
      </c>
      <c r="B318" s="113" t="s">
        <v>73</v>
      </c>
      <c r="C318" s="124">
        <v>1.0</v>
      </c>
      <c r="D318" s="113" t="s">
        <v>1015</v>
      </c>
      <c r="E318" s="113" t="s">
        <v>1018</v>
      </c>
      <c r="F318" s="113" t="s">
        <v>1019</v>
      </c>
      <c r="G318" s="113">
        <v>85.0</v>
      </c>
      <c r="H318" s="115">
        <f>ROUNDDOWN(KUNJUNGAN!$G318/60,0)</f>
        <v>1</v>
      </c>
      <c r="I318" s="116">
        <f t="shared" si="1"/>
        <v>25</v>
      </c>
      <c r="J318" s="116">
        <f>(KUNJUNGAN!$H318*60)+KUNJUNGAN!$I318</f>
        <v>85</v>
      </c>
      <c r="K318" s="115"/>
      <c r="L318" s="11" t="s">
        <v>284</v>
      </c>
      <c r="M318" s="11"/>
    </row>
    <row r="319" ht="15.75" customHeight="1">
      <c r="A319" s="11">
        <v>251.0</v>
      </c>
      <c r="B319" s="113" t="s">
        <v>73</v>
      </c>
      <c r="C319" s="124">
        <v>1.0</v>
      </c>
      <c r="D319" s="113" t="s">
        <v>1020</v>
      </c>
      <c r="E319" s="113" t="s">
        <v>1021</v>
      </c>
      <c r="F319" s="113" t="s">
        <v>1022</v>
      </c>
      <c r="G319" s="113">
        <v>72.0</v>
      </c>
      <c r="H319" s="115">
        <f>ROUNDDOWN(KUNJUNGAN!$G319/60,0)</f>
        <v>1</v>
      </c>
      <c r="I319" s="116">
        <f t="shared" si="1"/>
        <v>12</v>
      </c>
      <c r="J319" s="116">
        <f>(KUNJUNGAN!$H319*60)+KUNJUNGAN!$I319</f>
        <v>72</v>
      </c>
      <c r="K319" s="115"/>
      <c r="L319" s="11" t="s">
        <v>284</v>
      </c>
      <c r="M319" s="11"/>
    </row>
    <row r="320" ht="15.75" customHeight="1">
      <c r="A320" s="11">
        <v>252.0</v>
      </c>
      <c r="B320" s="113" t="s">
        <v>73</v>
      </c>
      <c r="C320" s="124">
        <v>1.0</v>
      </c>
      <c r="D320" s="113" t="s">
        <v>1023</v>
      </c>
      <c r="E320" s="113" t="s">
        <v>1024</v>
      </c>
      <c r="F320" s="113" t="s">
        <v>1025</v>
      </c>
      <c r="G320" s="113">
        <v>100.0</v>
      </c>
      <c r="H320" s="115">
        <f>ROUNDDOWN(KUNJUNGAN!$G320/60,0)</f>
        <v>1</v>
      </c>
      <c r="I320" s="116">
        <f t="shared" si="1"/>
        <v>40</v>
      </c>
      <c r="J320" s="116">
        <f>(KUNJUNGAN!$H320*60)+KUNJUNGAN!$I320</f>
        <v>100</v>
      </c>
      <c r="K320" s="115"/>
      <c r="L320" s="11" t="s">
        <v>284</v>
      </c>
      <c r="M320" s="11"/>
    </row>
    <row r="321" ht="15.75" customHeight="1">
      <c r="A321" s="11">
        <v>253.0</v>
      </c>
      <c r="B321" s="113" t="s">
        <v>73</v>
      </c>
      <c r="C321" s="124">
        <v>1.0</v>
      </c>
      <c r="D321" s="113" t="s">
        <v>1026</v>
      </c>
      <c r="E321" s="113" t="s">
        <v>1027</v>
      </c>
      <c r="F321" s="113" t="s">
        <v>971</v>
      </c>
      <c r="G321" s="113">
        <v>182.0</v>
      </c>
      <c r="H321" s="115">
        <f>ROUNDDOWN(KUNJUNGAN!$G321/60,0)</f>
        <v>3</v>
      </c>
      <c r="I321" s="116">
        <f t="shared" si="1"/>
        <v>2</v>
      </c>
      <c r="J321" s="116">
        <f>(KUNJUNGAN!$H321*60)+KUNJUNGAN!$I321</f>
        <v>182</v>
      </c>
      <c r="K321" s="115"/>
      <c r="L321" s="11" t="s">
        <v>284</v>
      </c>
      <c r="M321" s="11"/>
    </row>
    <row r="322" ht="15.75" customHeight="1">
      <c r="A322" s="11">
        <v>391.0</v>
      </c>
      <c r="B322" s="113" t="s">
        <v>73</v>
      </c>
      <c r="C322" s="124">
        <v>1.0</v>
      </c>
      <c r="D322" s="113" t="s">
        <v>1026</v>
      </c>
      <c r="E322" s="113" t="s">
        <v>649</v>
      </c>
      <c r="F322" s="113" t="s">
        <v>1028</v>
      </c>
      <c r="G322" s="113">
        <v>40.0</v>
      </c>
      <c r="H322" s="115">
        <f>ROUNDDOWN(KUNJUNGAN!$G322/60,0)</f>
        <v>0</v>
      </c>
      <c r="I322" s="116">
        <f t="shared" si="1"/>
        <v>40</v>
      </c>
      <c r="J322" s="116">
        <f>(KUNJUNGAN!$H322*60)+KUNJUNGAN!$I322</f>
        <v>40</v>
      </c>
      <c r="K322" s="115"/>
      <c r="L322" s="11" t="s">
        <v>284</v>
      </c>
      <c r="M322" s="11"/>
    </row>
    <row r="323" ht="15.75" customHeight="1">
      <c r="A323" s="11">
        <v>392.0</v>
      </c>
      <c r="B323" s="113" t="s">
        <v>73</v>
      </c>
      <c r="C323" s="124">
        <v>1.0</v>
      </c>
      <c r="D323" s="113" t="s">
        <v>1029</v>
      </c>
      <c r="E323" s="113" t="s">
        <v>936</v>
      </c>
      <c r="F323" s="113" t="s">
        <v>1030</v>
      </c>
      <c r="G323" s="113">
        <v>160.0</v>
      </c>
      <c r="H323" s="115">
        <f>ROUNDDOWN(KUNJUNGAN!$G323/60,0)</f>
        <v>2</v>
      </c>
      <c r="I323" s="116">
        <f t="shared" si="1"/>
        <v>40</v>
      </c>
      <c r="J323" s="116">
        <f>(KUNJUNGAN!$H323*60)+KUNJUNGAN!$I323</f>
        <v>160</v>
      </c>
      <c r="K323" s="115"/>
      <c r="L323" s="11" t="s">
        <v>284</v>
      </c>
      <c r="M323" s="11"/>
    </row>
    <row r="324" ht="15.75" customHeight="1">
      <c r="A324" s="11">
        <v>393.0</v>
      </c>
      <c r="B324" s="113" t="s">
        <v>73</v>
      </c>
      <c r="C324" s="124">
        <v>1.0</v>
      </c>
      <c r="D324" s="113" t="s">
        <v>1029</v>
      </c>
      <c r="E324" s="113" t="s">
        <v>937</v>
      </c>
      <c r="F324" s="113" t="s">
        <v>1031</v>
      </c>
      <c r="G324" s="113">
        <v>112.0</v>
      </c>
      <c r="H324" s="115">
        <f>ROUNDDOWN(KUNJUNGAN!$G324/60,0)</f>
        <v>1</v>
      </c>
      <c r="I324" s="116">
        <f t="shared" si="1"/>
        <v>52</v>
      </c>
      <c r="J324" s="116">
        <f>(KUNJUNGAN!$H324*60)+KUNJUNGAN!$I324</f>
        <v>112</v>
      </c>
      <c r="K324" s="115"/>
      <c r="L324" s="11" t="s">
        <v>284</v>
      </c>
      <c r="M324" s="11"/>
    </row>
    <row r="325" ht="15.75" customHeight="1">
      <c r="A325" s="11">
        <v>394.0</v>
      </c>
      <c r="B325" s="113" t="s">
        <v>73</v>
      </c>
      <c r="C325" s="124">
        <v>1.0</v>
      </c>
      <c r="D325" s="113" t="s">
        <v>1032</v>
      </c>
      <c r="E325" s="113" t="s">
        <v>1033</v>
      </c>
      <c r="F325" s="113" t="s">
        <v>1034</v>
      </c>
      <c r="G325" s="113">
        <v>173.0</v>
      </c>
      <c r="H325" s="115">
        <f>ROUNDDOWN(KUNJUNGAN!$G325/60,0)</f>
        <v>2</v>
      </c>
      <c r="I325" s="116">
        <f t="shared" si="1"/>
        <v>53</v>
      </c>
      <c r="J325" s="116">
        <f>(KUNJUNGAN!$H325*60)+KUNJUNGAN!$I325</f>
        <v>173</v>
      </c>
      <c r="K325" s="115"/>
      <c r="L325" s="11" t="s">
        <v>284</v>
      </c>
      <c r="M325" s="11"/>
    </row>
    <row r="326" ht="15.75" customHeight="1">
      <c r="A326" s="11">
        <v>395.0</v>
      </c>
      <c r="B326" s="113" t="s">
        <v>73</v>
      </c>
      <c r="C326" s="124">
        <v>1.0</v>
      </c>
      <c r="D326" s="113" t="s">
        <v>668</v>
      </c>
      <c r="E326" s="113" t="s">
        <v>672</v>
      </c>
      <c r="F326" s="113" t="s">
        <v>673</v>
      </c>
      <c r="G326" s="113">
        <v>180.0</v>
      </c>
      <c r="H326" s="115">
        <f>ROUNDDOWN(KUNJUNGAN!$G326/60,0)</f>
        <v>3</v>
      </c>
      <c r="I326" s="116">
        <f t="shared" si="1"/>
        <v>0</v>
      </c>
      <c r="J326" s="116">
        <f>(KUNJUNGAN!$H326*60)+KUNJUNGAN!$I326</f>
        <v>180</v>
      </c>
      <c r="K326" s="115"/>
      <c r="L326" s="11" t="s">
        <v>284</v>
      </c>
      <c r="M326" s="11"/>
    </row>
    <row r="327" ht="15.75" customHeight="1">
      <c r="A327" s="11">
        <v>396.0</v>
      </c>
      <c r="B327" s="113" t="s">
        <v>73</v>
      </c>
      <c r="C327" s="124">
        <v>1.0</v>
      </c>
      <c r="D327" s="113" t="s">
        <v>668</v>
      </c>
      <c r="E327" s="113" t="s">
        <v>669</v>
      </c>
      <c r="F327" s="11"/>
      <c r="G327" s="113">
        <v>180.0</v>
      </c>
      <c r="H327" s="115">
        <f>ROUNDDOWN(KUNJUNGAN!$G327/60,0)</f>
        <v>3</v>
      </c>
      <c r="I327" s="116">
        <f t="shared" si="1"/>
        <v>0</v>
      </c>
      <c r="J327" s="116">
        <f>(KUNJUNGAN!$H327*60)+KUNJUNGAN!$I327</f>
        <v>180</v>
      </c>
      <c r="K327" s="115"/>
      <c r="L327" s="11" t="s">
        <v>284</v>
      </c>
      <c r="M327" s="11"/>
    </row>
    <row r="328" ht="15.75" customHeight="1">
      <c r="A328" s="11">
        <v>397.0</v>
      </c>
      <c r="B328" s="113" t="s">
        <v>73</v>
      </c>
      <c r="C328" s="124">
        <v>1.0</v>
      </c>
      <c r="D328" s="113" t="s">
        <v>668</v>
      </c>
      <c r="E328" s="113" t="s">
        <v>670</v>
      </c>
      <c r="F328" s="11"/>
      <c r="G328" s="113">
        <v>180.0</v>
      </c>
      <c r="H328" s="115">
        <f>ROUNDDOWN(KUNJUNGAN!$G328/60,0)</f>
        <v>3</v>
      </c>
      <c r="I328" s="116">
        <f t="shared" si="1"/>
        <v>0</v>
      </c>
      <c r="J328" s="116">
        <f>(KUNJUNGAN!$H328*60)+KUNJUNGAN!$I328</f>
        <v>180</v>
      </c>
      <c r="K328" s="115"/>
      <c r="L328" s="11" t="s">
        <v>284</v>
      </c>
      <c r="M328" s="11"/>
    </row>
    <row r="329" ht="15.75" customHeight="1">
      <c r="A329" s="11">
        <v>398.0</v>
      </c>
      <c r="B329" s="113" t="s">
        <v>73</v>
      </c>
      <c r="C329" s="124">
        <v>1.0</v>
      </c>
      <c r="D329" s="113" t="s">
        <v>668</v>
      </c>
      <c r="E329" s="113" t="s">
        <v>671</v>
      </c>
      <c r="F329" s="11"/>
      <c r="G329" s="113">
        <v>180.0</v>
      </c>
      <c r="H329" s="115">
        <f>ROUNDDOWN(KUNJUNGAN!$G329/60,0)</f>
        <v>3</v>
      </c>
      <c r="I329" s="116">
        <f t="shared" si="1"/>
        <v>0</v>
      </c>
      <c r="J329" s="116">
        <f>(KUNJUNGAN!$H329*60)+KUNJUNGAN!$I329</f>
        <v>180</v>
      </c>
      <c r="K329" s="115"/>
      <c r="L329" s="11" t="s">
        <v>284</v>
      </c>
      <c r="M329" s="11"/>
    </row>
    <row r="330" ht="15.75" customHeight="1">
      <c r="A330" s="11">
        <v>399.0</v>
      </c>
      <c r="B330" s="113" t="s">
        <v>73</v>
      </c>
      <c r="C330" s="124">
        <v>1.0</v>
      </c>
      <c r="D330" s="113" t="s">
        <v>1035</v>
      </c>
      <c r="E330" s="113" t="s">
        <v>1036</v>
      </c>
      <c r="F330" s="113" t="s">
        <v>1037</v>
      </c>
      <c r="G330" s="113">
        <v>185.0</v>
      </c>
      <c r="H330" s="115">
        <f>ROUNDDOWN(KUNJUNGAN!$G330/60,0)</f>
        <v>3</v>
      </c>
      <c r="I330" s="116">
        <f t="shared" si="1"/>
        <v>5</v>
      </c>
      <c r="J330" s="116">
        <f>(KUNJUNGAN!$H330*60)+KUNJUNGAN!$I330</f>
        <v>185</v>
      </c>
      <c r="K330" s="115"/>
      <c r="L330" s="11" t="s">
        <v>284</v>
      </c>
      <c r="M330" s="11"/>
    </row>
    <row r="331" ht="15.75" customHeight="1">
      <c r="A331" s="11">
        <v>400.0</v>
      </c>
      <c r="B331" s="113" t="s">
        <v>73</v>
      </c>
      <c r="C331" s="124">
        <v>1.0</v>
      </c>
      <c r="D331" s="113" t="s">
        <v>1035</v>
      </c>
      <c r="E331" s="113" t="s">
        <v>1038</v>
      </c>
      <c r="F331" s="113" t="s">
        <v>1039</v>
      </c>
      <c r="G331" s="113">
        <v>167.0</v>
      </c>
      <c r="H331" s="115">
        <f>ROUNDDOWN(KUNJUNGAN!$G331/60,0)</f>
        <v>2</v>
      </c>
      <c r="I331" s="116">
        <f t="shared" si="1"/>
        <v>47</v>
      </c>
      <c r="J331" s="116">
        <f>(KUNJUNGAN!$H331*60)+KUNJUNGAN!$I331</f>
        <v>167</v>
      </c>
      <c r="K331" s="115"/>
      <c r="L331" s="11" t="s">
        <v>284</v>
      </c>
      <c r="M331" s="11"/>
    </row>
    <row r="332" ht="15.75" customHeight="1">
      <c r="A332" s="11">
        <v>401.0</v>
      </c>
      <c r="B332" s="113" t="s">
        <v>73</v>
      </c>
      <c r="C332" s="124">
        <v>1.0</v>
      </c>
      <c r="D332" s="113" t="s">
        <v>1040</v>
      </c>
      <c r="E332" s="113" t="s">
        <v>1041</v>
      </c>
      <c r="F332" s="113" t="s">
        <v>1042</v>
      </c>
      <c r="G332" s="113">
        <v>202.0</v>
      </c>
      <c r="H332" s="115">
        <f>ROUNDDOWN(KUNJUNGAN!$G332/60,0)</f>
        <v>3</v>
      </c>
      <c r="I332" s="116">
        <f t="shared" si="1"/>
        <v>22</v>
      </c>
      <c r="J332" s="116">
        <f>(KUNJUNGAN!$H332*60)+KUNJUNGAN!$I332</f>
        <v>202</v>
      </c>
      <c r="K332" s="115"/>
      <c r="L332" s="11" t="s">
        <v>284</v>
      </c>
      <c r="M332" s="11"/>
    </row>
    <row r="333" ht="15.75" customHeight="1">
      <c r="A333" s="11">
        <v>402.0</v>
      </c>
      <c r="B333" s="113" t="s">
        <v>73</v>
      </c>
      <c r="C333" s="124">
        <v>1.0</v>
      </c>
      <c r="D333" s="113" t="s">
        <v>1040</v>
      </c>
      <c r="E333" s="113" t="s">
        <v>1043</v>
      </c>
      <c r="F333" s="113" t="s">
        <v>1044</v>
      </c>
      <c r="G333" s="113">
        <v>86.0</v>
      </c>
      <c r="H333" s="115">
        <f>ROUNDDOWN(KUNJUNGAN!$G333/60,0)</f>
        <v>1</v>
      </c>
      <c r="I333" s="116">
        <f t="shared" si="1"/>
        <v>26</v>
      </c>
      <c r="J333" s="116">
        <f>(KUNJUNGAN!$H333*60)+KUNJUNGAN!$I333</f>
        <v>86</v>
      </c>
      <c r="K333" s="115"/>
      <c r="L333" s="11" t="s">
        <v>284</v>
      </c>
      <c r="M333" s="11"/>
    </row>
    <row r="334" ht="15.75" customHeight="1">
      <c r="A334" s="11">
        <v>403.0</v>
      </c>
      <c r="B334" s="113" t="s">
        <v>73</v>
      </c>
      <c r="C334" s="124">
        <v>1.0</v>
      </c>
      <c r="D334" s="113" t="s">
        <v>1045</v>
      </c>
      <c r="E334" s="113" t="s">
        <v>1046</v>
      </c>
      <c r="F334" s="113" t="s">
        <v>1047</v>
      </c>
      <c r="G334" s="113">
        <v>153.0</v>
      </c>
      <c r="H334" s="115">
        <f>ROUNDDOWN(KUNJUNGAN!$G334/60,0)</f>
        <v>2</v>
      </c>
      <c r="I334" s="116">
        <f t="shared" si="1"/>
        <v>33</v>
      </c>
      <c r="J334" s="116">
        <f>(KUNJUNGAN!$H334*60)+KUNJUNGAN!$I334</f>
        <v>153</v>
      </c>
      <c r="K334" s="115"/>
      <c r="L334" s="11" t="s">
        <v>284</v>
      </c>
      <c r="M334" s="11"/>
    </row>
    <row r="335" ht="15.75" customHeight="1">
      <c r="A335" s="11">
        <v>404.0</v>
      </c>
      <c r="B335" s="113" t="s">
        <v>73</v>
      </c>
      <c r="C335" s="124">
        <v>1.0</v>
      </c>
      <c r="D335" s="113" t="s">
        <v>1045</v>
      </c>
      <c r="E335" s="113" t="s">
        <v>1048</v>
      </c>
      <c r="F335" s="113" t="s">
        <v>1049</v>
      </c>
      <c r="G335" s="113">
        <v>158.0</v>
      </c>
      <c r="H335" s="115">
        <f>ROUNDDOWN(KUNJUNGAN!$G335/60,0)</f>
        <v>2</v>
      </c>
      <c r="I335" s="116">
        <f t="shared" si="1"/>
        <v>38</v>
      </c>
      <c r="J335" s="116">
        <f>(KUNJUNGAN!$H335*60)+KUNJUNGAN!$I335</f>
        <v>158</v>
      </c>
      <c r="K335" s="115"/>
      <c r="L335" s="11" t="s">
        <v>284</v>
      </c>
      <c r="M335" s="11"/>
    </row>
    <row r="336" ht="15.75" customHeight="1">
      <c r="A336" s="11">
        <v>405.0</v>
      </c>
      <c r="B336" s="113" t="s">
        <v>73</v>
      </c>
      <c r="C336" s="124">
        <v>1.0</v>
      </c>
      <c r="D336" s="113" t="s">
        <v>1050</v>
      </c>
      <c r="E336" s="113" t="s">
        <v>1051</v>
      </c>
      <c r="F336" s="113" t="s">
        <v>1052</v>
      </c>
      <c r="G336" s="113">
        <v>60.0</v>
      </c>
      <c r="H336" s="115">
        <f>ROUNDDOWN(KUNJUNGAN!$G336/60,0)</f>
        <v>1</v>
      </c>
      <c r="I336" s="116">
        <f t="shared" si="1"/>
        <v>0</v>
      </c>
      <c r="J336" s="116">
        <f>(KUNJUNGAN!$H336*60)+KUNJUNGAN!$I336</f>
        <v>60</v>
      </c>
      <c r="K336" s="115"/>
      <c r="L336" s="11" t="s">
        <v>284</v>
      </c>
      <c r="M336" s="11"/>
    </row>
    <row r="337" ht="15.75" customHeight="1">
      <c r="A337" s="11">
        <v>406.0</v>
      </c>
      <c r="B337" s="113" t="s">
        <v>73</v>
      </c>
      <c r="C337" s="124">
        <v>1.0</v>
      </c>
      <c r="D337" s="113" t="s">
        <v>1050</v>
      </c>
      <c r="E337" s="113" t="s">
        <v>1053</v>
      </c>
      <c r="F337" s="113" t="s">
        <v>1054</v>
      </c>
      <c r="G337" s="113">
        <v>167.0</v>
      </c>
      <c r="H337" s="115">
        <f>ROUNDDOWN(KUNJUNGAN!$G337/60,0)</f>
        <v>2</v>
      </c>
      <c r="I337" s="116">
        <f t="shared" si="1"/>
        <v>47</v>
      </c>
      <c r="J337" s="116">
        <f>(KUNJUNGAN!$H337*60)+KUNJUNGAN!$I337</f>
        <v>167</v>
      </c>
      <c r="K337" s="115"/>
      <c r="L337" s="11" t="s">
        <v>284</v>
      </c>
      <c r="M337" s="11"/>
    </row>
    <row r="338" ht="15.75" customHeight="1">
      <c r="A338" s="11">
        <v>407.0</v>
      </c>
      <c r="B338" s="113" t="s">
        <v>45</v>
      </c>
      <c r="C338" s="124">
        <v>1.0</v>
      </c>
      <c r="D338" s="113" t="s">
        <v>1055</v>
      </c>
      <c r="E338" s="113" t="s">
        <v>1056</v>
      </c>
      <c r="F338" s="113" t="s">
        <v>1057</v>
      </c>
      <c r="G338" s="113">
        <v>106.0</v>
      </c>
      <c r="H338" s="115">
        <f>ROUNDDOWN(KUNJUNGAN!$G338/60,0)</f>
        <v>1</v>
      </c>
      <c r="I338" s="116">
        <f t="shared" si="1"/>
        <v>46</v>
      </c>
      <c r="J338" s="116">
        <f>(KUNJUNGAN!$H338*60)+KUNJUNGAN!$I338</f>
        <v>106</v>
      </c>
      <c r="K338" s="115"/>
      <c r="L338" s="11" t="s">
        <v>284</v>
      </c>
      <c r="M338" s="11"/>
    </row>
    <row r="339" ht="15.75" customHeight="1">
      <c r="A339" s="11">
        <v>408.0</v>
      </c>
      <c r="B339" s="113" t="s">
        <v>45</v>
      </c>
      <c r="C339" s="124">
        <v>1.0</v>
      </c>
      <c r="D339" s="113" t="s">
        <v>1055</v>
      </c>
      <c r="E339" s="113" t="s">
        <v>1058</v>
      </c>
      <c r="F339" s="113" t="s">
        <v>1059</v>
      </c>
      <c r="G339" s="113">
        <v>87.0</v>
      </c>
      <c r="H339" s="115">
        <f>ROUNDDOWN(KUNJUNGAN!$G339/60,0)</f>
        <v>1</v>
      </c>
      <c r="I339" s="116">
        <f t="shared" si="1"/>
        <v>27</v>
      </c>
      <c r="J339" s="116">
        <f>(KUNJUNGAN!$H339*60)+KUNJUNGAN!$I339</f>
        <v>87</v>
      </c>
      <c r="K339" s="115"/>
      <c r="L339" s="11" t="s">
        <v>284</v>
      </c>
      <c r="M339" s="11"/>
    </row>
    <row r="340" ht="15.75" customHeight="1">
      <c r="A340" s="11">
        <v>409.0</v>
      </c>
      <c r="B340" s="113" t="s">
        <v>45</v>
      </c>
      <c r="C340" s="124">
        <v>1.0</v>
      </c>
      <c r="D340" s="113" t="s">
        <v>1060</v>
      </c>
      <c r="E340" s="113" t="s">
        <v>1061</v>
      </c>
      <c r="F340" s="113" t="s">
        <v>1062</v>
      </c>
      <c r="G340" s="113">
        <v>90.0</v>
      </c>
      <c r="H340" s="115">
        <f>ROUNDDOWN(KUNJUNGAN!$G340/60,0)</f>
        <v>1</v>
      </c>
      <c r="I340" s="116">
        <f t="shared" si="1"/>
        <v>30</v>
      </c>
      <c r="J340" s="116">
        <f>(KUNJUNGAN!$H340*60)+KUNJUNGAN!$I340</f>
        <v>90</v>
      </c>
      <c r="K340" s="115"/>
      <c r="L340" s="11" t="s">
        <v>284</v>
      </c>
      <c r="M340" s="11"/>
    </row>
    <row r="341" ht="15.75" customHeight="1">
      <c r="A341" s="11">
        <v>410.0</v>
      </c>
      <c r="B341" s="113" t="s">
        <v>45</v>
      </c>
      <c r="C341" s="124">
        <v>1.0</v>
      </c>
      <c r="D341" s="113" t="s">
        <v>1060</v>
      </c>
      <c r="E341" s="113" t="s">
        <v>1063</v>
      </c>
      <c r="F341" s="113" t="s">
        <v>1064</v>
      </c>
      <c r="G341" s="113">
        <v>84.0</v>
      </c>
      <c r="H341" s="115">
        <f>ROUNDDOWN(KUNJUNGAN!$G341/60,0)</f>
        <v>1</v>
      </c>
      <c r="I341" s="116">
        <f t="shared" si="1"/>
        <v>24</v>
      </c>
      <c r="J341" s="116">
        <f>(KUNJUNGAN!$H341*60)+KUNJUNGAN!$I341</f>
        <v>84</v>
      </c>
      <c r="K341" s="115"/>
      <c r="L341" s="11" t="s">
        <v>284</v>
      </c>
      <c r="M341" s="11"/>
    </row>
    <row r="342" ht="15.75" customHeight="1">
      <c r="A342" s="11">
        <v>411.0</v>
      </c>
      <c r="B342" s="113" t="s">
        <v>45</v>
      </c>
      <c r="C342" s="124">
        <v>1.0</v>
      </c>
      <c r="D342" s="113" t="s">
        <v>1065</v>
      </c>
      <c r="E342" s="113" t="s">
        <v>1053</v>
      </c>
      <c r="F342" s="113" t="s">
        <v>1066</v>
      </c>
      <c r="G342" s="113">
        <v>60.0</v>
      </c>
      <c r="H342" s="115">
        <f>ROUNDDOWN(KUNJUNGAN!$G342/60,0)</f>
        <v>1</v>
      </c>
      <c r="I342" s="116">
        <f t="shared" si="1"/>
        <v>0</v>
      </c>
      <c r="J342" s="116">
        <f>(KUNJUNGAN!$H342*60)+KUNJUNGAN!$I342</f>
        <v>60</v>
      </c>
      <c r="K342" s="115"/>
      <c r="L342" s="11" t="s">
        <v>284</v>
      </c>
      <c r="M342" s="11"/>
    </row>
    <row r="343" ht="15.75" customHeight="1">
      <c r="A343" s="11">
        <v>412.0</v>
      </c>
      <c r="B343" s="113" t="s">
        <v>45</v>
      </c>
      <c r="C343" s="124">
        <v>1.0</v>
      </c>
      <c r="D343" s="113" t="s">
        <v>1065</v>
      </c>
      <c r="E343" s="113" t="s">
        <v>1067</v>
      </c>
      <c r="F343" s="113" t="s">
        <v>1068</v>
      </c>
      <c r="G343" s="113">
        <v>57.0</v>
      </c>
      <c r="H343" s="115">
        <f>ROUNDDOWN(KUNJUNGAN!$G343/60,0)</f>
        <v>0</v>
      </c>
      <c r="I343" s="116">
        <f t="shared" si="1"/>
        <v>57</v>
      </c>
      <c r="J343" s="116">
        <f>(KUNJUNGAN!$H343*60)+KUNJUNGAN!$I343</f>
        <v>57</v>
      </c>
      <c r="K343" s="115"/>
      <c r="L343" s="11" t="s">
        <v>284</v>
      </c>
      <c r="M343" s="11"/>
    </row>
    <row r="344" ht="15.75" customHeight="1">
      <c r="A344" s="11">
        <v>413.0</v>
      </c>
      <c r="B344" s="113" t="s">
        <v>45</v>
      </c>
      <c r="C344" s="124">
        <v>1.0</v>
      </c>
      <c r="D344" s="113" t="s">
        <v>1069</v>
      </c>
      <c r="E344" s="113" t="s">
        <v>1070</v>
      </c>
      <c r="F344" s="113" t="s">
        <v>1071</v>
      </c>
      <c r="G344" s="113">
        <v>60.0</v>
      </c>
      <c r="H344" s="115">
        <f>ROUNDDOWN(KUNJUNGAN!$G344/60,0)</f>
        <v>1</v>
      </c>
      <c r="I344" s="116">
        <f t="shared" si="1"/>
        <v>0</v>
      </c>
      <c r="J344" s="116">
        <f>(KUNJUNGAN!$H344*60)+KUNJUNGAN!$I344</f>
        <v>60</v>
      </c>
      <c r="K344" s="115"/>
      <c r="L344" s="11" t="s">
        <v>284</v>
      </c>
      <c r="M344" s="11"/>
    </row>
    <row r="345" ht="15.75" customHeight="1">
      <c r="A345" s="11">
        <v>414.0</v>
      </c>
      <c r="B345" s="113" t="s">
        <v>45</v>
      </c>
      <c r="C345" s="124">
        <v>1.0</v>
      </c>
      <c r="D345" s="113" t="s">
        <v>1069</v>
      </c>
      <c r="E345" s="113" t="s">
        <v>1072</v>
      </c>
      <c r="F345" s="113" t="s">
        <v>1073</v>
      </c>
      <c r="G345" s="113">
        <v>57.0</v>
      </c>
      <c r="H345" s="115">
        <f>ROUNDDOWN(KUNJUNGAN!$G345/60,0)</f>
        <v>0</v>
      </c>
      <c r="I345" s="116">
        <f t="shared" si="1"/>
        <v>57</v>
      </c>
      <c r="J345" s="116">
        <f>(KUNJUNGAN!$H345*60)+KUNJUNGAN!$I345</f>
        <v>57</v>
      </c>
      <c r="K345" s="115"/>
      <c r="L345" s="11" t="s">
        <v>284</v>
      </c>
      <c r="M345" s="11"/>
    </row>
    <row r="346" ht="15.75" customHeight="1">
      <c r="A346" s="11">
        <v>415.0</v>
      </c>
      <c r="B346" s="113" t="s">
        <v>45</v>
      </c>
      <c r="C346" s="124">
        <v>1.0</v>
      </c>
      <c r="D346" s="113" t="s">
        <v>1074</v>
      </c>
      <c r="E346" s="113" t="s">
        <v>1075</v>
      </c>
      <c r="F346" s="113" t="s">
        <v>1076</v>
      </c>
      <c r="G346" s="113">
        <v>60.0</v>
      </c>
      <c r="H346" s="115">
        <f>ROUNDDOWN(KUNJUNGAN!$G346/60,0)</f>
        <v>1</v>
      </c>
      <c r="I346" s="116">
        <f t="shared" si="1"/>
        <v>0</v>
      </c>
      <c r="J346" s="116">
        <f>(KUNJUNGAN!$H346*60)+KUNJUNGAN!$I346</f>
        <v>60</v>
      </c>
      <c r="K346" s="115"/>
      <c r="L346" s="11" t="s">
        <v>284</v>
      </c>
      <c r="M346" s="11"/>
      <c r="N346" s="65"/>
    </row>
    <row r="347" ht="15.75" customHeight="1">
      <c r="A347" s="11">
        <v>416.0</v>
      </c>
      <c r="B347" s="113" t="s">
        <v>45</v>
      </c>
      <c r="C347" s="124">
        <v>1.0</v>
      </c>
      <c r="D347" s="113" t="s">
        <v>1074</v>
      </c>
      <c r="E347" s="113" t="s">
        <v>1077</v>
      </c>
      <c r="F347" s="113" t="s">
        <v>1078</v>
      </c>
      <c r="G347" s="113">
        <v>60.0</v>
      </c>
      <c r="H347" s="115">
        <f>ROUNDDOWN(KUNJUNGAN!$G347/60,0)</f>
        <v>1</v>
      </c>
      <c r="I347" s="116">
        <f t="shared" si="1"/>
        <v>0</v>
      </c>
      <c r="J347" s="116">
        <f>(KUNJUNGAN!$H347*60)+KUNJUNGAN!$I347</f>
        <v>60</v>
      </c>
      <c r="K347" s="115"/>
      <c r="L347" s="11" t="s">
        <v>284</v>
      </c>
      <c r="M347" s="11"/>
      <c r="N347" s="65"/>
    </row>
    <row r="348" ht="15.75" customHeight="1">
      <c r="A348" s="11">
        <v>440.0</v>
      </c>
      <c r="B348" s="113" t="s">
        <v>45</v>
      </c>
      <c r="C348" s="124">
        <v>1.0</v>
      </c>
      <c r="D348" s="113" t="s">
        <v>1074</v>
      </c>
      <c r="E348" s="118" t="s">
        <v>1079</v>
      </c>
      <c r="F348" s="113" t="s">
        <v>1080</v>
      </c>
      <c r="G348" s="113">
        <v>88.0</v>
      </c>
      <c r="H348" s="115">
        <f>ROUNDDOWN(KUNJUNGAN!$G348/60,0)</f>
        <v>1</v>
      </c>
      <c r="I348" s="116">
        <f t="shared" si="1"/>
        <v>28</v>
      </c>
      <c r="J348" s="116">
        <f>(KUNJUNGAN!$H348*60)+KUNJUNGAN!$I348</f>
        <v>88</v>
      </c>
      <c r="K348" s="115"/>
      <c r="L348" s="11" t="s">
        <v>284</v>
      </c>
      <c r="M348" s="11"/>
    </row>
    <row r="349" ht="15.75" customHeight="1">
      <c r="A349" s="11">
        <v>417.0</v>
      </c>
      <c r="B349" s="113" t="s">
        <v>45</v>
      </c>
      <c r="C349" s="124">
        <v>1.0</v>
      </c>
      <c r="D349" s="113" t="s">
        <v>1074</v>
      </c>
      <c r="E349" s="118" t="s">
        <v>1081</v>
      </c>
      <c r="F349" s="113" t="s">
        <v>1082</v>
      </c>
      <c r="G349" s="113">
        <v>103.0</v>
      </c>
      <c r="H349" s="115">
        <f>ROUNDDOWN(KUNJUNGAN!$G349/60,0)</f>
        <v>1</v>
      </c>
      <c r="I349" s="116">
        <f t="shared" si="1"/>
        <v>43</v>
      </c>
      <c r="J349" s="116">
        <f>(KUNJUNGAN!$H349*60)+KUNJUNGAN!$I349</f>
        <v>103</v>
      </c>
      <c r="K349" s="115"/>
      <c r="L349" s="11" t="s">
        <v>284</v>
      </c>
      <c r="M349" s="11"/>
      <c r="N349" s="65"/>
    </row>
    <row r="350" ht="15.75" customHeight="1">
      <c r="A350" s="11">
        <v>418.0</v>
      </c>
      <c r="B350" s="113" t="s">
        <v>45</v>
      </c>
      <c r="C350" s="124">
        <v>1.0</v>
      </c>
      <c r="D350" s="113" t="s">
        <v>1083</v>
      </c>
      <c r="E350" s="118" t="s">
        <v>1084</v>
      </c>
      <c r="F350" s="113" t="s">
        <v>1085</v>
      </c>
      <c r="G350" s="113">
        <v>61.0</v>
      </c>
      <c r="H350" s="115">
        <f>ROUNDDOWN(KUNJUNGAN!$G350/60,0)</f>
        <v>1</v>
      </c>
      <c r="I350" s="116">
        <f t="shared" si="1"/>
        <v>1</v>
      </c>
      <c r="J350" s="116">
        <f>(KUNJUNGAN!$H350*60)+KUNJUNGAN!$I350</f>
        <v>61</v>
      </c>
      <c r="K350" s="115"/>
      <c r="L350" s="11" t="s">
        <v>284</v>
      </c>
      <c r="M350" s="11"/>
    </row>
    <row r="351" ht="15.75" customHeight="1">
      <c r="A351" s="11">
        <v>419.0</v>
      </c>
      <c r="B351" s="113" t="s">
        <v>45</v>
      </c>
      <c r="C351" s="124">
        <v>1.0</v>
      </c>
      <c r="D351" s="113" t="s">
        <v>1083</v>
      </c>
      <c r="E351" s="118" t="s">
        <v>1086</v>
      </c>
      <c r="F351" s="113" t="s">
        <v>1087</v>
      </c>
      <c r="G351" s="113">
        <v>63.0</v>
      </c>
      <c r="H351" s="115">
        <f>ROUNDDOWN(KUNJUNGAN!$G351/60,0)</f>
        <v>1</v>
      </c>
      <c r="I351" s="116">
        <f t="shared" si="1"/>
        <v>3</v>
      </c>
      <c r="J351" s="116">
        <f>(KUNJUNGAN!$H351*60)+KUNJUNGAN!$I351</f>
        <v>63</v>
      </c>
      <c r="K351" s="115"/>
      <c r="L351" s="11" t="s">
        <v>284</v>
      </c>
      <c r="M351" s="11"/>
    </row>
    <row r="352" ht="15.75" customHeight="1">
      <c r="A352" s="11">
        <v>420.0</v>
      </c>
      <c r="B352" s="113" t="s">
        <v>45</v>
      </c>
      <c r="C352" s="124">
        <v>1.0</v>
      </c>
      <c r="D352" s="113" t="s">
        <v>1088</v>
      </c>
      <c r="E352" s="113" t="s">
        <v>1089</v>
      </c>
      <c r="F352" s="113" t="s">
        <v>1090</v>
      </c>
      <c r="G352" s="113">
        <v>71.0</v>
      </c>
      <c r="H352" s="115">
        <f>ROUNDDOWN(KUNJUNGAN!$G352/60,0)</f>
        <v>1</v>
      </c>
      <c r="I352" s="116">
        <f t="shared" si="1"/>
        <v>11</v>
      </c>
      <c r="J352" s="116">
        <f>(KUNJUNGAN!$H352*60)+KUNJUNGAN!$I352</f>
        <v>71</v>
      </c>
      <c r="K352" s="115"/>
      <c r="L352" s="11" t="s">
        <v>284</v>
      </c>
      <c r="M352" s="11"/>
    </row>
    <row r="353" ht="15.75" customHeight="1">
      <c r="A353" s="11">
        <v>421.0</v>
      </c>
      <c r="B353" s="113" t="s">
        <v>45</v>
      </c>
      <c r="C353" s="124">
        <v>1.0</v>
      </c>
      <c r="D353" s="113" t="s">
        <v>1091</v>
      </c>
      <c r="E353" s="113" t="s">
        <v>1089</v>
      </c>
      <c r="F353" s="113" t="s">
        <v>1092</v>
      </c>
      <c r="G353" s="113">
        <v>72.0</v>
      </c>
      <c r="H353" s="115">
        <f>ROUNDDOWN(KUNJUNGAN!$G353/60,0)</f>
        <v>1</v>
      </c>
      <c r="I353" s="116">
        <f t="shared" si="1"/>
        <v>12</v>
      </c>
      <c r="J353" s="116">
        <f>(KUNJUNGAN!$H353*60)+KUNJUNGAN!$I353</f>
        <v>72</v>
      </c>
      <c r="K353" s="115"/>
      <c r="L353" s="11" t="s">
        <v>284</v>
      </c>
      <c r="M353" s="11"/>
    </row>
    <row r="354" ht="15.75" customHeight="1">
      <c r="A354" s="11">
        <v>422.0</v>
      </c>
      <c r="B354" s="113" t="s">
        <v>45</v>
      </c>
      <c r="C354" s="124">
        <v>1.0</v>
      </c>
      <c r="D354" s="113" t="s">
        <v>1093</v>
      </c>
      <c r="E354" s="113" t="s">
        <v>1094</v>
      </c>
      <c r="F354" s="113" t="s">
        <v>1095</v>
      </c>
      <c r="G354" s="113">
        <v>60.0</v>
      </c>
      <c r="H354" s="115">
        <f>ROUNDDOWN(KUNJUNGAN!$G354/60,0)</f>
        <v>1</v>
      </c>
      <c r="I354" s="116">
        <f t="shared" si="1"/>
        <v>0</v>
      </c>
      <c r="J354" s="116">
        <f>(KUNJUNGAN!$H354*60)+KUNJUNGAN!$I354</f>
        <v>60</v>
      </c>
      <c r="K354" s="115"/>
      <c r="L354" s="11" t="s">
        <v>284</v>
      </c>
      <c r="M354" s="11"/>
    </row>
    <row r="355" ht="15.75" customHeight="1">
      <c r="A355" s="11">
        <v>423.0</v>
      </c>
      <c r="B355" s="113" t="s">
        <v>45</v>
      </c>
      <c r="C355" s="124">
        <v>1.0</v>
      </c>
      <c r="D355" s="113" t="s">
        <v>1093</v>
      </c>
      <c r="E355" s="113" t="s">
        <v>1096</v>
      </c>
      <c r="F355" s="113" t="s">
        <v>1097</v>
      </c>
      <c r="G355" s="113">
        <v>100.0</v>
      </c>
      <c r="H355" s="115">
        <f>ROUNDDOWN(KUNJUNGAN!$G355/60,0)</f>
        <v>1</v>
      </c>
      <c r="I355" s="116">
        <f t="shared" si="1"/>
        <v>40</v>
      </c>
      <c r="J355" s="116">
        <f>(KUNJUNGAN!$H355*60)+KUNJUNGAN!$I355</f>
        <v>100</v>
      </c>
      <c r="K355" s="115"/>
      <c r="L355" s="11" t="s">
        <v>284</v>
      </c>
      <c r="M355" s="11"/>
    </row>
    <row r="356" ht="15.75" customHeight="1">
      <c r="A356" s="11">
        <v>424.0</v>
      </c>
      <c r="B356" s="113" t="s">
        <v>45</v>
      </c>
      <c r="C356" s="124">
        <v>1.0</v>
      </c>
      <c r="D356" s="113" t="s">
        <v>1098</v>
      </c>
      <c r="E356" s="113" t="s">
        <v>1099</v>
      </c>
      <c r="F356" s="113" t="s">
        <v>1100</v>
      </c>
      <c r="G356" s="113">
        <v>97.0</v>
      </c>
      <c r="H356" s="115">
        <f>ROUNDDOWN(KUNJUNGAN!$G356/60,0)</f>
        <v>1</v>
      </c>
      <c r="I356" s="116">
        <f t="shared" si="1"/>
        <v>37</v>
      </c>
      <c r="J356" s="116">
        <f>(KUNJUNGAN!$H356*60)+KUNJUNGAN!$I356</f>
        <v>97</v>
      </c>
      <c r="K356" s="115"/>
      <c r="L356" s="11" t="s">
        <v>284</v>
      </c>
      <c r="M356" s="11"/>
    </row>
    <row r="357" ht="15.75" customHeight="1">
      <c r="A357" s="11">
        <v>425.0</v>
      </c>
      <c r="B357" s="113" t="s">
        <v>45</v>
      </c>
      <c r="C357" s="124">
        <v>1.0</v>
      </c>
      <c r="D357" s="113" t="s">
        <v>1101</v>
      </c>
      <c r="E357" s="113" t="s">
        <v>1102</v>
      </c>
      <c r="F357" s="113" t="s">
        <v>1103</v>
      </c>
      <c r="G357" s="113">
        <v>248.0</v>
      </c>
      <c r="H357" s="115">
        <f>ROUNDDOWN(KUNJUNGAN!$G357/60,0)</f>
        <v>4</v>
      </c>
      <c r="I357" s="116">
        <f t="shared" si="1"/>
        <v>8</v>
      </c>
      <c r="J357" s="116">
        <f>(KUNJUNGAN!$H357*60)+KUNJUNGAN!$I357</f>
        <v>248</v>
      </c>
      <c r="K357" s="115"/>
      <c r="L357" s="11" t="s">
        <v>284</v>
      </c>
      <c r="M357" s="11"/>
    </row>
    <row r="358" ht="15.75" customHeight="1">
      <c r="A358" s="11">
        <v>426.0</v>
      </c>
      <c r="B358" s="113" t="s">
        <v>45</v>
      </c>
      <c r="C358" s="124">
        <v>1.0</v>
      </c>
      <c r="D358" s="113" t="s">
        <v>1101</v>
      </c>
      <c r="E358" s="118" t="s">
        <v>1104</v>
      </c>
      <c r="F358" s="113" t="s">
        <v>1105</v>
      </c>
      <c r="G358" s="113">
        <v>30.0</v>
      </c>
      <c r="H358" s="115">
        <f>ROUNDDOWN(KUNJUNGAN!$G358/60,0)</f>
        <v>0</v>
      </c>
      <c r="I358" s="116">
        <f t="shared" si="1"/>
        <v>30</v>
      </c>
      <c r="J358" s="116">
        <f>(KUNJUNGAN!$H358*60)+KUNJUNGAN!$I358</f>
        <v>30</v>
      </c>
      <c r="K358" s="115"/>
      <c r="L358" s="11" t="s">
        <v>284</v>
      </c>
      <c r="M358" s="11"/>
    </row>
    <row r="359" ht="15.75" customHeight="1">
      <c r="A359" s="11">
        <v>427.0</v>
      </c>
      <c r="B359" s="113" t="s">
        <v>45</v>
      </c>
      <c r="C359" s="124">
        <v>1.0</v>
      </c>
      <c r="D359" s="113" t="s">
        <v>1101</v>
      </c>
      <c r="E359" s="118" t="s">
        <v>1106</v>
      </c>
      <c r="F359" s="113" t="s">
        <v>1107</v>
      </c>
      <c r="G359" s="113">
        <v>28.0</v>
      </c>
      <c r="H359" s="115">
        <f>ROUNDDOWN(KUNJUNGAN!$G359/60,0)</f>
        <v>0</v>
      </c>
      <c r="I359" s="116">
        <f t="shared" si="1"/>
        <v>28</v>
      </c>
      <c r="J359" s="116">
        <f>(KUNJUNGAN!$H359*60)+KUNJUNGAN!$I359</f>
        <v>28</v>
      </c>
      <c r="K359" s="115"/>
      <c r="L359" s="11" t="s">
        <v>284</v>
      </c>
      <c r="M359" s="11"/>
    </row>
    <row r="360" ht="15.75" customHeight="1">
      <c r="A360" s="11">
        <v>428.0</v>
      </c>
      <c r="B360" s="113" t="s">
        <v>45</v>
      </c>
      <c r="C360" s="124">
        <v>1.0</v>
      </c>
      <c r="D360" s="113" t="s">
        <v>1108</v>
      </c>
      <c r="E360" s="118" t="s">
        <v>1109</v>
      </c>
      <c r="F360" s="113" t="s">
        <v>1110</v>
      </c>
      <c r="G360" s="113">
        <v>87.0</v>
      </c>
      <c r="H360" s="115">
        <f>ROUNDDOWN(KUNJUNGAN!$G360/60,0)</f>
        <v>1</v>
      </c>
      <c r="I360" s="116">
        <f t="shared" si="1"/>
        <v>27</v>
      </c>
      <c r="J360" s="116">
        <f>(KUNJUNGAN!$H360*60)+KUNJUNGAN!$I360</f>
        <v>87</v>
      </c>
      <c r="K360" s="115"/>
      <c r="L360" s="11" t="s">
        <v>284</v>
      </c>
      <c r="M360" s="11"/>
    </row>
    <row r="361" ht="15.75" customHeight="1">
      <c r="A361" s="11">
        <v>429.0</v>
      </c>
      <c r="B361" s="113" t="s">
        <v>45</v>
      </c>
      <c r="C361" s="124">
        <v>1.0</v>
      </c>
      <c r="D361" s="113" t="s">
        <v>1108</v>
      </c>
      <c r="E361" s="118" t="s">
        <v>1111</v>
      </c>
      <c r="F361" s="113" t="s">
        <v>1112</v>
      </c>
      <c r="G361" s="113">
        <v>39.0</v>
      </c>
      <c r="H361" s="115">
        <f>ROUNDDOWN(KUNJUNGAN!$G361/60,0)</f>
        <v>0</v>
      </c>
      <c r="I361" s="116">
        <f t="shared" si="1"/>
        <v>39</v>
      </c>
      <c r="J361" s="116">
        <f>(KUNJUNGAN!$H361*60)+KUNJUNGAN!$I361</f>
        <v>39</v>
      </c>
      <c r="K361" s="115"/>
      <c r="L361" s="11" t="s">
        <v>284</v>
      </c>
      <c r="M361" s="11"/>
    </row>
    <row r="362" ht="15.75" customHeight="1">
      <c r="A362" s="11">
        <v>439.0</v>
      </c>
      <c r="B362" s="113" t="s">
        <v>45</v>
      </c>
      <c r="C362" s="124">
        <v>1.0</v>
      </c>
      <c r="D362" s="113" t="s">
        <v>1113</v>
      </c>
      <c r="E362" s="118" t="s">
        <v>1114</v>
      </c>
      <c r="F362" s="113" t="s">
        <v>1115</v>
      </c>
      <c r="G362" s="113">
        <v>90.0</v>
      </c>
      <c r="H362" s="115">
        <f>ROUNDDOWN(KUNJUNGAN!$G362/60,0)</f>
        <v>1</v>
      </c>
      <c r="I362" s="116">
        <f t="shared" si="1"/>
        <v>30</v>
      </c>
      <c r="J362" s="116">
        <f>(KUNJUNGAN!$H362*60)+KUNJUNGAN!$I362</f>
        <v>90</v>
      </c>
      <c r="K362" s="115"/>
      <c r="L362" s="11" t="s">
        <v>284</v>
      </c>
      <c r="M362" s="11"/>
    </row>
    <row r="363" ht="15.75" customHeight="1">
      <c r="A363" s="11">
        <v>442.0</v>
      </c>
      <c r="B363" s="113" t="s">
        <v>45</v>
      </c>
      <c r="C363" s="124">
        <v>1.0</v>
      </c>
      <c r="D363" s="113" t="s">
        <v>1113</v>
      </c>
      <c r="E363" s="118" t="s">
        <v>336</v>
      </c>
      <c r="F363" s="113" t="s">
        <v>1116</v>
      </c>
      <c r="G363" s="113">
        <v>70.0</v>
      </c>
      <c r="H363" s="115">
        <f>ROUNDDOWN(KUNJUNGAN!$G363/60,0)</f>
        <v>1</v>
      </c>
      <c r="I363" s="116">
        <f t="shared" si="1"/>
        <v>10</v>
      </c>
      <c r="J363" s="116">
        <f>(KUNJUNGAN!$H363*60)+KUNJUNGAN!$I363</f>
        <v>70</v>
      </c>
      <c r="K363" s="115"/>
      <c r="L363" s="11" t="s">
        <v>284</v>
      </c>
      <c r="M363" s="11"/>
    </row>
    <row r="364" ht="15.75" customHeight="1">
      <c r="A364" s="11">
        <v>430.0</v>
      </c>
      <c r="B364" s="113" t="s">
        <v>45</v>
      </c>
      <c r="C364" s="124">
        <v>1.0</v>
      </c>
      <c r="D364" s="113" t="s">
        <v>1117</v>
      </c>
      <c r="E364" s="118" t="s">
        <v>1118</v>
      </c>
      <c r="F364" s="113" t="s">
        <v>1119</v>
      </c>
      <c r="G364" s="113">
        <v>60.0</v>
      </c>
      <c r="H364" s="115">
        <f>ROUNDDOWN(KUNJUNGAN!$G364/60,0)</f>
        <v>1</v>
      </c>
      <c r="I364" s="116">
        <f t="shared" si="1"/>
        <v>0</v>
      </c>
      <c r="J364" s="116">
        <f>(KUNJUNGAN!$H364*60)+KUNJUNGAN!$I364</f>
        <v>60</v>
      </c>
      <c r="K364" s="115"/>
      <c r="L364" s="11" t="s">
        <v>284</v>
      </c>
      <c r="M364" s="11"/>
    </row>
    <row r="365" ht="15.75" customHeight="1">
      <c r="A365" s="11">
        <v>431.0</v>
      </c>
      <c r="B365" s="113" t="s">
        <v>45</v>
      </c>
      <c r="C365" s="124">
        <v>1.0</v>
      </c>
      <c r="D365" s="113" t="s">
        <v>1120</v>
      </c>
      <c r="E365" s="118" t="s">
        <v>1121</v>
      </c>
      <c r="F365" s="113" t="s">
        <v>1122</v>
      </c>
      <c r="G365" s="113">
        <v>63.0</v>
      </c>
      <c r="H365" s="115">
        <f>ROUNDDOWN(KUNJUNGAN!$G365/60,0)</f>
        <v>1</v>
      </c>
      <c r="I365" s="116">
        <f t="shared" si="1"/>
        <v>3</v>
      </c>
      <c r="J365" s="116">
        <f>(KUNJUNGAN!$H365*60)+KUNJUNGAN!$I365</f>
        <v>63</v>
      </c>
      <c r="K365" s="115"/>
      <c r="L365" s="11" t="s">
        <v>284</v>
      </c>
      <c r="M365" s="11"/>
    </row>
    <row r="366" ht="15.75" customHeight="1">
      <c r="A366" s="11">
        <v>432.0</v>
      </c>
      <c r="B366" s="113" t="s">
        <v>45</v>
      </c>
      <c r="C366" s="124">
        <v>1.0</v>
      </c>
      <c r="D366" s="113" t="s">
        <v>1120</v>
      </c>
      <c r="E366" s="118" t="s">
        <v>771</v>
      </c>
      <c r="F366" s="11"/>
      <c r="G366" s="11"/>
      <c r="H366" s="115">
        <f>ROUNDDOWN(KUNJUNGAN!$G366/60,0)</f>
        <v>0</v>
      </c>
      <c r="I366" s="116">
        <f t="shared" si="1"/>
        <v>0</v>
      </c>
      <c r="J366" s="116">
        <f>(KUNJUNGAN!$H366*60)+KUNJUNGAN!$I366</f>
        <v>0</v>
      </c>
      <c r="K366" s="115"/>
      <c r="L366" s="11" t="s">
        <v>284</v>
      </c>
      <c r="M366" s="11"/>
    </row>
    <row r="367" ht="15.75" customHeight="1">
      <c r="A367" s="11">
        <v>433.0</v>
      </c>
      <c r="B367" s="113" t="s">
        <v>45</v>
      </c>
      <c r="C367" s="124">
        <v>1.0</v>
      </c>
      <c r="D367" s="113" t="s">
        <v>1123</v>
      </c>
      <c r="E367" s="118" t="s">
        <v>1124</v>
      </c>
      <c r="F367" s="113" t="s">
        <v>1125</v>
      </c>
      <c r="G367" s="113">
        <v>214.0</v>
      </c>
      <c r="H367" s="115">
        <f>ROUNDDOWN(KUNJUNGAN!$G367/60,0)</f>
        <v>3</v>
      </c>
      <c r="I367" s="116">
        <f t="shared" si="1"/>
        <v>34</v>
      </c>
      <c r="J367" s="116">
        <f>(KUNJUNGAN!$H367*60)+KUNJUNGAN!$I367</f>
        <v>214</v>
      </c>
      <c r="K367" s="115"/>
      <c r="L367" s="11" t="s">
        <v>284</v>
      </c>
      <c r="M367" s="11"/>
    </row>
    <row r="368" ht="15.75" customHeight="1">
      <c r="A368" s="11">
        <v>434.0</v>
      </c>
      <c r="B368" s="113" t="s">
        <v>45</v>
      </c>
      <c r="C368" s="124">
        <v>1.0</v>
      </c>
      <c r="D368" s="113" t="s">
        <v>1123</v>
      </c>
      <c r="E368" s="118" t="s">
        <v>1126</v>
      </c>
      <c r="F368" s="113" t="s">
        <v>1127</v>
      </c>
      <c r="G368" s="113">
        <v>186.0</v>
      </c>
      <c r="H368" s="115">
        <f>ROUNDDOWN(KUNJUNGAN!$G368/60,0)</f>
        <v>3</v>
      </c>
      <c r="I368" s="116">
        <f t="shared" si="1"/>
        <v>6</v>
      </c>
      <c r="J368" s="116">
        <f>(KUNJUNGAN!$H368*60)+KUNJUNGAN!$I368</f>
        <v>186</v>
      </c>
      <c r="K368" s="115"/>
      <c r="L368" s="11" t="s">
        <v>284</v>
      </c>
      <c r="M368" s="11"/>
    </row>
    <row r="369" ht="15.75" customHeight="1">
      <c r="A369" s="11">
        <v>435.0</v>
      </c>
      <c r="B369" s="113" t="s">
        <v>45</v>
      </c>
      <c r="C369" s="124">
        <v>1.0</v>
      </c>
      <c r="D369" s="113" t="s">
        <v>1123</v>
      </c>
      <c r="E369" s="118" t="s">
        <v>1128</v>
      </c>
      <c r="F369" s="113" t="s">
        <v>1129</v>
      </c>
      <c r="G369" s="113">
        <v>213.0</v>
      </c>
      <c r="H369" s="115">
        <f>ROUNDDOWN(KUNJUNGAN!$G369/60,0)</f>
        <v>3</v>
      </c>
      <c r="I369" s="116">
        <f t="shared" si="1"/>
        <v>33</v>
      </c>
      <c r="J369" s="116">
        <f>(KUNJUNGAN!$H369*60)+KUNJUNGAN!$I369</f>
        <v>213</v>
      </c>
      <c r="K369" s="115"/>
      <c r="L369" s="11" t="s">
        <v>284</v>
      </c>
      <c r="M369" s="11"/>
    </row>
    <row r="370" ht="15.75" customHeight="1">
      <c r="A370" s="11">
        <v>436.0</v>
      </c>
      <c r="B370" s="113" t="s">
        <v>45</v>
      </c>
      <c r="C370" s="124">
        <v>1.0</v>
      </c>
      <c r="D370" s="113" t="s">
        <v>1123</v>
      </c>
      <c r="E370" s="118" t="s">
        <v>1130</v>
      </c>
      <c r="F370" s="113" t="s">
        <v>1131</v>
      </c>
      <c r="G370" s="113">
        <v>207.0</v>
      </c>
      <c r="H370" s="115">
        <f>ROUNDDOWN(KUNJUNGAN!$G370/60,0)</f>
        <v>3</v>
      </c>
      <c r="I370" s="116">
        <f t="shared" si="1"/>
        <v>27</v>
      </c>
      <c r="J370" s="116">
        <f>(KUNJUNGAN!$H370*60)+KUNJUNGAN!$I370</f>
        <v>207</v>
      </c>
      <c r="K370" s="115"/>
      <c r="L370" s="11" t="s">
        <v>284</v>
      </c>
      <c r="M370" s="11"/>
    </row>
    <row r="371" ht="15.75" customHeight="1">
      <c r="A371" s="11">
        <v>441.0</v>
      </c>
      <c r="B371" s="113" t="s">
        <v>45</v>
      </c>
      <c r="C371" s="124">
        <v>1.0</v>
      </c>
      <c r="D371" s="113" t="s">
        <v>1123</v>
      </c>
      <c r="E371" s="118" t="s">
        <v>1132</v>
      </c>
      <c r="F371" s="113" t="s">
        <v>1133</v>
      </c>
      <c r="G371" s="113">
        <v>212.0</v>
      </c>
      <c r="H371" s="115">
        <f>ROUNDDOWN(KUNJUNGAN!$G371/60,0)</f>
        <v>3</v>
      </c>
      <c r="I371" s="116">
        <f t="shared" si="1"/>
        <v>32</v>
      </c>
      <c r="J371" s="116">
        <f>(KUNJUNGAN!$H371*60)+KUNJUNGAN!$I371</f>
        <v>212</v>
      </c>
      <c r="K371" s="115"/>
      <c r="L371" s="11" t="s">
        <v>284</v>
      </c>
      <c r="M371" s="11"/>
    </row>
    <row r="372" ht="15.75" customHeight="1">
      <c r="A372" s="11">
        <v>437.0</v>
      </c>
      <c r="B372" s="113" t="s">
        <v>45</v>
      </c>
      <c r="C372" s="124">
        <v>1.0</v>
      </c>
      <c r="D372" s="113" t="s">
        <v>1123</v>
      </c>
      <c r="E372" s="118" t="s">
        <v>1134</v>
      </c>
      <c r="F372" s="113" t="s">
        <v>1135</v>
      </c>
      <c r="G372" s="113">
        <v>217.0</v>
      </c>
      <c r="H372" s="115">
        <f>ROUNDDOWN(KUNJUNGAN!$G372/60,0)</f>
        <v>3</v>
      </c>
      <c r="I372" s="116">
        <f t="shared" si="1"/>
        <v>37</v>
      </c>
      <c r="J372" s="116">
        <f>(KUNJUNGAN!$H372*60)+KUNJUNGAN!$I372</f>
        <v>217</v>
      </c>
      <c r="K372" s="115"/>
      <c r="L372" s="11" t="s">
        <v>284</v>
      </c>
      <c r="M372" s="11"/>
    </row>
    <row r="373" ht="15.75" customHeight="1">
      <c r="A373" s="11">
        <v>438.0</v>
      </c>
      <c r="B373" s="113" t="s">
        <v>45</v>
      </c>
      <c r="C373" s="124">
        <v>1.0</v>
      </c>
      <c r="D373" s="113" t="s">
        <v>1136</v>
      </c>
      <c r="E373" s="118" t="s">
        <v>1137</v>
      </c>
      <c r="F373" s="113" t="s">
        <v>1138</v>
      </c>
      <c r="G373" s="113">
        <v>80.0</v>
      </c>
      <c r="H373" s="115">
        <f>ROUNDDOWN(KUNJUNGAN!$G373/60,0)</f>
        <v>1</v>
      </c>
      <c r="I373" s="116">
        <f t="shared" si="1"/>
        <v>20</v>
      </c>
      <c r="J373" s="116">
        <f>(KUNJUNGAN!$H373*60)+KUNJUNGAN!$I373</f>
        <v>80</v>
      </c>
      <c r="K373" s="115"/>
      <c r="L373" s="11" t="s">
        <v>284</v>
      </c>
      <c r="M373" s="11"/>
    </row>
    <row r="374" ht="15.75" customHeight="1">
      <c r="A374" s="11">
        <v>271.0</v>
      </c>
      <c r="B374" s="113" t="s">
        <v>45</v>
      </c>
      <c r="C374" s="124">
        <v>1.0</v>
      </c>
      <c r="D374" s="113" t="s">
        <v>1136</v>
      </c>
      <c r="E374" s="113" t="s">
        <v>1139</v>
      </c>
      <c r="F374" s="113" t="s">
        <v>1140</v>
      </c>
      <c r="G374" s="113">
        <v>75.0</v>
      </c>
      <c r="H374" s="115">
        <f>ROUNDDOWN(KUNJUNGAN!$G374/60,0)</f>
        <v>1</v>
      </c>
      <c r="I374" s="116">
        <f t="shared" si="1"/>
        <v>15</v>
      </c>
      <c r="J374" s="116">
        <f>(KUNJUNGAN!$H374*60)+KUNJUNGAN!$I374</f>
        <v>75</v>
      </c>
      <c r="K374" s="115"/>
      <c r="L374" s="11" t="s">
        <v>284</v>
      </c>
      <c r="M374" s="11"/>
      <c r="N374" s="120"/>
    </row>
    <row r="375" ht="15.75" customHeight="1">
      <c r="A375" s="11">
        <v>321.0</v>
      </c>
      <c r="B375" s="113" t="s">
        <v>45</v>
      </c>
      <c r="C375" s="124">
        <v>1.0</v>
      </c>
      <c r="D375" s="113" t="s">
        <v>1141</v>
      </c>
      <c r="E375" s="113" t="s">
        <v>1142</v>
      </c>
      <c r="F375" s="113" t="s">
        <v>1143</v>
      </c>
      <c r="G375" s="113">
        <v>230.0</v>
      </c>
      <c r="H375" s="115">
        <f>ROUNDDOWN(KUNJUNGAN!$G375/60,0)</f>
        <v>3</v>
      </c>
      <c r="I375" s="116">
        <f t="shared" si="1"/>
        <v>50</v>
      </c>
      <c r="J375" s="116">
        <f>(KUNJUNGAN!$H375*60)+KUNJUNGAN!$I375</f>
        <v>230</v>
      </c>
      <c r="K375" s="115"/>
      <c r="L375" s="11" t="s">
        <v>284</v>
      </c>
      <c r="M375" s="11"/>
      <c r="N375" s="120"/>
    </row>
    <row r="376" ht="15.75" customHeight="1">
      <c r="A376" s="11">
        <v>256.0</v>
      </c>
      <c r="B376" s="113" t="s">
        <v>45</v>
      </c>
      <c r="C376" s="124">
        <v>1.0</v>
      </c>
      <c r="D376" s="113" t="s">
        <v>1141</v>
      </c>
      <c r="E376" s="113" t="s">
        <v>1144</v>
      </c>
      <c r="F376" s="113" t="s">
        <v>1145</v>
      </c>
      <c r="G376" s="113">
        <v>208.0</v>
      </c>
      <c r="H376" s="115">
        <f>ROUNDDOWN(KUNJUNGAN!$G376/60,0)</f>
        <v>3</v>
      </c>
      <c r="I376" s="116">
        <f t="shared" si="1"/>
        <v>28</v>
      </c>
      <c r="J376" s="116">
        <f>(KUNJUNGAN!$H376*60)+KUNJUNGAN!$I376</f>
        <v>208</v>
      </c>
      <c r="K376" s="115"/>
      <c r="L376" s="11" t="s">
        <v>284</v>
      </c>
      <c r="M376" s="11"/>
      <c r="N376" s="120"/>
    </row>
    <row r="377" ht="15.75" customHeight="1">
      <c r="A377" s="11">
        <v>278.0</v>
      </c>
      <c r="B377" s="113" t="s">
        <v>45</v>
      </c>
      <c r="C377" s="124">
        <v>1.0</v>
      </c>
      <c r="D377" s="113" t="s">
        <v>1141</v>
      </c>
      <c r="E377" s="113" t="s">
        <v>1146</v>
      </c>
      <c r="F377" s="113" t="s">
        <v>1147</v>
      </c>
      <c r="G377" s="113">
        <v>143.0</v>
      </c>
      <c r="H377" s="115">
        <f>ROUNDDOWN(KUNJUNGAN!$G377/60,0)</f>
        <v>2</v>
      </c>
      <c r="I377" s="116">
        <f t="shared" si="1"/>
        <v>23</v>
      </c>
      <c r="J377" s="116">
        <f>(KUNJUNGAN!$H377*60)+KUNJUNGAN!$I377</f>
        <v>143</v>
      </c>
      <c r="K377" s="115"/>
      <c r="L377" s="11" t="s">
        <v>284</v>
      </c>
      <c r="M377" s="11"/>
      <c r="N377" s="120"/>
    </row>
    <row r="378" ht="15.75" customHeight="1">
      <c r="A378" s="11">
        <v>287.0</v>
      </c>
      <c r="B378" s="113" t="s">
        <v>45</v>
      </c>
      <c r="C378" s="124">
        <v>1.0</v>
      </c>
      <c r="D378" s="113" t="s">
        <v>1141</v>
      </c>
      <c r="E378" s="113" t="s">
        <v>1148</v>
      </c>
      <c r="F378" s="113" t="s">
        <v>1149</v>
      </c>
      <c r="G378" s="113">
        <v>166.0</v>
      </c>
      <c r="H378" s="115">
        <f>ROUNDDOWN(KUNJUNGAN!$G378/60,0)</f>
        <v>2</v>
      </c>
      <c r="I378" s="116">
        <f t="shared" si="1"/>
        <v>46</v>
      </c>
      <c r="J378" s="116">
        <f>(KUNJUNGAN!$H378*60)+KUNJUNGAN!$I378</f>
        <v>166</v>
      </c>
      <c r="K378" s="115"/>
      <c r="L378" s="11" t="s">
        <v>284</v>
      </c>
      <c r="M378" s="11"/>
      <c r="N378" s="120"/>
    </row>
    <row r="379" ht="15.75" customHeight="1">
      <c r="A379" s="11">
        <v>288.0</v>
      </c>
      <c r="B379" s="113" t="s">
        <v>45</v>
      </c>
      <c r="C379" s="124">
        <v>1.0</v>
      </c>
      <c r="D379" s="113" t="s">
        <v>1141</v>
      </c>
      <c r="E379" s="113" t="s">
        <v>991</v>
      </c>
      <c r="F379" s="113" t="s">
        <v>1150</v>
      </c>
      <c r="G379" s="113">
        <v>171.0</v>
      </c>
      <c r="H379" s="115">
        <f>ROUNDDOWN(KUNJUNGAN!$G379/60,0)</f>
        <v>2</v>
      </c>
      <c r="I379" s="116">
        <f t="shared" si="1"/>
        <v>51</v>
      </c>
      <c r="J379" s="116">
        <f>(KUNJUNGAN!$H379*60)+KUNJUNGAN!$I379</f>
        <v>171</v>
      </c>
      <c r="K379" s="115"/>
      <c r="L379" s="11" t="s">
        <v>284</v>
      </c>
      <c r="M379" s="11"/>
    </row>
    <row r="380" ht="15.75" customHeight="1">
      <c r="A380" s="11">
        <v>262.0</v>
      </c>
      <c r="B380" s="113" t="s">
        <v>45</v>
      </c>
      <c r="C380" s="124">
        <v>1.0</v>
      </c>
      <c r="D380" s="113" t="s">
        <v>1151</v>
      </c>
      <c r="E380" s="113" t="s">
        <v>1152</v>
      </c>
      <c r="F380" s="113" t="s">
        <v>1153</v>
      </c>
      <c r="G380" s="113">
        <v>90.0</v>
      </c>
      <c r="H380" s="115">
        <f>ROUNDDOWN(KUNJUNGAN!$G380/60,0)</f>
        <v>1</v>
      </c>
      <c r="I380" s="116">
        <f t="shared" si="1"/>
        <v>30</v>
      </c>
      <c r="J380" s="116">
        <f>(KUNJUNGAN!$H380*60)+KUNJUNGAN!$I380</f>
        <v>90</v>
      </c>
      <c r="K380" s="115"/>
      <c r="L380" s="11" t="s">
        <v>284</v>
      </c>
      <c r="M380" s="11"/>
    </row>
    <row r="381" ht="15.75" customHeight="1">
      <c r="A381" s="11">
        <v>274.0</v>
      </c>
      <c r="B381" s="113" t="s">
        <v>45</v>
      </c>
      <c r="C381" s="124">
        <v>1.0</v>
      </c>
      <c r="D381" s="113" t="s">
        <v>1154</v>
      </c>
      <c r="E381" s="113" t="s">
        <v>1155</v>
      </c>
      <c r="F381" s="113" t="s">
        <v>1156</v>
      </c>
      <c r="G381" s="113">
        <v>41.0</v>
      </c>
      <c r="H381" s="115">
        <f>ROUNDDOWN(KUNJUNGAN!$G381/60,0)</f>
        <v>0</v>
      </c>
      <c r="I381" s="116">
        <f t="shared" si="1"/>
        <v>41</v>
      </c>
      <c r="J381" s="116">
        <f>(KUNJUNGAN!$H381*60)+KUNJUNGAN!$I381</f>
        <v>41</v>
      </c>
      <c r="K381" s="115"/>
      <c r="L381" s="11" t="s">
        <v>284</v>
      </c>
      <c r="M381" s="11"/>
    </row>
    <row r="382" ht="15.75" customHeight="1">
      <c r="A382" s="11">
        <v>322.0</v>
      </c>
      <c r="B382" s="113" t="s">
        <v>45</v>
      </c>
      <c r="C382" s="124">
        <v>1.0</v>
      </c>
      <c r="D382" s="113" t="s">
        <v>1157</v>
      </c>
      <c r="E382" s="113" t="s">
        <v>1158</v>
      </c>
      <c r="F382" s="113" t="s">
        <v>1159</v>
      </c>
      <c r="G382" s="113">
        <v>101.0</v>
      </c>
      <c r="H382" s="115">
        <f>ROUNDDOWN(KUNJUNGAN!$G382/60,0)</f>
        <v>1</v>
      </c>
      <c r="I382" s="116">
        <f t="shared" si="1"/>
        <v>41</v>
      </c>
      <c r="J382" s="116">
        <f>(KUNJUNGAN!$H382*60)+KUNJUNGAN!$I382</f>
        <v>101</v>
      </c>
      <c r="K382" s="115"/>
      <c r="L382" s="11" t="s">
        <v>284</v>
      </c>
      <c r="M382" s="11"/>
    </row>
    <row r="383" ht="15.75" customHeight="1">
      <c r="A383" s="11">
        <v>292.0</v>
      </c>
      <c r="B383" s="113" t="s">
        <v>45</v>
      </c>
      <c r="C383" s="124">
        <v>1.0</v>
      </c>
      <c r="D383" s="113" t="s">
        <v>1157</v>
      </c>
      <c r="E383" s="113" t="s">
        <v>1160</v>
      </c>
      <c r="F383" s="113" t="s">
        <v>1161</v>
      </c>
      <c r="G383" s="113">
        <v>15.0</v>
      </c>
      <c r="H383" s="115">
        <f>ROUNDDOWN(KUNJUNGAN!$G383/60,0)</f>
        <v>0</v>
      </c>
      <c r="I383" s="116">
        <f t="shared" si="1"/>
        <v>15</v>
      </c>
      <c r="J383" s="116">
        <f>(KUNJUNGAN!$H383*60)+KUNJUNGAN!$I383</f>
        <v>15</v>
      </c>
      <c r="K383" s="115"/>
      <c r="L383" s="11" t="s">
        <v>284</v>
      </c>
      <c r="M383" s="11"/>
    </row>
    <row r="384" ht="15.75" customHeight="1">
      <c r="A384" s="11">
        <v>294.0</v>
      </c>
      <c r="B384" s="113" t="s">
        <v>45</v>
      </c>
      <c r="C384" s="124">
        <v>1.0</v>
      </c>
      <c r="D384" s="113" t="s">
        <v>1162</v>
      </c>
      <c r="E384" s="113" t="s">
        <v>1163</v>
      </c>
      <c r="F384" s="113" t="s">
        <v>1164</v>
      </c>
      <c r="G384" s="113">
        <v>83.0</v>
      </c>
      <c r="H384" s="115">
        <f>ROUNDDOWN(KUNJUNGAN!$G384/60,0)</f>
        <v>1</v>
      </c>
      <c r="I384" s="116">
        <f t="shared" si="1"/>
        <v>23</v>
      </c>
      <c r="J384" s="116">
        <f>(KUNJUNGAN!$H384*60)+KUNJUNGAN!$I384</f>
        <v>83</v>
      </c>
      <c r="K384" s="115"/>
      <c r="L384" s="11" t="s">
        <v>284</v>
      </c>
      <c r="M384" s="11"/>
    </row>
    <row r="385" ht="15.75" customHeight="1">
      <c r="A385" s="11">
        <v>258.0</v>
      </c>
      <c r="B385" s="113" t="s">
        <v>45</v>
      </c>
      <c r="C385" s="124">
        <v>1.0</v>
      </c>
      <c r="D385" s="113" t="s">
        <v>1162</v>
      </c>
      <c r="E385" s="113" t="s">
        <v>1165</v>
      </c>
      <c r="F385" s="113" t="s">
        <v>1166</v>
      </c>
      <c r="G385" s="113">
        <v>61.0</v>
      </c>
      <c r="H385" s="115">
        <f>ROUNDDOWN(KUNJUNGAN!$G385/60,0)</f>
        <v>1</v>
      </c>
      <c r="I385" s="116">
        <f t="shared" si="1"/>
        <v>1</v>
      </c>
      <c r="J385" s="116">
        <f>(KUNJUNGAN!$H385*60)+KUNJUNGAN!$I385</f>
        <v>61</v>
      </c>
      <c r="K385" s="115"/>
      <c r="L385" s="11" t="s">
        <v>284</v>
      </c>
      <c r="M385" s="11"/>
    </row>
    <row r="386" ht="15.75" customHeight="1">
      <c r="A386" s="11">
        <v>272.0</v>
      </c>
      <c r="B386" s="113" t="s">
        <v>45</v>
      </c>
      <c r="C386" s="124">
        <v>1.0</v>
      </c>
      <c r="D386" s="113" t="s">
        <v>1162</v>
      </c>
      <c r="E386" s="113" t="s">
        <v>1167</v>
      </c>
      <c r="F386" s="113" t="s">
        <v>1168</v>
      </c>
      <c r="G386" s="113">
        <v>64.0</v>
      </c>
      <c r="H386" s="115">
        <f>ROUNDDOWN(KUNJUNGAN!$G386/60,0)</f>
        <v>1</v>
      </c>
      <c r="I386" s="116">
        <f t="shared" si="1"/>
        <v>4</v>
      </c>
      <c r="J386" s="116">
        <f>(KUNJUNGAN!$H386*60)+KUNJUNGAN!$I386</f>
        <v>64</v>
      </c>
      <c r="K386" s="115"/>
      <c r="L386" s="11" t="s">
        <v>284</v>
      </c>
      <c r="M386" s="11"/>
    </row>
    <row r="387" ht="15.75" customHeight="1">
      <c r="A387" s="11">
        <v>279.0</v>
      </c>
      <c r="B387" s="113" t="s">
        <v>45</v>
      </c>
      <c r="C387" s="124">
        <v>1.0</v>
      </c>
      <c r="D387" s="113" t="s">
        <v>1169</v>
      </c>
      <c r="E387" s="113" t="s">
        <v>1170</v>
      </c>
      <c r="F387" s="113" t="s">
        <v>1171</v>
      </c>
      <c r="G387" s="113">
        <v>121.0</v>
      </c>
      <c r="H387" s="115">
        <f>ROUNDDOWN(KUNJUNGAN!$G387/60,0)</f>
        <v>2</v>
      </c>
      <c r="I387" s="116">
        <f t="shared" si="1"/>
        <v>1</v>
      </c>
      <c r="J387" s="116">
        <f>(KUNJUNGAN!$H387*60)+KUNJUNGAN!$I387</f>
        <v>121</v>
      </c>
      <c r="K387" s="115"/>
      <c r="L387" s="11" t="s">
        <v>284</v>
      </c>
      <c r="M387" s="11"/>
    </row>
    <row r="388" ht="15.75" customHeight="1">
      <c r="A388" s="11">
        <v>291.0</v>
      </c>
      <c r="B388" s="113" t="s">
        <v>45</v>
      </c>
      <c r="C388" s="124">
        <v>1.0</v>
      </c>
      <c r="D388" s="113" t="s">
        <v>1169</v>
      </c>
      <c r="E388" s="113" t="s">
        <v>857</v>
      </c>
      <c r="F388" s="113" t="s">
        <v>1172</v>
      </c>
      <c r="G388" s="113">
        <v>145.0</v>
      </c>
      <c r="H388" s="115">
        <f>ROUNDDOWN(KUNJUNGAN!$G388/60,0)</f>
        <v>2</v>
      </c>
      <c r="I388" s="116">
        <f t="shared" si="1"/>
        <v>25</v>
      </c>
      <c r="J388" s="116">
        <f>(KUNJUNGAN!$H388*60)+KUNJUNGAN!$I388</f>
        <v>145</v>
      </c>
      <c r="K388" s="115"/>
      <c r="L388" s="11" t="s">
        <v>284</v>
      </c>
      <c r="M388" s="11"/>
    </row>
    <row r="389" ht="15.75" customHeight="1">
      <c r="A389" s="11">
        <v>254.0</v>
      </c>
      <c r="B389" s="113" t="s">
        <v>45</v>
      </c>
      <c r="C389" s="124">
        <v>1.0</v>
      </c>
      <c r="D389" s="113" t="s">
        <v>1173</v>
      </c>
      <c r="E389" s="113" t="s">
        <v>1174</v>
      </c>
      <c r="F389" s="113" t="s">
        <v>1175</v>
      </c>
      <c r="G389" s="113">
        <v>87.0</v>
      </c>
      <c r="H389" s="115">
        <f>ROUNDDOWN(KUNJUNGAN!$G389/60,0)</f>
        <v>1</v>
      </c>
      <c r="I389" s="116">
        <f t="shared" si="1"/>
        <v>27</v>
      </c>
      <c r="J389" s="116">
        <f>(KUNJUNGAN!$H389*60)+KUNJUNGAN!$I389</f>
        <v>87</v>
      </c>
      <c r="K389" s="115"/>
      <c r="L389" s="11" t="s">
        <v>284</v>
      </c>
      <c r="M389" s="11"/>
      <c r="N389" s="65"/>
    </row>
    <row r="390" ht="15.75" customHeight="1">
      <c r="A390" s="11">
        <v>255.0</v>
      </c>
      <c r="B390" s="113" t="s">
        <v>45</v>
      </c>
      <c r="C390" s="124">
        <v>1.0</v>
      </c>
      <c r="D390" s="113" t="s">
        <v>1176</v>
      </c>
      <c r="E390" s="113" t="s">
        <v>1177</v>
      </c>
      <c r="F390" s="113" t="s">
        <v>1178</v>
      </c>
      <c r="G390" s="113">
        <v>82.0</v>
      </c>
      <c r="H390" s="115">
        <f>ROUNDDOWN(KUNJUNGAN!$G390/60,0)</f>
        <v>1</v>
      </c>
      <c r="I390" s="116">
        <f t="shared" si="1"/>
        <v>22</v>
      </c>
      <c r="J390" s="116">
        <f>(KUNJUNGAN!$H390*60)+KUNJUNGAN!$I390</f>
        <v>82</v>
      </c>
      <c r="K390" s="115"/>
      <c r="L390" s="11" t="s">
        <v>284</v>
      </c>
      <c r="M390" s="11"/>
      <c r="N390" s="65"/>
    </row>
    <row r="391" ht="15.75" customHeight="1">
      <c r="A391" s="11">
        <v>259.0</v>
      </c>
      <c r="B391" s="113" t="s">
        <v>45</v>
      </c>
      <c r="C391" s="124">
        <v>1.0</v>
      </c>
      <c r="D391" s="113" t="s">
        <v>1176</v>
      </c>
      <c r="E391" s="113" t="s">
        <v>1179</v>
      </c>
      <c r="F391" s="113" t="s">
        <v>1180</v>
      </c>
      <c r="G391" s="113">
        <v>46.0</v>
      </c>
      <c r="H391" s="115">
        <f>ROUNDDOWN(KUNJUNGAN!$G391/60,0)</f>
        <v>0</v>
      </c>
      <c r="I391" s="116">
        <f t="shared" si="1"/>
        <v>46</v>
      </c>
      <c r="J391" s="116">
        <f>(KUNJUNGAN!$H391*60)+KUNJUNGAN!$I391</f>
        <v>46</v>
      </c>
      <c r="K391" s="115"/>
      <c r="L391" s="11" t="s">
        <v>284</v>
      </c>
      <c r="M391" s="11"/>
    </row>
    <row r="392" ht="15.75" customHeight="1">
      <c r="A392" s="11">
        <v>323.0</v>
      </c>
      <c r="B392" s="113" t="s">
        <v>45</v>
      </c>
      <c r="C392" s="124">
        <v>1.0</v>
      </c>
      <c r="D392" s="113" t="s">
        <v>1181</v>
      </c>
      <c r="E392" s="113" t="s">
        <v>1182</v>
      </c>
      <c r="F392" s="113" t="s">
        <v>1183</v>
      </c>
      <c r="G392" s="113">
        <v>83.0</v>
      </c>
      <c r="H392" s="115">
        <f>ROUNDDOWN(KUNJUNGAN!$G392/60,0)</f>
        <v>1</v>
      </c>
      <c r="I392" s="116">
        <f t="shared" si="1"/>
        <v>23</v>
      </c>
      <c r="J392" s="116">
        <f>(KUNJUNGAN!$H392*60)+KUNJUNGAN!$I392</f>
        <v>83</v>
      </c>
      <c r="K392" s="115"/>
      <c r="L392" s="11" t="s">
        <v>284</v>
      </c>
      <c r="M392" s="11"/>
    </row>
    <row r="393" ht="15.75" customHeight="1">
      <c r="A393" s="11">
        <v>264.0</v>
      </c>
      <c r="B393" s="113" t="s">
        <v>45</v>
      </c>
      <c r="C393" s="124">
        <v>1.0</v>
      </c>
      <c r="D393" s="113" t="s">
        <v>1181</v>
      </c>
      <c r="E393" s="113" t="s">
        <v>1184</v>
      </c>
      <c r="F393" s="113" t="s">
        <v>1185</v>
      </c>
      <c r="G393" s="113">
        <v>93.0</v>
      </c>
      <c r="H393" s="115">
        <f>ROUNDDOWN(KUNJUNGAN!$G393/60,0)</f>
        <v>1</v>
      </c>
      <c r="I393" s="116">
        <f t="shared" si="1"/>
        <v>33</v>
      </c>
      <c r="J393" s="116">
        <f>(KUNJUNGAN!$H393*60)+KUNJUNGAN!$I393</f>
        <v>93</v>
      </c>
      <c r="K393" s="115"/>
      <c r="L393" s="11" t="s">
        <v>284</v>
      </c>
      <c r="M393" s="11"/>
    </row>
    <row r="394" ht="15.75" customHeight="1">
      <c r="A394" s="11">
        <v>268.0</v>
      </c>
      <c r="B394" s="113" t="s">
        <v>45</v>
      </c>
      <c r="C394" s="124">
        <v>1.0</v>
      </c>
      <c r="D394" s="113" t="s">
        <v>1186</v>
      </c>
      <c r="E394" s="113" t="s">
        <v>1187</v>
      </c>
      <c r="F394" s="113" t="s">
        <v>1188</v>
      </c>
      <c r="G394" s="113">
        <v>85.0</v>
      </c>
      <c r="H394" s="115">
        <f>ROUNDDOWN(KUNJUNGAN!$G394/60,0)</f>
        <v>1</v>
      </c>
      <c r="I394" s="116">
        <f t="shared" si="1"/>
        <v>25</v>
      </c>
      <c r="J394" s="116">
        <f>(KUNJUNGAN!$H394*60)+KUNJUNGAN!$I394</f>
        <v>85</v>
      </c>
      <c r="K394" s="115"/>
      <c r="L394" s="11" t="s">
        <v>284</v>
      </c>
      <c r="M394" s="11"/>
    </row>
    <row r="395" ht="15.75" customHeight="1">
      <c r="A395" s="11">
        <v>270.0</v>
      </c>
      <c r="B395" s="113" t="s">
        <v>45</v>
      </c>
      <c r="C395" s="124">
        <v>1.0</v>
      </c>
      <c r="D395" s="113" t="s">
        <v>1186</v>
      </c>
      <c r="E395" s="113" t="s">
        <v>1189</v>
      </c>
      <c r="F395" s="113" t="s">
        <v>1190</v>
      </c>
      <c r="G395" s="113">
        <v>66.0</v>
      </c>
      <c r="H395" s="115">
        <f>ROUNDDOWN(KUNJUNGAN!$G395/60,0)</f>
        <v>1</v>
      </c>
      <c r="I395" s="116">
        <f t="shared" si="1"/>
        <v>6</v>
      </c>
      <c r="J395" s="116">
        <f>(KUNJUNGAN!$H395*60)+KUNJUNGAN!$I395</f>
        <v>66</v>
      </c>
      <c r="K395" s="115"/>
      <c r="L395" s="11" t="s">
        <v>284</v>
      </c>
      <c r="M395" s="11"/>
    </row>
    <row r="396" ht="15.75" customHeight="1">
      <c r="A396" s="11">
        <v>275.0</v>
      </c>
      <c r="B396" s="113" t="s">
        <v>49</v>
      </c>
      <c r="C396" s="124">
        <v>1.0</v>
      </c>
      <c r="D396" s="113" t="s">
        <v>1191</v>
      </c>
      <c r="E396" s="113" t="s">
        <v>1192</v>
      </c>
      <c r="F396" s="113" t="s">
        <v>1193</v>
      </c>
      <c r="G396" s="113">
        <v>90.0</v>
      </c>
      <c r="H396" s="115">
        <f>ROUNDDOWN(KUNJUNGAN!$G396/60,0)</f>
        <v>1</v>
      </c>
      <c r="I396" s="116">
        <f t="shared" si="1"/>
        <v>30</v>
      </c>
      <c r="J396" s="116">
        <f>(KUNJUNGAN!$H396*60)+KUNJUNGAN!$I396</f>
        <v>90</v>
      </c>
      <c r="K396" s="115"/>
      <c r="L396" s="11" t="s">
        <v>284</v>
      </c>
      <c r="M396" s="11"/>
    </row>
    <row r="397" ht="15.75" customHeight="1">
      <c r="A397" s="11">
        <v>276.0</v>
      </c>
      <c r="B397" s="113" t="s">
        <v>49</v>
      </c>
      <c r="C397" s="124">
        <v>1.0</v>
      </c>
      <c r="D397" s="113" t="s">
        <v>1194</v>
      </c>
      <c r="E397" s="113" t="s">
        <v>1195</v>
      </c>
      <c r="F397" s="113" t="s">
        <v>1196</v>
      </c>
      <c r="G397" s="113">
        <v>90.0</v>
      </c>
      <c r="H397" s="115">
        <f>ROUNDDOWN(KUNJUNGAN!$G397/60,0)</f>
        <v>1</v>
      </c>
      <c r="I397" s="116">
        <f t="shared" si="1"/>
        <v>30</v>
      </c>
      <c r="J397" s="116">
        <f>(KUNJUNGAN!$H397*60)+KUNJUNGAN!$I397</f>
        <v>90</v>
      </c>
      <c r="K397" s="115"/>
      <c r="L397" s="11" t="s">
        <v>284</v>
      </c>
      <c r="M397" s="11"/>
    </row>
    <row r="398" ht="15.75" customHeight="1">
      <c r="A398" s="11">
        <v>281.0</v>
      </c>
      <c r="B398" s="113" t="s">
        <v>49</v>
      </c>
      <c r="C398" s="124">
        <v>1.0</v>
      </c>
      <c r="D398" s="113" t="s">
        <v>1197</v>
      </c>
      <c r="E398" s="113" t="s">
        <v>1198</v>
      </c>
      <c r="F398" s="113" t="s">
        <v>656</v>
      </c>
      <c r="G398" s="113">
        <v>120.0</v>
      </c>
      <c r="H398" s="115">
        <f>ROUNDDOWN(KUNJUNGAN!$G398/60,0)</f>
        <v>2</v>
      </c>
      <c r="I398" s="116">
        <f t="shared" si="1"/>
        <v>0</v>
      </c>
      <c r="J398" s="116">
        <f>(KUNJUNGAN!$H398*60)+KUNJUNGAN!$I398</f>
        <v>120</v>
      </c>
      <c r="K398" s="115"/>
      <c r="L398" s="11" t="s">
        <v>284</v>
      </c>
      <c r="M398" s="11"/>
    </row>
    <row r="399" ht="15.75" customHeight="1">
      <c r="A399" s="11">
        <v>282.0</v>
      </c>
      <c r="B399" s="113" t="s">
        <v>49</v>
      </c>
      <c r="C399" s="124">
        <v>1.0</v>
      </c>
      <c r="D399" s="113" t="s">
        <v>1199</v>
      </c>
      <c r="E399" s="113" t="s">
        <v>1200</v>
      </c>
      <c r="F399" s="113" t="s">
        <v>1201</v>
      </c>
      <c r="G399" s="113">
        <v>60.0</v>
      </c>
      <c r="H399" s="115">
        <f>ROUNDDOWN(KUNJUNGAN!$G399/60,0)</f>
        <v>1</v>
      </c>
      <c r="I399" s="116">
        <f t="shared" si="1"/>
        <v>0</v>
      </c>
      <c r="J399" s="116">
        <f>(KUNJUNGAN!$H399*60)+KUNJUNGAN!$I399</f>
        <v>60</v>
      </c>
      <c r="K399" s="115"/>
      <c r="L399" s="11" t="s">
        <v>284</v>
      </c>
      <c r="M399" s="11"/>
    </row>
    <row r="400" ht="15.75" customHeight="1">
      <c r="A400" s="11">
        <v>283.0</v>
      </c>
      <c r="B400" s="113" t="s">
        <v>49</v>
      </c>
      <c r="C400" s="124">
        <v>1.0</v>
      </c>
      <c r="D400" s="113" t="s">
        <v>1202</v>
      </c>
      <c r="E400" s="113" t="s">
        <v>1203</v>
      </c>
      <c r="F400" s="113" t="s">
        <v>1204</v>
      </c>
      <c r="G400" s="113">
        <v>60.0</v>
      </c>
      <c r="H400" s="115">
        <f>ROUNDDOWN(KUNJUNGAN!$G400/60,0)</f>
        <v>1</v>
      </c>
      <c r="I400" s="116">
        <f t="shared" si="1"/>
        <v>0</v>
      </c>
      <c r="J400" s="116">
        <f>(KUNJUNGAN!$H400*60)+KUNJUNGAN!$I400</f>
        <v>60</v>
      </c>
      <c r="K400" s="115"/>
      <c r="L400" s="11" t="s">
        <v>284</v>
      </c>
      <c r="M400" s="11"/>
    </row>
    <row r="401" ht="15.75" customHeight="1">
      <c r="A401" s="11">
        <v>286.0</v>
      </c>
      <c r="B401" s="113" t="s">
        <v>49</v>
      </c>
      <c r="C401" s="124">
        <v>1.0</v>
      </c>
      <c r="D401" s="113" t="s">
        <v>1205</v>
      </c>
      <c r="E401" s="113" t="s">
        <v>1206</v>
      </c>
      <c r="F401" s="113" t="s">
        <v>1207</v>
      </c>
      <c r="G401" s="113">
        <v>60.0</v>
      </c>
      <c r="H401" s="115">
        <f>ROUNDDOWN(KUNJUNGAN!$G401/60,0)</f>
        <v>1</v>
      </c>
      <c r="I401" s="116">
        <f t="shared" si="1"/>
        <v>0</v>
      </c>
      <c r="J401" s="116">
        <f>(KUNJUNGAN!$H401*60)+KUNJUNGAN!$I401</f>
        <v>60</v>
      </c>
      <c r="K401" s="115"/>
      <c r="L401" s="11" t="s">
        <v>284</v>
      </c>
      <c r="M401" s="11"/>
    </row>
    <row r="402" ht="15.75" customHeight="1">
      <c r="A402" s="11">
        <v>290.0</v>
      </c>
      <c r="B402" s="113" t="s">
        <v>49</v>
      </c>
      <c r="C402" s="124">
        <v>1.0</v>
      </c>
      <c r="D402" s="113" t="s">
        <v>1194</v>
      </c>
      <c r="E402" s="113" t="s">
        <v>1208</v>
      </c>
      <c r="F402" s="113" t="s">
        <v>1209</v>
      </c>
      <c r="G402" s="113">
        <v>90.0</v>
      </c>
      <c r="H402" s="115">
        <f>ROUNDDOWN(KUNJUNGAN!$G402/60,0)</f>
        <v>1</v>
      </c>
      <c r="I402" s="116">
        <f t="shared" si="1"/>
        <v>30</v>
      </c>
      <c r="J402" s="116">
        <f>(KUNJUNGAN!$H402*60)+KUNJUNGAN!$I402</f>
        <v>90</v>
      </c>
      <c r="K402" s="115"/>
      <c r="L402" s="11" t="s">
        <v>284</v>
      </c>
      <c r="M402" s="11"/>
    </row>
    <row r="403" ht="15.75" customHeight="1">
      <c r="A403" s="11">
        <v>295.0</v>
      </c>
      <c r="B403" s="113" t="s">
        <v>49</v>
      </c>
      <c r="C403" s="124">
        <v>1.0</v>
      </c>
      <c r="D403" s="113" t="s">
        <v>1210</v>
      </c>
      <c r="E403" s="113" t="s">
        <v>1211</v>
      </c>
      <c r="F403" s="113" t="s">
        <v>1212</v>
      </c>
      <c r="G403" s="113">
        <v>60.0</v>
      </c>
      <c r="H403" s="115">
        <f>ROUNDDOWN(KUNJUNGAN!$G403/60,0)</f>
        <v>1</v>
      </c>
      <c r="I403" s="116">
        <f t="shared" si="1"/>
        <v>0</v>
      </c>
      <c r="J403" s="116">
        <f>(KUNJUNGAN!$H403*60)+KUNJUNGAN!$I403</f>
        <v>60</v>
      </c>
      <c r="K403" s="115"/>
      <c r="L403" s="11" t="s">
        <v>284</v>
      </c>
      <c r="M403" s="11"/>
    </row>
    <row r="404" ht="15.75" customHeight="1">
      <c r="A404" s="11">
        <v>317.0</v>
      </c>
      <c r="B404" s="113" t="s">
        <v>49</v>
      </c>
      <c r="C404" s="124">
        <v>1.0</v>
      </c>
      <c r="D404" s="113" t="s">
        <v>1213</v>
      </c>
      <c r="E404" s="113" t="s">
        <v>1214</v>
      </c>
      <c r="F404" s="113" t="s">
        <v>1215</v>
      </c>
      <c r="G404" s="113">
        <v>60.0</v>
      </c>
      <c r="H404" s="115">
        <f>ROUNDDOWN(KUNJUNGAN!$G404/60,0)</f>
        <v>1</v>
      </c>
      <c r="I404" s="116">
        <f t="shared" si="1"/>
        <v>0</v>
      </c>
      <c r="J404" s="116">
        <f>(KUNJUNGAN!$H404*60)+KUNJUNGAN!$I404</f>
        <v>60</v>
      </c>
      <c r="K404" s="115"/>
      <c r="L404" s="11" t="s">
        <v>284</v>
      </c>
      <c r="M404" s="11"/>
      <c r="N404" s="65"/>
    </row>
    <row r="405" ht="15.75" customHeight="1">
      <c r="A405" s="11">
        <v>257.0</v>
      </c>
      <c r="B405" s="113" t="s">
        <v>49</v>
      </c>
      <c r="C405" s="124">
        <v>1.0</v>
      </c>
      <c r="D405" s="113" t="s">
        <v>1213</v>
      </c>
      <c r="E405" s="113" t="s">
        <v>1216</v>
      </c>
      <c r="F405" s="113" t="s">
        <v>1217</v>
      </c>
      <c r="G405" s="113">
        <v>60.0</v>
      </c>
      <c r="H405" s="115">
        <f>ROUNDDOWN(KUNJUNGAN!$G405/60,0)</f>
        <v>1</v>
      </c>
      <c r="I405" s="116">
        <f t="shared" si="1"/>
        <v>0</v>
      </c>
      <c r="J405" s="116">
        <f>(KUNJUNGAN!$H405*60)+KUNJUNGAN!$I405</f>
        <v>60</v>
      </c>
      <c r="K405" s="115"/>
      <c r="L405" s="11" t="s">
        <v>284</v>
      </c>
      <c r="M405" s="11"/>
      <c r="N405" s="65"/>
    </row>
    <row r="406" ht="15.75" customHeight="1">
      <c r="A406" s="11">
        <v>261.0</v>
      </c>
      <c r="B406" s="113" t="s">
        <v>49</v>
      </c>
      <c r="C406" s="124">
        <v>1.0</v>
      </c>
      <c r="D406" s="113" t="s">
        <v>1218</v>
      </c>
      <c r="E406" s="113" t="s">
        <v>1219</v>
      </c>
      <c r="F406" s="113" t="s">
        <v>1220</v>
      </c>
      <c r="G406" s="113">
        <v>60.0</v>
      </c>
      <c r="H406" s="115">
        <f>ROUNDDOWN(KUNJUNGAN!$G406/60,0)</f>
        <v>1</v>
      </c>
      <c r="I406" s="116">
        <f t="shared" si="1"/>
        <v>0</v>
      </c>
      <c r="J406" s="116">
        <f>(KUNJUNGAN!$H406*60)+KUNJUNGAN!$I406</f>
        <v>60</v>
      </c>
      <c r="K406" s="115"/>
      <c r="L406" s="11" t="s">
        <v>284</v>
      </c>
      <c r="M406" s="11"/>
    </row>
    <row r="407" ht="15.75" customHeight="1">
      <c r="A407" s="11">
        <v>265.0</v>
      </c>
      <c r="B407" s="113" t="s">
        <v>49</v>
      </c>
      <c r="C407" s="124">
        <v>1.0</v>
      </c>
      <c r="D407" s="113" t="s">
        <v>1221</v>
      </c>
      <c r="E407" s="113" t="s">
        <v>1222</v>
      </c>
      <c r="F407" s="113" t="s">
        <v>1223</v>
      </c>
      <c r="G407" s="113">
        <v>60.0</v>
      </c>
      <c r="H407" s="115">
        <f>ROUNDDOWN(KUNJUNGAN!$G407/60,0)</f>
        <v>1</v>
      </c>
      <c r="I407" s="116">
        <f t="shared" si="1"/>
        <v>0</v>
      </c>
      <c r="J407" s="116">
        <f>(KUNJUNGAN!$H407*60)+KUNJUNGAN!$I407</f>
        <v>60</v>
      </c>
      <c r="K407" s="115"/>
      <c r="L407" s="11" t="s">
        <v>284</v>
      </c>
      <c r="M407" s="11"/>
    </row>
    <row r="408" ht="15.75" customHeight="1">
      <c r="A408" s="11">
        <v>267.0</v>
      </c>
      <c r="B408" s="113" t="s">
        <v>49</v>
      </c>
      <c r="C408" s="124">
        <v>1.0</v>
      </c>
      <c r="D408" s="113" t="s">
        <v>1210</v>
      </c>
      <c r="E408" s="113" t="s">
        <v>1224</v>
      </c>
      <c r="F408" s="113" t="s">
        <v>1225</v>
      </c>
      <c r="G408" s="113">
        <v>180.0</v>
      </c>
      <c r="H408" s="115">
        <f>ROUNDDOWN(KUNJUNGAN!$G408/60,0)</f>
        <v>3</v>
      </c>
      <c r="I408" s="116">
        <f t="shared" si="1"/>
        <v>0</v>
      </c>
      <c r="J408" s="116">
        <f>(KUNJUNGAN!$H408*60)+KUNJUNGAN!$I408</f>
        <v>180</v>
      </c>
      <c r="K408" s="115"/>
      <c r="L408" s="11" t="s">
        <v>284</v>
      </c>
      <c r="M408" s="11"/>
    </row>
    <row r="409" ht="15.75" customHeight="1">
      <c r="A409" s="11">
        <v>273.0</v>
      </c>
      <c r="B409" s="113" t="s">
        <v>49</v>
      </c>
      <c r="C409" s="124">
        <v>1.0</v>
      </c>
      <c r="D409" s="113" t="s">
        <v>923</v>
      </c>
      <c r="E409" s="113" t="s">
        <v>924</v>
      </c>
      <c r="F409" s="113" t="s">
        <v>925</v>
      </c>
      <c r="G409" s="113">
        <v>180.0</v>
      </c>
      <c r="H409" s="115">
        <f>ROUNDDOWN(KUNJUNGAN!$G409/60,0)</f>
        <v>3</v>
      </c>
      <c r="I409" s="116">
        <f t="shared" si="1"/>
        <v>0</v>
      </c>
      <c r="J409" s="116">
        <f>(KUNJUNGAN!$H409*60)+KUNJUNGAN!$I409</f>
        <v>180</v>
      </c>
      <c r="K409" s="115"/>
      <c r="L409" s="11" t="s">
        <v>284</v>
      </c>
      <c r="M409" s="11"/>
    </row>
    <row r="410" ht="15.75" customHeight="1">
      <c r="A410" s="11">
        <v>277.0</v>
      </c>
      <c r="B410" s="113" t="s">
        <v>49</v>
      </c>
      <c r="C410" s="124">
        <v>1.0</v>
      </c>
      <c r="D410" s="113" t="s">
        <v>1226</v>
      </c>
      <c r="E410" s="113" t="s">
        <v>1227</v>
      </c>
      <c r="F410" s="113" t="s">
        <v>1228</v>
      </c>
      <c r="G410" s="113">
        <v>60.0</v>
      </c>
      <c r="H410" s="115">
        <f>ROUNDDOWN(KUNJUNGAN!$G410/60,0)</f>
        <v>1</v>
      </c>
      <c r="I410" s="116">
        <f t="shared" si="1"/>
        <v>0</v>
      </c>
      <c r="J410" s="116">
        <f>(KUNJUNGAN!$H410*60)+KUNJUNGAN!$I410</f>
        <v>60</v>
      </c>
      <c r="K410" s="115"/>
      <c r="L410" s="11" t="s">
        <v>284</v>
      </c>
      <c r="M410" s="11"/>
    </row>
    <row r="411" ht="15.75" customHeight="1">
      <c r="A411" s="11">
        <v>320.0</v>
      </c>
      <c r="B411" s="113" t="s">
        <v>49</v>
      </c>
      <c r="C411" s="124">
        <v>1.0</v>
      </c>
      <c r="D411" s="113" t="s">
        <v>1229</v>
      </c>
      <c r="E411" s="113" t="s">
        <v>1230</v>
      </c>
      <c r="F411" s="113" t="s">
        <v>1231</v>
      </c>
      <c r="G411" s="113">
        <v>60.0</v>
      </c>
      <c r="H411" s="115">
        <f>ROUNDDOWN(KUNJUNGAN!$G411/60,0)</f>
        <v>1</v>
      </c>
      <c r="I411" s="116">
        <f t="shared" si="1"/>
        <v>0</v>
      </c>
      <c r="J411" s="116">
        <f>(KUNJUNGAN!$H411*60)+KUNJUNGAN!$I411</f>
        <v>60</v>
      </c>
      <c r="K411" s="115"/>
      <c r="L411" s="11" t="s">
        <v>284</v>
      </c>
      <c r="M411" s="11"/>
    </row>
    <row r="412" ht="15.75" customHeight="1">
      <c r="A412" s="11">
        <v>284.0</v>
      </c>
      <c r="B412" s="113" t="s">
        <v>49</v>
      </c>
      <c r="C412" s="124">
        <v>1.0</v>
      </c>
      <c r="D412" s="113" t="s">
        <v>1232</v>
      </c>
      <c r="E412" s="113" t="s">
        <v>1233</v>
      </c>
      <c r="F412" s="113" t="s">
        <v>1234</v>
      </c>
      <c r="G412" s="113">
        <v>180.0</v>
      </c>
      <c r="H412" s="115">
        <f>ROUNDDOWN(KUNJUNGAN!$G412/60,0)</f>
        <v>3</v>
      </c>
      <c r="I412" s="116">
        <f t="shared" si="1"/>
        <v>0</v>
      </c>
      <c r="J412" s="116">
        <f>(KUNJUNGAN!$H412*60)+KUNJUNGAN!$I412</f>
        <v>180</v>
      </c>
      <c r="K412" s="115"/>
      <c r="L412" s="11" t="s">
        <v>284</v>
      </c>
      <c r="M412" s="11"/>
    </row>
    <row r="413" ht="15.75" customHeight="1">
      <c r="A413" s="11">
        <v>285.0</v>
      </c>
      <c r="B413" s="113" t="s">
        <v>49</v>
      </c>
      <c r="C413" s="124">
        <v>1.0</v>
      </c>
      <c r="D413" s="113" t="s">
        <v>1235</v>
      </c>
      <c r="E413" s="113" t="s">
        <v>1236</v>
      </c>
      <c r="F413" s="113" t="s">
        <v>1237</v>
      </c>
      <c r="G413" s="113">
        <v>60.0</v>
      </c>
      <c r="H413" s="115">
        <f>ROUNDDOWN(KUNJUNGAN!$G413/60,0)</f>
        <v>1</v>
      </c>
      <c r="I413" s="116">
        <f t="shared" si="1"/>
        <v>0</v>
      </c>
      <c r="J413" s="116">
        <f>(KUNJUNGAN!$H413*60)+KUNJUNGAN!$I413</f>
        <v>60</v>
      </c>
      <c r="K413" s="115"/>
      <c r="L413" s="11" t="s">
        <v>284</v>
      </c>
      <c r="M413" s="11"/>
    </row>
    <row r="414" ht="15.75" customHeight="1">
      <c r="A414" s="11">
        <v>289.0</v>
      </c>
      <c r="B414" s="113" t="s">
        <v>49</v>
      </c>
      <c r="C414" s="124">
        <v>1.0</v>
      </c>
      <c r="D414" s="113" t="s">
        <v>1238</v>
      </c>
      <c r="E414" s="113" t="s">
        <v>1239</v>
      </c>
      <c r="F414" s="113" t="s">
        <v>1240</v>
      </c>
      <c r="G414" s="113">
        <v>60.0</v>
      </c>
      <c r="H414" s="115">
        <f>ROUNDDOWN(KUNJUNGAN!$G414/60,0)</f>
        <v>1</v>
      </c>
      <c r="I414" s="116">
        <f t="shared" si="1"/>
        <v>0</v>
      </c>
      <c r="J414" s="116">
        <f>(KUNJUNGAN!$H414*60)+KUNJUNGAN!$I414</f>
        <v>60</v>
      </c>
      <c r="K414" s="115"/>
      <c r="L414" s="11" t="s">
        <v>284</v>
      </c>
      <c r="M414" s="11"/>
    </row>
    <row r="415" ht="15.75" customHeight="1">
      <c r="A415" s="11">
        <v>293.0</v>
      </c>
      <c r="B415" s="113" t="s">
        <v>49</v>
      </c>
      <c r="C415" s="124">
        <v>1.0</v>
      </c>
      <c r="D415" s="113" t="s">
        <v>1241</v>
      </c>
      <c r="E415" s="113" t="s">
        <v>1242</v>
      </c>
      <c r="F415" s="113" t="s">
        <v>699</v>
      </c>
      <c r="G415" s="113">
        <v>60.0</v>
      </c>
      <c r="H415" s="115">
        <f>ROUNDDOWN(KUNJUNGAN!$G415/60,0)</f>
        <v>1</v>
      </c>
      <c r="I415" s="116">
        <f t="shared" si="1"/>
        <v>0</v>
      </c>
      <c r="J415" s="116">
        <f>(KUNJUNGAN!$H415*60)+KUNJUNGAN!$I415</f>
        <v>60</v>
      </c>
      <c r="K415" s="115"/>
      <c r="L415" s="11" t="s">
        <v>284</v>
      </c>
      <c r="M415" s="11"/>
    </row>
    <row r="416" ht="15.75" customHeight="1">
      <c r="A416" s="11">
        <v>266.0</v>
      </c>
      <c r="B416" s="113" t="s">
        <v>49</v>
      </c>
      <c r="C416" s="124">
        <v>1.0</v>
      </c>
      <c r="D416" s="113" t="s">
        <v>1243</v>
      </c>
      <c r="E416" s="113" t="s">
        <v>1244</v>
      </c>
      <c r="F416" s="113" t="s">
        <v>1245</v>
      </c>
      <c r="G416" s="113">
        <v>60.0</v>
      </c>
      <c r="H416" s="115">
        <f>ROUNDDOWN(KUNJUNGAN!$G416/60,0)</f>
        <v>1</v>
      </c>
      <c r="I416" s="116">
        <f t="shared" si="1"/>
        <v>0</v>
      </c>
      <c r="J416" s="116">
        <f>(KUNJUNGAN!$H416*60)+KUNJUNGAN!$I416</f>
        <v>60</v>
      </c>
      <c r="K416" s="115"/>
      <c r="L416" s="11" t="s">
        <v>284</v>
      </c>
      <c r="M416" s="11"/>
    </row>
    <row r="417" ht="15.75" customHeight="1">
      <c r="A417" s="11">
        <v>263.0</v>
      </c>
      <c r="B417" s="113" t="s">
        <v>49</v>
      </c>
      <c r="C417" s="124">
        <v>1.0</v>
      </c>
      <c r="D417" s="113" t="s">
        <v>1205</v>
      </c>
      <c r="E417" s="113" t="s">
        <v>1246</v>
      </c>
      <c r="F417" s="113" t="s">
        <v>1247</v>
      </c>
      <c r="G417" s="113">
        <v>60.0</v>
      </c>
      <c r="H417" s="115">
        <f>ROUNDDOWN(KUNJUNGAN!$G417/60,0)</f>
        <v>1</v>
      </c>
      <c r="I417" s="116">
        <f t="shared" si="1"/>
        <v>0</v>
      </c>
      <c r="J417" s="116">
        <f>(KUNJUNGAN!$H417*60)+KUNJUNGAN!$I417</f>
        <v>60</v>
      </c>
      <c r="K417" s="115"/>
      <c r="L417" s="11" t="s">
        <v>284</v>
      </c>
      <c r="M417" s="11"/>
    </row>
    <row r="418" ht="15.75" customHeight="1">
      <c r="A418" s="11">
        <v>269.0</v>
      </c>
      <c r="B418" s="113" t="s">
        <v>49</v>
      </c>
      <c r="C418" s="124">
        <v>1.0</v>
      </c>
      <c r="D418" s="113" t="s">
        <v>1194</v>
      </c>
      <c r="E418" s="113" t="s">
        <v>1248</v>
      </c>
      <c r="F418" s="113" t="s">
        <v>1249</v>
      </c>
      <c r="G418" s="113">
        <v>60.0</v>
      </c>
      <c r="H418" s="115">
        <f>ROUNDDOWN(KUNJUNGAN!$G418/60,0)</f>
        <v>1</v>
      </c>
      <c r="I418" s="116">
        <f t="shared" si="1"/>
        <v>0</v>
      </c>
      <c r="J418" s="116">
        <f>(KUNJUNGAN!$H418*60)+KUNJUNGAN!$I418</f>
        <v>60</v>
      </c>
      <c r="K418" s="115"/>
      <c r="L418" s="11" t="s">
        <v>284</v>
      </c>
      <c r="M418" s="11"/>
    </row>
    <row r="419" ht="15.75" customHeight="1">
      <c r="A419" s="11">
        <v>325.0</v>
      </c>
      <c r="B419" s="113" t="s">
        <v>49</v>
      </c>
      <c r="C419" s="124">
        <v>1.0</v>
      </c>
      <c r="D419" s="113" t="s">
        <v>1205</v>
      </c>
      <c r="E419" s="113" t="s">
        <v>1250</v>
      </c>
      <c r="F419" s="113" t="s">
        <v>1251</v>
      </c>
      <c r="G419" s="113">
        <v>60.0</v>
      </c>
      <c r="H419" s="115">
        <f>ROUNDDOWN(KUNJUNGAN!$G419/60,0)</f>
        <v>1</v>
      </c>
      <c r="I419" s="116">
        <f t="shared" si="1"/>
        <v>0</v>
      </c>
      <c r="J419" s="116">
        <f>(KUNJUNGAN!$H419*60)+KUNJUNGAN!$I419</f>
        <v>60</v>
      </c>
      <c r="K419" s="115"/>
      <c r="L419" s="11" t="s">
        <v>284</v>
      </c>
      <c r="M419" s="11"/>
    </row>
    <row r="420" ht="15.75" customHeight="1">
      <c r="A420" s="11">
        <v>280.0</v>
      </c>
      <c r="B420" s="113" t="s">
        <v>49</v>
      </c>
      <c r="C420" s="124">
        <v>1.0</v>
      </c>
      <c r="D420" s="113" t="s">
        <v>1252</v>
      </c>
      <c r="E420" s="113" t="s">
        <v>1253</v>
      </c>
      <c r="F420" s="113" t="s">
        <v>1254</v>
      </c>
      <c r="G420" s="113">
        <v>60.0</v>
      </c>
      <c r="H420" s="115">
        <f>ROUNDDOWN(KUNJUNGAN!$G420/60,0)</f>
        <v>1</v>
      </c>
      <c r="I420" s="116">
        <f t="shared" si="1"/>
        <v>0</v>
      </c>
      <c r="J420" s="116">
        <f>(KUNJUNGAN!$H420*60)+KUNJUNGAN!$I420</f>
        <v>60</v>
      </c>
      <c r="K420" s="115"/>
      <c r="L420" s="11" t="s">
        <v>284</v>
      </c>
      <c r="M420" s="11"/>
    </row>
    <row r="421" ht="15.75" customHeight="1">
      <c r="A421" s="11">
        <v>260.0</v>
      </c>
      <c r="B421" s="113" t="s">
        <v>49</v>
      </c>
      <c r="C421" s="124">
        <v>1.0</v>
      </c>
      <c r="D421" s="113" t="s">
        <v>1205</v>
      </c>
      <c r="E421" s="113" t="s">
        <v>1255</v>
      </c>
      <c r="F421" s="113" t="s">
        <v>1256</v>
      </c>
      <c r="G421" s="113">
        <v>60.0</v>
      </c>
      <c r="H421" s="115">
        <f>ROUNDDOWN(KUNJUNGAN!$G421/60,0)</f>
        <v>1</v>
      </c>
      <c r="I421" s="116">
        <f t="shared" si="1"/>
        <v>0</v>
      </c>
      <c r="J421" s="116">
        <f>(KUNJUNGAN!$H421*60)+KUNJUNGAN!$I421</f>
        <v>60</v>
      </c>
      <c r="K421" s="115"/>
      <c r="L421" s="11" t="s">
        <v>284</v>
      </c>
      <c r="M421" s="11"/>
    </row>
    <row r="422" ht="15.75" customHeight="1">
      <c r="A422" s="11">
        <v>296.0</v>
      </c>
      <c r="B422" s="113" t="s">
        <v>49</v>
      </c>
      <c r="C422" s="124">
        <v>1.0</v>
      </c>
      <c r="D422" s="113" t="s">
        <v>1235</v>
      </c>
      <c r="E422" s="113" t="s">
        <v>1257</v>
      </c>
      <c r="F422" s="113" t="s">
        <v>1258</v>
      </c>
      <c r="G422" s="113">
        <v>60.0</v>
      </c>
      <c r="H422" s="115">
        <f>ROUNDDOWN(KUNJUNGAN!$G422/60,0)</f>
        <v>1</v>
      </c>
      <c r="I422" s="116">
        <f t="shared" si="1"/>
        <v>0</v>
      </c>
      <c r="J422" s="116">
        <f>(KUNJUNGAN!$H422*60)+KUNJUNGAN!$I422</f>
        <v>60</v>
      </c>
      <c r="K422" s="115"/>
      <c r="L422" s="11" t="s">
        <v>284</v>
      </c>
      <c r="M422" s="11"/>
    </row>
    <row r="423" ht="15.75" customHeight="1">
      <c r="A423" s="11">
        <v>297.0</v>
      </c>
      <c r="B423" s="113" t="s">
        <v>49</v>
      </c>
      <c r="C423" s="124">
        <v>1.0</v>
      </c>
      <c r="D423" s="113" t="s">
        <v>1232</v>
      </c>
      <c r="E423" s="113" t="s">
        <v>1259</v>
      </c>
      <c r="F423" s="113" t="s">
        <v>1260</v>
      </c>
      <c r="G423" s="113">
        <v>201.0</v>
      </c>
      <c r="H423" s="115">
        <f>ROUNDDOWN(KUNJUNGAN!$G423/60,0)</f>
        <v>3</v>
      </c>
      <c r="I423" s="116">
        <f t="shared" si="1"/>
        <v>21</v>
      </c>
      <c r="J423" s="116">
        <f>(KUNJUNGAN!$H423*60)+KUNJUNGAN!$I423</f>
        <v>201</v>
      </c>
      <c r="K423" s="115"/>
      <c r="L423" s="11" t="s">
        <v>284</v>
      </c>
      <c r="M423" s="11"/>
    </row>
    <row r="424" ht="15.75" customHeight="1">
      <c r="A424" s="11">
        <v>298.0</v>
      </c>
      <c r="B424" s="113" t="s">
        <v>49</v>
      </c>
      <c r="C424" s="124">
        <v>1.0</v>
      </c>
      <c r="D424" s="113" t="s">
        <v>923</v>
      </c>
      <c r="E424" s="113" t="s">
        <v>926</v>
      </c>
      <c r="F424" s="113" t="s">
        <v>927</v>
      </c>
      <c r="G424" s="113">
        <v>150.0</v>
      </c>
      <c r="H424" s="115">
        <f>ROUNDDOWN(KUNJUNGAN!$G424/60,0)</f>
        <v>2</v>
      </c>
      <c r="I424" s="116">
        <f t="shared" si="1"/>
        <v>30</v>
      </c>
      <c r="J424" s="116">
        <f>(KUNJUNGAN!$H424*60)+KUNJUNGAN!$I424</f>
        <v>150</v>
      </c>
      <c r="K424" s="115"/>
      <c r="L424" s="11" t="s">
        <v>284</v>
      </c>
      <c r="M424" s="11"/>
    </row>
    <row r="425" ht="15.75" customHeight="1">
      <c r="A425" s="11">
        <v>319.0</v>
      </c>
      <c r="B425" s="113" t="s">
        <v>49</v>
      </c>
      <c r="C425" s="124">
        <v>1.0</v>
      </c>
      <c r="D425" s="113" t="s">
        <v>923</v>
      </c>
      <c r="E425" s="113" t="s">
        <v>928</v>
      </c>
      <c r="F425" s="113" t="s">
        <v>929</v>
      </c>
      <c r="G425" s="113">
        <v>134.0</v>
      </c>
      <c r="H425" s="115">
        <f>ROUNDDOWN(KUNJUNGAN!$G425/60,0)</f>
        <v>2</v>
      </c>
      <c r="I425" s="116">
        <f t="shared" si="1"/>
        <v>14</v>
      </c>
      <c r="J425" s="116">
        <f>(KUNJUNGAN!$H425*60)+KUNJUNGAN!$I425</f>
        <v>134</v>
      </c>
      <c r="K425" s="115"/>
      <c r="L425" s="11" t="s">
        <v>284</v>
      </c>
      <c r="M425" s="11"/>
    </row>
    <row r="426" ht="15.75" customHeight="1">
      <c r="A426" s="11">
        <v>299.0</v>
      </c>
      <c r="B426" s="113" t="s">
        <v>49</v>
      </c>
      <c r="C426" s="124">
        <v>1.0</v>
      </c>
      <c r="D426" s="113" t="s">
        <v>1232</v>
      </c>
      <c r="E426" s="113" t="s">
        <v>1261</v>
      </c>
      <c r="F426" s="113" t="s">
        <v>1262</v>
      </c>
      <c r="G426" s="113">
        <v>149.0</v>
      </c>
      <c r="H426" s="115">
        <f>ROUNDDOWN(KUNJUNGAN!$G426/60,0)</f>
        <v>2</v>
      </c>
      <c r="I426" s="116">
        <f t="shared" si="1"/>
        <v>29</v>
      </c>
      <c r="J426" s="116">
        <f>(KUNJUNGAN!$H426*60)+KUNJUNGAN!$I426</f>
        <v>149</v>
      </c>
      <c r="K426" s="115"/>
      <c r="L426" s="11" t="s">
        <v>284</v>
      </c>
      <c r="M426" s="11"/>
    </row>
    <row r="427" ht="15.75" customHeight="1">
      <c r="A427" s="11">
        <v>300.0</v>
      </c>
      <c r="B427" s="113" t="s">
        <v>49</v>
      </c>
      <c r="C427" s="124">
        <v>1.0</v>
      </c>
      <c r="D427" s="113" t="s">
        <v>1232</v>
      </c>
      <c r="E427" s="113" t="s">
        <v>1263</v>
      </c>
      <c r="F427" s="113" t="s">
        <v>1264</v>
      </c>
      <c r="G427" s="113">
        <v>145.0</v>
      </c>
      <c r="H427" s="115">
        <f>ROUNDDOWN(KUNJUNGAN!$G427/60,0)</f>
        <v>2</v>
      </c>
      <c r="I427" s="116">
        <f t="shared" si="1"/>
        <v>25</v>
      </c>
      <c r="J427" s="116">
        <f>(KUNJUNGAN!$H427*60)+KUNJUNGAN!$I427</f>
        <v>145</v>
      </c>
      <c r="K427" s="115"/>
      <c r="L427" s="11" t="s">
        <v>284</v>
      </c>
      <c r="M427" s="11"/>
    </row>
    <row r="428" ht="15.75" customHeight="1">
      <c r="A428" s="11">
        <v>301.0</v>
      </c>
      <c r="B428" s="113" t="s">
        <v>49</v>
      </c>
      <c r="C428" s="124">
        <v>1.0</v>
      </c>
      <c r="D428" s="113" t="s">
        <v>1202</v>
      </c>
      <c r="E428" s="113" t="s">
        <v>1265</v>
      </c>
      <c r="F428" s="113" t="s">
        <v>1266</v>
      </c>
      <c r="G428" s="113">
        <v>131.0</v>
      </c>
      <c r="H428" s="115">
        <f>ROUNDDOWN(KUNJUNGAN!$G428/60,0)</f>
        <v>2</v>
      </c>
      <c r="I428" s="116">
        <f t="shared" si="1"/>
        <v>11</v>
      </c>
      <c r="J428" s="116">
        <f>(KUNJUNGAN!$H428*60)+KUNJUNGAN!$I428</f>
        <v>131</v>
      </c>
      <c r="K428" s="115"/>
      <c r="L428" s="11" t="s">
        <v>284</v>
      </c>
      <c r="M428" s="11"/>
    </row>
    <row r="429" ht="15.75" customHeight="1">
      <c r="A429" s="11">
        <v>302.0</v>
      </c>
      <c r="B429" s="113" t="s">
        <v>49</v>
      </c>
      <c r="C429" s="124">
        <v>1.0</v>
      </c>
      <c r="D429" s="113" t="s">
        <v>1210</v>
      </c>
      <c r="E429" s="113" t="s">
        <v>1267</v>
      </c>
      <c r="F429" s="113" t="s">
        <v>1268</v>
      </c>
      <c r="G429" s="113">
        <v>148.0</v>
      </c>
      <c r="H429" s="115">
        <f>ROUNDDOWN(KUNJUNGAN!$G429/60,0)</f>
        <v>2</v>
      </c>
      <c r="I429" s="116">
        <f t="shared" si="1"/>
        <v>28</v>
      </c>
      <c r="J429" s="116">
        <f>(KUNJUNGAN!$H429*60)+KUNJUNGAN!$I429</f>
        <v>148</v>
      </c>
      <c r="K429" s="115"/>
      <c r="L429" s="11" t="s">
        <v>284</v>
      </c>
      <c r="M429" s="11"/>
    </row>
    <row r="430" ht="15.75" customHeight="1">
      <c r="A430" s="11">
        <v>303.0</v>
      </c>
      <c r="B430" s="113" t="s">
        <v>49</v>
      </c>
      <c r="C430" s="124">
        <v>1.0</v>
      </c>
      <c r="D430" s="113" t="s">
        <v>1232</v>
      </c>
      <c r="E430" s="113" t="s">
        <v>1269</v>
      </c>
      <c r="F430" s="113" t="s">
        <v>1270</v>
      </c>
      <c r="G430" s="113">
        <v>113.0</v>
      </c>
      <c r="H430" s="115">
        <f>ROUNDDOWN(KUNJUNGAN!$G430/60,0)</f>
        <v>1</v>
      </c>
      <c r="I430" s="116">
        <f t="shared" si="1"/>
        <v>53</v>
      </c>
      <c r="J430" s="116">
        <f>(KUNJUNGAN!$H430*60)+KUNJUNGAN!$I430</f>
        <v>113</v>
      </c>
      <c r="K430" s="115"/>
      <c r="L430" s="11" t="s">
        <v>284</v>
      </c>
      <c r="M430" s="11"/>
    </row>
    <row r="431" ht="15.75" customHeight="1">
      <c r="A431" s="11">
        <v>304.0</v>
      </c>
      <c r="B431" s="113" t="s">
        <v>49</v>
      </c>
      <c r="C431" s="124">
        <v>1.0</v>
      </c>
      <c r="D431" s="113" t="s">
        <v>1271</v>
      </c>
      <c r="E431" s="113" t="s">
        <v>1272</v>
      </c>
      <c r="F431" s="113" t="s">
        <v>1273</v>
      </c>
      <c r="G431" s="113">
        <v>66.0</v>
      </c>
      <c r="H431" s="115">
        <f>ROUNDDOWN(KUNJUNGAN!$G431/60,0)</f>
        <v>1</v>
      </c>
      <c r="I431" s="116">
        <f t="shared" si="1"/>
        <v>6</v>
      </c>
      <c r="J431" s="116">
        <f>(KUNJUNGAN!$H431*60)+KUNJUNGAN!$I431</f>
        <v>66</v>
      </c>
      <c r="K431" s="115"/>
      <c r="L431" s="11" t="s">
        <v>284</v>
      </c>
      <c r="M431" s="11"/>
    </row>
    <row r="432" ht="15.75" customHeight="1">
      <c r="A432" s="11">
        <v>305.0</v>
      </c>
      <c r="B432" s="113" t="s">
        <v>49</v>
      </c>
      <c r="C432" s="124">
        <v>1.0</v>
      </c>
      <c r="D432" s="113" t="s">
        <v>1274</v>
      </c>
      <c r="E432" s="113" t="s">
        <v>1275</v>
      </c>
      <c r="F432" s="113" t="s">
        <v>1216</v>
      </c>
      <c r="G432" s="113">
        <v>74.0</v>
      </c>
      <c r="H432" s="115">
        <f>ROUNDDOWN(KUNJUNGAN!$G432/60,0)</f>
        <v>1</v>
      </c>
      <c r="I432" s="116">
        <f t="shared" si="1"/>
        <v>14</v>
      </c>
      <c r="J432" s="116">
        <f>(KUNJUNGAN!$H432*60)+KUNJUNGAN!$I432</f>
        <v>74</v>
      </c>
      <c r="K432" s="115"/>
      <c r="L432" s="11" t="s">
        <v>284</v>
      </c>
      <c r="M432" s="11"/>
    </row>
    <row r="433" ht="15.75" customHeight="1">
      <c r="A433" s="11">
        <v>306.0</v>
      </c>
      <c r="B433" s="113" t="s">
        <v>49</v>
      </c>
      <c r="C433" s="124">
        <v>1.0</v>
      </c>
      <c r="D433" s="113" t="s">
        <v>1191</v>
      </c>
      <c r="E433" s="113" t="s">
        <v>1276</v>
      </c>
      <c r="F433" s="113" t="s">
        <v>868</v>
      </c>
      <c r="G433" s="113">
        <v>82.0</v>
      </c>
      <c r="H433" s="115">
        <f>ROUNDDOWN(KUNJUNGAN!$G433/60,0)</f>
        <v>1</v>
      </c>
      <c r="I433" s="116">
        <f t="shared" si="1"/>
        <v>22</v>
      </c>
      <c r="J433" s="116">
        <f>(KUNJUNGAN!$H433*60)+KUNJUNGAN!$I433</f>
        <v>82</v>
      </c>
      <c r="K433" s="115"/>
      <c r="L433" s="11" t="s">
        <v>284</v>
      </c>
      <c r="M433" s="11"/>
    </row>
    <row r="434" ht="15.75" customHeight="1">
      <c r="A434" s="11">
        <v>324.0</v>
      </c>
      <c r="B434" s="113" t="s">
        <v>49</v>
      </c>
      <c r="C434" s="124">
        <v>1.0</v>
      </c>
      <c r="D434" s="113" t="s">
        <v>1191</v>
      </c>
      <c r="E434" s="113" t="s">
        <v>1277</v>
      </c>
      <c r="F434" s="113" t="s">
        <v>1278</v>
      </c>
      <c r="G434" s="113">
        <v>107.0</v>
      </c>
      <c r="H434" s="115">
        <f>ROUNDDOWN(KUNJUNGAN!$G434/60,0)</f>
        <v>1</v>
      </c>
      <c r="I434" s="116">
        <f t="shared" si="1"/>
        <v>47</v>
      </c>
      <c r="J434" s="116">
        <f>(KUNJUNGAN!$H434*60)+KUNJUNGAN!$I434</f>
        <v>107</v>
      </c>
      <c r="K434" s="115"/>
      <c r="L434" s="11" t="s">
        <v>284</v>
      </c>
      <c r="M434" s="11"/>
    </row>
    <row r="435" ht="15.75" customHeight="1">
      <c r="A435" s="11">
        <v>307.0</v>
      </c>
      <c r="B435" s="113" t="s">
        <v>49</v>
      </c>
      <c r="C435" s="124">
        <v>1.0</v>
      </c>
      <c r="D435" s="113" t="s">
        <v>1279</v>
      </c>
      <c r="E435" s="113" t="s">
        <v>1280</v>
      </c>
      <c r="F435" s="113" t="s">
        <v>478</v>
      </c>
      <c r="G435" s="113">
        <v>68.0</v>
      </c>
      <c r="H435" s="115">
        <f>ROUNDDOWN(KUNJUNGAN!$G435/60,0)</f>
        <v>1</v>
      </c>
      <c r="I435" s="116">
        <f t="shared" si="1"/>
        <v>8</v>
      </c>
      <c r="J435" s="116">
        <f>(KUNJUNGAN!$H435*60)+KUNJUNGAN!$I435</f>
        <v>68</v>
      </c>
      <c r="K435" s="115"/>
      <c r="L435" s="11" t="s">
        <v>284</v>
      </c>
      <c r="M435" s="11"/>
    </row>
    <row r="436" ht="15.75" customHeight="1">
      <c r="A436" s="11">
        <v>308.0</v>
      </c>
      <c r="B436" s="113" t="s">
        <v>49</v>
      </c>
      <c r="C436" s="124">
        <v>1.0</v>
      </c>
      <c r="D436" s="113" t="s">
        <v>1279</v>
      </c>
      <c r="E436" s="113" t="s">
        <v>1281</v>
      </c>
      <c r="F436" s="113" t="s">
        <v>1282</v>
      </c>
      <c r="G436" s="113">
        <v>92.0</v>
      </c>
      <c r="H436" s="115">
        <f>ROUNDDOWN(KUNJUNGAN!$G436/60,0)</f>
        <v>1</v>
      </c>
      <c r="I436" s="116">
        <f t="shared" si="1"/>
        <v>32</v>
      </c>
      <c r="J436" s="116">
        <f>(KUNJUNGAN!$H436*60)+KUNJUNGAN!$I436</f>
        <v>92</v>
      </c>
      <c r="K436" s="115"/>
      <c r="L436" s="11" t="s">
        <v>284</v>
      </c>
      <c r="M436" s="11"/>
    </row>
    <row r="437" ht="15.75" customHeight="1">
      <c r="A437" s="11">
        <v>309.0</v>
      </c>
      <c r="B437" s="113" t="s">
        <v>49</v>
      </c>
      <c r="C437" s="124">
        <v>1.0</v>
      </c>
      <c r="D437" s="113" t="s">
        <v>1235</v>
      </c>
      <c r="E437" s="113" t="s">
        <v>1283</v>
      </c>
      <c r="F437" s="113" t="s">
        <v>1284</v>
      </c>
      <c r="G437" s="113">
        <v>90.0</v>
      </c>
      <c r="H437" s="115">
        <f>ROUNDDOWN(KUNJUNGAN!$G437/60,0)</f>
        <v>1</v>
      </c>
      <c r="I437" s="116">
        <f t="shared" si="1"/>
        <v>30</v>
      </c>
      <c r="J437" s="116">
        <f>(KUNJUNGAN!$H437*60)+KUNJUNGAN!$I437</f>
        <v>90</v>
      </c>
      <c r="K437" s="115"/>
      <c r="L437" s="11" t="s">
        <v>284</v>
      </c>
      <c r="M437" s="11"/>
    </row>
    <row r="438" ht="15.75" customHeight="1">
      <c r="A438" s="11">
        <v>310.0</v>
      </c>
      <c r="B438" s="113" t="s">
        <v>49</v>
      </c>
      <c r="C438" s="124">
        <v>1.0</v>
      </c>
      <c r="D438" s="113" t="s">
        <v>1241</v>
      </c>
      <c r="E438" s="113" t="s">
        <v>1285</v>
      </c>
      <c r="F438" s="113" t="s">
        <v>1286</v>
      </c>
      <c r="G438" s="113">
        <v>62.0</v>
      </c>
      <c r="H438" s="115">
        <f>ROUNDDOWN(KUNJUNGAN!$G438/60,0)</f>
        <v>1</v>
      </c>
      <c r="I438" s="116">
        <f t="shared" si="1"/>
        <v>2</v>
      </c>
      <c r="J438" s="116">
        <f>(KUNJUNGAN!$H438*60)+KUNJUNGAN!$I438</f>
        <v>62</v>
      </c>
      <c r="K438" s="115"/>
      <c r="L438" s="11" t="s">
        <v>284</v>
      </c>
      <c r="M438" s="11"/>
    </row>
    <row r="439" ht="15.75" customHeight="1">
      <c r="A439" s="11">
        <v>311.0</v>
      </c>
      <c r="B439" s="113" t="s">
        <v>49</v>
      </c>
      <c r="C439" s="124">
        <v>1.0</v>
      </c>
      <c r="D439" s="113" t="s">
        <v>1199</v>
      </c>
      <c r="E439" s="113" t="s">
        <v>1287</v>
      </c>
      <c r="F439" s="113" t="s">
        <v>1288</v>
      </c>
      <c r="G439" s="113">
        <v>41.0</v>
      </c>
      <c r="H439" s="115">
        <f>ROUNDDOWN(KUNJUNGAN!$G439/60,0)</f>
        <v>0</v>
      </c>
      <c r="I439" s="116">
        <f t="shared" si="1"/>
        <v>41</v>
      </c>
      <c r="J439" s="116">
        <f>(KUNJUNGAN!$H439*60)+KUNJUNGAN!$I439</f>
        <v>41</v>
      </c>
      <c r="K439" s="115"/>
      <c r="L439" s="11" t="s">
        <v>284</v>
      </c>
      <c r="M439" s="11"/>
    </row>
    <row r="440" ht="15.75" customHeight="1">
      <c r="A440" s="11">
        <v>312.0</v>
      </c>
      <c r="B440" s="113" t="s">
        <v>49</v>
      </c>
      <c r="C440" s="124">
        <v>1.0</v>
      </c>
      <c r="D440" s="113" t="s">
        <v>1218</v>
      </c>
      <c r="E440" s="113" t="s">
        <v>1289</v>
      </c>
      <c r="F440" s="113" t="s">
        <v>340</v>
      </c>
      <c r="G440" s="113">
        <v>51.0</v>
      </c>
      <c r="H440" s="115">
        <f>ROUNDDOWN(KUNJUNGAN!$G440/60,0)</f>
        <v>0</v>
      </c>
      <c r="I440" s="116">
        <f t="shared" si="1"/>
        <v>51</v>
      </c>
      <c r="J440" s="116">
        <f>(KUNJUNGAN!$H440*60)+KUNJUNGAN!$I440</f>
        <v>51</v>
      </c>
      <c r="K440" s="115"/>
      <c r="L440" s="11" t="s">
        <v>284</v>
      </c>
      <c r="M440" s="11"/>
    </row>
    <row r="441" ht="15.75" customHeight="1">
      <c r="A441" s="11">
        <v>313.0</v>
      </c>
      <c r="B441" s="113" t="s">
        <v>49</v>
      </c>
      <c r="C441" s="124">
        <v>1.0</v>
      </c>
      <c r="D441" s="113" t="s">
        <v>1221</v>
      </c>
      <c r="E441" s="113" t="s">
        <v>1290</v>
      </c>
      <c r="F441" s="113" t="s">
        <v>1291</v>
      </c>
      <c r="G441" s="113">
        <v>37.0</v>
      </c>
      <c r="H441" s="115">
        <f>ROUNDDOWN(KUNJUNGAN!$G441/60,0)</f>
        <v>0</v>
      </c>
      <c r="I441" s="116">
        <f t="shared" si="1"/>
        <v>37</v>
      </c>
      <c r="J441" s="116">
        <f>(KUNJUNGAN!$H441*60)+KUNJUNGAN!$I441</f>
        <v>37</v>
      </c>
      <c r="K441" s="115"/>
      <c r="L441" s="11" t="s">
        <v>284</v>
      </c>
      <c r="M441" s="11"/>
    </row>
    <row r="442" ht="15.75" customHeight="1">
      <c r="A442" s="11">
        <v>314.0</v>
      </c>
      <c r="B442" s="113" t="s">
        <v>49</v>
      </c>
      <c r="C442" s="124">
        <v>1.0</v>
      </c>
      <c r="D442" s="113" t="s">
        <v>1197</v>
      </c>
      <c r="E442" s="113" t="s">
        <v>1292</v>
      </c>
      <c r="F442" s="11"/>
      <c r="G442" s="113">
        <v>120.0</v>
      </c>
      <c r="H442" s="115">
        <f>ROUNDDOWN(KUNJUNGAN!$G442/60,0)</f>
        <v>2</v>
      </c>
      <c r="I442" s="116">
        <f t="shared" si="1"/>
        <v>0</v>
      </c>
      <c r="J442" s="116">
        <f>(KUNJUNGAN!$H442*60)+KUNJUNGAN!$I442</f>
        <v>120</v>
      </c>
      <c r="K442" s="115"/>
      <c r="L442" s="11" t="s">
        <v>284</v>
      </c>
      <c r="M442" s="11"/>
    </row>
    <row r="443" ht="15.75" customHeight="1">
      <c r="A443" s="11">
        <v>315.0</v>
      </c>
      <c r="B443" s="113" t="s">
        <v>49</v>
      </c>
      <c r="C443" s="124">
        <v>1.0</v>
      </c>
      <c r="D443" s="113" t="s">
        <v>1274</v>
      </c>
      <c r="E443" s="113" t="s">
        <v>1293</v>
      </c>
      <c r="F443" s="113" t="s">
        <v>1294</v>
      </c>
      <c r="G443" s="113">
        <v>40.0</v>
      </c>
      <c r="H443" s="115">
        <f>ROUNDDOWN(KUNJUNGAN!$G443/60,0)</f>
        <v>0</v>
      </c>
      <c r="I443" s="116">
        <f t="shared" si="1"/>
        <v>40</v>
      </c>
      <c r="J443" s="116">
        <f>(KUNJUNGAN!$H443*60)+KUNJUNGAN!$I443</f>
        <v>40</v>
      </c>
      <c r="K443" s="115"/>
      <c r="L443" s="11" t="s">
        <v>284</v>
      </c>
      <c r="M443" s="11"/>
    </row>
    <row r="444" ht="15.75" customHeight="1">
      <c r="A444" s="11">
        <v>316.0</v>
      </c>
      <c r="B444" s="113" t="s">
        <v>49</v>
      </c>
      <c r="C444" s="124">
        <v>1.0</v>
      </c>
      <c r="D444" s="113" t="s">
        <v>1229</v>
      </c>
      <c r="E444" s="113" t="s">
        <v>1295</v>
      </c>
      <c r="F444" s="113" t="s">
        <v>1296</v>
      </c>
      <c r="G444" s="113">
        <v>44.0</v>
      </c>
      <c r="H444" s="115">
        <f>ROUNDDOWN(KUNJUNGAN!$G444/60,0)</f>
        <v>0</v>
      </c>
      <c r="I444" s="116">
        <f t="shared" si="1"/>
        <v>44</v>
      </c>
      <c r="J444" s="116">
        <f>(KUNJUNGAN!$H444*60)+KUNJUNGAN!$I444</f>
        <v>44</v>
      </c>
      <c r="K444" s="115"/>
      <c r="L444" s="11" t="s">
        <v>284</v>
      </c>
      <c r="M444" s="11"/>
    </row>
    <row r="445" ht="15.75" customHeight="1">
      <c r="A445" s="11">
        <v>318.0</v>
      </c>
      <c r="B445" s="113" t="s">
        <v>49</v>
      </c>
      <c r="C445" s="124">
        <v>1.0</v>
      </c>
      <c r="D445" s="113" t="s">
        <v>1194</v>
      </c>
      <c r="E445" s="113" t="s">
        <v>771</v>
      </c>
      <c r="F445" s="11"/>
      <c r="G445" s="113">
        <v>90.0</v>
      </c>
      <c r="H445" s="115">
        <f>ROUNDDOWN(KUNJUNGAN!$G445/60,0)</f>
        <v>1</v>
      </c>
      <c r="I445" s="116">
        <f t="shared" si="1"/>
        <v>30</v>
      </c>
      <c r="J445" s="116">
        <f>(KUNJUNGAN!$H445*60)+KUNJUNGAN!$I445</f>
        <v>90</v>
      </c>
      <c r="K445" s="115"/>
      <c r="L445" s="11" t="s">
        <v>284</v>
      </c>
      <c r="M445" s="11"/>
    </row>
    <row r="446" ht="15.75" customHeight="1">
      <c r="A446" s="11">
        <v>443.0</v>
      </c>
      <c r="B446" s="113" t="s">
        <v>49</v>
      </c>
      <c r="C446" s="124">
        <v>1.0</v>
      </c>
      <c r="D446" s="113" t="s">
        <v>1235</v>
      </c>
      <c r="E446" s="118" t="s">
        <v>1297</v>
      </c>
      <c r="F446" s="11"/>
      <c r="G446" s="113">
        <v>60.0</v>
      </c>
      <c r="H446" s="115">
        <f>ROUNDDOWN(KUNJUNGAN!$G446/60,0)</f>
        <v>1</v>
      </c>
      <c r="I446" s="116">
        <f t="shared" si="1"/>
        <v>0</v>
      </c>
      <c r="J446" s="116">
        <f>(KUNJUNGAN!$H446*60)+KUNJUNGAN!$I446</f>
        <v>60</v>
      </c>
      <c r="K446" s="115"/>
      <c r="L446" s="11" t="s">
        <v>284</v>
      </c>
      <c r="M446" s="11"/>
    </row>
    <row r="447" ht="15.75" customHeight="1">
      <c r="A447" s="11">
        <v>444.0</v>
      </c>
      <c r="B447" s="11"/>
      <c r="C447" s="114"/>
      <c r="D447" s="11"/>
      <c r="E447" s="125"/>
      <c r="F447" s="11"/>
      <c r="G447" s="11"/>
      <c r="H447" s="115"/>
      <c r="I447" s="116"/>
      <c r="J447" s="116"/>
      <c r="K447" s="115"/>
      <c r="L447" s="11"/>
      <c r="M447" s="11"/>
    </row>
    <row r="448" ht="15.75" customHeight="1">
      <c r="A448" s="11">
        <v>445.0</v>
      </c>
      <c r="B448" s="11"/>
      <c r="C448" s="114"/>
      <c r="D448" s="11"/>
      <c r="E448" s="125"/>
      <c r="F448" s="11"/>
      <c r="G448" s="11"/>
      <c r="H448" s="115"/>
      <c r="I448" s="116"/>
      <c r="J448" s="116"/>
      <c r="K448" s="115"/>
      <c r="L448" s="11"/>
      <c r="M448" s="11"/>
    </row>
    <row r="449" ht="15.75" customHeight="1">
      <c r="A449" s="11">
        <v>446.0</v>
      </c>
      <c r="B449" s="11"/>
      <c r="C449" s="114"/>
      <c r="D449" s="11"/>
      <c r="E449" s="125"/>
      <c r="F449" s="11"/>
      <c r="G449" s="11"/>
      <c r="H449" s="115"/>
      <c r="I449" s="116"/>
      <c r="J449" s="116"/>
      <c r="K449" s="115"/>
      <c r="L449" s="11"/>
      <c r="M449" s="126"/>
    </row>
    <row r="450" ht="15.75" customHeight="1">
      <c r="A450" s="11">
        <v>447.0</v>
      </c>
      <c r="B450" s="11"/>
      <c r="C450" s="114"/>
      <c r="D450" s="11"/>
      <c r="E450" s="125"/>
      <c r="F450" s="11"/>
      <c r="G450" s="11"/>
      <c r="H450" s="115"/>
      <c r="I450" s="116"/>
      <c r="J450" s="116"/>
      <c r="K450" s="115"/>
      <c r="L450" s="11"/>
      <c r="M450" s="126"/>
    </row>
    <row r="451" ht="15.75" customHeight="1">
      <c r="A451" s="11">
        <v>448.0</v>
      </c>
      <c r="B451" s="11"/>
      <c r="C451" s="114"/>
      <c r="D451" s="11"/>
      <c r="E451" s="125"/>
      <c r="F451" s="11"/>
      <c r="G451" s="11"/>
      <c r="H451" s="115"/>
      <c r="I451" s="116"/>
      <c r="J451" s="116"/>
      <c r="K451" s="115"/>
      <c r="L451" s="11"/>
      <c r="M451" s="11"/>
    </row>
    <row r="452" ht="15.75" customHeight="1">
      <c r="A452" s="11">
        <v>449.0</v>
      </c>
      <c r="B452" s="11"/>
      <c r="C452" s="114"/>
      <c r="D452" s="11"/>
      <c r="E452" s="125"/>
      <c r="F452" s="11"/>
      <c r="G452" s="11"/>
      <c r="H452" s="115"/>
      <c r="I452" s="116"/>
      <c r="J452" s="116"/>
      <c r="K452" s="115"/>
      <c r="L452" s="11"/>
      <c r="M452" s="126"/>
    </row>
    <row r="453" ht="15.75" customHeight="1">
      <c r="A453" s="11">
        <v>450.0</v>
      </c>
      <c r="B453" s="11"/>
      <c r="C453" s="114"/>
      <c r="D453" s="11"/>
      <c r="E453" s="125"/>
      <c r="F453" s="11"/>
      <c r="G453" s="11"/>
      <c r="H453" s="115"/>
      <c r="I453" s="116"/>
      <c r="J453" s="116"/>
      <c r="K453" s="115"/>
      <c r="L453" s="11"/>
      <c r="M453" s="11"/>
    </row>
    <row r="454" ht="15.75" customHeight="1">
      <c r="A454" s="11">
        <v>451.0</v>
      </c>
      <c r="B454" s="11"/>
      <c r="C454" s="114"/>
      <c r="D454" s="11"/>
      <c r="E454" s="125"/>
      <c r="F454" s="11"/>
      <c r="G454" s="11"/>
      <c r="H454" s="115"/>
      <c r="I454" s="116"/>
      <c r="J454" s="116"/>
      <c r="K454" s="115"/>
      <c r="L454" s="11"/>
      <c r="M454" s="126"/>
    </row>
    <row r="455" ht="15.75" customHeight="1">
      <c r="A455" s="11">
        <v>452.0</v>
      </c>
      <c r="B455" s="11"/>
      <c r="C455" s="114"/>
      <c r="D455" s="11"/>
      <c r="E455" s="125"/>
      <c r="F455" s="11"/>
      <c r="G455" s="11"/>
      <c r="H455" s="115"/>
      <c r="I455" s="116"/>
      <c r="J455" s="116"/>
      <c r="K455" s="115"/>
      <c r="L455" s="11"/>
      <c r="M455" s="11"/>
    </row>
    <row r="456" ht="15.75" customHeight="1">
      <c r="A456" s="11">
        <v>453.0</v>
      </c>
      <c r="B456" s="11"/>
      <c r="C456" s="114"/>
      <c r="D456" s="11"/>
      <c r="E456" s="125"/>
      <c r="F456" s="11"/>
      <c r="G456" s="11"/>
      <c r="H456" s="115"/>
      <c r="I456" s="116"/>
      <c r="J456" s="116"/>
      <c r="K456" s="115"/>
      <c r="L456" s="11"/>
      <c r="M456" s="126"/>
    </row>
    <row r="457" ht="15.75" customHeight="1">
      <c r="A457" s="11">
        <v>454.0</v>
      </c>
      <c r="B457" s="11"/>
      <c r="C457" s="114"/>
      <c r="D457" s="11"/>
      <c r="E457" s="125"/>
      <c r="F457" s="11"/>
      <c r="G457" s="11"/>
      <c r="H457" s="115"/>
      <c r="I457" s="116"/>
      <c r="J457" s="116"/>
      <c r="K457" s="115"/>
      <c r="L457" s="11"/>
      <c r="M457" s="11"/>
    </row>
    <row r="458" ht="15.75" customHeight="1">
      <c r="A458" s="11">
        <v>455.0</v>
      </c>
      <c r="B458" s="11"/>
      <c r="C458" s="114"/>
      <c r="D458" s="11"/>
      <c r="E458" s="125"/>
      <c r="F458" s="11"/>
      <c r="G458" s="11"/>
      <c r="H458" s="115"/>
      <c r="I458" s="116"/>
      <c r="J458" s="116"/>
      <c r="K458" s="115"/>
      <c r="L458" s="11"/>
      <c r="M458" s="126"/>
    </row>
    <row r="459" ht="15.75" customHeight="1">
      <c r="A459" s="11">
        <v>456.0</v>
      </c>
      <c r="B459" s="11"/>
      <c r="C459" s="114"/>
      <c r="D459" s="11"/>
      <c r="E459" s="125"/>
      <c r="F459" s="11"/>
      <c r="G459" s="11"/>
      <c r="H459" s="115"/>
      <c r="I459" s="116"/>
      <c r="J459" s="116"/>
      <c r="K459" s="115"/>
      <c r="L459" s="11"/>
      <c r="M459" s="11"/>
    </row>
    <row r="460" ht="15.75" customHeight="1">
      <c r="A460" s="11">
        <v>457.0</v>
      </c>
      <c r="B460" s="11"/>
      <c r="C460" s="114"/>
      <c r="D460" s="11"/>
      <c r="E460" s="125"/>
      <c r="F460" s="11"/>
      <c r="G460" s="11"/>
      <c r="H460" s="115"/>
      <c r="I460" s="116"/>
      <c r="J460" s="116"/>
      <c r="K460" s="115"/>
      <c r="L460" s="11"/>
      <c r="M460" s="126"/>
    </row>
    <row r="461" ht="15.75" customHeight="1">
      <c r="A461" s="11">
        <v>458.0</v>
      </c>
      <c r="B461" s="11"/>
      <c r="C461" s="114"/>
      <c r="D461" s="11"/>
      <c r="E461" s="125"/>
      <c r="F461" s="11"/>
      <c r="G461" s="11"/>
      <c r="H461" s="115"/>
      <c r="I461" s="116"/>
      <c r="J461" s="116"/>
      <c r="K461" s="115"/>
      <c r="L461" s="11"/>
      <c r="M461" s="11"/>
    </row>
    <row r="462" ht="15.75" customHeight="1">
      <c r="A462" s="11">
        <v>459.0</v>
      </c>
      <c r="B462" s="11"/>
      <c r="C462" s="114"/>
      <c r="D462" s="11"/>
      <c r="E462" s="125"/>
      <c r="F462" s="11"/>
      <c r="G462" s="11"/>
      <c r="H462" s="115"/>
      <c r="I462" s="116"/>
      <c r="J462" s="116"/>
      <c r="K462" s="115"/>
      <c r="L462" s="11"/>
      <c r="M462" s="126"/>
    </row>
    <row r="463" ht="15.75" customHeight="1">
      <c r="A463" s="11">
        <v>460.0</v>
      </c>
      <c r="B463" s="11"/>
      <c r="C463" s="114"/>
      <c r="D463" s="11"/>
      <c r="E463" s="125"/>
      <c r="F463" s="11"/>
      <c r="G463" s="11"/>
      <c r="H463" s="115"/>
      <c r="I463" s="116"/>
      <c r="J463" s="116"/>
      <c r="K463" s="115"/>
      <c r="L463" s="11"/>
      <c r="M463" s="126"/>
    </row>
    <row r="464" ht="15.75" customHeight="1">
      <c r="A464" s="11">
        <v>461.0</v>
      </c>
      <c r="B464" s="11"/>
      <c r="C464" s="114"/>
      <c r="D464" s="11"/>
      <c r="E464" s="125"/>
      <c r="F464" s="11"/>
      <c r="G464" s="11"/>
      <c r="H464" s="115"/>
      <c r="I464" s="116"/>
      <c r="J464" s="116"/>
      <c r="K464" s="115"/>
      <c r="L464" s="11"/>
      <c r="M464" s="11"/>
    </row>
    <row r="465" ht="15.75" customHeight="1">
      <c r="A465" s="11">
        <v>462.0</v>
      </c>
      <c r="B465" s="11"/>
      <c r="C465" s="114"/>
      <c r="D465" s="11"/>
      <c r="E465" s="125"/>
      <c r="F465" s="11"/>
      <c r="G465" s="11"/>
      <c r="H465" s="115"/>
      <c r="I465" s="116"/>
      <c r="J465" s="116"/>
      <c r="K465" s="115"/>
      <c r="L465" s="11"/>
      <c r="M465" s="126"/>
    </row>
    <row r="466" ht="15.75" customHeight="1">
      <c r="A466" s="11">
        <v>463.0</v>
      </c>
      <c r="B466" s="11"/>
      <c r="C466" s="114"/>
      <c r="D466" s="11"/>
      <c r="E466" s="125"/>
      <c r="F466" s="11"/>
      <c r="G466" s="11"/>
      <c r="H466" s="115"/>
      <c r="I466" s="116"/>
      <c r="J466" s="116"/>
      <c r="K466" s="115"/>
      <c r="L466" s="11"/>
      <c r="M466" s="11"/>
    </row>
    <row r="467" ht="15.75" customHeight="1">
      <c r="A467" s="11">
        <v>464.0</v>
      </c>
      <c r="B467" s="11"/>
      <c r="C467" s="114"/>
      <c r="D467" s="11"/>
      <c r="E467" s="125"/>
      <c r="F467" s="11"/>
      <c r="G467" s="11"/>
      <c r="H467" s="115"/>
      <c r="I467" s="116"/>
      <c r="J467" s="116"/>
      <c r="K467" s="115"/>
      <c r="L467" s="11"/>
      <c r="M467" s="126"/>
    </row>
    <row r="468" ht="15.75" customHeight="1">
      <c r="A468" s="11">
        <v>465.0</v>
      </c>
      <c r="B468" s="11"/>
      <c r="C468" s="114"/>
      <c r="D468" s="11"/>
      <c r="E468" s="125"/>
      <c r="F468" s="11"/>
      <c r="G468" s="11"/>
      <c r="H468" s="115"/>
      <c r="I468" s="116"/>
      <c r="J468" s="116"/>
      <c r="K468" s="115"/>
      <c r="L468" s="11"/>
      <c r="M468" s="11"/>
    </row>
    <row r="469" ht="15.75" customHeight="1">
      <c r="A469" s="11">
        <v>466.0</v>
      </c>
      <c r="B469" s="11"/>
      <c r="C469" s="114"/>
      <c r="D469" s="11"/>
      <c r="E469" s="125"/>
      <c r="F469" s="11"/>
      <c r="G469" s="11"/>
      <c r="H469" s="115"/>
      <c r="I469" s="116"/>
      <c r="J469" s="116"/>
      <c r="K469" s="115"/>
      <c r="L469" s="11"/>
      <c r="M469" s="126"/>
    </row>
    <row r="470" ht="15.75" customHeight="1">
      <c r="A470" s="11">
        <v>467.0</v>
      </c>
      <c r="B470" s="11"/>
      <c r="C470" s="114"/>
      <c r="D470" s="11"/>
      <c r="E470" s="125"/>
      <c r="F470" s="11"/>
      <c r="G470" s="11"/>
      <c r="H470" s="115"/>
      <c r="I470" s="116"/>
      <c r="J470" s="116"/>
      <c r="K470" s="115"/>
      <c r="L470" s="11"/>
      <c r="M470" s="126"/>
    </row>
    <row r="471" ht="15.75" customHeight="1">
      <c r="A471" s="11">
        <v>468.0</v>
      </c>
      <c r="B471" s="11"/>
      <c r="C471" s="114"/>
      <c r="D471" s="11"/>
      <c r="E471" s="125"/>
      <c r="F471" s="11"/>
      <c r="G471" s="11"/>
      <c r="H471" s="115"/>
      <c r="I471" s="116"/>
      <c r="J471" s="116"/>
      <c r="K471" s="115"/>
      <c r="L471" s="11"/>
      <c r="M471" s="11"/>
    </row>
    <row r="472" ht="15.75" customHeight="1">
      <c r="A472" s="11">
        <v>469.0</v>
      </c>
      <c r="B472" s="11"/>
      <c r="C472" s="114"/>
      <c r="D472" s="11"/>
      <c r="E472" s="125"/>
      <c r="F472" s="11"/>
      <c r="G472" s="11"/>
      <c r="H472" s="115"/>
      <c r="I472" s="116"/>
      <c r="J472" s="116"/>
      <c r="K472" s="115"/>
      <c r="L472" s="11"/>
      <c r="M472" s="126"/>
    </row>
    <row r="473" ht="15.75" customHeight="1">
      <c r="A473" s="11">
        <v>470.0</v>
      </c>
      <c r="B473" s="11"/>
      <c r="C473" s="114"/>
      <c r="D473" s="11"/>
      <c r="E473" s="125"/>
      <c r="F473" s="11"/>
      <c r="G473" s="11"/>
      <c r="H473" s="115"/>
      <c r="I473" s="116"/>
      <c r="J473" s="116"/>
      <c r="K473" s="115"/>
      <c r="L473" s="11"/>
      <c r="M473" s="11"/>
    </row>
    <row r="474" ht="15.75" customHeight="1">
      <c r="A474" s="11">
        <v>471.0</v>
      </c>
      <c r="B474" s="11"/>
      <c r="C474" s="114"/>
      <c r="D474" s="11"/>
      <c r="E474" s="125"/>
      <c r="F474" s="11"/>
      <c r="G474" s="11"/>
      <c r="H474" s="115"/>
      <c r="I474" s="116"/>
      <c r="J474" s="116"/>
      <c r="K474" s="115"/>
      <c r="L474" s="11"/>
      <c r="M474" s="126"/>
    </row>
    <row r="475" ht="15.75" customHeight="1">
      <c r="A475" s="11">
        <v>472.0</v>
      </c>
      <c r="B475" s="11"/>
      <c r="C475" s="114"/>
      <c r="D475" s="11"/>
      <c r="E475" s="125"/>
      <c r="F475" s="11"/>
      <c r="G475" s="11"/>
      <c r="H475" s="115"/>
      <c r="I475" s="116"/>
      <c r="J475" s="116"/>
      <c r="K475" s="115"/>
      <c r="L475" s="11"/>
      <c r="M475" s="11"/>
    </row>
    <row r="476" ht="15.75" customHeight="1">
      <c r="A476" s="11">
        <v>473.0</v>
      </c>
      <c r="B476" s="11"/>
      <c r="C476" s="114"/>
      <c r="D476" s="11"/>
      <c r="E476" s="125"/>
      <c r="F476" s="11"/>
      <c r="G476" s="11"/>
      <c r="H476" s="115"/>
      <c r="I476" s="116"/>
      <c r="J476" s="116"/>
      <c r="K476" s="115"/>
      <c r="L476" s="11"/>
      <c r="M476" s="126"/>
    </row>
    <row r="477" ht="15.75" customHeight="1">
      <c r="A477" s="11">
        <v>474.0</v>
      </c>
      <c r="B477" s="11"/>
      <c r="C477" s="114"/>
      <c r="D477" s="11"/>
      <c r="E477" s="125"/>
      <c r="F477" s="11"/>
      <c r="G477" s="11"/>
      <c r="H477" s="115"/>
      <c r="I477" s="116"/>
      <c r="J477" s="116"/>
      <c r="K477" s="115"/>
      <c r="L477" s="11"/>
      <c r="M477" s="11"/>
    </row>
    <row r="478" ht="15.75" customHeight="1">
      <c r="A478" s="11">
        <v>475.0</v>
      </c>
      <c r="B478" s="11"/>
      <c r="C478" s="114"/>
      <c r="D478" s="11"/>
      <c r="E478" s="125"/>
      <c r="F478" s="11"/>
      <c r="G478" s="11"/>
      <c r="H478" s="115"/>
      <c r="I478" s="116"/>
      <c r="J478" s="116"/>
      <c r="K478" s="115"/>
      <c r="L478" s="11"/>
      <c r="M478" s="126"/>
    </row>
    <row r="479" ht="15.75" customHeight="1">
      <c r="A479" s="11">
        <v>476.0</v>
      </c>
      <c r="B479" s="11"/>
      <c r="C479" s="114"/>
      <c r="D479" s="11"/>
      <c r="E479" s="125"/>
      <c r="F479" s="11"/>
      <c r="G479" s="11"/>
      <c r="H479" s="115"/>
      <c r="I479" s="116"/>
      <c r="J479" s="116"/>
      <c r="K479" s="115"/>
      <c r="L479" s="11"/>
      <c r="M479" s="11"/>
    </row>
    <row r="480" ht="15.75" customHeight="1">
      <c r="A480" s="11">
        <v>477.0</v>
      </c>
      <c r="B480" s="11"/>
      <c r="C480" s="114"/>
      <c r="D480" s="11"/>
      <c r="E480" s="11"/>
      <c r="F480" s="11"/>
      <c r="G480" s="11"/>
      <c r="H480" s="115"/>
      <c r="I480" s="116"/>
      <c r="J480" s="116"/>
      <c r="K480" s="115"/>
      <c r="L480" s="11"/>
      <c r="M480" s="126"/>
    </row>
    <row r="481" ht="15.75" customHeight="1">
      <c r="A481" s="11">
        <v>478.0</v>
      </c>
      <c r="B481" s="11"/>
      <c r="C481" s="114"/>
      <c r="D481" s="11"/>
      <c r="E481" s="11"/>
      <c r="F481" s="11"/>
      <c r="G481" s="11"/>
      <c r="H481" s="115"/>
      <c r="I481" s="116"/>
      <c r="J481" s="116"/>
      <c r="K481" s="115"/>
      <c r="L481" s="11"/>
      <c r="M481" s="11"/>
    </row>
    <row r="482" ht="15.75" customHeight="1">
      <c r="A482" s="11">
        <v>479.0</v>
      </c>
      <c r="B482" s="11"/>
      <c r="C482" s="114"/>
      <c r="D482" s="11"/>
      <c r="E482" s="11"/>
      <c r="F482" s="11"/>
      <c r="G482" s="11"/>
      <c r="H482" s="115"/>
      <c r="I482" s="116"/>
      <c r="J482" s="116"/>
      <c r="K482" s="115"/>
      <c r="L482" s="11"/>
      <c r="M482" s="126"/>
    </row>
    <row r="483" ht="15.75" customHeight="1">
      <c r="A483" s="11">
        <v>480.0</v>
      </c>
      <c r="B483" s="11"/>
      <c r="C483" s="114"/>
      <c r="D483" s="11"/>
      <c r="E483" s="11"/>
      <c r="F483" s="11"/>
      <c r="G483" s="11"/>
      <c r="H483" s="115"/>
      <c r="I483" s="116"/>
      <c r="J483" s="116"/>
      <c r="K483" s="115"/>
      <c r="L483" s="11"/>
      <c r="M483" s="11"/>
    </row>
    <row r="484" ht="15.75" customHeight="1">
      <c r="A484" s="11">
        <v>481.0</v>
      </c>
      <c r="B484" s="11"/>
      <c r="C484" s="114"/>
      <c r="D484" s="11"/>
      <c r="E484" s="11"/>
      <c r="F484" s="11"/>
      <c r="G484" s="11"/>
      <c r="H484" s="115"/>
      <c r="I484" s="116"/>
      <c r="J484" s="116"/>
      <c r="K484" s="115"/>
      <c r="L484" s="11"/>
      <c r="M484" s="126"/>
    </row>
    <row r="485" ht="15.75" customHeight="1">
      <c r="A485" s="11">
        <v>482.0</v>
      </c>
      <c r="B485" s="11"/>
      <c r="C485" s="114"/>
      <c r="D485" s="11"/>
      <c r="E485" s="11"/>
      <c r="F485" s="11"/>
      <c r="G485" s="11"/>
      <c r="H485" s="115"/>
      <c r="I485" s="116"/>
      <c r="J485" s="116"/>
      <c r="K485" s="115"/>
      <c r="L485" s="11"/>
      <c r="M485" s="11"/>
    </row>
    <row r="486" ht="15.75" customHeight="1">
      <c r="A486" s="11">
        <v>483.0</v>
      </c>
      <c r="B486" s="11"/>
      <c r="C486" s="114"/>
      <c r="D486" s="11"/>
      <c r="E486" s="11"/>
      <c r="F486" s="11"/>
      <c r="G486" s="11"/>
      <c r="H486" s="115"/>
      <c r="I486" s="116"/>
      <c r="J486" s="116"/>
      <c r="K486" s="115"/>
      <c r="L486" s="11"/>
      <c r="M486" s="126"/>
    </row>
    <row r="487" ht="15.75" customHeight="1">
      <c r="A487" s="11">
        <v>484.0</v>
      </c>
      <c r="B487" s="11"/>
      <c r="C487" s="114"/>
      <c r="D487" s="11"/>
      <c r="E487" s="11"/>
      <c r="F487" s="11"/>
      <c r="G487" s="11"/>
      <c r="H487" s="115"/>
      <c r="I487" s="116"/>
      <c r="J487" s="116"/>
      <c r="K487" s="115"/>
      <c r="L487" s="11"/>
      <c r="M487" s="11"/>
    </row>
    <row r="488" ht="15.75" customHeight="1">
      <c r="A488" s="11">
        <v>485.0</v>
      </c>
      <c r="B488" s="11"/>
      <c r="C488" s="114"/>
      <c r="D488" s="11"/>
      <c r="E488" s="11"/>
      <c r="F488" s="11"/>
      <c r="G488" s="11"/>
      <c r="H488" s="115"/>
      <c r="I488" s="116"/>
      <c r="J488" s="116"/>
      <c r="K488" s="115"/>
      <c r="L488" s="11"/>
      <c r="M488" s="126"/>
    </row>
    <row r="489" ht="15.75" customHeight="1">
      <c r="A489" s="11">
        <v>486.0</v>
      </c>
      <c r="B489" s="11"/>
      <c r="C489" s="114"/>
      <c r="D489" s="11"/>
      <c r="E489" s="11"/>
      <c r="F489" s="11"/>
      <c r="G489" s="11"/>
      <c r="H489" s="115"/>
      <c r="I489" s="116"/>
      <c r="J489" s="116"/>
      <c r="K489" s="115"/>
      <c r="L489" s="11"/>
      <c r="M489" s="11"/>
    </row>
    <row r="490" ht="15.75" customHeight="1">
      <c r="A490" s="11">
        <v>487.0</v>
      </c>
      <c r="B490" s="11"/>
      <c r="C490" s="114"/>
      <c r="D490" s="11"/>
      <c r="E490" s="11"/>
      <c r="F490" s="11"/>
      <c r="G490" s="11"/>
      <c r="H490" s="115"/>
      <c r="I490" s="116"/>
      <c r="J490" s="116"/>
      <c r="K490" s="115"/>
      <c r="L490" s="11"/>
      <c r="M490" s="126"/>
    </row>
    <row r="491" ht="15.75" customHeight="1">
      <c r="A491" s="11">
        <v>488.0</v>
      </c>
      <c r="B491" s="11"/>
      <c r="C491" s="114"/>
      <c r="D491" s="11"/>
      <c r="E491" s="11"/>
      <c r="F491" s="11"/>
      <c r="G491" s="11"/>
      <c r="H491" s="115"/>
      <c r="I491" s="116"/>
      <c r="J491" s="116"/>
      <c r="K491" s="115"/>
      <c r="L491" s="11"/>
      <c r="M491" s="126"/>
    </row>
    <row r="492" ht="15.75" customHeight="1">
      <c r="A492" s="11">
        <v>489.0</v>
      </c>
      <c r="B492" s="11"/>
      <c r="C492" s="114"/>
      <c r="D492" s="11"/>
      <c r="E492" s="11"/>
      <c r="F492" s="11"/>
      <c r="G492" s="11"/>
      <c r="H492" s="115"/>
      <c r="I492" s="116"/>
      <c r="J492" s="116"/>
      <c r="K492" s="115"/>
      <c r="L492" s="11"/>
      <c r="M492" s="11"/>
    </row>
    <row r="493" ht="15.75" customHeight="1">
      <c r="A493" s="11">
        <v>490.0</v>
      </c>
      <c r="B493" s="11"/>
      <c r="C493" s="114"/>
      <c r="D493" s="11"/>
      <c r="E493" s="11"/>
      <c r="F493" s="11"/>
      <c r="G493" s="11"/>
      <c r="H493" s="115"/>
      <c r="I493" s="116"/>
      <c r="J493" s="116"/>
      <c r="K493" s="115"/>
      <c r="L493" s="11"/>
      <c r="M493" s="126"/>
    </row>
    <row r="494" ht="15.75" customHeight="1">
      <c r="A494" s="11">
        <v>491.0</v>
      </c>
      <c r="B494" s="11"/>
      <c r="C494" s="114"/>
      <c r="D494" s="11"/>
      <c r="E494" s="11"/>
      <c r="F494" s="11"/>
      <c r="G494" s="11"/>
      <c r="H494" s="115"/>
      <c r="I494" s="116"/>
      <c r="J494" s="116"/>
      <c r="K494" s="115"/>
      <c r="L494" s="11"/>
      <c r="M494" s="11"/>
    </row>
    <row r="495" ht="15.75" customHeight="1">
      <c r="A495" s="11">
        <v>492.0</v>
      </c>
      <c r="B495" s="11"/>
      <c r="C495" s="114"/>
      <c r="D495" s="11"/>
      <c r="E495" s="11"/>
      <c r="F495" s="11"/>
      <c r="G495" s="11"/>
      <c r="H495" s="115"/>
      <c r="I495" s="116"/>
      <c r="J495" s="116"/>
      <c r="K495" s="115"/>
      <c r="L495" s="11"/>
      <c r="M495" s="126"/>
    </row>
    <row r="496" ht="15.75" customHeight="1">
      <c r="A496" s="11">
        <v>493.0</v>
      </c>
      <c r="B496" s="11"/>
      <c r="C496" s="114"/>
      <c r="D496" s="11"/>
      <c r="E496" s="11"/>
      <c r="F496" s="11"/>
      <c r="G496" s="11"/>
      <c r="H496" s="115"/>
      <c r="I496" s="116"/>
      <c r="J496" s="116"/>
      <c r="K496" s="115"/>
      <c r="L496" s="11"/>
      <c r="M496" s="11"/>
    </row>
    <row r="497" ht="15.75" customHeight="1">
      <c r="A497" s="11">
        <v>494.0</v>
      </c>
      <c r="B497" s="11"/>
      <c r="C497" s="114"/>
      <c r="D497" s="11"/>
      <c r="E497" s="11"/>
      <c r="F497" s="11"/>
      <c r="G497" s="11"/>
      <c r="H497" s="115"/>
      <c r="I497" s="116"/>
      <c r="J497" s="116"/>
      <c r="K497" s="115"/>
      <c r="L497" s="11"/>
      <c r="M497" s="126"/>
    </row>
    <row r="498" ht="15.75" customHeight="1">
      <c r="A498" s="11">
        <v>495.0</v>
      </c>
      <c r="B498" s="11"/>
      <c r="C498" s="114"/>
      <c r="D498" s="11"/>
      <c r="E498" s="11"/>
      <c r="F498" s="11"/>
      <c r="G498" s="11"/>
      <c r="H498" s="115"/>
      <c r="I498" s="116"/>
      <c r="J498" s="116"/>
      <c r="K498" s="115"/>
      <c r="L498" s="11"/>
      <c r="M498" s="126"/>
    </row>
    <row r="499" ht="15.75" customHeight="1">
      <c r="A499" s="11">
        <v>496.0</v>
      </c>
      <c r="B499" s="11"/>
      <c r="C499" s="114"/>
      <c r="D499" s="11"/>
      <c r="E499" s="11"/>
      <c r="F499" s="11"/>
      <c r="G499" s="11"/>
      <c r="H499" s="115"/>
      <c r="I499" s="116"/>
      <c r="J499" s="116"/>
      <c r="K499" s="115"/>
      <c r="L499" s="11"/>
      <c r="M499" s="11"/>
    </row>
    <row r="500" ht="15.75" customHeight="1">
      <c r="A500" s="11">
        <v>497.0</v>
      </c>
      <c r="B500" s="11"/>
      <c r="C500" s="114"/>
      <c r="D500" s="11"/>
      <c r="E500" s="11"/>
      <c r="F500" s="11"/>
      <c r="G500" s="11"/>
      <c r="H500" s="115"/>
      <c r="I500" s="116"/>
      <c r="J500" s="116"/>
      <c r="K500" s="115"/>
      <c r="L500" s="11"/>
      <c r="M500" s="126"/>
    </row>
    <row r="501" ht="15.75" customHeight="1">
      <c r="A501" s="11">
        <v>498.0</v>
      </c>
      <c r="B501" s="11"/>
      <c r="C501" s="114"/>
      <c r="D501" s="11"/>
      <c r="E501" s="11"/>
      <c r="F501" s="11"/>
      <c r="G501" s="11"/>
      <c r="H501" s="115"/>
      <c r="I501" s="116"/>
      <c r="J501" s="116"/>
      <c r="K501" s="115"/>
      <c r="L501" s="11"/>
      <c r="M501" s="11"/>
    </row>
    <row r="502" ht="15.75" customHeight="1">
      <c r="A502" s="11">
        <v>499.0</v>
      </c>
      <c r="B502" s="11"/>
      <c r="C502" s="114"/>
      <c r="D502" s="11"/>
      <c r="E502" s="11"/>
      <c r="F502" s="11"/>
      <c r="G502" s="11"/>
      <c r="H502" s="115"/>
      <c r="I502" s="116"/>
      <c r="J502" s="116"/>
      <c r="K502" s="115"/>
      <c r="L502" s="11"/>
      <c r="M502" s="126"/>
    </row>
    <row r="503" ht="15.75" customHeight="1">
      <c r="A503" s="11">
        <v>500.0</v>
      </c>
      <c r="B503" s="11"/>
      <c r="C503" s="114"/>
      <c r="D503" s="11"/>
      <c r="E503" s="11"/>
      <c r="F503" s="11"/>
      <c r="G503" s="11"/>
      <c r="H503" s="115"/>
      <c r="I503" s="116"/>
      <c r="J503" s="116"/>
      <c r="K503" s="115"/>
      <c r="L503" s="11"/>
      <c r="M503" s="11"/>
    </row>
    <row r="504" ht="15.75" customHeight="1">
      <c r="A504" s="11">
        <v>501.0</v>
      </c>
      <c r="B504" s="11"/>
      <c r="C504" s="114"/>
      <c r="D504" s="11"/>
      <c r="E504" s="11"/>
      <c r="F504" s="11"/>
      <c r="G504" s="11"/>
      <c r="H504" s="115"/>
      <c r="I504" s="116"/>
      <c r="J504" s="116"/>
      <c r="K504" s="115"/>
      <c r="L504" s="11"/>
      <c r="M504" s="126"/>
    </row>
    <row r="505" ht="15.75" customHeight="1">
      <c r="A505" s="11">
        <v>502.0</v>
      </c>
      <c r="B505" s="11"/>
      <c r="C505" s="114"/>
      <c r="D505" s="11"/>
      <c r="E505" s="11"/>
      <c r="F505" s="11"/>
      <c r="G505" s="11"/>
      <c r="H505" s="115"/>
      <c r="I505" s="116"/>
      <c r="J505" s="116"/>
      <c r="K505" s="115"/>
      <c r="L505" s="11"/>
      <c r="M505" s="126"/>
    </row>
    <row r="506" ht="15.75" customHeight="1">
      <c r="A506" s="11">
        <v>503.0</v>
      </c>
      <c r="B506" s="11"/>
      <c r="C506" s="114"/>
      <c r="D506" s="11"/>
      <c r="E506" s="11"/>
      <c r="F506" s="11"/>
      <c r="G506" s="11"/>
      <c r="H506" s="115"/>
      <c r="I506" s="116"/>
      <c r="J506" s="116"/>
      <c r="K506" s="115"/>
      <c r="L506" s="11"/>
      <c r="M506" s="11"/>
    </row>
    <row r="507" ht="15.75" customHeight="1">
      <c r="A507" s="11">
        <v>504.0</v>
      </c>
      <c r="B507" s="11"/>
      <c r="C507" s="114"/>
      <c r="D507" s="11"/>
      <c r="E507" s="11"/>
      <c r="F507" s="11"/>
      <c r="G507" s="11"/>
      <c r="H507" s="115"/>
      <c r="I507" s="116"/>
      <c r="J507" s="116"/>
      <c r="K507" s="115"/>
      <c r="L507" s="11"/>
      <c r="M507" s="126"/>
    </row>
    <row r="508" ht="15.75" customHeight="1">
      <c r="A508" s="11">
        <v>505.0</v>
      </c>
      <c r="B508" s="11"/>
      <c r="C508" s="114"/>
      <c r="D508" s="11"/>
      <c r="E508" s="11"/>
      <c r="F508" s="11"/>
      <c r="G508" s="11"/>
      <c r="H508" s="115"/>
      <c r="I508" s="116"/>
      <c r="J508" s="116"/>
      <c r="K508" s="115"/>
      <c r="L508" s="11"/>
      <c r="M508" s="11"/>
    </row>
    <row r="509" ht="15.75" customHeight="1">
      <c r="A509" s="11">
        <v>506.0</v>
      </c>
      <c r="B509" s="11"/>
      <c r="C509" s="114"/>
      <c r="D509" s="11"/>
      <c r="E509" s="11"/>
      <c r="F509" s="11"/>
      <c r="G509" s="11"/>
      <c r="H509" s="115"/>
      <c r="I509" s="116"/>
      <c r="J509" s="116"/>
      <c r="K509" s="115"/>
      <c r="L509" s="11"/>
      <c r="M509" s="126"/>
    </row>
    <row r="510" ht="15.75" customHeight="1">
      <c r="A510" s="11">
        <v>507.0</v>
      </c>
      <c r="B510" s="11"/>
      <c r="C510" s="114"/>
      <c r="D510" s="11"/>
      <c r="E510" s="11"/>
      <c r="F510" s="11"/>
      <c r="G510" s="11"/>
      <c r="H510" s="115"/>
      <c r="I510" s="116"/>
      <c r="J510" s="116"/>
      <c r="K510" s="115"/>
      <c r="L510" s="11"/>
      <c r="M510" s="126"/>
    </row>
    <row r="511" ht="15.75" customHeight="1">
      <c r="A511" s="11">
        <v>508.0</v>
      </c>
      <c r="B511" s="11"/>
      <c r="C511" s="114"/>
      <c r="D511" s="11"/>
      <c r="E511" s="11"/>
      <c r="F511" s="11"/>
      <c r="G511" s="11"/>
      <c r="H511" s="115"/>
      <c r="I511" s="116"/>
      <c r="J511" s="116"/>
      <c r="K511" s="115"/>
      <c r="L511" s="11"/>
      <c r="M511" s="11"/>
    </row>
    <row r="512" ht="15.75" customHeight="1">
      <c r="A512" s="11">
        <v>509.0</v>
      </c>
      <c r="B512" s="11"/>
      <c r="C512" s="114"/>
      <c r="D512" s="11"/>
      <c r="E512" s="11"/>
      <c r="F512" s="11"/>
      <c r="G512" s="11"/>
      <c r="H512" s="115"/>
      <c r="I512" s="116"/>
      <c r="J512" s="116"/>
      <c r="K512" s="115"/>
      <c r="L512" s="11"/>
      <c r="M512" s="126"/>
    </row>
    <row r="513" ht="15.75" customHeight="1">
      <c r="A513" s="11">
        <v>510.0</v>
      </c>
      <c r="B513" s="11"/>
      <c r="C513" s="114"/>
      <c r="D513" s="11"/>
      <c r="E513" s="11"/>
      <c r="F513" s="11"/>
      <c r="G513" s="11"/>
      <c r="H513" s="115"/>
      <c r="I513" s="116"/>
      <c r="J513" s="116"/>
      <c r="K513" s="115"/>
      <c r="L513" s="11"/>
      <c r="M513" s="11"/>
    </row>
    <row r="514" ht="15.75" customHeight="1">
      <c r="A514" s="11">
        <v>511.0</v>
      </c>
      <c r="B514" s="11"/>
      <c r="C514" s="114"/>
      <c r="D514" s="11"/>
      <c r="E514" s="11"/>
      <c r="F514" s="11"/>
      <c r="G514" s="11"/>
      <c r="H514" s="115"/>
      <c r="I514" s="116"/>
      <c r="J514" s="116"/>
      <c r="K514" s="115"/>
      <c r="L514" s="11"/>
      <c r="M514" s="126"/>
    </row>
    <row r="515" ht="15.75" customHeight="1">
      <c r="A515" s="11">
        <v>512.0</v>
      </c>
      <c r="B515" s="11"/>
      <c r="C515" s="114"/>
      <c r="D515" s="11"/>
      <c r="E515" s="11"/>
      <c r="F515" s="11"/>
      <c r="G515" s="11"/>
      <c r="H515" s="115"/>
      <c r="I515" s="116"/>
      <c r="J515" s="116"/>
      <c r="K515" s="115"/>
      <c r="L515" s="11"/>
      <c r="M515" s="11"/>
    </row>
    <row r="516" ht="15.75" customHeight="1">
      <c r="A516" s="11">
        <v>513.0</v>
      </c>
      <c r="B516" s="11"/>
      <c r="C516" s="114"/>
      <c r="D516" s="11"/>
      <c r="E516" s="11"/>
      <c r="F516" s="11"/>
      <c r="G516" s="11"/>
      <c r="H516" s="115"/>
      <c r="I516" s="116"/>
      <c r="J516" s="116"/>
      <c r="K516" s="115"/>
      <c r="L516" s="11"/>
      <c r="M516" s="126"/>
    </row>
    <row r="517" ht="15.75" customHeight="1">
      <c r="A517" s="11">
        <v>514.0</v>
      </c>
      <c r="B517" s="11"/>
      <c r="C517" s="114"/>
      <c r="D517" s="11"/>
      <c r="E517" s="11"/>
      <c r="F517" s="11"/>
      <c r="G517" s="11"/>
      <c r="H517" s="115"/>
      <c r="I517" s="116"/>
      <c r="J517" s="116"/>
      <c r="K517" s="115"/>
      <c r="L517" s="11"/>
      <c r="M517" s="11"/>
    </row>
    <row r="518" ht="15.75" customHeight="1">
      <c r="A518" s="11">
        <v>515.0</v>
      </c>
      <c r="B518" s="11"/>
      <c r="C518" s="114"/>
      <c r="D518" s="11"/>
      <c r="E518" s="11"/>
      <c r="F518" s="11"/>
      <c r="G518" s="11"/>
      <c r="H518" s="115"/>
      <c r="I518" s="116"/>
      <c r="J518" s="116"/>
      <c r="K518" s="115"/>
      <c r="L518" s="11"/>
      <c r="M518" s="126"/>
    </row>
    <row r="519" ht="15.75" customHeight="1">
      <c r="A519" s="11">
        <v>516.0</v>
      </c>
      <c r="B519" s="11"/>
      <c r="C519" s="114"/>
      <c r="D519" s="11"/>
      <c r="E519" s="11"/>
      <c r="F519" s="11"/>
      <c r="G519" s="11"/>
      <c r="H519" s="115"/>
      <c r="I519" s="116"/>
      <c r="J519" s="116"/>
      <c r="K519" s="115"/>
      <c r="L519" s="11"/>
      <c r="M519" s="11"/>
    </row>
    <row r="520" ht="15.75" customHeight="1">
      <c r="A520" s="11">
        <v>517.0</v>
      </c>
      <c r="B520" s="11"/>
      <c r="C520" s="114"/>
      <c r="D520" s="11"/>
      <c r="E520" s="11"/>
      <c r="F520" s="11"/>
      <c r="G520" s="11"/>
      <c r="H520" s="115"/>
      <c r="I520" s="116"/>
      <c r="J520" s="116"/>
      <c r="K520" s="115"/>
      <c r="L520" s="11"/>
      <c r="M520" s="126"/>
    </row>
    <row r="521" ht="15.75" customHeight="1">
      <c r="A521" s="11">
        <v>518.0</v>
      </c>
      <c r="B521" s="11"/>
      <c r="C521" s="114"/>
      <c r="D521" s="11"/>
      <c r="E521" s="11"/>
      <c r="F521" s="11"/>
      <c r="G521" s="11"/>
      <c r="H521" s="115"/>
      <c r="I521" s="116"/>
      <c r="J521" s="116"/>
      <c r="K521" s="115"/>
      <c r="L521" s="11"/>
      <c r="M521" s="126"/>
    </row>
    <row r="522" ht="15.75" customHeight="1">
      <c r="A522" s="11">
        <v>519.0</v>
      </c>
      <c r="B522" s="11"/>
      <c r="C522" s="114"/>
      <c r="D522" s="127"/>
      <c r="E522" s="11"/>
      <c r="F522" s="127"/>
      <c r="G522" s="127"/>
      <c r="H522" s="115"/>
      <c r="I522" s="116"/>
      <c r="J522" s="116"/>
      <c r="K522" s="115"/>
      <c r="L522" s="11"/>
      <c r="M522" s="126"/>
      <c r="N522" s="77"/>
    </row>
    <row r="523" ht="15.75" customHeight="1">
      <c r="A523" s="11">
        <v>520.0</v>
      </c>
      <c r="B523" s="11"/>
      <c r="C523" s="114"/>
      <c r="D523" s="127"/>
      <c r="E523" s="11"/>
      <c r="F523" s="127"/>
      <c r="G523" s="127"/>
      <c r="H523" s="115"/>
      <c r="I523" s="116"/>
      <c r="J523" s="116"/>
      <c r="K523" s="115"/>
      <c r="L523" s="11"/>
      <c r="M523" s="126"/>
      <c r="N523" s="77"/>
    </row>
    <row r="524" ht="15.75" customHeight="1">
      <c r="A524" s="11">
        <v>521.0</v>
      </c>
      <c r="B524" s="11"/>
      <c r="C524" s="114"/>
      <c r="D524" s="127"/>
      <c r="E524" s="11"/>
      <c r="F524" s="127"/>
      <c r="G524" s="127"/>
      <c r="H524" s="115"/>
      <c r="I524" s="116"/>
      <c r="J524" s="116"/>
      <c r="K524" s="115"/>
      <c r="L524" s="11"/>
      <c r="M524" s="126"/>
      <c r="N524" s="77"/>
    </row>
    <row r="525" ht="15.75" customHeight="1">
      <c r="A525" s="11">
        <v>522.0</v>
      </c>
      <c r="B525" s="11"/>
      <c r="C525" s="114"/>
      <c r="D525" s="127"/>
      <c r="E525" s="11"/>
      <c r="F525" s="127"/>
      <c r="G525" s="127"/>
      <c r="H525" s="115"/>
      <c r="I525" s="116"/>
      <c r="J525" s="116"/>
      <c r="K525" s="115"/>
      <c r="L525" s="11"/>
      <c r="M525" s="126"/>
      <c r="N525" s="77"/>
    </row>
    <row r="526" ht="15.75" customHeight="1">
      <c r="A526" s="11">
        <v>523.0</v>
      </c>
      <c r="B526" s="11"/>
      <c r="C526" s="114"/>
      <c r="D526" s="127"/>
      <c r="E526" s="11"/>
      <c r="F526" s="127"/>
      <c r="G526" s="127"/>
      <c r="H526" s="115"/>
      <c r="I526" s="116"/>
      <c r="J526" s="116"/>
      <c r="K526" s="115"/>
      <c r="L526" s="11"/>
      <c r="M526" s="126"/>
      <c r="N526" s="77"/>
    </row>
    <row r="527" ht="15.75" customHeight="1">
      <c r="A527" s="11">
        <v>524.0</v>
      </c>
      <c r="B527" s="11"/>
      <c r="C527" s="114"/>
      <c r="D527" s="127"/>
      <c r="E527" s="11"/>
      <c r="F527" s="127"/>
      <c r="G527" s="127"/>
      <c r="H527" s="115"/>
      <c r="I527" s="116"/>
      <c r="J527" s="116"/>
      <c r="K527" s="115"/>
      <c r="L527" s="11"/>
      <c r="M527" s="126"/>
      <c r="N527" s="77"/>
    </row>
    <row r="528" ht="15.75" customHeight="1">
      <c r="A528" s="11">
        <v>525.0</v>
      </c>
      <c r="B528" s="11"/>
      <c r="C528" s="114"/>
      <c r="D528" s="127"/>
      <c r="E528" s="11"/>
      <c r="F528" s="127"/>
      <c r="G528" s="127"/>
      <c r="H528" s="115"/>
      <c r="I528" s="116"/>
      <c r="J528" s="116"/>
      <c r="K528" s="115"/>
      <c r="L528" s="11"/>
      <c r="M528" s="126"/>
      <c r="N528" s="77"/>
    </row>
    <row r="529" ht="15.75" customHeight="1">
      <c r="A529" s="11">
        <v>526.0</v>
      </c>
      <c r="B529" s="11"/>
      <c r="C529" s="114"/>
      <c r="D529" s="127"/>
      <c r="E529" s="11"/>
      <c r="F529" s="127"/>
      <c r="G529" s="127"/>
      <c r="H529" s="115"/>
      <c r="I529" s="116"/>
      <c r="J529" s="116"/>
      <c r="K529" s="115"/>
      <c r="L529" s="11"/>
      <c r="M529" s="126"/>
      <c r="N529" s="77"/>
    </row>
    <row r="530" ht="15.75" customHeight="1">
      <c r="A530" s="11">
        <v>527.0</v>
      </c>
      <c r="B530" s="11"/>
      <c r="C530" s="114"/>
      <c r="D530" s="127"/>
      <c r="E530" s="11"/>
      <c r="F530" s="127"/>
      <c r="G530" s="127"/>
      <c r="H530" s="115"/>
      <c r="I530" s="116"/>
      <c r="J530" s="116"/>
      <c r="K530" s="115"/>
      <c r="L530" s="11"/>
      <c r="M530" s="126"/>
      <c r="N530" s="77"/>
    </row>
    <row r="531" ht="15.75" customHeight="1">
      <c r="A531" s="11">
        <v>528.0</v>
      </c>
      <c r="B531" s="11"/>
      <c r="C531" s="114"/>
      <c r="D531" s="127"/>
      <c r="E531" s="11"/>
      <c r="F531" s="127"/>
      <c r="G531" s="127"/>
      <c r="H531" s="115"/>
      <c r="I531" s="116"/>
      <c r="J531" s="116"/>
      <c r="K531" s="115"/>
      <c r="L531" s="11"/>
      <c r="M531" s="126"/>
      <c r="N531" s="77"/>
    </row>
    <row r="532" ht="15.75" customHeight="1">
      <c r="A532" s="11">
        <v>529.0</v>
      </c>
      <c r="B532" s="11"/>
      <c r="C532" s="114"/>
      <c r="D532" s="127"/>
      <c r="E532" s="11"/>
      <c r="F532" s="127"/>
      <c r="G532" s="127"/>
      <c r="H532" s="115"/>
      <c r="I532" s="116"/>
      <c r="J532" s="116"/>
      <c r="K532" s="115"/>
      <c r="L532" s="11"/>
      <c r="M532" s="126"/>
      <c r="N532" s="77"/>
    </row>
    <row r="533" ht="15.75" customHeight="1">
      <c r="A533" s="11">
        <v>530.0</v>
      </c>
      <c r="B533" s="11"/>
      <c r="C533" s="114"/>
      <c r="D533" s="127"/>
      <c r="E533" s="11"/>
      <c r="F533" s="127"/>
      <c r="G533" s="127"/>
      <c r="H533" s="115"/>
      <c r="I533" s="116"/>
      <c r="J533" s="116"/>
      <c r="K533" s="115"/>
      <c r="L533" s="11"/>
      <c r="M533" s="126"/>
      <c r="N533" s="77"/>
    </row>
    <row r="534" ht="15.75" customHeight="1">
      <c r="A534" s="11">
        <v>531.0</v>
      </c>
      <c r="B534" s="11"/>
      <c r="C534" s="114"/>
      <c r="D534" s="127"/>
      <c r="E534" s="11"/>
      <c r="F534" s="127"/>
      <c r="G534" s="127"/>
      <c r="H534" s="115"/>
      <c r="I534" s="116"/>
      <c r="J534" s="116"/>
      <c r="K534" s="115"/>
      <c r="L534" s="11"/>
      <c r="M534" s="126"/>
      <c r="N534" s="77"/>
    </row>
    <row r="535" ht="15.75" customHeight="1">
      <c r="A535" s="11">
        <v>532.0</v>
      </c>
      <c r="B535" s="11"/>
      <c r="C535" s="114"/>
      <c r="D535" s="127"/>
      <c r="E535" s="11"/>
      <c r="F535" s="127"/>
      <c r="G535" s="127"/>
      <c r="H535" s="115"/>
      <c r="I535" s="116"/>
      <c r="J535" s="116"/>
      <c r="K535" s="115"/>
      <c r="L535" s="11"/>
      <c r="M535" s="126"/>
    </row>
    <row r="536" ht="15.75" customHeight="1">
      <c r="A536" s="11">
        <v>533.0</v>
      </c>
      <c r="B536" s="11"/>
      <c r="C536" s="114"/>
      <c r="D536" s="127"/>
      <c r="E536" s="11"/>
      <c r="F536" s="127"/>
      <c r="G536" s="127"/>
      <c r="H536" s="115"/>
      <c r="I536" s="116"/>
      <c r="J536" s="116"/>
      <c r="K536" s="115"/>
      <c r="L536" s="11"/>
      <c r="M536" s="126"/>
    </row>
    <row r="537" ht="15.75" customHeight="1">
      <c r="A537" s="11">
        <v>534.0</v>
      </c>
      <c r="B537" s="11"/>
      <c r="C537" s="114"/>
      <c r="D537" s="127"/>
      <c r="E537" s="11"/>
      <c r="F537" s="127"/>
      <c r="G537" s="127"/>
      <c r="H537" s="115"/>
      <c r="I537" s="116"/>
      <c r="J537" s="116"/>
      <c r="K537" s="115"/>
      <c r="L537" s="11"/>
      <c r="M537" s="126"/>
    </row>
    <row r="538" ht="15.75" customHeight="1">
      <c r="A538" s="11">
        <v>535.0</v>
      </c>
      <c r="B538" s="11"/>
      <c r="C538" s="114"/>
      <c r="D538" s="127"/>
      <c r="E538" s="11"/>
      <c r="F538" s="127"/>
      <c r="G538" s="127"/>
      <c r="H538" s="115"/>
      <c r="I538" s="116"/>
      <c r="J538" s="116"/>
      <c r="K538" s="115"/>
      <c r="L538" s="11"/>
      <c r="M538" s="126"/>
    </row>
    <row r="539" ht="15.75" customHeight="1">
      <c r="A539" s="11">
        <v>536.0</v>
      </c>
      <c r="B539" s="11"/>
      <c r="C539" s="114"/>
      <c r="D539" s="127"/>
      <c r="E539" s="11"/>
      <c r="F539" s="127"/>
      <c r="G539" s="127"/>
      <c r="H539" s="115"/>
      <c r="I539" s="116"/>
      <c r="J539" s="116"/>
      <c r="K539" s="115"/>
      <c r="L539" s="11"/>
      <c r="M539" s="126"/>
    </row>
    <row r="540" ht="15.75" customHeight="1">
      <c r="A540" s="11">
        <v>537.0</v>
      </c>
      <c r="B540" s="11"/>
      <c r="C540" s="114"/>
      <c r="D540" s="127"/>
      <c r="E540" s="11"/>
      <c r="F540" s="127"/>
      <c r="G540" s="127"/>
      <c r="H540" s="115"/>
      <c r="I540" s="116"/>
      <c r="J540" s="116"/>
      <c r="K540" s="115"/>
      <c r="L540" s="11"/>
      <c r="M540" s="126"/>
    </row>
    <row r="541" ht="15.75" customHeight="1">
      <c r="A541" s="11">
        <v>538.0</v>
      </c>
      <c r="B541" s="11"/>
      <c r="C541" s="114"/>
      <c r="D541" s="127"/>
      <c r="E541" s="11"/>
      <c r="F541" s="127"/>
      <c r="G541" s="127"/>
      <c r="H541" s="115"/>
      <c r="I541" s="116"/>
      <c r="J541" s="116"/>
      <c r="K541" s="115"/>
      <c r="L541" s="11"/>
      <c r="M541" s="126"/>
    </row>
    <row r="542" ht="15.75" customHeight="1">
      <c r="A542" s="11">
        <v>539.0</v>
      </c>
      <c r="B542" s="11"/>
      <c r="C542" s="114"/>
      <c r="D542" s="127"/>
      <c r="E542" s="11"/>
      <c r="F542" s="127"/>
      <c r="G542" s="127"/>
      <c r="H542" s="115"/>
      <c r="I542" s="116"/>
      <c r="J542" s="116"/>
      <c r="K542" s="115"/>
      <c r="L542" s="11"/>
      <c r="M542" s="126"/>
    </row>
    <row r="543" ht="15.75" customHeight="1">
      <c r="A543" s="11">
        <v>540.0</v>
      </c>
      <c r="B543" s="11"/>
      <c r="C543" s="114"/>
      <c r="D543" s="127"/>
      <c r="E543" s="11"/>
      <c r="F543" s="127"/>
      <c r="G543" s="127"/>
      <c r="H543" s="115"/>
      <c r="I543" s="116"/>
      <c r="J543" s="116"/>
      <c r="K543" s="115"/>
      <c r="L543" s="11"/>
      <c r="M543" s="126"/>
    </row>
    <row r="544" ht="15.75" customHeight="1">
      <c r="A544" s="11">
        <v>541.0</v>
      </c>
      <c r="B544" s="11"/>
      <c r="C544" s="114"/>
      <c r="D544" s="127"/>
      <c r="E544" s="11"/>
      <c r="F544" s="127"/>
      <c r="G544" s="127"/>
      <c r="H544" s="115"/>
      <c r="I544" s="116"/>
      <c r="J544" s="116"/>
      <c r="K544" s="115"/>
      <c r="L544" s="11"/>
      <c r="M544" s="126"/>
    </row>
    <row r="545" ht="15.75" customHeight="1">
      <c r="A545" s="11">
        <v>542.0</v>
      </c>
      <c r="B545" s="11"/>
      <c r="C545" s="114"/>
      <c r="D545" s="127"/>
      <c r="E545" s="11"/>
      <c r="F545" s="127"/>
      <c r="G545" s="127"/>
      <c r="H545" s="115"/>
      <c r="I545" s="116"/>
      <c r="J545" s="116"/>
      <c r="K545" s="115"/>
      <c r="L545" s="11"/>
      <c r="M545" s="126"/>
    </row>
    <row r="546" ht="15.75" customHeight="1">
      <c r="A546" s="11">
        <v>543.0</v>
      </c>
      <c r="B546" s="11"/>
      <c r="C546" s="114"/>
      <c r="D546" s="127"/>
      <c r="E546" s="11"/>
      <c r="F546" s="127"/>
      <c r="G546" s="127"/>
      <c r="H546" s="115"/>
      <c r="I546" s="116"/>
      <c r="J546" s="116"/>
      <c r="K546" s="115"/>
      <c r="L546" s="11"/>
      <c r="M546" s="126"/>
    </row>
    <row r="547" ht="15.75" customHeight="1">
      <c r="A547" s="11">
        <v>544.0</v>
      </c>
      <c r="B547" s="11"/>
      <c r="C547" s="114"/>
      <c r="D547" s="127"/>
      <c r="E547" s="11"/>
      <c r="F547" s="127"/>
      <c r="G547" s="127"/>
      <c r="H547" s="115"/>
      <c r="I547" s="116"/>
      <c r="J547" s="116"/>
      <c r="K547" s="115"/>
      <c r="L547" s="11"/>
      <c r="M547" s="126"/>
    </row>
    <row r="548" ht="15.75" customHeight="1">
      <c r="A548" s="11">
        <v>545.0</v>
      </c>
      <c r="B548" s="11"/>
      <c r="C548" s="114"/>
      <c r="D548" s="127"/>
      <c r="E548" s="11"/>
      <c r="F548" s="127"/>
      <c r="G548" s="127"/>
      <c r="H548" s="115"/>
      <c r="I548" s="116"/>
      <c r="J548" s="116"/>
      <c r="K548" s="115"/>
      <c r="L548" s="11"/>
      <c r="M548" s="126"/>
    </row>
    <row r="549" ht="15.75" customHeight="1">
      <c r="A549" s="11">
        <v>546.0</v>
      </c>
      <c r="B549" s="11"/>
      <c r="C549" s="114"/>
      <c r="D549" s="127"/>
      <c r="E549" s="11"/>
      <c r="F549" s="127"/>
      <c r="G549" s="127"/>
      <c r="H549" s="115"/>
      <c r="I549" s="116"/>
      <c r="J549" s="116"/>
      <c r="K549" s="115"/>
      <c r="L549" s="11"/>
      <c r="M549" s="126"/>
    </row>
    <row r="550" ht="15.75" customHeight="1">
      <c r="A550" s="11">
        <v>547.0</v>
      </c>
      <c r="B550" s="11"/>
      <c r="C550" s="114"/>
      <c r="D550" s="127"/>
      <c r="E550" s="11"/>
      <c r="F550" s="127"/>
      <c r="G550" s="127"/>
      <c r="H550" s="115"/>
      <c r="I550" s="116"/>
      <c r="J550" s="116"/>
      <c r="K550" s="115"/>
      <c r="L550" s="11"/>
      <c r="M550" s="126"/>
    </row>
    <row r="551" ht="15.75" customHeight="1">
      <c r="A551" s="11">
        <v>548.0</v>
      </c>
      <c r="B551" s="11"/>
      <c r="C551" s="114"/>
      <c r="D551" s="127"/>
      <c r="E551" s="11"/>
      <c r="F551" s="127"/>
      <c r="G551" s="127"/>
      <c r="H551" s="115"/>
      <c r="I551" s="116"/>
      <c r="J551" s="116"/>
      <c r="K551" s="115"/>
      <c r="L551" s="11"/>
      <c r="M551" s="126"/>
    </row>
    <row r="552" ht="15.75" customHeight="1">
      <c r="A552" s="11">
        <v>549.0</v>
      </c>
      <c r="B552" s="11"/>
      <c r="C552" s="114"/>
      <c r="D552" s="127"/>
      <c r="E552" s="11"/>
      <c r="F552" s="127"/>
      <c r="G552" s="127"/>
      <c r="H552" s="115"/>
      <c r="I552" s="116"/>
      <c r="J552" s="116"/>
      <c r="K552" s="115"/>
      <c r="L552" s="11"/>
      <c r="M552" s="126"/>
    </row>
    <row r="553" ht="15.75" customHeight="1">
      <c r="A553" s="11">
        <v>550.0</v>
      </c>
      <c r="B553" s="11"/>
      <c r="C553" s="114"/>
      <c r="D553" s="127"/>
      <c r="E553" s="11"/>
      <c r="F553" s="127"/>
      <c r="G553" s="127"/>
      <c r="H553" s="115"/>
      <c r="I553" s="116"/>
      <c r="J553" s="116"/>
      <c r="K553" s="115"/>
      <c r="L553" s="11"/>
      <c r="M553" s="126"/>
    </row>
    <row r="554" ht="15.75" customHeight="1">
      <c r="A554" s="11">
        <v>551.0</v>
      </c>
      <c r="B554" s="11"/>
      <c r="C554" s="114"/>
      <c r="D554" s="127"/>
      <c r="E554" s="11"/>
      <c r="F554" s="127"/>
      <c r="G554" s="127"/>
      <c r="H554" s="115"/>
      <c r="I554" s="116"/>
      <c r="J554" s="116"/>
      <c r="K554" s="115"/>
      <c r="L554" s="11"/>
      <c r="M554" s="126"/>
    </row>
    <row r="555" ht="15.75" customHeight="1">
      <c r="A555" s="11">
        <v>552.0</v>
      </c>
      <c r="B555" s="11"/>
      <c r="C555" s="114"/>
      <c r="D555" s="127"/>
      <c r="E555" s="11"/>
      <c r="F555" s="127"/>
      <c r="G555" s="127"/>
      <c r="H555" s="115"/>
      <c r="I555" s="116"/>
      <c r="J555" s="116"/>
      <c r="K555" s="115"/>
      <c r="L555" s="11"/>
      <c r="M555" s="126"/>
    </row>
    <row r="556" ht="15.75" customHeight="1">
      <c r="A556" s="11">
        <v>553.0</v>
      </c>
      <c r="B556" s="11"/>
      <c r="C556" s="114"/>
      <c r="D556" s="127"/>
      <c r="E556" s="11"/>
      <c r="F556" s="127"/>
      <c r="G556" s="127"/>
      <c r="H556" s="115"/>
      <c r="I556" s="116"/>
      <c r="J556" s="116"/>
      <c r="K556" s="115"/>
      <c r="L556" s="11"/>
      <c r="M556" s="126"/>
    </row>
    <row r="557" ht="15.75" customHeight="1">
      <c r="A557" s="11">
        <v>554.0</v>
      </c>
      <c r="B557" s="11"/>
      <c r="C557" s="114"/>
      <c r="D557" s="127"/>
      <c r="E557" s="11"/>
      <c r="F557" s="127"/>
      <c r="G557" s="127"/>
      <c r="H557" s="115"/>
      <c r="I557" s="116"/>
      <c r="J557" s="116"/>
      <c r="K557" s="115"/>
      <c r="L557" s="11"/>
      <c r="M557" s="126"/>
    </row>
    <row r="558" ht="15.75" customHeight="1">
      <c r="A558" s="11">
        <v>555.0</v>
      </c>
      <c r="B558" s="11"/>
      <c r="C558" s="114"/>
      <c r="D558" s="127"/>
      <c r="E558" s="11"/>
      <c r="F558" s="127"/>
      <c r="G558" s="127"/>
      <c r="H558" s="115"/>
      <c r="I558" s="116"/>
      <c r="J558" s="116"/>
      <c r="K558" s="115"/>
      <c r="L558" s="11"/>
      <c r="M558" s="126"/>
    </row>
    <row r="559" ht="15.75" customHeight="1">
      <c r="A559" s="11">
        <v>556.0</v>
      </c>
      <c r="B559" s="11"/>
      <c r="C559" s="114"/>
      <c r="D559" s="127"/>
      <c r="E559" s="11"/>
      <c r="F559" s="127"/>
      <c r="G559" s="127"/>
      <c r="H559" s="115"/>
      <c r="I559" s="116"/>
      <c r="J559" s="116"/>
      <c r="K559" s="115"/>
      <c r="L559" s="11"/>
      <c r="M559" s="126"/>
    </row>
    <row r="560" ht="15.75" customHeight="1">
      <c r="A560" s="11">
        <v>557.0</v>
      </c>
      <c r="B560" s="11"/>
      <c r="C560" s="114"/>
      <c r="D560" s="127"/>
      <c r="E560" s="11"/>
      <c r="F560" s="127"/>
      <c r="G560" s="127"/>
      <c r="H560" s="115"/>
      <c r="I560" s="116"/>
      <c r="J560" s="116"/>
      <c r="K560" s="115"/>
      <c r="L560" s="11"/>
      <c r="M560" s="126"/>
    </row>
    <row r="561" ht="15.75" customHeight="1">
      <c r="A561" s="11">
        <v>558.0</v>
      </c>
      <c r="B561" s="11"/>
      <c r="C561" s="114"/>
      <c r="D561" s="127"/>
      <c r="E561" s="11"/>
      <c r="F561" s="127"/>
      <c r="G561" s="127"/>
      <c r="H561" s="115"/>
      <c r="I561" s="116"/>
      <c r="J561" s="116"/>
      <c r="K561" s="115"/>
      <c r="L561" s="11"/>
      <c r="M561" s="126"/>
    </row>
    <row r="562" ht="15.75" customHeight="1">
      <c r="A562" s="11">
        <v>559.0</v>
      </c>
      <c r="B562" s="11"/>
      <c r="C562" s="114"/>
      <c r="D562" s="127"/>
      <c r="E562" s="11"/>
      <c r="F562" s="127"/>
      <c r="G562" s="127"/>
      <c r="H562" s="115"/>
      <c r="I562" s="116"/>
      <c r="J562" s="116"/>
      <c r="K562" s="115"/>
      <c r="L562" s="11"/>
      <c r="M562" s="126"/>
    </row>
    <row r="563" ht="15.75" customHeight="1">
      <c r="A563" s="11">
        <v>560.0</v>
      </c>
      <c r="B563" s="11"/>
      <c r="C563" s="114"/>
      <c r="D563" s="127"/>
      <c r="E563" s="11"/>
      <c r="F563" s="127"/>
      <c r="G563" s="127"/>
      <c r="H563" s="115"/>
      <c r="I563" s="116"/>
      <c r="J563" s="116"/>
      <c r="K563" s="115"/>
      <c r="L563" s="11"/>
      <c r="M563" s="126"/>
    </row>
    <row r="564" ht="15.75" customHeight="1">
      <c r="A564" s="11">
        <v>561.0</v>
      </c>
      <c r="B564" s="11"/>
      <c r="C564" s="114"/>
      <c r="D564" s="127"/>
      <c r="E564" s="11"/>
      <c r="F564" s="127"/>
      <c r="G564" s="127"/>
      <c r="H564" s="115"/>
      <c r="I564" s="116"/>
      <c r="J564" s="116"/>
      <c r="K564" s="115"/>
      <c r="L564" s="11"/>
      <c r="M564" s="126"/>
    </row>
    <row r="565" ht="15.75" customHeight="1">
      <c r="A565" s="11">
        <v>562.0</v>
      </c>
      <c r="B565" s="11"/>
      <c r="C565" s="114"/>
      <c r="D565" s="127"/>
      <c r="E565" s="11"/>
      <c r="F565" s="127"/>
      <c r="G565" s="127"/>
      <c r="H565" s="115"/>
      <c r="I565" s="116"/>
      <c r="J565" s="116"/>
      <c r="K565" s="115"/>
      <c r="L565" s="11"/>
      <c r="M565" s="126"/>
    </row>
    <row r="566" ht="15.75" customHeight="1">
      <c r="A566" s="11">
        <v>563.0</v>
      </c>
      <c r="B566" s="11"/>
      <c r="C566" s="114"/>
      <c r="D566" s="127"/>
      <c r="E566" s="11"/>
      <c r="F566" s="127"/>
      <c r="G566" s="127"/>
      <c r="H566" s="115"/>
      <c r="I566" s="116"/>
      <c r="J566" s="116"/>
      <c r="K566" s="115"/>
      <c r="L566" s="11"/>
      <c r="M566" s="126"/>
    </row>
    <row r="567" ht="15.75" customHeight="1">
      <c r="B567" s="77"/>
      <c r="C567" s="77"/>
      <c r="D567" s="77"/>
      <c r="E567" s="109"/>
      <c r="F567" s="77"/>
      <c r="G567" s="77"/>
    </row>
    <row r="568" ht="15.75" customHeight="1">
      <c r="B568" s="77"/>
      <c r="C568" s="77"/>
      <c r="D568" s="77"/>
      <c r="E568" s="109"/>
      <c r="F568" s="77"/>
      <c r="G568" s="77"/>
    </row>
    <row r="569" ht="15.75" customHeight="1">
      <c r="B569" s="77"/>
      <c r="C569" s="77"/>
      <c r="D569" s="77"/>
      <c r="E569" s="109"/>
      <c r="F569" s="77"/>
      <c r="G569" s="77"/>
    </row>
    <row r="570" ht="15.75" customHeight="1">
      <c r="B570" s="77"/>
      <c r="C570" s="77"/>
      <c r="D570" s="77"/>
      <c r="E570" s="109"/>
      <c r="F570" s="77"/>
      <c r="G570" s="77"/>
    </row>
    <row r="571" ht="15.75" customHeight="1">
      <c r="B571" s="77"/>
      <c r="C571" s="77"/>
      <c r="D571" s="77"/>
      <c r="E571" s="109"/>
      <c r="F571" s="77"/>
      <c r="G571" s="77"/>
    </row>
    <row r="572" ht="15.75" customHeight="1">
      <c r="B572" s="77"/>
      <c r="C572" s="77"/>
      <c r="D572" s="77"/>
      <c r="E572" s="109"/>
      <c r="F572" s="77"/>
      <c r="G572" s="77"/>
    </row>
    <row r="573" ht="15.75" customHeight="1">
      <c r="B573" s="77"/>
      <c r="C573" s="77"/>
      <c r="D573" s="77"/>
      <c r="E573" s="109"/>
      <c r="F573" s="77"/>
      <c r="G573" s="77"/>
    </row>
    <row r="574" ht="15.75" customHeight="1">
      <c r="B574" s="77"/>
      <c r="C574" s="77"/>
      <c r="D574" s="77"/>
      <c r="E574" s="109"/>
      <c r="F574" s="77"/>
      <c r="G574" s="77"/>
    </row>
    <row r="575" ht="15.75" customHeight="1">
      <c r="B575" s="77"/>
      <c r="C575" s="77"/>
      <c r="D575" s="77"/>
      <c r="E575" s="109"/>
      <c r="F575" s="77"/>
      <c r="G575" s="77"/>
    </row>
    <row r="576" ht="15.75" customHeight="1">
      <c r="B576" s="77"/>
      <c r="C576" s="77"/>
      <c r="D576" s="77"/>
      <c r="E576" s="109"/>
      <c r="F576" s="77"/>
      <c r="G576" s="77"/>
    </row>
    <row r="577" ht="15.75" customHeight="1">
      <c r="B577" s="77"/>
      <c r="C577" s="77"/>
      <c r="D577" s="77"/>
      <c r="E577" s="109"/>
      <c r="F577" s="77"/>
      <c r="G577" s="77"/>
    </row>
    <row r="578" ht="15.75" customHeight="1">
      <c r="B578" s="77"/>
      <c r="C578" s="77"/>
      <c r="D578" s="77"/>
      <c r="E578" s="109"/>
      <c r="F578" s="77"/>
      <c r="G578" s="77"/>
    </row>
    <row r="579" ht="15.75" customHeight="1">
      <c r="B579" s="77"/>
      <c r="C579" s="77"/>
      <c r="D579" s="77"/>
      <c r="E579" s="109"/>
      <c r="F579" s="77"/>
      <c r="G579" s="77"/>
    </row>
    <row r="580" ht="15.75" customHeight="1">
      <c r="B580" s="77"/>
      <c r="C580" s="77"/>
      <c r="D580" s="77"/>
      <c r="E580" s="109"/>
      <c r="F580" s="77"/>
      <c r="G580" s="77"/>
    </row>
    <row r="581" ht="15.75" customHeight="1">
      <c r="B581" s="77"/>
      <c r="C581" s="77"/>
      <c r="D581" s="77"/>
      <c r="E581" s="109"/>
      <c r="F581" s="77"/>
      <c r="G581" s="77"/>
    </row>
    <row r="582" ht="15.75" customHeight="1">
      <c r="B582" s="77"/>
      <c r="C582" s="77"/>
      <c r="D582" s="77"/>
      <c r="E582" s="109"/>
      <c r="F582" s="77"/>
      <c r="G582" s="77"/>
    </row>
    <row r="583" ht="15.75" customHeight="1">
      <c r="B583" s="77"/>
      <c r="C583" s="77"/>
      <c r="D583" s="77"/>
      <c r="E583" s="109"/>
      <c r="F583" s="77"/>
      <c r="G583" s="77"/>
    </row>
    <row r="584" ht="15.75" customHeight="1">
      <c r="B584" s="77"/>
      <c r="C584" s="77"/>
      <c r="D584" s="77"/>
      <c r="E584" s="109"/>
      <c r="F584" s="77"/>
      <c r="G584" s="77"/>
    </row>
    <row r="585" ht="15.75" customHeight="1">
      <c r="B585" s="77"/>
      <c r="C585" s="77"/>
      <c r="D585" s="77"/>
      <c r="E585" s="109"/>
      <c r="F585" s="77"/>
      <c r="G585" s="77"/>
    </row>
    <row r="586" ht="15.75" customHeight="1">
      <c r="B586" s="77"/>
      <c r="C586" s="77"/>
      <c r="D586" s="77"/>
      <c r="E586" s="109"/>
      <c r="F586" s="77"/>
      <c r="G586" s="77"/>
    </row>
    <row r="587" ht="15.75" customHeight="1">
      <c r="B587" s="77"/>
      <c r="C587" s="77"/>
      <c r="D587" s="77"/>
      <c r="E587" s="109"/>
      <c r="F587" s="77"/>
      <c r="G587" s="77"/>
    </row>
    <row r="588" ht="15.75" customHeight="1">
      <c r="B588" s="77"/>
      <c r="C588" s="77"/>
      <c r="D588" s="77"/>
      <c r="E588" s="109"/>
      <c r="F588" s="77"/>
      <c r="G588" s="77"/>
    </row>
    <row r="589" ht="15.75" customHeight="1">
      <c r="B589" s="77"/>
      <c r="C589" s="77"/>
      <c r="D589" s="77"/>
      <c r="E589" s="109"/>
      <c r="F589" s="77"/>
      <c r="G589" s="77"/>
    </row>
    <row r="590" ht="15.75" customHeight="1">
      <c r="B590" s="77"/>
      <c r="C590" s="77"/>
      <c r="D590" s="77"/>
      <c r="E590" s="109"/>
      <c r="F590" s="77"/>
      <c r="G590" s="77"/>
    </row>
    <row r="591" ht="15.75" customHeight="1">
      <c r="B591" s="77"/>
      <c r="C591" s="77"/>
      <c r="D591" s="77"/>
      <c r="E591" s="109"/>
      <c r="F591" s="77"/>
      <c r="G591" s="77"/>
    </row>
    <row r="592" ht="15.75" customHeight="1">
      <c r="B592" s="77"/>
      <c r="C592" s="77"/>
      <c r="D592" s="77"/>
      <c r="E592" s="109"/>
      <c r="F592" s="77"/>
      <c r="G592" s="77"/>
    </row>
    <row r="593" ht="15.75" customHeight="1">
      <c r="B593" s="77"/>
      <c r="C593" s="77"/>
      <c r="D593" s="77"/>
      <c r="E593" s="109"/>
      <c r="F593" s="77"/>
      <c r="G593" s="77"/>
    </row>
    <row r="594" ht="15.75" customHeight="1">
      <c r="B594" s="77"/>
      <c r="C594" s="77"/>
      <c r="D594" s="77"/>
      <c r="E594" s="109"/>
      <c r="F594" s="77"/>
      <c r="G594" s="77"/>
    </row>
    <row r="595" ht="15.75" customHeight="1">
      <c r="B595" s="77"/>
      <c r="C595" s="77"/>
      <c r="D595" s="77"/>
      <c r="E595" s="109"/>
      <c r="F595" s="77"/>
      <c r="G595" s="77"/>
    </row>
    <row r="596" ht="15.75" customHeight="1">
      <c r="B596" s="77"/>
      <c r="C596" s="77"/>
      <c r="D596" s="77"/>
      <c r="E596" s="109"/>
      <c r="F596" s="77"/>
      <c r="G596" s="77"/>
    </row>
    <row r="597" ht="15.75" customHeight="1">
      <c r="B597" s="77"/>
      <c r="C597" s="77"/>
      <c r="D597" s="77"/>
      <c r="E597" s="109"/>
      <c r="F597" s="77"/>
      <c r="G597" s="77"/>
    </row>
    <row r="598" ht="15.75" customHeight="1">
      <c r="B598" s="77"/>
      <c r="C598" s="77"/>
      <c r="D598" s="77"/>
      <c r="E598" s="109"/>
      <c r="F598" s="77"/>
      <c r="G598" s="77"/>
    </row>
    <row r="599" ht="15.75" customHeight="1">
      <c r="B599" s="77"/>
      <c r="C599" s="77"/>
      <c r="D599" s="77"/>
      <c r="E599" s="109"/>
      <c r="F599" s="77"/>
      <c r="G599" s="77"/>
    </row>
    <row r="600" ht="15.75" customHeight="1">
      <c r="B600" s="77"/>
      <c r="C600" s="77"/>
      <c r="D600" s="77"/>
      <c r="E600" s="109"/>
      <c r="F600" s="77"/>
      <c r="G600" s="77"/>
    </row>
    <row r="601" ht="15.75" customHeight="1">
      <c r="B601" s="77"/>
      <c r="C601" s="77"/>
      <c r="D601" s="77"/>
      <c r="E601" s="109"/>
      <c r="F601" s="77"/>
      <c r="G601" s="77"/>
    </row>
    <row r="602" ht="15.75" customHeight="1">
      <c r="B602" s="77"/>
      <c r="C602" s="77"/>
      <c r="D602" s="77"/>
      <c r="E602" s="109"/>
      <c r="F602" s="77"/>
      <c r="G602" s="77"/>
    </row>
    <row r="603" ht="15.75" customHeight="1">
      <c r="B603" s="77"/>
      <c r="C603" s="77"/>
      <c r="D603" s="77"/>
      <c r="E603" s="109"/>
      <c r="F603" s="77"/>
      <c r="G603" s="77"/>
    </row>
    <row r="604" ht="15.75" customHeight="1">
      <c r="B604" s="77"/>
      <c r="C604" s="77"/>
      <c r="D604" s="77"/>
      <c r="E604" s="109"/>
      <c r="F604" s="77"/>
      <c r="G604" s="77"/>
    </row>
    <row r="605" ht="15.75" customHeight="1">
      <c r="B605" s="77"/>
      <c r="C605" s="77"/>
      <c r="D605" s="77"/>
      <c r="E605" s="109"/>
      <c r="F605" s="77"/>
      <c r="G605" s="77"/>
    </row>
    <row r="606" ht="15.75" customHeight="1">
      <c r="B606" s="77"/>
      <c r="C606" s="77"/>
      <c r="D606" s="77"/>
      <c r="E606" s="109"/>
      <c r="F606" s="77"/>
      <c r="G606" s="77"/>
    </row>
    <row r="607" ht="15.75" customHeight="1">
      <c r="B607" s="77"/>
      <c r="C607" s="77"/>
      <c r="D607" s="77"/>
      <c r="E607" s="109"/>
      <c r="F607" s="77"/>
      <c r="G607" s="77"/>
    </row>
    <row r="608" ht="15.75" customHeight="1">
      <c r="B608" s="77"/>
      <c r="C608" s="77"/>
      <c r="D608" s="77"/>
      <c r="E608" s="109"/>
      <c r="F608" s="77"/>
      <c r="G608" s="77"/>
    </row>
    <row r="609" ht="15.75" customHeight="1">
      <c r="B609" s="77"/>
      <c r="C609" s="77"/>
      <c r="D609" s="77"/>
      <c r="E609" s="109"/>
      <c r="F609" s="77"/>
      <c r="G609" s="77"/>
    </row>
    <row r="610" ht="15.75" customHeight="1">
      <c r="B610" s="77"/>
      <c r="C610" s="77"/>
      <c r="D610" s="77"/>
      <c r="E610" s="109"/>
      <c r="F610" s="77"/>
      <c r="G610" s="77"/>
    </row>
    <row r="611" ht="15.75" customHeight="1">
      <c r="B611" s="77"/>
      <c r="C611" s="77"/>
      <c r="D611" s="77"/>
      <c r="E611" s="109"/>
      <c r="F611" s="77"/>
      <c r="G611" s="77"/>
    </row>
    <row r="612" ht="15.75" customHeight="1">
      <c r="B612" s="77"/>
      <c r="C612" s="77"/>
      <c r="D612" s="77"/>
      <c r="E612" s="109"/>
      <c r="F612" s="77"/>
      <c r="G612" s="77"/>
    </row>
    <row r="613" ht="15.75" customHeight="1">
      <c r="B613" s="77"/>
      <c r="C613" s="77"/>
      <c r="D613" s="77"/>
      <c r="E613" s="109"/>
      <c r="F613" s="77"/>
      <c r="G613" s="77"/>
    </row>
    <row r="614" ht="15.75" customHeight="1">
      <c r="B614" s="77"/>
      <c r="C614" s="77"/>
      <c r="D614" s="77"/>
      <c r="E614" s="109"/>
      <c r="F614" s="77"/>
      <c r="G614" s="77"/>
    </row>
    <row r="615" ht="15.75" customHeight="1">
      <c r="B615" s="77"/>
      <c r="C615" s="77"/>
      <c r="D615" s="77"/>
      <c r="E615" s="109"/>
      <c r="F615" s="77"/>
      <c r="G615" s="77"/>
    </row>
    <row r="616" ht="15.75" customHeight="1">
      <c r="B616" s="77"/>
      <c r="C616" s="77"/>
      <c r="D616" s="77"/>
      <c r="E616" s="109"/>
      <c r="F616" s="77"/>
      <c r="G616" s="77"/>
    </row>
    <row r="617" ht="15.75" customHeight="1">
      <c r="B617" s="77"/>
      <c r="C617" s="77"/>
      <c r="D617" s="77"/>
      <c r="E617" s="109"/>
      <c r="F617" s="77"/>
      <c r="G617" s="77"/>
    </row>
    <row r="618" ht="15.75" customHeight="1">
      <c r="B618" s="77"/>
      <c r="C618" s="77"/>
      <c r="D618" s="77"/>
      <c r="E618" s="109"/>
      <c r="F618" s="77"/>
      <c r="G618" s="77"/>
    </row>
    <row r="619" ht="15.75" customHeight="1">
      <c r="B619" s="77"/>
      <c r="C619" s="77"/>
      <c r="D619" s="77"/>
      <c r="E619" s="109"/>
      <c r="F619" s="77"/>
      <c r="G619" s="77"/>
    </row>
    <row r="620" ht="15.75" customHeight="1">
      <c r="B620" s="77"/>
      <c r="C620" s="77"/>
      <c r="D620" s="77"/>
      <c r="E620" s="109"/>
      <c r="F620" s="77"/>
      <c r="G620" s="77"/>
    </row>
    <row r="621" ht="15.75" customHeight="1">
      <c r="B621" s="77"/>
      <c r="C621" s="77"/>
      <c r="D621" s="77"/>
      <c r="E621" s="109"/>
      <c r="F621" s="77"/>
      <c r="G621" s="77"/>
    </row>
    <row r="622" ht="15.75" customHeight="1">
      <c r="B622" s="77"/>
      <c r="C622" s="77"/>
      <c r="D622" s="77"/>
      <c r="E622" s="109"/>
      <c r="F622" s="77"/>
      <c r="G622" s="77"/>
    </row>
    <row r="623" ht="15.75" customHeight="1">
      <c r="B623" s="77"/>
      <c r="C623" s="77"/>
      <c r="D623" s="77"/>
      <c r="E623" s="109"/>
      <c r="F623" s="77"/>
      <c r="G623" s="77"/>
    </row>
    <row r="624" ht="15.75" customHeight="1">
      <c r="B624" s="77"/>
      <c r="C624" s="77"/>
      <c r="D624" s="77"/>
      <c r="E624" s="109"/>
      <c r="F624" s="77"/>
      <c r="G624" s="77"/>
    </row>
    <row r="625" ht="15.75" customHeight="1">
      <c r="B625" s="77"/>
      <c r="C625" s="77"/>
      <c r="D625" s="77"/>
      <c r="E625" s="109"/>
      <c r="F625" s="77"/>
      <c r="G625" s="77"/>
    </row>
    <row r="626" ht="15.75" customHeight="1">
      <c r="B626" s="77"/>
      <c r="C626" s="77"/>
      <c r="D626" s="77"/>
      <c r="E626" s="109"/>
      <c r="F626" s="77"/>
      <c r="G626" s="77"/>
    </row>
    <row r="627" ht="15.75" customHeight="1">
      <c r="B627" s="77"/>
      <c r="C627" s="77"/>
      <c r="D627" s="77"/>
      <c r="E627" s="109"/>
      <c r="F627" s="77"/>
      <c r="G627" s="77"/>
    </row>
    <row r="628" ht="15.75" customHeight="1">
      <c r="B628" s="77"/>
      <c r="C628" s="77"/>
      <c r="D628" s="77"/>
      <c r="E628" s="109"/>
      <c r="F628" s="77"/>
      <c r="G628" s="77"/>
    </row>
    <row r="629" ht="15.75" customHeight="1">
      <c r="B629" s="77"/>
      <c r="C629" s="77"/>
      <c r="D629" s="77"/>
      <c r="E629" s="109"/>
      <c r="F629" s="77"/>
      <c r="G629" s="77"/>
    </row>
    <row r="630" ht="15.75" customHeight="1">
      <c r="B630" s="77"/>
      <c r="C630" s="77"/>
      <c r="D630" s="77"/>
      <c r="E630" s="109"/>
      <c r="F630" s="77"/>
      <c r="G630" s="77"/>
    </row>
    <row r="631" ht="15.75" customHeight="1">
      <c r="B631" s="77"/>
      <c r="C631" s="77"/>
      <c r="D631" s="77"/>
      <c r="E631" s="109"/>
      <c r="F631" s="77"/>
      <c r="G631" s="77"/>
    </row>
    <row r="632" ht="15.75" customHeight="1">
      <c r="B632" s="77"/>
      <c r="C632" s="77"/>
      <c r="D632" s="77"/>
      <c r="E632" s="109"/>
      <c r="F632" s="77"/>
      <c r="G632" s="77"/>
    </row>
    <row r="633" ht="15.75" customHeight="1">
      <c r="B633" s="77"/>
      <c r="C633" s="77"/>
      <c r="D633" s="77"/>
      <c r="E633" s="109"/>
      <c r="F633" s="77"/>
      <c r="G633" s="77"/>
    </row>
    <row r="634" ht="15.75" customHeight="1">
      <c r="B634" s="77"/>
      <c r="C634" s="77"/>
      <c r="D634" s="77"/>
      <c r="E634" s="109"/>
      <c r="F634" s="77"/>
      <c r="G634" s="77"/>
    </row>
    <row r="635" ht="15.75" customHeight="1">
      <c r="B635" s="77"/>
      <c r="C635" s="77"/>
      <c r="D635" s="77"/>
      <c r="E635" s="109"/>
      <c r="F635" s="77"/>
      <c r="G635" s="77"/>
    </row>
    <row r="636" ht="15.75" customHeight="1">
      <c r="B636" s="77"/>
      <c r="C636" s="77"/>
      <c r="D636" s="77"/>
      <c r="E636" s="109"/>
      <c r="F636" s="77"/>
      <c r="G636" s="77"/>
    </row>
    <row r="637" ht="15.75" customHeight="1">
      <c r="B637" s="77"/>
      <c r="C637" s="77"/>
      <c r="D637" s="77"/>
      <c r="E637" s="109"/>
      <c r="F637" s="77"/>
      <c r="G637" s="77"/>
    </row>
    <row r="638" ht="15.75" customHeight="1">
      <c r="B638" s="77"/>
      <c r="C638" s="77"/>
      <c r="D638" s="77"/>
      <c r="E638" s="109"/>
      <c r="F638" s="77"/>
      <c r="G638" s="77"/>
    </row>
    <row r="639" ht="15.75" customHeight="1">
      <c r="B639" s="77"/>
      <c r="C639" s="77"/>
      <c r="D639" s="77"/>
      <c r="E639" s="109"/>
      <c r="F639" s="77"/>
      <c r="G639" s="77"/>
    </row>
    <row r="640" ht="15.75" customHeight="1">
      <c r="B640" s="77"/>
      <c r="C640" s="77"/>
      <c r="D640" s="77"/>
      <c r="E640" s="109"/>
      <c r="F640" s="77"/>
      <c r="G640" s="77"/>
    </row>
    <row r="641" ht="15.75" customHeight="1">
      <c r="B641" s="77"/>
      <c r="C641" s="77"/>
      <c r="D641" s="77"/>
      <c r="E641" s="109"/>
      <c r="F641" s="77"/>
      <c r="G641" s="77"/>
    </row>
    <row r="642" ht="15.75" customHeight="1">
      <c r="B642" s="77"/>
      <c r="C642" s="77"/>
      <c r="D642" s="77"/>
      <c r="E642" s="109"/>
      <c r="F642" s="77"/>
      <c r="G642" s="77"/>
    </row>
    <row r="643" ht="15.75" customHeight="1">
      <c r="B643" s="77"/>
      <c r="C643" s="77"/>
      <c r="D643" s="77"/>
      <c r="E643" s="109"/>
      <c r="F643" s="77"/>
      <c r="G643" s="77"/>
    </row>
    <row r="644" ht="15.75" customHeight="1">
      <c r="B644" s="77"/>
      <c r="C644" s="77"/>
      <c r="D644" s="77"/>
      <c r="E644" s="109"/>
      <c r="F644" s="77"/>
      <c r="G644" s="77"/>
    </row>
    <row r="645" ht="15.75" customHeight="1">
      <c r="B645" s="77"/>
      <c r="C645" s="77"/>
      <c r="D645" s="77"/>
      <c r="E645" s="109"/>
      <c r="F645" s="77"/>
      <c r="G645" s="77"/>
    </row>
    <row r="646" ht="15.75" customHeight="1">
      <c r="B646" s="77"/>
      <c r="C646" s="77"/>
      <c r="D646" s="77"/>
      <c r="E646" s="109"/>
      <c r="F646" s="77"/>
      <c r="G646" s="77"/>
    </row>
    <row r="647" ht="15.75" customHeight="1">
      <c r="B647" s="77"/>
      <c r="C647" s="77"/>
      <c r="D647" s="77"/>
      <c r="E647" s="109"/>
      <c r="F647" s="77"/>
      <c r="G647" s="77"/>
    </row>
    <row r="648" ht="15.75" customHeight="1">
      <c r="B648" s="77"/>
      <c r="C648" s="77"/>
      <c r="D648" s="77"/>
      <c r="E648" s="109"/>
      <c r="F648" s="77"/>
      <c r="G648" s="77"/>
    </row>
    <row r="649" ht="15.75" customHeight="1">
      <c r="B649" s="77"/>
      <c r="C649" s="77"/>
      <c r="D649" s="77"/>
      <c r="E649" s="109"/>
      <c r="F649" s="77"/>
      <c r="G649" s="77"/>
    </row>
    <row r="650" ht="15.75" customHeight="1">
      <c r="B650" s="77"/>
      <c r="C650" s="77"/>
      <c r="D650" s="77"/>
      <c r="E650" s="109"/>
      <c r="F650" s="77"/>
      <c r="G650" s="77"/>
    </row>
    <row r="651" ht="15.75" customHeight="1">
      <c r="B651" s="77"/>
      <c r="C651" s="77"/>
      <c r="D651" s="77"/>
      <c r="E651" s="109"/>
      <c r="F651" s="77"/>
      <c r="G651" s="77"/>
    </row>
    <row r="652" ht="15.75" customHeight="1">
      <c r="B652" s="77"/>
      <c r="C652" s="77"/>
      <c r="D652" s="77"/>
      <c r="E652" s="109"/>
      <c r="F652" s="77"/>
      <c r="G652" s="77"/>
    </row>
    <row r="653" ht="15.75" customHeight="1">
      <c r="B653" s="77"/>
      <c r="C653" s="77"/>
      <c r="D653" s="77"/>
      <c r="E653" s="109"/>
      <c r="F653" s="77"/>
      <c r="G653" s="77"/>
    </row>
    <row r="654" ht="15.75" customHeight="1">
      <c r="B654" s="77"/>
      <c r="C654" s="77"/>
      <c r="D654" s="77"/>
      <c r="E654" s="109"/>
      <c r="F654" s="77"/>
      <c r="G654" s="77"/>
    </row>
    <row r="655" ht="15.75" customHeight="1">
      <c r="B655" s="77"/>
      <c r="C655" s="77"/>
      <c r="D655" s="77"/>
      <c r="E655" s="109"/>
      <c r="F655" s="77"/>
      <c r="G655" s="77"/>
    </row>
    <row r="656" ht="15.75" customHeight="1">
      <c r="B656" s="77"/>
      <c r="C656" s="77"/>
      <c r="D656" s="77"/>
      <c r="E656" s="109"/>
      <c r="F656" s="77"/>
      <c r="G656" s="77"/>
    </row>
    <row r="657" ht="15.75" customHeight="1">
      <c r="B657" s="77"/>
      <c r="C657" s="77"/>
      <c r="D657" s="77"/>
      <c r="E657" s="109"/>
      <c r="F657" s="77"/>
      <c r="G657" s="77"/>
    </row>
    <row r="658" ht="15.75" customHeight="1">
      <c r="B658" s="77"/>
      <c r="C658" s="77"/>
      <c r="D658" s="77"/>
      <c r="E658" s="109"/>
      <c r="F658" s="77"/>
      <c r="G658" s="77"/>
    </row>
    <row r="659" ht="15.75" customHeight="1">
      <c r="B659" s="77"/>
      <c r="C659" s="77"/>
      <c r="D659" s="77"/>
      <c r="E659" s="109"/>
      <c r="F659" s="77"/>
      <c r="G659" s="77"/>
    </row>
    <row r="660" ht="15.75" customHeight="1">
      <c r="B660" s="77"/>
      <c r="C660" s="77"/>
      <c r="D660" s="77"/>
      <c r="E660" s="109"/>
      <c r="F660" s="77"/>
      <c r="G660" s="77"/>
    </row>
    <row r="661" ht="15.75" customHeight="1">
      <c r="B661" s="77"/>
      <c r="C661" s="77"/>
      <c r="D661" s="77"/>
      <c r="E661" s="109"/>
      <c r="F661" s="77"/>
      <c r="G661" s="77"/>
    </row>
    <row r="662" ht="15.75" customHeight="1">
      <c r="B662" s="77"/>
      <c r="C662" s="77"/>
      <c r="D662" s="77"/>
      <c r="E662" s="109"/>
      <c r="F662" s="77"/>
      <c r="G662" s="77"/>
    </row>
    <row r="663" ht="15.75" customHeight="1">
      <c r="B663" s="77"/>
      <c r="C663" s="77"/>
      <c r="D663" s="77"/>
      <c r="E663" s="109"/>
      <c r="F663" s="77"/>
      <c r="G663" s="77"/>
    </row>
    <row r="664" ht="15.75" customHeight="1">
      <c r="B664" s="77"/>
      <c r="C664" s="77"/>
      <c r="D664" s="77"/>
      <c r="E664" s="109"/>
      <c r="F664" s="77"/>
      <c r="G664" s="77"/>
    </row>
    <row r="665" ht="15.75" customHeight="1">
      <c r="B665" s="77"/>
      <c r="C665" s="77"/>
      <c r="D665" s="77"/>
      <c r="E665" s="109"/>
      <c r="F665" s="77"/>
      <c r="G665" s="77"/>
    </row>
    <row r="666" ht="15.75" customHeight="1">
      <c r="B666" s="77"/>
      <c r="C666" s="77"/>
      <c r="D666" s="77"/>
      <c r="E666" s="109"/>
      <c r="F666" s="77"/>
      <c r="G666" s="77"/>
    </row>
    <row r="667" ht="15.75" customHeight="1">
      <c r="B667" s="77"/>
      <c r="C667" s="77"/>
      <c r="D667" s="77"/>
      <c r="E667" s="109"/>
      <c r="F667" s="77"/>
      <c r="G667" s="77"/>
    </row>
    <row r="668" ht="15.75" customHeight="1">
      <c r="B668" s="77"/>
      <c r="C668" s="77"/>
      <c r="D668" s="77"/>
      <c r="E668" s="109"/>
      <c r="F668" s="77"/>
      <c r="G668" s="77"/>
    </row>
    <row r="669" ht="15.75" customHeight="1">
      <c r="B669" s="77"/>
      <c r="C669" s="77"/>
      <c r="D669" s="77"/>
      <c r="E669" s="109"/>
      <c r="F669" s="77"/>
      <c r="G669" s="77"/>
    </row>
    <row r="670" ht="15.75" customHeight="1">
      <c r="B670" s="77"/>
      <c r="C670" s="77"/>
      <c r="D670" s="77"/>
      <c r="E670" s="109"/>
      <c r="F670" s="77"/>
      <c r="G670" s="77"/>
    </row>
    <row r="671" ht="15.75" customHeight="1">
      <c r="B671" s="77"/>
      <c r="C671" s="77"/>
      <c r="D671" s="77"/>
      <c r="E671" s="109"/>
      <c r="F671" s="77"/>
      <c r="G671" s="77"/>
    </row>
    <row r="672" ht="15.75" customHeight="1">
      <c r="B672" s="77"/>
      <c r="C672" s="77"/>
      <c r="D672" s="77"/>
      <c r="E672" s="109"/>
      <c r="F672" s="77"/>
      <c r="G672" s="77"/>
    </row>
    <row r="673" ht="15.75" customHeight="1">
      <c r="B673" s="77"/>
      <c r="C673" s="77"/>
      <c r="D673" s="77"/>
      <c r="E673" s="109"/>
      <c r="F673" s="77"/>
      <c r="G673" s="77"/>
    </row>
    <row r="674" ht="15.75" customHeight="1">
      <c r="B674" s="77"/>
      <c r="C674" s="77"/>
      <c r="D674" s="77"/>
      <c r="E674" s="109"/>
      <c r="F674" s="77"/>
      <c r="G674" s="77"/>
    </row>
    <row r="675" ht="15.75" customHeight="1">
      <c r="B675" s="77"/>
      <c r="C675" s="77"/>
      <c r="D675" s="77"/>
      <c r="E675" s="109"/>
      <c r="F675" s="77"/>
      <c r="G675" s="77"/>
    </row>
    <row r="676" ht="15.75" customHeight="1">
      <c r="B676" s="77"/>
      <c r="C676" s="77"/>
      <c r="D676" s="77"/>
      <c r="E676" s="109"/>
      <c r="F676" s="77"/>
      <c r="G676" s="77"/>
    </row>
    <row r="677" ht="15.75" customHeight="1">
      <c r="B677" s="77"/>
      <c r="C677" s="77"/>
      <c r="D677" s="77"/>
      <c r="E677" s="109"/>
      <c r="F677" s="77"/>
      <c r="G677" s="77"/>
    </row>
    <row r="678" ht="15.75" customHeight="1">
      <c r="B678" s="77"/>
      <c r="C678" s="77"/>
      <c r="D678" s="77"/>
      <c r="E678" s="109"/>
      <c r="F678" s="77"/>
      <c r="G678" s="77"/>
    </row>
    <row r="679" ht="15.75" customHeight="1">
      <c r="B679" s="77"/>
      <c r="C679" s="77"/>
      <c r="D679" s="77"/>
      <c r="E679" s="109"/>
      <c r="F679" s="77"/>
      <c r="G679" s="77"/>
    </row>
    <row r="680" ht="15.75" customHeight="1">
      <c r="B680" s="77"/>
      <c r="C680" s="77"/>
      <c r="D680" s="77"/>
      <c r="E680" s="109"/>
      <c r="F680" s="77"/>
      <c r="G680" s="77"/>
    </row>
    <row r="681" ht="15.75" customHeight="1">
      <c r="B681" s="77"/>
      <c r="C681" s="77"/>
      <c r="D681" s="77"/>
      <c r="E681" s="109"/>
      <c r="F681" s="77"/>
      <c r="G681" s="77"/>
    </row>
    <row r="682" ht="15.75" customHeight="1">
      <c r="B682" s="77"/>
      <c r="C682" s="77"/>
      <c r="D682" s="77"/>
      <c r="E682" s="109"/>
      <c r="F682" s="77"/>
      <c r="G682" s="77"/>
    </row>
    <row r="683" ht="15.75" customHeight="1">
      <c r="B683" s="77"/>
      <c r="C683" s="77"/>
      <c r="D683" s="77"/>
      <c r="E683" s="109"/>
      <c r="F683" s="77"/>
      <c r="G683" s="77"/>
    </row>
    <row r="684" ht="15.75" customHeight="1">
      <c r="B684" s="77"/>
      <c r="C684" s="77"/>
      <c r="D684" s="77"/>
      <c r="E684" s="109"/>
      <c r="F684" s="77"/>
      <c r="G684" s="77"/>
    </row>
    <row r="685" ht="15.75" customHeight="1">
      <c r="B685" s="77"/>
      <c r="C685" s="77"/>
      <c r="D685" s="77"/>
      <c r="E685" s="109"/>
      <c r="F685" s="77"/>
      <c r="G685" s="77"/>
    </row>
    <row r="686" ht="15.75" customHeight="1">
      <c r="B686" s="77"/>
      <c r="C686" s="77"/>
      <c r="D686" s="77"/>
      <c r="E686" s="109"/>
      <c r="F686" s="77"/>
      <c r="G686" s="77"/>
    </row>
    <row r="687" ht="15.75" customHeight="1">
      <c r="B687" s="77"/>
      <c r="C687" s="77"/>
      <c r="D687" s="77"/>
      <c r="E687" s="109"/>
      <c r="F687" s="77"/>
      <c r="G687" s="77"/>
    </row>
    <row r="688" ht="15.75" customHeight="1">
      <c r="B688" s="77"/>
      <c r="C688" s="77"/>
      <c r="D688" s="77"/>
      <c r="E688" s="109"/>
      <c r="F688" s="77"/>
      <c r="G688" s="77"/>
    </row>
    <row r="689" ht="15.75" customHeight="1">
      <c r="B689" s="77"/>
      <c r="C689" s="77"/>
      <c r="D689" s="77"/>
      <c r="E689" s="109"/>
      <c r="F689" s="77"/>
      <c r="G689" s="77"/>
    </row>
    <row r="690" ht="15.75" customHeight="1">
      <c r="B690" s="77"/>
      <c r="C690" s="77"/>
      <c r="D690" s="77"/>
      <c r="E690" s="109"/>
      <c r="F690" s="77"/>
      <c r="G690" s="77"/>
    </row>
    <row r="691" ht="15.75" customHeight="1">
      <c r="B691" s="77"/>
      <c r="C691" s="77"/>
      <c r="D691" s="77"/>
      <c r="E691" s="109"/>
      <c r="F691" s="77"/>
      <c r="G691" s="77"/>
    </row>
    <row r="692" ht="15.75" customHeight="1">
      <c r="B692" s="77"/>
      <c r="C692" s="77"/>
      <c r="D692" s="77"/>
      <c r="E692" s="109"/>
      <c r="F692" s="77"/>
      <c r="G692" s="77"/>
    </row>
    <row r="693" ht="15.75" customHeight="1">
      <c r="B693" s="77"/>
      <c r="C693" s="77"/>
      <c r="D693" s="77"/>
      <c r="E693" s="109"/>
      <c r="F693" s="77"/>
      <c r="G693" s="77"/>
    </row>
    <row r="694" ht="15.75" customHeight="1">
      <c r="B694" s="77"/>
      <c r="C694" s="77"/>
      <c r="D694" s="77"/>
      <c r="E694" s="109"/>
      <c r="F694" s="77"/>
      <c r="G694" s="77"/>
    </row>
    <row r="695" ht="15.75" customHeight="1">
      <c r="B695" s="77"/>
      <c r="C695" s="77"/>
      <c r="D695" s="77"/>
      <c r="E695" s="109"/>
      <c r="F695" s="77"/>
      <c r="G695" s="77"/>
    </row>
    <row r="696" ht="15.75" customHeight="1">
      <c r="B696" s="77"/>
      <c r="C696" s="77"/>
      <c r="D696" s="77"/>
      <c r="E696" s="109"/>
      <c r="F696" s="77"/>
      <c r="G696" s="77"/>
    </row>
    <row r="697" ht="15.75" customHeight="1">
      <c r="B697" s="77"/>
      <c r="C697" s="77"/>
      <c r="D697" s="77"/>
      <c r="E697" s="109"/>
      <c r="F697" s="77"/>
      <c r="G697" s="77"/>
    </row>
    <row r="698" ht="15.75" customHeight="1">
      <c r="B698" s="77"/>
      <c r="C698" s="77"/>
      <c r="D698" s="77"/>
      <c r="E698" s="109"/>
      <c r="F698" s="77"/>
      <c r="G698" s="77"/>
    </row>
    <row r="699" ht="15.75" customHeight="1">
      <c r="B699" s="77"/>
      <c r="C699" s="77"/>
      <c r="D699" s="77"/>
      <c r="E699" s="109"/>
      <c r="F699" s="77"/>
      <c r="G699" s="77"/>
    </row>
    <row r="700" ht="15.75" customHeight="1">
      <c r="B700" s="77"/>
      <c r="C700" s="77"/>
      <c r="D700" s="77"/>
      <c r="E700" s="109"/>
      <c r="F700" s="77"/>
      <c r="G700" s="77"/>
    </row>
    <row r="701" ht="15.75" customHeight="1">
      <c r="B701" s="77"/>
      <c r="C701" s="77"/>
      <c r="D701" s="77"/>
      <c r="E701" s="109"/>
      <c r="F701" s="77"/>
      <c r="G701" s="77"/>
    </row>
    <row r="702" ht="15.75" customHeight="1">
      <c r="B702" s="77"/>
      <c r="C702" s="77"/>
      <c r="D702" s="77"/>
      <c r="E702" s="109"/>
      <c r="F702" s="77"/>
      <c r="G702" s="77"/>
    </row>
    <row r="703" ht="15.75" customHeight="1">
      <c r="B703" s="77"/>
      <c r="C703" s="77"/>
      <c r="D703" s="77"/>
      <c r="E703" s="109"/>
      <c r="F703" s="77"/>
      <c r="G703" s="77"/>
    </row>
    <row r="704" ht="15.75" customHeight="1">
      <c r="B704" s="77"/>
      <c r="C704" s="77"/>
      <c r="D704" s="77"/>
      <c r="E704" s="109"/>
      <c r="F704" s="77"/>
      <c r="G704" s="77"/>
    </row>
    <row r="705" ht="15.75" customHeight="1">
      <c r="B705" s="77"/>
      <c r="C705" s="77"/>
      <c r="D705" s="77"/>
      <c r="E705" s="109"/>
      <c r="F705" s="77"/>
      <c r="G705" s="77"/>
    </row>
    <row r="706" ht="15.75" customHeight="1">
      <c r="B706" s="77"/>
      <c r="C706" s="77"/>
      <c r="D706" s="77"/>
      <c r="E706" s="109"/>
      <c r="F706" s="77"/>
      <c r="G706" s="77"/>
    </row>
    <row r="707" ht="15.75" customHeight="1">
      <c r="B707" s="77"/>
      <c r="C707" s="77"/>
      <c r="D707" s="77"/>
      <c r="E707" s="109"/>
      <c r="F707" s="77"/>
      <c r="G707" s="77"/>
    </row>
    <row r="708" ht="15.75" customHeight="1">
      <c r="B708" s="77"/>
      <c r="C708" s="77"/>
      <c r="D708" s="77"/>
      <c r="E708" s="109"/>
      <c r="F708" s="77"/>
      <c r="G708" s="77"/>
    </row>
    <row r="709" ht="15.75" customHeight="1">
      <c r="B709" s="77"/>
      <c r="C709" s="77"/>
      <c r="D709" s="77"/>
      <c r="E709" s="109"/>
      <c r="F709" s="77"/>
      <c r="G709" s="77"/>
    </row>
    <row r="710" ht="15.75" customHeight="1">
      <c r="B710" s="77"/>
      <c r="C710" s="77"/>
      <c r="D710" s="77"/>
      <c r="E710" s="109"/>
      <c r="F710" s="77"/>
      <c r="G710" s="77"/>
    </row>
    <row r="711" ht="15.75" customHeight="1">
      <c r="B711" s="77"/>
      <c r="C711" s="77"/>
      <c r="D711" s="77"/>
      <c r="E711" s="109"/>
      <c r="F711" s="77"/>
      <c r="G711" s="77"/>
    </row>
    <row r="712" ht="15.75" customHeight="1">
      <c r="B712" s="77"/>
      <c r="C712" s="77"/>
      <c r="D712" s="77"/>
      <c r="E712" s="109"/>
      <c r="F712" s="77"/>
      <c r="G712" s="77"/>
    </row>
    <row r="713" ht="15.75" customHeight="1">
      <c r="B713" s="77"/>
      <c r="C713" s="77"/>
      <c r="D713" s="77"/>
      <c r="E713" s="109"/>
      <c r="F713" s="77"/>
      <c r="G713" s="77"/>
    </row>
    <row r="714" ht="15.75" customHeight="1">
      <c r="B714" s="77"/>
      <c r="C714" s="77"/>
      <c r="D714" s="77"/>
      <c r="E714" s="109"/>
      <c r="F714" s="77"/>
      <c r="G714" s="77"/>
    </row>
    <row r="715" ht="15.75" customHeight="1">
      <c r="B715" s="77"/>
      <c r="C715" s="77"/>
      <c r="D715" s="77"/>
      <c r="E715" s="109"/>
      <c r="F715" s="77"/>
      <c r="G715" s="77"/>
    </row>
    <row r="716" ht="15.75" customHeight="1">
      <c r="B716" s="77"/>
      <c r="C716" s="77"/>
      <c r="D716" s="77"/>
      <c r="E716" s="109"/>
      <c r="F716" s="77"/>
      <c r="G716" s="77"/>
    </row>
    <row r="717" ht="15.75" customHeight="1">
      <c r="B717" s="77"/>
      <c r="C717" s="77"/>
      <c r="D717" s="77"/>
      <c r="E717" s="109"/>
      <c r="F717" s="77"/>
      <c r="G717" s="77"/>
    </row>
    <row r="718" ht="15.75" customHeight="1">
      <c r="B718" s="77"/>
      <c r="C718" s="77"/>
      <c r="D718" s="77"/>
      <c r="E718" s="109"/>
      <c r="F718" s="77"/>
      <c r="G718" s="77"/>
    </row>
    <row r="719" ht="15.75" customHeight="1">
      <c r="B719" s="77"/>
      <c r="C719" s="77"/>
      <c r="D719" s="77"/>
      <c r="E719" s="109"/>
      <c r="F719" s="77"/>
      <c r="G719" s="77"/>
    </row>
    <row r="720" ht="15.75" customHeight="1">
      <c r="B720" s="77"/>
      <c r="C720" s="77"/>
      <c r="D720" s="77"/>
      <c r="E720" s="109"/>
      <c r="F720" s="77"/>
      <c r="G720" s="77"/>
    </row>
    <row r="721" ht="15.75" customHeight="1">
      <c r="B721" s="77"/>
      <c r="C721" s="77"/>
      <c r="D721" s="77"/>
      <c r="E721" s="109"/>
      <c r="F721" s="77"/>
      <c r="G721" s="77"/>
    </row>
    <row r="722" ht="15.75" customHeight="1">
      <c r="B722" s="77"/>
      <c r="C722" s="77"/>
      <c r="D722" s="77"/>
      <c r="E722" s="109"/>
      <c r="F722" s="77"/>
      <c r="G722" s="77"/>
    </row>
    <row r="723" ht="15.75" customHeight="1">
      <c r="B723" s="77"/>
      <c r="C723" s="77"/>
      <c r="D723" s="77"/>
      <c r="E723" s="109"/>
      <c r="F723" s="77"/>
      <c r="G723" s="77"/>
    </row>
    <row r="724" ht="15.75" customHeight="1">
      <c r="B724" s="77"/>
      <c r="C724" s="77"/>
      <c r="D724" s="77"/>
      <c r="E724" s="109"/>
      <c r="F724" s="77"/>
      <c r="G724" s="77"/>
    </row>
    <row r="725" ht="15.75" customHeight="1">
      <c r="B725" s="77"/>
      <c r="C725" s="77"/>
      <c r="D725" s="77"/>
      <c r="E725" s="109"/>
      <c r="F725" s="77"/>
      <c r="G725" s="77"/>
    </row>
    <row r="726" ht="15.75" customHeight="1">
      <c r="B726" s="77"/>
      <c r="C726" s="77"/>
      <c r="D726" s="77"/>
      <c r="E726" s="109"/>
      <c r="F726" s="77"/>
      <c r="G726" s="77"/>
    </row>
    <row r="727" ht="15.75" customHeight="1">
      <c r="B727" s="77"/>
      <c r="C727" s="77"/>
      <c r="D727" s="77"/>
      <c r="E727" s="109"/>
      <c r="F727" s="77"/>
      <c r="G727" s="77"/>
    </row>
    <row r="728" ht="15.75" customHeight="1">
      <c r="B728" s="77"/>
      <c r="C728" s="77"/>
      <c r="D728" s="77"/>
      <c r="E728" s="109"/>
      <c r="F728" s="77"/>
      <c r="G728" s="77"/>
    </row>
    <row r="729" ht="15.75" customHeight="1">
      <c r="B729" s="77"/>
      <c r="C729" s="77"/>
      <c r="D729" s="77"/>
      <c r="E729" s="109"/>
      <c r="F729" s="77"/>
      <c r="G729" s="77"/>
    </row>
    <row r="730" ht="15.75" customHeight="1">
      <c r="B730" s="77"/>
      <c r="C730" s="77"/>
      <c r="D730" s="77"/>
      <c r="E730" s="109"/>
      <c r="F730" s="77"/>
      <c r="G730" s="77"/>
    </row>
    <row r="731" ht="15.75" customHeight="1">
      <c r="B731" s="77"/>
      <c r="C731" s="77"/>
      <c r="D731" s="77"/>
      <c r="E731" s="109"/>
      <c r="F731" s="77"/>
      <c r="G731" s="77"/>
    </row>
    <row r="732" ht="15.75" customHeight="1">
      <c r="B732" s="77"/>
      <c r="C732" s="77"/>
      <c r="D732" s="77"/>
      <c r="E732" s="109"/>
      <c r="F732" s="77"/>
      <c r="G732" s="77"/>
    </row>
    <row r="733" ht="15.75" customHeight="1">
      <c r="B733" s="77"/>
      <c r="C733" s="77"/>
      <c r="D733" s="77"/>
      <c r="E733" s="109"/>
      <c r="F733" s="77"/>
      <c r="G733" s="77"/>
    </row>
    <row r="734" ht="15.75" customHeight="1">
      <c r="B734" s="77"/>
      <c r="C734" s="77"/>
      <c r="D734" s="77"/>
      <c r="E734" s="109"/>
      <c r="F734" s="77"/>
      <c r="G734" s="77"/>
    </row>
    <row r="735" ht="15.75" customHeight="1">
      <c r="B735" s="77"/>
      <c r="C735" s="77"/>
      <c r="D735" s="77"/>
      <c r="E735" s="109"/>
      <c r="F735" s="77"/>
      <c r="G735" s="77"/>
    </row>
    <row r="736" ht="15.75" customHeight="1">
      <c r="B736" s="77"/>
      <c r="C736" s="77"/>
      <c r="D736" s="77"/>
      <c r="E736" s="109"/>
      <c r="F736" s="77"/>
      <c r="G736" s="77"/>
    </row>
    <row r="737" ht="15.75" customHeight="1">
      <c r="B737" s="77"/>
      <c r="C737" s="77"/>
      <c r="D737" s="77"/>
      <c r="E737" s="109"/>
      <c r="F737" s="77"/>
      <c r="G737" s="77"/>
    </row>
    <row r="738" ht="15.75" customHeight="1">
      <c r="B738" s="77"/>
      <c r="C738" s="77"/>
      <c r="D738" s="77"/>
      <c r="E738" s="109"/>
      <c r="F738" s="77"/>
      <c r="G738" s="77"/>
    </row>
    <row r="739" ht="15.75" customHeight="1">
      <c r="B739" s="77"/>
      <c r="C739" s="77"/>
      <c r="D739" s="77"/>
      <c r="E739" s="109"/>
      <c r="F739" s="77"/>
      <c r="G739" s="77"/>
    </row>
    <row r="740" ht="15.75" customHeight="1">
      <c r="B740" s="77"/>
      <c r="C740" s="77"/>
      <c r="D740" s="77"/>
      <c r="E740" s="109"/>
      <c r="F740" s="77"/>
      <c r="G740" s="77"/>
    </row>
    <row r="741" ht="15.75" customHeight="1">
      <c r="B741" s="77"/>
      <c r="C741" s="77"/>
      <c r="D741" s="77"/>
      <c r="E741" s="109"/>
      <c r="F741" s="77"/>
      <c r="G741" s="77"/>
    </row>
    <row r="742" ht="15.75" customHeight="1">
      <c r="B742" s="77"/>
      <c r="C742" s="77"/>
      <c r="D742" s="77"/>
      <c r="E742" s="109"/>
      <c r="F742" s="77"/>
      <c r="G742" s="77"/>
    </row>
    <row r="743" ht="15.75" customHeight="1">
      <c r="B743" s="77"/>
      <c r="C743" s="77"/>
      <c r="D743" s="77"/>
      <c r="E743" s="109"/>
      <c r="F743" s="77"/>
      <c r="G743" s="77"/>
    </row>
    <row r="744" ht="15.75" customHeight="1">
      <c r="B744" s="77"/>
      <c r="C744" s="77"/>
      <c r="D744" s="77"/>
      <c r="E744" s="109"/>
      <c r="F744" s="77"/>
      <c r="G744" s="77"/>
    </row>
    <row r="745" ht="15.75" customHeight="1">
      <c r="B745" s="77"/>
      <c r="C745" s="77"/>
      <c r="D745" s="77"/>
      <c r="E745" s="109"/>
      <c r="F745" s="77"/>
      <c r="G745" s="77"/>
    </row>
    <row r="746" ht="15.75" customHeight="1">
      <c r="B746" s="77"/>
      <c r="C746" s="77"/>
      <c r="D746" s="77"/>
      <c r="E746" s="109"/>
      <c r="F746" s="77"/>
      <c r="G746" s="77"/>
    </row>
    <row r="747" ht="15.75" customHeight="1">
      <c r="B747" s="77"/>
      <c r="C747" s="77"/>
      <c r="D747" s="77"/>
      <c r="E747" s="109"/>
      <c r="F747" s="77"/>
      <c r="G747" s="77"/>
    </row>
    <row r="748" ht="15.75" customHeight="1">
      <c r="B748" s="77"/>
      <c r="C748" s="77"/>
      <c r="D748" s="77"/>
      <c r="E748" s="109"/>
      <c r="F748" s="77"/>
      <c r="G748" s="77"/>
    </row>
    <row r="749" ht="15.75" customHeight="1">
      <c r="B749" s="77"/>
      <c r="C749" s="77"/>
      <c r="D749" s="77"/>
      <c r="E749" s="109"/>
      <c r="F749" s="77"/>
      <c r="G749" s="77"/>
    </row>
    <row r="750" ht="15.75" customHeight="1">
      <c r="B750" s="77"/>
      <c r="C750" s="77"/>
      <c r="D750" s="77"/>
      <c r="E750" s="109"/>
      <c r="F750" s="77"/>
      <c r="G750" s="77"/>
    </row>
    <row r="751" ht="15.75" customHeight="1">
      <c r="B751" s="77"/>
      <c r="C751" s="77"/>
      <c r="D751" s="77"/>
      <c r="E751" s="109"/>
      <c r="F751" s="77"/>
      <c r="G751" s="77"/>
    </row>
    <row r="752" ht="15.75" customHeight="1">
      <c r="B752" s="77"/>
      <c r="C752" s="77"/>
      <c r="D752" s="77"/>
      <c r="E752" s="109"/>
      <c r="F752" s="77"/>
      <c r="G752" s="77"/>
    </row>
    <row r="753" ht="15.75" customHeight="1">
      <c r="B753" s="77"/>
      <c r="C753" s="77"/>
      <c r="D753" s="77"/>
      <c r="E753" s="109"/>
      <c r="F753" s="77"/>
      <c r="G753" s="77"/>
    </row>
    <row r="754" ht="15.75" customHeight="1">
      <c r="B754" s="77"/>
      <c r="C754" s="77"/>
      <c r="D754" s="77"/>
      <c r="E754" s="109"/>
      <c r="F754" s="77"/>
      <c r="G754" s="77"/>
    </row>
    <row r="755" ht="15.75" customHeight="1">
      <c r="B755" s="77"/>
      <c r="C755" s="77"/>
      <c r="D755" s="77"/>
      <c r="E755" s="109"/>
      <c r="F755" s="77"/>
      <c r="G755" s="77"/>
    </row>
    <row r="756" ht="15.75" customHeight="1">
      <c r="B756" s="77"/>
      <c r="C756" s="77"/>
      <c r="D756" s="77"/>
      <c r="E756" s="109"/>
      <c r="F756" s="77"/>
      <c r="G756" s="77"/>
    </row>
    <row r="757" ht="15.75" customHeight="1">
      <c r="B757" s="77"/>
      <c r="C757" s="77"/>
      <c r="D757" s="77"/>
      <c r="E757" s="109"/>
      <c r="F757" s="77"/>
      <c r="G757" s="77"/>
    </row>
    <row r="758" ht="15.75" customHeight="1">
      <c r="B758" s="77"/>
      <c r="C758" s="77"/>
      <c r="D758" s="77"/>
      <c r="E758" s="109"/>
      <c r="F758" s="77"/>
      <c r="G758" s="77"/>
    </row>
    <row r="759" ht="15.75" customHeight="1">
      <c r="B759" s="77"/>
      <c r="C759" s="77"/>
      <c r="D759" s="77"/>
      <c r="E759" s="109"/>
      <c r="F759" s="77"/>
      <c r="G759" s="77"/>
    </row>
    <row r="760" ht="15.75" customHeight="1">
      <c r="B760" s="77"/>
      <c r="C760" s="77"/>
      <c r="D760" s="77"/>
      <c r="E760" s="109"/>
      <c r="F760" s="77"/>
      <c r="G760" s="77"/>
    </row>
    <row r="761" ht="15.75" customHeight="1">
      <c r="B761" s="77"/>
      <c r="C761" s="77"/>
      <c r="D761" s="77"/>
      <c r="E761" s="109"/>
      <c r="F761" s="77"/>
      <c r="G761" s="77"/>
    </row>
    <row r="762" ht="15.75" customHeight="1">
      <c r="B762" s="77"/>
      <c r="C762" s="77"/>
      <c r="D762" s="77"/>
      <c r="E762" s="109"/>
      <c r="F762" s="77"/>
      <c r="G762" s="77"/>
    </row>
    <row r="763" ht="15.75" customHeight="1">
      <c r="B763" s="77"/>
      <c r="C763" s="77"/>
      <c r="D763" s="77"/>
      <c r="E763" s="109"/>
      <c r="F763" s="77"/>
      <c r="G763" s="77"/>
    </row>
    <row r="764" ht="15.75" customHeight="1">
      <c r="B764" s="77"/>
      <c r="C764" s="77"/>
      <c r="D764" s="77"/>
      <c r="E764" s="109"/>
      <c r="F764" s="77"/>
      <c r="G764" s="77"/>
    </row>
    <row r="765" ht="15.75" customHeight="1">
      <c r="B765" s="77"/>
      <c r="C765" s="77"/>
      <c r="D765" s="77"/>
      <c r="E765" s="109"/>
      <c r="F765" s="77"/>
      <c r="G765" s="77"/>
    </row>
    <row r="766" ht="15.75" customHeight="1">
      <c r="B766" s="77"/>
      <c r="C766" s="77"/>
      <c r="D766" s="77"/>
      <c r="E766" s="109"/>
      <c r="F766" s="77"/>
      <c r="G766" s="77"/>
    </row>
    <row r="767" ht="15.75" customHeight="1">
      <c r="B767" s="77"/>
      <c r="C767" s="77"/>
      <c r="D767" s="77"/>
      <c r="E767" s="109"/>
      <c r="F767" s="77"/>
      <c r="G767" s="77"/>
    </row>
    <row r="768" ht="15.75" customHeight="1">
      <c r="B768" s="77"/>
      <c r="C768" s="77"/>
      <c r="D768" s="77"/>
      <c r="E768" s="109"/>
      <c r="F768" s="77"/>
      <c r="G768" s="77"/>
    </row>
    <row r="769" ht="15.75" customHeight="1">
      <c r="B769" s="77"/>
      <c r="C769" s="77"/>
      <c r="D769" s="77"/>
      <c r="E769" s="109"/>
      <c r="F769" s="77"/>
      <c r="G769" s="77"/>
    </row>
    <row r="770" ht="15.75" customHeight="1">
      <c r="B770" s="77"/>
      <c r="C770" s="77"/>
      <c r="D770" s="77"/>
      <c r="E770" s="109"/>
      <c r="F770" s="77"/>
      <c r="G770" s="77"/>
    </row>
    <row r="771" ht="15.75" customHeight="1">
      <c r="B771" s="77"/>
      <c r="C771" s="77"/>
      <c r="D771" s="77"/>
      <c r="E771" s="109"/>
      <c r="F771" s="77"/>
      <c r="G771" s="77"/>
    </row>
    <row r="772" ht="15.75" customHeight="1">
      <c r="B772" s="77"/>
      <c r="C772" s="77"/>
      <c r="D772" s="77"/>
      <c r="E772" s="109"/>
      <c r="F772" s="77"/>
      <c r="G772" s="77"/>
    </row>
    <row r="773" ht="15.75" customHeight="1">
      <c r="B773" s="77"/>
      <c r="C773" s="77"/>
      <c r="D773" s="77"/>
      <c r="E773" s="109"/>
      <c r="F773" s="77"/>
      <c r="G773" s="77"/>
    </row>
    <row r="774" ht="15.75" customHeight="1">
      <c r="B774" s="77"/>
      <c r="C774" s="77"/>
      <c r="D774" s="77"/>
      <c r="E774" s="109"/>
      <c r="F774" s="77"/>
      <c r="G774" s="77"/>
    </row>
    <row r="775" ht="15.75" customHeight="1">
      <c r="B775" s="77"/>
      <c r="C775" s="77"/>
      <c r="D775" s="77"/>
      <c r="E775" s="109"/>
      <c r="F775" s="77"/>
      <c r="G775" s="77"/>
    </row>
    <row r="776" ht="15.75" customHeight="1">
      <c r="B776" s="77"/>
      <c r="C776" s="77"/>
      <c r="D776" s="77"/>
      <c r="E776" s="109"/>
      <c r="F776" s="77"/>
      <c r="G776" s="77"/>
    </row>
    <row r="777" ht="15.75" customHeight="1">
      <c r="B777" s="77"/>
      <c r="C777" s="77"/>
      <c r="D777" s="77"/>
      <c r="E777" s="109"/>
      <c r="F777" s="77"/>
      <c r="G777" s="77"/>
    </row>
    <row r="778" ht="15.75" customHeight="1">
      <c r="B778" s="77"/>
      <c r="C778" s="77"/>
      <c r="D778" s="77"/>
      <c r="E778" s="109"/>
      <c r="F778" s="77"/>
      <c r="G778" s="77"/>
    </row>
    <row r="779" ht="15.75" customHeight="1">
      <c r="B779" s="77"/>
      <c r="C779" s="77"/>
      <c r="D779" s="77"/>
      <c r="E779" s="109"/>
      <c r="F779" s="77"/>
      <c r="G779" s="77"/>
    </row>
    <row r="780" ht="15.75" customHeight="1">
      <c r="B780" s="77"/>
      <c r="C780" s="77"/>
      <c r="D780" s="77"/>
      <c r="E780" s="109"/>
      <c r="F780" s="77"/>
      <c r="G780" s="77"/>
    </row>
    <row r="781" ht="15.75" customHeight="1">
      <c r="B781" s="77"/>
      <c r="C781" s="77"/>
      <c r="D781" s="77"/>
      <c r="E781" s="109"/>
      <c r="F781" s="77"/>
      <c r="G781" s="77"/>
    </row>
    <row r="782" ht="15.75" customHeight="1">
      <c r="B782" s="77"/>
      <c r="C782" s="77"/>
      <c r="D782" s="77"/>
      <c r="E782" s="109"/>
      <c r="F782" s="77"/>
      <c r="G782" s="77"/>
    </row>
    <row r="783" ht="15.75" customHeight="1">
      <c r="B783" s="77"/>
      <c r="C783" s="77"/>
      <c r="D783" s="77"/>
      <c r="E783" s="109"/>
      <c r="F783" s="77"/>
      <c r="G783" s="77"/>
    </row>
    <row r="784" ht="15.75" customHeight="1">
      <c r="B784" s="77"/>
      <c r="C784" s="77"/>
      <c r="D784" s="77"/>
      <c r="E784" s="109"/>
      <c r="F784" s="77"/>
      <c r="G784" s="77"/>
    </row>
    <row r="785" ht="15.75" customHeight="1">
      <c r="B785" s="77"/>
      <c r="C785" s="77"/>
      <c r="D785" s="77"/>
      <c r="E785" s="109"/>
      <c r="F785" s="77"/>
      <c r="G785" s="77"/>
    </row>
    <row r="786" ht="15.75" customHeight="1">
      <c r="B786" s="77"/>
      <c r="C786" s="77"/>
      <c r="D786" s="77"/>
      <c r="E786" s="109"/>
      <c r="F786" s="77"/>
      <c r="G786" s="77"/>
    </row>
    <row r="787" ht="15.75" customHeight="1">
      <c r="B787" s="77"/>
      <c r="C787" s="77"/>
      <c r="D787" s="77"/>
      <c r="E787" s="109"/>
      <c r="F787" s="77"/>
      <c r="G787" s="77"/>
    </row>
    <row r="788" ht="15.75" customHeight="1">
      <c r="B788" s="77"/>
      <c r="C788" s="77"/>
      <c r="D788" s="77"/>
      <c r="E788" s="109"/>
      <c r="F788" s="77"/>
      <c r="G788" s="77"/>
    </row>
    <row r="789" ht="15.75" customHeight="1">
      <c r="B789" s="77"/>
      <c r="C789" s="77"/>
      <c r="D789" s="77"/>
      <c r="E789" s="109"/>
      <c r="F789" s="77"/>
      <c r="G789" s="77"/>
    </row>
    <row r="790" ht="15.75" customHeight="1">
      <c r="B790" s="77"/>
      <c r="C790" s="77"/>
      <c r="D790" s="77"/>
      <c r="E790" s="109"/>
      <c r="F790" s="77"/>
      <c r="G790" s="77"/>
    </row>
    <row r="791" ht="15.75" customHeight="1">
      <c r="B791" s="77"/>
      <c r="C791" s="77"/>
      <c r="D791" s="77"/>
      <c r="E791" s="109"/>
      <c r="F791" s="77"/>
      <c r="G791" s="77"/>
    </row>
    <row r="792" ht="15.75" customHeight="1">
      <c r="B792" s="77"/>
      <c r="C792" s="77"/>
      <c r="D792" s="77"/>
      <c r="E792" s="109"/>
      <c r="F792" s="77"/>
      <c r="G792" s="77"/>
    </row>
    <row r="793" ht="15.75" customHeight="1">
      <c r="B793" s="77"/>
      <c r="C793" s="77"/>
      <c r="D793" s="77"/>
      <c r="E793" s="109"/>
      <c r="F793" s="77"/>
      <c r="G793" s="77"/>
    </row>
    <row r="794" ht="15.75" customHeight="1">
      <c r="B794" s="77"/>
      <c r="C794" s="77"/>
      <c r="D794" s="77"/>
      <c r="E794" s="109"/>
      <c r="F794" s="77"/>
      <c r="G794" s="77"/>
    </row>
    <row r="795" ht="15.75" customHeight="1">
      <c r="B795" s="77"/>
      <c r="C795" s="77"/>
      <c r="D795" s="77"/>
      <c r="E795" s="109"/>
      <c r="F795" s="77"/>
      <c r="G795" s="77"/>
    </row>
    <row r="796" ht="15.75" customHeight="1">
      <c r="B796" s="77"/>
      <c r="C796" s="77"/>
      <c r="D796" s="77"/>
      <c r="E796" s="109"/>
      <c r="F796" s="77"/>
      <c r="G796" s="77"/>
    </row>
    <row r="797" ht="15.75" customHeight="1">
      <c r="B797" s="77"/>
      <c r="C797" s="77"/>
      <c r="D797" s="77"/>
      <c r="E797" s="109"/>
      <c r="F797" s="77"/>
      <c r="G797" s="77"/>
    </row>
    <row r="798" ht="15.75" customHeight="1">
      <c r="B798" s="77"/>
      <c r="C798" s="77"/>
      <c r="D798" s="77"/>
      <c r="E798" s="109"/>
      <c r="F798" s="77"/>
      <c r="G798" s="77"/>
    </row>
    <row r="799" ht="15.75" customHeight="1">
      <c r="B799" s="77"/>
      <c r="C799" s="77"/>
      <c r="D799" s="77"/>
      <c r="E799" s="109"/>
      <c r="F799" s="77"/>
      <c r="G799" s="77"/>
    </row>
    <row r="800" ht="15.75" customHeight="1">
      <c r="B800" s="77"/>
      <c r="C800" s="77"/>
      <c r="D800" s="77"/>
      <c r="E800" s="109"/>
      <c r="F800" s="77"/>
      <c r="G800" s="77"/>
    </row>
    <row r="801" ht="15.75" customHeight="1">
      <c r="B801" s="77"/>
      <c r="C801" s="77"/>
      <c r="D801" s="77"/>
      <c r="E801" s="109"/>
      <c r="F801" s="77"/>
      <c r="G801" s="77"/>
    </row>
    <row r="802" ht="15.75" customHeight="1">
      <c r="B802" s="77"/>
      <c r="C802" s="77"/>
      <c r="D802" s="77"/>
      <c r="E802" s="109"/>
      <c r="F802" s="77"/>
      <c r="G802" s="77"/>
    </row>
    <row r="803" ht="15.75" customHeight="1">
      <c r="B803" s="77"/>
      <c r="C803" s="77"/>
      <c r="D803" s="77"/>
      <c r="E803" s="109"/>
      <c r="F803" s="77"/>
      <c r="G803" s="77"/>
    </row>
    <row r="804" ht="15.75" customHeight="1">
      <c r="B804" s="77"/>
      <c r="C804" s="77"/>
      <c r="D804" s="77"/>
      <c r="E804" s="109"/>
      <c r="F804" s="77"/>
      <c r="G804" s="77"/>
    </row>
    <row r="805" ht="15.75" customHeight="1">
      <c r="B805" s="77"/>
      <c r="C805" s="77"/>
      <c r="D805" s="77"/>
      <c r="E805" s="109"/>
      <c r="F805" s="77"/>
      <c r="G805" s="77"/>
    </row>
    <row r="806" ht="15.75" customHeight="1">
      <c r="B806" s="77"/>
      <c r="C806" s="77"/>
      <c r="D806" s="77"/>
      <c r="E806" s="109"/>
      <c r="F806" s="77"/>
      <c r="G806" s="77"/>
    </row>
    <row r="807" ht="15.75" customHeight="1">
      <c r="B807" s="77"/>
      <c r="C807" s="77"/>
      <c r="D807" s="77"/>
      <c r="E807" s="109"/>
      <c r="F807" s="77"/>
      <c r="G807" s="77"/>
    </row>
    <row r="808" ht="15.75" customHeight="1">
      <c r="B808" s="77"/>
      <c r="C808" s="77"/>
      <c r="D808" s="77"/>
      <c r="E808" s="109"/>
      <c r="F808" s="77"/>
      <c r="G808" s="77"/>
    </row>
    <row r="809" ht="15.75" customHeight="1">
      <c r="B809" s="77"/>
      <c r="C809" s="77"/>
      <c r="D809" s="77"/>
      <c r="E809" s="109"/>
      <c r="F809" s="77"/>
      <c r="G809" s="77"/>
    </row>
    <row r="810" ht="15.75" customHeight="1">
      <c r="B810" s="77"/>
      <c r="C810" s="77"/>
      <c r="D810" s="77"/>
      <c r="E810" s="109"/>
      <c r="F810" s="77"/>
      <c r="G810" s="77"/>
    </row>
    <row r="811" ht="15.75" customHeight="1">
      <c r="B811" s="77"/>
      <c r="C811" s="77"/>
      <c r="D811" s="77"/>
      <c r="E811" s="109"/>
      <c r="F811" s="77"/>
      <c r="G811" s="77"/>
    </row>
    <row r="812" ht="15.75" customHeight="1">
      <c r="B812" s="77"/>
      <c r="C812" s="77"/>
      <c r="D812" s="77"/>
      <c r="E812" s="109"/>
      <c r="F812" s="77"/>
      <c r="G812" s="77"/>
    </row>
    <row r="813" ht="15.75" customHeight="1">
      <c r="B813" s="77"/>
      <c r="C813" s="77"/>
      <c r="D813" s="77"/>
      <c r="E813" s="109"/>
      <c r="F813" s="77"/>
      <c r="G813" s="77"/>
    </row>
    <row r="814" ht="15.75" customHeight="1">
      <c r="B814" s="77"/>
      <c r="C814" s="77"/>
      <c r="D814" s="77"/>
      <c r="E814" s="109"/>
      <c r="F814" s="77"/>
      <c r="G814" s="77"/>
    </row>
    <row r="815" ht="15.75" customHeight="1">
      <c r="B815" s="77"/>
      <c r="C815" s="77"/>
      <c r="D815" s="77"/>
      <c r="E815" s="109"/>
      <c r="F815" s="77"/>
      <c r="G815" s="77"/>
    </row>
    <row r="816" ht="15.75" customHeight="1">
      <c r="B816" s="77"/>
      <c r="C816" s="77"/>
      <c r="D816" s="77"/>
      <c r="E816" s="109"/>
      <c r="F816" s="77"/>
      <c r="G816" s="77"/>
    </row>
    <row r="817" ht="15.75" customHeight="1">
      <c r="B817" s="77"/>
      <c r="C817" s="77"/>
      <c r="D817" s="77"/>
      <c r="E817" s="109"/>
      <c r="F817" s="77"/>
      <c r="G817" s="77"/>
    </row>
    <row r="818" ht="15.75" customHeight="1">
      <c r="B818" s="77"/>
      <c r="C818" s="77"/>
      <c r="D818" s="77"/>
      <c r="E818" s="109"/>
      <c r="F818" s="77"/>
      <c r="G818" s="77"/>
    </row>
    <row r="819" ht="15.75" customHeight="1">
      <c r="B819" s="77"/>
      <c r="C819" s="77"/>
      <c r="D819" s="77"/>
      <c r="E819" s="109"/>
      <c r="F819" s="77"/>
      <c r="G819" s="77"/>
    </row>
    <row r="820" ht="15.75" customHeight="1">
      <c r="B820" s="77"/>
      <c r="C820" s="77"/>
      <c r="D820" s="77"/>
      <c r="E820" s="109"/>
      <c r="F820" s="77"/>
      <c r="G820" s="77"/>
    </row>
    <row r="821" ht="15.75" customHeight="1">
      <c r="B821" s="77"/>
      <c r="C821" s="77"/>
      <c r="D821" s="77"/>
      <c r="E821" s="109"/>
      <c r="F821" s="77"/>
      <c r="G821" s="77"/>
    </row>
    <row r="822" ht="15.75" customHeight="1">
      <c r="B822" s="77"/>
      <c r="C822" s="77"/>
      <c r="D822" s="77"/>
      <c r="E822" s="109"/>
      <c r="F822" s="77"/>
      <c r="G822" s="77"/>
    </row>
    <row r="823" ht="15.75" customHeight="1">
      <c r="B823" s="77"/>
      <c r="C823" s="77"/>
      <c r="D823" s="77"/>
      <c r="E823" s="109"/>
      <c r="F823" s="77"/>
      <c r="G823" s="77"/>
    </row>
    <row r="824" ht="15.75" customHeight="1">
      <c r="B824" s="77"/>
      <c r="C824" s="77"/>
      <c r="D824" s="77"/>
      <c r="E824" s="109"/>
      <c r="F824" s="77"/>
      <c r="G824" s="77"/>
    </row>
    <row r="825" ht="15.75" customHeight="1">
      <c r="B825" s="77"/>
      <c r="C825" s="77"/>
      <c r="D825" s="77"/>
      <c r="E825" s="109"/>
      <c r="F825" s="77"/>
      <c r="G825" s="77"/>
    </row>
    <row r="826" ht="15.75" customHeight="1">
      <c r="B826" s="77"/>
      <c r="C826" s="77"/>
      <c r="D826" s="77"/>
      <c r="E826" s="109"/>
      <c r="F826" s="77"/>
      <c r="G826" s="77"/>
    </row>
    <row r="827" ht="15.75" customHeight="1">
      <c r="B827" s="77"/>
      <c r="C827" s="77"/>
      <c r="D827" s="77"/>
      <c r="E827" s="109"/>
      <c r="F827" s="77"/>
      <c r="G827" s="77"/>
    </row>
    <row r="828" ht="15.75" customHeight="1">
      <c r="B828" s="77"/>
      <c r="C828" s="77"/>
      <c r="D828" s="77"/>
      <c r="E828" s="109"/>
      <c r="F828" s="77"/>
      <c r="G828" s="77"/>
    </row>
    <row r="829" ht="15.75" customHeight="1">
      <c r="B829" s="77"/>
      <c r="C829" s="77"/>
      <c r="D829" s="77"/>
      <c r="E829" s="109"/>
      <c r="F829" s="77"/>
      <c r="G829" s="77"/>
    </row>
    <row r="830" ht="15.75" customHeight="1">
      <c r="B830" s="77"/>
      <c r="C830" s="77"/>
      <c r="D830" s="77"/>
      <c r="E830" s="109"/>
      <c r="F830" s="77"/>
      <c r="G830" s="77"/>
    </row>
    <row r="831" ht="15.75" customHeight="1">
      <c r="B831" s="77"/>
      <c r="C831" s="77"/>
      <c r="D831" s="77"/>
      <c r="E831" s="109"/>
      <c r="F831" s="77"/>
      <c r="G831" s="77"/>
    </row>
    <row r="832" ht="15.75" customHeight="1">
      <c r="B832" s="77"/>
      <c r="C832" s="77"/>
      <c r="D832" s="77"/>
      <c r="E832" s="109"/>
      <c r="F832" s="77"/>
      <c r="G832" s="77"/>
    </row>
    <row r="833" ht="15.75" customHeight="1">
      <c r="B833" s="77"/>
      <c r="C833" s="77"/>
      <c r="D833" s="77"/>
      <c r="E833" s="109"/>
      <c r="F833" s="77"/>
      <c r="G833" s="77"/>
    </row>
    <row r="834" ht="15.75" customHeight="1">
      <c r="B834" s="77"/>
      <c r="C834" s="77"/>
      <c r="D834" s="77"/>
      <c r="E834" s="109"/>
      <c r="F834" s="77"/>
      <c r="G834" s="77"/>
    </row>
    <row r="835" ht="15.75" customHeight="1">
      <c r="B835" s="77"/>
      <c r="C835" s="77"/>
      <c r="D835" s="77"/>
      <c r="E835" s="109"/>
      <c r="F835" s="77"/>
      <c r="G835" s="77"/>
    </row>
    <row r="836" ht="15.75" customHeight="1">
      <c r="B836" s="77"/>
      <c r="C836" s="77"/>
      <c r="D836" s="77"/>
      <c r="E836" s="109"/>
      <c r="F836" s="77"/>
      <c r="G836" s="77"/>
    </row>
    <row r="837" ht="15.75" customHeight="1">
      <c r="B837" s="77"/>
      <c r="C837" s="77"/>
      <c r="D837" s="77"/>
      <c r="E837" s="109"/>
      <c r="F837" s="77"/>
      <c r="G837" s="77"/>
    </row>
    <row r="838" ht="15.75" customHeight="1">
      <c r="B838" s="77"/>
      <c r="C838" s="77"/>
      <c r="D838" s="77"/>
      <c r="E838" s="109"/>
      <c r="F838" s="77"/>
      <c r="G838" s="77"/>
    </row>
    <row r="839" ht="15.75" customHeight="1">
      <c r="B839" s="77"/>
      <c r="C839" s="77"/>
      <c r="D839" s="77"/>
      <c r="E839" s="109"/>
      <c r="F839" s="77"/>
      <c r="G839" s="77"/>
    </row>
    <row r="840" ht="15.75" customHeight="1">
      <c r="B840" s="77"/>
      <c r="C840" s="77"/>
      <c r="D840" s="77"/>
      <c r="E840" s="109"/>
      <c r="F840" s="77"/>
      <c r="G840" s="77"/>
    </row>
    <row r="841" ht="15.75" customHeight="1">
      <c r="B841" s="77"/>
      <c r="C841" s="77"/>
      <c r="D841" s="77"/>
      <c r="E841" s="109"/>
      <c r="F841" s="77"/>
      <c r="G841" s="77"/>
    </row>
    <row r="842" ht="15.75" customHeight="1">
      <c r="B842" s="77"/>
      <c r="C842" s="77"/>
      <c r="D842" s="77"/>
      <c r="E842" s="109"/>
      <c r="F842" s="77"/>
      <c r="G842" s="77"/>
    </row>
    <row r="843" ht="15.75" customHeight="1">
      <c r="B843" s="77"/>
      <c r="C843" s="77"/>
      <c r="D843" s="77"/>
      <c r="E843" s="109"/>
      <c r="F843" s="77"/>
      <c r="G843" s="77"/>
    </row>
    <row r="844" ht="15.75" customHeight="1">
      <c r="B844" s="77"/>
      <c r="C844" s="77"/>
      <c r="D844" s="77"/>
      <c r="E844" s="109"/>
      <c r="F844" s="77"/>
      <c r="G844" s="77"/>
    </row>
    <row r="845" ht="15.75" customHeight="1">
      <c r="B845" s="77"/>
      <c r="C845" s="77"/>
      <c r="D845" s="77"/>
      <c r="E845" s="109"/>
      <c r="F845" s="77"/>
      <c r="G845" s="77"/>
    </row>
    <row r="846" ht="15.75" customHeight="1">
      <c r="B846" s="77"/>
      <c r="C846" s="77"/>
      <c r="D846" s="77"/>
      <c r="E846" s="109"/>
      <c r="F846" s="77"/>
      <c r="G846" s="77"/>
    </row>
    <row r="847" ht="15.75" customHeight="1">
      <c r="B847" s="77"/>
      <c r="C847" s="77"/>
      <c r="D847" s="77"/>
      <c r="E847" s="109"/>
      <c r="F847" s="77"/>
      <c r="G847" s="77"/>
    </row>
    <row r="848" ht="15.75" customHeight="1">
      <c r="B848" s="77"/>
      <c r="C848" s="77"/>
      <c r="D848" s="77"/>
      <c r="E848" s="109"/>
      <c r="F848" s="77"/>
      <c r="G848" s="77"/>
    </row>
    <row r="849" ht="15.75" customHeight="1">
      <c r="B849" s="77"/>
      <c r="C849" s="77"/>
      <c r="D849" s="77"/>
      <c r="E849" s="109"/>
      <c r="F849" s="77"/>
      <c r="G849" s="77"/>
    </row>
    <row r="850" ht="15.75" customHeight="1">
      <c r="B850" s="77"/>
      <c r="C850" s="77"/>
      <c r="D850" s="77"/>
      <c r="E850" s="109"/>
      <c r="F850" s="77"/>
      <c r="G850" s="77"/>
    </row>
    <row r="851" ht="15.75" customHeight="1">
      <c r="B851" s="77"/>
      <c r="C851" s="77"/>
      <c r="D851" s="77"/>
      <c r="E851" s="109"/>
      <c r="F851" s="77"/>
      <c r="G851" s="77"/>
    </row>
    <row r="852" ht="15.75" customHeight="1">
      <c r="B852" s="77"/>
      <c r="C852" s="77"/>
      <c r="D852" s="77"/>
      <c r="E852" s="109"/>
      <c r="F852" s="77"/>
      <c r="G852" s="77"/>
    </row>
    <row r="853" ht="15.75" customHeight="1">
      <c r="B853" s="77"/>
      <c r="C853" s="77"/>
      <c r="D853" s="77"/>
      <c r="E853" s="109"/>
      <c r="F853" s="77"/>
      <c r="G853" s="77"/>
    </row>
    <row r="854" ht="15.75" customHeight="1">
      <c r="B854" s="77"/>
      <c r="C854" s="77"/>
      <c r="D854" s="77"/>
      <c r="E854" s="109"/>
      <c r="F854" s="77"/>
      <c r="G854" s="77"/>
    </row>
    <row r="855" ht="15.75" customHeight="1">
      <c r="B855" s="77"/>
      <c r="C855" s="77"/>
      <c r="D855" s="77"/>
      <c r="E855" s="109"/>
      <c r="F855" s="77"/>
      <c r="G855" s="77"/>
    </row>
    <row r="856" ht="15.75" customHeight="1">
      <c r="B856" s="77"/>
      <c r="C856" s="77"/>
      <c r="D856" s="77"/>
      <c r="E856" s="109"/>
      <c r="F856" s="77"/>
      <c r="G856" s="77"/>
    </row>
    <row r="857" ht="15.75" customHeight="1">
      <c r="B857" s="77"/>
      <c r="C857" s="77"/>
      <c r="D857" s="77"/>
      <c r="E857" s="109"/>
      <c r="F857" s="77"/>
      <c r="G857" s="77"/>
    </row>
    <row r="858" ht="15.75" customHeight="1">
      <c r="B858" s="77"/>
      <c r="C858" s="77"/>
      <c r="D858" s="77"/>
      <c r="E858" s="109"/>
      <c r="F858" s="77"/>
      <c r="G858" s="77"/>
    </row>
    <row r="859" ht="15.75" customHeight="1">
      <c r="B859" s="77"/>
      <c r="C859" s="77"/>
      <c r="D859" s="77"/>
      <c r="E859" s="109"/>
      <c r="F859" s="77"/>
      <c r="G859" s="77"/>
    </row>
    <row r="860" ht="15.75" customHeight="1">
      <c r="B860" s="77"/>
      <c r="C860" s="77"/>
      <c r="D860" s="77"/>
      <c r="E860" s="109"/>
      <c r="F860" s="77"/>
      <c r="G860" s="77"/>
    </row>
    <row r="861" ht="15.75" customHeight="1">
      <c r="B861" s="77"/>
      <c r="C861" s="77"/>
      <c r="D861" s="77"/>
      <c r="E861" s="109"/>
      <c r="F861" s="77"/>
      <c r="G861" s="77"/>
    </row>
    <row r="862" ht="15.75" customHeight="1">
      <c r="B862" s="77"/>
      <c r="C862" s="77"/>
      <c r="D862" s="77"/>
      <c r="E862" s="109"/>
      <c r="F862" s="77"/>
      <c r="G862" s="77"/>
    </row>
    <row r="863" ht="15.75" customHeight="1">
      <c r="B863" s="77"/>
      <c r="C863" s="77"/>
      <c r="D863" s="77"/>
      <c r="E863" s="109"/>
      <c r="F863" s="77"/>
      <c r="G863" s="77"/>
    </row>
    <row r="864" ht="15.75" customHeight="1">
      <c r="B864" s="77"/>
      <c r="C864" s="77"/>
      <c r="D864" s="77"/>
      <c r="E864" s="109"/>
      <c r="F864" s="77"/>
      <c r="G864" s="77"/>
    </row>
    <row r="865" ht="15.75" customHeight="1">
      <c r="B865" s="77"/>
      <c r="C865" s="77"/>
      <c r="D865" s="77"/>
      <c r="E865" s="109"/>
      <c r="F865" s="77"/>
      <c r="G865" s="77"/>
    </row>
    <row r="866" ht="15.75" customHeight="1">
      <c r="B866" s="77"/>
      <c r="C866" s="77"/>
      <c r="D866" s="77"/>
      <c r="E866" s="109"/>
      <c r="F866" s="77"/>
      <c r="G866" s="77"/>
    </row>
    <row r="867" ht="15.75" customHeight="1">
      <c r="B867" s="77"/>
      <c r="C867" s="77"/>
      <c r="D867" s="77"/>
      <c r="E867" s="109"/>
      <c r="F867" s="77"/>
      <c r="G867" s="77"/>
    </row>
    <row r="868" ht="15.75" customHeight="1">
      <c r="B868" s="77"/>
      <c r="C868" s="77"/>
      <c r="D868" s="77"/>
      <c r="E868" s="109"/>
      <c r="F868" s="77"/>
      <c r="G868" s="77"/>
    </row>
    <row r="869" ht="15.75" customHeight="1">
      <c r="B869" s="77"/>
      <c r="C869" s="77"/>
      <c r="D869" s="77"/>
      <c r="E869" s="109"/>
      <c r="F869" s="77"/>
      <c r="G869" s="77"/>
    </row>
    <row r="870" ht="15.75" customHeight="1">
      <c r="B870" s="77"/>
      <c r="C870" s="77"/>
      <c r="D870" s="77"/>
      <c r="E870" s="109"/>
      <c r="F870" s="77"/>
      <c r="G870" s="77"/>
    </row>
    <row r="871" ht="15.75" customHeight="1">
      <c r="B871" s="77"/>
      <c r="C871" s="77"/>
      <c r="D871" s="77"/>
      <c r="E871" s="109"/>
      <c r="F871" s="77"/>
      <c r="G871" s="77"/>
    </row>
    <row r="872" ht="15.75" customHeight="1">
      <c r="B872" s="77"/>
      <c r="C872" s="77"/>
      <c r="D872" s="77"/>
      <c r="E872" s="109"/>
      <c r="F872" s="77"/>
      <c r="G872" s="77"/>
    </row>
    <row r="873" ht="15.75" customHeight="1">
      <c r="B873" s="77"/>
      <c r="C873" s="77"/>
      <c r="D873" s="77"/>
      <c r="E873" s="109"/>
      <c r="F873" s="77"/>
      <c r="G873" s="77"/>
    </row>
    <row r="874" ht="15.75" customHeight="1">
      <c r="B874" s="77"/>
      <c r="C874" s="77"/>
      <c r="D874" s="77"/>
      <c r="E874" s="109"/>
      <c r="F874" s="77"/>
      <c r="G874" s="77"/>
    </row>
    <row r="875" ht="15.75" customHeight="1">
      <c r="B875" s="77"/>
      <c r="C875" s="77"/>
      <c r="D875" s="77"/>
      <c r="E875" s="109"/>
      <c r="F875" s="77"/>
      <c r="G875" s="77"/>
    </row>
    <row r="876" ht="15.75" customHeight="1">
      <c r="B876" s="77"/>
      <c r="C876" s="77"/>
      <c r="D876" s="77"/>
      <c r="E876" s="109"/>
      <c r="F876" s="77"/>
      <c r="G876" s="77"/>
    </row>
    <row r="877" ht="15.75" customHeight="1">
      <c r="B877" s="77"/>
      <c r="C877" s="77"/>
      <c r="D877" s="77"/>
      <c r="E877" s="109"/>
      <c r="F877" s="77"/>
      <c r="G877" s="77"/>
    </row>
    <row r="878" ht="15.75" customHeight="1">
      <c r="B878" s="77"/>
      <c r="C878" s="77"/>
      <c r="D878" s="77"/>
      <c r="E878" s="109"/>
      <c r="F878" s="77"/>
      <c r="G878" s="77"/>
    </row>
    <row r="879" ht="15.75" customHeight="1">
      <c r="B879" s="77"/>
      <c r="C879" s="77"/>
      <c r="D879" s="77"/>
      <c r="E879" s="109"/>
      <c r="F879" s="77"/>
      <c r="G879" s="77"/>
    </row>
    <row r="880" ht="15.75" customHeight="1">
      <c r="B880" s="77"/>
      <c r="C880" s="77"/>
      <c r="D880" s="77"/>
      <c r="E880" s="109"/>
      <c r="F880" s="77"/>
      <c r="G880" s="77"/>
    </row>
    <row r="881" ht="15.75" customHeight="1">
      <c r="B881" s="77"/>
      <c r="C881" s="77"/>
      <c r="D881" s="77"/>
      <c r="E881" s="109"/>
      <c r="F881" s="77"/>
      <c r="G881" s="77"/>
    </row>
    <row r="882" ht="15.75" customHeight="1">
      <c r="B882" s="77"/>
      <c r="C882" s="77"/>
      <c r="D882" s="77"/>
      <c r="E882" s="109"/>
      <c r="F882" s="77"/>
      <c r="G882" s="77"/>
    </row>
    <row r="883" ht="15.75" customHeight="1">
      <c r="B883" s="77"/>
      <c r="C883" s="77"/>
      <c r="D883" s="77"/>
      <c r="E883" s="109"/>
      <c r="F883" s="77"/>
      <c r="G883" s="77"/>
    </row>
    <row r="884" ht="15.75" customHeight="1">
      <c r="B884" s="77"/>
      <c r="C884" s="77"/>
      <c r="D884" s="77"/>
      <c r="E884" s="109"/>
      <c r="F884" s="77"/>
      <c r="G884" s="77"/>
    </row>
    <row r="885" ht="15.75" customHeight="1">
      <c r="B885" s="77"/>
      <c r="C885" s="77"/>
      <c r="D885" s="77"/>
      <c r="E885" s="109"/>
      <c r="F885" s="77"/>
      <c r="G885" s="77"/>
    </row>
    <row r="886" ht="15.75" customHeight="1">
      <c r="B886" s="77"/>
      <c r="C886" s="77"/>
      <c r="D886" s="77"/>
      <c r="E886" s="109"/>
      <c r="F886" s="77"/>
      <c r="G886" s="77"/>
    </row>
    <row r="887" ht="15.75" customHeight="1">
      <c r="B887" s="77"/>
      <c r="C887" s="77"/>
      <c r="D887" s="77"/>
      <c r="E887" s="109"/>
      <c r="F887" s="77"/>
      <c r="G887" s="77"/>
    </row>
    <row r="888" ht="15.75" customHeight="1">
      <c r="B888" s="77"/>
      <c r="C888" s="77"/>
      <c r="D888" s="77"/>
      <c r="E888" s="109"/>
      <c r="F888" s="77"/>
      <c r="G888" s="77"/>
    </row>
    <row r="889" ht="15.75" customHeight="1">
      <c r="B889" s="77"/>
      <c r="C889" s="77"/>
      <c r="D889" s="77"/>
      <c r="E889" s="109"/>
      <c r="F889" s="77"/>
      <c r="G889" s="77"/>
    </row>
    <row r="890" ht="15.75" customHeight="1">
      <c r="B890" s="77"/>
      <c r="C890" s="77"/>
      <c r="D890" s="77"/>
      <c r="E890" s="109"/>
      <c r="F890" s="77"/>
      <c r="G890" s="77"/>
    </row>
    <row r="891" ht="15.75" customHeight="1">
      <c r="B891" s="77"/>
      <c r="C891" s="77"/>
      <c r="D891" s="77"/>
      <c r="E891" s="109"/>
      <c r="F891" s="77"/>
      <c r="G891" s="77"/>
    </row>
    <row r="892" ht="15.75" customHeight="1">
      <c r="B892" s="77"/>
      <c r="C892" s="77"/>
      <c r="D892" s="77"/>
      <c r="E892" s="109"/>
      <c r="F892" s="77"/>
      <c r="G892" s="77"/>
    </row>
    <row r="893" ht="15.75" customHeight="1">
      <c r="B893" s="77"/>
      <c r="C893" s="77"/>
      <c r="D893" s="77"/>
      <c r="E893" s="109"/>
      <c r="F893" s="77"/>
      <c r="G893" s="77"/>
    </row>
    <row r="894" ht="15.75" customHeight="1">
      <c r="B894" s="77"/>
      <c r="C894" s="77"/>
      <c r="D894" s="77"/>
      <c r="E894" s="109"/>
      <c r="F894" s="77"/>
      <c r="G894" s="77"/>
    </row>
    <row r="895" ht="15.75" customHeight="1">
      <c r="B895" s="77"/>
      <c r="C895" s="77"/>
      <c r="D895" s="77"/>
      <c r="E895" s="109"/>
      <c r="F895" s="77"/>
      <c r="G895" s="77"/>
    </row>
    <row r="896" ht="15.75" customHeight="1">
      <c r="B896" s="77"/>
      <c r="C896" s="77"/>
      <c r="D896" s="77"/>
      <c r="E896" s="109"/>
      <c r="F896" s="77"/>
      <c r="G896" s="77"/>
    </row>
    <row r="897" ht="15.75" customHeight="1">
      <c r="B897" s="77"/>
      <c r="C897" s="77"/>
      <c r="D897" s="77"/>
      <c r="E897" s="109"/>
      <c r="F897" s="77"/>
      <c r="G897" s="77"/>
    </row>
    <row r="898" ht="15.75" customHeight="1">
      <c r="B898" s="77"/>
      <c r="C898" s="77"/>
      <c r="D898" s="77"/>
      <c r="E898" s="109"/>
      <c r="F898" s="77"/>
      <c r="G898" s="77"/>
    </row>
    <row r="899" ht="15.75" customHeight="1">
      <c r="B899" s="77"/>
      <c r="C899" s="77"/>
      <c r="D899" s="77"/>
      <c r="E899" s="109"/>
      <c r="F899" s="77"/>
      <c r="G899" s="77"/>
    </row>
    <row r="900" ht="15.75" customHeight="1">
      <c r="B900" s="77"/>
      <c r="C900" s="77"/>
      <c r="D900" s="77"/>
      <c r="E900" s="109"/>
      <c r="F900" s="77"/>
      <c r="G900" s="77"/>
    </row>
    <row r="901" ht="15.75" customHeight="1">
      <c r="B901" s="77"/>
      <c r="C901" s="77"/>
      <c r="D901" s="77"/>
      <c r="E901" s="109"/>
      <c r="F901" s="77"/>
      <c r="G901" s="77"/>
    </row>
    <row r="902" ht="15.75" customHeight="1">
      <c r="B902" s="77"/>
      <c r="C902" s="77"/>
      <c r="D902" s="77"/>
      <c r="E902" s="109"/>
      <c r="F902" s="77"/>
      <c r="G902" s="77"/>
    </row>
    <row r="903" ht="15.75" customHeight="1">
      <c r="B903" s="77"/>
      <c r="C903" s="77"/>
      <c r="D903" s="77"/>
      <c r="E903" s="109"/>
      <c r="F903" s="77"/>
      <c r="G903" s="77"/>
    </row>
    <row r="904" ht="15.75" customHeight="1">
      <c r="B904" s="77"/>
      <c r="C904" s="77"/>
      <c r="D904" s="77"/>
      <c r="E904" s="109"/>
      <c r="F904" s="77"/>
      <c r="G904" s="77"/>
    </row>
    <row r="905" ht="15.75" customHeight="1">
      <c r="B905" s="77"/>
      <c r="C905" s="77"/>
      <c r="D905" s="77"/>
      <c r="E905" s="109"/>
      <c r="F905" s="77"/>
      <c r="G905" s="77"/>
    </row>
    <row r="906" ht="15.75" customHeight="1">
      <c r="B906" s="77"/>
      <c r="C906" s="77"/>
      <c r="D906" s="77"/>
      <c r="E906" s="109"/>
      <c r="F906" s="77"/>
      <c r="G906" s="77"/>
    </row>
    <row r="907" ht="15.75" customHeight="1">
      <c r="B907" s="77"/>
      <c r="C907" s="77"/>
      <c r="D907" s="77"/>
      <c r="E907" s="109"/>
      <c r="F907" s="77"/>
      <c r="G907" s="77"/>
    </row>
    <row r="908" ht="15.75" customHeight="1">
      <c r="B908" s="77"/>
      <c r="C908" s="77"/>
      <c r="D908" s="77"/>
      <c r="E908" s="109"/>
      <c r="F908" s="77"/>
      <c r="G908" s="77"/>
    </row>
    <row r="909" ht="15.75" customHeight="1">
      <c r="B909" s="77"/>
      <c r="C909" s="77"/>
      <c r="D909" s="77"/>
      <c r="E909" s="109"/>
      <c r="F909" s="77"/>
      <c r="G909" s="77"/>
    </row>
    <row r="910" ht="15.75" customHeight="1">
      <c r="B910" s="77"/>
      <c r="C910" s="77"/>
      <c r="D910" s="77"/>
      <c r="E910" s="109"/>
      <c r="F910" s="77"/>
      <c r="G910" s="77"/>
    </row>
    <row r="911" ht="15.75" customHeight="1">
      <c r="B911" s="77"/>
      <c r="C911" s="77"/>
      <c r="D911" s="77"/>
      <c r="E911" s="109"/>
      <c r="F911" s="77"/>
      <c r="G911" s="77"/>
    </row>
    <row r="912" ht="15.75" customHeight="1">
      <c r="B912" s="77"/>
      <c r="C912" s="77"/>
      <c r="D912" s="77"/>
      <c r="E912" s="109"/>
      <c r="F912" s="77"/>
      <c r="G912" s="77"/>
    </row>
    <row r="913" ht="15.75" customHeight="1">
      <c r="B913" s="77"/>
      <c r="C913" s="77"/>
      <c r="D913" s="77"/>
      <c r="E913" s="109"/>
      <c r="F913" s="77"/>
      <c r="G913" s="77"/>
    </row>
    <row r="914" ht="15.75" customHeight="1">
      <c r="B914" s="77"/>
      <c r="C914" s="77"/>
      <c r="D914" s="77"/>
      <c r="E914" s="109"/>
      <c r="F914" s="77"/>
      <c r="G914" s="77"/>
    </row>
    <row r="915" ht="15.75" customHeight="1">
      <c r="B915" s="77"/>
      <c r="C915" s="77"/>
      <c r="D915" s="77"/>
      <c r="E915" s="109"/>
      <c r="F915" s="77"/>
      <c r="G915" s="77"/>
    </row>
    <row r="916" ht="15.75" customHeight="1">
      <c r="B916" s="77"/>
      <c r="C916" s="77"/>
      <c r="D916" s="77"/>
      <c r="E916" s="109"/>
      <c r="F916" s="77"/>
      <c r="G916" s="77"/>
    </row>
    <row r="917" ht="15.75" customHeight="1">
      <c r="B917" s="77"/>
      <c r="C917" s="77"/>
      <c r="D917" s="77"/>
      <c r="E917" s="109"/>
      <c r="F917" s="77"/>
      <c r="G917" s="77"/>
    </row>
    <row r="918" ht="15.75" customHeight="1">
      <c r="B918" s="77"/>
      <c r="C918" s="77"/>
      <c r="D918" s="77"/>
      <c r="E918" s="109"/>
      <c r="F918" s="77"/>
      <c r="G918" s="77"/>
    </row>
    <row r="919" ht="15.75" customHeight="1">
      <c r="B919" s="77"/>
      <c r="C919" s="77"/>
      <c r="D919" s="77"/>
      <c r="E919" s="109"/>
      <c r="F919" s="77"/>
      <c r="G919" s="77"/>
    </row>
    <row r="920" ht="15.75" customHeight="1">
      <c r="B920" s="77"/>
      <c r="C920" s="77"/>
      <c r="D920" s="77"/>
      <c r="E920" s="109"/>
      <c r="F920" s="77"/>
      <c r="G920" s="77"/>
    </row>
    <row r="921" ht="15.75" customHeight="1">
      <c r="B921" s="77"/>
      <c r="C921" s="77"/>
      <c r="D921" s="77"/>
      <c r="E921" s="109"/>
      <c r="F921" s="77"/>
      <c r="G921" s="77"/>
    </row>
    <row r="922" ht="15.75" customHeight="1">
      <c r="B922" s="77"/>
      <c r="C922" s="77"/>
      <c r="D922" s="77"/>
      <c r="E922" s="109"/>
      <c r="F922" s="77"/>
      <c r="G922" s="77"/>
    </row>
    <row r="923" ht="15.75" customHeight="1">
      <c r="B923" s="77"/>
      <c r="C923" s="77"/>
      <c r="D923" s="77"/>
      <c r="E923" s="109"/>
      <c r="F923" s="77"/>
      <c r="G923" s="77"/>
    </row>
    <row r="924" ht="15.75" customHeight="1">
      <c r="B924" s="77"/>
      <c r="C924" s="77"/>
      <c r="D924" s="77"/>
      <c r="E924" s="109"/>
      <c r="F924" s="77"/>
      <c r="G924" s="77"/>
    </row>
    <row r="925" ht="15.75" customHeight="1">
      <c r="B925" s="77"/>
      <c r="C925" s="77"/>
      <c r="D925" s="77"/>
      <c r="E925" s="109"/>
      <c r="F925" s="77"/>
      <c r="G925" s="77"/>
    </row>
    <row r="926" ht="15.75" customHeight="1">
      <c r="B926" s="77"/>
      <c r="C926" s="77"/>
      <c r="D926" s="77"/>
      <c r="E926" s="109"/>
      <c r="F926" s="77"/>
      <c r="G926" s="77"/>
    </row>
    <row r="927" ht="15.75" customHeight="1">
      <c r="B927" s="77"/>
      <c r="C927" s="77"/>
      <c r="D927" s="77"/>
      <c r="E927" s="109"/>
      <c r="F927" s="77"/>
      <c r="G927" s="77"/>
    </row>
    <row r="928" ht="15.75" customHeight="1">
      <c r="B928" s="77"/>
      <c r="C928" s="77"/>
      <c r="D928" s="77"/>
      <c r="E928" s="109"/>
      <c r="F928" s="77"/>
      <c r="G928" s="77"/>
    </row>
    <row r="929" ht="15.75" customHeight="1">
      <c r="B929" s="77"/>
      <c r="C929" s="77"/>
      <c r="D929" s="77"/>
      <c r="E929" s="109"/>
      <c r="F929" s="77"/>
      <c r="G929" s="77"/>
    </row>
    <row r="930" ht="15.75" customHeight="1">
      <c r="B930" s="77"/>
      <c r="C930" s="77"/>
      <c r="D930" s="77"/>
      <c r="E930" s="109"/>
      <c r="F930" s="77"/>
      <c r="G930" s="77"/>
    </row>
    <row r="931" ht="15.75" customHeight="1">
      <c r="B931" s="77"/>
      <c r="C931" s="77"/>
      <c r="D931" s="77"/>
      <c r="E931" s="109"/>
      <c r="F931" s="77"/>
      <c r="G931" s="77"/>
    </row>
    <row r="932" ht="15.75" customHeight="1">
      <c r="B932" s="77"/>
      <c r="C932" s="77"/>
      <c r="D932" s="77"/>
      <c r="E932" s="109"/>
      <c r="F932" s="77"/>
      <c r="G932" s="77"/>
    </row>
    <row r="933" ht="15.75" customHeight="1">
      <c r="B933" s="77"/>
      <c r="C933" s="77"/>
      <c r="D933" s="77"/>
      <c r="E933" s="109"/>
      <c r="F933" s="77"/>
      <c r="G933" s="77"/>
    </row>
    <row r="934" ht="15.75" customHeight="1">
      <c r="B934" s="77"/>
      <c r="C934" s="77"/>
      <c r="D934" s="77"/>
      <c r="E934" s="109"/>
      <c r="F934" s="77"/>
      <c r="G934" s="77"/>
    </row>
    <row r="935" ht="15.75" customHeight="1">
      <c r="B935" s="77"/>
      <c r="C935" s="77"/>
      <c r="D935" s="77"/>
      <c r="E935" s="109"/>
      <c r="F935" s="77"/>
      <c r="G935" s="77"/>
    </row>
    <row r="936" ht="15.75" customHeight="1">
      <c r="B936" s="77"/>
      <c r="C936" s="77"/>
      <c r="D936" s="77"/>
      <c r="E936" s="109"/>
      <c r="F936" s="77"/>
      <c r="G936" s="77"/>
    </row>
    <row r="937" ht="15.75" customHeight="1">
      <c r="B937" s="77"/>
      <c r="C937" s="77"/>
      <c r="D937" s="77"/>
      <c r="E937" s="109"/>
      <c r="F937" s="77"/>
      <c r="G937" s="77"/>
    </row>
    <row r="938" ht="15.75" customHeight="1">
      <c r="B938" s="77"/>
      <c r="C938" s="77"/>
      <c r="D938" s="77"/>
      <c r="E938" s="109"/>
      <c r="F938" s="77"/>
      <c r="G938" s="77"/>
    </row>
    <row r="939" ht="15.75" customHeight="1">
      <c r="B939" s="77"/>
      <c r="C939" s="77"/>
      <c r="D939" s="77"/>
      <c r="E939" s="109"/>
      <c r="F939" s="77"/>
      <c r="G939" s="77"/>
    </row>
    <row r="940" ht="15.75" customHeight="1">
      <c r="B940" s="77"/>
      <c r="C940" s="77"/>
      <c r="D940" s="77"/>
      <c r="E940" s="109"/>
      <c r="F940" s="77"/>
      <c r="G940" s="77"/>
    </row>
    <row r="941" ht="15.75" customHeight="1">
      <c r="B941" s="77"/>
      <c r="C941" s="77"/>
      <c r="D941" s="77"/>
      <c r="E941" s="109"/>
      <c r="F941" s="77"/>
      <c r="G941" s="77"/>
    </row>
    <row r="942" ht="15.75" customHeight="1">
      <c r="B942" s="77"/>
      <c r="C942" s="77"/>
      <c r="D942" s="77"/>
      <c r="E942" s="109"/>
      <c r="F942" s="77"/>
      <c r="G942" s="77"/>
    </row>
    <row r="943" ht="15.75" customHeight="1">
      <c r="B943" s="77"/>
      <c r="C943" s="77"/>
      <c r="D943" s="77"/>
      <c r="E943" s="109"/>
      <c r="F943" s="77"/>
      <c r="G943" s="77"/>
    </row>
    <row r="944" ht="15.75" customHeight="1">
      <c r="B944" s="77"/>
      <c r="C944" s="77"/>
      <c r="D944" s="77"/>
      <c r="E944" s="109"/>
      <c r="F944" s="77"/>
      <c r="G944" s="77"/>
    </row>
    <row r="945" ht="15.75" customHeight="1">
      <c r="B945" s="77"/>
      <c r="C945" s="77"/>
      <c r="D945" s="77"/>
      <c r="E945" s="109"/>
      <c r="F945" s="77"/>
      <c r="G945" s="77"/>
    </row>
    <row r="946" ht="15.75" customHeight="1">
      <c r="B946" s="77"/>
      <c r="C946" s="77"/>
      <c r="D946" s="77"/>
      <c r="E946" s="109"/>
      <c r="F946" s="77"/>
      <c r="G946" s="77"/>
    </row>
    <row r="947" ht="15.75" customHeight="1">
      <c r="B947" s="77"/>
      <c r="C947" s="77"/>
      <c r="D947" s="77"/>
      <c r="E947" s="109"/>
      <c r="F947" s="77"/>
      <c r="G947" s="77"/>
    </row>
    <row r="948" ht="15.75" customHeight="1">
      <c r="B948" s="77"/>
      <c r="C948" s="77"/>
      <c r="D948" s="77"/>
      <c r="E948" s="109"/>
      <c r="F948" s="77"/>
      <c r="G948" s="77"/>
    </row>
    <row r="949" ht="15.75" customHeight="1">
      <c r="B949" s="77"/>
      <c r="C949" s="77"/>
      <c r="D949" s="77"/>
      <c r="E949" s="109"/>
      <c r="F949" s="77"/>
      <c r="G949" s="77"/>
    </row>
    <row r="950" ht="15.75" customHeight="1">
      <c r="B950" s="77"/>
      <c r="C950" s="77"/>
      <c r="D950" s="77"/>
      <c r="E950" s="109"/>
      <c r="F950" s="77"/>
      <c r="G950" s="77"/>
    </row>
    <row r="951" ht="15.75" customHeight="1">
      <c r="B951" s="77"/>
      <c r="C951" s="77"/>
      <c r="D951" s="77"/>
      <c r="E951" s="109"/>
      <c r="F951" s="77"/>
      <c r="G951" s="77"/>
    </row>
    <row r="952" ht="15.75" customHeight="1">
      <c r="B952" s="77"/>
      <c r="C952" s="77"/>
      <c r="D952" s="77"/>
      <c r="E952" s="109"/>
      <c r="F952" s="77"/>
      <c r="G952" s="77"/>
    </row>
    <row r="953" ht="15.75" customHeight="1">
      <c r="B953" s="77"/>
      <c r="C953" s="77"/>
      <c r="D953" s="77"/>
      <c r="E953" s="109"/>
      <c r="F953" s="77"/>
      <c r="G953" s="77"/>
    </row>
    <row r="954" ht="15.75" customHeight="1">
      <c r="B954" s="77"/>
      <c r="C954" s="77"/>
      <c r="D954" s="77"/>
      <c r="E954" s="109"/>
      <c r="F954" s="77"/>
      <c r="G954" s="77"/>
    </row>
    <row r="955" ht="15.75" customHeight="1">
      <c r="B955" s="77"/>
      <c r="C955" s="77"/>
      <c r="D955" s="77"/>
      <c r="E955" s="109"/>
      <c r="F955" s="77"/>
      <c r="G955" s="77"/>
    </row>
    <row r="956" ht="15.75" customHeight="1">
      <c r="B956" s="77"/>
      <c r="C956" s="77"/>
      <c r="D956" s="77"/>
      <c r="E956" s="109"/>
      <c r="F956" s="77"/>
      <c r="G956" s="77"/>
    </row>
    <row r="957" ht="15.75" customHeight="1">
      <c r="B957" s="77"/>
      <c r="C957" s="77"/>
      <c r="D957" s="77"/>
      <c r="E957" s="109"/>
      <c r="F957" s="77"/>
      <c r="G957" s="77"/>
    </row>
    <row r="958" ht="15.75" customHeight="1">
      <c r="B958" s="77"/>
      <c r="C958" s="77"/>
      <c r="D958" s="77"/>
      <c r="E958" s="109"/>
      <c r="F958" s="77"/>
      <c r="G958" s="77"/>
    </row>
    <row r="959" ht="15.75" customHeight="1">
      <c r="B959" s="77"/>
      <c r="C959" s="77"/>
      <c r="D959" s="77"/>
      <c r="E959" s="109"/>
      <c r="F959" s="77"/>
      <c r="G959" s="77"/>
    </row>
    <row r="960" ht="15.75" customHeight="1">
      <c r="B960" s="77"/>
      <c r="C960" s="77"/>
      <c r="D960" s="77"/>
      <c r="E960" s="109"/>
      <c r="F960" s="77"/>
      <c r="G960" s="77"/>
    </row>
    <row r="961" ht="15.75" customHeight="1">
      <c r="B961" s="77"/>
      <c r="C961" s="77"/>
      <c r="D961" s="77"/>
      <c r="E961" s="109"/>
      <c r="F961" s="77"/>
      <c r="G961" s="77"/>
    </row>
    <row r="962" ht="15.75" customHeight="1">
      <c r="B962" s="77"/>
      <c r="C962" s="77"/>
      <c r="D962" s="77"/>
      <c r="E962" s="109"/>
      <c r="F962" s="77"/>
      <c r="G962" s="77"/>
    </row>
    <row r="963" ht="15.75" customHeight="1">
      <c r="B963" s="77"/>
      <c r="C963" s="77"/>
      <c r="D963" s="77"/>
      <c r="E963" s="109"/>
      <c r="F963" s="77"/>
      <c r="G963" s="77"/>
    </row>
    <row r="964" ht="15.75" customHeight="1">
      <c r="B964" s="77"/>
      <c r="C964" s="77"/>
      <c r="D964" s="77"/>
      <c r="E964" s="109"/>
      <c r="F964" s="77"/>
      <c r="G964" s="77"/>
    </row>
    <row r="965" ht="15.75" customHeight="1">
      <c r="B965" s="77"/>
      <c r="C965" s="77"/>
      <c r="D965" s="77"/>
      <c r="E965" s="109"/>
      <c r="F965" s="77"/>
      <c r="G965" s="77"/>
    </row>
    <row r="966" ht="15.75" customHeight="1">
      <c r="B966" s="77"/>
      <c r="C966" s="77"/>
      <c r="D966" s="77"/>
      <c r="E966" s="109"/>
      <c r="F966" s="77"/>
      <c r="G966" s="77"/>
    </row>
    <row r="967" ht="15.75" customHeight="1">
      <c r="B967" s="77"/>
      <c r="C967" s="77"/>
      <c r="D967" s="77"/>
      <c r="E967" s="109"/>
      <c r="F967" s="77"/>
      <c r="G967" s="77"/>
    </row>
    <row r="968" ht="15.75" customHeight="1">
      <c r="B968" s="77"/>
      <c r="C968" s="77"/>
      <c r="D968" s="77"/>
      <c r="E968" s="109"/>
      <c r="F968" s="77"/>
      <c r="G968" s="77"/>
    </row>
    <row r="969" ht="15.75" customHeight="1">
      <c r="B969" s="77"/>
      <c r="C969" s="77"/>
      <c r="D969" s="77"/>
      <c r="E969" s="109"/>
      <c r="F969" s="77"/>
      <c r="G969" s="77"/>
    </row>
    <row r="970" ht="15.75" customHeight="1">
      <c r="B970" s="77"/>
      <c r="C970" s="77"/>
      <c r="D970" s="77"/>
      <c r="E970" s="109"/>
      <c r="F970" s="77"/>
      <c r="G970" s="77"/>
    </row>
    <row r="971" ht="15.75" customHeight="1">
      <c r="B971" s="77"/>
      <c r="C971" s="77"/>
      <c r="D971" s="77"/>
      <c r="E971" s="109"/>
      <c r="F971" s="77"/>
      <c r="G971" s="77"/>
    </row>
    <row r="972" ht="15.75" customHeight="1">
      <c r="B972" s="77"/>
      <c r="C972" s="77"/>
      <c r="D972" s="77"/>
      <c r="E972" s="109"/>
      <c r="F972" s="77"/>
      <c r="G972" s="77"/>
    </row>
    <row r="973" ht="15.75" customHeight="1">
      <c r="B973" s="77"/>
      <c r="C973" s="77"/>
      <c r="D973" s="77"/>
      <c r="E973" s="109"/>
      <c r="F973" s="77"/>
      <c r="G973" s="77"/>
    </row>
    <row r="974" ht="15.75" customHeight="1">
      <c r="B974" s="77"/>
      <c r="C974" s="77"/>
      <c r="D974" s="77"/>
      <c r="E974" s="109"/>
      <c r="F974" s="77"/>
      <c r="G974" s="77"/>
    </row>
    <row r="975" ht="15.75" customHeight="1">
      <c r="B975" s="77"/>
      <c r="C975" s="77"/>
      <c r="D975" s="77"/>
      <c r="E975" s="109"/>
      <c r="F975" s="77"/>
      <c r="G975" s="77"/>
    </row>
    <row r="976" ht="15.75" customHeight="1">
      <c r="B976" s="77"/>
      <c r="C976" s="77"/>
      <c r="D976" s="77"/>
      <c r="E976" s="109"/>
      <c r="F976" s="77"/>
      <c r="G976" s="77"/>
    </row>
    <row r="977" ht="15.75" customHeight="1">
      <c r="B977" s="77"/>
      <c r="C977" s="77"/>
      <c r="D977" s="77"/>
      <c r="E977" s="109"/>
      <c r="F977" s="77"/>
      <c r="G977" s="77"/>
    </row>
    <row r="978" ht="15.75" customHeight="1">
      <c r="B978" s="77"/>
      <c r="C978" s="77"/>
      <c r="D978" s="77"/>
      <c r="E978" s="109"/>
      <c r="F978" s="77"/>
      <c r="G978" s="77"/>
    </row>
    <row r="979" ht="15.75" customHeight="1">
      <c r="B979" s="77"/>
      <c r="C979" s="77"/>
      <c r="D979" s="77"/>
      <c r="E979" s="109"/>
      <c r="F979" s="77"/>
      <c r="G979" s="77"/>
    </row>
    <row r="980" ht="15.75" customHeight="1">
      <c r="B980" s="77"/>
      <c r="C980" s="77"/>
      <c r="D980" s="77"/>
      <c r="E980" s="109"/>
      <c r="F980" s="77"/>
      <c r="G980" s="77"/>
    </row>
    <row r="981" ht="15.75" customHeight="1">
      <c r="B981" s="77"/>
      <c r="C981" s="77"/>
      <c r="D981" s="77"/>
      <c r="E981" s="109"/>
      <c r="F981" s="77"/>
      <c r="G981" s="77"/>
    </row>
    <row r="982" ht="15.75" customHeight="1">
      <c r="B982" s="77"/>
      <c r="C982" s="77"/>
      <c r="D982" s="77"/>
      <c r="E982" s="109"/>
      <c r="F982" s="77"/>
      <c r="G982" s="77"/>
    </row>
    <row r="983" ht="15.75" customHeight="1">
      <c r="B983" s="77"/>
      <c r="C983" s="77"/>
      <c r="D983" s="77"/>
      <c r="E983" s="109"/>
      <c r="F983" s="77"/>
      <c r="G983" s="77"/>
    </row>
    <row r="984" ht="15.75" customHeight="1">
      <c r="B984" s="77"/>
      <c r="C984" s="77"/>
      <c r="D984" s="77"/>
      <c r="E984" s="109"/>
      <c r="F984" s="77"/>
      <c r="G984" s="77"/>
    </row>
    <row r="985" ht="15.75" customHeight="1">
      <c r="B985" s="77"/>
      <c r="C985" s="77"/>
      <c r="D985" s="77"/>
      <c r="E985" s="109"/>
      <c r="F985" s="77"/>
      <c r="G985" s="77"/>
    </row>
    <row r="986" ht="15.75" customHeight="1">
      <c r="B986" s="77"/>
      <c r="C986" s="77"/>
      <c r="D986" s="77"/>
      <c r="E986" s="109"/>
      <c r="F986" s="77"/>
      <c r="G986" s="77"/>
    </row>
    <row r="987" ht="15.75" customHeight="1">
      <c r="B987" s="77"/>
      <c r="C987" s="77"/>
      <c r="D987" s="77"/>
      <c r="E987" s="109"/>
      <c r="F987" s="77"/>
      <c r="G987" s="77"/>
    </row>
    <row r="988" ht="15.75" customHeight="1">
      <c r="B988" s="77"/>
      <c r="C988" s="77"/>
      <c r="D988" s="77"/>
      <c r="E988" s="109"/>
      <c r="F988" s="77"/>
      <c r="G988" s="77"/>
    </row>
    <row r="989" ht="15.75" customHeight="1">
      <c r="B989" s="77"/>
      <c r="C989" s="77"/>
      <c r="D989" s="77"/>
      <c r="E989" s="109"/>
      <c r="F989" s="77"/>
      <c r="G989" s="77"/>
    </row>
    <row r="990" ht="15.75" customHeight="1">
      <c r="B990" s="77"/>
      <c r="C990" s="77"/>
      <c r="D990" s="77"/>
      <c r="E990" s="109"/>
      <c r="F990" s="77"/>
      <c r="G990" s="77"/>
    </row>
    <row r="991" ht="15.75" customHeight="1">
      <c r="B991" s="77"/>
      <c r="C991" s="77"/>
      <c r="D991" s="77"/>
      <c r="E991" s="109"/>
      <c r="F991" s="77"/>
      <c r="G991" s="77"/>
    </row>
    <row r="992" ht="15.75" customHeight="1">
      <c r="B992" s="77"/>
      <c r="C992" s="77"/>
      <c r="D992" s="77"/>
      <c r="E992" s="109"/>
      <c r="F992" s="77"/>
      <c r="G992" s="77"/>
    </row>
  </sheetData>
  <autoFilter ref="$A$3:$AA$521">
    <sortState ref="A3:AA521">
      <sortCondition ref="D3:D521"/>
      <sortCondition ref="B3:B521"/>
      <sortCondition ref="A3:A521"/>
      <sortCondition descending="1" ref="H3:H521"/>
      <sortCondition ref="L3:L521"/>
      <sortCondition ref="E3:E521"/>
    </sortState>
  </autoFilter>
  <dataValidations>
    <dataValidation type="list" allowBlank="1" showErrorMessage="1" sqref="B4:B566">
      <formula1>ABSENSI!$B$7:$B$65</formula1>
    </dataValidation>
    <dataValidation type="list" allowBlank="1" showErrorMessage="1" sqref="L4:M566">
      <formula1>"Ita Ernia,Imelynia PS,Fahmi,Moch Anis Fatony"</formula1>
    </dataValidation>
  </dataValidations>
  <hyperlinks>
    <hyperlink r:id="rId1" ref="D106"/>
    <hyperlink r:id="rId2" ref="D107"/>
    <hyperlink r:id="rId3" ref="D108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4.43" defaultRowHeight="15.0"/>
  <cols>
    <col customWidth="1" min="1" max="1" width="6.29"/>
    <col customWidth="1" min="2" max="2" width="29.29"/>
    <col customWidth="1" min="3" max="3" width="15.57"/>
    <col customWidth="1" min="4" max="4" width="13.14"/>
    <col customWidth="1" min="5" max="5" width="8.71"/>
    <col customWidth="1" min="6" max="36" width="8.0"/>
  </cols>
  <sheetData>
    <row r="1">
      <c r="A1" s="1"/>
      <c r="B1" s="2"/>
      <c r="E1" s="7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/>
      <c r="B2" s="2"/>
      <c r="E2" s="7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/>
      <c r="B3" s="2"/>
      <c r="E3" s="7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7" t="s">
        <v>1</v>
      </c>
      <c r="B4" s="7" t="s">
        <v>2</v>
      </c>
      <c r="C4" s="7" t="s">
        <v>3</v>
      </c>
      <c r="D4" s="7"/>
      <c r="E4" s="9" t="s">
        <v>1298</v>
      </c>
      <c r="F4" s="11" t="str">
        <f t="shared" ref="F4:AI4" si="1">LEFT(TEXT(F5,"DDDD"),3)</f>
        <v>Sel</v>
      </c>
      <c r="G4" s="11" t="str">
        <f t="shared" si="1"/>
        <v>Rab</v>
      </c>
      <c r="H4" s="11" t="str">
        <f t="shared" si="1"/>
        <v>Kam</v>
      </c>
      <c r="I4" s="11" t="str">
        <f t="shared" si="1"/>
        <v>Jum</v>
      </c>
      <c r="J4" s="11" t="str">
        <f t="shared" si="1"/>
        <v>Sab</v>
      </c>
      <c r="K4" s="11" t="str">
        <f t="shared" si="1"/>
        <v>Min</v>
      </c>
      <c r="L4" s="11" t="str">
        <f t="shared" si="1"/>
        <v>Sen</v>
      </c>
      <c r="M4" s="11" t="str">
        <f t="shared" si="1"/>
        <v>Sel</v>
      </c>
      <c r="N4" s="11" t="str">
        <f t="shared" si="1"/>
        <v>Rab</v>
      </c>
      <c r="O4" s="11" t="str">
        <f t="shared" si="1"/>
        <v>Kam</v>
      </c>
      <c r="P4" s="11" t="str">
        <f t="shared" si="1"/>
        <v>Jum</v>
      </c>
      <c r="Q4" s="11" t="str">
        <f t="shared" si="1"/>
        <v>Sab</v>
      </c>
      <c r="R4" s="11" t="str">
        <f t="shared" si="1"/>
        <v>Min</v>
      </c>
      <c r="S4" s="11" t="str">
        <f t="shared" si="1"/>
        <v>Sen</v>
      </c>
      <c r="T4" s="11" t="str">
        <f t="shared" si="1"/>
        <v>Sel</v>
      </c>
      <c r="U4" s="11" t="str">
        <f t="shared" si="1"/>
        <v>Rab</v>
      </c>
      <c r="V4" s="11" t="str">
        <f t="shared" si="1"/>
        <v>Kam</v>
      </c>
      <c r="W4" s="11" t="str">
        <f t="shared" si="1"/>
        <v>Jum</v>
      </c>
      <c r="X4" s="11" t="str">
        <f t="shared" si="1"/>
        <v>Sab</v>
      </c>
      <c r="Y4" s="11" t="str">
        <f t="shared" si="1"/>
        <v>Min</v>
      </c>
      <c r="Z4" s="11" t="str">
        <f t="shared" si="1"/>
        <v>Sen</v>
      </c>
      <c r="AA4" s="11" t="str">
        <f t="shared" si="1"/>
        <v>Sel</v>
      </c>
      <c r="AB4" s="11" t="str">
        <f t="shared" si="1"/>
        <v>Rab</v>
      </c>
      <c r="AC4" s="11" t="str">
        <f t="shared" si="1"/>
        <v>Kam</v>
      </c>
      <c r="AD4" s="11" t="str">
        <f t="shared" si="1"/>
        <v>Jum</v>
      </c>
      <c r="AE4" s="11" t="str">
        <f t="shared" si="1"/>
        <v>Sab</v>
      </c>
      <c r="AF4" s="11" t="str">
        <f t="shared" si="1"/>
        <v>Min</v>
      </c>
      <c r="AG4" s="11" t="str">
        <f t="shared" si="1"/>
        <v>Sen</v>
      </c>
      <c r="AH4" s="11" t="str">
        <f t="shared" si="1"/>
        <v>Sel</v>
      </c>
      <c r="AI4" s="11" t="str">
        <f t="shared" si="1"/>
        <v>Rab</v>
      </c>
      <c r="AJ4" s="11"/>
    </row>
    <row r="5">
      <c r="A5" s="128"/>
      <c r="B5" s="128"/>
      <c r="C5" s="128"/>
      <c r="D5" s="7" t="s">
        <v>1299</v>
      </c>
      <c r="E5" s="7" t="s">
        <v>1300</v>
      </c>
      <c r="F5" s="129">
        <v>45622.0</v>
      </c>
      <c r="G5" s="129">
        <v>45623.0</v>
      </c>
      <c r="H5" s="129">
        <v>45624.0</v>
      </c>
      <c r="I5" s="129">
        <v>45625.0</v>
      </c>
      <c r="J5" s="129">
        <v>45626.0</v>
      </c>
      <c r="K5" s="129">
        <v>45627.0</v>
      </c>
      <c r="L5" s="129">
        <v>45628.0</v>
      </c>
      <c r="M5" s="129">
        <v>45629.0</v>
      </c>
      <c r="N5" s="129">
        <v>45630.0</v>
      </c>
      <c r="O5" s="129">
        <v>45631.0</v>
      </c>
      <c r="P5" s="129">
        <v>45632.0</v>
      </c>
      <c r="Q5" s="129">
        <v>45633.0</v>
      </c>
      <c r="R5" s="129">
        <v>45634.0</v>
      </c>
      <c r="S5" s="129">
        <v>45635.0</v>
      </c>
      <c r="T5" s="129">
        <v>45636.0</v>
      </c>
      <c r="U5" s="129">
        <v>45637.0</v>
      </c>
      <c r="V5" s="129">
        <v>45638.0</v>
      </c>
      <c r="W5" s="129">
        <v>45639.0</v>
      </c>
      <c r="X5" s="129">
        <v>45640.0</v>
      </c>
      <c r="Y5" s="129">
        <v>45641.0</v>
      </c>
      <c r="Z5" s="129">
        <v>45642.0</v>
      </c>
      <c r="AA5" s="129">
        <v>45643.0</v>
      </c>
      <c r="AB5" s="129">
        <v>45644.0</v>
      </c>
      <c r="AC5" s="129">
        <v>45645.0</v>
      </c>
      <c r="AD5" s="129">
        <v>45646.0</v>
      </c>
      <c r="AE5" s="129">
        <v>45647.0</v>
      </c>
      <c r="AF5" s="129">
        <v>45648.0</v>
      </c>
      <c r="AG5" s="129">
        <v>45649.0</v>
      </c>
      <c r="AH5" s="129">
        <v>45650.0</v>
      </c>
      <c r="AI5" s="129">
        <v>45651.0</v>
      </c>
      <c r="AJ5" s="129"/>
    </row>
    <row r="6">
      <c r="A6" s="130" t="s">
        <v>122</v>
      </c>
      <c r="B6" s="131" t="s">
        <v>2</v>
      </c>
      <c r="C6" s="131" t="s">
        <v>3</v>
      </c>
      <c r="D6" s="131"/>
      <c r="E6" s="131" t="s">
        <v>1298</v>
      </c>
      <c r="F6" s="132" t="s">
        <v>1301</v>
      </c>
      <c r="G6" s="132" t="s">
        <v>1302</v>
      </c>
      <c r="H6" s="132" t="s">
        <v>1303</v>
      </c>
      <c r="I6" s="132" t="s">
        <v>1304</v>
      </c>
      <c r="J6" s="132" t="s">
        <v>1305</v>
      </c>
      <c r="K6" s="132" t="s">
        <v>1306</v>
      </c>
      <c r="L6" s="132" t="s">
        <v>1307</v>
      </c>
      <c r="M6" s="132" t="s">
        <v>1308</v>
      </c>
      <c r="N6" s="132" t="s">
        <v>1309</v>
      </c>
      <c r="O6" s="132" t="s">
        <v>1310</v>
      </c>
      <c r="P6" s="132" t="s">
        <v>1311</v>
      </c>
      <c r="Q6" s="132" t="s">
        <v>1312</v>
      </c>
      <c r="R6" s="132" t="s">
        <v>1313</v>
      </c>
      <c r="S6" s="132" t="s">
        <v>1314</v>
      </c>
      <c r="T6" s="132" t="s">
        <v>1315</v>
      </c>
      <c r="U6" s="132" t="s">
        <v>1316</v>
      </c>
      <c r="V6" s="132" t="s">
        <v>1317</v>
      </c>
      <c r="W6" s="132" t="s">
        <v>1318</v>
      </c>
      <c r="X6" s="132" t="s">
        <v>1319</v>
      </c>
      <c r="Y6" s="132" t="s">
        <v>1320</v>
      </c>
      <c r="Z6" s="132" t="s">
        <v>1321</v>
      </c>
      <c r="AA6" s="132" t="s">
        <v>1322</v>
      </c>
      <c r="AB6" s="132" t="s">
        <v>1323</v>
      </c>
      <c r="AC6" s="132" t="s">
        <v>1324</v>
      </c>
      <c r="AD6" s="132" t="s">
        <v>1325</v>
      </c>
      <c r="AE6" s="132" t="s">
        <v>1326</v>
      </c>
      <c r="AF6" s="132" t="s">
        <v>1327</v>
      </c>
      <c r="AG6" s="132" t="s">
        <v>1328</v>
      </c>
      <c r="AH6" s="132" t="s">
        <v>1329</v>
      </c>
      <c r="AI6" s="132" t="s">
        <v>1330</v>
      </c>
      <c r="AJ6" s="133"/>
    </row>
    <row r="7">
      <c r="A7" s="26">
        <v>1.0</v>
      </c>
      <c r="B7" s="27" t="s">
        <v>34</v>
      </c>
      <c r="C7" s="28" t="s">
        <v>35</v>
      </c>
      <c r="D7" s="134"/>
      <c r="E7" s="134">
        <f t="shared" ref="E7:E12" si="2">COUNTA(F7:AJ7)</f>
        <v>0</v>
      </c>
      <c r="F7" s="135"/>
      <c r="G7" s="136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7"/>
    </row>
    <row r="8">
      <c r="A8" s="38">
        <v>2.0</v>
      </c>
      <c r="B8" s="39" t="s">
        <v>38</v>
      </c>
      <c r="C8" s="40" t="s">
        <v>39</v>
      </c>
      <c r="D8" s="43"/>
      <c r="E8" s="43">
        <f t="shared" si="2"/>
        <v>0</v>
      </c>
      <c r="F8" s="138"/>
      <c r="G8" s="138"/>
      <c r="H8" s="139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40"/>
    </row>
    <row r="9">
      <c r="A9" s="26">
        <v>3.0</v>
      </c>
      <c r="B9" s="27" t="s">
        <v>40</v>
      </c>
      <c r="C9" s="28" t="s">
        <v>41</v>
      </c>
      <c r="D9" s="134"/>
      <c r="E9" s="134">
        <f t="shared" si="2"/>
        <v>0</v>
      </c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7"/>
    </row>
    <row r="10">
      <c r="A10" s="38">
        <v>4.0</v>
      </c>
      <c r="B10" s="39" t="s">
        <v>42</v>
      </c>
      <c r="C10" s="40" t="s">
        <v>43</v>
      </c>
      <c r="D10" s="43"/>
      <c r="E10" s="43">
        <f t="shared" si="2"/>
        <v>0</v>
      </c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40"/>
    </row>
    <row r="11">
      <c r="A11" s="26">
        <v>5.0</v>
      </c>
      <c r="B11" s="27" t="s">
        <v>44</v>
      </c>
      <c r="C11" s="28" t="s">
        <v>35</v>
      </c>
      <c r="D11" s="134"/>
      <c r="E11" s="134">
        <f t="shared" si="2"/>
        <v>0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7"/>
    </row>
    <row r="12">
      <c r="A12" s="38">
        <v>6.0</v>
      </c>
      <c r="B12" s="39" t="s">
        <v>45</v>
      </c>
      <c r="C12" s="40" t="s">
        <v>41</v>
      </c>
      <c r="D12" s="43"/>
      <c r="E12" s="43">
        <f t="shared" si="2"/>
        <v>0</v>
      </c>
      <c r="F12" s="138"/>
      <c r="G12" s="138"/>
      <c r="H12" s="138"/>
      <c r="I12" s="138"/>
      <c r="J12" s="138"/>
      <c r="K12" s="141"/>
      <c r="L12" s="138"/>
      <c r="M12" s="142"/>
      <c r="N12" s="138"/>
      <c r="O12" s="138"/>
      <c r="P12" s="142"/>
      <c r="Q12" s="138"/>
      <c r="R12" s="138"/>
      <c r="S12" s="138"/>
      <c r="T12" s="142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43"/>
    </row>
    <row r="13">
      <c r="A13" s="26">
        <v>7.0</v>
      </c>
      <c r="B13" s="27" t="s">
        <v>46</v>
      </c>
      <c r="C13" s="28" t="s">
        <v>41</v>
      </c>
      <c r="D13" s="134"/>
      <c r="E13" s="134">
        <v>0.0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7"/>
    </row>
    <row r="14">
      <c r="A14" s="38">
        <v>8.0</v>
      </c>
      <c r="B14" s="39" t="s">
        <v>47</v>
      </c>
      <c r="C14" s="40" t="s">
        <v>48</v>
      </c>
      <c r="D14" s="43"/>
      <c r="E14" s="43">
        <f t="shared" ref="E14:E62" si="3">COUNTA(F14:AJ14)</f>
        <v>0</v>
      </c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42"/>
      <c r="AB14" s="138"/>
      <c r="AC14" s="138"/>
      <c r="AD14" s="138"/>
      <c r="AE14" s="138"/>
      <c r="AF14" s="138"/>
      <c r="AG14" s="138"/>
      <c r="AH14" s="138"/>
      <c r="AI14" s="138"/>
      <c r="AJ14" s="140"/>
    </row>
    <row r="15">
      <c r="A15" s="26">
        <v>9.0</v>
      </c>
      <c r="B15" s="27" t="s">
        <v>49</v>
      </c>
      <c r="C15" s="28" t="s">
        <v>41</v>
      </c>
      <c r="D15" s="134"/>
      <c r="E15" s="134">
        <f t="shared" si="3"/>
        <v>0</v>
      </c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7"/>
    </row>
    <row r="16">
      <c r="A16" s="38">
        <v>10.0</v>
      </c>
      <c r="B16" s="39" t="s">
        <v>50</v>
      </c>
      <c r="C16" s="40" t="s">
        <v>51</v>
      </c>
      <c r="D16" s="43"/>
      <c r="E16" s="43">
        <f t="shared" si="3"/>
        <v>0</v>
      </c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40"/>
    </row>
    <row r="17">
      <c r="A17" s="26">
        <v>11.0</v>
      </c>
      <c r="B17" s="27" t="s">
        <v>52</v>
      </c>
      <c r="C17" s="28" t="s">
        <v>41</v>
      </c>
      <c r="D17" s="134"/>
      <c r="E17" s="134">
        <f t="shared" si="3"/>
        <v>0</v>
      </c>
      <c r="F17" s="144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7"/>
    </row>
    <row r="18">
      <c r="A18" s="38">
        <v>12.0</v>
      </c>
      <c r="B18" s="39" t="s">
        <v>53</v>
      </c>
      <c r="C18" s="40" t="s">
        <v>54</v>
      </c>
      <c r="D18" s="43"/>
      <c r="E18" s="43">
        <f t="shared" si="3"/>
        <v>0</v>
      </c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40"/>
    </row>
    <row r="19">
      <c r="A19" s="26">
        <v>13.0</v>
      </c>
      <c r="B19" s="27" t="s">
        <v>55</v>
      </c>
      <c r="C19" s="28" t="s">
        <v>41</v>
      </c>
      <c r="D19" s="134"/>
      <c r="E19" s="134">
        <f t="shared" si="3"/>
        <v>0</v>
      </c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7"/>
    </row>
    <row r="20">
      <c r="A20" s="38">
        <v>14.0</v>
      </c>
      <c r="B20" s="39" t="s">
        <v>56</v>
      </c>
      <c r="C20" s="40" t="s">
        <v>41</v>
      </c>
      <c r="D20" s="43"/>
      <c r="E20" s="43">
        <f t="shared" si="3"/>
        <v>0</v>
      </c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40"/>
    </row>
    <row r="21" ht="15.75" customHeight="1">
      <c r="A21" s="26">
        <v>15.0</v>
      </c>
      <c r="B21" s="27" t="s">
        <v>57</v>
      </c>
      <c r="C21" s="28" t="s">
        <v>58</v>
      </c>
      <c r="D21" s="134"/>
      <c r="E21" s="134">
        <f t="shared" si="3"/>
        <v>0</v>
      </c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7"/>
    </row>
    <row r="22" ht="15.75" customHeight="1">
      <c r="A22" s="38">
        <v>16.0</v>
      </c>
      <c r="B22" s="39" t="s">
        <v>60</v>
      </c>
      <c r="C22" s="40" t="s">
        <v>61</v>
      </c>
      <c r="D22" s="43"/>
      <c r="E22" s="43">
        <f t="shared" si="3"/>
        <v>0</v>
      </c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42"/>
      <c r="AC22" s="138"/>
      <c r="AD22" s="138"/>
      <c r="AE22" s="138"/>
      <c r="AF22" s="138"/>
      <c r="AG22" s="138"/>
      <c r="AH22" s="138"/>
      <c r="AI22" s="138"/>
      <c r="AJ22" s="140"/>
    </row>
    <row r="23" ht="15.75" customHeight="1">
      <c r="A23" s="26">
        <v>17.0</v>
      </c>
      <c r="B23" s="27" t="s">
        <v>62</v>
      </c>
      <c r="C23" s="28" t="s">
        <v>41</v>
      </c>
      <c r="D23" s="134"/>
      <c r="E23" s="134">
        <f t="shared" si="3"/>
        <v>0</v>
      </c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4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7"/>
    </row>
    <row r="24" ht="15.75" customHeight="1">
      <c r="A24" s="38">
        <v>18.0</v>
      </c>
      <c r="B24" s="39" t="s">
        <v>63</v>
      </c>
      <c r="C24" s="40" t="s">
        <v>35</v>
      </c>
      <c r="D24" s="43"/>
      <c r="E24" s="43">
        <f t="shared" si="3"/>
        <v>0</v>
      </c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40"/>
    </row>
    <row r="25" ht="15.75" customHeight="1">
      <c r="A25" s="26">
        <v>19.0</v>
      </c>
      <c r="B25" s="27" t="s">
        <v>64</v>
      </c>
      <c r="C25" s="28" t="s">
        <v>35</v>
      </c>
      <c r="D25" s="134"/>
      <c r="E25" s="134">
        <f t="shared" si="3"/>
        <v>0</v>
      </c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7"/>
    </row>
    <row r="26" ht="15.75" customHeight="1">
      <c r="A26" s="38">
        <v>20.0</v>
      </c>
      <c r="B26" s="39" t="s">
        <v>65</v>
      </c>
      <c r="C26" s="40" t="s">
        <v>35</v>
      </c>
      <c r="D26" s="43"/>
      <c r="E26" s="43">
        <f t="shared" si="3"/>
        <v>0</v>
      </c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40"/>
    </row>
    <row r="27" ht="15.75" customHeight="1">
      <c r="A27" s="26">
        <v>21.0</v>
      </c>
      <c r="B27" s="27" t="s">
        <v>66</v>
      </c>
      <c r="C27" s="28" t="s">
        <v>35</v>
      </c>
      <c r="D27" s="134"/>
      <c r="E27" s="134">
        <f t="shared" si="3"/>
        <v>0</v>
      </c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7"/>
    </row>
    <row r="28" ht="15.75" customHeight="1">
      <c r="A28" s="38">
        <v>22.0</v>
      </c>
      <c r="B28" s="39" t="s">
        <v>67</v>
      </c>
      <c r="C28" s="40" t="s">
        <v>68</v>
      </c>
      <c r="D28" s="43"/>
      <c r="E28" s="43">
        <f t="shared" si="3"/>
        <v>0</v>
      </c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40"/>
    </row>
    <row r="29" ht="15.75" customHeight="1">
      <c r="A29" s="26">
        <v>23.0</v>
      </c>
      <c r="B29" s="27" t="s">
        <v>69</v>
      </c>
      <c r="C29" s="28" t="s">
        <v>35</v>
      </c>
      <c r="D29" s="134"/>
      <c r="E29" s="134">
        <f t="shared" si="3"/>
        <v>0</v>
      </c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7"/>
    </row>
    <row r="30" ht="15.75" customHeight="1">
      <c r="A30" s="38">
        <v>24.0</v>
      </c>
      <c r="B30" s="39" t="s">
        <v>70</v>
      </c>
      <c r="C30" s="40" t="s">
        <v>35</v>
      </c>
      <c r="D30" s="43"/>
      <c r="E30" s="43">
        <f t="shared" si="3"/>
        <v>0</v>
      </c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40"/>
    </row>
    <row r="31" ht="15.75" customHeight="1">
      <c r="A31" s="26">
        <v>25.0</v>
      </c>
      <c r="B31" s="27" t="s">
        <v>71</v>
      </c>
      <c r="C31" s="28" t="s">
        <v>72</v>
      </c>
      <c r="D31" s="134"/>
      <c r="E31" s="134">
        <f t="shared" si="3"/>
        <v>0</v>
      </c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46"/>
      <c r="AF31" s="135"/>
      <c r="AG31" s="135"/>
      <c r="AH31" s="135"/>
      <c r="AI31" s="135"/>
      <c r="AJ31" s="137"/>
    </row>
    <row r="32" ht="15.75" customHeight="1">
      <c r="A32" s="38">
        <v>26.0</v>
      </c>
      <c r="B32" s="39" t="s">
        <v>73</v>
      </c>
      <c r="C32" s="40" t="s">
        <v>68</v>
      </c>
      <c r="D32" s="43"/>
      <c r="E32" s="43">
        <f t="shared" si="3"/>
        <v>0</v>
      </c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40"/>
    </row>
    <row r="33" ht="15.75" customHeight="1">
      <c r="A33" s="26">
        <v>27.0</v>
      </c>
      <c r="B33" s="27" t="s">
        <v>74</v>
      </c>
      <c r="C33" s="28" t="s">
        <v>35</v>
      </c>
      <c r="D33" s="134"/>
      <c r="E33" s="134">
        <f t="shared" si="3"/>
        <v>0</v>
      </c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7"/>
    </row>
    <row r="34" ht="15.75" customHeight="1">
      <c r="A34" s="38">
        <v>28.0</v>
      </c>
      <c r="B34" s="39" t="s">
        <v>75</v>
      </c>
      <c r="C34" s="40" t="s">
        <v>35</v>
      </c>
      <c r="D34" s="43"/>
      <c r="E34" s="43">
        <f t="shared" si="3"/>
        <v>0</v>
      </c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40"/>
    </row>
    <row r="35" ht="15.75" customHeight="1">
      <c r="A35" s="26">
        <v>29.0</v>
      </c>
      <c r="B35" s="27" t="s">
        <v>76</v>
      </c>
      <c r="C35" s="28" t="s">
        <v>61</v>
      </c>
      <c r="D35" s="134"/>
      <c r="E35" s="134">
        <f t="shared" si="3"/>
        <v>0</v>
      </c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7"/>
    </row>
    <row r="36" ht="15.75" customHeight="1">
      <c r="A36" s="38">
        <v>30.0</v>
      </c>
      <c r="B36" s="39" t="s">
        <v>77</v>
      </c>
      <c r="C36" s="40" t="s">
        <v>68</v>
      </c>
      <c r="D36" s="43"/>
      <c r="E36" s="43">
        <f t="shared" si="3"/>
        <v>0</v>
      </c>
      <c r="F36" s="138"/>
      <c r="G36" s="138"/>
      <c r="H36" s="138"/>
      <c r="I36" s="138"/>
      <c r="J36" s="138"/>
      <c r="K36" s="138"/>
      <c r="L36" s="138"/>
      <c r="M36" s="147"/>
      <c r="N36" s="138"/>
      <c r="O36" s="138"/>
      <c r="P36" s="138"/>
      <c r="Q36" s="138"/>
      <c r="R36" s="138"/>
      <c r="S36" s="138"/>
      <c r="T36" s="147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40"/>
    </row>
    <row r="37" ht="15.75" customHeight="1">
      <c r="A37" s="26">
        <v>31.0</v>
      </c>
      <c r="B37" s="27" t="s">
        <v>80</v>
      </c>
      <c r="C37" s="28" t="s">
        <v>68</v>
      </c>
      <c r="D37" s="134"/>
      <c r="E37" s="134">
        <f t="shared" si="3"/>
        <v>0</v>
      </c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7"/>
    </row>
    <row r="38" ht="15.75" customHeight="1">
      <c r="A38" s="38">
        <v>32.0</v>
      </c>
      <c r="B38" s="39" t="s">
        <v>81</v>
      </c>
      <c r="C38" s="40" t="s">
        <v>35</v>
      </c>
      <c r="D38" s="43"/>
      <c r="E38" s="43">
        <f t="shared" si="3"/>
        <v>0</v>
      </c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40"/>
    </row>
    <row r="39" ht="15.75" customHeight="1">
      <c r="A39" s="26">
        <v>33.0</v>
      </c>
      <c r="B39" s="27" t="s">
        <v>82</v>
      </c>
      <c r="C39" s="28" t="s">
        <v>83</v>
      </c>
      <c r="D39" s="31"/>
      <c r="E39" s="31">
        <f t="shared" si="3"/>
        <v>0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48"/>
    </row>
    <row r="40" ht="15.75" customHeight="1">
      <c r="A40" s="38">
        <v>34.0</v>
      </c>
      <c r="B40" s="39" t="s">
        <v>85</v>
      </c>
      <c r="C40" s="40" t="s">
        <v>86</v>
      </c>
      <c r="D40" s="43"/>
      <c r="E40" s="43">
        <f t="shared" si="3"/>
        <v>0</v>
      </c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40"/>
    </row>
    <row r="41" ht="15.75" customHeight="1">
      <c r="A41" s="26">
        <v>35.0</v>
      </c>
      <c r="B41" s="27" t="s">
        <v>87</v>
      </c>
      <c r="C41" s="28" t="s">
        <v>35</v>
      </c>
      <c r="D41" s="31"/>
      <c r="E41" s="31">
        <f t="shared" si="3"/>
        <v>0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48"/>
    </row>
    <row r="42" ht="15.75" customHeight="1">
      <c r="A42" s="38">
        <v>36.0</v>
      </c>
      <c r="B42" s="39" t="s">
        <v>88</v>
      </c>
      <c r="C42" s="40" t="s">
        <v>35</v>
      </c>
      <c r="D42" s="43"/>
      <c r="E42" s="43">
        <f t="shared" si="3"/>
        <v>0</v>
      </c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50"/>
    </row>
    <row r="43" ht="15.75" customHeight="1">
      <c r="A43" s="26">
        <v>37.0</v>
      </c>
      <c r="B43" s="27" t="s">
        <v>89</v>
      </c>
      <c r="C43" s="28" t="s">
        <v>35</v>
      </c>
      <c r="D43" s="31"/>
      <c r="E43" s="31">
        <f t="shared" si="3"/>
        <v>0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48"/>
    </row>
    <row r="44" ht="15.75" customHeight="1">
      <c r="A44" s="38">
        <v>38.0</v>
      </c>
      <c r="B44" s="39" t="s">
        <v>90</v>
      </c>
      <c r="C44" s="40" t="s">
        <v>35</v>
      </c>
      <c r="D44" s="43"/>
      <c r="E44" s="43">
        <f t="shared" si="3"/>
        <v>0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50"/>
    </row>
    <row r="45" ht="15.75" customHeight="1">
      <c r="A45" s="26">
        <v>39.0</v>
      </c>
      <c r="B45" s="151" t="s">
        <v>91</v>
      </c>
      <c r="C45" s="28" t="s">
        <v>35</v>
      </c>
      <c r="D45" s="31"/>
      <c r="E45" s="31">
        <f t="shared" si="3"/>
        <v>0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48"/>
    </row>
    <row r="46" ht="15.75" customHeight="1">
      <c r="A46" s="38">
        <v>40.0</v>
      </c>
      <c r="B46" s="39" t="s">
        <v>92</v>
      </c>
      <c r="C46" s="40" t="s">
        <v>35</v>
      </c>
      <c r="D46" s="43"/>
      <c r="E46" s="43">
        <f t="shared" si="3"/>
        <v>0</v>
      </c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50"/>
    </row>
    <row r="47" ht="15.75" customHeight="1">
      <c r="A47" s="26">
        <v>41.0</v>
      </c>
      <c r="B47" s="27" t="s">
        <v>93</v>
      </c>
      <c r="C47" s="28" t="s">
        <v>35</v>
      </c>
      <c r="D47" s="31"/>
      <c r="E47" s="31">
        <f t="shared" si="3"/>
        <v>0</v>
      </c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3"/>
    </row>
    <row r="48" ht="15.75" customHeight="1">
      <c r="A48" s="38">
        <v>42.0</v>
      </c>
      <c r="B48" s="39" t="s">
        <v>94</v>
      </c>
      <c r="C48" s="40" t="s">
        <v>95</v>
      </c>
      <c r="D48" s="43"/>
      <c r="E48" s="43">
        <f t="shared" si="3"/>
        <v>0</v>
      </c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50"/>
    </row>
    <row r="49" ht="15.75" customHeight="1">
      <c r="A49" s="26">
        <v>43.0</v>
      </c>
      <c r="B49" s="27" t="s">
        <v>96</v>
      </c>
      <c r="C49" s="59" t="s">
        <v>97</v>
      </c>
      <c r="D49" s="31"/>
      <c r="E49" s="31">
        <f t="shared" si="3"/>
        <v>0</v>
      </c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3"/>
    </row>
    <row r="50" ht="15.75" customHeight="1">
      <c r="A50" s="38">
        <v>44.0</v>
      </c>
      <c r="B50" s="39" t="s">
        <v>98</v>
      </c>
      <c r="C50" s="40" t="s">
        <v>35</v>
      </c>
      <c r="D50" s="43"/>
      <c r="E50" s="43">
        <f t="shared" si="3"/>
        <v>0</v>
      </c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50"/>
    </row>
    <row r="51" ht="15.75" customHeight="1">
      <c r="A51" s="26">
        <v>45.0</v>
      </c>
      <c r="B51" s="27" t="s">
        <v>99</v>
      </c>
      <c r="C51" s="28" t="s">
        <v>35</v>
      </c>
      <c r="D51" s="31"/>
      <c r="E51" s="31">
        <f t="shared" si="3"/>
        <v>0</v>
      </c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3"/>
    </row>
    <row r="52" ht="15.75" customHeight="1">
      <c r="A52" s="38">
        <v>46.0</v>
      </c>
      <c r="B52" s="39" t="s">
        <v>100</v>
      </c>
      <c r="C52" s="40" t="s">
        <v>101</v>
      </c>
      <c r="D52" s="43"/>
      <c r="E52" s="43">
        <f t="shared" si="3"/>
        <v>0</v>
      </c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50"/>
    </row>
    <row r="53" ht="15.75" customHeight="1">
      <c r="A53" s="26">
        <v>47.0</v>
      </c>
      <c r="B53" s="27" t="s">
        <v>102</v>
      </c>
      <c r="C53" s="28" t="s">
        <v>68</v>
      </c>
      <c r="D53" s="31"/>
      <c r="E53" s="31">
        <f t="shared" si="3"/>
        <v>0</v>
      </c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3"/>
    </row>
    <row r="54" ht="15.75" customHeight="1">
      <c r="A54" s="38">
        <v>48.0</v>
      </c>
      <c r="B54" s="39" t="s">
        <v>103</v>
      </c>
      <c r="C54" s="40" t="s">
        <v>68</v>
      </c>
      <c r="D54" s="43"/>
      <c r="E54" s="43">
        <f t="shared" si="3"/>
        <v>0</v>
      </c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50"/>
    </row>
    <row r="55" ht="15.75" customHeight="1">
      <c r="A55" s="26">
        <v>49.0</v>
      </c>
      <c r="B55" s="27" t="s">
        <v>104</v>
      </c>
      <c r="C55" s="28" t="s">
        <v>68</v>
      </c>
      <c r="D55" s="31"/>
      <c r="E55" s="31">
        <f t="shared" si="3"/>
        <v>0</v>
      </c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3"/>
    </row>
    <row r="56" ht="15.75" customHeight="1">
      <c r="A56" s="38">
        <v>50.0</v>
      </c>
      <c r="B56" s="39" t="s">
        <v>105</v>
      </c>
      <c r="C56" s="40" t="s">
        <v>68</v>
      </c>
      <c r="D56" s="43"/>
      <c r="E56" s="43">
        <f t="shared" si="3"/>
        <v>0</v>
      </c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50"/>
    </row>
    <row r="57" ht="15.75" customHeight="1">
      <c r="A57" s="26">
        <v>51.0</v>
      </c>
      <c r="B57" s="27" t="s">
        <v>106</v>
      </c>
      <c r="C57" s="28" t="s">
        <v>68</v>
      </c>
      <c r="D57" s="31"/>
      <c r="E57" s="31">
        <f t="shared" si="3"/>
        <v>0</v>
      </c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3"/>
    </row>
    <row r="58" ht="15.75" customHeight="1">
      <c r="A58" s="38">
        <v>52.0</v>
      </c>
      <c r="B58" s="39" t="s">
        <v>107</v>
      </c>
      <c r="C58" s="40" t="s">
        <v>68</v>
      </c>
      <c r="D58" s="43"/>
      <c r="E58" s="43">
        <f t="shared" si="3"/>
        <v>0</v>
      </c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50"/>
    </row>
    <row r="59" ht="15.75" customHeight="1">
      <c r="A59" s="26">
        <v>53.0</v>
      </c>
      <c r="B59" s="27" t="s">
        <v>108</v>
      </c>
      <c r="C59" s="28" t="s">
        <v>68</v>
      </c>
      <c r="D59" s="31"/>
      <c r="E59" s="31">
        <f t="shared" si="3"/>
        <v>0</v>
      </c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3"/>
    </row>
    <row r="60" ht="15.75" customHeight="1">
      <c r="A60" s="38">
        <v>54.0</v>
      </c>
      <c r="B60" s="39" t="s">
        <v>109</v>
      </c>
      <c r="C60" s="40" t="s">
        <v>68</v>
      </c>
      <c r="D60" s="43"/>
      <c r="E60" s="43">
        <f t="shared" si="3"/>
        <v>0</v>
      </c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50"/>
    </row>
    <row r="61" ht="15.75" customHeight="1">
      <c r="A61" s="26">
        <v>55.0</v>
      </c>
      <c r="B61" s="154" t="s">
        <v>110</v>
      </c>
      <c r="C61" s="28" t="s">
        <v>68</v>
      </c>
      <c r="D61" s="31"/>
      <c r="E61" s="31">
        <f t="shared" si="3"/>
        <v>0</v>
      </c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3"/>
    </row>
    <row r="62" ht="15.75" customHeight="1">
      <c r="A62" s="38">
        <v>56.0</v>
      </c>
      <c r="B62" s="155" t="s">
        <v>111</v>
      </c>
      <c r="C62" s="40" t="s">
        <v>68</v>
      </c>
      <c r="D62" s="43"/>
      <c r="E62" s="43">
        <f t="shared" si="3"/>
        <v>0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50"/>
    </row>
    <row r="63" ht="15.75" customHeight="1">
      <c r="A63" s="26">
        <v>57.0</v>
      </c>
      <c r="B63" s="61"/>
      <c r="C63" s="28"/>
      <c r="D63" s="31"/>
      <c r="E63" s="31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3"/>
    </row>
    <row r="64" ht="15.75" customHeight="1">
      <c r="A64" s="38">
        <v>58.0</v>
      </c>
      <c r="B64" s="39"/>
      <c r="C64" s="40"/>
      <c r="D64" s="43"/>
      <c r="E64" s="43">
        <f>COUNTA(F64:AJ64)</f>
        <v>0</v>
      </c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50"/>
    </row>
    <row r="65" ht="15.75" customHeight="1">
      <c r="A65" s="1"/>
      <c r="B65" s="2"/>
      <c r="E65" s="7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A66" s="1"/>
      <c r="B66" s="2"/>
      <c r="E66" s="7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A67" s="1"/>
      <c r="B67" s="2" t="s">
        <v>1331</v>
      </c>
      <c r="E67" s="7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A68" s="1"/>
      <c r="B68" s="156" t="s">
        <v>12</v>
      </c>
      <c r="C68" s="63" t="s">
        <v>1332</v>
      </c>
      <c r="E68" s="7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A69" s="1"/>
      <c r="B69" s="157" t="s">
        <v>36</v>
      </c>
      <c r="C69" s="63" t="s">
        <v>116</v>
      </c>
      <c r="E69" s="7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A70" s="1"/>
      <c r="B70" s="158" t="s">
        <v>37</v>
      </c>
      <c r="C70" s="63" t="s">
        <v>112</v>
      </c>
      <c r="E70" s="7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A71" s="1"/>
      <c r="B71" s="159" t="s">
        <v>11</v>
      </c>
      <c r="C71" s="63" t="s">
        <v>1333</v>
      </c>
      <c r="E71" s="7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A72" s="1"/>
      <c r="B72" s="160" t="s">
        <v>10</v>
      </c>
      <c r="C72" s="63" t="s">
        <v>114</v>
      </c>
      <c r="E72" s="7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A73" s="1"/>
      <c r="B73" s="2"/>
      <c r="E73" s="7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A74" s="1"/>
      <c r="B74" s="2"/>
      <c r="E74" s="7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A75" s="1"/>
      <c r="B75" s="2"/>
      <c r="E75" s="7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A76" s="1"/>
      <c r="B76" s="2"/>
      <c r="E76" s="7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A77" s="1"/>
      <c r="B77" s="2"/>
      <c r="E77" s="7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A78" s="1"/>
      <c r="B78" s="2"/>
      <c r="E78" s="7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A79" s="1"/>
      <c r="B79" s="2"/>
      <c r="E79" s="7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A80" s="1"/>
      <c r="B80" s="2"/>
      <c r="E80" s="7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A81" s="1"/>
      <c r="B81" s="2"/>
      <c r="E81" s="7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A82" s="1"/>
      <c r="B82" s="2"/>
      <c r="E82" s="7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A83" s="1"/>
      <c r="B83" s="2"/>
      <c r="E83" s="7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A84" s="1"/>
      <c r="B84" s="2"/>
      <c r="E84" s="7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A85" s="1"/>
      <c r="B85" s="2"/>
      <c r="E85" s="7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A86" s="1"/>
      <c r="B86" s="2"/>
      <c r="E86" s="7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A87" s="1"/>
      <c r="B87" s="2"/>
      <c r="E87" s="7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A88" s="1"/>
      <c r="B88" s="2"/>
      <c r="E88" s="7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A89" s="1"/>
      <c r="B89" s="2"/>
      <c r="E89" s="7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A90" s="1"/>
      <c r="B90" s="2"/>
      <c r="E90" s="7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A91" s="1"/>
      <c r="B91" s="2"/>
      <c r="E91" s="7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A92" s="1"/>
      <c r="B92" s="2"/>
      <c r="E92" s="7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A93" s="1"/>
      <c r="B93" s="2"/>
      <c r="E93" s="7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A94" s="1"/>
      <c r="B94" s="2"/>
      <c r="E94" s="7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A95" s="1"/>
      <c r="B95" s="2"/>
      <c r="E95" s="7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A96" s="1"/>
      <c r="B96" s="2"/>
      <c r="E96" s="7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A97" s="1"/>
      <c r="B97" s="2"/>
      <c r="E97" s="7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A98" s="1"/>
      <c r="B98" s="2"/>
      <c r="E98" s="7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A99" s="1"/>
      <c r="B99" s="2"/>
      <c r="E99" s="7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A100" s="1"/>
      <c r="B100" s="2"/>
      <c r="E100" s="7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A101" s="1"/>
      <c r="B101" s="2"/>
      <c r="E101" s="7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A102" s="1"/>
      <c r="B102" s="2"/>
      <c r="E102" s="7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A103" s="1"/>
      <c r="B103" s="2"/>
      <c r="E103" s="7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A104" s="1"/>
      <c r="B104" s="2"/>
      <c r="E104" s="7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A105" s="1"/>
      <c r="B105" s="2"/>
      <c r="E105" s="7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A106" s="1"/>
      <c r="B106" s="2"/>
      <c r="E106" s="7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A107" s="1"/>
      <c r="B107" s="2"/>
      <c r="E107" s="7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A108" s="1"/>
      <c r="B108" s="2"/>
      <c r="E108" s="7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A109" s="1"/>
      <c r="B109" s="2"/>
      <c r="E109" s="7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A110" s="1"/>
      <c r="B110" s="2"/>
      <c r="E110" s="7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A111" s="1"/>
      <c r="B111" s="2"/>
      <c r="E111" s="7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A112" s="1"/>
      <c r="B112" s="2"/>
      <c r="E112" s="7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A113" s="1"/>
      <c r="B113" s="2"/>
      <c r="E113" s="7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A114" s="1"/>
      <c r="B114" s="2"/>
      <c r="E114" s="7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A115" s="1"/>
      <c r="B115" s="2"/>
      <c r="E115" s="7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A116" s="1"/>
      <c r="B116" s="2"/>
      <c r="E116" s="7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A117" s="1"/>
      <c r="B117" s="2"/>
      <c r="E117" s="7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A118" s="1"/>
      <c r="B118" s="2"/>
      <c r="E118" s="7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A119" s="1"/>
      <c r="B119" s="2"/>
      <c r="E119" s="7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A120" s="1"/>
      <c r="B120" s="2"/>
      <c r="E120" s="7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A121" s="1"/>
      <c r="B121" s="2"/>
      <c r="E121" s="7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A122" s="1"/>
      <c r="B122" s="2"/>
      <c r="E122" s="7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A123" s="1"/>
      <c r="B123" s="2"/>
      <c r="E123" s="7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A124" s="1"/>
      <c r="B124" s="2"/>
      <c r="E124" s="7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A125" s="1"/>
      <c r="B125" s="2"/>
      <c r="E125" s="7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A126" s="1"/>
      <c r="B126" s="2"/>
      <c r="E126" s="7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A127" s="1"/>
      <c r="B127" s="2"/>
      <c r="E127" s="7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A128" s="1"/>
      <c r="B128" s="2"/>
      <c r="E128" s="7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A129" s="1"/>
      <c r="B129" s="2"/>
      <c r="E129" s="7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A130" s="1"/>
      <c r="B130" s="2"/>
      <c r="E130" s="7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A131" s="1"/>
      <c r="B131" s="2"/>
      <c r="E131" s="7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A132" s="1"/>
      <c r="B132" s="2"/>
      <c r="E132" s="7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A133" s="1"/>
      <c r="B133" s="2"/>
      <c r="E133" s="7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A134" s="1"/>
      <c r="B134" s="2"/>
      <c r="E134" s="7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A135" s="1"/>
      <c r="B135" s="2"/>
      <c r="E135" s="7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A136" s="1"/>
      <c r="B136" s="2"/>
      <c r="E136" s="7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A137" s="1"/>
      <c r="B137" s="2"/>
      <c r="E137" s="7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A138" s="1"/>
      <c r="B138" s="2"/>
      <c r="E138" s="7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A139" s="1"/>
      <c r="B139" s="2"/>
      <c r="E139" s="7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A140" s="1"/>
      <c r="B140" s="2"/>
      <c r="E140" s="7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A141" s="1"/>
      <c r="B141" s="2"/>
      <c r="E141" s="7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A142" s="1"/>
      <c r="B142" s="2"/>
      <c r="E142" s="7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A143" s="1"/>
      <c r="B143" s="2"/>
      <c r="E143" s="7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A144" s="1"/>
      <c r="B144" s="2"/>
      <c r="E144" s="7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A145" s="1"/>
      <c r="B145" s="2"/>
      <c r="E145" s="7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A146" s="1"/>
      <c r="B146" s="2"/>
      <c r="E146" s="7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A147" s="1"/>
      <c r="B147" s="2"/>
      <c r="E147" s="7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A148" s="1"/>
      <c r="B148" s="2"/>
      <c r="E148" s="7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A149" s="1"/>
      <c r="B149" s="2"/>
      <c r="E149" s="7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A150" s="1"/>
      <c r="B150" s="2"/>
      <c r="E150" s="7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A151" s="1"/>
      <c r="B151" s="2"/>
      <c r="E151" s="7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A152" s="1"/>
      <c r="B152" s="2"/>
      <c r="E152" s="7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A153" s="1"/>
      <c r="B153" s="2"/>
      <c r="E153" s="7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A154" s="1"/>
      <c r="B154" s="2"/>
      <c r="E154" s="7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A155" s="1"/>
      <c r="B155" s="2"/>
      <c r="E155" s="7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A156" s="1"/>
      <c r="B156" s="2"/>
      <c r="E156" s="7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A157" s="1"/>
      <c r="B157" s="2"/>
      <c r="E157" s="7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A158" s="1"/>
      <c r="B158" s="2"/>
      <c r="E158" s="7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A159" s="1"/>
      <c r="B159" s="2"/>
      <c r="E159" s="7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A160" s="1"/>
      <c r="B160" s="2"/>
      <c r="E160" s="7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A161" s="1"/>
      <c r="B161" s="2"/>
      <c r="E161" s="7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A162" s="1"/>
      <c r="B162" s="2"/>
      <c r="E162" s="7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A163" s="1"/>
      <c r="B163" s="2"/>
      <c r="E163" s="7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A164" s="1"/>
      <c r="B164" s="2"/>
      <c r="E164" s="7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A165" s="1"/>
      <c r="B165" s="2"/>
      <c r="E165" s="7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A166" s="1"/>
      <c r="B166" s="2"/>
      <c r="E166" s="7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A167" s="1"/>
      <c r="B167" s="2"/>
      <c r="E167" s="7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A168" s="1"/>
      <c r="B168" s="2"/>
      <c r="E168" s="7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A169" s="1"/>
      <c r="B169" s="2"/>
      <c r="E169" s="7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A170" s="1"/>
      <c r="B170" s="2"/>
      <c r="E170" s="7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A171" s="1"/>
      <c r="B171" s="2"/>
      <c r="E171" s="7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A172" s="1"/>
      <c r="B172" s="2"/>
      <c r="E172" s="7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A173" s="1"/>
      <c r="B173" s="2"/>
      <c r="E173" s="7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A174" s="1"/>
      <c r="B174" s="2"/>
      <c r="E174" s="7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A175" s="1"/>
      <c r="B175" s="2"/>
      <c r="E175" s="7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A176" s="1"/>
      <c r="B176" s="2"/>
      <c r="E176" s="7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A177" s="1"/>
      <c r="B177" s="2"/>
      <c r="E177" s="7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A178" s="1"/>
      <c r="B178" s="2"/>
      <c r="E178" s="7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A179" s="1"/>
      <c r="B179" s="2"/>
      <c r="E179" s="7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A180" s="1"/>
      <c r="B180" s="2"/>
      <c r="E180" s="7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A181" s="1"/>
      <c r="B181" s="2"/>
      <c r="E181" s="7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A182" s="1"/>
      <c r="B182" s="2"/>
      <c r="E182" s="7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A183" s="1"/>
      <c r="B183" s="2"/>
      <c r="E183" s="7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A184" s="1"/>
      <c r="B184" s="2"/>
      <c r="E184" s="7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A185" s="1"/>
      <c r="B185" s="2"/>
      <c r="E185" s="7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A186" s="1"/>
      <c r="B186" s="2"/>
      <c r="E186" s="7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A187" s="1"/>
      <c r="B187" s="2"/>
      <c r="E187" s="7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A188" s="1"/>
      <c r="B188" s="2"/>
      <c r="E188" s="7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A189" s="1"/>
      <c r="B189" s="2"/>
      <c r="E189" s="7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A190" s="1"/>
      <c r="B190" s="2"/>
      <c r="E190" s="7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A191" s="1"/>
      <c r="B191" s="2"/>
      <c r="E191" s="7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A192" s="1"/>
      <c r="B192" s="2"/>
      <c r="E192" s="7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A193" s="1"/>
      <c r="B193" s="2"/>
      <c r="E193" s="7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A194" s="1"/>
      <c r="B194" s="2"/>
      <c r="E194" s="7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A195" s="1"/>
      <c r="B195" s="2"/>
      <c r="E195" s="7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A196" s="1"/>
      <c r="B196" s="2"/>
      <c r="E196" s="7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A197" s="1"/>
      <c r="B197" s="2"/>
      <c r="E197" s="7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A198" s="1"/>
      <c r="B198" s="2"/>
      <c r="E198" s="7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A199" s="1"/>
      <c r="B199" s="2"/>
      <c r="E199" s="7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A200" s="1"/>
      <c r="B200" s="2"/>
      <c r="E200" s="7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A201" s="1"/>
      <c r="B201" s="2"/>
      <c r="E201" s="7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A202" s="1"/>
      <c r="B202" s="2"/>
      <c r="E202" s="7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A203" s="1"/>
      <c r="B203" s="2"/>
      <c r="E203" s="7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A204" s="1"/>
      <c r="B204" s="2"/>
      <c r="E204" s="7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A205" s="1"/>
      <c r="B205" s="2"/>
      <c r="E205" s="7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A206" s="1"/>
      <c r="B206" s="2"/>
      <c r="E206" s="7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A207" s="1"/>
      <c r="B207" s="2"/>
      <c r="E207" s="7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A208" s="1"/>
      <c r="B208" s="2"/>
      <c r="E208" s="7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A209" s="1"/>
      <c r="B209" s="2"/>
      <c r="E209" s="7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A210" s="1"/>
      <c r="B210" s="2"/>
      <c r="E210" s="7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A211" s="1"/>
      <c r="B211" s="2"/>
      <c r="E211" s="7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A212" s="1"/>
      <c r="B212" s="2"/>
      <c r="E212" s="7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A213" s="1"/>
      <c r="B213" s="2"/>
      <c r="E213" s="7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A214" s="1"/>
      <c r="B214" s="2"/>
      <c r="E214" s="7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A215" s="1"/>
      <c r="B215" s="2"/>
      <c r="E215" s="7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A216" s="1"/>
      <c r="B216" s="2"/>
      <c r="E216" s="7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A217" s="1"/>
      <c r="B217" s="2"/>
      <c r="E217" s="7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A218" s="1"/>
      <c r="B218" s="2"/>
      <c r="E218" s="7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A219" s="1"/>
      <c r="B219" s="2"/>
      <c r="E219" s="7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A220" s="1"/>
      <c r="B220" s="2"/>
      <c r="E220" s="7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A221" s="1"/>
      <c r="B221" s="2"/>
      <c r="E221" s="7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A222" s="1"/>
      <c r="B222" s="2"/>
      <c r="E222" s="7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A223" s="1"/>
      <c r="B223" s="2"/>
      <c r="E223" s="7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A224" s="1"/>
      <c r="B224" s="2"/>
      <c r="E224" s="7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A225" s="1"/>
      <c r="B225" s="2"/>
      <c r="E225" s="7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A226" s="1"/>
      <c r="B226" s="2"/>
      <c r="E226" s="7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A227" s="1"/>
      <c r="B227" s="2"/>
      <c r="E227" s="7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A228" s="1"/>
      <c r="B228" s="2"/>
      <c r="E228" s="7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A229" s="1"/>
      <c r="B229" s="2"/>
      <c r="E229" s="7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A230" s="1"/>
      <c r="B230" s="2"/>
      <c r="E230" s="7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A231" s="1"/>
      <c r="B231" s="2"/>
      <c r="E231" s="7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A232" s="1"/>
      <c r="B232" s="2"/>
      <c r="E232" s="7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A233" s="1"/>
      <c r="B233" s="2"/>
      <c r="E233" s="7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A234" s="1"/>
      <c r="B234" s="2"/>
      <c r="E234" s="7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A235" s="1"/>
      <c r="B235" s="2"/>
      <c r="E235" s="7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A236" s="1"/>
      <c r="B236" s="2"/>
      <c r="E236" s="7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A237" s="1"/>
      <c r="B237" s="2"/>
      <c r="E237" s="7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A238" s="1"/>
      <c r="B238" s="2"/>
      <c r="E238" s="7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A239" s="1"/>
      <c r="B239" s="2"/>
      <c r="E239" s="7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A240" s="1"/>
      <c r="B240" s="2"/>
      <c r="E240" s="7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A241" s="1"/>
      <c r="B241" s="2"/>
      <c r="E241" s="7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A242" s="1"/>
      <c r="B242" s="2"/>
      <c r="E242" s="7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A243" s="1"/>
      <c r="B243" s="2"/>
      <c r="E243" s="7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A244" s="1"/>
      <c r="B244" s="2"/>
      <c r="E244" s="7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A245" s="1"/>
      <c r="B245" s="2"/>
      <c r="E245" s="7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A246" s="1"/>
      <c r="B246" s="2"/>
      <c r="E246" s="7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A247" s="1"/>
      <c r="B247" s="2"/>
      <c r="E247" s="7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A248" s="1"/>
      <c r="B248" s="2"/>
      <c r="E248" s="7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A249" s="1"/>
      <c r="B249" s="2"/>
      <c r="E249" s="7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A250" s="1"/>
      <c r="B250" s="2"/>
      <c r="E250" s="7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A251" s="1"/>
      <c r="B251" s="2"/>
      <c r="E251" s="7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A252" s="1"/>
      <c r="B252" s="2"/>
      <c r="E252" s="7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A253" s="1"/>
      <c r="B253" s="2"/>
      <c r="E253" s="7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A254" s="1"/>
      <c r="B254" s="2"/>
      <c r="E254" s="7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A255" s="1"/>
      <c r="B255" s="2"/>
      <c r="E255" s="7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A256" s="1"/>
      <c r="B256" s="2"/>
      <c r="E256" s="7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A257" s="1"/>
      <c r="B257" s="2"/>
      <c r="E257" s="7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A258" s="1"/>
      <c r="B258" s="2"/>
      <c r="E258" s="7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A259" s="1"/>
      <c r="B259" s="2"/>
      <c r="E259" s="7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A260" s="1"/>
      <c r="B260" s="2"/>
      <c r="E260" s="7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A261" s="1"/>
      <c r="B261" s="2"/>
      <c r="E261" s="7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A262" s="1"/>
      <c r="B262" s="2"/>
      <c r="E262" s="7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A263" s="1"/>
      <c r="B263" s="2"/>
      <c r="E263" s="7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A264" s="1"/>
      <c r="B264" s="2"/>
      <c r="E264" s="7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A265" s="1"/>
      <c r="B265" s="2"/>
      <c r="E265" s="7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A266" s="1"/>
      <c r="B266" s="2"/>
      <c r="E266" s="7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A267" s="1"/>
      <c r="B267" s="2"/>
      <c r="E267" s="7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A268" s="1"/>
      <c r="B268" s="2"/>
      <c r="E268" s="7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A269" s="1"/>
      <c r="B269" s="2"/>
      <c r="E269" s="7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A270" s="1"/>
      <c r="B270" s="2"/>
      <c r="E270" s="7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A271" s="1"/>
      <c r="B271" s="2"/>
      <c r="E271" s="7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A272" s="1"/>
      <c r="B272" s="2"/>
      <c r="E272" s="7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A273" s="1"/>
      <c r="B273" s="2"/>
      <c r="E273" s="7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A274" s="1"/>
      <c r="B274" s="2"/>
      <c r="E274" s="7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A275" s="1"/>
      <c r="B275" s="2"/>
      <c r="E275" s="7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A276" s="1"/>
      <c r="B276" s="2"/>
      <c r="E276" s="7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A277" s="1"/>
      <c r="B277" s="2"/>
      <c r="E277" s="7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A278" s="1"/>
      <c r="B278" s="2"/>
      <c r="E278" s="7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A279" s="1"/>
      <c r="B279" s="2"/>
      <c r="E279" s="7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A280" s="1"/>
      <c r="B280" s="2"/>
      <c r="E280" s="7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A281" s="1"/>
      <c r="B281" s="2"/>
      <c r="E281" s="7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A282" s="1"/>
      <c r="B282" s="2"/>
      <c r="E282" s="7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A283" s="1"/>
      <c r="B283" s="2"/>
      <c r="E283" s="7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A284" s="1"/>
      <c r="B284" s="2"/>
      <c r="E284" s="7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A285" s="1"/>
      <c r="B285" s="2"/>
      <c r="E285" s="7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A286" s="1"/>
      <c r="B286" s="2"/>
      <c r="E286" s="7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A287" s="1"/>
      <c r="B287" s="2"/>
      <c r="E287" s="7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A288" s="1"/>
      <c r="B288" s="2"/>
      <c r="E288" s="7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A289" s="1"/>
      <c r="B289" s="2"/>
      <c r="E289" s="7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A290" s="1"/>
      <c r="B290" s="2"/>
      <c r="E290" s="7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A291" s="1"/>
      <c r="B291" s="2"/>
      <c r="E291" s="7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A292" s="1"/>
      <c r="B292" s="2"/>
      <c r="E292" s="7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A293" s="1"/>
      <c r="B293" s="2"/>
      <c r="E293" s="7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A294" s="1"/>
      <c r="B294" s="2"/>
      <c r="E294" s="7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A295" s="1"/>
      <c r="B295" s="2"/>
      <c r="E295" s="7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A296" s="1"/>
      <c r="B296" s="2"/>
      <c r="E296" s="7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A297" s="1"/>
      <c r="B297" s="2"/>
      <c r="E297" s="7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A298" s="1"/>
      <c r="B298" s="2"/>
      <c r="E298" s="7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A299" s="1"/>
      <c r="B299" s="2"/>
      <c r="E299" s="7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A300" s="1"/>
      <c r="B300" s="2"/>
      <c r="E300" s="7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A301" s="1"/>
      <c r="B301" s="2"/>
      <c r="E301" s="7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A302" s="1"/>
      <c r="B302" s="2"/>
      <c r="E302" s="7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A303" s="1"/>
      <c r="B303" s="2"/>
      <c r="E303" s="7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A304" s="1"/>
      <c r="B304" s="2"/>
      <c r="E304" s="7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A305" s="1"/>
      <c r="B305" s="2"/>
      <c r="E305" s="7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A306" s="1"/>
      <c r="B306" s="2"/>
      <c r="E306" s="7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A307" s="1"/>
      <c r="B307" s="2"/>
      <c r="E307" s="7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A308" s="1"/>
      <c r="B308" s="2"/>
      <c r="E308" s="7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A309" s="1"/>
      <c r="B309" s="2"/>
      <c r="E309" s="7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A310" s="1"/>
      <c r="B310" s="2"/>
      <c r="E310" s="7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A311" s="1"/>
      <c r="B311" s="2"/>
      <c r="E311" s="7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A312" s="1"/>
      <c r="B312" s="2"/>
      <c r="E312" s="7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A313" s="1"/>
      <c r="B313" s="2"/>
      <c r="E313" s="7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A314" s="1"/>
      <c r="B314" s="2"/>
      <c r="E314" s="7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A315" s="1"/>
      <c r="B315" s="2"/>
      <c r="E315" s="7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A316" s="1"/>
      <c r="B316" s="2"/>
      <c r="E316" s="7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A317" s="1"/>
      <c r="B317" s="2"/>
      <c r="E317" s="7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A318" s="1"/>
      <c r="B318" s="2"/>
      <c r="E318" s="7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A319" s="1"/>
      <c r="B319" s="2"/>
      <c r="E319" s="7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A320" s="1"/>
      <c r="B320" s="2"/>
      <c r="E320" s="7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A321" s="1"/>
      <c r="B321" s="2"/>
      <c r="E321" s="7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A322" s="1"/>
      <c r="B322" s="2"/>
      <c r="E322" s="7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A323" s="1"/>
      <c r="B323" s="2"/>
      <c r="E323" s="7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A324" s="1"/>
      <c r="B324" s="2"/>
      <c r="E324" s="7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A325" s="1"/>
      <c r="B325" s="2"/>
      <c r="E325" s="7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A326" s="1"/>
      <c r="B326" s="2"/>
      <c r="E326" s="7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A327" s="1"/>
      <c r="B327" s="2"/>
      <c r="E327" s="7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A328" s="1"/>
      <c r="B328" s="2"/>
      <c r="E328" s="7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A329" s="1"/>
      <c r="B329" s="2"/>
      <c r="E329" s="7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A330" s="1"/>
      <c r="B330" s="2"/>
      <c r="E330" s="7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A331" s="1"/>
      <c r="B331" s="2"/>
      <c r="E331" s="7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A332" s="1"/>
      <c r="B332" s="2"/>
      <c r="E332" s="7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A333" s="1"/>
      <c r="B333" s="2"/>
      <c r="E333" s="7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A334" s="1"/>
      <c r="B334" s="2"/>
      <c r="E334" s="7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A335" s="1"/>
      <c r="B335" s="2"/>
      <c r="E335" s="7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A336" s="1"/>
      <c r="B336" s="2"/>
      <c r="E336" s="7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A337" s="1"/>
      <c r="B337" s="2"/>
      <c r="E337" s="7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A338" s="1"/>
      <c r="B338" s="2"/>
      <c r="E338" s="7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A339" s="1"/>
      <c r="B339" s="2"/>
      <c r="E339" s="7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A340" s="1"/>
      <c r="B340" s="2"/>
      <c r="E340" s="7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A341" s="1"/>
      <c r="B341" s="2"/>
      <c r="E341" s="7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A342" s="1"/>
      <c r="B342" s="2"/>
      <c r="E342" s="7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A343" s="1"/>
      <c r="B343" s="2"/>
      <c r="E343" s="7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A344" s="1"/>
      <c r="B344" s="2"/>
      <c r="E344" s="7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A345" s="1"/>
      <c r="B345" s="2"/>
      <c r="E345" s="7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A346" s="1"/>
      <c r="B346" s="2"/>
      <c r="E346" s="7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A347" s="1"/>
      <c r="B347" s="2"/>
      <c r="E347" s="7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A348" s="1"/>
      <c r="B348" s="2"/>
      <c r="E348" s="7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A349" s="1"/>
      <c r="B349" s="2"/>
      <c r="E349" s="7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A350" s="1"/>
      <c r="B350" s="2"/>
      <c r="E350" s="7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A351" s="1"/>
      <c r="B351" s="2"/>
      <c r="E351" s="7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A352" s="1"/>
      <c r="B352" s="2"/>
      <c r="E352" s="7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A353" s="1"/>
      <c r="B353" s="2"/>
      <c r="E353" s="7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A354" s="1"/>
      <c r="B354" s="2"/>
      <c r="E354" s="7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A355" s="1"/>
      <c r="B355" s="2"/>
      <c r="E355" s="7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A356" s="1"/>
      <c r="B356" s="2"/>
      <c r="E356" s="7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A357" s="1"/>
      <c r="B357" s="2"/>
      <c r="E357" s="7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A358" s="1"/>
      <c r="B358" s="2"/>
      <c r="E358" s="7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A359" s="1"/>
      <c r="B359" s="2"/>
      <c r="E359" s="7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A360" s="1"/>
      <c r="B360" s="2"/>
      <c r="E360" s="7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A361" s="1"/>
      <c r="B361" s="2"/>
      <c r="E361" s="7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A362" s="1"/>
      <c r="B362" s="2"/>
      <c r="E362" s="7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A363" s="1"/>
      <c r="B363" s="2"/>
      <c r="E363" s="7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A364" s="1"/>
      <c r="B364" s="2"/>
      <c r="E364" s="7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A365" s="1"/>
      <c r="B365" s="2"/>
      <c r="E365" s="7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A366" s="1"/>
      <c r="B366" s="2"/>
      <c r="E366" s="7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A367" s="1"/>
      <c r="B367" s="2"/>
      <c r="E367" s="7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A368" s="1"/>
      <c r="B368" s="2"/>
      <c r="E368" s="7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A369" s="1"/>
      <c r="B369" s="2"/>
      <c r="E369" s="7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A370" s="1"/>
      <c r="B370" s="2"/>
      <c r="E370" s="7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A371" s="1"/>
      <c r="B371" s="2"/>
      <c r="E371" s="7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A372" s="1"/>
      <c r="B372" s="2"/>
      <c r="E372" s="7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A373" s="1"/>
      <c r="B373" s="2"/>
      <c r="E373" s="7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A374" s="1"/>
      <c r="B374" s="2"/>
      <c r="E374" s="7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A375" s="1"/>
      <c r="B375" s="2"/>
      <c r="E375" s="7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A376" s="1"/>
      <c r="B376" s="2"/>
      <c r="E376" s="7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A377" s="1"/>
      <c r="B377" s="2"/>
      <c r="E377" s="7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A378" s="1"/>
      <c r="B378" s="2"/>
      <c r="E378" s="7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A379" s="1"/>
      <c r="B379" s="2"/>
      <c r="E379" s="7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A380" s="1"/>
      <c r="B380" s="2"/>
      <c r="E380" s="7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A381" s="1"/>
      <c r="B381" s="2"/>
      <c r="E381" s="7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A382" s="1"/>
      <c r="B382" s="2"/>
      <c r="E382" s="7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A383" s="1"/>
      <c r="B383" s="2"/>
      <c r="E383" s="7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A384" s="1"/>
      <c r="B384" s="2"/>
      <c r="E384" s="7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A385" s="1"/>
      <c r="B385" s="2"/>
      <c r="E385" s="7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A386" s="1"/>
      <c r="B386" s="2"/>
      <c r="E386" s="7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A387" s="1"/>
      <c r="B387" s="2"/>
      <c r="E387" s="7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A388" s="1"/>
      <c r="B388" s="2"/>
      <c r="E388" s="7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A389" s="1"/>
      <c r="B389" s="2"/>
      <c r="E389" s="7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A390" s="1"/>
      <c r="B390" s="2"/>
      <c r="E390" s="7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A391" s="1"/>
      <c r="B391" s="2"/>
      <c r="E391" s="7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A392" s="1"/>
      <c r="B392" s="2"/>
      <c r="E392" s="7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A393" s="1"/>
      <c r="B393" s="2"/>
      <c r="E393" s="7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A394" s="1"/>
      <c r="B394" s="2"/>
      <c r="E394" s="7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A395" s="1"/>
      <c r="B395" s="2"/>
      <c r="E395" s="7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A396" s="1"/>
      <c r="B396" s="2"/>
      <c r="E396" s="7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A397" s="1"/>
      <c r="B397" s="2"/>
      <c r="E397" s="7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A398" s="1"/>
      <c r="B398" s="2"/>
      <c r="E398" s="7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A399" s="1"/>
      <c r="B399" s="2"/>
      <c r="E399" s="7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A400" s="1"/>
      <c r="B400" s="2"/>
      <c r="E400" s="7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A401" s="1"/>
      <c r="B401" s="2"/>
      <c r="E401" s="7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A402" s="1"/>
      <c r="B402" s="2"/>
      <c r="E402" s="7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A403" s="1"/>
      <c r="B403" s="2"/>
      <c r="E403" s="7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A404" s="1"/>
      <c r="B404" s="2"/>
      <c r="E404" s="7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A405" s="1"/>
      <c r="B405" s="2"/>
      <c r="E405" s="7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A406" s="1"/>
      <c r="B406" s="2"/>
      <c r="E406" s="7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A407" s="1"/>
      <c r="B407" s="2"/>
      <c r="E407" s="7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A408" s="1"/>
      <c r="B408" s="2"/>
      <c r="E408" s="7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A409" s="1"/>
      <c r="B409" s="2"/>
      <c r="E409" s="7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A410" s="1"/>
      <c r="B410" s="2"/>
      <c r="E410" s="7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A411" s="1"/>
      <c r="B411" s="2"/>
      <c r="E411" s="7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A412" s="1"/>
      <c r="B412" s="2"/>
      <c r="E412" s="7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A413" s="1"/>
      <c r="B413" s="2"/>
      <c r="E413" s="7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A414" s="1"/>
      <c r="B414" s="2"/>
      <c r="E414" s="7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A415" s="1"/>
      <c r="B415" s="2"/>
      <c r="E415" s="7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A416" s="1"/>
      <c r="B416" s="2"/>
      <c r="E416" s="7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A417" s="1"/>
      <c r="B417" s="2"/>
      <c r="E417" s="7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A418" s="1"/>
      <c r="B418" s="2"/>
      <c r="E418" s="7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A419" s="1"/>
      <c r="B419" s="2"/>
      <c r="E419" s="7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A420" s="1"/>
      <c r="B420" s="2"/>
      <c r="E420" s="7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A421" s="1"/>
      <c r="B421" s="2"/>
      <c r="E421" s="7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A422" s="1"/>
      <c r="B422" s="2"/>
      <c r="E422" s="7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A423" s="1"/>
      <c r="B423" s="2"/>
      <c r="E423" s="7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A424" s="1"/>
      <c r="B424" s="2"/>
      <c r="E424" s="7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A425" s="1"/>
      <c r="B425" s="2"/>
      <c r="E425" s="7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A426" s="1"/>
      <c r="B426" s="2"/>
      <c r="E426" s="7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A427" s="1"/>
      <c r="B427" s="2"/>
      <c r="E427" s="7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A428" s="1"/>
      <c r="B428" s="2"/>
      <c r="E428" s="7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A429" s="1"/>
      <c r="B429" s="2"/>
      <c r="E429" s="7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A430" s="1"/>
      <c r="B430" s="2"/>
      <c r="E430" s="7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A431" s="1"/>
      <c r="B431" s="2"/>
      <c r="E431" s="7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A432" s="1"/>
      <c r="B432" s="2"/>
      <c r="E432" s="7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A433" s="1"/>
      <c r="B433" s="2"/>
      <c r="E433" s="7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A434" s="1"/>
      <c r="B434" s="2"/>
      <c r="E434" s="7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A435" s="1"/>
      <c r="B435" s="2"/>
      <c r="E435" s="7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A436" s="1"/>
      <c r="B436" s="2"/>
      <c r="E436" s="7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A437" s="1"/>
      <c r="B437" s="2"/>
      <c r="E437" s="7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A438" s="1"/>
      <c r="B438" s="2"/>
      <c r="E438" s="7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A439" s="1"/>
      <c r="B439" s="2"/>
      <c r="E439" s="7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A440" s="1"/>
      <c r="B440" s="2"/>
      <c r="E440" s="7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A441" s="1"/>
      <c r="B441" s="2"/>
      <c r="E441" s="7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A442" s="1"/>
      <c r="B442" s="2"/>
      <c r="E442" s="7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A443" s="1"/>
      <c r="B443" s="2"/>
      <c r="E443" s="7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A444" s="1"/>
      <c r="B444" s="2"/>
      <c r="E444" s="7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A445" s="1"/>
      <c r="B445" s="2"/>
      <c r="E445" s="7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A446" s="1"/>
      <c r="B446" s="2"/>
      <c r="E446" s="7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A447" s="1"/>
      <c r="B447" s="2"/>
      <c r="E447" s="7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A448" s="1"/>
      <c r="B448" s="2"/>
      <c r="E448" s="7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A449" s="1"/>
      <c r="B449" s="2"/>
      <c r="E449" s="7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A450" s="1"/>
      <c r="B450" s="2"/>
      <c r="E450" s="7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A451" s="1"/>
      <c r="B451" s="2"/>
      <c r="E451" s="7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A452" s="1"/>
      <c r="B452" s="2"/>
      <c r="E452" s="7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A453" s="1"/>
      <c r="B453" s="2"/>
      <c r="E453" s="7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A454" s="1"/>
      <c r="B454" s="2"/>
      <c r="E454" s="7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A455" s="1"/>
      <c r="B455" s="2"/>
      <c r="E455" s="7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A456" s="1"/>
      <c r="B456" s="2"/>
      <c r="E456" s="7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A457" s="1"/>
      <c r="B457" s="2"/>
      <c r="E457" s="7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A458" s="1"/>
      <c r="B458" s="2"/>
      <c r="E458" s="7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A459" s="1"/>
      <c r="B459" s="2"/>
      <c r="E459" s="7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A460" s="1"/>
      <c r="B460" s="2"/>
      <c r="E460" s="7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A461" s="1"/>
      <c r="B461" s="2"/>
      <c r="E461" s="7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A462" s="1"/>
      <c r="B462" s="2"/>
      <c r="E462" s="7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A463" s="1"/>
      <c r="B463" s="2"/>
      <c r="E463" s="7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A464" s="1"/>
      <c r="B464" s="2"/>
      <c r="E464" s="7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A465" s="1"/>
      <c r="B465" s="2"/>
      <c r="E465" s="7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A466" s="1"/>
      <c r="B466" s="2"/>
      <c r="E466" s="7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A467" s="1"/>
      <c r="B467" s="2"/>
      <c r="E467" s="7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A468" s="1"/>
      <c r="B468" s="2"/>
      <c r="E468" s="7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A469" s="1"/>
      <c r="B469" s="2"/>
      <c r="E469" s="7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A470" s="1"/>
      <c r="B470" s="2"/>
      <c r="E470" s="7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A471" s="1"/>
      <c r="B471" s="2"/>
      <c r="E471" s="7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A472" s="1"/>
      <c r="B472" s="2"/>
      <c r="E472" s="7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A473" s="1"/>
      <c r="B473" s="2"/>
      <c r="E473" s="7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A474" s="1"/>
      <c r="B474" s="2"/>
      <c r="E474" s="7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A475" s="1"/>
      <c r="B475" s="2"/>
      <c r="E475" s="7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A476" s="1"/>
      <c r="B476" s="2"/>
      <c r="E476" s="7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A477" s="1"/>
      <c r="B477" s="2"/>
      <c r="E477" s="7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A478" s="1"/>
      <c r="B478" s="2"/>
      <c r="E478" s="7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A479" s="1"/>
      <c r="B479" s="2"/>
      <c r="E479" s="7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A480" s="1"/>
      <c r="B480" s="2"/>
      <c r="E480" s="7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A481" s="1"/>
      <c r="B481" s="2"/>
      <c r="E481" s="7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A482" s="1"/>
      <c r="B482" s="2"/>
      <c r="E482" s="7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A483" s="1"/>
      <c r="B483" s="2"/>
      <c r="E483" s="7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A484" s="1"/>
      <c r="B484" s="2"/>
      <c r="E484" s="7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A485" s="1"/>
      <c r="B485" s="2"/>
      <c r="E485" s="7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A486" s="1"/>
      <c r="B486" s="2"/>
      <c r="E486" s="7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A487" s="1"/>
      <c r="B487" s="2"/>
      <c r="E487" s="7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A488" s="1"/>
      <c r="B488" s="2"/>
      <c r="E488" s="7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A489" s="1"/>
      <c r="B489" s="2"/>
      <c r="E489" s="7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A490" s="1"/>
      <c r="B490" s="2"/>
      <c r="E490" s="7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A491" s="1"/>
      <c r="B491" s="2"/>
      <c r="E491" s="7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A492" s="1"/>
      <c r="B492" s="2"/>
      <c r="E492" s="7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A493" s="1"/>
      <c r="B493" s="2"/>
      <c r="E493" s="7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A494" s="1"/>
      <c r="B494" s="2"/>
      <c r="E494" s="7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A495" s="1"/>
      <c r="B495" s="2"/>
      <c r="E495" s="7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A496" s="1"/>
      <c r="B496" s="2"/>
      <c r="E496" s="7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A497" s="1"/>
      <c r="B497" s="2"/>
      <c r="E497" s="7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A498" s="1"/>
      <c r="B498" s="2"/>
      <c r="E498" s="7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A499" s="1"/>
      <c r="B499" s="2"/>
      <c r="E499" s="7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A500" s="1"/>
      <c r="B500" s="2"/>
      <c r="E500" s="7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A501" s="1"/>
      <c r="B501" s="2"/>
      <c r="E501" s="7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A502" s="1"/>
      <c r="B502" s="2"/>
      <c r="E502" s="7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A503" s="1"/>
      <c r="B503" s="2"/>
      <c r="E503" s="7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A504" s="1"/>
      <c r="B504" s="2"/>
      <c r="E504" s="7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A505" s="1"/>
      <c r="B505" s="2"/>
      <c r="E505" s="7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A506" s="1"/>
      <c r="B506" s="2"/>
      <c r="E506" s="7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A507" s="1"/>
      <c r="B507" s="2"/>
      <c r="E507" s="7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A508" s="1"/>
      <c r="B508" s="2"/>
      <c r="E508" s="7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A509" s="1"/>
      <c r="B509" s="2"/>
      <c r="E509" s="7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A510" s="1"/>
      <c r="B510" s="2"/>
      <c r="E510" s="7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A511" s="1"/>
      <c r="B511" s="2"/>
      <c r="E511" s="7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A512" s="1"/>
      <c r="B512" s="2"/>
      <c r="E512" s="7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A513" s="1"/>
      <c r="B513" s="2"/>
      <c r="E513" s="7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A514" s="1"/>
      <c r="B514" s="2"/>
      <c r="E514" s="7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A515" s="1"/>
      <c r="B515" s="2"/>
      <c r="E515" s="7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A516" s="1"/>
      <c r="B516" s="2"/>
      <c r="E516" s="7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A517" s="1"/>
      <c r="B517" s="2"/>
      <c r="E517" s="7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A518" s="1"/>
      <c r="B518" s="2"/>
      <c r="E518" s="7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A519" s="1"/>
      <c r="B519" s="2"/>
      <c r="E519" s="7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A520" s="1"/>
      <c r="B520" s="2"/>
      <c r="E520" s="7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A521" s="1"/>
      <c r="B521" s="2"/>
      <c r="E521" s="7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A522" s="1"/>
      <c r="B522" s="2"/>
      <c r="E522" s="7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A523" s="1"/>
      <c r="B523" s="2"/>
      <c r="E523" s="7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A524" s="1"/>
      <c r="B524" s="2"/>
      <c r="E524" s="7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A525" s="1"/>
      <c r="B525" s="2"/>
      <c r="E525" s="7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A526" s="1"/>
      <c r="B526" s="2"/>
      <c r="E526" s="7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A527" s="1"/>
      <c r="B527" s="2"/>
      <c r="E527" s="7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A528" s="1"/>
      <c r="B528" s="2"/>
      <c r="E528" s="7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A529" s="1"/>
      <c r="B529" s="2"/>
      <c r="E529" s="7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A530" s="1"/>
      <c r="B530" s="2"/>
      <c r="E530" s="7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A531" s="1"/>
      <c r="B531" s="2"/>
      <c r="E531" s="7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A532" s="1"/>
      <c r="B532" s="2"/>
      <c r="E532" s="7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A533" s="1"/>
      <c r="B533" s="2"/>
      <c r="E533" s="7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A534" s="1"/>
      <c r="B534" s="2"/>
      <c r="E534" s="7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A535" s="1"/>
      <c r="B535" s="2"/>
      <c r="E535" s="7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A536" s="1"/>
      <c r="B536" s="2"/>
      <c r="E536" s="7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A537" s="1"/>
      <c r="B537" s="2"/>
      <c r="E537" s="7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A538" s="1"/>
      <c r="B538" s="2"/>
      <c r="E538" s="7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A539" s="1"/>
      <c r="B539" s="2"/>
      <c r="E539" s="7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A540" s="1"/>
      <c r="B540" s="2"/>
      <c r="E540" s="7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A541" s="1"/>
      <c r="B541" s="2"/>
      <c r="E541" s="7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A542" s="1"/>
      <c r="B542" s="2"/>
      <c r="E542" s="7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A543" s="1"/>
      <c r="B543" s="2"/>
      <c r="E543" s="7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A544" s="1"/>
      <c r="B544" s="2"/>
      <c r="E544" s="7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A545" s="1"/>
      <c r="B545" s="2"/>
      <c r="E545" s="7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A546" s="1"/>
      <c r="B546" s="2"/>
      <c r="E546" s="7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A547" s="1"/>
      <c r="B547" s="2"/>
      <c r="E547" s="7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A548" s="1"/>
      <c r="B548" s="2"/>
      <c r="E548" s="7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A549" s="1"/>
      <c r="B549" s="2"/>
      <c r="E549" s="7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A550" s="1"/>
      <c r="B550" s="2"/>
      <c r="E550" s="7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A551" s="1"/>
      <c r="B551" s="2"/>
      <c r="E551" s="7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A552" s="1"/>
      <c r="B552" s="2"/>
      <c r="E552" s="7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A553" s="1"/>
      <c r="B553" s="2"/>
      <c r="E553" s="7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A554" s="1"/>
      <c r="B554" s="2"/>
      <c r="E554" s="7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A555" s="1"/>
      <c r="B555" s="2"/>
      <c r="E555" s="7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A556" s="1"/>
      <c r="B556" s="2"/>
      <c r="E556" s="7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A557" s="1"/>
      <c r="B557" s="2"/>
      <c r="E557" s="7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A558" s="1"/>
      <c r="B558" s="2"/>
      <c r="E558" s="7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A559" s="1"/>
      <c r="B559" s="2"/>
      <c r="E559" s="7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A560" s="1"/>
      <c r="B560" s="2"/>
      <c r="E560" s="7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A561" s="1"/>
      <c r="B561" s="2"/>
      <c r="E561" s="7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A562" s="1"/>
      <c r="B562" s="2"/>
      <c r="E562" s="7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A563" s="1"/>
      <c r="B563" s="2"/>
      <c r="E563" s="7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A564" s="1"/>
      <c r="B564" s="2"/>
      <c r="E564" s="7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A565" s="1"/>
      <c r="B565" s="2"/>
      <c r="E565" s="7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A566" s="1"/>
      <c r="B566" s="2"/>
      <c r="E566" s="7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A567" s="1"/>
      <c r="B567" s="2"/>
      <c r="E567" s="7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A568" s="1"/>
      <c r="B568" s="2"/>
      <c r="E568" s="7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A569" s="1"/>
      <c r="B569" s="2"/>
      <c r="E569" s="7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A570" s="1"/>
      <c r="B570" s="2"/>
      <c r="E570" s="7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A571" s="1"/>
      <c r="B571" s="2"/>
      <c r="E571" s="7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A572" s="1"/>
      <c r="B572" s="2"/>
      <c r="E572" s="7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A573" s="1"/>
      <c r="B573" s="2"/>
      <c r="E573" s="7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A574" s="1"/>
      <c r="B574" s="2"/>
      <c r="E574" s="7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A575" s="1"/>
      <c r="B575" s="2"/>
      <c r="E575" s="7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A576" s="1"/>
      <c r="B576" s="2"/>
      <c r="E576" s="7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A577" s="1"/>
      <c r="B577" s="2"/>
      <c r="E577" s="7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A578" s="1"/>
      <c r="B578" s="2"/>
      <c r="E578" s="7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A579" s="1"/>
      <c r="B579" s="2"/>
      <c r="E579" s="7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A580" s="1"/>
      <c r="B580" s="2"/>
      <c r="E580" s="7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A581" s="1"/>
      <c r="B581" s="2"/>
      <c r="E581" s="7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A582" s="1"/>
      <c r="B582" s="2"/>
      <c r="E582" s="7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A583" s="1"/>
      <c r="B583" s="2"/>
      <c r="E583" s="7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A584" s="1"/>
      <c r="B584" s="2"/>
      <c r="E584" s="7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A585" s="1"/>
      <c r="B585" s="2"/>
      <c r="E585" s="7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A586" s="1"/>
      <c r="B586" s="2"/>
      <c r="E586" s="7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A587" s="1"/>
      <c r="B587" s="2"/>
      <c r="E587" s="7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A588" s="1"/>
      <c r="B588" s="2"/>
      <c r="E588" s="7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A589" s="1"/>
      <c r="B589" s="2"/>
      <c r="E589" s="7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A590" s="1"/>
      <c r="B590" s="2"/>
      <c r="E590" s="7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A591" s="1"/>
      <c r="B591" s="2"/>
      <c r="E591" s="7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A592" s="1"/>
      <c r="B592" s="2"/>
      <c r="E592" s="7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A593" s="1"/>
      <c r="B593" s="2"/>
      <c r="E593" s="7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A594" s="1"/>
      <c r="B594" s="2"/>
      <c r="E594" s="7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A595" s="1"/>
      <c r="B595" s="2"/>
      <c r="E595" s="7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A596" s="1"/>
      <c r="B596" s="2"/>
      <c r="E596" s="7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A597" s="1"/>
      <c r="B597" s="2"/>
      <c r="E597" s="7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A598" s="1"/>
      <c r="B598" s="2"/>
      <c r="E598" s="7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A599" s="1"/>
      <c r="B599" s="2"/>
      <c r="E599" s="7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A600" s="1"/>
      <c r="B600" s="2"/>
      <c r="E600" s="7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A601" s="1"/>
      <c r="B601" s="2"/>
      <c r="E601" s="7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A602" s="1"/>
      <c r="B602" s="2"/>
      <c r="E602" s="7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A603" s="1"/>
      <c r="B603" s="2"/>
      <c r="E603" s="7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A604" s="1"/>
      <c r="B604" s="2"/>
      <c r="E604" s="7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A605" s="1"/>
      <c r="B605" s="2"/>
      <c r="E605" s="7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A606" s="1"/>
      <c r="B606" s="2"/>
      <c r="E606" s="7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A607" s="1"/>
      <c r="B607" s="2"/>
      <c r="E607" s="7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A608" s="1"/>
      <c r="B608" s="2"/>
      <c r="E608" s="7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A609" s="1"/>
      <c r="B609" s="2"/>
      <c r="E609" s="7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A610" s="1"/>
      <c r="B610" s="2"/>
      <c r="E610" s="7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A611" s="1"/>
      <c r="B611" s="2"/>
      <c r="E611" s="7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A612" s="1"/>
      <c r="B612" s="2"/>
      <c r="E612" s="7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A613" s="1"/>
      <c r="B613" s="2"/>
      <c r="E613" s="7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A614" s="1"/>
      <c r="B614" s="2"/>
      <c r="E614" s="7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A615" s="1"/>
      <c r="B615" s="2"/>
      <c r="E615" s="7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A616" s="1"/>
      <c r="B616" s="2"/>
      <c r="E616" s="7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A617" s="1"/>
      <c r="B617" s="2"/>
      <c r="E617" s="7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A618" s="1"/>
      <c r="B618" s="2"/>
      <c r="E618" s="7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A619" s="1"/>
      <c r="B619" s="2"/>
      <c r="E619" s="7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A620" s="1"/>
      <c r="B620" s="2"/>
      <c r="E620" s="7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A621" s="1"/>
      <c r="B621" s="2"/>
      <c r="E621" s="7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A622" s="1"/>
      <c r="B622" s="2"/>
      <c r="E622" s="7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A623" s="1"/>
      <c r="B623" s="2"/>
      <c r="E623" s="7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A624" s="1"/>
      <c r="B624" s="2"/>
      <c r="E624" s="7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A625" s="1"/>
      <c r="B625" s="2"/>
      <c r="E625" s="7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A626" s="1"/>
      <c r="B626" s="2"/>
      <c r="E626" s="7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A627" s="1"/>
      <c r="B627" s="2"/>
      <c r="E627" s="7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A628" s="1"/>
      <c r="B628" s="2"/>
      <c r="E628" s="7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A629" s="1"/>
      <c r="B629" s="2"/>
      <c r="E629" s="7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A630" s="1"/>
      <c r="B630" s="2"/>
      <c r="E630" s="7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A631" s="1"/>
      <c r="B631" s="2"/>
      <c r="E631" s="7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A632" s="1"/>
      <c r="B632" s="2"/>
      <c r="E632" s="7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A633" s="1"/>
      <c r="B633" s="2"/>
      <c r="E633" s="7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A634" s="1"/>
      <c r="B634" s="2"/>
      <c r="E634" s="7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A635" s="1"/>
      <c r="B635" s="2"/>
      <c r="E635" s="7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A636" s="1"/>
      <c r="B636" s="2"/>
      <c r="E636" s="7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A637" s="1"/>
      <c r="B637" s="2"/>
      <c r="E637" s="7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A638" s="1"/>
      <c r="B638" s="2"/>
      <c r="E638" s="7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A639" s="1"/>
      <c r="B639" s="2"/>
      <c r="E639" s="7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A640" s="1"/>
      <c r="B640" s="2"/>
      <c r="E640" s="7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A641" s="1"/>
      <c r="B641" s="2"/>
      <c r="E641" s="7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A642" s="1"/>
      <c r="B642" s="2"/>
      <c r="E642" s="7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A643" s="1"/>
      <c r="B643" s="2"/>
      <c r="E643" s="7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A644" s="1"/>
      <c r="B644" s="2"/>
      <c r="E644" s="7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A645" s="1"/>
      <c r="B645" s="2"/>
      <c r="E645" s="7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A646" s="1"/>
      <c r="B646" s="2"/>
      <c r="E646" s="7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A647" s="1"/>
      <c r="B647" s="2"/>
      <c r="E647" s="7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A648" s="1"/>
      <c r="B648" s="2"/>
      <c r="E648" s="7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A649" s="1"/>
      <c r="B649" s="2"/>
      <c r="E649" s="7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A650" s="1"/>
      <c r="B650" s="2"/>
      <c r="E650" s="7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A651" s="1"/>
      <c r="B651" s="2"/>
      <c r="E651" s="7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A652" s="1"/>
      <c r="B652" s="2"/>
      <c r="E652" s="7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A653" s="1"/>
      <c r="B653" s="2"/>
      <c r="E653" s="7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A654" s="1"/>
      <c r="B654" s="2"/>
      <c r="E654" s="7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A655" s="1"/>
      <c r="B655" s="2"/>
      <c r="E655" s="7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A656" s="1"/>
      <c r="B656" s="2"/>
      <c r="E656" s="7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A657" s="1"/>
      <c r="B657" s="2"/>
      <c r="E657" s="7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A658" s="1"/>
      <c r="B658" s="2"/>
      <c r="E658" s="7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A659" s="1"/>
      <c r="B659" s="2"/>
      <c r="E659" s="7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A660" s="1"/>
      <c r="B660" s="2"/>
      <c r="E660" s="7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A661" s="1"/>
      <c r="B661" s="2"/>
      <c r="E661" s="7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A662" s="1"/>
      <c r="B662" s="2"/>
      <c r="E662" s="7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A663" s="1"/>
      <c r="B663" s="2"/>
      <c r="E663" s="7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A664" s="1"/>
      <c r="B664" s="2"/>
      <c r="E664" s="7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A665" s="1"/>
      <c r="B665" s="2"/>
      <c r="E665" s="7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A666" s="1"/>
      <c r="B666" s="2"/>
      <c r="E666" s="7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A667" s="1"/>
      <c r="B667" s="2"/>
      <c r="E667" s="7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A668" s="1"/>
      <c r="B668" s="2"/>
      <c r="E668" s="7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A669" s="1"/>
      <c r="B669" s="2"/>
      <c r="E669" s="7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A670" s="1"/>
      <c r="B670" s="2"/>
      <c r="E670" s="7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A671" s="1"/>
      <c r="B671" s="2"/>
      <c r="E671" s="7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A672" s="1"/>
      <c r="B672" s="2"/>
      <c r="E672" s="7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A673" s="1"/>
      <c r="B673" s="2"/>
      <c r="E673" s="7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A674" s="1"/>
      <c r="B674" s="2"/>
      <c r="E674" s="7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A675" s="1"/>
      <c r="B675" s="2"/>
      <c r="E675" s="7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A676" s="1"/>
      <c r="B676" s="2"/>
      <c r="E676" s="7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A677" s="1"/>
      <c r="B677" s="2"/>
      <c r="E677" s="7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A678" s="1"/>
      <c r="B678" s="2"/>
      <c r="E678" s="7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A679" s="1"/>
      <c r="B679" s="2"/>
      <c r="E679" s="7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A680" s="1"/>
      <c r="B680" s="2"/>
      <c r="E680" s="7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A681" s="1"/>
      <c r="B681" s="2"/>
      <c r="E681" s="7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A682" s="1"/>
      <c r="B682" s="2"/>
      <c r="E682" s="7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A683" s="1"/>
      <c r="B683" s="2"/>
      <c r="E683" s="7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A684" s="1"/>
      <c r="B684" s="2"/>
      <c r="E684" s="7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A685" s="1"/>
      <c r="B685" s="2"/>
      <c r="E685" s="7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A686" s="1"/>
      <c r="B686" s="2"/>
      <c r="E686" s="7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A687" s="1"/>
      <c r="B687" s="2"/>
      <c r="E687" s="7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A688" s="1"/>
      <c r="B688" s="2"/>
      <c r="E688" s="7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A689" s="1"/>
      <c r="B689" s="2"/>
      <c r="E689" s="7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A690" s="1"/>
      <c r="B690" s="2"/>
      <c r="E690" s="7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A691" s="1"/>
      <c r="B691" s="2"/>
      <c r="E691" s="7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A692" s="1"/>
      <c r="B692" s="2"/>
      <c r="E692" s="7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A693" s="1"/>
      <c r="B693" s="2"/>
      <c r="E693" s="7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A694" s="1"/>
      <c r="B694" s="2"/>
      <c r="E694" s="7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A695" s="1"/>
      <c r="B695" s="2"/>
      <c r="E695" s="7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A696" s="1"/>
      <c r="B696" s="2"/>
      <c r="E696" s="7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A697" s="1"/>
      <c r="B697" s="2"/>
      <c r="E697" s="7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A698" s="1"/>
      <c r="B698" s="2"/>
      <c r="E698" s="7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A699" s="1"/>
      <c r="B699" s="2"/>
      <c r="E699" s="7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A700" s="1"/>
      <c r="B700" s="2"/>
      <c r="E700" s="7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A701" s="1"/>
      <c r="B701" s="2"/>
      <c r="E701" s="7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A702" s="1"/>
      <c r="B702" s="2"/>
      <c r="E702" s="7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A703" s="1"/>
      <c r="B703" s="2"/>
      <c r="E703" s="7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A704" s="1"/>
      <c r="B704" s="2"/>
      <c r="E704" s="7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A705" s="1"/>
      <c r="B705" s="2"/>
      <c r="E705" s="7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A706" s="1"/>
      <c r="B706" s="2"/>
      <c r="E706" s="7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A707" s="1"/>
      <c r="B707" s="2"/>
      <c r="E707" s="7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A708" s="1"/>
      <c r="B708" s="2"/>
      <c r="E708" s="7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A709" s="1"/>
      <c r="B709" s="2"/>
      <c r="E709" s="7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A710" s="1"/>
      <c r="B710" s="2"/>
      <c r="E710" s="7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A711" s="1"/>
      <c r="B711" s="2"/>
      <c r="E711" s="7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A712" s="1"/>
      <c r="B712" s="2"/>
      <c r="E712" s="7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A713" s="1"/>
      <c r="B713" s="2"/>
      <c r="E713" s="7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A714" s="1"/>
      <c r="B714" s="2"/>
      <c r="E714" s="7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A715" s="1"/>
      <c r="B715" s="2"/>
      <c r="E715" s="7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A716" s="1"/>
      <c r="B716" s="2"/>
      <c r="E716" s="7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A717" s="1"/>
      <c r="B717" s="2"/>
      <c r="E717" s="7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A718" s="1"/>
      <c r="B718" s="2"/>
      <c r="E718" s="7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A719" s="1"/>
      <c r="B719" s="2"/>
      <c r="E719" s="7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A720" s="1"/>
      <c r="B720" s="2"/>
      <c r="E720" s="7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A721" s="1"/>
      <c r="B721" s="2"/>
      <c r="E721" s="7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A722" s="1"/>
      <c r="B722" s="2"/>
      <c r="E722" s="7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A723" s="1"/>
      <c r="B723" s="2"/>
      <c r="E723" s="7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A724" s="1"/>
      <c r="B724" s="2"/>
      <c r="E724" s="7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A725" s="1"/>
      <c r="B725" s="2"/>
      <c r="E725" s="7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A726" s="1"/>
      <c r="B726" s="2"/>
      <c r="E726" s="7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A727" s="1"/>
      <c r="B727" s="2"/>
      <c r="E727" s="7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A728" s="1"/>
      <c r="B728" s="2"/>
      <c r="E728" s="7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A729" s="1"/>
      <c r="B729" s="2"/>
      <c r="E729" s="7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A730" s="1"/>
      <c r="B730" s="2"/>
      <c r="E730" s="7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A731" s="1"/>
      <c r="B731" s="2"/>
      <c r="E731" s="7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A732" s="1"/>
      <c r="B732" s="2"/>
      <c r="E732" s="7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A733" s="1"/>
      <c r="B733" s="2"/>
      <c r="E733" s="7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A734" s="1"/>
      <c r="B734" s="2"/>
      <c r="E734" s="7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A735" s="1"/>
      <c r="B735" s="2"/>
      <c r="E735" s="7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A736" s="1"/>
      <c r="B736" s="2"/>
      <c r="E736" s="7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A737" s="1"/>
      <c r="B737" s="2"/>
      <c r="E737" s="7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A738" s="1"/>
      <c r="B738" s="2"/>
      <c r="E738" s="7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A739" s="1"/>
      <c r="B739" s="2"/>
      <c r="E739" s="7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A740" s="1"/>
      <c r="B740" s="2"/>
      <c r="E740" s="7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A741" s="1"/>
      <c r="B741" s="2"/>
      <c r="E741" s="7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A742" s="1"/>
      <c r="B742" s="2"/>
      <c r="E742" s="7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A743" s="1"/>
      <c r="B743" s="2"/>
      <c r="E743" s="7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A744" s="1"/>
      <c r="B744" s="2"/>
      <c r="E744" s="7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A745" s="1"/>
      <c r="B745" s="2"/>
      <c r="E745" s="7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A746" s="1"/>
      <c r="B746" s="2"/>
      <c r="E746" s="7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A747" s="1"/>
      <c r="B747" s="2"/>
      <c r="E747" s="7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A748" s="1"/>
      <c r="B748" s="2"/>
      <c r="E748" s="7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A749" s="1"/>
      <c r="B749" s="2"/>
      <c r="E749" s="7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A750" s="1"/>
      <c r="B750" s="2"/>
      <c r="E750" s="7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A751" s="1"/>
      <c r="B751" s="2"/>
      <c r="E751" s="7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A752" s="1"/>
      <c r="B752" s="2"/>
      <c r="E752" s="7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A753" s="1"/>
      <c r="B753" s="2"/>
      <c r="E753" s="7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A754" s="1"/>
      <c r="B754" s="2"/>
      <c r="E754" s="7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A755" s="1"/>
      <c r="B755" s="2"/>
      <c r="E755" s="7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A756" s="1"/>
      <c r="B756" s="2"/>
      <c r="E756" s="7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A757" s="1"/>
      <c r="B757" s="2"/>
      <c r="E757" s="7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A758" s="1"/>
      <c r="B758" s="2"/>
      <c r="E758" s="7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A759" s="1"/>
      <c r="B759" s="2"/>
      <c r="E759" s="7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A760" s="1"/>
      <c r="B760" s="2"/>
      <c r="E760" s="7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A761" s="1"/>
      <c r="B761" s="2"/>
      <c r="E761" s="7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A762" s="1"/>
      <c r="B762" s="2"/>
      <c r="E762" s="7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A763" s="1"/>
      <c r="B763" s="2"/>
      <c r="E763" s="7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A764" s="1"/>
      <c r="B764" s="2"/>
      <c r="E764" s="7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A765" s="1"/>
      <c r="B765" s="2"/>
      <c r="E765" s="7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A766" s="1"/>
      <c r="B766" s="2"/>
      <c r="E766" s="7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A767" s="1"/>
      <c r="B767" s="2"/>
      <c r="E767" s="7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A768" s="1"/>
      <c r="B768" s="2"/>
      <c r="E768" s="7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A769" s="1"/>
      <c r="B769" s="2"/>
      <c r="E769" s="7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A770" s="1"/>
      <c r="B770" s="2"/>
      <c r="E770" s="7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A771" s="1"/>
      <c r="B771" s="2"/>
      <c r="E771" s="7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A772" s="1"/>
      <c r="B772" s="2"/>
      <c r="E772" s="7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A773" s="1"/>
      <c r="B773" s="2"/>
      <c r="E773" s="7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A774" s="1"/>
      <c r="B774" s="2"/>
      <c r="E774" s="7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A775" s="1"/>
      <c r="B775" s="2"/>
      <c r="E775" s="7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A776" s="1"/>
      <c r="B776" s="2"/>
      <c r="E776" s="7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A777" s="1"/>
      <c r="B777" s="2"/>
      <c r="E777" s="7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A778" s="1"/>
      <c r="B778" s="2"/>
      <c r="E778" s="7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A779" s="1"/>
      <c r="B779" s="2"/>
      <c r="E779" s="7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A780" s="1"/>
      <c r="B780" s="2"/>
      <c r="E780" s="7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A781" s="1"/>
      <c r="B781" s="2"/>
      <c r="E781" s="7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A782" s="1"/>
      <c r="B782" s="2"/>
      <c r="E782" s="7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A783" s="1"/>
      <c r="B783" s="2"/>
      <c r="E783" s="7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A784" s="1"/>
      <c r="B784" s="2"/>
      <c r="E784" s="7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A785" s="1"/>
      <c r="B785" s="2"/>
      <c r="E785" s="7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A786" s="1"/>
      <c r="B786" s="2"/>
      <c r="E786" s="7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A787" s="1"/>
      <c r="B787" s="2"/>
      <c r="E787" s="7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A788" s="1"/>
      <c r="B788" s="2"/>
      <c r="E788" s="7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A789" s="1"/>
      <c r="B789" s="2"/>
      <c r="E789" s="7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A790" s="1"/>
      <c r="B790" s="2"/>
      <c r="E790" s="7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A791" s="1"/>
      <c r="B791" s="2"/>
      <c r="E791" s="7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A792" s="1"/>
      <c r="B792" s="2"/>
      <c r="E792" s="7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A793" s="1"/>
      <c r="B793" s="2"/>
      <c r="E793" s="7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A794" s="1"/>
      <c r="B794" s="2"/>
      <c r="E794" s="7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A795" s="1"/>
      <c r="B795" s="2"/>
      <c r="E795" s="7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A796" s="1"/>
      <c r="B796" s="2"/>
      <c r="E796" s="7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A797" s="1"/>
      <c r="B797" s="2"/>
      <c r="E797" s="7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A798" s="1"/>
      <c r="B798" s="2"/>
      <c r="E798" s="7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A799" s="1"/>
      <c r="B799" s="2"/>
      <c r="E799" s="7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A800" s="1"/>
      <c r="B800" s="2"/>
      <c r="E800" s="7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A801" s="1"/>
      <c r="B801" s="2"/>
      <c r="E801" s="7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A802" s="1"/>
      <c r="B802" s="2"/>
      <c r="E802" s="7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A803" s="1"/>
      <c r="B803" s="2"/>
      <c r="E803" s="7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A804" s="1"/>
      <c r="B804" s="2"/>
      <c r="E804" s="7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A805" s="1"/>
      <c r="B805" s="2"/>
      <c r="E805" s="7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A806" s="1"/>
      <c r="B806" s="2"/>
      <c r="E806" s="7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A807" s="1"/>
      <c r="B807" s="2"/>
      <c r="E807" s="7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A808" s="1"/>
      <c r="B808" s="2"/>
      <c r="E808" s="7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A809" s="1"/>
      <c r="B809" s="2"/>
      <c r="E809" s="7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A810" s="1"/>
      <c r="B810" s="2"/>
      <c r="E810" s="7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A811" s="1"/>
      <c r="B811" s="2"/>
      <c r="E811" s="7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A812" s="1"/>
      <c r="B812" s="2"/>
      <c r="E812" s="7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A813" s="1"/>
      <c r="B813" s="2"/>
      <c r="E813" s="7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A814" s="1"/>
      <c r="B814" s="2"/>
      <c r="E814" s="7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A815" s="1"/>
      <c r="B815" s="2"/>
      <c r="E815" s="7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A816" s="1"/>
      <c r="B816" s="2"/>
      <c r="E816" s="7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A817" s="1"/>
      <c r="B817" s="2"/>
      <c r="E817" s="7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A818" s="1"/>
      <c r="B818" s="2"/>
      <c r="E818" s="7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A819" s="1"/>
      <c r="B819" s="2"/>
      <c r="E819" s="7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A820" s="1"/>
      <c r="B820" s="2"/>
      <c r="E820" s="7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A821" s="1"/>
      <c r="B821" s="2"/>
      <c r="E821" s="7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A822" s="1"/>
      <c r="B822" s="2"/>
      <c r="E822" s="7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A823" s="1"/>
      <c r="B823" s="2"/>
      <c r="E823" s="7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A824" s="1"/>
      <c r="B824" s="2"/>
      <c r="E824" s="7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A825" s="1"/>
      <c r="B825" s="2"/>
      <c r="E825" s="7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A826" s="1"/>
      <c r="B826" s="2"/>
      <c r="E826" s="7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A827" s="1"/>
      <c r="B827" s="2"/>
      <c r="E827" s="7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A828" s="1"/>
      <c r="B828" s="2"/>
      <c r="E828" s="7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A829" s="1"/>
      <c r="B829" s="2"/>
      <c r="E829" s="7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A830" s="1"/>
      <c r="B830" s="2"/>
      <c r="E830" s="7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A831" s="1"/>
      <c r="B831" s="2"/>
      <c r="E831" s="7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A832" s="1"/>
      <c r="B832" s="2"/>
      <c r="E832" s="7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A833" s="1"/>
      <c r="B833" s="2"/>
      <c r="E833" s="7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A834" s="1"/>
      <c r="B834" s="2"/>
      <c r="E834" s="7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A835" s="1"/>
      <c r="B835" s="2"/>
      <c r="E835" s="7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A836" s="1"/>
      <c r="B836" s="2"/>
      <c r="E836" s="7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A837" s="1"/>
      <c r="B837" s="2"/>
      <c r="E837" s="7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A838" s="1"/>
      <c r="B838" s="2"/>
      <c r="E838" s="7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A839" s="1"/>
      <c r="B839" s="2"/>
      <c r="E839" s="7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A840" s="1"/>
      <c r="B840" s="2"/>
      <c r="E840" s="7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A841" s="1"/>
      <c r="B841" s="2"/>
      <c r="E841" s="7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A842" s="1"/>
      <c r="B842" s="2"/>
      <c r="E842" s="7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A843" s="1"/>
      <c r="B843" s="2"/>
      <c r="E843" s="7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A844" s="1"/>
      <c r="B844" s="2"/>
      <c r="E844" s="7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A845" s="1"/>
      <c r="B845" s="2"/>
      <c r="E845" s="7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A846" s="1"/>
      <c r="B846" s="2"/>
      <c r="E846" s="7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A847" s="1"/>
      <c r="B847" s="2"/>
      <c r="E847" s="7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A848" s="1"/>
      <c r="B848" s="2"/>
      <c r="E848" s="7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A849" s="1"/>
      <c r="B849" s="2"/>
      <c r="E849" s="7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A850" s="1"/>
      <c r="B850" s="2"/>
      <c r="E850" s="7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A851" s="1"/>
      <c r="B851" s="2"/>
      <c r="E851" s="7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A852" s="1"/>
      <c r="B852" s="2"/>
      <c r="E852" s="7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A853" s="1"/>
      <c r="B853" s="2"/>
      <c r="E853" s="7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A854" s="1"/>
      <c r="B854" s="2"/>
      <c r="E854" s="7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A855" s="1"/>
      <c r="B855" s="2"/>
      <c r="E855" s="7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A856" s="1"/>
      <c r="B856" s="2"/>
      <c r="E856" s="7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A857" s="1"/>
      <c r="B857" s="2"/>
      <c r="E857" s="7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A858" s="1"/>
      <c r="B858" s="2"/>
      <c r="E858" s="7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A859" s="1"/>
      <c r="B859" s="2"/>
      <c r="E859" s="7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A860" s="1"/>
      <c r="B860" s="2"/>
      <c r="E860" s="7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A861" s="1"/>
      <c r="B861" s="2"/>
      <c r="E861" s="7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A862" s="1"/>
      <c r="B862" s="2"/>
      <c r="E862" s="7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A863" s="1"/>
      <c r="B863" s="2"/>
      <c r="E863" s="7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A864" s="1"/>
      <c r="B864" s="2"/>
      <c r="E864" s="7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A865" s="1"/>
      <c r="B865" s="2"/>
      <c r="E865" s="7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A866" s="1"/>
      <c r="B866" s="2"/>
      <c r="E866" s="7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A867" s="1"/>
      <c r="B867" s="2"/>
      <c r="E867" s="7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A868" s="1"/>
      <c r="B868" s="2"/>
      <c r="E868" s="7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A869" s="1"/>
      <c r="B869" s="2"/>
      <c r="E869" s="7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A870" s="1"/>
      <c r="B870" s="2"/>
      <c r="E870" s="7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A871" s="1"/>
      <c r="B871" s="2"/>
      <c r="E871" s="7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A872" s="1"/>
      <c r="B872" s="2"/>
      <c r="E872" s="7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A873" s="1"/>
      <c r="B873" s="2"/>
      <c r="E873" s="7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A874" s="1"/>
      <c r="B874" s="2"/>
      <c r="E874" s="7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A875" s="1"/>
      <c r="B875" s="2"/>
      <c r="E875" s="7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A876" s="1"/>
      <c r="B876" s="2"/>
      <c r="E876" s="7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A877" s="1"/>
      <c r="B877" s="2"/>
      <c r="E877" s="7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A878" s="1"/>
      <c r="B878" s="2"/>
      <c r="E878" s="7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A879" s="1"/>
      <c r="B879" s="2"/>
      <c r="E879" s="7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A880" s="1"/>
      <c r="B880" s="2"/>
      <c r="E880" s="7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A881" s="1"/>
      <c r="B881" s="2"/>
      <c r="E881" s="7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A882" s="1"/>
      <c r="B882" s="2"/>
      <c r="E882" s="7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A883" s="1"/>
      <c r="B883" s="2"/>
      <c r="E883" s="7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A884" s="1"/>
      <c r="B884" s="2"/>
      <c r="E884" s="7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A885" s="1"/>
      <c r="B885" s="2"/>
      <c r="E885" s="7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A886" s="1"/>
      <c r="B886" s="2"/>
      <c r="E886" s="7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A887" s="1"/>
      <c r="B887" s="2"/>
      <c r="E887" s="7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A888" s="1"/>
      <c r="B888" s="2"/>
      <c r="E888" s="7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A889" s="1"/>
      <c r="B889" s="2"/>
      <c r="E889" s="7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A890" s="1"/>
      <c r="B890" s="2"/>
      <c r="E890" s="7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A891" s="1"/>
      <c r="B891" s="2"/>
      <c r="E891" s="7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A892" s="1"/>
      <c r="B892" s="2"/>
      <c r="E892" s="7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A893" s="1"/>
      <c r="B893" s="2"/>
      <c r="E893" s="7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A894" s="1"/>
      <c r="B894" s="2"/>
      <c r="E894" s="7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A895" s="1"/>
      <c r="B895" s="2"/>
      <c r="E895" s="7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A896" s="1"/>
      <c r="B896" s="2"/>
      <c r="E896" s="7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A897" s="1"/>
      <c r="B897" s="2"/>
      <c r="E897" s="7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A898" s="1"/>
      <c r="B898" s="2"/>
      <c r="E898" s="7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A899" s="1"/>
      <c r="B899" s="2"/>
      <c r="E899" s="7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A900" s="1"/>
      <c r="B900" s="2"/>
      <c r="E900" s="7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A901" s="1"/>
      <c r="B901" s="2"/>
      <c r="E901" s="7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A902" s="1"/>
      <c r="B902" s="2"/>
      <c r="E902" s="7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A903" s="1"/>
      <c r="B903" s="2"/>
      <c r="E903" s="7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A904" s="1"/>
      <c r="B904" s="2"/>
      <c r="E904" s="7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A905" s="1"/>
      <c r="B905" s="2"/>
      <c r="E905" s="7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A906" s="1"/>
      <c r="B906" s="2"/>
      <c r="E906" s="7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A907" s="1"/>
      <c r="B907" s="2"/>
      <c r="E907" s="7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A908" s="1"/>
      <c r="B908" s="2"/>
      <c r="E908" s="7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A909" s="1"/>
      <c r="B909" s="2"/>
      <c r="E909" s="7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A910" s="1"/>
      <c r="B910" s="2"/>
      <c r="E910" s="7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A911" s="1"/>
      <c r="B911" s="2"/>
      <c r="E911" s="7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A912" s="1"/>
      <c r="B912" s="2"/>
      <c r="E912" s="7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A913" s="1"/>
      <c r="B913" s="2"/>
      <c r="E913" s="7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A914" s="1"/>
      <c r="B914" s="2"/>
      <c r="E914" s="7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A915" s="1"/>
      <c r="B915" s="2"/>
      <c r="E915" s="7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A916" s="1"/>
      <c r="B916" s="2"/>
      <c r="E916" s="7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A917" s="1"/>
      <c r="B917" s="2"/>
      <c r="E917" s="7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A918" s="1"/>
      <c r="B918" s="2"/>
      <c r="E918" s="7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A919" s="1"/>
      <c r="B919" s="2"/>
      <c r="E919" s="7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A920" s="1"/>
      <c r="B920" s="2"/>
      <c r="E920" s="7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A921" s="1"/>
      <c r="B921" s="2"/>
      <c r="E921" s="7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A922" s="1"/>
      <c r="B922" s="2"/>
      <c r="E922" s="7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A923" s="1"/>
      <c r="B923" s="2"/>
      <c r="E923" s="7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A924" s="1"/>
      <c r="B924" s="2"/>
      <c r="E924" s="7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A925" s="1"/>
      <c r="B925" s="2"/>
      <c r="E925" s="7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A926" s="1"/>
      <c r="B926" s="2"/>
      <c r="E926" s="7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A927" s="1"/>
      <c r="B927" s="2"/>
      <c r="E927" s="7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A928" s="1"/>
      <c r="B928" s="2"/>
      <c r="E928" s="7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A929" s="1"/>
      <c r="B929" s="2"/>
      <c r="E929" s="7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A930" s="1"/>
      <c r="B930" s="2"/>
      <c r="E930" s="7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A931" s="1"/>
      <c r="B931" s="2"/>
      <c r="E931" s="7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A932" s="1"/>
      <c r="B932" s="2"/>
      <c r="E932" s="7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A933" s="1"/>
      <c r="B933" s="2"/>
      <c r="E933" s="7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A934" s="1"/>
      <c r="B934" s="2"/>
      <c r="E934" s="7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A935" s="1"/>
      <c r="B935" s="2"/>
      <c r="E935" s="7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A936" s="1"/>
      <c r="B936" s="2"/>
      <c r="E936" s="7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A937" s="1"/>
      <c r="B937" s="2"/>
      <c r="E937" s="7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A938" s="1"/>
      <c r="B938" s="2"/>
      <c r="E938" s="7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A939" s="1"/>
      <c r="B939" s="2"/>
      <c r="E939" s="7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A940" s="1"/>
      <c r="B940" s="2"/>
      <c r="E940" s="7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A941" s="1"/>
      <c r="B941" s="2"/>
      <c r="E941" s="7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A942" s="1"/>
      <c r="B942" s="2"/>
      <c r="E942" s="7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A943" s="1"/>
      <c r="B943" s="2"/>
      <c r="E943" s="7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A944" s="1"/>
      <c r="B944" s="2"/>
      <c r="E944" s="7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A945" s="1"/>
      <c r="B945" s="2"/>
      <c r="E945" s="7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A946" s="1"/>
      <c r="B946" s="2"/>
      <c r="E946" s="7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A947" s="1"/>
      <c r="B947" s="2"/>
      <c r="E947" s="7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A948" s="1"/>
      <c r="B948" s="2"/>
      <c r="E948" s="7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A949" s="1"/>
      <c r="B949" s="2"/>
      <c r="E949" s="7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A950" s="1"/>
      <c r="B950" s="2"/>
      <c r="E950" s="7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A951" s="1"/>
      <c r="B951" s="2"/>
      <c r="E951" s="7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A952" s="1"/>
      <c r="B952" s="2"/>
      <c r="E952" s="7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A953" s="1"/>
      <c r="B953" s="2"/>
      <c r="E953" s="7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A954" s="1"/>
      <c r="B954" s="2"/>
      <c r="E954" s="7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A955" s="1"/>
      <c r="B955" s="2"/>
      <c r="E955" s="7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A956" s="1"/>
      <c r="B956" s="2"/>
      <c r="E956" s="7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A957" s="1"/>
      <c r="B957" s="2"/>
      <c r="E957" s="7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A958" s="1"/>
      <c r="B958" s="2"/>
      <c r="E958" s="7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A959" s="1"/>
      <c r="B959" s="2"/>
      <c r="E959" s="7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A960" s="1"/>
      <c r="B960" s="2"/>
      <c r="E960" s="7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A961" s="1"/>
      <c r="B961" s="2"/>
      <c r="E961" s="7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A962" s="1"/>
      <c r="B962" s="2"/>
      <c r="E962" s="7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A963" s="1"/>
      <c r="B963" s="2"/>
      <c r="E963" s="7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A964" s="1"/>
      <c r="B964" s="2"/>
      <c r="E964" s="7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A965" s="1"/>
      <c r="B965" s="2"/>
      <c r="E965" s="7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A966" s="1"/>
      <c r="B966" s="2"/>
      <c r="E966" s="7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A967" s="1"/>
      <c r="B967" s="2"/>
      <c r="E967" s="7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A968" s="1"/>
      <c r="B968" s="2"/>
      <c r="E968" s="7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A969" s="1"/>
      <c r="B969" s="2"/>
      <c r="E969" s="7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A970" s="1"/>
      <c r="B970" s="2"/>
      <c r="E970" s="7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A971" s="1"/>
      <c r="B971" s="2"/>
      <c r="E971" s="7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A972" s="1"/>
      <c r="B972" s="2"/>
      <c r="E972" s="7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A973" s="1"/>
      <c r="B973" s="2"/>
      <c r="E973" s="7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A974" s="1"/>
      <c r="B974" s="2"/>
      <c r="E974" s="7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A975" s="1"/>
      <c r="B975" s="2"/>
      <c r="E975" s="7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A976" s="1"/>
      <c r="B976" s="2"/>
      <c r="E976" s="7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A977" s="1"/>
      <c r="B977" s="2"/>
      <c r="E977" s="7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A978" s="1"/>
      <c r="B978" s="2"/>
      <c r="E978" s="7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A979" s="1"/>
      <c r="B979" s="2"/>
      <c r="E979" s="7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A980" s="1"/>
      <c r="B980" s="2"/>
      <c r="E980" s="7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A981" s="1"/>
      <c r="B981" s="2"/>
      <c r="E981" s="7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A982" s="1"/>
      <c r="B982" s="2"/>
      <c r="E982" s="7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A983" s="1"/>
      <c r="B983" s="2"/>
      <c r="E983" s="7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A984" s="1"/>
      <c r="B984" s="2"/>
      <c r="E984" s="7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A985" s="1"/>
      <c r="B985" s="2"/>
      <c r="E985" s="7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A986" s="1"/>
      <c r="B986" s="2"/>
      <c r="E986" s="7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A987" s="1"/>
      <c r="B987" s="2"/>
      <c r="E987" s="7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A988" s="1"/>
      <c r="B988" s="2"/>
      <c r="E988" s="7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A989" s="1"/>
      <c r="B989" s="2"/>
      <c r="E989" s="7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A990" s="1"/>
      <c r="B990" s="2"/>
      <c r="E990" s="7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A991" s="1"/>
      <c r="B991" s="2"/>
      <c r="E991" s="7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A992" s="1"/>
      <c r="B992" s="2"/>
      <c r="E992" s="7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A993" s="1"/>
      <c r="B993" s="2"/>
      <c r="E993" s="7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A994" s="1"/>
      <c r="B994" s="2"/>
      <c r="E994" s="7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A995" s="1"/>
      <c r="B995" s="2"/>
      <c r="E995" s="7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A996" s="1"/>
      <c r="B996" s="2"/>
      <c r="E996" s="7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A997" s="1"/>
      <c r="B997" s="2"/>
      <c r="E997" s="7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A998" s="1"/>
      <c r="B998" s="2"/>
      <c r="E998" s="7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A999" s="1"/>
      <c r="B999" s="2"/>
      <c r="E999" s="7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A1000" s="1"/>
      <c r="B1000" s="2"/>
      <c r="E1000" s="7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ht="15.75" customHeight="1">
      <c r="A1001" s="1"/>
      <c r="B1001" s="2"/>
      <c r="E1001" s="7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ht="15.75" customHeight="1">
      <c r="A1002" s="1"/>
      <c r="B1002" s="2"/>
      <c r="E1002" s="7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ht="15.75" customHeight="1">
      <c r="A1003" s="1"/>
      <c r="B1003" s="2"/>
      <c r="E1003" s="7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ht="15.75" customHeight="1">
      <c r="A1004" s="1"/>
      <c r="B1004" s="2"/>
      <c r="E1004" s="7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ht="15.75" customHeight="1">
      <c r="A1005" s="1"/>
      <c r="B1005" s="2"/>
      <c r="E1005" s="7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ht="15.75" customHeight="1">
      <c r="A1006" s="1"/>
      <c r="B1006" s="2"/>
      <c r="E1006" s="7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ht="15.75" customHeight="1">
      <c r="A1007" s="1"/>
      <c r="B1007" s="2"/>
      <c r="E1007" s="7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ht="15.75" customHeight="1">
      <c r="A1008" s="1"/>
      <c r="B1008" s="2"/>
      <c r="E1008" s="77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ht="15.75" customHeight="1">
      <c r="A1009" s="1"/>
      <c r="B1009" s="2"/>
      <c r="E1009" s="77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ht="15.75" customHeight="1">
      <c r="A1010" s="1"/>
      <c r="B1010" s="2"/>
      <c r="E1010" s="77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ht="15.75" customHeight="1">
      <c r="A1011" s="1"/>
      <c r="B1011" s="2"/>
      <c r="E1011" s="77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ht="15.75" customHeight="1">
      <c r="A1012" s="1"/>
      <c r="B1012" s="2"/>
      <c r="E1012" s="77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ht="15.75" customHeight="1">
      <c r="A1013" s="1"/>
      <c r="B1013" s="2"/>
      <c r="E1013" s="77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</sheetData>
  <autoFilter ref="$A$6:$AJ$57"/>
  <mergeCells count="3">
    <mergeCell ref="A4:A5"/>
    <mergeCell ref="B4:B5"/>
    <mergeCell ref="C4:C5"/>
  </mergeCells>
  <conditionalFormatting sqref="L4">
    <cfRule type="cellIs" dxfId="0" priority="1" operator="equal">
      <formula>"minggu"</formula>
    </cfRule>
  </conditionalFormatting>
  <conditionalFormatting sqref="F4:AI6 AJ4:AJ5">
    <cfRule type="expression" dxfId="0" priority="2">
      <formula>OR(TEXT(F$5,"[$-421]dddd")=$B$67)</formula>
    </cfRule>
  </conditionalFormatting>
  <conditionalFormatting sqref="F5:AI6 AJ5">
    <cfRule type="cellIs" dxfId="0" priority="3" operator="equal">
      <formula>"minggu"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2.29"/>
    <col customWidth="1" min="3" max="3" width="20.14"/>
    <col customWidth="1" min="4" max="4" width="25.86"/>
    <col customWidth="1" min="5" max="5" width="33.71"/>
    <col customWidth="1" min="6" max="6" width="27.71"/>
    <col customWidth="1" min="7" max="7" width="16.14"/>
    <col customWidth="1" min="8" max="8" width="37.57"/>
    <col customWidth="1" min="9" max="10" width="17.71"/>
    <col customWidth="1" min="11" max="13" width="18.43"/>
    <col customWidth="1" min="14" max="14" width="16.43"/>
    <col customWidth="1" min="15" max="26" width="8.71"/>
  </cols>
  <sheetData>
    <row r="1">
      <c r="A1" s="65" t="s">
        <v>29</v>
      </c>
      <c r="B1" s="6"/>
      <c r="D1" s="76"/>
    </row>
    <row r="2">
      <c r="B2" s="6"/>
      <c r="D2" s="76"/>
    </row>
    <row r="3">
      <c r="A3" s="161" t="s">
        <v>122</v>
      </c>
      <c r="B3" s="162" t="s">
        <v>7</v>
      </c>
      <c r="C3" s="163" t="s">
        <v>1334</v>
      </c>
      <c r="D3" s="164" t="s">
        <v>1335</v>
      </c>
      <c r="E3" s="165" t="s">
        <v>1336</v>
      </c>
      <c r="F3" s="165" t="s">
        <v>1337</v>
      </c>
      <c r="G3" s="165" t="s">
        <v>1338</v>
      </c>
      <c r="H3" s="165" t="s">
        <v>1339</v>
      </c>
      <c r="I3" s="165" t="s">
        <v>1340</v>
      </c>
      <c r="J3" s="166" t="s">
        <v>1341</v>
      </c>
      <c r="K3" s="166" t="s">
        <v>1342</v>
      </c>
      <c r="L3" s="166" t="s">
        <v>1343</v>
      </c>
      <c r="M3" s="165" t="s">
        <v>1344</v>
      </c>
      <c r="N3" s="165" t="s">
        <v>1345</v>
      </c>
      <c r="O3" s="165" t="s">
        <v>1346</v>
      </c>
      <c r="P3" s="165" t="s">
        <v>1347</v>
      </c>
      <c r="Q3" s="167"/>
      <c r="R3" s="167"/>
      <c r="S3" s="167"/>
      <c r="T3" s="167"/>
      <c r="U3" s="167"/>
      <c r="V3" s="167"/>
      <c r="W3" s="167"/>
      <c r="X3" s="167"/>
      <c r="Y3" s="167"/>
      <c r="Z3" s="167"/>
    </row>
    <row r="4">
      <c r="A4" s="168">
        <v>1.0</v>
      </c>
      <c r="B4" s="169">
        <f>COUNTA(COMPLAIN!$E4)</f>
        <v>0</v>
      </c>
      <c r="C4" s="170"/>
      <c r="D4" s="171"/>
      <c r="E4" s="172"/>
      <c r="F4" s="172"/>
      <c r="G4" s="172"/>
      <c r="H4" s="170"/>
      <c r="I4" s="172"/>
      <c r="J4" s="173"/>
      <c r="K4" s="172"/>
      <c r="L4" s="174"/>
      <c r="M4" s="175"/>
      <c r="N4" s="176"/>
      <c r="O4" s="177"/>
      <c r="P4" s="178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>
      <c r="A5" s="179">
        <v>2.0</v>
      </c>
      <c r="B5" s="169">
        <f>COUNTA(COMPLAIN!$E5)</f>
        <v>0</v>
      </c>
      <c r="C5" s="180"/>
      <c r="D5" s="181"/>
      <c r="E5" s="182"/>
      <c r="F5" s="183"/>
      <c r="G5" s="183"/>
      <c r="H5" s="184"/>
      <c r="I5" s="183"/>
      <c r="J5" s="182"/>
      <c r="K5" s="185"/>
      <c r="L5" s="186"/>
      <c r="M5" s="187"/>
      <c r="N5" s="188"/>
      <c r="O5" s="189"/>
      <c r="P5" s="178"/>
    </row>
    <row r="6">
      <c r="A6" s="179">
        <v>3.0</v>
      </c>
      <c r="B6" s="169">
        <f>COUNTA(COMPLAIN!$E6)</f>
        <v>0</v>
      </c>
      <c r="C6" s="190"/>
      <c r="D6" s="171"/>
      <c r="E6" s="191"/>
      <c r="F6" s="172"/>
      <c r="G6" s="172"/>
      <c r="H6" s="170"/>
      <c r="I6" s="172"/>
      <c r="J6" s="173"/>
      <c r="K6" s="172"/>
      <c r="L6" s="174"/>
      <c r="M6" s="174"/>
      <c r="N6" s="174"/>
      <c r="O6" s="174"/>
      <c r="P6" s="174"/>
    </row>
    <row r="7">
      <c r="A7" s="179">
        <v>4.0</v>
      </c>
      <c r="B7" s="169">
        <f>COUNTA(COMPLAIN!$E7)</f>
        <v>0</v>
      </c>
      <c r="C7" s="180"/>
      <c r="D7" s="181"/>
      <c r="E7" s="182"/>
      <c r="F7" s="183"/>
      <c r="G7" s="183"/>
      <c r="H7" s="184"/>
      <c r="I7" s="183"/>
      <c r="J7" s="182"/>
      <c r="K7" s="185"/>
      <c r="L7" s="186"/>
      <c r="M7" s="186"/>
      <c r="N7" s="186"/>
      <c r="O7" s="186"/>
      <c r="P7" s="186"/>
    </row>
    <row r="8">
      <c r="A8" s="179">
        <v>5.0</v>
      </c>
      <c r="B8" s="169">
        <f>COUNTA(COMPLAIN!$E8)</f>
        <v>0</v>
      </c>
      <c r="C8" s="190"/>
      <c r="D8" s="171"/>
      <c r="E8" s="191"/>
      <c r="F8" s="172"/>
      <c r="G8" s="172"/>
      <c r="H8" s="170"/>
      <c r="I8" s="172"/>
      <c r="J8" s="191"/>
      <c r="K8" s="172"/>
      <c r="L8" s="192"/>
      <c r="M8" s="192"/>
      <c r="N8" s="192"/>
      <c r="O8" s="192"/>
      <c r="P8" s="192"/>
    </row>
    <row r="9">
      <c r="A9" s="179">
        <v>6.0</v>
      </c>
      <c r="B9" s="169">
        <f>COUNTA(COMPLAIN!$E9)</f>
        <v>0</v>
      </c>
      <c r="C9" s="193"/>
      <c r="D9" s="181"/>
      <c r="E9" s="194"/>
      <c r="F9" s="185"/>
      <c r="G9" s="185"/>
      <c r="H9" s="195"/>
      <c r="I9" s="185"/>
      <c r="J9" s="194"/>
      <c r="K9" s="185"/>
      <c r="L9" s="196"/>
      <c r="M9" s="196"/>
      <c r="N9" s="196"/>
      <c r="O9" s="196"/>
      <c r="P9" s="196"/>
    </row>
    <row r="10">
      <c r="A10" s="179">
        <v>7.0</v>
      </c>
      <c r="B10" s="169">
        <f>COUNTA(COMPLAIN!$E10)</f>
        <v>0</v>
      </c>
      <c r="C10" s="190"/>
      <c r="D10" s="171"/>
      <c r="E10" s="191"/>
      <c r="F10" s="172"/>
      <c r="G10" s="172"/>
      <c r="H10" s="170"/>
      <c r="I10" s="172"/>
      <c r="J10" s="191"/>
      <c r="K10" s="172"/>
      <c r="L10" s="192"/>
      <c r="M10" s="192"/>
      <c r="N10" s="192"/>
      <c r="O10" s="192"/>
      <c r="P10" s="192"/>
    </row>
    <row r="11">
      <c r="A11" s="179">
        <v>8.0</v>
      </c>
      <c r="B11" s="169">
        <f>COUNTA(COMPLAIN!$E11)</f>
        <v>0</v>
      </c>
      <c r="C11" s="193"/>
      <c r="D11" s="181"/>
      <c r="E11" s="194"/>
      <c r="F11" s="185"/>
      <c r="G11" s="185"/>
      <c r="H11" s="195"/>
      <c r="I11" s="185"/>
      <c r="J11" s="194"/>
      <c r="K11" s="185"/>
      <c r="L11" s="196"/>
      <c r="M11" s="196"/>
      <c r="N11" s="196"/>
      <c r="O11" s="196"/>
      <c r="P11" s="196"/>
      <c r="Q11" s="197"/>
      <c r="R11" s="197"/>
      <c r="S11" s="197"/>
      <c r="T11" s="197"/>
      <c r="U11" s="197"/>
      <c r="V11" s="197"/>
      <c r="W11" s="197"/>
      <c r="X11" s="197"/>
      <c r="Y11" s="197"/>
      <c r="Z11" s="197"/>
    </row>
    <row r="12">
      <c r="A12" s="179">
        <v>9.0</v>
      </c>
      <c r="B12" s="169">
        <f>COUNTA(COMPLAIN!$E12)</f>
        <v>0</v>
      </c>
      <c r="C12" s="190"/>
      <c r="D12" s="171"/>
      <c r="E12" s="191"/>
      <c r="F12" s="177"/>
      <c r="G12" s="172"/>
      <c r="H12" s="170"/>
      <c r="I12" s="172"/>
      <c r="J12" s="198"/>
      <c r="K12" s="172"/>
      <c r="L12" s="192"/>
      <c r="M12" s="192"/>
      <c r="N12" s="192"/>
      <c r="O12" s="192"/>
      <c r="P12" s="192"/>
    </row>
    <row r="13">
      <c r="A13" s="179">
        <v>10.0</v>
      </c>
      <c r="B13" s="169">
        <f>COUNTA(COMPLAIN!$E13)</f>
        <v>0</v>
      </c>
      <c r="C13" s="193"/>
      <c r="D13" s="181"/>
      <c r="E13" s="194"/>
      <c r="F13" s="185"/>
      <c r="G13" s="185"/>
      <c r="H13" s="195"/>
      <c r="I13" s="185"/>
      <c r="J13" s="194"/>
      <c r="K13" s="185"/>
      <c r="L13" s="196"/>
      <c r="M13" s="196"/>
      <c r="N13" s="196"/>
      <c r="O13" s="196"/>
      <c r="P13" s="196"/>
    </row>
    <row r="14">
      <c r="A14" s="179">
        <v>11.0</v>
      </c>
      <c r="B14" s="169">
        <f>COUNTA(COMPLAIN!$E14)</f>
        <v>0</v>
      </c>
      <c r="C14" s="190"/>
      <c r="D14" s="171"/>
      <c r="E14" s="191"/>
      <c r="F14" s="172"/>
      <c r="G14" s="172"/>
      <c r="H14" s="170"/>
      <c r="I14" s="172"/>
      <c r="J14" s="198"/>
      <c r="K14" s="172"/>
      <c r="L14" s="192"/>
      <c r="M14" s="192"/>
      <c r="N14" s="192"/>
      <c r="O14" s="192"/>
      <c r="P14" s="192"/>
    </row>
    <row r="15">
      <c r="A15" s="179">
        <v>12.0</v>
      </c>
      <c r="B15" s="169">
        <f>COUNTA(COMPLAIN!$E15)</f>
        <v>0</v>
      </c>
      <c r="C15" s="193"/>
      <c r="D15" s="181"/>
      <c r="E15" s="194"/>
      <c r="F15" s="185"/>
      <c r="G15" s="185"/>
      <c r="H15" s="195"/>
      <c r="I15" s="199"/>
      <c r="J15" s="194"/>
      <c r="K15" s="185"/>
      <c r="L15" s="196"/>
      <c r="M15" s="196"/>
      <c r="N15" s="196"/>
      <c r="O15" s="196"/>
      <c r="P15" s="196"/>
    </row>
    <row r="16">
      <c r="A16" s="179">
        <v>13.0</v>
      </c>
      <c r="B16" s="169">
        <f>COUNTA(COMPLAIN!$E16)</f>
        <v>0</v>
      </c>
      <c r="C16" s="190"/>
      <c r="D16" s="171"/>
      <c r="E16" s="198"/>
      <c r="F16" s="172"/>
      <c r="G16" s="172"/>
      <c r="H16" s="170"/>
      <c r="I16" s="172"/>
      <c r="J16" s="198"/>
      <c r="K16" s="172"/>
      <c r="L16" s="192"/>
      <c r="M16" s="192"/>
      <c r="N16" s="192"/>
      <c r="O16" s="192"/>
      <c r="P16" s="192"/>
    </row>
    <row r="17">
      <c r="A17" s="179">
        <v>14.0</v>
      </c>
      <c r="B17" s="169">
        <f>COUNTA(COMPLAIN!$E17)</f>
        <v>0</v>
      </c>
      <c r="C17" s="193"/>
      <c r="D17" s="181"/>
      <c r="E17" s="200"/>
      <c r="F17" s="185"/>
      <c r="G17" s="185"/>
      <c r="H17" s="195"/>
      <c r="I17" s="185"/>
      <c r="J17" s="200"/>
      <c r="K17" s="185"/>
      <c r="L17" s="196"/>
      <c r="M17" s="196"/>
      <c r="N17" s="196"/>
      <c r="O17" s="196"/>
      <c r="P17" s="196"/>
    </row>
    <row r="18">
      <c r="A18" s="179">
        <v>15.0</v>
      </c>
      <c r="B18" s="169">
        <f>COUNTA(COMPLAIN!$E18)</f>
        <v>0</v>
      </c>
      <c r="C18" s="190"/>
      <c r="D18" s="171"/>
      <c r="E18" s="198"/>
      <c r="F18" s="172"/>
      <c r="G18" s="172"/>
      <c r="H18" s="170"/>
      <c r="I18" s="172"/>
      <c r="J18" s="198"/>
      <c r="K18" s="172"/>
      <c r="L18" s="192"/>
      <c r="M18" s="192"/>
      <c r="N18" s="192"/>
      <c r="O18" s="192"/>
      <c r="P18" s="192"/>
    </row>
    <row r="19">
      <c r="A19" s="179">
        <v>16.0</v>
      </c>
      <c r="B19" s="169">
        <f>COUNTA(COMPLAIN!$E19)</f>
        <v>0</v>
      </c>
      <c r="C19" s="193"/>
      <c r="D19" s="181"/>
      <c r="E19" s="200"/>
      <c r="F19" s="185"/>
      <c r="G19" s="185"/>
      <c r="H19" s="195"/>
      <c r="I19" s="185"/>
      <c r="J19" s="200"/>
      <c r="K19" s="185"/>
      <c r="L19" s="196"/>
      <c r="M19" s="196"/>
      <c r="N19" s="196"/>
      <c r="O19" s="196"/>
      <c r="P19" s="196"/>
    </row>
    <row r="20">
      <c r="A20" s="179">
        <v>17.0</v>
      </c>
      <c r="B20" s="169">
        <f>COUNTA(COMPLAIN!$E20)</f>
        <v>0</v>
      </c>
      <c r="C20" s="190"/>
      <c r="D20" s="171"/>
      <c r="E20" s="198"/>
      <c r="F20" s="172"/>
      <c r="G20" s="172"/>
      <c r="H20" s="170"/>
      <c r="I20" s="172"/>
      <c r="J20" s="198"/>
      <c r="K20" s="172"/>
      <c r="L20" s="192"/>
      <c r="M20" s="192"/>
      <c r="N20" s="192"/>
      <c r="O20" s="192"/>
      <c r="P20" s="192"/>
    </row>
    <row r="21" ht="15.75" customHeight="1">
      <c r="A21" s="179">
        <v>18.0</v>
      </c>
      <c r="B21" s="169">
        <f>COUNTA(COMPLAIN!$E21)</f>
        <v>0</v>
      </c>
      <c r="C21" s="193"/>
      <c r="D21" s="181"/>
      <c r="E21" s="200"/>
      <c r="F21" s="185"/>
      <c r="G21" s="185"/>
      <c r="H21" s="195"/>
      <c r="I21" s="185"/>
      <c r="J21" s="200"/>
      <c r="K21" s="185"/>
      <c r="L21" s="196"/>
      <c r="M21" s="196"/>
      <c r="N21" s="196"/>
      <c r="O21" s="196"/>
      <c r="P21" s="196"/>
    </row>
    <row r="22" ht="15.75" customHeight="1">
      <c r="A22" s="179">
        <v>19.0</v>
      </c>
      <c r="B22" s="169">
        <f>COUNTA(COMPLAIN!$E22)</f>
        <v>0</v>
      </c>
      <c r="C22" s="190"/>
      <c r="D22" s="171"/>
      <c r="E22" s="198"/>
      <c r="F22" s="172"/>
      <c r="G22" s="172"/>
      <c r="H22" s="170"/>
      <c r="I22" s="172"/>
      <c r="J22" s="198"/>
      <c r="K22" s="172"/>
      <c r="L22" s="192"/>
      <c r="M22" s="192"/>
      <c r="N22" s="192"/>
      <c r="O22" s="192"/>
      <c r="P22" s="192"/>
    </row>
    <row r="23" ht="15.75" customHeight="1">
      <c r="A23" s="179">
        <v>20.0</v>
      </c>
      <c r="B23" s="169">
        <f>COUNTA(COMPLAIN!$E23)</f>
        <v>0</v>
      </c>
      <c r="C23" s="193"/>
      <c r="D23" s="181"/>
      <c r="E23" s="200"/>
      <c r="F23" s="185"/>
      <c r="G23" s="185"/>
      <c r="H23" s="195"/>
      <c r="I23" s="185"/>
      <c r="J23" s="200"/>
      <c r="K23" s="185"/>
      <c r="L23" s="196"/>
      <c r="M23" s="196"/>
      <c r="N23" s="196"/>
      <c r="O23" s="196"/>
      <c r="P23" s="196"/>
    </row>
    <row r="24" ht="15.75" customHeight="1">
      <c r="A24" s="179">
        <v>21.0</v>
      </c>
      <c r="B24" s="169">
        <f>COUNTA(COMPLAIN!$E24)</f>
        <v>0</v>
      </c>
      <c r="C24" s="190"/>
      <c r="D24" s="171"/>
      <c r="E24" s="198"/>
      <c r="F24" s="172"/>
      <c r="G24" s="172"/>
      <c r="H24" s="170"/>
      <c r="I24" s="172"/>
      <c r="J24" s="198"/>
      <c r="K24" s="172"/>
      <c r="L24" s="192"/>
      <c r="M24" s="192"/>
      <c r="N24" s="192"/>
      <c r="O24" s="192"/>
      <c r="P24" s="192"/>
    </row>
    <row r="25" ht="15.75" customHeight="1">
      <c r="A25" s="179">
        <v>22.0</v>
      </c>
      <c r="B25" s="169">
        <f>COUNTA(COMPLAIN!$E25)</f>
        <v>0</v>
      </c>
      <c r="C25" s="180"/>
      <c r="D25" s="181"/>
      <c r="E25" s="200"/>
      <c r="F25" s="183"/>
      <c r="G25" s="183"/>
      <c r="H25" s="184"/>
      <c r="I25" s="183"/>
      <c r="J25" s="200"/>
      <c r="K25" s="185"/>
      <c r="L25" s="201"/>
      <c r="M25" s="201"/>
      <c r="N25" s="201"/>
      <c r="O25" s="201"/>
      <c r="P25" s="201"/>
    </row>
    <row r="26" ht="15.75" customHeight="1">
      <c r="A26" s="179">
        <v>23.0</v>
      </c>
      <c r="B26" s="169">
        <f>COUNTA(COMPLAIN!$E26)</f>
        <v>0</v>
      </c>
      <c r="C26" s="190"/>
      <c r="D26" s="171"/>
      <c r="E26" s="198"/>
      <c r="F26" s="172"/>
      <c r="G26" s="172"/>
      <c r="H26" s="170"/>
      <c r="I26" s="172"/>
      <c r="J26" s="198"/>
      <c r="K26" s="172"/>
      <c r="L26" s="192"/>
      <c r="M26" s="192"/>
      <c r="N26" s="192"/>
      <c r="O26" s="192"/>
      <c r="P26" s="192"/>
    </row>
    <row r="27" ht="15.75" customHeight="1">
      <c r="A27" s="179">
        <v>24.0</v>
      </c>
      <c r="B27" s="169">
        <f>COUNTA(COMPLAIN!$E27)</f>
        <v>0</v>
      </c>
      <c r="C27" s="180"/>
      <c r="D27" s="181"/>
      <c r="E27" s="200"/>
      <c r="F27" s="183"/>
      <c r="G27" s="183"/>
      <c r="H27" s="184"/>
      <c r="I27" s="183"/>
      <c r="J27" s="200"/>
      <c r="K27" s="185"/>
      <c r="L27" s="201"/>
      <c r="M27" s="201"/>
      <c r="N27" s="201"/>
      <c r="O27" s="201"/>
      <c r="P27" s="201"/>
    </row>
    <row r="28" ht="15.75" customHeight="1">
      <c r="A28" s="179">
        <v>25.0</v>
      </c>
      <c r="B28" s="169">
        <f>COUNTA(COMPLAIN!$E28)</f>
        <v>0</v>
      </c>
      <c r="C28" s="202"/>
      <c r="D28" s="171"/>
      <c r="E28" s="198"/>
      <c r="F28" s="203"/>
      <c r="G28" s="203"/>
      <c r="H28" s="204"/>
      <c r="I28" s="203"/>
      <c r="J28" s="198"/>
      <c r="K28" s="172"/>
      <c r="L28" s="205"/>
      <c r="M28" s="205"/>
      <c r="N28" s="205"/>
      <c r="O28" s="205"/>
      <c r="P28" s="205"/>
    </row>
    <row r="29" ht="15.75" customHeight="1">
      <c r="A29" s="179">
        <v>26.0</v>
      </c>
      <c r="B29" s="169">
        <f>COUNTA(COMPLAIN!$E29)</f>
        <v>0</v>
      </c>
      <c r="C29" s="180"/>
      <c r="D29" s="181"/>
      <c r="E29" s="194"/>
      <c r="F29" s="183"/>
      <c r="G29" s="183"/>
      <c r="H29" s="184"/>
      <c r="I29" s="183"/>
      <c r="J29" s="194"/>
      <c r="K29" s="185"/>
      <c r="L29" s="201"/>
      <c r="M29" s="201"/>
      <c r="N29" s="201"/>
      <c r="O29" s="201"/>
      <c r="P29" s="201"/>
    </row>
    <row r="30" ht="15.75" customHeight="1">
      <c r="A30" s="179">
        <v>27.0</v>
      </c>
      <c r="B30" s="169">
        <f>COUNTA(COMPLAIN!$E30)</f>
        <v>0</v>
      </c>
      <c r="C30" s="190"/>
      <c r="D30" s="171"/>
      <c r="E30" s="191"/>
      <c r="F30" s="172"/>
      <c r="G30" s="172"/>
      <c r="H30" s="170"/>
      <c r="I30" s="172"/>
      <c r="J30" s="191"/>
      <c r="K30" s="172"/>
      <c r="L30" s="192"/>
      <c r="M30" s="192"/>
      <c r="N30" s="192"/>
      <c r="O30" s="192"/>
      <c r="P30" s="192"/>
    </row>
    <row r="31" ht="15.75" customHeight="1">
      <c r="A31" s="179">
        <v>28.0</v>
      </c>
      <c r="B31" s="169">
        <f>COUNTA(COMPLAIN!$E31)</f>
        <v>0</v>
      </c>
      <c r="C31" s="180"/>
      <c r="D31" s="181"/>
      <c r="E31" s="194"/>
      <c r="F31" s="183"/>
      <c r="G31" s="183"/>
      <c r="H31" s="184"/>
      <c r="I31" s="183"/>
      <c r="J31" s="194"/>
      <c r="K31" s="185"/>
      <c r="L31" s="201"/>
      <c r="M31" s="201"/>
      <c r="N31" s="201"/>
      <c r="O31" s="201"/>
      <c r="P31" s="201"/>
    </row>
    <row r="32" ht="15.75" customHeight="1">
      <c r="A32" s="179">
        <v>29.0</v>
      </c>
      <c r="B32" s="169">
        <f>COUNTA(COMPLAIN!$E32)</f>
        <v>0</v>
      </c>
      <c r="C32" s="202"/>
      <c r="D32" s="171"/>
      <c r="E32" s="191"/>
      <c r="F32" s="203"/>
      <c r="G32" s="203"/>
      <c r="H32" s="204"/>
      <c r="I32" s="203"/>
      <c r="J32" s="191"/>
      <c r="K32" s="172"/>
      <c r="L32" s="205"/>
      <c r="M32" s="205"/>
      <c r="N32" s="205"/>
      <c r="O32" s="205"/>
      <c r="P32" s="205"/>
    </row>
    <row r="33" ht="15.75" customHeight="1">
      <c r="A33" s="179">
        <v>30.0</v>
      </c>
      <c r="B33" s="169">
        <f>COUNTA(COMPLAIN!$E33)</f>
        <v>0</v>
      </c>
      <c r="C33" s="180"/>
      <c r="D33" s="181"/>
      <c r="E33" s="194"/>
      <c r="F33" s="183"/>
      <c r="G33" s="183"/>
      <c r="H33" s="184"/>
      <c r="I33" s="183"/>
      <c r="J33" s="194"/>
      <c r="K33" s="185"/>
      <c r="L33" s="201"/>
      <c r="M33" s="201"/>
      <c r="N33" s="201"/>
      <c r="O33" s="201"/>
      <c r="P33" s="201"/>
    </row>
    <row r="34" ht="15.75" customHeight="1">
      <c r="A34" s="179">
        <v>31.0</v>
      </c>
      <c r="B34" s="169">
        <f>COUNTA(COMPLAIN!$E34)</f>
        <v>0</v>
      </c>
      <c r="C34" s="190"/>
      <c r="D34" s="171"/>
      <c r="E34" s="191"/>
      <c r="F34" s="172"/>
      <c r="G34" s="172"/>
      <c r="H34" s="170"/>
      <c r="I34" s="172"/>
      <c r="J34" s="191"/>
      <c r="K34" s="172"/>
      <c r="L34" s="192"/>
      <c r="M34" s="192"/>
      <c r="N34" s="192"/>
      <c r="O34" s="192"/>
      <c r="P34" s="192"/>
    </row>
    <row r="35" ht="15.75" customHeight="1">
      <c r="A35" s="179">
        <v>32.0</v>
      </c>
      <c r="B35" s="169">
        <f>COUNTA(COMPLAIN!$E35)</f>
        <v>0</v>
      </c>
      <c r="C35" s="180"/>
      <c r="D35" s="181"/>
      <c r="E35" s="194"/>
      <c r="F35" s="183"/>
      <c r="G35" s="183"/>
      <c r="H35" s="184"/>
      <c r="I35" s="183"/>
      <c r="J35" s="194"/>
      <c r="K35" s="185"/>
      <c r="L35" s="201"/>
      <c r="M35" s="201"/>
      <c r="N35" s="201"/>
      <c r="O35" s="201"/>
      <c r="P35" s="201"/>
    </row>
    <row r="36" ht="15.75" customHeight="1">
      <c r="A36" s="179">
        <v>33.0</v>
      </c>
      <c r="B36" s="169">
        <f>COUNTA(COMPLAIN!$E36)</f>
        <v>0</v>
      </c>
      <c r="C36" s="202"/>
      <c r="D36" s="171"/>
      <c r="E36" s="191"/>
      <c r="F36" s="203"/>
      <c r="G36" s="203"/>
      <c r="H36" s="204"/>
      <c r="I36" s="203"/>
      <c r="J36" s="191"/>
      <c r="K36" s="172"/>
      <c r="L36" s="205"/>
      <c r="M36" s="205"/>
      <c r="N36" s="205"/>
      <c r="O36" s="205"/>
      <c r="P36" s="205"/>
    </row>
    <row r="37" ht="15.75" customHeight="1">
      <c r="A37" s="179">
        <v>34.0</v>
      </c>
      <c r="B37" s="169">
        <f>COUNTA(COMPLAIN!$E37)</f>
        <v>0</v>
      </c>
      <c r="C37" s="180"/>
      <c r="D37" s="181"/>
      <c r="E37" s="194"/>
      <c r="F37" s="183"/>
      <c r="G37" s="183"/>
      <c r="H37" s="184"/>
      <c r="I37" s="183"/>
      <c r="J37" s="194"/>
      <c r="K37" s="185"/>
      <c r="L37" s="201"/>
      <c r="M37" s="201"/>
      <c r="N37" s="201"/>
      <c r="O37" s="201"/>
      <c r="P37" s="201"/>
    </row>
    <row r="38" ht="15.75" customHeight="1">
      <c r="A38" s="179">
        <v>35.0</v>
      </c>
      <c r="B38" s="169">
        <f>COUNTA(COMPLAIN!$E38)</f>
        <v>0</v>
      </c>
      <c r="C38" s="190"/>
      <c r="D38" s="171"/>
      <c r="E38" s="191"/>
      <c r="F38" s="172"/>
      <c r="G38" s="172"/>
      <c r="H38" s="170"/>
      <c r="I38" s="177"/>
      <c r="J38" s="177"/>
      <c r="K38" s="172"/>
      <c r="L38" s="174"/>
      <c r="M38" s="174"/>
      <c r="N38" s="174"/>
      <c r="O38" s="174"/>
      <c r="P38" s="174"/>
    </row>
    <row r="39" ht="15.75" customHeight="1">
      <c r="A39" s="179">
        <v>36.0</v>
      </c>
      <c r="B39" s="169">
        <f>COUNTA(COMPLAIN!$E39)</f>
        <v>0</v>
      </c>
      <c r="C39" s="180"/>
      <c r="D39" s="181"/>
      <c r="E39" s="194"/>
      <c r="F39" s="183"/>
      <c r="G39" s="183"/>
      <c r="H39" s="184"/>
      <c r="I39" s="183"/>
      <c r="J39" s="182"/>
      <c r="K39" s="185"/>
      <c r="L39" s="201"/>
      <c r="M39" s="201"/>
      <c r="N39" s="201"/>
      <c r="O39" s="201"/>
      <c r="P39" s="201"/>
    </row>
    <row r="40" ht="15.75" customHeight="1">
      <c r="A40" s="179">
        <v>37.0</v>
      </c>
      <c r="B40" s="169">
        <f>COUNTA(COMPLAIN!$E40)</f>
        <v>0</v>
      </c>
      <c r="C40" s="202"/>
      <c r="D40" s="171"/>
      <c r="E40" s="191"/>
      <c r="F40" s="203"/>
      <c r="G40" s="203"/>
      <c r="H40" s="204"/>
      <c r="I40" s="203"/>
      <c r="J40" s="206"/>
      <c r="K40" s="172"/>
      <c r="L40" s="205"/>
      <c r="M40" s="205"/>
      <c r="N40" s="205"/>
      <c r="O40" s="205"/>
      <c r="P40" s="205"/>
    </row>
    <row r="41" ht="15.75" customHeight="1">
      <c r="A41" s="179">
        <v>38.0</v>
      </c>
      <c r="B41" s="169">
        <f>COUNTA(COMPLAIN!$E41)</f>
        <v>0</v>
      </c>
      <c r="C41" s="180"/>
      <c r="D41" s="181"/>
      <c r="E41" s="194"/>
      <c r="F41" s="183"/>
      <c r="G41" s="183"/>
      <c r="H41" s="184"/>
      <c r="I41" s="183"/>
      <c r="J41" s="182"/>
      <c r="K41" s="185"/>
      <c r="L41" s="201"/>
      <c r="M41" s="201"/>
      <c r="N41" s="201"/>
      <c r="O41" s="201"/>
      <c r="P41" s="201"/>
    </row>
    <row r="42" ht="15.75" customHeight="1">
      <c r="A42" s="179">
        <v>39.0</v>
      </c>
      <c r="B42" s="169">
        <f>COUNTA(COMPLAIN!$E42)</f>
        <v>0</v>
      </c>
      <c r="C42" s="190"/>
      <c r="D42" s="171"/>
      <c r="E42" s="191"/>
      <c r="F42" s="172"/>
      <c r="G42" s="172"/>
      <c r="H42" s="170"/>
      <c r="I42" s="172"/>
      <c r="J42" s="191"/>
      <c r="K42" s="172"/>
      <c r="L42" s="192"/>
      <c r="M42" s="192"/>
      <c r="N42" s="192"/>
      <c r="O42" s="192"/>
      <c r="P42" s="192"/>
    </row>
    <row r="43" ht="15.75" customHeight="1">
      <c r="A43" s="179">
        <v>40.0</v>
      </c>
      <c r="B43" s="169">
        <f>COUNTA(COMPLAIN!$E43)</f>
        <v>0</v>
      </c>
      <c r="C43" s="180"/>
      <c r="D43" s="181"/>
      <c r="E43" s="194"/>
      <c r="F43" s="183"/>
      <c r="G43" s="183"/>
      <c r="H43" s="184"/>
      <c r="I43" s="183"/>
      <c r="J43" s="182"/>
      <c r="K43" s="185"/>
      <c r="L43" s="201"/>
      <c r="M43" s="201"/>
      <c r="N43" s="201"/>
      <c r="O43" s="201"/>
      <c r="P43" s="201"/>
    </row>
    <row r="44" ht="15.75" customHeight="1">
      <c r="A44" s="179">
        <v>41.0</v>
      </c>
      <c r="B44" s="169">
        <f>COUNTA(COMPLAIN!$E44)</f>
        <v>0</v>
      </c>
      <c r="C44" s="202"/>
      <c r="D44" s="171"/>
      <c r="E44" s="206"/>
      <c r="F44" s="203"/>
      <c r="G44" s="203"/>
      <c r="H44" s="204"/>
      <c r="I44" s="203"/>
      <c r="J44" s="206"/>
      <c r="K44" s="172"/>
      <c r="L44" s="205"/>
      <c r="M44" s="205"/>
      <c r="N44" s="205"/>
      <c r="O44" s="205"/>
      <c r="P44" s="205"/>
    </row>
    <row r="45" ht="15.75" customHeight="1">
      <c r="A45" s="179">
        <v>42.0</v>
      </c>
      <c r="B45" s="169">
        <f>COUNTA(COMPLAIN!$E45)</f>
        <v>0</v>
      </c>
      <c r="C45" s="180"/>
      <c r="D45" s="181"/>
      <c r="E45" s="182"/>
      <c r="F45" s="183"/>
      <c r="G45" s="183"/>
      <c r="H45" s="184"/>
      <c r="I45" s="183"/>
      <c r="J45" s="182"/>
      <c r="K45" s="185"/>
      <c r="L45" s="201"/>
      <c r="M45" s="201"/>
      <c r="N45" s="201"/>
      <c r="O45" s="201"/>
      <c r="P45" s="201"/>
    </row>
    <row r="46" ht="15.75" customHeight="1">
      <c r="A46" s="179">
        <v>43.0</v>
      </c>
      <c r="B46" s="169">
        <f>COUNTA(COMPLAIN!$E46)</f>
        <v>0</v>
      </c>
      <c r="C46" s="202"/>
      <c r="D46" s="171"/>
      <c r="E46" s="206"/>
      <c r="F46" s="203"/>
      <c r="G46" s="203"/>
      <c r="H46" s="204"/>
      <c r="I46" s="203"/>
      <c r="J46" s="206"/>
      <c r="K46" s="172"/>
      <c r="L46" s="205"/>
      <c r="M46" s="205"/>
      <c r="N46" s="205"/>
      <c r="O46" s="205"/>
      <c r="P46" s="205"/>
    </row>
    <row r="47" ht="15.75" customHeight="1">
      <c r="A47" s="179">
        <v>44.0</v>
      </c>
      <c r="B47" s="169">
        <f>COUNTA(COMPLAIN!$E47)</f>
        <v>0</v>
      </c>
      <c r="C47" s="180"/>
      <c r="D47" s="181"/>
      <c r="E47" s="182"/>
      <c r="F47" s="183"/>
      <c r="G47" s="183"/>
      <c r="H47" s="184"/>
      <c r="I47" s="183"/>
      <c r="J47" s="182"/>
      <c r="K47" s="185"/>
      <c r="L47" s="201"/>
      <c r="M47" s="201"/>
      <c r="N47" s="201"/>
      <c r="O47" s="201"/>
      <c r="P47" s="201"/>
    </row>
    <row r="48" ht="15.75" customHeight="1">
      <c r="A48" s="179">
        <v>45.0</v>
      </c>
      <c r="B48" s="169">
        <f>COUNTA(COMPLAIN!$E48)</f>
        <v>0</v>
      </c>
      <c r="C48" s="202"/>
      <c r="D48" s="171"/>
      <c r="E48" s="206"/>
      <c r="F48" s="203"/>
      <c r="G48" s="203"/>
      <c r="H48" s="204"/>
      <c r="I48" s="203"/>
      <c r="J48" s="206"/>
      <c r="K48" s="172"/>
      <c r="L48" s="205"/>
      <c r="M48" s="205"/>
      <c r="N48" s="205"/>
      <c r="O48" s="205"/>
      <c r="P48" s="205"/>
    </row>
    <row r="49" ht="15.75" customHeight="1">
      <c r="A49" s="179">
        <v>46.0</v>
      </c>
      <c r="B49" s="169">
        <f>COUNTA(COMPLAIN!$E49)</f>
        <v>0</v>
      </c>
      <c r="C49" s="180"/>
      <c r="D49" s="181"/>
      <c r="E49" s="182"/>
      <c r="F49" s="189"/>
      <c r="G49" s="183"/>
      <c r="H49" s="184"/>
      <c r="I49" s="183"/>
      <c r="J49" s="182"/>
      <c r="K49" s="185"/>
      <c r="L49" s="201"/>
      <c r="M49" s="201"/>
      <c r="N49" s="201"/>
      <c r="O49" s="201"/>
      <c r="P49" s="201"/>
    </row>
    <row r="50" ht="15.75" customHeight="1">
      <c r="A50" s="179">
        <v>47.0</v>
      </c>
      <c r="B50" s="169">
        <f>COUNTA(COMPLAIN!$E50)</f>
        <v>0</v>
      </c>
      <c r="C50" s="202"/>
      <c r="D50" s="171"/>
      <c r="E50" s="206"/>
      <c r="F50" s="203"/>
      <c r="G50" s="203"/>
      <c r="H50" s="204"/>
      <c r="I50" s="203"/>
      <c r="J50" s="206"/>
      <c r="K50" s="172"/>
      <c r="L50" s="205"/>
      <c r="M50" s="205"/>
      <c r="N50" s="205"/>
      <c r="O50" s="205"/>
      <c r="P50" s="205"/>
    </row>
    <row r="51" ht="15.75" customHeight="1">
      <c r="A51" s="179">
        <v>48.0</v>
      </c>
      <c r="B51" s="169">
        <f>COUNTA(COMPLAIN!$E51)</f>
        <v>0</v>
      </c>
      <c r="C51" s="180"/>
      <c r="D51" s="181"/>
      <c r="E51" s="182"/>
      <c r="F51" s="183"/>
      <c r="G51" s="183"/>
      <c r="H51" s="184"/>
      <c r="I51" s="183"/>
      <c r="J51" s="182"/>
      <c r="K51" s="185"/>
      <c r="L51" s="186"/>
      <c r="M51" s="186"/>
      <c r="N51" s="186"/>
      <c r="O51" s="186"/>
      <c r="P51" s="186"/>
    </row>
    <row r="52" ht="15.75" customHeight="1">
      <c r="A52" s="179">
        <v>49.0</v>
      </c>
      <c r="B52" s="169">
        <f>COUNTA(COMPLAIN!$E52)</f>
        <v>0</v>
      </c>
      <c r="C52" s="207"/>
      <c r="D52" s="207"/>
      <c r="E52" s="179"/>
      <c r="F52" s="208"/>
      <c r="G52" s="179"/>
      <c r="H52" s="179"/>
      <c r="I52" s="179"/>
      <c r="J52" s="179"/>
      <c r="K52" s="172"/>
      <c r="L52" s="209"/>
      <c r="M52" s="179"/>
      <c r="N52" s="179"/>
      <c r="O52" s="210"/>
      <c r="P52" s="210"/>
    </row>
    <row r="53" ht="15.75" customHeight="1">
      <c r="A53" s="179">
        <v>50.0</v>
      </c>
      <c r="B53" s="169">
        <f>COUNTA(COMPLAIN!$E53)</f>
        <v>0</v>
      </c>
      <c r="C53" s="207"/>
      <c r="D53" s="207"/>
      <c r="E53" s="179"/>
      <c r="F53" s="208"/>
      <c r="G53" s="179"/>
      <c r="H53" s="179"/>
      <c r="I53" s="179"/>
      <c r="J53" s="179"/>
      <c r="K53" s="179"/>
      <c r="L53" s="209"/>
      <c r="M53" s="179"/>
      <c r="N53" s="179"/>
      <c r="O53" s="210"/>
      <c r="P53" s="210"/>
    </row>
    <row r="54" ht="15.75" customHeight="1">
      <c r="A54" s="179">
        <v>51.0</v>
      </c>
      <c r="B54" s="169">
        <f>COUNTA(COMPLAIN!$E54)</f>
        <v>0</v>
      </c>
      <c r="C54" s="207"/>
      <c r="D54" s="207"/>
      <c r="E54" s="179"/>
      <c r="F54" s="208"/>
      <c r="G54" s="179"/>
      <c r="H54" s="179"/>
      <c r="I54" s="179"/>
      <c r="J54" s="179"/>
      <c r="K54" s="179"/>
      <c r="L54" s="209"/>
      <c r="M54" s="179"/>
      <c r="N54" s="179"/>
      <c r="O54" s="210"/>
      <c r="P54" s="210"/>
    </row>
    <row r="55" ht="15.75" customHeight="1">
      <c r="A55" s="179">
        <v>52.0</v>
      </c>
      <c r="B55" s="169">
        <f>COUNTA(COMPLAIN!$E55)</f>
        <v>0</v>
      </c>
      <c r="C55" s="207"/>
      <c r="D55" s="207"/>
      <c r="E55" s="179"/>
      <c r="F55" s="208"/>
      <c r="G55" s="179"/>
      <c r="H55" s="179"/>
      <c r="I55" s="179"/>
      <c r="J55" s="179"/>
      <c r="K55" s="179"/>
      <c r="L55" s="209"/>
      <c r="M55" s="179"/>
      <c r="N55" s="179"/>
      <c r="O55" s="210"/>
      <c r="P55" s="210"/>
    </row>
    <row r="56" ht="15.75" customHeight="1">
      <c r="A56" s="179">
        <v>53.0</v>
      </c>
      <c r="B56" s="169">
        <f>COUNTA(COMPLAIN!$E56)</f>
        <v>0</v>
      </c>
      <c r="C56" s="207"/>
      <c r="D56" s="207"/>
      <c r="E56" s="179"/>
      <c r="F56" s="208"/>
      <c r="G56" s="179"/>
      <c r="H56" s="179"/>
      <c r="I56" s="179"/>
      <c r="J56" s="179"/>
      <c r="K56" s="179"/>
      <c r="L56" s="209"/>
      <c r="M56" s="179"/>
      <c r="N56" s="179"/>
      <c r="O56" s="210"/>
      <c r="P56" s="210"/>
    </row>
    <row r="57" ht="15.75" customHeight="1">
      <c r="A57" s="179">
        <v>54.0</v>
      </c>
      <c r="B57" s="169">
        <f>COUNTA(COMPLAIN!$E57)</f>
        <v>0</v>
      </c>
      <c r="C57" s="207"/>
      <c r="D57" s="207"/>
      <c r="E57" s="179"/>
      <c r="F57" s="208"/>
      <c r="G57" s="179"/>
      <c r="H57" s="179"/>
      <c r="I57" s="179"/>
      <c r="J57" s="179"/>
      <c r="K57" s="179"/>
      <c r="L57" s="209"/>
      <c r="M57" s="179"/>
      <c r="N57" s="179"/>
      <c r="O57" s="210"/>
      <c r="P57" s="210"/>
    </row>
    <row r="58" ht="15.75" customHeight="1">
      <c r="A58" s="179">
        <v>55.0</v>
      </c>
      <c r="B58" s="169">
        <f>COUNTA(COMPLAIN!$E58)</f>
        <v>0</v>
      </c>
      <c r="C58" s="207"/>
      <c r="D58" s="207"/>
      <c r="E58" s="179"/>
      <c r="F58" s="208"/>
      <c r="G58" s="179"/>
      <c r="H58" s="179"/>
      <c r="I58" s="179"/>
      <c r="J58" s="179"/>
      <c r="K58" s="179"/>
      <c r="L58" s="209"/>
      <c r="M58" s="179"/>
      <c r="N58" s="179"/>
      <c r="O58" s="210"/>
      <c r="P58" s="210"/>
    </row>
    <row r="59" ht="15.75" customHeight="1">
      <c r="A59" s="179">
        <v>56.0</v>
      </c>
      <c r="B59" s="169">
        <f>COUNTA(COMPLAIN!$E59)</f>
        <v>0</v>
      </c>
      <c r="C59" s="207"/>
      <c r="D59" s="207"/>
      <c r="E59" s="179"/>
      <c r="F59" s="208"/>
      <c r="G59" s="179"/>
      <c r="H59" s="179"/>
      <c r="I59" s="179"/>
      <c r="J59" s="179"/>
      <c r="K59" s="179"/>
      <c r="L59" s="209"/>
      <c r="M59" s="179"/>
      <c r="N59" s="179"/>
      <c r="O59" s="210"/>
      <c r="P59" s="210"/>
    </row>
    <row r="60" ht="15.75" customHeight="1">
      <c r="A60" s="179">
        <v>57.0</v>
      </c>
      <c r="B60" s="169">
        <f>COUNTA(COMPLAIN!$E60)</f>
        <v>0</v>
      </c>
      <c r="C60" s="207"/>
      <c r="D60" s="207"/>
      <c r="E60" s="179"/>
      <c r="F60" s="208"/>
      <c r="G60" s="179"/>
      <c r="H60" s="179"/>
      <c r="I60" s="179"/>
      <c r="J60" s="179"/>
      <c r="K60" s="179"/>
      <c r="L60" s="209"/>
      <c r="M60" s="179"/>
      <c r="N60" s="179"/>
      <c r="O60" s="210"/>
      <c r="P60" s="210"/>
    </row>
    <row r="61" ht="15.75" customHeight="1">
      <c r="A61" s="179">
        <v>58.0</v>
      </c>
      <c r="B61" s="169">
        <f>COUNTA(COMPLAIN!$E61)</f>
        <v>0</v>
      </c>
      <c r="C61" s="207"/>
      <c r="D61" s="207"/>
      <c r="E61" s="179"/>
      <c r="F61" s="208"/>
      <c r="G61" s="179"/>
      <c r="H61" s="179"/>
      <c r="I61" s="179"/>
      <c r="J61" s="179"/>
      <c r="K61" s="179"/>
      <c r="L61" s="209"/>
      <c r="M61" s="179"/>
      <c r="N61" s="179"/>
      <c r="O61" s="210"/>
      <c r="P61" s="210"/>
    </row>
    <row r="62" ht="15.75" customHeight="1">
      <c r="A62" s="179">
        <v>59.0</v>
      </c>
      <c r="B62" s="169">
        <f>COUNTA(COMPLAIN!$E62)</f>
        <v>0</v>
      </c>
      <c r="C62" s="207"/>
      <c r="D62" s="207"/>
      <c r="E62" s="179"/>
      <c r="F62" s="208"/>
      <c r="G62" s="179"/>
      <c r="H62" s="179"/>
      <c r="I62" s="179"/>
      <c r="J62" s="179"/>
      <c r="K62" s="179"/>
      <c r="L62" s="209"/>
      <c r="M62" s="179"/>
      <c r="N62" s="179"/>
      <c r="O62" s="210"/>
      <c r="P62" s="210"/>
    </row>
    <row r="63" ht="15.75" customHeight="1">
      <c r="A63" s="179">
        <v>60.0</v>
      </c>
      <c r="B63" s="169">
        <f>COUNTA(COMPLAIN!$E63)</f>
        <v>0</v>
      </c>
      <c r="C63" s="207"/>
      <c r="D63" s="207"/>
      <c r="E63" s="179"/>
      <c r="F63" s="208"/>
      <c r="G63" s="179"/>
      <c r="H63" s="179"/>
      <c r="I63" s="179"/>
      <c r="J63" s="179"/>
      <c r="K63" s="179"/>
      <c r="L63" s="209"/>
      <c r="M63" s="179"/>
      <c r="N63" s="179"/>
      <c r="O63" s="210"/>
      <c r="P63" s="210"/>
    </row>
    <row r="64" ht="15.75" customHeight="1">
      <c r="A64" s="179">
        <v>61.0</v>
      </c>
      <c r="B64" s="169">
        <f>COUNTA(COMPLAIN!$E64)</f>
        <v>0</v>
      </c>
      <c r="C64" s="207"/>
      <c r="D64" s="207"/>
      <c r="E64" s="179"/>
      <c r="F64" s="208"/>
      <c r="G64" s="179"/>
      <c r="H64" s="179"/>
      <c r="I64" s="179"/>
      <c r="J64" s="179"/>
      <c r="K64" s="179"/>
      <c r="L64" s="209"/>
      <c r="M64" s="179"/>
      <c r="N64" s="179"/>
      <c r="O64" s="210"/>
      <c r="P64" s="210"/>
    </row>
    <row r="65" ht="15.75" customHeight="1">
      <c r="A65" s="179">
        <v>62.0</v>
      </c>
      <c r="B65" s="169">
        <f>COUNTA(COMPLAIN!$E65)</f>
        <v>0</v>
      </c>
      <c r="C65" s="207"/>
      <c r="D65" s="207"/>
      <c r="E65" s="179"/>
      <c r="F65" s="208"/>
      <c r="G65" s="179"/>
      <c r="H65" s="179"/>
      <c r="I65" s="179"/>
      <c r="J65" s="179"/>
      <c r="K65" s="179"/>
      <c r="L65" s="209"/>
      <c r="M65" s="179"/>
      <c r="N65" s="179"/>
      <c r="O65" s="210"/>
      <c r="P65" s="210"/>
    </row>
    <row r="66" ht="15.75" customHeight="1">
      <c r="A66" s="179">
        <v>63.0</v>
      </c>
      <c r="B66" s="169">
        <f>COUNTA(COMPLAIN!$E66)</f>
        <v>0</v>
      </c>
      <c r="C66" s="207"/>
      <c r="D66" s="207"/>
      <c r="E66" s="179"/>
      <c r="F66" s="208"/>
      <c r="G66" s="179"/>
      <c r="H66" s="179"/>
      <c r="I66" s="179"/>
      <c r="J66" s="179"/>
      <c r="K66" s="179"/>
      <c r="L66" s="209"/>
      <c r="M66" s="179"/>
      <c r="N66" s="179"/>
      <c r="O66" s="210"/>
      <c r="P66" s="210"/>
    </row>
    <row r="67" ht="15.75" customHeight="1">
      <c r="A67" s="179">
        <v>64.0</v>
      </c>
      <c r="B67" s="169">
        <f>COUNTA(COMPLAIN!$E67)</f>
        <v>0</v>
      </c>
      <c r="C67" s="207"/>
      <c r="D67" s="207"/>
      <c r="E67" s="179"/>
      <c r="F67" s="208"/>
      <c r="G67" s="179"/>
      <c r="H67" s="179"/>
      <c r="I67" s="179"/>
      <c r="J67" s="179"/>
      <c r="K67" s="179"/>
      <c r="L67" s="209"/>
      <c r="M67" s="179"/>
      <c r="N67" s="179"/>
      <c r="O67" s="210"/>
      <c r="P67" s="210"/>
    </row>
    <row r="68" ht="15.75" customHeight="1">
      <c r="A68" s="179">
        <v>65.0</v>
      </c>
      <c r="B68" s="169">
        <f>COUNTA(COMPLAIN!$E68)</f>
        <v>0</v>
      </c>
      <c r="C68" s="207"/>
      <c r="D68" s="207"/>
      <c r="E68" s="179"/>
      <c r="F68" s="208"/>
      <c r="G68" s="179"/>
      <c r="H68" s="179"/>
      <c r="I68" s="179"/>
      <c r="J68" s="179"/>
      <c r="K68" s="179"/>
      <c r="L68" s="209"/>
      <c r="M68" s="179"/>
      <c r="N68" s="179"/>
      <c r="O68" s="210"/>
      <c r="P68" s="210"/>
    </row>
    <row r="69" ht="15.75" customHeight="1">
      <c r="A69" s="179">
        <v>66.0</v>
      </c>
      <c r="B69" s="169">
        <f>COUNTA(COMPLAIN!$E69)</f>
        <v>0</v>
      </c>
      <c r="C69" s="207"/>
      <c r="D69" s="207"/>
      <c r="E69" s="179"/>
      <c r="F69" s="208"/>
      <c r="G69" s="179"/>
      <c r="H69" s="179"/>
      <c r="I69" s="179"/>
      <c r="J69" s="179"/>
      <c r="K69" s="179"/>
      <c r="L69" s="209"/>
      <c r="M69" s="179"/>
      <c r="N69" s="179"/>
      <c r="O69" s="210"/>
      <c r="P69" s="210"/>
    </row>
    <row r="70" ht="15.75" customHeight="1">
      <c r="A70" s="179">
        <v>67.0</v>
      </c>
      <c r="B70" s="169">
        <f>COUNTA(COMPLAIN!$E70)</f>
        <v>0</v>
      </c>
      <c r="C70" s="207"/>
      <c r="D70" s="207"/>
      <c r="E70" s="179"/>
      <c r="F70" s="208"/>
      <c r="G70" s="179"/>
      <c r="H70" s="179"/>
      <c r="I70" s="179"/>
      <c r="J70" s="179"/>
      <c r="K70" s="179"/>
      <c r="L70" s="209"/>
      <c r="M70" s="179"/>
      <c r="N70" s="179"/>
      <c r="O70" s="210"/>
      <c r="P70" s="210"/>
    </row>
    <row r="71" ht="15.75" customHeight="1">
      <c r="A71" s="179">
        <v>68.0</v>
      </c>
      <c r="B71" s="169">
        <f>COUNTA(COMPLAIN!$E71)</f>
        <v>0</v>
      </c>
      <c r="C71" s="207"/>
      <c r="D71" s="207"/>
      <c r="E71" s="179"/>
      <c r="F71" s="208"/>
      <c r="G71" s="179"/>
      <c r="H71" s="179"/>
      <c r="I71" s="179"/>
      <c r="J71" s="179"/>
      <c r="K71" s="179"/>
      <c r="L71" s="209"/>
      <c r="M71" s="179"/>
      <c r="N71" s="179"/>
      <c r="O71" s="210"/>
      <c r="P71" s="210"/>
    </row>
    <row r="72" ht="15.75" customHeight="1">
      <c r="A72" s="179">
        <v>69.0</v>
      </c>
      <c r="B72" s="169">
        <f>COUNTA(COMPLAIN!$E72)</f>
        <v>0</v>
      </c>
      <c r="C72" s="207"/>
      <c r="D72" s="207"/>
      <c r="E72" s="179"/>
      <c r="F72" s="208"/>
      <c r="G72" s="179"/>
      <c r="H72" s="179"/>
      <c r="I72" s="179"/>
      <c r="J72" s="179"/>
      <c r="K72" s="179"/>
      <c r="L72" s="209"/>
      <c r="M72" s="179"/>
      <c r="N72" s="179"/>
      <c r="O72" s="210"/>
      <c r="P72" s="210"/>
    </row>
    <row r="73" ht="15.75" customHeight="1">
      <c r="A73" s="179">
        <v>70.0</v>
      </c>
      <c r="B73" s="169">
        <f>COUNTA(COMPLAIN!$E73)</f>
        <v>0</v>
      </c>
      <c r="C73" s="207"/>
      <c r="D73" s="207"/>
      <c r="E73" s="179"/>
      <c r="F73" s="208"/>
      <c r="G73" s="179"/>
      <c r="H73" s="179"/>
      <c r="I73" s="179"/>
      <c r="J73" s="179"/>
      <c r="K73" s="179"/>
      <c r="L73" s="209"/>
      <c r="M73" s="179"/>
      <c r="N73" s="179"/>
      <c r="O73" s="210"/>
      <c r="P73" s="210"/>
    </row>
    <row r="74" ht="15.75" customHeight="1">
      <c r="A74" s="179">
        <v>71.0</v>
      </c>
      <c r="B74" s="169">
        <f>COUNTA(COMPLAIN!$E74)</f>
        <v>0</v>
      </c>
      <c r="C74" s="207"/>
      <c r="D74" s="207"/>
      <c r="E74" s="179"/>
      <c r="F74" s="208"/>
      <c r="G74" s="179"/>
      <c r="H74" s="179"/>
      <c r="I74" s="179"/>
      <c r="J74" s="179"/>
      <c r="K74" s="179"/>
      <c r="L74" s="209"/>
      <c r="M74" s="179"/>
      <c r="N74" s="179"/>
      <c r="O74" s="210"/>
      <c r="P74" s="210"/>
    </row>
    <row r="75" ht="15.75" customHeight="1">
      <c r="A75" s="179">
        <v>72.0</v>
      </c>
      <c r="B75" s="169">
        <f>COUNTA(COMPLAIN!$E75)</f>
        <v>0</v>
      </c>
      <c r="C75" s="207"/>
      <c r="D75" s="207"/>
      <c r="E75" s="179"/>
      <c r="F75" s="208"/>
      <c r="G75" s="179"/>
      <c r="H75" s="179"/>
      <c r="I75" s="179"/>
      <c r="J75" s="179"/>
      <c r="K75" s="179"/>
      <c r="L75" s="209"/>
      <c r="M75" s="179"/>
      <c r="N75" s="179"/>
      <c r="O75" s="210"/>
      <c r="P75" s="210"/>
    </row>
    <row r="76" ht="15.75" customHeight="1">
      <c r="A76" s="179">
        <v>73.0</v>
      </c>
      <c r="B76" s="169">
        <f>COUNTA(COMPLAIN!$E76)</f>
        <v>0</v>
      </c>
      <c r="C76" s="207"/>
      <c r="D76" s="207"/>
      <c r="E76" s="179"/>
      <c r="F76" s="208"/>
      <c r="G76" s="179"/>
      <c r="H76" s="179"/>
      <c r="I76" s="179"/>
      <c r="J76" s="179"/>
      <c r="K76" s="179"/>
      <c r="L76" s="209"/>
      <c r="M76" s="179"/>
      <c r="N76" s="179"/>
      <c r="O76" s="210"/>
      <c r="P76" s="210"/>
    </row>
    <row r="77" ht="15.75" customHeight="1">
      <c r="A77" s="179">
        <v>74.0</v>
      </c>
      <c r="B77" s="169">
        <f>COUNTA(COMPLAIN!$E77)</f>
        <v>0</v>
      </c>
      <c r="C77" s="207"/>
      <c r="D77" s="207"/>
      <c r="E77" s="179"/>
      <c r="F77" s="208"/>
      <c r="G77" s="179"/>
      <c r="H77" s="179"/>
      <c r="I77" s="179"/>
      <c r="J77" s="179"/>
      <c r="K77" s="179"/>
      <c r="L77" s="209"/>
      <c r="M77" s="179"/>
      <c r="N77" s="179"/>
      <c r="O77" s="210"/>
      <c r="P77" s="210"/>
    </row>
    <row r="78" ht="15.75" customHeight="1">
      <c r="A78" s="179">
        <v>75.0</v>
      </c>
      <c r="B78" s="169">
        <f>COUNTA(COMPLAIN!$E78)</f>
        <v>0</v>
      </c>
      <c r="C78" s="207"/>
      <c r="D78" s="207"/>
      <c r="E78" s="179"/>
      <c r="F78" s="208"/>
      <c r="G78" s="179"/>
      <c r="H78" s="179"/>
      <c r="I78" s="179"/>
      <c r="J78" s="179"/>
      <c r="K78" s="179"/>
      <c r="L78" s="209"/>
      <c r="M78" s="179"/>
      <c r="N78" s="179"/>
      <c r="O78" s="210"/>
      <c r="P78" s="210"/>
    </row>
    <row r="79" ht="15.75" customHeight="1">
      <c r="A79" s="179">
        <v>76.0</v>
      </c>
      <c r="B79" s="169">
        <f>COUNTA(COMPLAIN!$E79)</f>
        <v>0</v>
      </c>
      <c r="C79" s="207"/>
      <c r="D79" s="207"/>
      <c r="E79" s="179"/>
      <c r="F79" s="208"/>
      <c r="G79" s="179"/>
      <c r="H79" s="179"/>
      <c r="I79" s="179"/>
      <c r="J79" s="179"/>
      <c r="K79" s="179"/>
      <c r="L79" s="209"/>
      <c r="M79" s="179"/>
      <c r="N79" s="179"/>
      <c r="O79" s="210"/>
      <c r="P79" s="210"/>
    </row>
    <row r="80" ht="15.75" customHeight="1">
      <c r="A80" s="179">
        <v>77.0</v>
      </c>
      <c r="B80" s="169">
        <f>COUNTA(COMPLAIN!$E80)</f>
        <v>0</v>
      </c>
      <c r="C80" s="207"/>
      <c r="D80" s="207"/>
      <c r="E80" s="179"/>
      <c r="F80" s="208"/>
      <c r="G80" s="179"/>
      <c r="H80" s="179"/>
      <c r="I80" s="179"/>
      <c r="J80" s="179"/>
      <c r="K80" s="179"/>
      <c r="L80" s="209"/>
      <c r="M80" s="179"/>
      <c r="N80" s="179"/>
      <c r="O80" s="210"/>
      <c r="P80" s="210"/>
    </row>
    <row r="81" ht="15.75" customHeight="1">
      <c r="A81" s="179">
        <v>78.0</v>
      </c>
      <c r="B81" s="169">
        <f>COUNTA(COMPLAIN!$E81)</f>
        <v>0</v>
      </c>
      <c r="C81" s="207"/>
      <c r="D81" s="207"/>
      <c r="E81" s="179"/>
      <c r="F81" s="208"/>
      <c r="G81" s="179"/>
      <c r="H81" s="179"/>
      <c r="I81" s="179"/>
      <c r="J81" s="179"/>
      <c r="K81" s="179"/>
      <c r="L81" s="209"/>
      <c r="M81" s="179"/>
      <c r="N81" s="179"/>
      <c r="O81" s="210"/>
      <c r="P81" s="210"/>
    </row>
    <row r="82" ht="15.75" customHeight="1">
      <c r="A82" s="179">
        <v>79.0</v>
      </c>
      <c r="B82" s="169">
        <f>COUNTA(COMPLAIN!$E82)</f>
        <v>0</v>
      </c>
      <c r="C82" s="207"/>
      <c r="D82" s="207"/>
      <c r="E82" s="179"/>
      <c r="F82" s="208"/>
      <c r="G82" s="179"/>
      <c r="H82" s="179"/>
      <c r="I82" s="179"/>
      <c r="J82" s="179"/>
      <c r="K82" s="179"/>
      <c r="L82" s="209"/>
      <c r="M82" s="179"/>
      <c r="N82" s="179"/>
      <c r="O82" s="210"/>
      <c r="P82" s="210"/>
    </row>
    <row r="83" ht="15.75" customHeight="1">
      <c r="A83" s="179">
        <v>80.0</v>
      </c>
      <c r="B83" s="169">
        <f>COUNTA(COMPLAIN!$E83)</f>
        <v>0</v>
      </c>
      <c r="C83" s="207"/>
      <c r="D83" s="207"/>
      <c r="E83" s="179"/>
      <c r="F83" s="208"/>
      <c r="G83" s="179"/>
      <c r="H83" s="179"/>
      <c r="I83" s="179"/>
      <c r="J83" s="179"/>
      <c r="K83" s="179"/>
      <c r="L83" s="209"/>
      <c r="M83" s="179"/>
      <c r="N83" s="179"/>
      <c r="O83" s="210"/>
      <c r="P83" s="210"/>
    </row>
    <row r="84" ht="15.75" customHeight="1">
      <c r="A84" s="179">
        <v>81.0</v>
      </c>
      <c r="B84" s="169">
        <f>COUNTA(COMPLAIN!$E84)</f>
        <v>0</v>
      </c>
      <c r="C84" s="207"/>
      <c r="D84" s="207"/>
      <c r="E84" s="179"/>
      <c r="F84" s="208"/>
      <c r="G84" s="179"/>
      <c r="H84" s="179"/>
      <c r="I84" s="179"/>
      <c r="J84" s="179"/>
      <c r="K84" s="179"/>
      <c r="L84" s="209"/>
      <c r="M84" s="179"/>
      <c r="N84" s="179"/>
      <c r="O84" s="210"/>
      <c r="P84" s="210"/>
    </row>
    <row r="85" ht="15.75" customHeight="1">
      <c r="A85" s="179">
        <v>82.0</v>
      </c>
      <c r="B85" s="169">
        <f>COUNTA(COMPLAIN!$E85)</f>
        <v>0</v>
      </c>
      <c r="C85" s="207"/>
      <c r="D85" s="207"/>
      <c r="E85" s="179"/>
      <c r="F85" s="208"/>
      <c r="G85" s="179"/>
      <c r="H85" s="179"/>
      <c r="I85" s="179"/>
      <c r="J85" s="179"/>
      <c r="K85" s="179"/>
      <c r="L85" s="209"/>
      <c r="M85" s="179"/>
      <c r="N85" s="179"/>
      <c r="O85" s="210"/>
      <c r="P85" s="210"/>
    </row>
    <row r="86" ht="15.75" customHeight="1">
      <c r="A86" s="179">
        <v>83.0</v>
      </c>
      <c r="B86" s="169">
        <f>COUNTA(COMPLAIN!$E86)</f>
        <v>0</v>
      </c>
      <c r="C86" s="207"/>
      <c r="D86" s="207"/>
      <c r="E86" s="179"/>
      <c r="F86" s="208"/>
      <c r="G86" s="179"/>
      <c r="H86" s="179"/>
      <c r="I86" s="179"/>
      <c r="J86" s="179"/>
      <c r="K86" s="179"/>
      <c r="L86" s="209"/>
      <c r="M86" s="179"/>
      <c r="N86" s="179"/>
      <c r="O86" s="210"/>
      <c r="P86" s="210"/>
    </row>
    <row r="87" ht="15.75" customHeight="1">
      <c r="A87" s="179">
        <v>84.0</v>
      </c>
      <c r="B87" s="169">
        <f>COUNTA(COMPLAIN!$E87)</f>
        <v>0</v>
      </c>
      <c r="C87" s="207"/>
      <c r="D87" s="207"/>
      <c r="E87" s="179"/>
      <c r="F87" s="208"/>
      <c r="G87" s="179"/>
      <c r="H87" s="179"/>
      <c r="I87" s="179"/>
      <c r="J87" s="179"/>
      <c r="K87" s="179"/>
      <c r="L87" s="209"/>
      <c r="M87" s="179"/>
      <c r="N87" s="179"/>
      <c r="O87" s="210"/>
      <c r="P87" s="210"/>
    </row>
    <row r="88" ht="15.75" customHeight="1">
      <c r="A88" s="179">
        <v>85.0</v>
      </c>
      <c r="B88" s="169">
        <f>COUNTA(COMPLAIN!$E88)</f>
        <v>0</v>
      </c>
      <c r="C88" s="207"/>
      <c r="D88" s="207"/>
      <c r="E88" s="179"/>
      <c r="F88" s="208"/>
      <c r="G88" s="179"/>
      <c r="H88" s="179"/>
      <c r="I88" s="179"/>
      <c r="J88" s="179"/>
      <c r="K88" s="179"/>
      <c r="L88" s="209"/>
      <c r="M88" s="179"/>
      <c r="N88" s="179"/>
      <c r="O88" s="210"/>
      <c r="P88" s="210"/>
    </row>
    <row r="89" ht="15.75" customHeight="1">
      <c r="A89" s="179">
        <v>86.0</v>
      </c>
      <c r="B89" s="169">
        <f>COUNTA(COMPLAIN!$E89)</f>
        <v>0</v>
      </c>
      <c r="C89" s="207"/>
      <c r="D89" s="207"/>
      <c r="E89" s="179"/>
      <c r="F89" s="208"/>
      <c r="G89" s="179"/>
      <c r="H89" s="179"/>
      <c r="I89" s="179"/>
      <c r="J89" s="179"/>
      <c r="K89" s="179"/>
      <c r="L89" s="209"/>
      <c r="M89" s="179"/>
      <c r="N89" s="179"/>
      <c r="O89" s="210"/>
      <c r="P89" s="210"/>
    </row>
    <row r="90" ht="15.75" customHeight="1">
      <c r="A90" s="179">
        <v>87.0</v>
      </c>
      <c r="B90" s="169">
        <f>COUNTA(COMPLAIN!$E90)</f>
        <v>0</v>
      </c>
      <c r="C90" s="207"/>
      <c r="D90" s="207"/>
      <c r="E90" s="179"/>
      <c r="F90" s="208"/>
      <c r="G90" s="179"/>
      <c r="H90" s="179"/>
      <c r="I90" s="179"/>
      <c r="J90" s="179"/>
      <c r="K90" s="179"/>
      <c r="L90" s="209"/>
      <c r="M90" s="179"/>
      <c r="N90" s="179"/>
      <c r="O90" s="210"/>
      <c r="P90" s="210"/>
    </row>
    <row r="91" ht="15.75" customHeight="1">
      <c r="A91" s="179">
        <v>88.0</v>
      </c>
      <c r="B91" s="169">
        <f>COUNTA(COMPLAIN!$E91)</f>
        <v>0</v>
      </c>
      <c r="C91" s="207"/>
      <c r="D91" s="207"/>
      <c r="E91" s="179"/>
      <c r="F91" s="208"/>
      <c r="G91" s="179"/>
      <c r="H91" s="179"/>
      <c r="I91" s="179"/>
      <c r="J91" s="179"/>
      <c r="K91" s="179"/>
      <c r="L91" s="209"/>
      <c r="M91" s="179"/>
      <c r="N91" s="179"/>
      <c r="O91" s="210"/>
      <c r="P91" s="210"/>
    </row>
    <row r="92" ht="15.75" customHeight="1">
      <c r="A92" s="179">
        <v>89.0</v>
      </c>
      <c r="B92" s="169">
        <f>COUNTA(COMPLAIN!$E92)</f>
        <v>0</v>
      </c>
      <c r="C92" s="207"/>
      <c r="D92" s="207"/>
      <c r="E92" s="179"/>
      <c r="F92" s="208"/>
      <c r="G92" s="179"/>
      <c r="H92" s="179"/>
      <c r="I92" s="179"/>
      <c r="J92" s="179"/>
      <c r="K92" s="179"/>
      <c r="L92" s="209"/>
      <c r="M92" s="179"/>
      <c r="N92" s="179"/>
      <c r="O92" s="210"/>
      <c r="P92" s="210"/>
    </row>
    <row r="93" ht="15.75" customHeight="1">
      <c r="A93" s="179">
        <v>90.0</v>
      </c>
      <c r="B93" s="169">
        <f>COUNTA(COMPLAIN!$E93)</f>
        <v>0</v>
      </c>
      <c r="C93" s="207"/>
      <c r="D93" s="207"/>
      <c r="E93" s="179"/>
      <c r="F93" s="208"/>
      <c r="G93" s="179"/>
      <c r="H93" s="179"/>
      <c r="I93" s="179"/>
      <c r="J93" s="179"/>
      <c r="K93" s="179"/>
      <c r="L93" s="209"/>
      <c r="M93" s="179"/>
      <c r="N93" s="179"/>
      <c r="O93" s="210"/>
      <c r="P93" s="210"/>
    </row>
    <row r="94" ht="15.75" customHeight="1">
      <c r="A94" s="179">
        <v>91.0</v>
      </c>
      <c r="B94" s="169">
        <f>COUNTA(COMPLAIN!$E94)</f>
        <v>0</v>
      </c>
      <c r="C94" s="207"/>
      <c r="D94" s="207"/>
      <c r="E94" s="179"/>
      <c r="F94" s="208"/>
      <c r="G94" s="179"/>
      <c r="H94" s="179"/>
      <c r="I94" s="179"/>
      <c r="J94" s="179"/>
      <c r="K94" s="179"/>
      <c r="L94" s="209"/>
      <c r="M94" s="179"/>
      <c r="N94" s="179"/>
      <c r="O94" s="210"/>
      <c r="P94" s="210"/>
    </row>
    <row r="95" ht="15.75" customHeight="1">
      <c r="A95" s="179">
        <v>92.0</v>
      </c>
      <c r="B95" s="169">
        <f>COUNTA(COMPLAIN!$E95)</f>
        <v>0</v>
      </c>
      <c r="C95" s="207"/>
      <c r="D95" s="207"/>
      <c r="E95" s="179"/>
      <c r="F95" s="208"/>
      <c r="G95" s="179"/>
      <c r="H95" s="179"/>
      <c r="I95" s="179"/>
      <c r="J95" s="179"/>
      <c r="K95" s="179"/>
      <c r="L95" s="209"/>
      <c r="M95" s="179"/>
      <c r="N95" s="179"/>
      <c r="O95" s="210"/>
      <c r="P95" s="210"/>
    </row>
    <row r="96" ht="15.75" customHeight="1">
      <c r="A96" s="179">
        <v>93.0</v>
      </c>
      <c r="B96" s="169">
        <f>COUNTA(COMPLAIN!$E96)</f>
        <v>0</v>
      </c>
      <c r="C96" s="207"/>
      <c r="D96" s="207"/>
      <c r="E96" s="179"/>
      <c r="F96" s="208"/>
      <c r="G96" s="179"/>
      <c r="H96" s="179"/>
      <c r="I96" s="179"/>
      <c r="J96" s="179"/>
      <c r="K96" s="179"/>
      <c r="L96" s="209"/>
      <c r="M96" s="179"/>
      <c r="N96" s="179"/>
      <c r="O96" s="210"/>
      <c r="P96" s="210"/>
    </row>
    <row r="97" ht="15.75" customHeight="1">
      <c r="A97" s="179">
        <v>94.0</v>
      </c>
      <c r="B97" s="169">
        <f>COUNTA(COMPLAIN!$E97)</f>
        <v>0</v>
      </c>
      <c r="C97" s="207"/>
      <c r="D97" s="207"/>
      <c r="E97" s="179"/>
      <c r="F97" s="208"/>
      <c r="G97" s="179"/>
      <c r="H97" s="179"/>
      <c r="I97" s="179"/>
      <c r="J97" s="179"/>
      <c r="K97" s="179"/>
      <c r="L97" s="209"/>
      <c r="M97" s="179"/>
      <c r="N97" s="179"/>
      <c r="O97" s="210"/>
      <c r="P97" s="210"/>
    </row>
    <row r="98" ht="15.75" customHeight="1">
      <c r="A98" s="179">
        <v>95.0</v>
      </c>
      <c r="B98" s="169">
        <f>COUNTA(COMPLAIN!$E98)</f>
        <v>0</v>
      </c>
      <c r="C98" s="207"/>
      <c r="D98" s="207"/>
      <c r="E98" s="179"/>
      <c r="F98" s="208"/>
      <c r="G98" s="179"/>
      <c r="H98" s="179"/>
      <c r="I98" s="179"/>
      <c r="J98" s="179"/>
      <c r="K98" s="179"/>
      <c r="L98" s="209"/>
      <c r="M98" s="179"/>
      <c r="N98" s="179"/>
      <c r="O98" s="210"/>
      <c r="P98" s="210"/>
    </row>
    <row r="99" ht="15.75" customHeight="1">
      <c r="A99" s="179">
        <v>96.0</v>
      </c>
      <c r="B99" s="169">
        <f>COUNTA(COMPLAIN!$E99)</f>
        <v>0</v>
      </c>
      <c r="C99" s="207"/>
      <c r="D99" s="207"/>
      <c r="E99" s="179"/>
      <c r="F99" s="208"/>
      <c r="G99" s="179"/>
      <c r="H99" s="179"/>
      <c r="I99" s="179"/>
      <c r="J99" s="179"/>
      <c r="K99" s="179"/>
      <c r="L99" s="209"/>
      <c r="M99" s="179"/>
      <c r="N99" s="179"/>
      <c r="O99" s="210"/>
      <c r="P99" s="210"/>
    </row>
    <row r="100" ht="15.75" customHeight="1">
      <c r="A100" s="179">
        <v>97.0</v>
      </c>
      <c r="B100" s="169">
        <f>COUNTA(COMPLAIN!$E100)</f>
        <v>0</v>
      </c>
      <c r="C100" s="207"/>
      <c r="D100" s="207"/>
      <c r="E100" s="179"/>
      <c r="F100" s="208"/>
      <c r="G100" s="179"/>
      <c r="H100" s="179"/>
      <c r="I100" s="179"/>
      <c r="J100" s="179"/>
      <c r="K100" s="179"/>
      <c r="L100" s="209"/>
      <c r="M100" s="179"/>
      <c r="N100" s="179"/>
      <c r="O100" s="210"/>
      <c r="P100" s="210"/>
    </row>
    <row r="101" ht="15.75" customHeight="1">
      <c r="A101" s="179">
        <v>98.0</v>
      </c>
      <c r="B101" s="169">
        <f>COUNTA(COMPLAIN!$E101)</f>
        <v>0</v>
      </c>
      <c r="C101" s="207"/>
      <c r="D101" s="207"/>
      <c r="E101" s="179"/>
      <c r="F101" s="208"/>
      <c r="G101" s="179"/>
      <c r="H101" s="179"/>
      <c r="I101" s="179"/>
      <c r="J101" s="179"/>
      <c r="K101" s="179"/>
      <c r="L101" s="209"/>
      <c r="M101" s="179"/>
      <c r="N101" s="179"/>
      <c r="O101" s="210"/>
      <c r="P101" s="210"/>
    </row>
    <row r="102" ht="15.75" customHeight="1">
      <c r="A102" s="179">
        <v>99.0</v>
      </c>
      <c r="B102" s="169">
        <f>COUNTA(COMPLAIN!$E102)</f>
        <v>0</v>
      </c>
      <c r="C102" s="207"/>
      <c r="D102" s="207"/>
      <c r="E102" s="179"/>
      <c r="F102" s="208"/>
      <c r="G102" s="179"/>
      <c r="H102" s="179"/>
      <c r="I102" s="179"/>
      <c r="J102" s="179"/>
      <c r="K102" s="179"/>
      <c r="L102" s="209"/>
      <c r="M102" s="179"/>
      <c r="N102" s="179"/>
      <c r="O102" s="210"/>
      <c r="P102" s="210"/>
    </row>
    <row r="103" ht="15.75" customHeight="1">
      <c r="A103" s="179">
        <v>100.0</v>
      </c>
      <c r="B103" s="169">
        <f>COUNTA(COMPLAIN!$E103)</f>
        <v>0</v>
      </c>
      <c r="C103" s="207"/>
      <c r="D103" s="207"/>
      <c r="E103" s="179"/>
      <c r="F103" s="208"/>
      <c r="G103" s="179"/>
      <c r="H103" s="179"/>
      <c r="I103" s="179"/>
      <c r="J103" s="179"/>
      <c r="K103" s="179"/>
      <c r="L103" s="209"/>
      <c r="M103" s="179"/>
      <c r="N103" s="179"/>
      <c r="O103" s="210"/>
      <c r="P103" s="210"/>
    </row>
    <row r="104" ht="15.75" customHeight="1">
      <c r="A104" s="179">
        <v>101.0</v>
      </c>
      <c r="B104" s="169">
        <f>COUNTA(COMPLAIN!$E104)</f>
        <v>0</v>
      </c>
      <c r="C104" s="207"/>
      <c r="D104" s="207"/>
      <c r="E104" s="179"/>
      <c r="F104" s="208"/>
      <c r="G104" s="179"/>
      <c r="H104" s="179"/>
      <c r="I104" s="179"/>
      <c r="J104" s="179"/>
      <c r="K104" s="179"/>
      <c r="L104" s="209"/>
      <c r="M104" s="179"/>
      <c r="N104" s="179"/>
      <c r="O104" s="210"/>
      <c r="P104" s="210"/>
    </row>
    <row r="105" ht="15.75" customHeight="1">
      <c r="A105" s="179">
        <v>102.0</v>
      </c>
      <c r="B105" s="169">
        <f>COUNTA(COMPLAIN!$E105)</f>
        <v>0</v>
      </c>
      <c r="C105" s="207"/>
      <c r="D105" s="207"/>
      <c r="E105" s="179"/>
      <c r="F105" s="208"/>
      <c r="G105" s="179"/>
      <c r="H105" s="179"/>
      <c r="I105" s="179"/>
      <c r="J105" s="179"/>
      <c r="K105" s="179"/>
      <c r="L105" s="209"/>
      <c r="M105" s="179"/>
      <c r="N105" s="179"/>
      <c r="O105" s="210"/>
      <c r="P105" s="210"/>
    </row>
    <row r="106" ht="15.75" customHeight="1">
      <c r="A106" s="179">
        <v>103.0</v>
      </c>
      <c r="B106" s="169">
        <f>COUNTA(COMPLAIN!$E106)</f>
        <v>0</v>
      </c>
      <c r="C106" s="207"/>
      <c r="D106" s="207"/>
      <c r="E106" s="179"/>
      <c r="F106" s="208"/>
      <c r="G106" s="179"/>
      <c r="H106" s="179"/>
      <c r="I106" s="179"/>
      <c r="J106" s="179"/>
      <c r="K106" s="179"/>
      <c r="L106" s="209"/>
      <c r="M106" s="179"/>
      <c r="N106" s="179"/>
      <c r="O106" s="210"/>
      <c r="P106" s="210"/>
    </row>
    <row r="107" ht="15.75" customHeight="1">
      <c r="A107" s="179">
        <v>104.0</v>
      </c>
      <c r="B107" s="169">
        <f>COUNTA(COMPLAIN!$E107)</f>
        <v>0</v>
      </c>
      <c r="C107" s="207"/>
      <c r="D107" s="207"/>
      <c r="E107" s="179"/>
      <c r="F107" s="208"/>
      <c r="G107" s="179"/>
      <c r="H107" s="179"/>
      <c r="I107" s="179"/>
      <c r="J107" s="179"/>
      <c r="K107" s="179"/>
      <c r="L107" s="209"/>
      <c r="M107" s="179"/>
      <c r="N107" s="179"/>
      <c r="O107" s="210"/>
      <c r="P107" s="210"/>
    </row>
    <row r="108" ht="15.75" customHeight="1">
      <c r="A108" s="179">
        <v>105.0</v>
      </c>
      <c r="B108" s="169">
        <f>COUNTA(COMPLAIN!$E108)</f>
        <v>0</v>
      </c>
      <c r="C108" s="207"/>
      <c r="D108" s="207"/>
      <c r="E108" s="179"/>
      <c r="F108" s="208"/>
      <c r="G108" s="179"/>
      <c r="H108" s="179"/>
      <c r="I108" s="179"/>
      <c r="J108" s="179"/>
      <c r="K108" s="179"/>
      <c r="L108" s="209"/>
      <c r="M108" s="179"/>
      <c r="N108" s="179"/>
      <c r="O108" s="210"/>
      <c r="P108" s="210"/>
    </row>
    <row r="109" ht="15.75" customHeight="1">
      <c r="A109" s="179">
        <v>106.0</v>
      </c>
      <c r="B109" s="169">
        <f>COUNTA(COMPLAIN!$E109)</f>
        <v>0</v>
      </c>
      <c r="C109" s="207"/>
      <c r="D109" s="207"/>
      <c r="E109" s="179"/>
      <c r="F109" s="208"/>
      <c r="G109" s="179"/>
      <c r="H109" s="179"/>
      <c r="I109" s="179"/>
      <c r="J109" s="179"/>
      <c r="K109" s="179"/>
      <c r="L109" s="209"/>
      <c r="M109" s="179"/>
      <c r="N109" s="179"/>
      <c r="O109" s="210"/>
      <c r="P109" s="210"/>
    </row>
    <row r="110" ht="15.75" customHeight="1">
      <c r="A110" s="179">
        <v>107.0</v>
      </c>
      <c r="B110" s="169">
        <f>COUNTA(COMPLAIN!$E110)</f>
        <v>0</v>
      </c>
      <c r="C110" s="207"/>
      <c r="D110" s="207"/>
      <c r="E110" s="179"/>
      <c r="F110" s="208"/>
      <c r="G110" s="179"/>
      <c r="H110" s="179"/>
      <c r="I110" s="179"/>
      <c r="J110" s="179"/>
      <c r="K110" s="179"/>
      <c r="L110" s="209"/>
      <c r="M110" s="179"/>
      <c r="N110" s="179"/>
      <c r="O110" s="210"/>
      <c r="P110" s="210"/>
    </row>
    <row r="111" ht="15.75" customHeight="1">
      <c r="A111" s="179">
        <v>108.0</v>
      </c>
      <c r="B111" s="169">
        <f>COUNTA(COMPLAIN!$E111)</f>
        <v>0</v>
      </c>
      <c r="C111" s="207"/>
      <c r="D111" s="207"/>
      <c r="E111" s="179"/>
      <c r="F111" s="208"/>
      <c r="G111" s="179"/>
      <c r="H111" s="179"/>
      <c r="I111" s="179"/>
      <c r="J111" s="179"/>
      <c r="K111" s="179"/>
      <c r="L111" s="209"/>
      <c r="M111" s="179"/>
      <c r="N111" s="179"/>
      <c r="O111" s="210"/>
      <c r="P111" s="210"/>
    </row>
    <row r="112" ht="15.75" customHeight="1">
      <c r="A112" s="179">
        <v>109.0</v>
      </c>
      <c r="B112" s="169">
        <f>COUNTA(COMPLAIN!$E112)</f>
        <v>0</v>
      </c>
      <c r="C112" s="207"/>
      <c r="D112" s="207"/>
      <c r="E112" s="179"/>
      <c r="F112" s="208"/>
      <c r="G112" s="179"/>
      <c r="H112" s="179"/>
      <c r="I112" s="179"/>
      <c r="J112" s="179"/>
      <c r="K112" s="179"/>
      <c r="L112" s="209"/>
      <c r="M112" s="179"/>
      <c r="N112" s="179"/>
      <c r="O112" s="210"/>
      <c r="P112" s="210"/>
    </row>
    <row r="113" ht="15.75" customHeight="1">
      <c r="A113" s="179">
        <v>110.0</v>
      </c>
      <c r="B113" s="169">
        <f>COUNTA(COMPLAIN!$E113)</f>
        <v>0</v>
      </c>
      <c r="C113" s="207"/>
      <c r="D113" s="207"/>
      <c r="E113" s="179"/>
      <c r="F113" s="208"/>
      <c r="G113" s="179"/>
      <c r="H113" s="179"/>
      <c r="I113" s="179"/>
      <c r="J113" s="179"/>
      <c r="K113" s="179"/>
      <c r="L113" s="209"/>
      <c r="M113" s="179"/>
      <c r="N113" s="179"/>
      <c r="O113" s="210"/>
      <c r="P113" s="210"/>
    </row>
    <row r="114" ht="15.75" customHeight="1">
      <c r="A114" s="179">
        <v>111.0</v>
      </c>
      <c r="B114" s="169">
        <f>COUNTA(COMPLAIN!$E114)</f>
        <v>0</v>
      </c>
      <c r="C114" s="207"/>
      <c r="D114" s="207"/>
      <c r="E114" s="179"/>
      <c r="F114" s="208"/>
      <c r="G114" s="179"/>
      <c r="H114" s="179"/>
      <c r="I114" s="179"/>
      <c r="J114" s="179"/>
      <c r="K114" s="179"/>
      <c r="L114" s="209"/>
      <c r="M114" s="179"/>
      <c r="N114" s="179"/>
      <c r="O114" s="210"/>
      <c r="P114" s="210"/>
    </row>
    <row r="115" ht="15.75" customHeight="1">
      <c r="A115" s="179">
        <v>112.0</v>
      </c>
      <c r="B115" s="169">
        <f>COUNTA(COMPLAIN!$E115)</f>
        <v>0</v>
      </c>
      <c r="C115" s="207"/>
      <c r="D115" s="207"/>
      <c r="E115" s="179"/>
      <c r="F115" s="208"/>
      <c r="G115" s="179"/>
      <c r="H115" s="179"/>
      <c r="I115" s="179"/>
      <c r="J115" s="179"/>
      <c r="K115" s="179"/>
      <c r="L115" s="209"/>
      <c r="M115" s="179"/>
      <c r="N115" s="179"/>
      <c r="O115" s="210"/>
      <c r="P115" s="210"/>
    </row>
    <row r="116" ht="15.75" customHeight="1">
      <c r="A116" s="179">
        <v>113.0</v>
      </c>
      <c r="B116" s="169">
        <f>COUNTA(COMPLAIN!$E116)</f>
        <v>0</v>
      </c>
      <c r="C116" s="207"/>
      <c r="D116" s="207"/>
      <c r="E116" s="179"/>
      <c r="F116" s="208"/>
      <c r="G116" s="179"/>
      <c r="H116" s="179"/>
      <c r="I116" s="179"/>
      <c r="J116" s="179"/>
      <c r="K116" s="179"/>
      <c r="L116" s="209"/>
      <c r="M116" s="179"/>
      <c r="N116" s="179"/>
      <c r="O116" s="210"/>
      <c r="P116" s="210"/>
    </row>
    <row r="117" ht="15.75" customHeight="1">
      <c r="A117" s="179">
        <v>114.0</v>
      </c>
      <c r="B117" s="169">
        <f>COUNTA(COMPLAIN!$E117)</f>
        <v>0</v>
      </c>
      <c r="C117" s="207"/>
      <c r="D117" s="207"/>
      <c r="E117" s="179"/>
      <c r="F117" s="208"/>
      <c r="G117" s="179"/>
      <c r="H117" s="179"/>
      <c r="I117" s="179"/>
      <c r="J117" s="179"/>
      <c r="K117" s="179"/>
      <c r="L117" s="209"/>
      <c r="M117" s="179"/>
      <c r="N117" s="179"/>
      <c r="O117" s="210"/>
      <c r="P117" s="210"/>
    </row>
    <row r="118" ht="15.75" customHeight="1">
      <c r="A118" s="179">
        <v>115.0</v>
      </c>
      <c r="B118" s="169">
        <f>COUNTA(COMPLAIN!$E118)</f>
        <v>0</v>
      </c>
      <c r="C118" s="207"/>
      <c r="D118" s="207"/>
      <c r="E118" s="179"/>
      <c r="F118" s="208"/>
      <c r="G118" s="179"/>
      <c r="H118" s="179"/>
      <c r="I118" s="179"/>
      <c r="J118" s="179"/>
      <c r="K118" s="179"/>
      <c r="L118" s="209"/>
      <c r="M118" s="179"/>
      <c r="N118" s="179"/>
      <c r="O118" s="210"/>
      <c r="P118" s="210"/>
    </row>
    <row r="119" ht="15.75" customHeight="1">
      <c r="A119" s="179">
        <v>116.0</v>
      </c>
      <c r="B119" s="169">
        <f>COUNTA(COMPLAIN!$E119)</f>
        <v>0</v>
      </c>
      <c r="C119" s="207"/>
      <c r="D119" s="207"/>
      <c r="E119" s="179"/>
      <c r="F119" s="208"/>
      <c r="G119" s="179"/>
      <c r="H119" s="179"/>
      <c r="I119" s="179"/>
      <c r="J119" s="179"/>
      <c r="K119" s="179"/>
      <c r="L119" s="209"/>
      <c r="M119" s="179"/>
      <c r="N119" s="179"/>
      <c r="O119" s="210"/>
      <c r="P119" s="210"/>
    </row>
    <row r="120" ht="15.75" customHeight="1">
      <c r="A120" s="179">
        <v>117.0</v>
      </c>
      <c r="B120" s="169">
        <f>COUNTA(COMPLAIN!$E120)</f>
        <v>0</v>
      </c>
      <c r="C120" s="207"/>
      <c r="D120" s="207"/>
      <c r="E120" s="179"/>
      <c r="F120" s="208"/>
      <c r="G120" s="179"/>
      <c r="H120" s="179"/>
      <c r="I120" s="179"/>
      <c r="J120" s="179"/>
      <c r="K120" s="179"/>
      <c r="L120" s="209"/>
      <c r="M120" s="179"/>
      <c r="N120" s="179"/>
      <c r="O120" s="210"/>
      <c r="P120" s="210"/>
    </row>
    <row r="121" ht="15.75" customHeight="1">
      <c r="A121" s="179">
        <v>118.0</v>
      </c>
      <c r="B121" s="169">
        <f>COUNTA(COMPLAIN!$E121)</f>
        <v>0</v>
      </c>
      <c r="C121" s="207"/>
      <c r="D121" s="207"/>
      <c r="E121" s="179"/>
      <c r="F121" s="208"/>
      <c r="G121" s="179"/>
      <c r="H121" s="179"/>
      <c r="I121" s="179"/>
      <c r="J121" s="179"/>
      <c r="K121" s="179"/>
      <c r="L121" s="209"/>
      <c r="M121" s="179"/>
      <c r="N121" s="179"/>
      <c r="O121" s="210"/>
      <c r="P121" s="210"/>
    </row>
    <row r="122" ht="15.75" customHeight="1">
      <c r="A122" s="179">
        <v>119.0</v>
      </c>
      <c r="B122" s="169">
        <f>COUNTA(COMPLAIN!$E122)</f>
        <v>0</v>
      </c>
      <c r="C122" s="207"/>
      <c r="D122" s="207"/>
      <c r="E122" s="179"/>
      <c r="F122" s="208"/>
      <c r="G122" s="179"/>
      <c r="H122" s="179"/>
      <c r="I122" s="179"/>
      <c r="J122" s="179"/>
      <c r="K122" s="179"/>
      <c r="L122" s="209"/>
      <c r="M122" s="179"/>
      <c r="N122" s="179"/>
      <c r="O122" s="210"/>
      <c r="P122" s="210"/>
    </row>
    <row r="123" ht="15.75" customHeight="1">
      <c r="A123" s="179">
        <v>120.0</v>
      </c>
      <c r="B123" s="169">
        <f>COUNTA(COMPLAIN!$E123)</f>
        <v>0</v>
      </c>
      <c r="C123" s="207"/>
      <c r="D123" s="207"/>
      <c r="E123" s="179"/>
      <c r="F123" s="208"/>
      <c r="G123" s="179"/>
      <c r="H123" s="179"/>
      <c r="I123" s="179"/>
      <c r="J123" s="179"/>
      <c r="K123" s="179"/>
      <c r="L123" s="209"/>
      <c r="M123" s="179"/>
      <c r="N123" s="179"/>
      <c r="O123" s="210"/>
      <c r="P123" s="210"/>
    </row>
    <row r="124" ht="15.75" customHeight="1">
      <c r="A124" s="179">
        <v>121.0</v>
      </c>
      <c r="B124" s="169">
        <f>COUNTA(COMPLAIN!$E124)</f>
        <v>0</v>
      </c>
      <c r="C124" s="207"/>
      <c r="D124" s="207"/>
      <c r="E124" s="179"/>
      <c r="F124" s="208"/>
      <c r="G124" s="179"/>
      <c r="H124" s="179"/>
      <c r="I124" s="179"/>
      <c r="J124" s="179"/>
      <c r="K124" s="179"/>
      <c r="L124" s="209"/>
      <c r="M124" s="179"/>
      <c r="N124" s="179"/>
      <c r="O124" s="210"/>
      <c r="P124" s="210"/>
    </row>
    <row r="125" ht="15.75" customHeight="1">
      <c r="A125" s="179">
        <v>122.0</v>
      </c>
      <c r="B125" s="169">
        <f>COUNTA(COMPLAIN!$E125)</f>
        <v>0</v>
      </c>
      <c r="C125" s="207"/>
      <c r="D125" s="207"/>
      <c r="E125" s="179"/>
      <c r="F125" s="208"/>
      <c r="G125" s="179"/>
      <c r="H125" s="179"/>
      <c r="I125" s="179"/>
      <c r="J125" s="179"/>
      <c r="K125" s="179"/>
      <c r="L125" s="209"/>
      <c r="M125" s="179"/>
      <c r="N125" s="179"/>
      <c r="O125" s="210"/>
      <c r="P125" s="210"/>
    </row>
    <row r="126" ht="15.75" customHeight="1">
      <c r="A126" s="179">
        <v>123.0</v>
      </c>
      <c r="B126" s="169">
        <f>COUNTA(COMPLAIN!$E126)</f>
        <v>0</v>
      </c>
      <c r="C126" s="207"/>
      <c r="D126" s="207"/>
      <c r="E126" s="179"/>
      <c r="F126" s="208"/>
      <c r="G126" s="179"/>
      <c r="H126" s="179"/>
      <c r="I126" s="179"/>
      <c r="J126" s="179"/>
      <c r="K126" s="179"/>
      <c r="L126" s="209"/>
      <c r="M126" s="179"/>
      <c r="N126" s="179"/>
      <c r="O126" s="210"/>
      <c r="P126" s="210"/>
    </row>
    <row r="127" ht="15.75" customHeight="1">
      <c r="A127" s="179">
        <v>124.0</v>
      </c>
      <c r="B127" s="169">
        <f>COUNTA(COMPLAIN!$E127)</f>
        <v>0</v>
      </c>
      <c r="C127" s="207"/>
      <c r="D127" s="207"/>
      <c r="E127" s="179"/>
      <c r="F127" s="208"/>
      <c r="G127" s="179"/>
      <c r="H127" s="179"/>
      <c r="I127" s="179"/>
      <c r="J127" s="179"/>
      <c r="K127" s="179"/>
      <c r="L127" s="209"/>
      <c r="M127" s="179"/>
      <c r="N127" s="179"/>
      <c r="O127" s="210"/>
      <c r="P127" s="210"/>
    </row>
    <row r="128" ht="15.75" customHeight="1">
      <c r="A128" s="179">
        <v>125.0</v>
      </c>
      <c r="B128" s="169">
        <f>COUNTA(COMPLAIN!$E128)</f>
        <v>0</v>
      </c>
      <c r="C128" s="207"/>
      <c r="D128" s="207"/>
      <c r="E128" s="179"/>
      <c r="F128" s="208"/>
      <c r="G128" s="179"/>
      <c r="H128" s="179"/>
      <c r="I128" s="179"/>
      <c r="J128" s="179"/>
      <c r="K128" s="179"/>
      <c r="L128" s="209"/>
      <c r="M128" s="179"/>
      <c r="N128" s="179"/>
      <c r="O128" s="210"/>
      <c r="P128" s="210"/>
    </row>
    <row r="129" ht="15.75" customHeight="1">
      <c r="A129" s="179">
        <v>126.0</v>
      </c>
      <c r="B129" s="169">
        <f>COUNTA(COMPLAIN!$E129)</f>
        <v>0</v>
      </c>
      <c r="C129" s="207"/>
      <c r="D129" s="207"/>
      <c r="E129" s="179"/>
      <c r="F129" s="208"/>
      <c r="G129" s="179"/>
      <c r="H129" s="179"/>
      <c r="I129" s="179"/>
      <c r="J129" s="179"/>
      <c r="K129" s="179"/>
      <c r="L129" s="209"/>
      <c r="M129" s="179"/>
      <c r="N129" s="179"/>
      <c r="O129" s="210"/>
      <c r="P129" s="210"/>
    </row>
    <row r="130" ht="15.75" customHeight="1">
      <c r="A130" s="179">
        <v>127.0</v>
      </c>
      <c r="B130" s="169">
        <f>COUNTA(COMPLAIN!$E130)</f>
        <v>0</v>
      </c>
      <c r="C130" s="207"/>
      <c r="D130" s="207"/>
      <c r="E130" s="179"/>
      <c r="F130" s="208"/>
      <c r="G130" s="179"/>
      <c r="H130" s="179"/>
      <c r="I130" s="179"/>
      <c r="J130" s="179"/>
      <c r="K130" s="179"/>
      <c r="L130" s="209"/>
      <c r="M130" s="179"/>
      <c r="N130" s="179"/>
      <c r="O130" s="210"/>
      <c r="P130" s="210"/>
    </row>
    <row r="131" ht="15.75" customHeight="1">
      <c r="A131" s="179">
        <v>128.0</v>
      </c>
      <c r="B131" s="169">
        <f>COUNTA(COMPLAIN!$E131)</f>
        <v>0</v>
      </c>
      <c r="C131" s="207"/>
      <c r="D131" s="207"/>
      <c r="E131" s="179"/>
      <c r="F131" s="208"/>
      <c r="G131" s="179"/>
      <c r="H131" s="179"/>
      <c r="I131" s="179"/>
      <c r="J131" s="179"/>
      <c r="K131" s="179"/>
      <c r="L131" s="209"/>
      <c r="M131" s="179"/>
      <c r="N131" s="179"/>
      <c r="O131" s="210"/>
      <c r="P131" s="210"/>
    </row>
    <row r="132" ht="15.75" customHeight="1">
      <c r="A132" s="179">
        <v>129.0</v>
      </c>
      <c r="B132" s="169">
        <f>COUNTA(COMPLAIN!$E132)</f>
        <v>0</v>
      </c>
      <c r="C132" s="207"/>
      <c r="D132" s="207"/>
      <c r="E132" s="179"/>
      <c r="F132" s="208"/>
      <c r="G132" s="179"/>
      <c r="H132" s="179"/>
      <c r="I132" s="179"/>
      <c r="J132" s="179"/>
      <c r="K132" s="179"/>
      <c r="L132" s="209"/>
      <c r="M132" s="179"/>
      <c r="N132" s="179"/>
      <c r="O132" s="210"/>
      <c r="P132" s="210"/>
    </row>
    <row r="133" ht="15.75" customHeight="1">
      <c r="A133" s="179">
        <v>130.0</v>
      </c>
      <c r="B133" s="169">
        <f>COUNTA(COMPLAIN!$E133)</f>
        <v>0</v>
      </c>
      <c r="C133" s="207"/>
      <c r="D133" s="207"/>
      <c r="E133" s="179"/>
      <c r="F133" s="208"/>
      <c r="G133" s="179"/>
      <c r="H133" s="179"/>
      <c r="I133" s="179"/>
      <c r="J133" s="179"/>
      <c r="K133" s="179"/>
      <c r="L133" s="209"/>
      <c r="M133" s="179"/>
      <c r="N133" s="179"/>
      <c r="O133" s="210"/>
      <c r="P133" s="210"/>
    </row>
    <row r="134" ht="15.75" customHeight="1">
      <c r="A134" s="179">
        <v>131.0</v>
      </c>
      <c r="B134" s="169">
        <f>COUNTA(COMPLAIN!$E134)</f>
        <v>0</v>
      </c>
      <c r="C134" s="207"/>
      <c r="D134" s="207"/>
      <c r="E134" s="179"/>
      <c r="F134" s="208"/>
      <c r="G134" s="179"/>
      <c r="H134" s="179"/>
      <c r="I134" s="179"/>
      <c r="J134" s="179"/>
      <c r="K134" s="179"/>
      <c r="L134" s="209"/>
      <c r="M134" s="179"/>
      <c r="N134" s="179"/>
      <c r="O134" s="210"/>
      <c r="P134" s="210"/>
    </row>
    <row r="135" ht="15.75" customHeight="1">
      <c r="A135" s="179">
        <v>132.0</v>
      </c>
      <c r="B135" s="169">
        <f>COUNTA(COMPLAIN!$E135)</f>
        <v>0</v>
      </c>
      <c r="C135" s="207"/>
      <c r="D135" s="207"/>
      <c r="E135" s="179"/>
      <c r="F135" s="208"/>
      <c r="G135" s="179"/>
      <c r="H135" s="179"/>
      <c r="I135" s="179"/>
      <c r="J135" s="179"/>
      <c r="K135" s="179"/>
      <c r="L135" s="209"/>
      <c r="M135" s="179"/>
      <c r="N135" s="179"/>
      <c r="O135" s="210"/>
      <c r="P135" s="210"/>
    </row>
    <row r="136" ht="15.75" customHeight="1">
      <c r="A136" s="179">
        <v>133.0</v>
      </c>
      <c r="B136" s="169">
        <f>COUNTA(COMPLAIN!$E136)</f>
        <v>0</v>
      </c>
      <c r="C136" s="207"/>
      <c r="D136" s="207"/>
      <c r="E136" s="179"/>
      <c r="F136" s="208"/>
      <c r="G136" s="179"/>
      <c r="H136" s="179"/>
      <c r="I136" s="179"/>
      <c r="J136" s="179"/>
      <c r="K136" s="179"/>
      <c r="L136" s="209"/>
      <c r="M136" s="179"/>
      <c r="N136" s="179"/>
      <c r="O136" s="210"/>
      <c r="P136" s="210"/>
    </row>
    <row r="137" ht="15.75" customHeight="1">
      <c r="A137" s="179">
        <v>134.0</v>
      </c>
      <c r="B137" s="169">
        <f>COUNTA(COMPLAIN!$E137)</f>
        <v>0</v>
      </c>
      <c r="C137" s="207"/>
      <c r="D137" s="207"/>
      <c r="E137" s="179"/>
      <c r="F137" s="208"/>
      <c r="G137" s="179"/>
      <c r="H137" s="179"/>
      <c r="I137" s="179"/>
      <c r="J137" s="179"/>
      <c r="K137" s="179"/>
      <c r="L137" s="209"/>
      <c r="M137" s="179"/>
      <c r="N137" s="179"/>
      <c r="O137" s="210"/>
      <c r="P137" s="210"/>
    </row>
    <row r="138" ht="15.75" customHeight="1">
      <c r="A138" s="179">
        <v>135.0</v>
      </c>
      <c r="B138" s="169">
        <f>COUNTA(COMPLAIN!$E138)</f>
        <v>0</v>
      </c>
      <c r="C138" s="207"/>
      <c r="D138" s="207"/>
      <c r="E138" s="179"/>
      <c r="F138" s="208"/>
      <c r="G138" s="179"/>
      <c r="H138" s="179"/>
      <c r="I138" s="179"/>
      <c r="J138" s="179"/>
      <c r="K138" s="179"/>
      <c r="L138" s="209"/>
      <c r="M138" s="179"/>
      <c r="N138" s="179"/>
      <c r="O138" s="210"/>
      <c r="P138" s="210"/>
    </row>
    <row r="139" ht="15.75" customHeight="1">
      <c r="A139" s="179">
        <v>136.0</v>
      </c>
      <c r="B139" s="169">
        <f>COUNTA(COMPLAIN!$E139)</f>
        <v>0</v>
      </c>
      <c r="C139" s="207"/>
      <c r="D139" s="207"/>
      <c r="E139" s="179"/>
      <c r="F139" s="208"/>
      <c r="G139" s="179"/>
      <c r="H139" s="179"/>
      <c r="I139" s="179"/>
      <c r="J139" s="179"/>
      <c r="K139" s="179"/>
      <c r="L139" s="209"/>
      <c r="M139" s="179"/>
      <c r="N139" s="179"/>
      <c r="O139" s="210"/>
      <c r="P139" s="210"/>
    </row>
    <row r="140" ht="15.75" customHeight="1">
      <c r="A140" s="179">
        <v>137.0</v>
      </c>
      <c r="B140" s="169">
        <f>COUNTA(COMPLAIN!$E140)</f>
        <v>0</v>
      </c>
      <c r="C140" s="207"/>
      <c r="D140" s="207"/>
      <c r="E140" s="179"/>
      <c r="F140" s="208"/>
      <c r="G140" s="179"/>
      <c r="H140" s="179"/>
      <c r="I140" s="179"/>
      <c r="J140" s="179"/>
      <c r="K140" s="179"/>
      <c r="L140" s="209"/>
      <c r="M140" s="179"/>
      <c r="N140" s="179"/>
      <c r="O140" s="210"/>
      <c r="P140" s="210"/>
    </row>
    <row r="141" ht="15.75" customHeight="1">
      <c r="A141" s="179">
        <v>138.0</v>
      </c>
      <c r="B141" s="169">
        <f>COUNTA(COMPLAIN!$E141)</f>
        <v>0</v>
      </c>
      <c r="C141" s="207"/>
      <c r="D141" s="207"/>
      <c r="E141" s="179"/>
      <c r="F141" s="208"/>
      <c r="G141" s="179"/>
      <c r="H141" s="179"/>
      <c r="I141" s="179"/>
      <c r="J141" s="179"/>
      <c r="K141" s="179"/>
      <c r="L141" s="209"/>
      <c r="M141" s="179"/>
      <c r="N141" s="179"/>
      <c r="O141" s="210"/>
      <c r="P141" s="210"/>
    </row>
    <row r="142" ht="15.75" customHeight="1">
      <c r="A142" s="179">
        <v>139.0</v>
      </c>
      <c r="B142" s="169">
        <f>COUNTA(COMPLAIN!$E142)</f>
        <v>0</v>
      </c>
      <c r="C142" s="207"/>
      <c r="D142" s="207"/>
      <c r="E142" s="179"/>
      <c r="F142" s="208"/>
      <c r="G142" s="179"/>
      <c r="H142" s="179"/>
      <c r="I142" s="179"/>
      <c r="J142" s="179"/>
      <c r="K142" s="179"/>
      <c r="L142" s="209"/>
      <c r="M142" s="179"/>
      <c r="N142" s="179"/>
      <c r="O142" s="210"/>
      <c r="P142" s="210"/>
    </row>
    <row r="143" ht="15.75" customHeight="1">
      <c r="A143" s="179">
        <v>140.0</v>
      </c>
      <c r="B143" s="169">
        <f>COUNTA(COMPLAIN!$E143)</f>
        <v>0</v>
      </c>
      <c r="C143" s="207"/>
      <c r="D143" s="207"/>
      <c r="E143" s="179"/>
      <c r="F143" s="208"/>
      <c r="G143" s="179"/>
      <c r="H143" s="179"/>
      <c r="I143" s="179"/>
      <c r="J143" s="179"/>
      <c r="K143" s="179"/>
      <c r="L143" s="209"/>
      <c r="M143" s="179"/>
      <c r="N143" s="179"/>
      <c r="O143" s="210"/>
      <c r="P143" s="210"/>
    </row>
    <row r="144" ht="15.75" customHeight="1">
      <c r="A144" s="179">
        <v>141.0</v>
      </c>
      <c r="B144" s="169">
        <f>COUNTA(COMPLAIN!$E144)</f>
        <v>0</v>
      </c>
      <c r="C144" s="207"/>
      <c r="D144" s="207"/>
      <c r="E144" s="179"/>
      <c r="F144" s="208"/>
      <c r="G144" s="179"/>
      <c r="H144" s="179"/>
      <c r="I144" s="179"/>
      <c r="J144" s="179"/>
      <c r="K144" s="179"/>
      <c r="L144" s="209"/>
      <c r="M144" s="179"/>
      <c r="N144" s="179"/>
      <c r="O144" s="210"/>
      <c r="P144" s="210"/>
    </row>
    <row r="145" ht="15.75" customHeight="1">
      <c r="A145" s="179">
        <v>142.0</v>
      </c>
      <c r="B145" s="169">
        <f>COUNTA(COMPLAIN!$E145)</f>
        <v>0</v>
      </c>
      <c r="C145" s="207"/>
      <c r="D145" s="207"/>
      <c r="E145" s="179"/>
      <c r="F145" s="208"/>
      <c r="G145" s="179"/>
      <c r="H145" s="179"/>
      <c r="I145" s="179"/>
      <c r="J145" s="179"/>
      <c r="K145" s="179"/>
      <c r="L145" s="209"/>
      <c r="M145" s="179"/>
      <c r="N145" s="179"/>
      <c r="O145" s="210"/>
      <c r="P145" s="210"/>
    </row>
    <row r="146" ht="15.75" customHeight="1">
      <c r="A146" s="179">
        <v>143.0</v>
      </c>
      <c r="B146" s="169">
        <f>COUNTA(COMPLAIN!$E146)</f>
        <v>0</v>
      </c>
      <c r="C146" s="207"/>
      <c r="D146" s="207"/>
      <c r="E146" s="179"/>
      <c r="F146" s="208"/>
      <c r="G146" s="179"/>
      <c r="H146" s="179"/>
      <c r="I146" s="179"/>
      <c r="J146" s="179"/>
      <c r="K146" s="179"/>
      <c r="L146" s="209"/>
      <c r="M146" s="179"/>
      <c r="N146" s="179"/>
      <c r="O146" s="210"/>
      <c r="P146" s="210"/>
    </row>
    <row r="147" ht="15.75" customHeight="1">
      <c r="A147" s="179">
        <v>144.0</v>
      </c>
      <c r="B147" s="169">
        <f>COUNTA(COMPLAIN!$E147)</f>
        <v>0</v>
      </c>
      <c r="C147" s="207"/>
      <c r="D147" s="207"/>
      <c r="E147" s="179"/>
      <c r="F147" s="208"/>
      <c r="G147" s="179"/>
      <c r="H147" s="179"/>
      <c r="I147" s="179"/>
      <c r="J147" s="179"/>
      <c r="K147" s="179"/>
      <c r="L147" s="209"/>
      <c r="M147" s="179"/>
      <c r="N147" s="179"/>
      <c r="O147" s="210"/>
      <c r="P147" s="210"/>
    </row>
    <row r="148" ht="15.75" customHeight="1">
      <c r="A148" s="179">
        <v>145.0</v>
      </c>
      <c r="B148" s="169">
        <f>COUNTA(COMPLAIN!$E148)</f>
        <v>0</v>
      </c>
      <c r="C148" s="207"/>
      <c r="D148" s="207"/>
      <c r="E148" s="179"/>
      <c r="F148" s="208"/>
      <c r="G148" s="179"/>
      <c r="H148" s="179"/>
      <c r="I148" s="179"/>
      <c r="J148" s="179"/>
      <c r="K148" s="179"/>
      <c r="L148" s="209"/>
      <c r="M148" s="179"/>
      <c r="N148" s="179"/>
      <c r="O148" s="210"/>
      <c r="P148" s="210"/>
    </row>
    <row r="149" ht="15.75" customHeight="1">
      <c r="A149" s="179">
        <v>146.0</v>
      </c>
      <c r="B149" s="169">
        <f>COUNTA(COMPLAIN!$E149)</f>
        <v>0</v>
      </c>
      <c r="C149" s="207"/>
      <c r="D149" s="207"/>
      <c r="E149" s="179"/>
      <c r="F149" s="208"/>
      <c r="G149" s="179"/>
      <c r="H149" s="179"/>
      <c r="I149" s="179"/>
      <c r="J149" s="179"/>
      <c r="K149" s="179"/>
      <c r="L149" s="209"/>
      <c r="M149" s="179"/>
      <c r="N149" s="179"/>
      <c r="O149" s="210"/>
      <c r="P149" s="210"/>
    </row>
    <row r="150" ht="15.75" customHeight="1">
      <c r="A150" s="179">
        <v>147.0</v>
      </c>
      <c r="B150" s="169">
        <f>COUNTA(COMPLAIN!$E150)</f>
        <v>0</v>
      </c>
      <c r="C150" s="207"/>
      <c r="D150" s="207"/>
      <c r="E150" s="179"/>
      <c r="F150" s="208"/>
      <c r="G150" s="179"/>
      <c r="H150" s="179"/>
      <c r="I150" s="179"/>
      <c r="J150" s="179"/>
      <c r="K150" s="179"/>
      <c r="L150" s="209"/>
      <c r="M150" s="179"/>
      <c r="N150" s="179"/>
      <c r="O150" s="210"/>
      <c r="P150" s="210"/>
    </row>
    <row r="151" ht="15.75" customHeight="1">
      <c r="A151" s="179">
        <v>148.0</v>
      </c>
      <c r="B151" s="169">
        <f>COUNTA(COMPLAIN!$E151)</f>
        <v>0</v>
      </c>
      <c r="C151" s="207"/>
      <c r="D151" s="207"/>
      <c r="E151" s="179"/>
      <c r="F151" s="208"/>
      <c r="G151" s="179"/>
      <c r="H151" s="179"/>
      <c r="I151" s="179"/>
      <c r="J151" s="179"/>
      <c r="K151" s="179"/>
      <c r="L151" s="209"/>
      <c r="M151" s="179"/>
      <c r="N151" s="179"/>
      <c r="O151" s="210"/>
      <c r="P151" s="210"/>
    </row>
    <row r="152" ht="15.75" customHeight="1">
      <c r="A152" s="179">
        <v>149.0</v>
      </c>
      <c r="B152" s="169">
        <f>COUNTA(COMPLAIN!$E152)</f>
        <v>0</v>
      </c>
      <c r="C152" s="207"/>
      <c r="D152" s="207"/>
      <c r="E152" s="179"/>
      <c r="F152" s="208"/>
      <c r="G152" s="179"/>
      <c r="H152" s="179"/>
      <c r="I152" s="179"/>
      <c r="J152" s="179"/>
      <c r="K152" s="179"/>
      <c r="L152" s="209"/>
      <c r="M152" s="179"/>
      <c r="N152" s="179"/>
      <c r="O152" s="210"/>
      <c r="P152" s="210"/>
    </row>
    <row r="153" ht="15.75" customHeight="1">
      <c r="A153" s="179">
        <v>150.0</v>
      </c>
      <c r="B153" s="169">
        <f>COUNTA(COMPLAIN!$E153)</f>
        <v>0</v>
      </c>
      <c r="C153" s="207"/>
      <c r="D153" s="207"/>
      <c r="E153" s="179"/>
      <c r="F153" s="208"/>
      <c r="G153" s="179"/>
      <c r="H153" s="179"/>
      <c r="I153" s="179"/>
      <c r="J153" s="179"/>
      <c r="K153" s="179"/>
      <c r="L153" s="209"/>
      <c r="M153" s="179"/>
      <c r="N153" s="179"/>
      <c r="O153" s="210"/>
      <c r="P153" s="210"/>
    </row>
    <row r="154" ht="15.75" customHeight="1">
      <c r="A154" s="179">
        <v>151.0</v>
      </c>
      <c r="B154" s="169">
        <f>COUNTA(COMPLAIN!$E154)</f>
        <v>0</v>
      </c>
      <c r="C154" s="207"/>
      <c r="D154" s="207"/>
      <c r="E154" s="179"/>
      <c r="F154" s="208"/>
      <c r="G154" s="179"/>
      <c r="H154" s="179"/>
      <c r="I154" s="179"/>
      <c r="J154" s="179"/>
      <c r="K154" s="179"/>
      <c r="L154" s="209"/>
      <c r="M154" s="179"/>
      <c r="N154" s="179"/>
      <c r="O154" s="210"/>
      <c r="P154" s="210"/>
    </row>
    <row r="155" ht="15.75" customHeight="1">
      <c r="A155" s="179">
        <v>152.0</v>
      </c>
      <c r="B155" s="169">
        <f>COUNTA(COMPLAIN!$E155)</f>
        <v>0</v>
      </c>
      <c r="C155" s="207"/>
      <c r="D155" s="207"/>
      <c r="E155" s="179"/>
      <c r="F155" s="208"/>
      <c r="G155" s="179"/>
      <c r="H155" s="179"/>
      <c r="I155" s="179"/>
      <c r="J155" s="179"/>
      <c r="K155" s="179"/>
      <c r="L155" s="209"/>
      <c r="M155" s="179"/>
      <c r="N155" s="179"/>
      <c r="O155" s="210"/>
      <c r="P155" s="210"/>
    </row>
    <row r="156" ht="15.75" customHeight="1">
      <c r="A156" s="179">
        <v>153.0</v>
      </c>
      <c r="B156" s="169">
        <f>COUNTA(COMPLAIN!$E156)</f>
        <v>0</v>
      </c>
      <c r="C156" s="207"/>
      <c r="D156" s="207"/>
      <c r="E156" s="179"/>
      <c r="F156" s="208"/>
      <c r="G156" s="179"/>
      <c r="H156" s="179"/>
      <c r="I156" s="179"/>
      <c r="J156" s="179"/>
      <c r="K156" s="179"/>
      <c r="L156" s="209"/>
      <c r="M156" s="179"/>
      <c r="N156" s="179"/>
      <c r="O156" s="210"/>
      <c r="P156" s="210"/>
    </row>
    <row r="157" ht="15.75" customHeight="1">
      <c r="A157" s="179">
        <v>154.0</v>
      </c>
      <c r="B157" s="169">
        <f>COUNTA(COMPLAIN!$E157)</f>
        <v>0</v>
      </c>
      <c r="C157" s="207"/>
      <c r="D157" s="207"/>
      <c r="E157" s="179"/>
      <c r="F157" s="208"/>
      <c r="G157" s="179"/>
      <c r="H157" s="179"/>
      <c r="I157" s="179"/>
      <c r="J157" s="179"/>
      <c r="K157" s="179"/>
      <c r="L157" s="209"/>
      <c r="M157" s="179"/>
      <c r="N157" s="179"/>
      <c r="O157" s="210"/>
      <c r="P157" s="210"/>
    </row>
    <row r="158" ht="15.75" customHeight="1">
      <c r="A158" s="179">
        <v>155.0</v>
      </c>
      <c r="B158" s="169">
        <f>COUNTA(COMPLAIN!$E158)</f>
        <v>0</v>
      </c>
      <c r="C158" s="207"/>
      <c r="D158" s="207"/>
      <c r="E158" s="179"/>
      <c r="F158" s="208"/>
      <c r="G158" s="179"/>
      <c r="H158" s="179"/>
      <c r="I158" s="179"/>
      <c r="J158" s="179"/>
      <c r="K158" s="179"/>
      <c r="L158" s="209"/>
      <c r="M158" s="179"/>
      <c r="N158" s="179"/>
      <c r="O158" s="210"/>
      <c r="P158" s="210"/>
    </row>
    <row r="159" ht="15.75" customHeight="1">
      <c r="A159" s="179">
        <v>156.0</v>
      </c>
      <c r="B159" s="169">
        <f>COUNTA(COMPLAIN!$E159)</f>
        <v>0</v>
      </c>
      <c r="C159" s="207"/>
      <c r="D159" s="207"/>
      <c r="E159" s="179"/>
      <c r="F159" s="208"/>
      <c r="G159" s="179"/>
      <c r="H159" s="179"/>
      <c r="I159" s="179"/>
      <c r="J159" s="179"/>
      <c r="K159" s="179"/>
      <c r="L159" s="209"/>
      <c r="M159" s="179"/>
      <c r="N159" s="179"/>
      <c r="O159" s="210"/>
      <c r="P159" s="210"/>
    </row>
    <row r="160" ht="15.75" customHeight="1">
      <c r="A160" s="179">
        <v>157.0</v>
      </c>
      <c r="B160" s="169">
        <f>COUNTA(COMPLAIN!$E160)</f>
        <v>0</v>
      </c>
      <c r="C160" s="207"/>
      <c r="D160" s="207"/>
      <c r="E160" s="179"/>
      <c r="F160" s="208"/>
      <c r="G160" s="179"/>
      <c r="H160" s="179"/>
      <c r="I160" s="179"/>
      <c r="J160" s="179"/>
      <c r="K160" s="179"/>
      <c r="L160" s="209"/>
      <c r="M160" s="179"/>
      <c r="N160" s="179"/>
      <c r="O160" s="210"/>
      <c r="P160" s="210"/>
    </row>
    <row r="161" ht="15.75" customHeight="1">
      <c r="A161" s="179">
        <v>158.0</v>
      </c>
      <c r="B161" s="169">
        <f>COUNTA(COMPLAIN!$E161)</f>
        <v>0</v>
      </c>
      <c r="C161" s="207"/>
      <c r="D161" s="207"/>
      <c r="E161" s="179"/>
      <c r="F161" s="208"/>
      <c r="G161" s="179"/>
      <c r="H161" s="179"/>
      <c r="I161" s="179"/>
      <c r="J161" s="179"/>
      <c r="K161" s="179"/>
      <c r="L161" s="209"/>
      <c r="M161" s="179"/>
      <c r="N161" s="179"/>
      <c r="O161" s="210"/>
      <c r="P161" s="210"/>
    </row>
    <row r="162" ht="15.75" customHeight="1">
      <c r="A162" s="179">
        <v>159.0</v>
      </c>
      <c r="B162" s="169">
        <f>COUNTA(COMPLAIN!$E162)</f>
        <v>0</v>
      </c>
      <c r="C162" s="207"/>
      <c r="D162" s="207"/>
      <c r="E162" s="179"/>
      <c r="F162" s="208"/>
      <c r="G162" s="179"/>
      <c r="H162" s="179"/>
      <c r="I162" s="179"/>
      <c r="J162" s="179"/>
      <c r="K162" s="179"/>
      <c r="L162" s="209"/>
      <c r="M162" s="179"/>
      <c r="N162" s="179"/>
      <c r="O162" s="210"/>
      <c r="P162" s="210"/>
    </row>
    <row r="163" ht="15.75" customHeight="1">
      <c r="A163" s="179">
        <v>160.0</v>
      </c>
      <c r="B163" s="169">
        <f>COUNTA(COMPLAIN!$E163)</f>
        <v>0</v>
      </c>
      <c r="C163" s="207"/>
      <c r="D163" s="207"/>
      <c r="E163" s="179"/>
      <c r="F163" s="208"/>
      <c r="G163" s="179"/>
      <c r="H163" s="179"/>
      <c r="I163" s="179"/>
      <c r="J163" s="179"/>
      <c r="K163" s="179"/>
      <c r="L163" s="209"/>
      <c r="M163" s="179"/>
      <c r="N163" s="179"/>
      <c r="O163" s="210"/>
      <c r="P163" s="210"/>
    </row>
    <row r="164" ht="15.75" customHeight="1">
      <c r="A164" s="179">
        <v>161.0</v>
      </c>
      <c r="B164" s="169">
        <f>COUNTA(COMPLAIN!$E164)</f>
        <v>0</v>
      </c>
      <c r="C164" s="207"/>
      <c r="D164" s="207"/>
      <c r="E164" s="179"/>
      <c r="F164" s="208"/>
      <c r="G164" s="179"/>
      <c r="H164" s="179"/>
      <c r="I164" s="179"/>
      <c r="J164" s="179"/>
      <c r="K164" s="179"/>
      <c r="L164" s="209"/>
      <c r="M164" s="179"/>
      <c r="N164" s="179"/>
      <c r="O164" s="210"/>
      <c r="P164" s="210"/>
    </row>
    <row r="165" ht="15.75" customHeight="1">
      <c r="A165" s="179">
        <v>162.0</v>
      </c>
      <c r="B165" s="169">
        <f>COUNTA(COMPLAIN!$E165)</f>
        <v>0</v>
      </c>
      <c r="C165" s="207"/>
      <c r="D165" s="207"/>
      <c r="E165" s="179"/>
      <c r="F165" s="208"/>
      <c r="G165" s="179"/>
      <c r="H165" s="179"/>
      <c r="I165" s="179"/>
      <c r="J165" s="179"/>
      <c r="K165" s="179"/>
      <c r="L165" s="209"/>
      <c r="M165" s="179"/>
      <c r="N165" s="179"/>
      <c r="O165" s="210"/>
      <c r="P165" s="210"/>
    </row>
    <row r="166" ht="15.75" customHeight="1">
      <c r="A166" s="179">
        <v>163.0</v>
      </c>
      <c r="B166" s="169">
        <f>COUNTA(COMPLAIN!$E166)</f>
        <v>0</v>
      </c>
      <c r="C166" s="207"/>
      <c r="D166" s="207"/>
      <c r="E166" s="179"/>
      <c r="F166" s="208"/>
      <c r="G166" s="179"/>
      <c r="H166" s="179"/>
      <c r="I166" s="179"/>
      <c r="J166" s="179"/>
      <c r="K166" s="179"/>
      <c r="L166" s="209"/>
      <c r="M166" s="179"/>
      <c r="N166" s="179"/>
      <c r="O166" s="210"/>
      <c r="P166" s="210"/>
    </row>
    <row r="167" ht="15.75" customHeight="1">
      <c r="A167" s="179">
        <v>164.0</v>
      </c>
      <c r="B167" s="169">
        <f>COUNTA(COMPLAIN!$E167)</f>
        <v>0</v>
      </c>
      <c r="C167" s="207"/>
      <c r="D167" s="207"/>
      <c r="E167" s="179"/>
      <c r="F167" s="208"/>
      <c r="G167" s="179"/>
      <c r="H167" s="179"/>
      <c r="I167" s="179"/>
      <c r="J167" s="179"/>
      <c r="K167" s="179"/>
      <c r="L167" s="209"/>
      <c r="M167" s="179"/>
      <c r="N167" s="179"/>
      <c r="O167" s="210"/>
      <c r="P167" s="210"/>
    </row>
    <row r="168" ht="15.75" customHeight="1">
      <c r="A168" s="179">
        <v>165.0</v>
      </c>
      <c r="B168" s="169">
        <f>COUNTA(COMPLAIN!$E168)</f>
        <v>0</v>
      </c>
      <c r="C168" s="207"/>
      <c r="D168" s="207"/>
      <c r="E168" s="179"/>
      <c r="F168" s="208"/>
      <c r="G168" s="179"/>
      <c r="H168" s="179"/>
      <c r="I168" s="179"/>
      <c r="J168" s="179"/>
      <c r="K168" s="179"/>
      <c r="L168" s="209"/>
      <c r="M168" s="179"/>
      <c r="N168" s="179"/>
      <c r="O168" s="210"/>
      <c r="P168" s="210"/>
    </row>
    <row r="169" ht="15.75" customHeight="1">
      <c r="A169" s="179">
        <v>166.0</v>
      </c>
      <c r="B169" s="169">
        <f>COUNTA(COMPLAIN!$E169)</f>
        <v>0</v>
      </c>
      <c r="C169" s="207"/>
      <c r="D169" s="207"/>
      <c r="E169" s="179"/>
      <c r="F169" s="208"/>
      <c r="G169" s="179"/>
      <c r="H169" s="179"/>
      <c r="I169" s="179"/>
      <c r="J169" s="179"/>
      <c r="K169" s="179"/>
      <c r="L169" s="209"/>
      <c r="M169" s="179"/>
      <c r="N169" s="179"/>
      <c r="O169" s="210"/>
      <c r="P169" s="210"/>
    </row>
    <row r="170" ht="15.75" customHeight="1">
      <c r="A170" s="179">
        <v>167.0</v>
      </c>
      <c r="B170" s="169">
        <f>COUNTA(COMPLAIN!$E170)</f>
        <v>0</v>
      </c>
      <c r="C170" s="207"/>
      <c r="D170" s="207"/>
      <c r="E170" s="179"/>
      <c r="F170" s="208"/>
      <c r="G170" s="179"/>
      <c r="H170" s="179"/>
      <c r="I170" s="179"/>
      <c r="J170" s="179"/>
      <c r="K170" s="179"/>
      <c r="L170" s="209"/>
      <c r="M170" s="179"/>
      <c r="N170" s="179"/>
      <c r="O170" s="210"/>
      <c r="P170" s="210"/>
    </row>
    <row r="171" ht="15.75" customHeight="1">
      <c r="A171" s="179">
        <v>168.0</v>
      </c>
      <c r="B171" s="169">
        <f>COUNTA(COMPLAIN!$E171)</f>
        <v>0</v>
      </c>
      <c r="C171" s="207"/>
      <c r="D171" s="207"/>
      <c r="E171" s="179"/>
      <c r="F171" s="208"/>
      <c r="G171" s="179"/>
      <c r="H171" s="179"/>
      <c r="I171" s="179"/>
      <c r="J171" s="179"/>
      <c r="K171" s="179"/>
      <c r="L171" s="209"/>
      <c r="M171" s="179"/>
      <c r="N171" s="179"/>
      <c r="O171" s="210"/>
      <c r="P171" s="210"/>
    </row>
    <row r="172" ht="15.75" customHeight="1">
      <c r="A172" s="179">
        <v>169.0</v>
      </c>
      <c r="B172" s="169">
        <f>COUNTA(COMPLAIN!$E172)</f>
        <v>0</v>
      </c>
      <c r="C172" s="207"/>
      <c r="D172" s="207"/>
      <c r="E172" s="179"/>
      <c r="F172" s="208"/>
      <c r="G172" s="179"/>
      <c r="H172" s="179"/>
      <c r="I172" s="179"/>
      <c r="J172" s="179"/>
      <c r="K172" s="179"/>
      <c r="L172" s="209"/>
      <c r="M172" s="179"/>
      <c r="N172" s="179"/>
      <c r="O172" s="210"/>
      <c r="P172" s="210"/>
    </row>
    <row r="173" ht="15.75" customHeight="1">
      <c r="A173" s="179">
        <v>170.0</v>
      </c>
      <c r="B173" s="169">
        <f>COUNTA(COMPLAIN!$E173)</f>
        <v>0</v>
      </c>
      <c r="C173" s="207"/>
      <c r="D173" s="207"/>
      <c r="E173" s="179"/>
      <c r="F173" s="208"/>
      <c r="G173" s="179"/>
      <c r="H173" s="179"/>
      <c r="I173" s="179"/>
      <c r="J173" s="179"/>
      <c r="K173" s="179"/>
      <c r="L173" s="209"/>
      <c r="M173" s="179"/>
      <c r="N173" s="179"/>
      <c r="O173" s="210"/>
      <c r="P173" s="210"/>
    </row>
    <row r="174" ht="15.75" customHeight="1">
      <c r="A174" s="179">
        <v>171.0</v>
      </c>
      <c r="B174" s="169">
        <f>COUNTA(COMPLAIN!$E174)</f>
        <v>0</v>
      </c>
      <c r="C174" s="207"/>
      <c r="D174" s="207"/>
      <c r="E174" s="179"/>
      <c r="F174" s="208"/>
      <c r="G174" s="179"/>
      <c r="H174" s="179"/>
      <c r="I174" s="179"/>
      <c r="J174" s="179"/>
      <c r="K174" s="179"/>
      <c r="L174" s="209"/>
      <c r="M174" s="179"/>
      <c r="N174" s="179"/>
      <c r="O174" s="210"/>
      <c r="P174" s="210"/>
    </row>
    <row r="175" ht="15.75" customHeight="1">
      <c r="A175" s="179">
        <v>172.0</v>
      </c>
      <c r="B175" s="169">
        <f>COUNTA(COMPLAIN!$E175)</f>
        <v>0</v>
      </c>
      <c r="C175" s="207"/>
      <c r="D175" s="207"/>
      <c r="E175" s="179"/>
      <c r="F175" s="208"/>
      <c r="G175" s="179"/>
      <c r="H175" s="179"/>
      <c r="I175" s="179"/>
      <c r="J175" s="179"/>
      <c r="K175" s="179"/>
      <c r="L175" s="209"/>
      <c r="M175" s="179"/>
      <c r="N175" s="179"/>
      <c r="O175" s="210"/>
      <c r="P175" s="210"/>
    </row>
    <row r="176" ht="15.75" customHeight="1">
      <c r="A176" s="179">
        <v>173.0</v>
      </c>
      <c r="B176" s="169">
        <f>COUNTA(COMPLAIN!$E176)</f>
        <v>0</v>
      </c>
      <c r="C176" s="207"/>
      <c r="D176" s="207"/>
      <c r="E176" s="179"/>
      <c r="F176" s="208"/>
      <c r="G176" s="179"/>
      <c r="H176" s="179"/>
      <c r="I176" s="179"/>
      <c r="J176" s="179"/>
      <c r="K176" s="179"/>
      <c r="L176" s="209"/>
      <c r="M176" s="179"/>
      <c r="N176" s="179"/>
      <c r="O176" s="210"/>
      <c r="P176" s="210"/>
    </row>
    <row r="177" ht="15.75" customHeight="1">
      <c r="A177" s="179">
        <v>174.0</v>
      </c>
      <c r="B177" s="169">
        <f>COUNTA(COMPLAIN!$E177)</f>
        <v>0</v>
      </c>
      <c r="C177" s="207"/>
      <c r="D177" s="207"/>
      <c r="E177" s="179"/>
      <c r="F177" s="208"/>
      <c r="G177" s="179"/>
      <c r="H177" s="179"/>
      <c r="I177" s="179"/>
      <c r="J177" s="179"/>
      <c r="K177" s="179"/>
      <c r="L177" s="209"/>
      <c r="M177" s="179"/>
      <c r="N177" s="179"/>
      <c r="O177" s="210"/>
      <c r="P177" s="210"/>
    </row>
    <row r="178" ht="15.75" customHeight="1">
      <c r="A178" s="179">
        <v>175.0</v>
      </c>
      <c r="B178" s="169">
        <f>COUNTA(COMPLAIN!$E178)</f>
        <v>0</v>
      </c>
      <c r="C178" s="207"/>
      <c r="D178" s="207"/>
      <c r="E178" s="179"/>
      <c r="F178" s="208"/>
      <c r="G178" s="179"/>
      <c r="H178" s="179"/>
      <c r="I178" s="179"/>
      <c r="J178" s="179"/>
      <c r="K178" s="179"/>
      <c r="L178" s="209"/>
      <c r="M178" s="179"/>
      <c r="N178" s="179"/>
      <c r="O178" s="210"/>
      <c r="P178" s="210"/>
    </row>
    <row r="179" ht="15.75" customHeight="1">
      <c r="A179" s="179">
        <v>176.0</v>
      </c>
      <c r="B179" s="169">
        <f>COUNTA(COMPLAIN!$E179)</f>
        <v>0</v>
      </c>
      <c r="C179" s="207"/>
      <c r="D179" s="207"/>
      <c r="E179" s="179"/>
      <c r="F179" s="208"/>
      <c r="G179" s="179"/>
      <c r="H179" s="179"/>
      <c r="I179" s="179"/>
      <c r="J179" s="179"/>
      <c r="K179" s="179"/>
      <c r="L179" s="209"/>
      <c r="M179" s="179"/>
      <c r="N179" s="179"/>
      <c r="O179" s="210"/>
      <c r="P179" s="210"/>
    </row>
    <row r="180" ht="15.75" customHeight="1">
      <c r="A180" s="179">
        <v>177.0</v>
      </c>
      <c r="B180" s="169">
        <f>COUNTA(COMPLAIN!$E180)</f>
        <v>0</v>
      </c>
      <c r="C180" s="207"/>
      <c r="D180" s="207"/>
      <c r="E180" s="179"/>
      <c r="F180" s="208"/>
      <c r="G180" s="179"/>
      <c r="H180" s="179"/>
      <c r="I180" s="179"/>
      <c r="J180" s="179"/>
      <c r="K180" s="179"/>
      <c r="L180" s="209"/>
      <c r="M180" s="179"/>
      <c r="N180" s="179"/>
      <c r="O180" s="210"/>
      <c r="P180" s="210"/>
    </row>
    <row r="181" ht="15.75" customHeight="1">
      <c r="A181" s="179">
        <v>178.0</v>
      </c>
      <c r="B181" s="169">
        <f>COUNTA(COMPLAIN!$E181)</f>
        <v>0</v>
      </c>
      <c r="C181" s="207"/>
      <c r="D181" s="207"/>
      <c r="E181" s="179"/>
      <c r="F181" s="208"/>
      <c r="G181" s="179"/>
      <c r="H181" s="179"/>
      <c r="I181" s="179"/>
      <c r="J181" s="179"/>
      <c r="K181" s="179"/>
      <c r="L181" s="209"/>
      <c r="M181" s="179"/>
      <c r="N181" s="179"/>
      <c r="O181" s="210"/>
      <c r="P181" s="210"/>
    </row>
    <row r="182" ht="15.75" customHeight="1">
      <c r="A182" s="179">
        <v>179.0</v>
      </c>
      <c r="B182" s="169">
        <f>COUNTA(COMPLAIN!$E182)</f>
        <v>0</v>
      </c>
      <c r="C182" s="207"/>
      <c r="D182" s="207"/>
      <c r="E182" s="179"/>
      <c r="F182" s="208"/>
      <c r="G182" s="179"/>
      <c r="H182" s="179"/>
      <c r="I182" s="179"/>
      <c r="J182" s="179"/>
      <c r="K182" s="179"/>
      <c r="L182" s="209"/>
      <c r="M182" s="179"/>
      <c r="N182" s="179"/>
      <c r="O182" s="210"/>
      <c r="P182" s="210"/>
    </row>
    <row r="183" ht="15.75" customHeight="1">
      <c r="A183" s="179">
        <v>180.0</v>
      </c>
      <c r="B183" s="169">
        <f>COUNTA(COMPLAIN!$E183)</f>
        <v>0</v>
      </c>
      <c r="C183" s="207"/>
      <c r="D183" s="207"/>
      <c r="E183" s="179"/>
      <c r="F183" s="208"/>
      <c r="G183" s="179"/>
      <c r="H183" s="179"/>
      <c r="I183" s="179"/>
      <c r="J183" s="179"/>
      <c r="K183" s="179"/>
      <c r="L183" s="209"/>
      <c r="M183" s="179"/>
      <c r="N183" s="179"/>
      <c r="O183" s="210"/>
      <c r="P183" s="210"/>
    </row>
    <row r="184" ht="15.75" customHeight="1">
      <c r="A184" s="179">
        <v>181.0</v>
      </c>
      <c r="B184" s="169">
        <f>COUNTA(COMPLAIN!$E184)</f>
        <v>0</v>
      </c>
      <c r="C184" s="207"/>
      <c r="D184" s="207"/>
      <c r="E184" s="179"/>
      <c r="F184" s="208"/>
      <c r="G184" s="179"/>
      <c r="H184" s="179"/>
      <c r="I184" s="179"/>
      <c r="J184" s="179"/>
      <c r="K184" s="179"/>
      <c r="L184" s="209"/>
      <c r="M184" s="179"/>
      <c r="N184" s="179"/>
      <c r="O184" s="210"/>
      <c r="P184" s="210"/>
    </row>
    <row r="185" ht="15.75" customHeight="1">
      <c r="A185" s="179">
        <v>182.0</v>
      </c>
      <c r="B185" s="169">
        <f>COUNTA(COMPLAIN!$E185)</f>
        <v>0</v>
      </c>
      <c r="C185" s="207"/>
      <c r="D185" s="207"/>
      <c r="E185" s="179"/>
      <c r="F185" s="208"/>
      <c r="G185" s="179"/>
      <c r="H185" s="179"/>
      <c r="I185" s="179"/>
      <c r="J185" s="179"/>
      <c r="K185" s="179"/>
      <c r="L185" s="209"/>
      <c r="M185" s="179"/>
      <c r="N185" s="179"/>
      <c r="O185" s="210"/>
      <c r="P185" s="210"/>
    </row>
    <row r="186" ht="15.75" customHeight="1">
      <c r="A186" s="179">
        <v>183.0</v>
      </c>
      <c r="B186" s="169">
        <f>COUNTA(COMPLAIN!$E186)</f>
        <v>0</v>
      </c>
      <c r="C186" s="207"/>
      <c r="D186" s="207"/>
      <c r="E186" s="179"/>
      <c r="F186" s="208"/>
      <c r="G186" s="179"/>
      <c r="H186" s="179"/>
      <c r="I186" s="179"/>
      <c r="J186" s="179"/>
      <c r="K186" s="179"/>
      <c r="L186" s="209"/>
      <c r="M186" s="179"/>
      <c r="N186" s="179"/>
      <c r="O186" s="210"/>
      <c r="P186" s="210"/>
    </row>
    <row r="187" ht="15.75" customHeight="1">
      <c r="A187" s="179">
        <v>184.0</v>
      </c>
      <c r="B187" s="169">
        <f>COUNTA(COMPLAIN!$E187)</f>
        <v>0</v>
      </c>
      <c r="C187" s="207"/>
      <c r="D187" s="207"/>
      <c r="E187" s="179"/>
      <c r="F187" s="208"/>
      <c r="G187" s="179"/>
      <c r="H187" s="179"/>
      <c r="I187" s="179"/>
      <c r="J187" s="179"/>
      <c r="K187" s="179"/>
      <c r="L187" s="209"/>
      <c r="M187" s="179"/>
      <c r="N187" s="179"/>
      <c r="O187" s="210"/>
      <c r="P187" s="210"/>
    </row>
    <row r="188" ht="15.75" customHeight="1">
      <c r="A188" s="179">
        <v>185.0</v>
      </c>
      <c r="B188" s="169">
        <f>COUNTA(COMPLAIN!$E188)</f>
        <v>0</v>
      </c>
      <c r="C188" s="207"/>
      <c r="D188" s="207"/>
      <c r="E188" s="179"/>
      <c r="F188" s="208"/>
      <c r="G188" s="179"/>
      <c r="H188" s="179"/>
      <c r="I188" s="179"/>
      <c r="J188" s="179"/>
      <c r="K188" s="179"/>
      <c r="L188" s="209"/>
      <c r="M188" s="179"/>
      <c r="N188" s="179"/>
      <c r="O188" s="210"/>
      <c r="P188" s="210"/>
    </row>
    <row r="189" ht="15.75" customHeight="1">
      <c r="A189" s="179">
        <v>186.0</v>
      </c>
      <c r="B189" s="169">
        <f>COUNTA(COMPLAIN!$E189)</f>
        <v>0</v>
      </c>
      <c r="C189" s="207"/>
      <c r="D189" s="207"/>
      <c r="E189" s="179"/>
      <c r="F189" s="208"/>
      <c r="G189" s="179"/>
      <c r="H189" s="179"/>
      <c r="I189" s="179"/>
      <c r="J189" s="179"/>
      <c r="K189" s="179"/>
      <c r="L189" s="209"/>
      <c r="M189" s="179"/>
      <c r="N189" s="179"/>
      <c r="O189" s="210"/>
      <c r="P189" s="210"/>
    </row>
    <row r="190" ht="15.75" customHeight="1">
      <c r="A190" s="179">
        <v>187.0</v>
      </c>
      <c r="B190" s="169">
        <f>COUNTA(COMPLAIN!$E190)</f>
        <v>0</v>
      </c>
      <c r="C190" s="207"/>
      <c r="D190" s="207"/>
      <c r="E190" s="179"/>
      <c r="F190" s="208"/>
      <c r="G190" s="179"/>
      <c r="H190" s="179"/>
      <c r="I190" s="179"/>
      <c r="J190" s="179"/>
      <c r="K190" s="179"/>
      <c r="L190" s="209"/>
      <c r="M190" s="179"/>
      <c r="N190" s="179"/>
      <c r="O190" s="210"/>
      <c r="P190" s="210"/>
    </row>
    <row r="191" ht="15.75" customHeight="1">
      <c r="A191" s="179">
        <v>188.0</v>
      </c>
      <c r="B191" s="169">
        <f>COUNTA(COMPLAIN!$E191)</f>
        <v>0</v>
      </c>
      <c r="C191" s="207"/>
      <c r="D191" s="207"/>
      <c r="E191" s="179"/>
      <c r="F191" s="208"/>
      <c r="G191" s="179"/>
      <c r="H191" s="179"/>
      <c r="I191" s="179"/>
      <c r="J191" s="179"/>
      <c r="K191" s="179"/>
      <c r="L191" s="209"/>
      <c r="M191" s="179"/>
      <c r="N191" s="179"/>
      <c r="O191" s="210"/>
      <c r="P191" s="210"/>
    </row>
    <row r="192" ht="15.75" customHeight="1">
      <c r="A192" s="179">
        <v>189.0</v>
      </c>
      <c r="B192" s="169">
        <f>COUNTA(COMPLAIN!$E192)</f>
        <v>0</v>
      </c>
      <c r="C192" s="207"/>
      <c r="D192" s="207"/>
      <c r="E192" s="179"/>
      <c r="F192" s="208"/>
      <c r="G192" s="179"/>
      <c r="H192" s="179"/>
      <c r="I192" s="179"/>
      <c r="J192" s="179"/>
      <c r="K192" s="179"/>
      <c r="L192" s="209"/>
      <c r="M192" s="179"/>
      <c r="N192" s="179"/>
      <c r="O192" s="210"/>
      <c r="P192" s="210"/>
    </row>
    <row r="193" ht="15.75" customHeight="1">
      <c r="A193" s="179">
        <v>190.0</v>
      </c>
      <c r="B193" s="169">
        <f>COUNTA(COMPLAIN!$E193)</f>
        <v>0</v>
      </c>
      <c r="C193" s="207"/>
      <c r="D193" s="207"/>
      <c r="E193" s="179"/>
      <c r="F193" s="208"/>
      <c r="G193" s="179"/>
      <c r="H193" s="179"/>
      <c r="I193" s="179"/>
      <c r="J193" s="179"/>
      <c r="K193" s="179"/>
      <c r="L193" s="209"/>
      <c r="M193" s="179"/>
      <c r="N193" s="179"/>
      <c r="O193" s="210"/>
      <c r="P193" s="210"/>
    </row>
    <row r="194" ht="15.75" customHeight="1">
      <c r="A194" s="179">
        <v>191.0</v>
      </c>
      <c r="B194" s="169">
        <f>COUNTA(COMPLAIN!$E194)</f>
        <v>0</v>
      </c>
      <c r="C194" s="207"/>
      <c r="D194" s="207"/>
      <c r="E194" s="179"/>
      <c r="F194" s="208"/>
      <c r="G194" s="179"/>
      <c r="H194" s="179"/>
      <c r="I194" s="179"/>
      <c r="J194" s="179"/>
      <c r="K194" s="179"/>
      <c r="L194" s="209"/>
      <c r="M194" s="179"/>
      <c r="N194" s="179"/>
      <c r="O194" s="210"/>
      <c r="P194" s="210"/>
    </row>
    <row r="195" ht="15.75" customHeight="1">
      <c r="A195" s="179">
        <v>192.0</v>
      </c>
      <c r="B195" s="169">
        <f>COUNTA(COMPLAIN!$E195)</f>
        <v>0</v>
      </c>
      <c r="C195" s="207"/>
      <c r="D195" s="207"/>
      <c r="E195" s="179"/>
      <c r="F195" s="208"/>
      <c r="G195" s="179"/>
      <c r="H195" s="179"/>
      <c r="I195" s="179"/>
      <c r="J195" s="179"/>
      <c r="K195" s="179"/>
      <c r="L195" s="209"/>
      <c r="M195" s="179"/>
      <c r="N195" s="179"/>
      <c r="O195" s="210"/>
      <c r="P195" s="210"/>
    </row>
    <row r="196" ht="15.75" customHeight="1">
      <c r="A196" s="179">
        <v>193.0</v>
      </c>
      <c r="B196" s="169">
        <f>COUNTA(COMPLAIN!$E196)</f>
        <v>0</v>
      </c>
      <c r="C196" s="207"/>
      <c r="D196" s="207"/>
      <c r="E196" s="179"/>
      <c r="F196" s="208"/>
      <c r="G196" s="179"/>
      <c r="H196" s="179"/>
      <c r="I196" s="179"/>
      <c r="J196" s="179"/>
      <c r="K196" s="179"/>
      <c r="L196" s="209"/>
      <c r="M196" s="179"/>
      <c r="N196" s="179"/>
      <c r="O196" s="210"/>
      <c r="P196" s="210"/>
    </row>
    <row r="197" ht="15.75" customHeight="1">
      <c r="A197" s="179">
        <v>194.0</v>
      </c>
      <c r="B197" s="169">
        <f>COUNTA(COMPLAIN!$E197)</f>
        <v>0</v>
      </c>
      <c r="C197" s="207"/>
      <c r="D197" s="207"/>
      <c r="E197" s="179"/>
      <c r="F197" s="208"/>
      <c r="G197" s="179"/>
      <c r="H197" s="179"/>
      <c r="I197" s="179"/>
      <c r="J197" s="179"/>
      <c r="K197" s="179"/>
      <c r="L197" s="209"/>
      <c r="M197" s="179"/>
      <c r="N197" s="179"/>
      <c r="O197" s="210"/>
      <c r="P197" s="210"/>
    </row>
    <row r="198" ht="15.75" customHeight="1">
      <c r="A198" s="179">
        <v>195.0</v>
      </c>
      <c r="B198" s="169">
        <f>COUNTA(COMPLAIN!$E198)</f>
        <v>0</v>
      </c>
      <c r="C198" s="207"/>
      <c r="D198" s="207"/>
      <c r="E198" s="179"/>
      <c r="F198" s="208"/>
      <c r="G198" s="179"/>
      <c r="H198" s="179"/>
      <c r="I198" s="179"/>
      <c r="J198" s="179"/>
      <c r="K198" s="179"/>
      <c r="L198" s="209"/>
      <c r="M198" s="179"/>
      <c r="N198" s="179"/>
      <c r="O198" s="210"/>
      <c r="P198" s="210"/>
    </row>
    <row r="199" ht="15.75" customHeight="1">
      <c r="A199" s="179">
        <v>196.0</v>
      </c>
      <c r="B199" s="169">
        <f>COUNTA(COMPLAIN!$E199)</f>
        <v>0</v>
      </c>
      <c r="C199" s="207"/>
      <c r="D199" s="207"/>
      <c r="E199" s="179"/>
      <c r="F199" s="208"/>
      <c r="G199" s="179"/>
      <c r="H199" s="179"/>
      <c r="I199" s="179"/>
      <c r="J199" s="179"/>
      <c r="K199" s="179"/>
      <c r="L199" s="209"/>
      <c r="M199" s="179"/>
      <c r="N199" s="179"/>
      <c r="O199" s="210"/>
      <c r="P199" s="210"/>
    </row>
    <row r="200" ht="15.75" customHeight="1">
      <c r="A200" s="179">
        <v>197.0</v>
      </c>
      <c r="B200" s="169">
        <f>COUNTA(COMPLAIN!$E200)</f>
        <v>0</v>
      </c>
      <c r="C200" s="207"/>
      <c r="D200" s="207"/>
      <c r="E200" s="179"/>
      <c r="F200" s="208"/>
      <c r="G200" s="179"/>
      <c r="H200" s="179"/>
      <c r="I200" s="179"/>
      <c r="J200" s="179"/>
      <c r="K200" s="179"/>
      <c r="L200" s="209"/>
      <c r="M200" s="179"/>
      <c r="N200" s="179"/>
      <c r="O200" s="210"/>
      <c r="P200" s="210"/>
    </row>
    <row r="201" ht="15.75" customHeight="1">
      <c r="A201" s="179">
        <v>198.0</v>
      </c>
      <c r="B201" s="169">
        <f>COUNTA(COMPLAIN!$E201)</f>
        <v>0</v>
      </c>
      <c r="C201" s="207"/>
      <c r="D201" s="207"/>
      <c r="E201" s="179"/>
      <c r="F201" s="208"/>
      <c r="G201" s="179"/>
      <c r="H201" s="179"/>
      <c r="I201" s="179"/>
      <c r="J201" s="179"/>
      <c r="K201" s="179"/>
      <c r="L201" s="209"/>
      <c r="M201" s="179"/>
      <c r="N201" s="179"/>
      <c r="O201" s="210"/>
      <c r="P201" s="210"/>
    </row>
    <row r="202" ht="15.75" customHeight="1">
      <c r="A202" s="179">
        <v>199.0</v>
      </c>
      <c r="B202" s="169">
        <f>COUNTA(COMPLAIN!$E202)</f>
        <v>0</v>
      </c>
      <c r="C202" s="207"/>
      <c r="D202" s="207"/>
      <c r="E202" s="179"/>
      <c r="F202" s="208"/>
      <c r="G202" s="179"/>
      <c r="H202" s="179"/>
      <c r="I202" s="179"/>
      <c r="J202" s="179"/>
      <c r="K202" s="179"/>
      <c r="L202" s="209"/>
      <c r="M202" s="179"/>
      <c r="N202" s="179"/>
      <c r="O202" s="210"/>
      <c r="P202" s="210"/>
    </row>
    <row r="203" ht="15.75" customHeight="1">
      <c r="A203" s="179">
        <v>200.0</v>
      </c>
      <c r="B203" s="169">
        <f>COUNTA(COMPLAIN!$E203)</f>
        <v>0</v>
      </c>
      <c r="C203" s="207"/>
      <c r="D203" s="207"/>
      <c r="E203" s="179"/>
      <c r="F203" s="208"/>
      <c r="G203" s="179"/>
      <c r="H203" s="179"/>
      <c r="I203" s="179"/>
      <c r="J203" s="179"/>
      <c r="K203" s="179"/>
      <c r="L203" s="209"/>
      <c r="M203" s="179"/>
      <c r="N203" s="179"/>
      <c r="O203" s="210"/>
      <c r="P203" s="210"/>
    </row>
    <row r="204" ht="15.75" customHeight="1">
      <c r="A204" s="179">
        <v>201.0</v>
      </c>
      <c r="B204" s="169">
        <f>COUNTA(COMPLAIN!$E204)</f>
        <v>0</v>
      </c>
      <c r="C204" s="207"/>
      <c r="D204" s="207"/>
      <c r="E204" s="179"/>
      <c r="F204" s="208"/>
      <c r="G204" s="179"/>
      <c r="H204" s="179"/>
      <c r="I204" s="179"/>
      <c r="J204" s="179"/>
      <c r="K204" s="179"/>
      <c r="L204" s="209"/>
      <c r="M204" s="179"/>
      <c r="N204" s="179"/>
      <c r="O204" s="210"/>
      <c r="P204" s="210"/>
    </row>
    <row r="205" ht="15.75" customHeight="1">
      <c r="A205" s="179">
        <v>202.0</v>
      </c>
      <c r="B205" s="169">
        <f>COUNTA(COMPLAIN!$E205)</f>
        <v>0</v>
      </c>
      <c r="C205" s="207"/>
      <c r="D205" s="207"/>
      <c r="E205" s="179"/>
      <c r="F205" s="208"/>
      <c r="G205" s="179"/>
      <c r="H205" s="179"/>
      <c r="I205" s="179"/>
      <c r="J205" s="179"/>
      <c r="K205" s="179"/>
      <c r="L205" s="209"/>
      <c r="M205" s="179"/>
      <c r="N205" s="179"/>
      <c r="O205" s="210"/>
      <c r="P205" s="210"/>
    </row>
    <row r="206" ht="15.75" customHeight="1">
      <c r="A206" s="179">
        <v>203.0</v>
      </c>
      <c r="B206" s="169">
        <f>COUNTA(COMPLAIN!$E206)</f>
        <v>0</v>
      </c>
      <c r="C206" s="207"/>
      <c r="D206" s="207"/>
      <c r="E206" s="179"/>
      <c r="F206" s="208"/>
      <c r="G206" s="179"/>
      <c r="H206" s="179"/>
      <c r="I206" s="179"/>
      <c r="J206" s="179"/>
      <c r="K206" s="179"/>
      <c r="L206" s="209"/>
      <c r="M206" s="179"/>
      <c r="N206" s="179"/>
      <c r="O206" s="210"/>
      <c r="P206" s="210"/>
    </row>
    <row r="207" ht="15.75" customHeight="1">
      <c r="A207" s="179">
        <v>204.0</v>
      </c>
      <c r="B207" s="169">
        <f>COUNTA(COMPLAIN!$E207)</f>
        <v>0</v>
      </c>
      <c r="C207" s="207"/>
      <c r="D207" s="207"/>
      <c r="E207" s="179"/>
      <c r="F207" s="208"/>
      <c r="G207" s="179"/>
      <c r="H207" s="179"/>
      <c r="I207" s="179"/>
      <c r="J207" s="179"/>
      <c r="K207" s="179"/>
      <c r="L207" s="209"/>
      <c r="M207" s="179"/>
      <c r="N207" s="179"/>
      <c r="O207" s="210"/>
      <c r="P207" s="210"/>
    </row>
    <row r="208" ht="15.75" customHeight="1">
      <c r="A208" s="179">
        <v>205.0</v>
      </c>
      <c r="B208" s="169">
        <f>COUNTA(COMPLAIN!$E208)</f>
        <v>0</v>
      </c>
      <c r="C208" s="207"/>
      <c r="D208" s="207"/>
      <c r="E208" s="179"/>
      <c r="F208" s="208"/>
      <c r="G208" s="179"/>
      <c r="H208" s="179"/>
      <c r="I208" s="179"/>
      <c r="J208" s="179"/>
      <c r="K208" s="179"/>
      <c r="L208" s="209"/>
      <c r="M208" s="179"/>
      <c r="N208" s="179"/>
      <c r="O208" s="210"/>
      <c r="P208" s="210"/>
    </row>
    <row r="209" ht="15.75" customHeight="1">
      <c r="A209" s="179">
        <v>206.0</v>
      </c>
      <c r="B209" s="169">
        <f>COUNTA(COMPLAIN!$E209)</f>
        <v>0</v>
      </c>
      <c r="C209" s="207"/>
      <c r="D209" s="207"/>
      <c r="E209" s="179"/>
      <c r="F209" s="208"/>
      <c r="G209" s="179"/>
      <c r="H209" s="179"/>
      <c r="I209" s="179"/>
      <c r="J209" s="179"/>
      <c r="K209" s="179"/>
      <c r="L209" s="209"/>
      <c r="M209" s="179"/>
      <c r="N209" s="179"/>
      <c r="O209" s="210"/>
      <c r="P209" s="210"/>
    </row>
    <row r="210" ht="15.75" customHeight="1">
      <c r="A210" s="179">
        <v>207.0</v>
      </c>
      <c r="B210" s="169">
        <f>COUNTA(COMPLAIN!$E210)</f>
        <v>0</v>
      </c>
      <c r="C210" s="207"/>
      <c r="D210" s="207"/>
      <c r="E210" s="179"/>
      <c r="F210" s="208"/>
      <c r="G210" s="179"/>
      <c r="H210" s="179"/>
      <c r="I210" s="179"/>
      <c r="J210" s="179"/>
      <c r="K210" s="179"/>
      <c r="L210" s="209"/>
      <c r="M210" s="179"/>
      <c r="N210" s="179"/>
      <c r="O210" s="210"/>
      <c r="P210" s="210"/>
    </row>
    <row r="211" ht="15.75" customHeight="1">
      <c r="A211" s="179">
        <v>208.0</v>
      </c>
      <c r="B211" s="169">
        <f>COUNTA(COMPLAIN!$E211)</f>
        <v>0</v>
      </c>
      <c r="C211" s="207"/>
      <c r="D211" s="207"/>
      <c r="E211" s="179"/>
      <c r="F211" s="208"/>
      <c r="G211" s="179"/>
      <c r="H211" s="179"/>
      <c r="I211" s="179"/>
      <c r="J211" s="179"/>
      <c r="K211" s="179"/>
      <c r="L211" s="209"/>
      <c r="M211" s="179"/>
      <c r="N211" s="179"/>
      <c r="O211" s="210"/>
      <c r="P211" s="210"/>
    </row>
    <row r="212" ht="15.75" customHeight="1">
      <c r="A212" s="179">
        <v>209.0</v>
      </c>
      <c r="B212" s="169">
        <f>COUNTA(COMPLAIN!$E212)</f>
        <v>0</v>
      </c>
      <c r="C212" s="207"/>
      <c r="D212" s="207"/>
      <c r="E212" s="179"/>
      <c r="F212" s="208"/>
      <c r="G212" s="179"/>
      <c r="H212" s="179"/>
      <c r="I212" s="179"/>
      <c r="J212" s="179"/>
      <c r="K212" s="179"/>
      <c r="L212" s="209"/>
      <c r="M212" s="179"/>
      <c r="N212" s="179"/>
      <c r="O212" s="210"/>
      <c r="P212" s="210"/>
    </row>
    <row r="213" ht="15.75" customHeight="1">
      <c r="A213" s="179">
        <v>210.0</v>
      </c>
      <c r="B213" s="169">
        <f>COUNTA(COMPLAIN!$E213)</f>
        <v>0</v>
      </c>
      <c r="C213" s="207"/>
      <c r="D213" s="211"/>
      <c r="E213" s="210"/>
      <c r="F213" s="208"/>
      <c r="G213" s="179"/>
      <c r="H213" s="179"/>
      <c r="I213" s="179"/>
      <c r="J213" s="210"/>
      <c r="K213" s="210"/>
      <c r="L213" s="209"/>
      <c r="M213" s="179"/>
      <c r="N213" s="179"/>
      <c r="O213" s="210"/>
      <c r="P213" s="210"/>
    </row>
    <row r="214" ht="15.75" customHeight="1">
      <c r="A214" s="179">
        <v>211.0</v>
      </c>
      <c r="B214" s="169">
        <f>COUNTA(COMPLAIN!$E214)</f>
        <v>0</v>
      </c>
      <c r="C214" s="207"/>
      <c r="D214" s="211"/>
      <c r="E214" s="210"/>
      <c r="F214" s="208"/>
      <c r="G214" s="179"/>
      <c r="H214" s="179"/>
      <c r="I214" s="179"/>
      <c r="J214" s="210"/>
      <c r="K214" s="210"/>
      <c r="L214" s="209"/>
      <c r="M214" s="179"/>
      <c r="N214" s="179"/>
      <c r="O214" s="210"/>
      <c r="P214" s="210"/>
    </row>
    <row r="215" ht="15.75" customHeight="1">
      <c r="A215" s="179">
        <v>212.0</v>
      </c>
      <c r="B215" s="169">
        <f>COUNTA(COMPLAIN!$E215)</f>
        <v>0</v>
      </c>
      <c r="C215" s="207"/>
      <c r="D215" s="211"/>
      <c r="E215" s="210"/>
      <c r="F215" s="208"/>
      <c r="G215" s="179"/>
      <c r="H215" s="179"/>
      <c r="I215" s="179"/>
      <c r="J215" s="210"/>
      <c r="K215" s="210"/>
      <c r="L215" s="209"/>
      <c r="M215" s="179"/>
      <c r="N215" s="179"/>
      <c r="O215" s="210"/>
      <c r="P215" s="210"/>
    </row>
    <row r="216" ht="15.75" customHeight="1">
      <c r="A216" s="179">
        <v>213.0</v>
      </c>
      <c r="B216" s="169">
        <f>COUNTA(COMPLAIN!$E216)</f>
        <v>0</v>
      </c>
      <c r="C216" s="207"/>
      <c r="D216" s="211"/>
      <c r="E216" s="210"/>
      <c r="F216" s="208"/>
      <c r="G216" s="179"/>
      <c r="H216" s="179"/>
      <c r="I216" s="179"/>
      <c r="J216" s="210"/>
      <c r="K216" s="210"/>
      <c r="L216" s="209"/>
      <c r="M216" s="179"/>
      <c r="N216" s="179"/>
      <c r="O216" s="210"/>
      <c r="P216" s="210"/>
    </row>
    <row r="217" ht="15.75" customHeight="1">
      <c r="A217" s="179">
        <v>214.0</v>
      </c>
      <c r="B217" s="169">
        <f>COUNTA(COMPLAIN!$E217)</f>
        <v>0</v>
      </c>
      <c r="C217" s="207"/>
      <c r="D217" s="211"/>
      <c r="E217" s="210"/>
      <c r="F217" s="208"/>
      <c r="G217" s="179"/>
      <c r="H217" s="179"/>
      <c r="I217" s="179"/>
      <c r="J217" s="210"/>
      <c r="K217" s="210"/>
      <c r="L217" s="209"/>
      <c r="M217" s="179"/>
      <c r="N217" s="179"/>
      <c r="O217" s="210"/>
      <c r="P217" s="210"/>
    </row>
    <row r="218" ht="15.75" customHeight="1">
      <c r="A218" s="179">
        <v>215.0</v>
      </c>
      <c r="B218" s="169">
        <f>COUNTA(COMPLAIN!$E218)</f>
        <v>0</v>
      </c>
      <c r="C218" s="207"/>
      <c r="D218" s="211"/>
      <c r="E218" s="210"/>
      <c r="F218" s="208"/>
      <c r="G218" s="179"/>
      <c r="H218" s="179"/>
      <c r="I218" s="179"/>
      <c r="J218" s="210"/>
      <c r="K218" s="210"/>
      <c r="L218" s="209"/>
      <c r="M218" s="179"/>
      <c r="N218" s="179"/>
      <c r="O218" s="210"/>
      <c r="P218" s="210"/>
    </row>
    <row r="219" ht="15.75" customHeight="1">
      <c r="A219" s="179">
        <v>216.0</v>
      </c>
      <c r="B219" s="169">
        <f>COUNTA(COMPLAIN!$E219)</f>
        <v>0</v>
      </c>
      <c r="C219" s="207"/>
      <c r="D219" s="211"/>
      <c r="E219" s="210"/>
      <c r="F219" s="208"/>
      <c r="G219" s="179"/>
      <c r="H219" s="179"/>
      <c r="I219" s="179"/>
      <c r="J219" s="210"/>
      <c r="K219" s="210"/>
      <c r="L219" s="209"/>
      <c r="M219" s="179"/>
      <c r="N219" s="179"/>
      <c r="O219" s="210"/>
      <c r="P219" s="210"/>
    </row>
    <row r="220" ht="15.75" customHeight="1">
      <c r="A220" s="179">
        <v>217.0</v>
      </c>
      <c r="B220" s="169">
        <f>COUNTA(COMPLAIN!$E220)</f>
        <v>0</v>
      </c>
      <c r="C220" s="207"/>
      <c r="D220" s="211"/>
      <c r="E220" s="210"/>
      <c r="F220" s="208"/>
      <c r="G220" s="179"/>
      <c r="H220" s="179"/>
      <c r="I220" s="179"/>
      <c r="J220" s="210"/>
      <c r="K220" s="210"/>
      <c r="L220" s="209"/>
      <c r="M220" s="179"/>
      <c r="N220" s="179"/>
      <c r="O220" s="210"/>
      <c r="P220" s="210"/>
    </row>
    <row r="221" ht="15.75" customHeight="1">
      <c r="A221" s="179">
        <v>218.0</v>
      </c>
      <c r="B221" s="169">
        <f>COUNTA(COMPLAIN!$E221)</f>
        <v>0</v>
      </c>
      <c r="C221" s="207"/>
      <c r="D221" s="211"/>
      <c r="E221" s="210"/>
      <c r="F221" s="208"/>
      <c r="G221" s="179"/>
      <c r="H221" s="179"/>
      <c r="I221" s="179"/>
      <c r="J221" s="210"/>
      <c r="K221" s="210"/>
      <c r="L221" s="209"/>
      <c r="M221" s="179"/>
      <c r="N221" s="179"/>
      <c r="O221" s="210"/>
      <c r="P221" s="210"/>
    </row>
    <row r="222" ht="15.75" customHeight="1">
      <c r="A222" s="179">
        <v>219.0</v>
      </c>
      <c r="B222" s="169">
        <f>COUNTA(COMPLAIN!$E222)</f>
        <v>0</v>
      </c>
      <c r="C222" s="207"/>
      <c r="D222" s="211"/>
      <c r="E222" s="210"/>
      <c r="F222" s="208"/>
      <c r="G222" s="179"/>
      <c r="H222" s="179"/>
      <c r="I222" s="179"/>
      <c r="J222" s="210"/>
      <c r="K222" s="210"/>
      <c r="L222" s="209"/>
      <c r="M222" s="179"/>
      <c r="N222" s="179"/>
      <c r="O222" s="210"/>
      <c r="P222" s="210"/>
    </row>
    <row r="223" ht="15.75" customHeight="1">
      <c r="A223" s="179">
        <v>220.0</v>
      </c>
      <c r="B223" s="169">
        <f>COUNTA(COMPLAIN!$E223)</f>
        <v>0</v>
      </c>
      <c r="C223" s="207"/>
      <c r="D223" s="211"/>
      <c r="E223" s="210"/>
      <c r="F223" s="208"/>
      <c r="G223" s="179"/>
      <c r="H223" s="179"/>
      <c r="I223" s="179"/>
      <c r="J223" s="210"/>
      <c r="K223" s="210"/>
      <c r="L223" s="209"/>
      <c r="M223" s="179"/>
      <c r="N223" s="179"/>
      <c r="O223" s="210"/>
      <c r="P223" s="210"/>
    </row>
    <row r="224" ht="15.75" customHeight="1">
      <c r="A224" s="179">
        <v>221.0</v>
      </c>
      <c r="B224" s="169">
        <f>COUNTA(COMPLAIN!$E224)</f>
        <v>0</v>
      </c>
      <c r="C224" s="207"/>
      <c r="D224" s="211"/>
      <c r="E224" s="210"/>
      <c r="F224" s="208"/>
      <c r="G224" s="179"/>
      <c r="H224" s="179"/>
      <c r="I224" s="179"/>
      <c r="J224" s="210"/>
      <c r="K224" s="210"/>
      <c r="L224" s="209"/>
      <c r="M224" s="179"/>
      <c r="N224" s="179"/>
      <c r="O224" s="210"/>
      <c r="P224" s="210"/>
    </row>
    <row r="225" ht="15.75" customHeight="1">
      <c r="A225" s="179">
        <v>222.0</v>
      </c>
      <c r="B225" s="169">
        <f>COUNTA(COMPLAIN!$E225)</f>
        <v>0</v>
      </c>
      <c r="C225" s="207"/>
      <c r="D225" s="211"/>
      <c r="E225" s="210"/>
      <c r="F225" s="208"/>
      <c r="G225" s="179"/>
      <c r="H225" s="179"/>
      <c r="I225" s="179"/>
      <c r="J225" s="210"/>
      <c r="K225" s="210"/>
      <c r="L225" s="209"/>
      <c r="M225" s="179"/>
      <c r="N225" s="179"/>
      <c r="O225" s="210"/>
      <c r="P225" s="210"/>
    </row>
    <row r="226" ht="15.75" customHeight="1">
      <c r="A226" s="179">
        <v>223.0</v>
      </c>
      <c r="B226" s="169">
        <f>COUNTA(COMPLAIN!$E226)</f>
        <v>0</v>
      </c>
      <c r="C226" s="207"/>
      <c r="D226" s="211"/>
      <c r="E226" s="210"/>
      <c r="F226" s="208"/>
      <c r="G226" s="179"/>
      <c r="H226" s="179"/>
      <c r="I226" s="179"/>
      <c r="J226" s="210"/>
      <c r="K226" s="210"/>
      <c r="L226" s="209"/>
      <c r="M226" s="179"/>
      <c r="N226" s="179"/>
      <c r="O226" s="210"/>
      <c r="P226" s="210"/>
    </row>
    <row r="227" ht="15.75" customHeight="1">
      <c r="A227" s="179">
        <v>224.0</v>
      </c>
      <c r="B227" s="169">
        <f>COUNTA(COMPLAIN!$E227)</f>
        <v>0</v>
      </c>
      <c r="C227" s="207"/>
      <c r="D227" s="211"/>
      <c r="E227" s="210"/>
      <c r="F227" s="208"/>
      <c r="G227" s="179"/>
      <c r="H227" s="179"/>
      <c r="I227" s="179"/>
      <c r="J227" s="210"/>
      <c r="K227" s="210"/>
      <c r="L227" s="209"/>
      <c r="M227" s="179"/>
      <c r="N227" s="179"/>
      <c r="O227" s="210"/>
      <c r="P227" s="210"/>
    </row>
    <row r="228" ht="15.75" customHeight="1">
      <c r="A228" s="179">
        <v>225.0</v>
      </c>
      <c r="B228" s="169">
        <f>COUNTA(COMPLAIN!$E228)</f>
        <v>0</v>
      </c>
      <c r="C228" s="207"/>
      <c r="D228" s="211"/>
      <c r="E228" s="210"/>
      <c r="F228" s="208"/>
      <c r="G228" s="179"/>
      <c r="H228" s="179"/>
      <c r="I228" s="179"/>
      <c r="J228" s="210"/>
      <c r="K228" s="210"/>
      <c r="L228" s="209"/>
      <c r="M228" s="179"/>
      <c r="N228" s="179"/>
      <c r="O228" s="210"/>
      <c r="P228" s="210"/>
    </row>
    <row r="229" ht="15.75" customHeight="1">
      <c r="A229" s="179">
        <v>226.0</v>
      </c>
      <c r="B229" s="169">
        <f>COUNTA(COMPLAIN!$E229)</f>
        <v>0</v>
      </c>
      <c r="C229" s="207"/>
      <c r="D229" s="211"/>
      <c r="E229" s="210"/>
      <c r="F229" s="208"/>
      <c r="G229" s="179"/>
      <c r="H229" s="179"/>
      <c r="I229" s="179"/>
      <c r="J229" s="210"/>
      <c r="K229" s="210"/>
      <c r="L229" s="209"/>
      <c r="M229" s="179"/>
      <c r="N229" s="179"/>
      <c r="O229" s="210"/>
      <c r="P229" s="210"/>
    </row>
    <row r="230" ht="15.75" customHeight="1">
      <c r="A230" s="179">
        <v>227.0</v>
      </c>
      <c r="B230" s="169">
        <f>COUNTA(COMPLAIN!$E230)</f>
        <v>0</v>
      </c>
      <c r="C230" s="207"/>
      <c r="D230" s="211"/>
      <c r="E230" s="210"/>
      <c r="F230" s="208"/>
      <c r="G230" s="179"/>
      <c r="H230" s="179"/>
      <c r="I230" s="179"/>
      <c r="J230" s="210"/>
      <c r="K230" s="210"/>
      <c r="L230" s="209"/>
      <c r="M230" s="179"/>
      <c r="N230" s="179"/>
      <c r="O230" s="210"/>
      <c r="P230" s="210"/>
    </row>
    <row r="231" ht="15.75" customHeight="1">
      <c r="A231" s="179">
        <v>228.0</v>
      </c>
      <c r="B231" s="169">
        <f>COUNTA(COMPLAIN!$E231)</f>
        <v>0</v>
      </c>
      <c r="C231" s="207"/>
      <c r="D231" s="211"/>
      <c r="E231" s="210"/>
      <c r="F231" s="208"/>
      <c r="G231" s="179"/>
      <c r="H231" s="179"/>
      <c r="I231" s="179"/>
      <c r="J231" s="210"/>
      <c r="K231" s="210"/>
      <c r="L231" s="209"/>
      <c r="M231" s="179"/>
      <c r="N231" s="179"/>
      <c r="O231" s="210"/>
      <c r="P231" s="210"/>
    </row>
    <row r="232" ht="15.75" customHeight="1">
      <c r="B232" s="6"/>
      <c r="D232" s="76"/>
    </row>
    <row r="233" ht="15.75" customHeight="1">
      <c r="B233" s="6"/>
      <c r="D233" s="76"/>
    </row>
    <row r="234" ht="15.75" customHeight="1">
      <c r="B234" s="6"/>
      <c r="D234" s="76"/>
    </row>
    <row r="235" ht="15.75" customHeight="1">
      <c r="B235" s="6"/>
      <c r="D235" s="76"/>
    </row>
    <row r="236" ht="15.75" customHeight="1">
      <c r="B236" s="6"/>
      <c r="D236" s="76"/>
    </row>
    <row r="237" ht="15.75" customHeight="1">
      <c r="B237" s="6"/>
      <c r="D237" s="76"/>
    </row>
    <row r="238" ht="15.75" customHeight="1">
      <c r="B238" s="6"/>
      <c r="D238" s="76"/>
    </row>
    <row r="239" ht="15.75" customHeight="1">
      <c r="B239" s="6"/>
      <c r="D239" s="76"/>
    </row>
    <row r="240" ht="15.75" customHeight="1">
      <c r="B240" s="6"/>
      <c r="D240" s="76"/>
    </row>
    <row r="241" ht="15.75" customHeight="1">
      <c r="B241" s="6"/>
      <c r="D241" s="76"/>
    </row>
    <row r="242" ht="15.75" customHeight="1">
      <c r="B242" s="6"/>
      <c r="D242" s="76"/>
    </row>
    <row r="243" ht="15.75" customHeight="1">
      <c r="B243" s="6"/>
      <c r="D243" s="76"/>
    </row>
    <row r="244" ht="15.75" customHeight="1">
      <c r="B244" s="6"/>
      <c r="D244" s="76"/>
    </row>
    <row r="245" ht="15.75" customHeight="1">
      <c r="B245" s="6"/>
      <c r="D245" s="76"/>
    </row>
    <row r="246" ht="15.75" customHeight="1">
      <c r="B246" s="6"/>
      <c r="D246" s="76"/>
    </row>
    <row r="247" ht="15.75" customHeight="1">
      <c r="B247" s="6"/>
      <c r="D247" s="76"/>
    </row>
    <row r="248" ht="15.75" customHeight="1">
      <c r="B248" s="6"/>
      <c r="D248" s="76"/>
    </row>
    <row r="249" ht="15.75" customHeight="1">
      <c r="B249" s="6"/>
      <c r="D249" s="76"/>
    </row>
    <row r="250" ht="15.75" customHeight="1">
      <c r="B250" s="6"/>
      <c r="D250" s="76"/>
    </row>
    <row r="251" ht="15.75" customHeight="1">
      <c r="B251" s="6"/>
      <c r="D251" s="76"/>
    </row>
    <row r="252" ht="15.75" customHeight="1">
      <c r="B252" s="6"/>
      <c r="D252" s="76"/>
    </row>
    <row r="253" ht="15.75" customHeight="1">
      <c r="B253" s="6"/>
      <c r="D253" s="76"/>
    </row>
    <row r="254" ht="15.75" customHeight="1">
      <c r="B254" s="6"/>
      <c r="D254" s="76"/>
    </row>
    <row r="255" ht="15.75" customHeight="1">
      <c r="B255" s="6"/>
      <c r="D255" s="76"/>
    </row>
    <row r="256" ht="15.75" customHeight="1">
      <c r="B256" s="6"/>
      <c r="D256" s="76"/>
    </row>
    <row r="257" ht="15.75" customHeight="1">
      <c r="B257" s="6"/>
      <c r="D257" s="76"/>
    </row>
    <row r="258" ht="15.75" customHeight="1">
      <c r="B258" s="6"/>
      <c r="D258" s="76"/>
    </row>
    <row r="259" ht="15.75" customHeight="1">
      <c r="B259" s="6"/>
      <c r="D259" s="76"/>
    </row>
    <row r="260" ht="15.75" customHeight="1">
      <c r="B260" s="6"/>
      <c r="D260" s="76"/>
    </row>
    <row r="261" ht="15.75" customHeight="1">
      <c r="B261" s="6"/>
      <c r="D261" s="76"/>
    </row>
    <row r="262" ht="15.75" customHeight="1">
      <c r="B262" s="6"/>
      <c r="D262" s="76"/>
    </row>
    <row r="263" ht="15.75" customHeight="1">
      <c r="B263" s="6"/>
      <c r="D263" s="76"/>
    </row>
    <row r="264" ht="15.75" customHeight="1">
      <c r="B264" s="6"/>
      <c r="D264" s="76"/>
    </row>
    <row r="265" ht="15.75" customHeight="1">
      <c r="B265" s="6"/>
      <c r="D265" s="76"/>
    </row>
    <row r="266" ht="15.75" customHeight="1">
      <c r="B266" s="6"/>
      <c r="D266" s="76"/>
    </row>
    <row r="267" ht="15.75" customHeight="1">
      <c r="B267" s="6"/>
      <c r="D267" s="76"/>
    </row>
    <row r="268" ht="15.75" customHeight="1">
      <c r="B268" s="6"/>
      <c r="D268" s="76"/>
    </row>
    <row r="269" ht="15.75" customHeight="1">
      <c r="B269" s="6"/>
      <c r="D269" s="76"/>
    </row>
    <row r="270" ht="15.75" customHeight="1">
      <c r="B270" s="6"/>
      <c r="D270" s="76"/>
    </row>
    <row r="271" ht="15.75" customHeight="1">
      <c r="B271" s="6"/>
      <c r="D271" s="76"/>
    </row>
    <row r="272" ht="15.75" customHeight="1">
      <c r="B272" s="6"/>
      <c r="D272" s="76"/>
    </row>
    <row r="273" ht="15.75" customHeight="1">
      <c r="B273" s="6"/>
      <c r="D273" s="76"/>
    </row>
    <row r="274" ht="15.75" customHeight="1">
      <c r="B274" s="6"/>
      <c r="D274" s="76"/>
    </row>
    <row r="275" ht="15.75" customHeight="1">
      <c r="B275" s="6"/>
      <c r="D275" s="76"/>
    </row>
    <row r="276" ht="15.75" customHeight="1">
      <c r="B276" s="6"/>
      <c r="D276" s="76"/>
    </row>
    <row r="277" ht="15.75" customHeight="1">
      <c r="B277" s="6"/>
      <c r="D277" s="76"/>
    </row>
    <row r="278" ht="15.75" customHeight="1">
      <c r="B278" s="6"/>
      <c r="D278" s="76"/>
    </row>
    <row r="279" ht="15.75" customHeight="1">
      <c r="B279" s="6"/>
      <c r="D279" s="76"/>
    </row>
    <row r="280" ht="15.75" customHeight="1">
      <c r="B280" s="6"/>
      <c r="D280" s="76"/>
    </row>
    <row r="281" ht="15.75" customHeight="1">
      <c r="B281" s="6"/>
      <c r="D281" s="76"/>
    </row>
    <row r="282" ht="15.75" customHeight="1">
      <c r="B282" s="6"/>
      <c r="D282" s="76"/>
    </row>
    <row r="283" ht="15.75" customHeight="1">
      <c r="B283" s="6"/>
      <c r="D283" s="76"/>
    </row>
    <row r="284" ht="15.75" customHeight="1">
      <c r="B284" s="6"/>
      <c r="D284" s="76"/>
    </row>
    <row r="285" ht="15.75" customHeight="1">
      <c r="B285" s="6"/>
      <c r="D285" s="76"/>
    </row>
    <row r="286" ht="15.75" customHeight="1">
      <c r="B286" s="6"/>
      <c r="D286" s="76"/>
    </row>
    <row r="287" ht="15.75" customHeight="1">
      <c r="B287" s="6"/>
      <c r="D287" s="76"/>
    </row>
    <row r="288" ht="15.75" customHeight="1">
      <c r="B288" s="6"/>
      <c r="D288" s="76"/>
    </row>
    <row r="289" ht="15.75" customHeight="1">
      <c r="B289" s="6"/>
      <c r="D289" s="76"/>
    </row>
    <row r="290" ht="15.75" customHeight="1">
      <c r="B290" s="6"/>
      <c r="D290" s="76"/>
    </row>
    <row r="291" ht="15.75" customHeight="1">
      <c r="B291" s="6"/>
      <c r="D291" s="76"/>
    </row>
    <row r="292" ht="15.75" customHeight="1">
      <c r="B292" s="6"/>
      <c r="D292" s="76"/>
    </row>
    <row r="293" ht="15.75" customHeight="1">
      <c r="B293" s="6"/>
      <c r="D293" s="76"/>
    </row>
    <row r="294" ht="15.75" customHeight="1">
      <c r="B294" s="6"/>
      <c r="D294" s="76"/>
    </row>
    <row r="295" ht="15.75" customHeight="1">
      <c r="B295" s="6"/>
      <c r="D295" s="76"/>
    </row>
    <row r="296" ht="15.75" customHeight="1">
      <c r="B296" s="6"/>
      <c r="D296" s="76"/>
    </row>
    <row r="297" ht="15.75" customHeight="1">
      <c r="B297" s="6"/>
      <c r="D297" s="76"/>
    </row>
    <row r="298" ht="15.75" customHeight="1">
      <c r="B298" s="6"/>
      <c r="D298" s="76"/>
    </row>
    <row r="299" ht="15.75" customHeight="1">
      <c r="B299" s="6"/>
      <c r="D299" s="76"/>
    </row>
    <row r="300" ht="15.75" customHeight="1">
      <c r="B300" s="6"/>
      <c r="D300" s="76"/>
    </row>
    <row r="301" ht="15.75" customHeight="1">
      <c r="B301" s="6"/>
      <c r="D301" s="76"/>
    </row>
    <row r="302" ht="15.75" customHeight="1">
      <c r="B302" s="6"/>
      <c r="D302" s="76"/>
    </row>
    <row r="303" ht="15.75" customHeight="1">
      <c r="B303" s="6"/>
      <c r="D303" s="76"/>
    </row>
    <row r="304" ht="15.75" customHeight="1">
      <c r="B304" s="6"/>
      <c r="D304" s="76"/>
    </row>
    <row r="305" ht="15.75" customHeight="1">
      <c r="B305" s="6"/>
      <c r="D305" s="76"/>
    </row>
    <row r="306" ht="15.75" customHeight="1">
      <c r="B306" s="6"/>
      <c r="D306" s="76"/>
    </row>
    <row r="307" ht="15.75" customHeight="1">
      <c r="B307" s="6"/>
      <c r="D307" s="76"/>
    </row>
    <row r="308" ht="15.75" customHeight="1">
      <c r="B308" s="6"/>
      <c r="D308" s="76"/>
    </row>
    <row r="309" ht="15.75" customHeight="1">
      <c r="B309" s="6"/>
      <c r="D309" s="76"/>
    </row>
    <row r="310" ht="15.75" customHeight="1">
      <c r="B310" s="6"/>
      <c r="D310" s="76"/>
    </row>
    <row r="311" ht="15.75" customHeight="1">
      <c r="B311" s="6"/>
      <c r="D311" s="76"/>
    </row>
    <row r="312" ht="15.75" customHeight="1">
      <c r="B312" s="6"/>
      <c r="D312" s="76"/>
    </row>
    <row r="313" ht="15.75" customHeight="1">
      <c r="B313" s="6"/>
      <c r="D313" s="76"/>
    </row>
    <row r="314" ht="15.75" customHeight="1">
      <c r="B314" s="6"/>
      <c r="D314" s="76"/>
    </row>
    <row r="315" ht="15.75" customHeight="1">
      <c r="B315" s="6"/>
      <c r="D315" s="76"/>
    </row>
    <row r="316" ht="15.75" customHeight="1">
      <c r="B316" s="6"/>
      <c r="D316" s="76"/>
    </row>
    <row r="317" ht="15.75" customHeight="1">
      <c r="B317" s="6"/>
      <c r="D317" s="76"/>
    </row>
    <row r="318" ht="15.75" customHeight="1">
      <c r="B318" s="6"/>
      <c r="D318" s="76"/>
    </row>
    <row r="319" ht="15.75" customHeight="1">
      <c r="B319" s="6"/>
      <c r="D319" s="76"/>
    </row>
    <row r="320" ht="15.75" customHeight="1">
      <c r="B320" s="6"/>
      <c r="D320" s="76"/>
    </row>
    <row r="321" ht="15.75" customHeight="1">
      <c r="B321" s="6"/>
      <c r="D321" s="76"/>
    </row>
    <row r="322" ht="15.75" customHeight="1">
      <c r="B322" s="6"/>
      <c r="D322" s="76"/>
    </row>
    <row r="323" ht="15.75" customHeight="1">
      <c r="B323" s="6"/>
      <c r="D323" s="76"/>
    </row>
    <row r="324" ht="15.75" customHeight="1">
      <c r="B324" s="6"/>
      <c r="D324" s="76"/>
    </row>
    <row r="325" ht="15.75" customHeight="1">
      <c r="B325" s="6"/>
      <c r="D325" s="76"/>
    </row>
    <row r="326" ht="15.75" customHeight="1">
      <c r="B326" s="6"/>
      <c r="D326" s="76"/>
    </row>
    <row r="327" ht="15.75" customHeight="1">
      <c r="B327" s="6"/>
      <c r="D327" s="76"/>
    </row>
    <row r="328" ht="15.75" customHeight="1">
      <c r="B328" s="6"/>
      <c r="D328" s="76"/>
    </row>
    <row r="329" ht="15.75" customHeight="1">
      <c r="B329" s="6"/>
      <c r="D329" s="76"/>
    </row>
    <row r="330" ht="15.75" customHeight="1">
      <c r="B330" s="6"/>
      <c r="D330" s="76"/>
    </row>
    <row r="331" ht="15.75" customHeight="1">
      <c r="B331" s="6"/>
      <c r="D331" s="76"/>
    </row>
    <row r="332" ht="15.75" customHeight="1">
      <c r="B332" s="6"/>
      <c r="D332" s="76"/>
    </row>
    <row r="333" ht="15.75" customHeight="1">
      <c r="B333" s="6"/>
      <c r="D333" s="76"/>
    </row>
    <row r="334" ht="15.75" customHeight="1">
      <c r="B334" s="6"/>
      <c r="D334" s="76"/>
    </row>
    <row r="335" ht="15.75" customHeight="1">
      <c r="B335" s="6"/>
      <c r="D335" s="76"/>
    </row>
    <row r="336" ht="15.75" customHeight="1">
      <c r="B336" s="6"/>
      <c r="D336" s="76"/>
    </row>
    <row r="337" ht="15.75" customHeight="1">
      <c r="B337" s="6"/>
      <c r="D337" s="76"/>
    </row>
    <row r="338" ht="15.75" customHeight="1">
      <c r="B338" s="6"/>
      <c r="D338" s="76"/>
    </row>
    <row r="339" ht="15.75" customHeight="1">
      <c r="B339" s="6"/>
      <c r="D339" s="76"/>
    </row>
    <row r="340" ht="15.75" customHeight="1">
      <c r="B340" s="6"/>
      <c r="D340" s="76"/>
    </row>
    <row r="341" ht="15.75" customHeight="1">
      <c r="B341" s="6"/>
      <c r="D341" s="76"/>
    </row>
    <row r="342" ht="15.75" customHeight="1">
      <c r="B342" s="6"/>
      <c r="D342" s="76"/>
    </row>
    <row r="343" ht="15.75" customHeight="1">
      <c r="B343" s="6"/>
      <c r="D343" s="76"/>
    </row>
    <row r="344" ht="15.75" customHeight="1">
      <c r="B344" s="6"/>
      <c r="D344" s="76"/>
    </row>
    <row r="345" ht="15.75" customHeight="1">
      <c r="B345" s="6"/>
      <c r="D345" s="76"/>
    </row>
    <row r="346" ht="15.75" customHeight="1">
      <c r="B346" s="6"/>
      <c r="D346" s="76"/>
    </row>
    <row r="347" ht="15.75" customHeight="1">
      <c r="B347" s="6"/>
      <c r="D347" s="76"/>
    </row>
    <row r="348" ht="15.75" customHeight="1">
      <c r="B348" s="6"/>
      <c r="D348" s="76"/>
    </row>
    <row r="349" ht="15.75" customHeight="1">
      <c r="B349" s="6"/>
      <c r="D349" s="76"/>
    </row>
    <row r="350" ht="15.75" customHeight="1">
      <c r="B350" s="6"/>
      <c r="D350" s="76"/>
    </row>
    <row r="351" ht="15.75" customHeight="1">
      <c r="B351" s="6"/>
      <c r="D351" s="76"/>
    </row>
    <row r="352" ht="15.75" customHeight="1">
      <c r="B352" s="6"/>
      <c r="D352" s="76"/>
    </row>
    <row r="353" ht="15.75" customHeight="1">
      <c r="B353" s="6"/>
      <c r="D353" s="76"/>
    </row>
    <row r="354" ht="15.75" customHeight="1">
      <c r="B354" s="6"/>
      <c r="D354" s="76"/>
    </row>
    <row r="355" ht="15.75" customHeight="1">
      <c r="B355" s="6"/>
      <c r="D355" s="76"/>
    </row>
    <row r="356" ht="15.75" customHeight="1">
      <c r="B356" s="6"/>
      <c r="D356" s="76"/>
    </row>
    <row r="357" ht="15.75" customHeight="1">
      <c r="B357" s="6"/>
      <c r="D357" s="76"/>
    </row>
    <row r="358" ht="15.75" customHeight="1">
      <c r="B358" s="6"/>
      <c r="D358" s="76"/>
    </row>
    <row r="359" ht="15.75" customHeight="1">
      <c r="B359" s="6"/>
      <c r="D359" s="76"/>
    </row>
    <row r="360" ht="15.75" customHeight="1">
      <c r="B360" s="6"/>
      <c r="D360" s="76"/>
    </row>
    <row r="361" ht="15.75" customHeight="1">
      <c r="B361" s="6"/>
      <c r="D361" s="76"/>
    </row>
    <row r="362" ht="15.75" customHeight="1">
      <c r="B362" s="6"/>
      <c r="D362" s="76"/>
    </row>
    <row r="363" ht="15.75" customHeight="1">
      <c r="B363" s="6"/>
      <c r="D363" s="76"/>
    </row>
    <row r="364" ht="15.75" customHeight="1">
      <c r="B364" s="6"/>
      <c r="D364" s="76"/>
    </row>
    <row r="365" ht="15.75" customHeight="1">
      <c r="B365" s="6"/>
      <c r="D365" s="76"/>
    </row>
    <row r="366" ht="15.75" customHeight="1">
      <c r="B366" s="6"/>
      <c r="D366" s="76"/>
    </row>
    <row r="367" ht="15.75" customHeight="1">
      <c r="B367" s="6"/>
      <c r="D367" s="76"/>
    </row>
    <row r="368" ht="15.75" customHeight="1">
      <c r="B368" s="6"/>
      <c r="D368" s="76"/>
    </row>
    <row r="369" ht="15.75" customHeight="1">
      <c r="B369" s="6"/>
      <c r="D369" s="76"/>
    </row>
    <row r="370" ht="15.75" customHeight="1">
      <c r="B370" s="6"/>
      <c r="D370" s="76"/>
    </row>
    <row r="371" ht="15.75" customHeight="1">
      <c r="B371" s="6"/>
      <c r="D371" s="76"/>
    </row>
    <row r="372" ht="15.75" customHeight="1">
      <c r="B372" s="6"/>
      <c r="D372" s="76"/>
    </row>
    <row r="373" ht="15.75" customHeight="1">
      <c r="B373" s="6"/>
      <c r="D373" s="76"/>
    </row>
    <row r="374" ht="15.75" customHeight="1">
      <c r="B374" s="6"/>
      <c r="D374" s="76"/>
    </row>
    <row r="375" ht="15.75" customHeight="1">
      <c r="B375" s="6"/>
      <c r="D375" s="76"/>
    </row>
    <row r="376" ht="15.75" customHeight="1">
      <c r="B376" s="6"/>
      <c r="D376" s="76"/>
    </row>
    <row r="377" ht="15.75" customHeight="1">
      <c r="B377" s="6"/>
      <c r="D377" s="76"/>
    </row>
    <row r="378" ht="15.75" customHeight="1">
      <c r="B378" s="6"/>
      <c r="D378" s="76"/>
    </row>
    <row r="379" ht="15.75" customHeight="1">
      <c r="B379" s="6"/>
      <c r="D379" s="76"/>
    </row>
    <row r="380" ht="15.75" customHeight="1">
      <c r="B380" s="6"/>
      <c r="D380" s="76"/>
    </row>
    <row r="381" ht="15.75" customHeight="1">
      <c r="B381" s="6"/>
      <c r="D381" s="76"/>
    </row>
    <row r="382" ht="15.75" customHeight="1">
      <c r="B382" s="6"/>
      <c r="D382" s="76"/>
    </row>
    <row r="383" ht="15.75" customHeight="1">
      <c r="B383" s="6"/>
      <c r="D383" s="76"/>
    </row>
    <row r="384" ht="15.75" customHeight="1">
      <c r="B384" s="6"/>
      <c r="D384" s="76"/>
    </row>
    <row r="385" ht="15.75" customHeight="1">
      <c r="B385" s="6"/>
      <c r="D385" s="76"/>
    </row>
    <row r="386" ht="15.75" customHeight="1">
      <c r="B386" s="6"/>
      <c r="D386" s="76"/>
    </row>
    <row r="387" ht="15.75" customHeight="1">
      <c r="B387" s="6"/>
      <c r="D387" s="76"/>
    </row>
    <row r="388" ht="15.75" customHeight="1">
      <c r="B388" s="6"/>
      <c r="D388" s="76"/>
    </row>
    <row r="389" ht="15.75" customHeight="1">
      <c r="B389" s="6"/>
      <c r="D389" s="76"/>
    </row>
    <row r="390" ht="15.75" customHeight="1">
      <c r="B390" s="6"/>
      <c r="D390" s="76"/>
    </row>
    <row r="391" ht="15.75" customHeight="1">
      <c r="B391" s="6"/>
      <c r="D391" s="76"/>
    </row>
    <row r="392" ht="15.75" customHeight="1">
      <c r="B392" s="6"/>
      <c r="D392" s="76"/>
    </row>
    <row r="393" ht="15.75" customHeight="1">
      <c r="B393" s="6"/>
      <c r="D393" s="76"/>
    </row>
    <row r="394" ht="15.75" customHeight="1">
      <c r="B394" s="6"/>
      <c r="D394" s="76"/>
    </row>
    <row r="395" ht="15.75" customHeight="1">
      <c r="B395" s="6"/>
      <c r="D395" s="76"/>
    </row>
    <row r="396" ht="15.75" customHeight="1">
      <c r="B396" s="6"/>
      <c r="D396" s="76"/>
    </row>
    <row r="397" ht="15.75" customHeight="1">
      <c r="B397" s="6"/>
      <c r="D397" s="76"/>
    </row>
    <row r="398" ht="15.75" customHeight="1">
      <c r="B398" s="6"/>
      <c r="D398" s="76"/>
    </row>
    <row r="399" ht="15.75" customHeight="1">
      <c r="B399" s="6"/>
      <c r="D399" s="76"/>
    </row>
    <row r="400" ht="15.75" customHeight="1">
      <c r="B400" s="6"/>
      <c r="D400" s="76"/>
    </row>
    <row r="401" ht="15.75" customHeight="1">
      <c r="B401" s="6"/>
      <c r="D401" s="76"/>
    </row>
    <row r="402" ht="15.75" customHeight="1">
      <c r="B402" s="6"/>
      <c r="D402" s="76"/>
    </row>
    <row r="403" ht="15.75" customHeight="1">
      <c r="B403" s="6"/>
      <c r="D403" s="76"/>
    </row>
    <row r="404" ht="15.75" customHeight="1">
      <c r="B404" s="6"/>
      <c r="D404" s="76"/>
    </row>
    <row r="405" ht="15.75" customHeight="1">
      <c r="B405" s="6"/>
      <c r="D405" s="76"/>
    </row>
    <row r="406" ht="15.75" customHeight="1">
      <c r="B406" s="6"/>
      <c r="D406" s="76"/>
    </row>
    <row r="407" ht="15.75" customHeight="1">
      <c r="B407" s="6"/>
      <c r="D407" s="76"/>
    </row>
    <row r="408" ht="15.75" customHeight="1">
      <c r="B408" s="6"/>
      <c r="D408" s="76"/>
    </row>
    <row r="409" ht="15.75" customHeight="1">
      <c r="B409" s="6"/>
      <c r="D409" s="76"/>
    </row>
    <row r="410" ht="15.75" customHeight="1">
      <c r="B410" s="6"/>
      <c r="D410" s="76"/>
    </row>
    <row r="411" ht="15.75" customHeight="1">
      <c r="B411" s="6"/>
      <c r="D411" s="76"/>
    </row>
    <row r="412" ht="15.75" customHeight="1">
      <c r="B412" s="6"/>
      <c r="D412" s="76"/>
    </row>
    <row r="413" ht="15.75" customHeight="1">
      <c r="B413" s="6"/>
      <c r="D413" s="76"/>
    </row>
    <row r="414" ht="15.75" customHeight="1">
      <c r="B414" s="6"/>
      <c r="D414" s="76"/>
    </row>
    <row r="415" ht="15.75" customHeight="1">
      <c r="B415" s="6"/>
      <c r="D415" s="76"/>
    </row>
    <row r="416" ht="15.75" customHeight="1">
      <c r="B416" s="6"/>
      <c r="D416" s="76"/>
    </row>
    <row r="417" ht="15.75" customHeight="1">
      <c r="B417" s="6"/>
      <c r="D417" s="76"/>
    </row>
    <row r="418" ht="15.75" customHeight="1">
      <c r="B418" s="6"/>
      <c r="D418" s="76"/>
    </row>
    <row r="419" ht="15.75" customHeight="1">
      <c r="B419" s="6"/>
      <c r="D419" s="76"/>
    </row>
    <row r="420" ht="15.75" customHeight="1">
      <c r="B420" s="6"/>
      <c r="D420" s="76"/>
    </row>
    <row r="421" ht="15.75" customHeight="1">
      <c r="B421" s="6"/>
      <c r="D421" s="76"/>
    </row>
    <row r="422" ht="15.75" customHeight="1">
      <c r="B422" s="6"/>
      <c r="D422" s="76"/>
    </row>
    <row r="423" ht="15.75" customHeight="1">
      <c r="B423" s="6"/>
      <c r="D423" s="76"/>
    </row>
    <row r="424" ht="15.75" customHeight="1">
      <c r="B424" s="6"/>
      <c r="D424" s="76"/>
    </row>
    <row r="425" ht="15.75" customHeight="1">
      <c r="B425" s="6"/>
      <c r="D425" s="76"/>
    </row>
    <row r="426" ht="15.75" customHeight="1">
      <c r="B426" s="6"/>
      <c r="D426" s="76"/>
    </row>
    <row r="427" ht="15.75" customHeight="1">
      <c r="B427" s="6"/>
      <c r="D427" s="76"/>
    </row>
    <row r="428" ht="15.75" customHeight="1">
      <c r="B428" s="6"/>
      <c r="D428" s="76"/>
    </row>
    <row r="429" ht="15.75" customHeight="1">
      <c r="B429" s="6"/>
      <c r="D429" s="76"/>
    </row>
    <row r="430" ht="15.75" customHeight="1">
      <c r="B430" s="6"/>
      <c r="D430" s="76"/>
    </row>
    <row r="431" ht="15.75" customHeight="1">
      <c r="B431" s="6"/>
      <c r="D431" s="76"/>
    </row>
    <row r="432" ht="15.75" customHeight="1">
      <c r="B432" s="6"/>
      <c r="D432" s="76"/>
    </row>
    <row r="433" ht="15.75" customHeight="1">
      <c r="B433" s="6"/>
      <c r="D433" s="76"/>
    </row>
    <row r="434" ht="15.75" customHeight="1">
      <c r="B434" s="6"/>
      <c r="D434" s="76"/>
    </row>
    <row r="435" ht="15.75" customHeight="1">
      <c r="B435" s="6"/>
      <c r="D435" s="76"/>
    </row>
    <row r="436" ht="15.75" customHeight="1">
      <c r="B436" s="6"/>
      <c r="D436" s="76"/>
    </row>
    <row r="437" ht="15.75" customHeight="1">
      <c r="B437" s="6"/>
      <c r="D437" s="76"/>
    </row>
    <row r="438" ht="15.75" customHeight="1">
      <c r="B438" s="6"/>
      <c r="D438" s="76"/>
    </row>
    <row r="439" ht="15.75" customHeight="1">
      <c r="B439" s="6"/>
      <c r="D439" s="76"/>
    </row>
    <row r="440" ht="15.75" customHeight="1">
      <c r="B440" s="6"/>
      <c r="D440" s="76"/>
    </row>
    <row r="441" ht="15.75" customHeight="1">
      <c r="B441" s="6"/>
      <c r="D441" s="76"/>
    </row>
    <row r="442" ht="15.75" customHeight="1">
      <c r="B442" s="6"/>
      <c r="D442" s="76"/>
    </row>
    <row r="443" ht="15.75" customHeight="1">
      <c r="B443" s="6"/>
      <c r="D443" s="76"/>
    </row>
    <row r="444" ht="15.75" customHeight="1">
      <c r="B444" s="6"/>
      <c r="D444" s="76"/>
    </row>
    <row r="445" ht="15.75" customHeight="1">
      <c r="B445" s="6"/>
      <c r="D445" s="76"/>
    </row>
    <row r="446" ht="15.75" customHeight="1">
      <c r="B446" s="6"/>
      <c r="D446" s="76"/>
    </row>
    <row r="447" ht="15.75" customHeight="1">
      <c r="B447" s="6"/>
      <c r="D447" s="76"/>
    </row>
    <row r="448" ht="15.75" customHeight="1">
      <c r="B448" s="6"/>
      <c r="D448" s="76"/>
    </row>
    <row r="449" ht="15.75" customHeight="1">
      <c r="B449" s="6"/>
      <c r="D449" s="76"/>
    </row>
    <row r="450" ht="15.75" customHeight="1">
      <c r="B450" s="6"/>
      <c r="D450" s="76"/>
    </row>
    <row r="451" ht="15.75" customHeight="1">
      <c r="B451" s="6"/>
      <c r="D451" s="76"/>
    </row>
    <row r="452" ht="15.75" customHeight="1">
      <c r="B452" s="6"/>
      <c r="D452" s="76"/>
    </row>
    <row r="453" ht="15.75" customHeight="1">
      <c r="B453" s="6"/>
      <c r="D453" s="76"/>
    </row>
    <row r="454" ht="15.75" customHeight="1">
      <c r="B454" s="6"/>
      <c r="D454" s="76"/>
    </row>
    <row r="455" ht="15.75" customHeight="1">
      <c r="B455" s="6"/>
      <c r="D455" s="76"/>
    </row>
    <row r="456" ht="15.75" customHeight="1">
      <c r="B456" s="6"/>
      <c r="D456" s="76"/>
    </row>
    <row r="457" ht="15.75" customHeight="1">
      <c r="B457" s="6"/>
      <c r="D457" s="76"/>
    </row>
    <row r="458" ht="15.75" customHeight="1">
      <c r="B458" s="6"/>
      <c r="D458" s="76"/>
    </row>
    <row r="459" ht="15.75" customHeight="1">
      <c r="B459" s="6"/>
      <c r="D459" s="76"/>
    </row>
    <row r="460" ht="15.75" customHeight="1">
      <c r="B460" s="6"/>
      <c r="D460" s="76"/>
    </row>
    <row r="461" ht="15.75" customHeight="1">
      <c r="B461" s="6"/>
      <c r="D461" s="76"/>
    </row>
    <row r="462" ht="15.75" customHeight="1">
      <c r="B462" s="6"/>
      <c r="D462" s="76"/>
    </row>
    <row r="463" ht="15.75" customHeight="1">
      <c r="B463" s="6"/>
      <c r="D463" s="76"/>
    </row>
    <row r="464" ht="15.75" customHeight="1">
      <c r="B464" s="6"/>
      <c r="D464" s="76"/>
    </row>
    <row r="465" ht="15.75" customHeight="1">
      <c r="B465" s="6"/>
      <c r="D465" s="76"/>
    </row>
    <row r="466" ht="15.75" customHeight="1">
      <c r="B466" s="6"/>
      <c r="D466" s="76"/>
    </row>
    <row r="467" ht="15.75" customHeight="1">
      <c r="B467" s="6"/>
      <c r="D467" s="76"/>
    </row>
    <row r="468" ht="15.75" customHeight="1">
      <c r="B468" s="6"/>
      <c r="D468" s="76"/>
    </row>
    <row r="469" ht="15.75" customHeight="1">
      <c r="B469" s="6"/>
      <c r="D469" s="76"/>
    </row>
    <row r="470" ht="15.75" customHeight="1">
      <c r="B470" s="6"/>
      <c r="D470" s="76"/>
    </row>
    <row r="471" ht="15.75" customHeight="1">
      <c r="B471" s="6"/>
      <c r="D471" s="76"/>
    </row>
    <row r="472" ht="15.75" customHeight="1">
      <c r="B472" s="6"/>
      <c r="D472" s="76"/>
    </row>
    <row r="473" ht="15.75" customHeight="1">
      <c r="B473" s="6"/>
      <c r="D473" s="76"/>
    </row>
    <row r="474" ht="15.75" customHeight="1">
      <c r="B474" s="6"/>
      <c r="D474" s="76"/>
    </row>
    <row r="475" ht="15.75" customHeight="1">
      <c r="B475" s="6"/>
      <c r="D475" s="76"/>
    </row>
    <row r="476" ht="15.75" customHeight="1">
      <c r="B476" s="6"/>
      <c r="D476" s="76"/>
    </row>
    <row r="477" ht="15.75" customHeight="1">
      <c r="B477" s="6"/>
      <c r="D477" s="76"/>
    </row>
    <row r="478" ht="15.75" customHeight="1">
      <c r="B478" s="6"/>
      <c r="D478" s="76"/>
    </row>
    <row r="479" ht="15.75" customHeight="1">
      <c r="B479" s="6"/>
      <c r="D479" s="76"/>
    </row>
    <row r="480" ht="15.75" customHeight="1">
      <c r="B480" s="6"/>
      <c r="D480" s="76"/>
    </row>
    <row r="481" ht="15.75" customHeight="1">
      <c r="B481" s="6"/>
      <c r="D481" s="76"/>
    </row>
    <row r="482" ht="15.75" customHeight="1">
      <c r="B482" s="6"/>
      <c r="D482" s="76"/>
    </row>
    <row r="483" ht="15.75" customHeight="1">
      <c r="B483" s="6"/>
      <c r="D483" s="76"/>
    </row>
    <row r="484" ht="15.75" customHeight="1">
      <c r="B484" s="6"/>
      <c r="D484" s="76"/>
    </row>
    <row r="485" ht="15.75" customHeight="1">
      <c r="B485" s="6"/>
      <c r="D485" s="76"/>
    </row>
    <row r="486" ht="15.75" customHeight="1">
      <c r="B486" s="6"/>
      <c r="D486" s="76"/>
    </row>
    <row r="487" ht="15.75" customHeight="1">
      <c r="B487" s="6"/>
      <c r="D487" s="76"/>
    </row>
    <row r="488" ht="15.75" customHeight="1">
      <c r="B488" s="6"/>
      <c r="D488" s="76"/>
    </row>
    <row r="489" ht="15.75" customHeight="1">
      <c r="B489" s="6"/>
      <c r="D489" s="76"/>
    </row>
    <row r="490" ht="15.75" customHeight="1">
      <c r="B490" s="6"/>
      <c r="D490" s="76"/>
    </row>
    <row r="491" ht="15.75" customHeight="1">
      <c r="B491" s="6"/>
      <c r="D491" s="76"/>
    </row>
    <row r="492" ht="15.75" customHeight="1">
      <c r="B492" s="6"/>
      <c r="D492" s="76"/>
    </row>
    <row r="493" ht="15.75" customHeight="1">
      <c r="B493" s="6"/>
      <c r="D493" s="76"/>
    </row>
    <row r="494" ht="15.75" customHeight="1">
      <c r="B494" s="6"/>
      <c r="D494" s="76"/>
    </row>
    <row r="495" ht="15.75" customHeight="1">
      <c r="B495" s="6"/>
      <c r="D495" s="76"/>
    </row>
    <row r="496" ht="15.75" customHeight="1">
      <c r="B496" s="6"/>
      <c r="D496" s="76"/>
    </row>
    <row r="497" ht="15.75" customHeight="1">
      <c r="B497" s="6"/>
      <c r="D497" s="76"/>
    </row>
    <row r="498" ht="15.75" customHeight="1">
      <c r="B498" s="6"/>
      <c r="D498" s="76"/>
    </row>
    <row r="499" ht="15.75" customHeight="1">
      <c r="B499" s="6"/>
      <c r="D499" s="76"/>
    </row>
    <row r="500" ht="15.75" customHeight="1">
      <c r="B500" s="6"/>
      <c r="D500" s="76"/>
    </row>
    <row r="501" ht="15.75" customHeight="1">
      <c r="B501" s="6"/>
      <c r="D501" s="76"/>
    </row>
    <row r="502" ht="15.75" customHeight="1">
      <c r="B502" s="6"/>
      <c r="D502" s="76"/>
    </row>
    <row r="503" ht="15.75" customHeight="1">
      <c r="B503" s="6"/>
      <c r="D503" s="76"/>
    </row>
    <row r="504" ht="15.75" customHeight="1">
      <c r="B504" s="6"/>
      <c r="D504" s="76"/>
    </row>
    <row r="505" ht="15.75" customHeight="1">
      <c r="B505" s="6"/>
      <c r="D505" s="76"/>
    </row>
    <row r="506" ht="15.75" customHeight="1">
      <c r="B506" s="6"/>
      <c r="D506" s="76"/>
    </row>
    <row r="507" ht="15.75" customHeight="1">
      <c r="B507" s="6"/>
      <c r="D507" s="76"/>
    </row>
    <row r="508" ht="15.75" customHeight="1">
      <c r="B508" s="6"/>
      <c r="D508" s="76"/>
    </row>
    <row r="509" ht="15.75" customHeight="1">
      <c r="B509" s="6"/>
      <c r="D509" s="76"/>
    </row>
    <row r="510" ht="15.75" customHeight="1">
      <c r="B510" s="6"/>
      <c r="D510" s="76"/>
    </row>
    <row r="511" ht="15.75" customHeight="1">
      <c r="B511" s="6"/>
      <c r="D511" s="76"/>
    </row>
    <row r="512" ht="15.75" customHeight="1">
      <c r="B512" s="6"/>
      <c r="D512" s="76"/>
    </row>
    <row r="513" ht="15.75" customHeight="1">
      <c r="B513" s="6"/>
      <c r="D513" s="76"/>
    </row>
    <row r="514" ht="15.75" customHeight="1">
      <c r="B514" s="6"/>
      <c r="D514" s="76"/>
    </row>
    <row r="515" ht="15.75" customHeight="1">
      <c r="B515" s="6"/>
      <c r="D515" s="76"/>
    </row>
    <row r="516" ht="15.75" customHeight="1">
      <c r="B516" s="6"/>
      <c r="D516" s="76"/>
    </row>
    <row r="517" ht="15.75" customHeight="1">
      <c r="B517" s="6"/>
      <c r="D517" s="76"/>
    </row>
    <row r="518" ht="15.75" customHeight="1">
      <c r="B518" s="6"/>
      <c r="D518" s="76"/>
    </row>
    <row r="519" ht="15.75" customHeight="1">
      <c r="B519" s="6"/>
      <c r="D519" s="76"/>
    </row>
    <row r="520" ht="15.75" customHeight="1">
      <c r="B520" s="6"/>
      <c r="D520" s="76"/>
    </row>
    <row r="521" ht="15.75" customHeight="1">
      <c r="B521" s="6"/>
      <c r="D521" s="76"/>
    </row>
    <row r="522" ht="15.75" customHeight="1">
      <c r="B522" s="6"/>
      <c r="D522" s="76"/>
    </row>
    <row r="523" ht="15.75" customHeight="1">
      <c r="B523" s="6"/>
      <c r="D523" s="76"/>
    </row>
    <row r="524" ht="15.75" customHeight="1">
      <c r="B524" s="6"/>
      <c r="D524" s="76"/>
    </row>
    <row r="525" ht="15.75" customHeight="1">
      <c r="B525" s="6"/>
      <c r="D525" s="76"/>
    </row>
    <row r="526" ht="15.75" customHeight="1">
      <c r="B526" s="6"/>
      <c r="D526" s="76"/>
    </row>
    <row r="527" ht="15.75" customHeight="1">
      <c r="B527" s="6"/>
      <c r="D527" s="76"/>
    </row>
    <row r="528" ht="15.75" customHeight="1">
      <c r="B528" s="6"/>
      <c r="D528" s="76"/>
    </row>
    <row r="529" ht="15.75" customHeight="1">
      <c r="B529" s="6"/>
      <c r="D529" s="76"/>
    </row>
    <row r="530" ht="15.75" customHeight="1">
      <c r="B530" s="6"/>
      <c r="D530" s="76"/>
    </row>
    <row r="531" ht="15.75" customHeight="1">
      <c r="B531" s="6"/>
      <c r="D531" s="76"/>
    </row>
    <row r="532" ht="15.75" customHeight="1">
      <c r="B532" s="6"/>
      <c r="D532" s="76"/>
    </row>
    <row r="533" ht="15.75" customHeight="1">
      <c r="B533" s="6"/>
      <c r="D533" s="76"/>
    </row>
    <row r="534" ht="15.75" customHeight="1">
      <c r="B534" s="6"/>
      <c r="D534" s="76"/>
    </row>
    <row r="535" ht="15.75" customHeight="1">
      <c r="B535" s="6"/>
      <c r="D535" s="76"/>
    </row>
    <row r="536" ht="15.75" customHeight="1">
      <c r="B536" s="6"/>
      <c r="D536" s="76"/>
    </row>
    <row r="537" ht="15.75" customHeight="1">
      <c r="B537" s="6"/>
      <c r="D537" s="76"/>
    </row>
    <row r="538" ht="15.75" customHeight="1">
      <c r="B538" s="6"/>
      <c r="D538" s="76"/>
    </row>
    <row r="539" ht="15.75" customHeight="1">
      <c r="B539" s="6"/>
      <c r="D539" s="76"/>
    </row>
    <row r="540" ht="15.75" customHeight="1">
      <c r="B540" s="6"/>
      <c r="D540" s="76"/>
    </row>
    <row r="541" ht="15.75" customHeight="1">
      <c r="B541" s="6"/>
      <c r="D541" s="76"/>
    </row>
    <row r="542" ht="15.75" customHeight="1">
      <c r="B542" s="6"/>
      <c r="D542" s="76"/>
    </row>
    <row r="543" ht="15.75" customHeight="1">
      <c r="B543" s="6"/>
      <c r="D543" s="76"/>
    </row>
    <row r="544" ht="15.75" customHeight="1">
      <c r="B544" s="6"/>
      <c r="D544" s="76"/>
    </row>
    <row r="545" ht="15.75" customHeight="1">
      <c r="B545" s="6"/>
      <c r="D545" s="76"/>
    </row>
    <row r="546" ht="15.75" customHeight="1">
      <c r="B546" s="6"/>
      <c r="D546" s="76"/>
    </row>
    <row r="547" ht="15.75" customHeight="1">
      <c r="B547" s="6"/>
      <c r="D547" s="76"/>
    </row>
    <row r="548" ht="15.75" customHeight="1">
      <c r="B548" s="6"/>
      <c r="D548" s="76"/>
    </row>
    <row r="549" ht="15.75" customHeight="1">
      <c r="B549" s="6"/>
      <c r="D549" s="76"/>
    </row>
    <row r="550" ht="15.75" customHeight="1">
      <c r="B550" s="6"/>
      <c r="D550" s="76"/>
    </row>
    <row r="551" ht="15.75" customHeight="1">
      <c r="B551" s="6"/>
      <c r="D551" s="76"/>
    </row>
    <row r="552" ht="15.75" customHeight="1">
      <c r="B552" s="6"/>
      <c r="D552" s="76"/>
    </row>
    <row r="553" ht="15.75" customHeight="1">
      <c r="B553" s="6"/>
      <c r="D553" s="76"/>
    </row>
    <row r="554" ht="15.75" customHeight="1">
      <c r="B554" s="6"/>
      <c r="D554" s="76"/>
    </row>
    <row r="555" ht="15.75" customHeight="1">
      <c r="B555" s="6"/>
      <c r="D555" s="76"/>
    </row>
    <row r="556" ht="15.75" customHeight="1">
      <c r="B556" s="6"/>
      <c r="D556" s="76"/>
    </row>
    <row r="557" ht="15.75" customHeight="1">
      <c r="B557" s="6"/>
      <c r="D557" s="76"/>
    </row>
    <row r="558" ht="15.75" customHeight="1">
      <c r="B558" s="6"/>
      <c r="D558" s="76"/>
    </row>
    <row r="559" ht="15.75" customHeight="1">
      <c r="B559" s="6"/>
      <c r="D559" s="76"/>
    </row>
    <row r="560" ht="15.75" customHeight="1">
      <c r="B560" s="6"/>
      <c r="D560" s="76"/>
    </row>
    <row r="561" ht="15.75" customHeight="1">
      <c r="B561" s="6"/>
      <c r="D561" s="76"/>
    </row>
    <row r="562" ht="15.75" customHeight="1">
      <c r="B562" s="6"/>
      <c r="D562" s="76"/>
    </row>
    <row r="563" ht="15.75" customHeight="1">
      <c r="B563" s="6"/>
      <c r="D563" s="76"/>
    </row>
    <row r="564" ht="15.75" customHeight="1">
      <c r="B564" s="6"/>
      <c r="D564" s="76"/>
    </row>
    <row r="565" ht="15.75" customHeight="1">
      <c r="B565" s="6"/>
      <c r="D565" s="76"/>
    </row>
    <row r="566" ht="15.75" customHeight="1">
      <c r="B566" s="6"/>
      <c r="D566" s="76"/>
    </row>
    <row r="567" ht="15.75" customHeight="1">
      <c r="B567" s="6"/>
      <c r="D567" s="76"/>
    </row>
    <row r="568" ht="15.75" customHeight="1">
      <c r="B568" s="6"/>
      <c r="D568" s="76"/>
    </row>
    <row r="569" ht="15.75" customHeight="1">
      <c r="B569" s="6"/>
      <c r="D569" s="76"/>
    </row>
    <row r="570" ht="15.75" customHeight="1">
      <c r="B570" s="6"/>
      <c r="D570" s="76"/>
    </row>
    <row r="571" ht="15.75" customHeight="1">
      <c r="B571" s="6"/>
      <c r="D571" s="76"/>
    </row>
    <row r="572" ht="15.75" customHeight="1">
      <c r="B572" s="6"/>
      <c r="D572" s="76"/>
    </row>
    <row r="573" ht="15.75" customHeight="1">
      <c r="B573" s="6"/>
      <c r="D573" s="76"/>
    </row>
    <row r="574" ht="15.75" customHeight="1">
      <c r="B574" s="6"/>
      <c r="D574" s="76"/>
    </row>
    <row r="575" ht="15.75" customHeight="1">
      <c r="B575" s="6"/>
      <c r="D575" s="76"/>
    </row>
    <row r="576" ht="15.75" customHeight="1">
      <c r="B576" s="6"/>
      <c r="D576" s="76"/>
    </row>
    <row r="577" ht="15.75" customHeight="1">
      <c r="B577" s="6"/>
      <c r="D577" s="76"/>
    </row>
    <row r="578" ht="15.75" customHeight="1">
      <c r="B578" s="6"/>
      <c r="D578" s="76"/>
    </row>
    <row r="579" ht="15.75" customHeight="1">
      <c r="B579" s="6"/>
      <c r="D579" s="76"/>
    </row>
    <row r="580" ht="15.75" customHeight="1">
      <c r="B580" s="6"/>
      <c r="D580" s="76"/>
    </row>
    <row r="581" ht="15.75" customHeight="1">
      <c r="B581" s="6"/>
      <c r="D581" s="76"/>
    </row>
    <row r="582" ht="15.75" customHeight="1">
      <c r="B582" s="6"/>
      <c r="D582" s="76"/>
    </row>
    <row r="583" ht="15.75" customHeight="1">
      <c r="B583" s="6"/>
      <c r="D583" s="76"/>
    </row>
    <row r="584" ht="15.75" customHeight="1">
      <c r="B584" s="6"/>
      <c r="D584" s="76"/>
    </row>
    <row r="585" ht="15.75" customHeight="1">
      <c r="B585" s="6"/>
      <c r="D585" s="76"/>
    </row>
    <row r="586" ht="15.75" customHeight="1">
      <c r="B586" s="6"/>
      <c r="D586" s="76"/>
    </row>
    <row r="587" ht="15.75" customHeight="1">
      <c r="B587" s="6"/>
      <c r="D587" s="76"/>
    </row>
    <row r="588" ht="15.75" customHeight="1">
      <c r="B588" s="6"/>
      <c r="D588" s="76"/>
    </row>
    <row r="589" ht="15.75" customHeight="1">
      <c r="B589" s="6"/>
      <c r="D589" s="76"/>
    </row>
    <row r="590" ht="15.75" customHeight="1">
      <c r="B590" s="6"/>
      <c r="D590" s="76"/>
    </row>
    <row r="591" ht="15.75" customHeight="1">
      <c r="B591" s="6"/>
      <c r="D591" s="76"/>
    </row>
    <row r="592" ht="15.75" customHeight="1">
      <c r="B592" s="6"/>
      <c r="D592" s="76"/>
    </row>
    <row r="593" ht="15.75" customHeight="1">
      <c r="B593" s="6"/>
      <c r="D593" s="76"/>
    </row>
    <row r="594" ht="15.75" customHeight="1">
      <c r="B594" s="6"/>
      <c r="D594" s="76"/>
    </row>
    <row r="595" ht="15.75" customHeight="1">
      <c r="B595" s="6"/>
      <c r="D595" s="76"/>
    </row>
    <row r="596" ht="15.75" customHeight="1">
      <c r="B596" s="6"/>
      <c r="D596" s="76"/>
    </row>
    <row r="597" ht="15.75" customHeight="1">
      <c r="B597" s="6"/>
      <c r="D597" s="76"/>
    </row>
    <row r="598" ht="15.75" customHeight="1">
      <c r="B598" s="6"/>
      <c r="D598" s="76"/>
    </row>
    <row r="599" ht="15.75" customHeight="1">
      <c r="B599" s="6"/>
      <c r="D599" s="76"/>
    </row>
    <row r="600" ht="15.75" customHeight="1">
      <c r="B600" s="6"/>
      <c r="D600" s="76"/>
    </row>
    <row r="601" ht="15.75" customHeight="1">
      <c r="B601" s="6"/>
      <c r="D601" s="76"/>
    </row>
    <row r="602" ht="15.75" customHeight="1">
      <c r="B602" s="6"/>
      <c r="D602" s="76"/>
    </row>
    <row r="603" ht="15.75" customHeight="1">
      <c r="B603" s="6"/>
      <c r="D603" s="76"/>
    </row>
    <row r="604" ht="15.75" customHeight="1">
      <c r="B604" s="6"/>
      <c r="D604" s="76"/>
    </row>
    <row r="605" ht="15.75" customHeight="1">
      <c r="B605" s="6"/>
      <c r="D605" s="76"/>
    </row>
    <row r="606" ht="15.75" customHeight="1">
      <c r="B606" s="6"/>
      <c r="D606" s="76"/>
    </row>
    <row r="607" ht="15.75" customHeight="1">
      <c r="B607" s="6"/>
      <c r="D607" s="76"/>
    </row>
    <row r="608" ht="15.75" customHeight="1">
      <c r="B608" s="6"/>
      <c r="D608" s="76"/>
    </row>
    <row r="609" ht="15.75" customHeight="1">
      <c r="B609" s="6"/>
      <c r="D609" s="76"/>
    </row>
    <row r="610" ht="15.75" customHeight="1">
      <c r="B610" s="6"/>
      <c r="D610" s="76"/>
    </row>
    <row r="611" ht="15.75" customHeight="1">
      <c r="B611" s="6"/>
      <c r="D611" s="76"/>
    </row>
    <row r="612" ht="15.75" customHeight="1">
      <c r="B612" s="6"/>
      <c r="D612" s="76"/>
    </row>
    <row r="613" ht="15.75" customHeight="1">
      <c r="B613" s="6"/>
      <c r="D613" s="76"/>
    </row>
    <row r="614" ht="15.75" customHeight="1">
      <c r="B614" s="6"/>
      <c r="D614" s="76"/>
    </row>
    <row r="615" ht="15.75" customHeight="1">
      <c r="B615" s="6"/>
      <c r="D615" s="76"/>
    </row>
    <row r="616" ht="15.75" customHeight="1">
      <c r="B616" s="6"/>
      <c r="D616" s="76"/>
    </row>
    <row r="617" ht="15.75" customHeight="1">
      <c r="B617" s="6"/>
      <c r="D617" s="76"/>
    </row>
    <row r="618" ht="15.75" customHeight="1">
      <c r="B618" s="6"/>
      <c r="D618" s="76"/>
    </row>
    <row r="619" ht="15.75" customHeight="1">
      <c r="B619" s="6"/>
      <c r="D619" s="76"/>
    </row>
    <row r="620" ht="15.75" customHeight="1">
      <c r="B620" s="6"/>
      <c r="D620" s="76"/>
    </row>
    <row r="621" ht="15.75" customHeight="1">
      <c r="B621" s="6"/>
      <c r="D621" s="76"/>
    </row>
    <row r="622" ht="15.75" customHeight="1">
      <c r="B622" s="6"/>
      <c r="D622" s="76"/>
    </row>
    <row r="623" ht="15.75" customHeight="1">
      <c r="B623" s="6"/>
      <c r="D623" s="76"/>
    </row>
    <row r="624" ht="15.75" customHeight="1">
      <c r="B624" s="6"/>
      <c r="D624" s="76"/>
    </row>
    <row r="625" ht="15.75" customHeight="1">
      <c r="B625" s="6"/>
      <c r="D625" s="76"/>
    </row>
    <row r="626" ht="15.75" customHeight="1">
      <c r="B626" s="6"/>
      <c r="D626" s="76"/>
    </row>
    <row r="627" ht="15.75" customHeight="1">
      <c r="B627" s="6"/>
      <c r="D627" s="76"/>
    </row>
    <row r="628" ht="15.75" customHeight="1">
      <c r="B628" s="6"/>
      <c r="D628" s="76"/>
    </row>
    <row r="629" ht="15.75" customHeight="1">
      <c r="B629" s="6"/>
      <c r="D629" s="76"/>
    </row>
    <row r="630" ht="15.75" customHeight="1">
      <c r="B630" s="6"/>
      <c r="D630" s="76"/>
    </row>
    <row r="631" ht="15.75" customHeight="1">
      <c r="B631" s="6"/>
      <c r="D631" s="76"/>
    </row>
    <row r="632" ht="15.75" customHeight="1">
      <c r="B632" s="6"/>
      <c r="D632" s="76"/>
    </row>
    <row r="633" ht="15.75" customHeight="1">
      <c r="B633" s="6"/>
      <c r="D633" s="76"/>
    </row>
    <row r="634" ht="15.75" customHeight="1">
      <c r="B634" s="6"/>
      <c r="D634" s="76"/>
    </row>
    <row r="635" ht="15.75" customHeight="1">
      <c r="B635" s="6"/>
      <c r="D635" s="76"/>
    </row>
    <row r="636" ht="15.75" customHeight="1">
      <c r="B636" s="6"/>
      <c r="D636" s="76"/>
    </row>
    <row r="637" ht="15.75" customHeight="1">
      <c r="B637" s="6"/>
      <c r="D637" s="76"/>
    </row>
    <row r="638" ht="15.75" customHeight="1">
      <c r="B638" s="6"/>
      <c r="D638" s="76"/>
    </row>
    <row r="639" ht="15.75" customHeight="1">
      <c r="B639" s="6"/>
      <c r="D639" s="76"/>
    </row>
    <row r="640" ht="15.75" customHeight="1">
      <c r="B640" s="6"/>
      <c r="D640" s="76"/>
    </row>
    <row r="641" ht="15.75" customHeight="1">
      <c r="B641" s="6"/>
      <c r="D641" s="76"/>
    </row>
    <row r="642" ht="15.75" customHeight="1">
      <c r="B642" s="6"/>
      <c r="D642" s="76"/>
    </row>
    <row r="643" ht="15.75" customHeight="1">
      <c r="B643" s="6"/>
      <c r="D643" s="76"/>
    </row>
    <row r="644" ht="15.75" customHeight="1">
      <c r="B644" s="6"/>
      <c r="D644" s="76"/>
    </row>
    <row r="645" ht="15.75" customHeight="1">
      <c r="B645" s="6"/>
      <c r="D645" s="76"/>
    </row>
    <row r="646" ht="15.75" customHeight="1">
      <c r="B646" s="6"/>
      <c r="D646" s="76"/>
    </row>
    <row r="647" ht="15.75" customHeight="1">
      <c r="B647" s="6"/>
      <c r="D647" s="76"/>
    </row>
    <row r="648" ht="15.75" customHeight="1">
      <c r="B648" s="6"/>
      <c r="D648" s="76"/>
    </row>
    <row r="649" ht="15.75" customHeight="1">
      <c r="B649" s="6"/>
      <c r="D649" s="76"/>
    </row>
    <row r="650" ht="15.75" customHeight="1">
      <c r="B650" s="6"/>
      <c r="D650" s="76"/>
    </row>
    <row r="651" ht="15.75" customHeight="1">
      <c r="B651" s="6"/>
      <c r="D651" s="76"/>
    </row>
    <row r="652" ht="15.75" customHeight="1">
      <c r="B652" s="6"/>
      <c r="D652" s="76"/>
    </row>
    <row r="653" ht="15.75" customHeight="1">
      <c r="B653" s="6"/>
      <c r="D653" s="76"/>
    </row>
    <row r="654" ht="15.75" customHeight="1">
      <c r="B654" s="6"/>
      <c r="D654" s="76"/>
    </row>
    <row r="655" ht="15.75" customHeight="1">
      <c r="B655" s="6"/>
      <c r="D655" s="76"/>
    </row>
    <row r="656" ht="15.75" customHeight="1">
      <c r="B656" s="6"/>
      <c r="D656" s="76"/>
    </row>
    <row r="657" ht="15.75" customHeight="1">
      <c r="B657" s="6"/>
      <c r="D657" s="76"/>
    </row>
    <row r="658" ht="15.75" customHeight="1">
      <c r="B658" s="6"/>
      <c r="D658" s="76"/>
    </row>
    <row r="659" ht="15.75" customHeight="1">
      <c r="B659" s="6"/>
      <c r="D659" s="76"/>
    </row>
    <row r="660" ht="15.75" customHeight="1">
      <c r="B660" s="6"/>
      <c r="D660" s="76"/>
    </row>
    <row r="661" ht="15.75" customHeight="1">
      <c r="B661" s="6"/>
      <c r="D661" s="76"/>
    </row>
    <row r="662" ht="15.75" customHeight="1">
      <c r="B662" s="6"/>
      <c r="D662" s="76"/>
    </row>
    <row r="663" ht="15.75" customHeight="1">
      <c r="B663" s="6"/>
      <c r="D663" s="76"/>
    </row>
    <row r="664" ht="15.75" customHeight="1">
      <c r="B664" s="6"/>
      <c r="D664" s="76"/>
    </row>
    <row r="665" ht="15.75" customHeight="1">
      <c r="B665" s="6"/>
      <c r="D665" s="76"/>
    </row>
    <row r="666" ht="15.75" customHeight="1">
      <c r="B666" s="6"/>
      <c r="D666" s="76"/>
    </row>
    <row r="667" ht="15.75" customHeight="1">
      <c r="B667" s="6"/>
      <c r="D667" s="76"/>
    </row>
    <row r="668" ht="15.75" customHeight="1">
      <c r="B668" s="6"/>
      <c r="D668" s="76"/>
    </row>
    <row r="669" ht="15.75" customHeight="1">
      <c r="B669" s="6"/>
      <c r="D669" s="76"/>
    </row>
    <row r="670" ht="15.75" customHeight="1">
      <c r="B670" s="6"/>
      <c r="D670" s="76"/>
    </row>
    <row r="671" ht="15.75" customHeight="1">
      <c r="B671" s="6"/>
      <c r="D671" s="76"/>
    </row>
    <row r="672" ht="15.75" customHeight="1">
      <c r="B672" s="6"/>
      <c r="D672" s="76"/>
    </row>
    <row r="673" ht="15.75" customHeight="1">
      <c r="B673" s="6"/>
      <c r="D673" s="76"/>
    </row>
    <row r="674" ht="15.75" customHeight="1">
      <c r="B674" s="6"/>
      <c r="D674" s="76"/>
    </row>
    <row r="675" ht="15.75" customHeight="1">
      <c r="B675" s="6"/>
      <c r="D675" s="76"/>
    </row>
    <row r="676" ht="15.75" customHeight="1">
      <c r="B676" s="6"/>
      <c r="D676" s="76"/>
    </row>
    <row r="677" ht="15.75" customHeight="1">
      <c r="B677" s="6"/>
      <c r="D677" s="76"/>
    </row>
    <row r="678" ht="15.75" customHeight="1">
      <c r="B678" s="6"/>
      <c r="D678" s="76"/>
    </row>
    <row r="679" ht="15.75" customHeight="1">
      <c r="B679" s="6"/>
      <c r="D679" s="76"/>
    </row>
    <row r="680" ht="15.75" customHeight="1">
      <c r="B680" s="6"/>
      <c r="D680" s="76"/>
    </row>
    <row r="681" ht="15.75" customHeight="1">
      <c r="B681" s="6"/>
      <c r="D681" s="76"/>
    </row>
    <row r="682" ht="15.75" customHeight="1">
      <c r="B682" s="6"/>
      <c r="D682" s="76"/>
    </row>
    <row r="683" ht="15.75" customHeight="1">
      <c r="B683" s="6"/>
      <c r="D683" s="76"/>
    </row>
    <row r="684" ht="15.75" customHeight="1">
      <c r="B684" s="6"/>
      <c r="D684" s="76"/>
    </row>
    <row r="685" ht="15.75" customHeight="1">
      <c r="B685" s="6"/>
      <c r="D685" s="76"/>
    </row>
    <row r="686" ht="15.75" customHeight="1">
      <c r="B686" s="6"/>
      <c r="D686" s="76"/>
    </row>
    <row r="687" ht="15.75" customHeight="1">
      <c r="B687" s="6"/>
      <c r="D687" s="76"/>
    </row>
    <row r="688" ht="15.75" customHeight="1">
      <c r="B688" s="6"/>
      <c r="D688" s="76"/>
    </row>
    <row r="689" ht="15.75" customHeight="1">
      <c r="B689" s="6"/>
      <c r="D689" s="76"/>
    </row>
    <row r="690" ht="15.75" customHeight="1">
      <c r="B690" s="6"/>
      <c r="D690" s="76"/>
    </row>
    <row r="691" ht="15.75" customHeight="1">
      <c r="B691" s="6"/>
      <c r="D691" s="76"/>
    </row>
    <row r="692" ht="15.75" customHeight="1">
      <c r="B692" s="6"/>
      <c r="D692" s="76"/>
    </row>
    <row r="693" ht="15.75" customHeight="1">
      <c r="B693" s="6"/>
      <c r="D693" s="76"/>
    </row>
    <row r="694" ht="15.75" customHeight="1">
      <c r="B694" s="6"/>
      <c r="D694" s="76"/>
    </row>
    <row r="695" ht="15.75" customHeight="1">
      <c r="B695" s="6"/>
      <c r="D695" s="76"/>
    </row>
    <row r="696" ht="15.75" customHeight="1">
      <c r="B696" s="6"/>
      <c r="D696" s="76"/>
    </row>
    <row r="697" ht="15.75" customHeight="1">
      <c r="B697" s="6"/>
      <c r="D697" s="76"/>
    </row>
    <row r="698" ht="15.75" customHeight="1">
      <c r="B698" s="6"/>
      <c r="D698" s="76"/>
    </row>
    <row r="699" ht="15.75" customHeight="1">
      <c r="B699" s="6"/>
      <c r="D699" s="76"/>
    </row>
    <row r="700" ht="15.75" customHeight="1">
      <c r="B700" s="6"/>
      <c r="D700" s="76"/>
    </row>
    <row r="701" ht="15.75" customHeight="1">
      <c r="B701" s="6"/>
      <c r="D701" s="76"/>
    </row>
    <row r="702" ht="15.75" customHeight="1">
      <c r="B702" s="6"/>
      <c r="D702" s="76"/>
    </row>
    <row r="703" ht="15.75" customHeight="1">
      <c r="B703" s="6"/>
      <c r="D703" s="76"/>
    </row>
    <row r="704" ht="15.75" customHeight="1">
      <c r="B704" s="6"/>
      <c r="D704" s="76"/>
    </row>
    <row r="705" ht="15.75" customHeight="1">
      <c r="B705" s="6"/>
      <c r="D705" s="76"/>
    </row>
    <row r="706" ht="15.75" customHeight="1">
      <c r="B706" s="6"/>
      <c r="D706" s="76"/>
    </row>
    <row r="707" ht="15.75" customHeight="1">
      <c r="B707" s="6"/>
      <c r="D707" s="76"/>
    </row>
    <row r="708" ht="15.75" customHeight="1">
      <c r="B708" s="6"/>
      <c r="D708" s="76"/>
    </row>
    <row r="709" ht="15.75" customHeight="1">
      <c r="B709" s="6"/>
      <c r="D709" s="76"/>
    </row>
    <row r="710" ht="15.75" customHeight="1">
      <c r="B710" s="6"/>
      <c r="D710" s="76"/>
    </row>
    <row r="711" ht="15.75" customHeight="1">
      <c r="B711" s="6"/>
      <c r="D711" s="76"/>
    </row>
    <row r="712" ht="15.75" customHeight="1">
      <c r="B712" s="6"/>
      <c r="D712" s="76"/>
    </row>
    <row r="713" ht="15.75" customHeight="1">
      <c r="B713" s="6"/>
      <c r="D713" s="76"/>
    </row>
    <row r="714" ht="15.75" customHeight="1">
      <c r="B714" s="6"/>
      <c r="D714" s="76"/>
    </row>
    <row r="715" ht="15.75" customHeight="1">
      <c r="B715" s="6"/>
      <c r="D715" s="76"/>
    </row>
    <row r="716" ht="15.75" customHeight="1">
      <c r="B716" s="6"/>
      <c r="D716" s="76"/>
    </row>
    <row r="717" ht="15.75" customHeight="1">
      <c r="B717" s="6"/>
      <c r="D717" s="76"/>
    </row>
    <row r="718" ht="15.75" customHeight="1">
      <c r="B718" s="6"/>
      <c r="D718" s="76"/>
    </row>
    <row r="719" ht="15.75" customHeight="1">
      <c r="B719" s="6"/>
      <c r="D719" s="76"/>
    </row>
    <row r="720" ht="15.75" customHeight="1">
      <c r="B720" s="6"/>
      <c r="D720" s="76"/>
    </row>
    <row r="721" ht="15.75" customHeight="1">
      <c r="B721" s="6"/>
      <c r="D721" s="76"/>
    </row>
    <row r="722" ht="15.75" customHeight="1">
      <c r="B722" s="6"/>
      <c r="D722" s="76"/>
    </row>
    <row r="723" ht="15.75" customHeight="1">
      <c r="B723" s="6"/>
      <c r="D723" s="76"/>
    </row>
    <row r="724" ht="15.75" customHeight="1">
      <c r="B724" s="6"/>
      <c r="D724" s="76"/>
    </row>
    <row r="725" ht="15.75" customHeight="1">
      <c r="B725" s="6"/>
      <c r="D725" s="76"/>
    </row>
    <row r="726" ht="15.75" customHeight="1">
      <c r="B726" s="6"/>
      <c r="D726" s="76"/>
    </row>
    <row r="727" ht="15.75" customHeight="1">
      <c r="B727" s="6"/>
      <c r="D727" s="76"/>
    </row>
    <row r="728" ht="15.75" customHeight="1">
      <c r="B728" s="6"/>
      <c r="D728" s="76"/>
    </row>
    <row r="729" ht="15.75" customHeight="1">
      <c r="B729" s="6"/>
      <c r="D729" s="76"/>
    </row>
    <row r="730" ht="15.75" customHeight="1">
      <c r="B730" s="6"/>
      <c r="D730" s="76"/>
    </row>
    <row r="731" ht="15.75" customHeight="1">
      <c r="B731" s="6"/>
      <c r="D731" s="76"/>
    </row>
    <row r="732" ht="15.75" customHeight="1">
      <c r="B732" s="6"/>
      <c r="D732" s="76"/>
    </row>
    <row r="733" ht="15.75" customHeight="1">
      <c r="B733" s="6"/>
      <c r="D733" s="76"/>
    </row>
    <row r="734" ht="15.75" customHeight="1">
      <c r="B734" s="6"/>
      <c r="D734" s="76"/>
    </row>
    <row r="735" ht="15.75" customHeight="1">
      <c r="B735" s="6"/>
      <c r="D735" s="76"/>
    </row>
    <row r="736" ht="15.75" customHeight="1">
      <c r="B736" s="6"/>
      <c r="D736" s="76"/>
    </row>
    <row r="737" ht="15.75" customHeight="1">
      <c r="B737" s="6"/>
      <c r="D737" s="76"/>
    </row>
    <row r="738" ht="15.75" customHeight="1">
      <c r="B738" s="6"/>
      <c r="D738" s="76"/>
    </row>
    <row r="739" ht="15.75" customHeight="1">
      <c r="B739" s="6"/>
      <c r="D739" s="76"/>
    </row>
    <row r="740" ht="15.75" customHeight="1">
      <c r="B740" s="6"/>
      <c r="D740" s="76"/>
    </row>
    <row r="741" ht="15.75" customHeight="1">
      <c r="B741" s="6"/>
      <c r="D741" s="76"/>
    </row>
    <row r="742" ht="15.75" customHeight="1">
      <c r="B742" s="6"/>
      <c r="D742" s="76"/>
    </row>
    <row r="743" ht="15.75" customHeight="1">
      <c r="B743" s="6"/>
      <c r="D743" s="76"/>
    </row>
    <row r="744" ht="15.75" customHeight="1">
      <c r="B744" s="6"/>
      <c r="D744" s="76"/>
    </row>
    <row r="745" ht="15.75" customHeight="1">
      <c r="B745" s="6"/>
      <c r="D745" s="76"/>
    </row>
    <row r="746" ht="15.75" customHeight="1">
      <c r="B746" s="6"/>
      <c r="D746" s="76"/>
    </row>
    <row r="747" ht="15.75" customHeight="1">
      <c r="B747" s="6"/>
      <c r="D747" s="76"/>
    </row>
    <row r="748" ht="15.75" customHeight="1">
      <c r="B748" s="6"/>
      <c r="D748" s="76"/>
    </row>
    <row r="749" ht="15.75" customHeight="1">
      <c r="B749" s="6"/>
      <c r="D749" s="76"/>
    </row>
    <row r="750" ht="15.75" customHeight="1">
      <c r="B750" s="6"/>
      <c r="D750" s="76"/>
    </row>
    <row r="751" ht="15.75" customHeight="1">
      <c r="B751" s="6"/>
      <c r="D751" s="76"/>
    </row>
    <row r="752" ht="15.75" customHeight="1">
      <c r="B752" s="6"/>
      <c r="D752" s="76"/>
    </row>
    <row r="753" ht="15.75" customHeight="1">
      <c r="B753" s="6"/>
      <c r="D753" s="76"/>
    </row>
    <row r="754" ht="15.75" customHeight="1">
      <c r="B754" s="6"/>
      <c r="D754" s="76"/>
    </row>
    <row r="755" ht="15.75" customHeight="1">
      <c r="B755" s="6"/>
      <c r="D755" s="76"/>
    </row>
    <row r="756" ht="15.75" customHeight="1">
      <c r="B756" s="6"/>
      <c r="D756" s="76"/>
    </row>
    <row r="757" ht="15.75" customHeight="1">
      <c r="B757" s="6"/>
      <c r="D757" s="76"/>
    </row>
    <row r="758" ht="15.75" customHeight="1">
      <c r="B758" s="6"/>
      <c r="D758" s="76"/>
    </row>
    <row r="759" ht="15.75" customHeight="1">
      <c r="B759" s="6"/>
      <c r="D759" s="76"/>
    </row>
    <row r="760" ht="15.75" customHeight="1">
      <c r="B760" s="6"/>
      <c r="D760" s="76"/>
    </row>
    <row r="761" ht="15.75" customHeight="1">
      <c r="B761" s="6"/>
      <c r="D761" s="76"/>
    </row>
    <row r="762" ht="15.75" customHeight="1">
      <c r="B762" s="6"/>
      <c r="D762" s="76"/>
    </row>
    <row r="763" ht="15.75" customHeight="1">
      <c r="B763" s="6"/>
      <c r="D763" s="76"/>
    </row>
    <row r="764" ht="15.75" customHeight="1">
      <c r="B764" s="6"/>
      <c r="D764" s="76"/>
    </row>
    <row r="765" ht="15.75" customHeight="1">
      <c r="B765" s="6"/>
      <c r="D765" s="76"/>
    </row>
    <row r="766" ht="15.75" customHeight="1">
      <c r="B766" s="6"/>
      <c r="D766" s="76"/>
    </row>
    <row r="767" ht="15.75" customHeight="1">
      <c r="B767" s="6"/>
      <c r="D767" s="76"/>
    </row>
    <row r="768" ht="15.75" customHeight="1">
      <c r="B768" s="6"/>
      <c r="D768" s="76"/>
    </row>
    <row r="769" ht="15.75" customHeight="1">
      <c r="B769" s="6"/>
      <c r="D769" s="76"/>
    </row>
    <row r="770" ht="15.75" customHeight="1">
      <c r="B770" s="6"/>
      <c r="D770" s="76"/>
    </row>
    <row r="771" ht="15.75" customHeight="1">
      <c r="B771" s="6"/>
      <c r="D771" s="76"/>
    </row>
    <row r="772" ht="15.75" customHeight="1">
      <c r="B772" s="6"/>
      <c r="D772" s="76"/>
    </row>
    <row r="773" ht="15.75" customHeight="1">
      <c r="B773" s="6"/>
      <c r="D773" s="76"/>
    </row>
    <row r="774" ht="15.75" customHeight="1">
      <c r="B774" s="6"/>
      <c r="D774" s="76"/>
    </row>
    <row r="775" ht="15.75" customHeight="1">
      <c r="B775" s="6"/>
      <c r="D775" s="76"/>
    </row>
    <row r="776" ht="15.75" customHeight="1">
      <c r="B776" s="6"/>
      <c r="D776" s="76"/>
    </row>
    <row r="777" ht="15.75" customHeight="1">
      <c r="B777" s="6"/>
      <c r="D777" s="76"/>
    </row>
    <row r="778" ht="15.75" customHeight="1">
      <c r="B778" s="6"/>
      <c r="D778" s="76"/>
    </row>
    <row r="779" ht="15.75" customHeight="1">
      <c r="B779" s="6"/>
      <c r="D779" s="76"/>
    </row>
    <row r="780" ht="15.75" customHeight="1">
      <c r="B780" s="6"/>
      <c r="D780" s="76"/>
    </row>
    <row r="781" ht="15.75" customHeight="1">
      <c r="B781" s="6"/>
      <c r="D781" s="76"/>
    </row>
    <row r="782" ht="15.75" customHeight="1">
      <c r="B782" s="6"/>
      <c r="D782" s="76"/>
    </row>
    <row r="783" ht="15.75" customHeight="1">
      <c r="B783" s="6"/>
      <c r="D783" s="76"/>
    </row>
    <row r="784" ht="15.75" customHeight="1">
      <c r="B784" s="6"/>
      <c r="D784" s="76"/>
    </row>
    <row r="785" ht="15.75" customHeight="1">
      <c r="B785" s="6"/>
      <c r="D785" s="76"/>
    </row>
    <row r="786" ht="15.75" customHeight="1">
      <c r="B786" s="6"/>
      <c r="D786" s="76"/>
    </row>
    <row r="787" ht="15.75" customHeight="1">
      <c r="B787" s="6"/>
      <c r="D787" s="76"/>
    </row>
    <row r="788" ht="15.75" customHeight="1">
      <c r="B788" s="6"/>
      <c r="D788" s="76"/>
    </row>
    <row r="789" ht="15.75" customHeight="1">
      <c r="B789" s="6"/>
      <c r="D789" s="76"/>
    </row>
    <row r="790" ht="15.75" customHeight="1">
      <c r="B790" s="6"/>
      <c r="D790" s="76"/>
    </row>
    <row r="791" ht="15.75" customHeight="1">
      <c r="B791" s="6"/>
      <c r="D791" s="76"/>
    </row>
    <row r="792" ht="15.75" customHeight="1">
      <c r="B792" s="6"/>
      <c r="D792" s="76"/>
    </row>
    <row r="793" ht="15.75" customHeight="1">
      <c r="B793" s="6"/>
      <c r="D793" s="76"/>
    </row>
    <row r="794" ht="15.75" customHeight="1">
      <c r="B794" s="6"/>
      <c r="D794" s="76"/>
    </row>
    <row r="795" ht="15.75" customHeight="1">
      <c r="B795" s="6"/>
      <c r="D795" s="76"/>
    </row>
    <row r="796" ht="15.75" customHeight="1">
      <c r="B796" s="6"/>
      <c r="D796" s="76"/>
    </row>
    <row r="797" ht="15.75" customHeight="1">
      <c r="B797" s="6"/>
      <c r="D797" s="76"/>
    </row>
    <row r="798" ht="15.75" customHeight="1">
      <c r="B798" s="6"/>
      <c r="D798" s="76"/>
    </row>
    <row r="799" ht="15.75" customHeight="1">
      <c r="B799" s="6"/>
      <c r="D799" s="76"/>
    </row>
    <row r="800" ht="15.75" customHeight="1">
      <c r="B800" s="6"/>
      <c r="D800" s="76"/>
    </row>
    <row r="801" ht="15.75" customHeight="1">
      <c r="B801" s="6"/>
      <c r="D801" s="76"/>
    </row>
    <row r="802" ht="15.75" customHeight="1">
      <c r="B802" s="6"/>
      <c r="D802" s="76"/>
    </row>
    <row r="803" ht="15.75" customHeight="1">
      <c r="B803" s="6"/>
      <c r="D803" s="76"/>
    </row>
    <row r="804" ht="15.75" customHeight="1">
      <c r="B804" s="6"/>
      <c r="D804" s="76"/>
    </row>
    <row r="805" ht="15.75" customHeight="1">
      <c r="B805" s="6"/>
      <c r="D805" s="76"/>
    </row>
    <row r="806" ht="15.75" customHeight="1">
      <c r="B806" s="6"/>
      <c r="D806" s="76"/>
    </row>
    <row r="807" ht="15.75" customHeight="1">
      <c r="B807" s="6"/>
      <c r="D807" s="76"/>
    </row>
    <row r="808" ht="15.75" customHeight="1">
      <c r="B808" s="6"/>
      <c r="D808" s="76"/>
    </row>
    <row r="809" ht="15.75" customHeight="1">
      <c r="B809" s="6"/>
      <c r="D809" s="76"/>
    </row>
    <row r="810" ht="15.75" customHeight="1">
      <c r="B810" s="6"/>
      <c r="D810" s="76"/>
    </row>
    <row r="811" ht="15.75" customHeight="1">
      <c r="B811" s="6"/>
      <c r="D811" s="76"/>
    </row>
    <row r="812" ht="15.75" customHeight="1">
      <c r="B812" s="6"/>
      <c r="D812" s="76"/>
    </row>
    <row r="813" ht="15.75" customHeight="1">
      <c r="B813" s="6"/>
      <c r="D813" s="76"/>
    </row>
    <row r="814" ht="15.75" customHeight="1">
      <c r="B814" s="6"/>
      <c r="D814" s="76"/>
    </row>
    <row r="815" ht="15.75" customHeight="1">
      <c r="B815" s="6"/>
      <c r="D815" s="76"/>
    </row>
    <row r="816" ht="15.75" customHeight="1">
      <c r="B816" s="6"/>
      <c r="D816" s="76"/>
    </row>
    <row r="817" ht="15.75" customHeight="1">
      <c r="B817" s="6"/>
      <c r="D817" s="76"/>
    </row>
    <row r="818" ht="15.75" customHeight="1">
      <c r="B818" s="6"/>
      <c r="D818" s="76"/>
    </row>
    <row r="819" ht="15.75" customHeight="1">
      <c r="B819" s="6"/>
      <c r="D819" s="76"/>
    </row>
    <row r="820" ht="15.75" customHeight="1">
      <c r="B820" s="6"/>
      <c r="D820" s="76"/>
    </row>
    <row r="821" ht="15.75" customHeight="1">
      <c r="B821" s="6"/>
      <c r="D821" s="76"/>
    </row>
    <row r="822" ht="15.75" customHeight="1">
      <c r="B822" s="6"/>
      <c r="D822" s="76"/>
    </row>
    <row r="823" ht="15.75" customHeight="1">
      <c r="B823" s="6"/>
      <c r="D823" s="76"/>
    </row>
    <row r="824" ht="15.75" customHeight="1">
      <c r="B824" s="6"/>
      <c r="D824" s="76"/>
    </row>
    <row r="825" ht="15.75" customHeight="1">
      <c r="B825" s="6"/>
      <c r="D825" s="76"/>
    </row>
    <row r="826" ht="15.75" customHeight="1">
      <c r="B826" s="6"/>
      <c r="D826" s="76"/>
    </row>
    <row r="827" ht="15.75" customHeight="1">
      <c r="B827" s="6"/>
      <c r="D827" s="76"/>
    </row>
    <row r="828" ht="15.75" customHeight="1">
      <c r="B828" s="6"/>
      <c r="D828" s="76"/>
    </row>
    <row r="829" ht="15.75" customHeight="1">
      <c r="B829" s="6"/>
      <c r="D829" s="76"/>
    </row>
    <row r="830" ht="15.75" customHeight="1">
      <c r="B830" s="6"/>
      <c r="D830" s="76"/>
    </row>
    <row r="831" ht="15.75" customHeight="1">
      <c r="B831" s="6"/>
      <c r="D831" s="76"/>
    </row>
    <row r="832" ht="15.75" customHeight="1">
      <c r="B832" s="6"/>
      <c r="D832" s="76"/>
    </row>
    <row r="833" ht="15.75" customHeight="1">
      <c r="B833" s="6"/>
      <c r="D833" s="76"/>
    </row>
    <row r="834" ht="15.75" customHeight="1">
      <c r="B834" s="6"/>
      <c r="D834" s="76"/>
    </row>
    <row r="835" ht="15.75" customHeight="1">
      <c r="B835" s="6"/>
      <c r="D835" s="76"/>
    </row>
    <row r="836" ht="15.75" customHeight="1">
      <c r="B836" s="6"/>
      <c r="D836" s="76"/>
    </row>
    <row r="837" ht="15.75" customHeight="1">
      <c r="B837" s="6"/>
      <c r="D837" s="76"/>
    </row>
    <row r="838" ht="15.75" customHeight="1">
      <c r="B838" s="6"/>
      <c r="D838" s="76"/>
    </row>
    <row r="839" ht="15.75" customHeight="1">
      <c r="B839" s="6"/>
      <c r="D839" s="76"/>
    </row>
    <row r="840" ht="15.75" customHeight="1">
      <c r="B840" s="6"/>
      <c r="D840" s="76"/>
    </row>
    <row r="841" ht="15.75" customHeight="1">
      <c r="B841" s="6"/>
      <c r="D841" s="76"/>
    </row>
    <row r="842" ht="15.75" customHeight="1">
      <c r="B842" s="6"/>
      <c r="D842" s="76"/>
    </row>
    <row r="843" ht="15.75" customHeight="1">
      <c r="B843" s="6"/>
      <c r="D843" s="76"/>
    </row>
    <row r="844" ht="15.75" customHeight="1">
      <c r="B844" s="6"/>
      <c r="D844" s="76"/>
    </row>
    <row r="845" ht="15.75" customHeight="1">
      <c r="B845" s="6"/>
      <c r="D845" s="76"/>
    </row>
    <row r="846" ht="15.75" customHeight="1">
      <c r="B846" s="6"/>
      <c r="D846" s="76"/>
    </row>
    <row r="847" ht="15.75" customHeight="1">
      <c r="B847" s="6"/>
      <c r="D847" s="76"/>
    </row>
    <row r="848" ht="15.75" customHeight="1">
      <c r="B848" s="6"/>
      <c r="D848" s="76"/>
    </row>
    <row r="849" ht="15.75" customHeight="1">
      <c r="B849" s="6"/>
      <c r="D849" s="76"/>
    </row>
    <row r="850" ht="15.75" customHeight="1">
      <c r="B850" s="6"/>
      <c r="D850" s="76"/>
    </row>
    <row r="851" ht="15.75" customHeight="1">
      <c r="B851" s="6"/>
      <c r="D851" s="76"/>
    </row>
    <row r="852" ht="15.75" customHeight="1">
      <c r="B852" s="6"/>
      <c r="D852" s="76"/>
    </row>
    <row r="853" ht="15.75" customHeight="1">
      <c r="B853" s="6"/>
      <c r="D853" s="76"/>
    </row>
    <row r="854" ht="15.75" customHeight="1">
      <c r="B854" s="6"/>
      <c r="D854" s="76"/>
    </row>
    <row r="855" ht="15.75" customHeight="1">
      <c r="B855" s="6"/>
      <c r="D855" s="76"/>
    </row>
    <row r="856" ht="15.75" customHeight="1">
      <c r="B856" s="6"/>
      <c r="D856" s="76"/>
    </row>
    <row r="857" ht="15.75" customHeight="1">
      <c r="B857" s="6"/>
      <c r="D857" s="76"/>
    </row>
    <row r="858" ht="15.75" customHeight="1">
      <c r="B858" s="6"/>
      <c r="D858" s="76"/>
    </row>
    <row r="859" ht="15.75" customHeight="1">
      <c r="B859" s="6"/>
      <c r="D859" s="76"/>
    </row>
    <row r="860" ht="15.75" customHeight="1">
      <c r="B860" s="6"/>
      <c r="D860" s="76"/>
    </row>
    <row r="861" ht="15.75" customHeight="1">
      <c r="B861" s="6"/>
      <c r="D861" s="76"/>
    </row>
    <row r="862" ht="15.75" customHeight="1">
      <c r="B862" s="6"/>
      <c r="D862" s="76"/>
    </row>
    <row r="863" ht="15.75" customHeight="1">
      <c r="B863" s="6"/>
      <c r="D863" s="76"/>
    </row>
    <row r="864" ht="15.75" customHeight="1">
      <c r="B864" s="6"/>
      <c r="D864" s="76"/>
    </row>
    <row r="865" ht="15.75" customHeight="1">
      <c r="B865" s="6"/>
      <c r="D865" s="76"/>
    </row>
    <row r="866" ht="15.75" customHeight="1">
      <c r="B866" s="6"/>
      <c r="D866" s="76"/>
    </row>
    <row r="867" ht="15.75" customHeight="1">
      <c r="B867" s="6"/>
      <c r="D867" s="76"/>
    </row>
    <row r="868" ht="15.75" customHeight="1">
      <c r="B868" s="6"/>
      <c r="D868" s="76"/>
    </row>
    <row r="869" ht="15.75" customHeight="1">
      <c r="B869" s="6"/>
      <c r="D869" s="76"/>
    </row>
    <row r="870" ht="15.75" customHeight="1">
      <c r="B870" s="6"/>
      <c r="D870" s="76"/>
    </row>
    <row r="871" ht="15.75" customHeight="1">
      <c r="B871" s="6"/>
      <c r="D871" s="76"/>
    </row>
    <row r="872" ht="15.75" customHeight="1">
      <c r="B872" s="6"/>
      <c r="D872" s="76"/>
    </row>
    <row r="873" ht="15.75" customHeight="1">
      <c r="B873" s="6"/>
      <c r="D873" s="76"/>
    </row>
    <row r="874" ht="15.75" customHeight="1">
      <c r="B874" s="6"/>
      <c r="D874" s="76"/>
    </row>
    <row r="875" ht="15.75" customHeight="1">
      <c r="B875" s="6"/>
      <c r="D875" s="76"/>
    </row>
    <row r="876" ht="15.75" customHeight="1">
      <c r="B876" s="6"/>
      <c r="D876" s="76"/>
    </row>
    <row r="877" ht="15.75" customHeight="1">
      <c r="B877" s="6"/>
      <c r="D877" s="76"/>
    </row>
    <row r="878" ht="15.75" customHeight="1">
      <c r="B878" s="6"/>
      <c r="D878" s="76"/>
    </row>
    <row r="879" ht="15.75" customHeight="1">
      <c r="B879" s="6"/>
      <c r="D879" s="76"/>
    </row>
    <row r="880" ht="15.75" customHeight="1">
      <c r="B880" s="6"/>
      <c r="D880" s="76"/>
    </row>
    <row r="881" ht="15.75" customHeight="1">
      <c r="B881" s="6"/>
      <c r="D881" s="76"/>
    </row>
    <row r="882" ht="15.75" customHeight="1">
      <c r="B882" s="6"/>
      <c r="D882" s="76"/>
    </row>
    <row r="883" ht="15.75" customHeight="1">
      <c r="B883" s="6"/>
      <c r="D883" s="76"/>
    </row>
    <row r="884" ht="15.75" customHeight="1">
      <c r="B884" s="6"/>
      <c r="D884" s="76"/>
    </row>
    <row r="885" ht="15.75" customHeight="1">
      <c r="B885" s="6"/>
      <c r="D885" s="76"/>
    </row>
    <row r="886" ht="15.75" customHeight="1">
      <c r="B886" s="6"/>
      <c r="D886" s="76"/>
    </row>
    <row r="887" ht="15.75" customHeight="1">
      <c r="B887" s="6"/>
      <c r="D887" s="76"/>
    </row>
    <row r="888" ht="15.75" customHeight="1">
      <c r="B888" s="6"/>
      <c r="D888" s="76"/>
    </row>
    <row r="889" ht="15.75" customHeight="1">
      <c r="B889" s="6"/>
      <c r="D889" s="76"/>
    </row>
    <row r="890" ht="15.75" customHeight="1">
      <c r="B890" s="6"/>
      <c r="D890" s="76"/>
    </row>
    <row r="891" ht="15.75" customHeight="1">
      <c r="B891" s="6"/>
      <c r="D891" s="76"/>
    </row>
    <row r="892" ht="15.75" customHeight="1">
      <c r="B892" s="6"/>
      <c r="D892" s="76"/>
    </row>
    <row r="893" ht="15.75" customHeight="1">
      <c r="B893" s="6"/>
      <c r="D893" s="76"/>
    </row>
    <row r="894" ht="15.75" customHeight="1">
      <c r="B894" s="6"/>
      <c r="D894" s="76"/>
    </row>
    <row r="895" ht="15.75" customHeight="1">
      <c r="B895" s="6"/>
      <c r="D895" s="76"/>
    </row>
    <row r="896" ht="15.75" customHeight="1">
      <c r="B896" s="6"/>
      <c r="D896" s="76"/>
    </row>
    <row r="897" ht="15.75" customHeight="1">
      <c r="B897" s="6"/>
      <c r="D897" s="76"/>
    </row>
    <row r="898" ht="15.75" customHeight="1">
      <c r="B898" s="6"/>
      <c r="D898" s="76"/>
    </row>
    <row r="899" ht="15.75" customHeight="1">
      <c r="B899" s="6"/>
      <c r="D899" s="76"/>
    </row>
    <row r="900" ht="15.75" customHeight="1">
      <c r="B900" s="6"/>
      <c r="D900" s="76"/>
    </row>
    <row r="901" ht="15.75" customHeight="1">
      <c r="B901" s="6"/>
      <c r="D901" s="76"/>
    </row>
    <row r="902" ht="15.75" customHeight="1">
      <c r="B902" s="6"/>
      <c r="D902" s="76"/>
    </row>
    <row r="903" ht="15.75" customHeight="1">
      <c r="B903" s="6"/>
      <c r="D903" s="76"/>
    </row>
    <row r="904" ht="15.75" customHeight="1">
      <c r="B904" s="6"/>
      <c r="D904" s="76"/>
    </row>
    <row r="905" ht="15.75" customHeight="1">
      <c r="B905" s="6"/>
      <c r="D905" s="76"/>
    </row>
    <row r="906" ht="15.75" customHeight="1">
      <c r="B906" s="6"/>
      <c r="D906" s="76"/>
    </row>
    <row r="907" ht="15.75" customHeight="1">
      <c r="B907" s="6"/>
      <c r="D907" s="76"/>
    </row>
    <row r="908" ht="15.75" customHeight="1">
      <c r="B908" s="6"/>
      <c r="D908" s="76"/>
    </row>
    <row r="909" ht="15.75" customHeight="1">
      <c r="B909" s="6"/>
      <c r="D909" s="76"/>
    </row>
    <row r="910" ht="15.75" customHeight="1">
      <c r="B910" s="6"/>
      <c r="D910" s="76"/>
    </row>
    <row r="911" ht="15.75" customHeight="1">
      <c r="B911" s="6"/>
      <c r="D911" s="76"/>
    </row>
    <row r="912" ht="15.75" customHeight="1">
      <c r="B912" s="6"/>
      <c r="D912" s="76"/>
    </row>
    <row r="913" ht="15.75" customHeight="1">
      <c r="B913" s="6"/>
      <c r="D913" s="76"/>
    </row>
    <row r="914" ht="15.75" customHeight="1">
      <c r="B914" s="6"/>
      <c r="D914" s="76"/>
    </row>
    <row r="915" ht="15.75" customHeight="1">
      <c r="B915" s="6"/>
      <c r="D915" s="76"/>
    </row>
    <row r="916" ht="15.75" customHeight="1">
      <c r="B916" s="6"/>
      <c r="D916" s="76"/>
    </row>
    <row r="917" ht="15.75" customHeight="1">
      <c r="B917" s="6"/>
      <c r="D917" s="76"/>
    </row>
    <row r="918" ht="15.75" customHeight="1">
      <c r="B918" s="6"/>
      <c r="D918" s="76"/>
    </row>
    <row r="919" ht="15.75" customHeight="1">
      <c r="B919" s="6"/>
      <c r="D919" s="76"/>
    </row>
    <row r="920" ht="15.75" customHeight="1">
      <c r="B920" s="6"/>
      <c r="D920" s="76"/>
    </row>
    <row r="921" ht="15.75" customHeight="1">
      <c r="B921" s="6"/>
      <c r="D921" s="76"/>
    </row>
    <row r="922" ht="15.75" customHeight="1">
      <c r="B922" s="6"/>
      <c r="D922" s="76"/>
    </row>
    <row r="923" ht="15.75" customHeight="1">
      <c r="B923" s="6"/>
      <c r="D923" s="76"/>
    </row>
    <row r="924" ht="15.75" customHeight="1">
      <c r="B924" s="6"/>
      <c r="D924" s="76"/>
    </row>
    <row r="925" ht="15.75" customHeight="1">
      <c r="B925" s="6"/>
      <c r="D925" s="76"/>
    </row>
    <row r="926" ht="15.75" customHeight="1">
      <c r="B926" s="6"/>
      <c r="D926" s="76"/>
    </row>
    <row r="927" ht="15.75" customHeight="1">
      <c r="B927" s="6"/>
      <c r="D927" s="76"/>
    </row>
    <row r="928" ht="15.75" customHeight="1">
      <c r="B928" s="6"/>
      <c r="D928" s="76"/>
    </row>
    <row r="929" ht="15.75" customHeight="1">
      <c r="B929" s="6"/>
      <c r="D929" s="76"/>
    </row>
    <row r="930" ht="15.75" customHeight="1">
      <c r="B930" s="6"/>
      <c r="D930" s="76"/>
    </row>
    <row r="931" ht="15.75" customHeight="1">
      <c r="B931" s="6"/>
      <c r="D931" s="76"/>
    </row>
    <row r="932" ht="15.75" customHeight="1">
      <c r="B932" s="6"/>
      <c r="D932" s="76"/>
    </row>
    <row r="933" ht="15.75" customHeight="1">
      <c r="B933" s="6"/>
      <c r="D933" s="76"/>
    </row>
    <row r="934" ht="15.75" customHeight="1">
      <c r="B934" s="6"/>
      <c r="D934" s="76"/>
    </row>
    <row r="935" ht="15.75" customHeight="1">
      <c r="B935" s="6"/>
      <c r="D935" s="76"/>
    </row>
    <row r="936" ht="15.75" customHeight="1">
      <c r="B936" s="6"/>
      <c r="D936" s="76"/>
    </row>
    <row r="937" ht="15.75" customHeight="1">
      <c r="B937" s="6"/>
      <c r="D937" s="76"/>
    </row>
    <row r="938" ht="15.75" customHeight="1">
      <c r="B938" s="6"/>
      <c r="D938" s="76"/>
    </row>
    <row r="939" ht="15.75" customHeight="1">
      <c r="B939" s="6"/>
      <c r="D939" s="76"/>
    </row>
    <row r="940" ht="15.75" customHeight="1">
      <c r="B940" s="6"/>
      <c r="D940" s="76"/>
    </row>
    <row r="941" ht="15.75" customHeight="1">
      <c r="B941" s="6"/>
      <c r="D941" s="76"/>
    </row>
    <row r="942" ht="15.75" customHeight="1">
      <c r="B942" s="6"/>
      <c r="D942" s="76"/>
    </row>
    <row r="943" ht="15.75" customHeight="1">
      <c r="B943" s="6"/>
      <c r="D943" s="76"/>
    </row>
    <row r="944" ht="15.75" customHeight="1">
      <c r="B944" s="6"/>
      <c r="D944" s="76"/>
    </row>
    <row r="945" ht="15.75" customHeight="1">
      <c r="B945" s="6"/>
      <c r="D945" s="76"/>
    </row>
    <row r="946" ht="15.75" customHeight="1">
      <c r="B946" s="6"/>
      <c r="D946" s="76"/>
    </row>
    <row r="947" ht="15.75" customHeight="1">
      <c r="B947" s="6"/>
      <c r="D947" s="76"/>
    </row>
    <row r="948" ht="15.75" customHeight="1">
      <c r="B948" s="6"/>
      <c r="D948" s="76"/>
    </row>
    <row r="949" ht="15.75" customHeight="1">
      <c r="B949" s="6"/>
      <c r="D949" s="76"/>
    </row>
    <row r="950" ht="15.75" customHeight="1">
      <c r="B950" s="6"/>
      <c r="D950" s="76"/>
    </row>
    <row r="951" ht="15.75" customHeight="1">
      <c r="B951" s="6"/>
      <c r="D951" s="76"/>
    </row>
    <row r="952" ht="15.75" customHeight="1">
      <c r="B952" s="6"/>
      <c r="D952" s="76"/>
    </row>
    <row r="953" ht="15.75" customHeight="1">
      <c r="B953" s="6"/>
      <c r="D953" s="76"/>
    </row>
    <row r="954" ht="15.75" customHeight="1">
      <c r="B954" s="6"/>
      <c r="D954" s="76"/>
    </row>
    <row r="955" ht="15.75" customHeight="1">
      <c r="B955" s="6"/>
      <c r="D955" s="76"/>
    </row>
    <row r="956" ht="15.75" customHeight="1">
      <c r="B956" s="6"/>
      <c r="D956" s="76"/>
    </row>
    <row r="957" ht="15.75" customHeight="1">
      <c r="B957" s="6"/>
      <c r="D957" s="76"/>
    </row>
    <row r="958" ht="15.75" customHeight="1">
      <c r="B958" s="6"/>
      <c r="D958" s="76"/>
    </row>
    <row r="959" ht="15.75" customHeight="1">
      <c r="B959" s="6"/>
      <c r="D959" s="76"/>
    </row>
    <row r="960" ht="15.75" customHeight="1">
      <c r="B960" s="6"/>
      <c r="D960" s="76"/>
    </row>
    <row r="961" ht="15.75" customHeight="1">
      <c r="B961" s="6"/>
      <c r="D961" s="76"/>
    </row>
    <row r="962" ht="15.75" customHeight="1">
      <c r="B962" s="6"/>
      <c r="D962" s="76"/>
    </row>
    <row r="963" ht="15.75" customHeight="1">
      <c r="B963" s="6"/>
      <c r="D963" s="76"/>
    </row>
    <row r="964" ht="15.75" customHeight="1">
      <c r="B964" s="6"/>
      <c r="D964" s="76"/>
    </row>
    <row r="965" ht="15.75" customHeight="1">
      <c r="B965" s="6"/>
      <c r="D965" s="76"/>
    </row>
    <row r="966" ht="15.75" customHeight="1">
      <c r="B966" s="6"/>
      <c r="D966" s="76"/>
    </row>
    <row r="967" ht="15.75" customHeight="1">
      <c r="B967" s="6"/>
      <c r="D967" s="76"/>
    </row>
    <row r="968" ht="15.75" customHeight="1">
      <c r="B968" s="6"/>
      <c r="D968" s="76"/>
    </row>
    <row r="969" ht="15.75" customHeight="1">
      <c r="B969" s="6"/>
      <c r="D969" s="76"/>
    </row>
    <row r="970" ht="15.75" customHeight="1">
      <c r="B970" s="6"/>
      <c r="D970" s="76"/>
    </row>
    <row r="971" ht="15.75" customHeight="1">
      <c r="B971" s="6"/>
      <c r="D971" s="76"/>
    </row>
    <row r="972" ht="15.75" customHeight="1">
      <c r="B972" s="6"/>
      <c r="D972" s="76"/>
    </row>
    <row r="973" ht="15.75" customHeight="1">
      <c r="B973" s="6"/>
      <c r="D973" s="76"/>
    </row>
    <row r="974" ht="15.75" customHeight="1">
      <c r="B974" s="6"/>
      <c r="D974" s="76"/>
    </row>
    <row r="975" ht="15.75" customHeight="1">
      <c r="B975" s="6"/>
      <c r="D975" s="76"/>
    </row>
    <row r="976" ht="15.75" customHeight="1">
      <c r="B976" s="6"/>
      <c r="D976" s="76"/>
    </row>
    <row r="977" ht="15.75" customHeight="1">
      <c r="B977" s="6"/>
      <c r="D977" s="76"/>
    </row>
    <row r="978" ht="15.75" customHeight="1">
      <c r="B978" s="6"/>
      <c r="D978" s="76"/>
    </row>
    <row r="979" ht="15.75" customHeight="1">
      <c r="B979" s="6"/>
      <c r="D979" s="76"/>
    </row>
    <row r="980" ht="15.75" customHeight="1">
      <c r="B980" s="6"/>
      <c r="D980" s="76"/>
    </row>
    <row r="981" ht="15.75" customHeight="1">
      <c r="B981" s="6"/>
      <c r="D981" s="76"/>
    </row>
    <row r="982" ht="15.75" customHeight="1">
      <c r="B982" s="6"/>
      <c r="D982" s="76"/>
    </row>
    <row r="983" ht="15.75" customHeight="1">
      <c r="B983" s="6"/>
      <c r="D983" s="76"/>
    </row>
    <row r="984" ht="15.75" customHeight="1">
      <c r="B984" s="6"/>
      <c r="D984" s="76"/>
    </row>
    <row r="985" ht="15.75" customHeight="1">
      <c r="B985" s="6"/>
      <c r="D985" s="76"/>
    </row>
    <row r="986" ht="15.75" customHeight="1">
      <c r="B986" s="6"/>
      <c r="D986" s="76"/>
    </row>
    <row r="987" ht="15.75" customHeight="1">
      <c r="B987" s="6"/>
      <c r="D987" s="76"/>
    </row>
    <row r="988" ht="15.75" customHeight="1">
      <c r="B988" s="6"/>
      <c r="D988" s="76"/>
    </row>
    <row r="989" ht="15.75" customHeight="1">
      <c r="B989" s="6"/>
      <c r="D989" s="76"/>
    </row>
    <row r="990" ht="15.75" customHeight="1">
      <c r="B990" s="6"/>
      <c r="D990" s="76"/>
    </row>
    <row r="991" ht="15.75" customHeight="1">
      <c r="B991" s="6"/>
      <c r="D991" s="76"/>
    </row>
    <row r="992" ht="15.75" customHeight="1">
      <c r="B992" s="6"/>
      <c r="D992" s="76"/>
    </row>
    <row r="993" ht="15.75" customHeight="1">
      <c r="B993" s="6"/>
      <c r="D993" s="76"/>
    </row>
    <row r="994" ht="15.75" customHeight="1">
      <c r="B994" s="6"/>
      <c r="D994" s="76"/>
    </row>
    <row r="995" ht="15.75" customHeight="1">
      <c r="B995" s="6"/>
      <c r="D995" s="76"/>
    </row>
    <row r="996" ht="15.75" customHeight="1">
      <c r="B996" s="6"/>
      <c r="D996" s="76"/>
    </row>
    <row r="997" ht="15.75" customHeight="1">
      <c r="B997" s="6"/>
      <c r="D997" s="76"/>
    </row>
    <row r="998" ht="15.75" customHeight="1">
      <c r="B998" s="6"/>
      <c r="D998" s="76"/>
    </row>
    <row r="999" ht="15.75" customHeight="1">
      <c r="B999" s="6"/>
      <c r="D999" s="76"/>
    </row>
    <row r="1000" ht="15.75" customHeight="1">
      <c r="B1000" s="6"/>
      <c r="D1000" s="76"/>
    </row>
  </sheetData>
  <dataValidations>
    <dataValidation type="list" allowBlank="1" showErrorMessage="1" sqref="J4:K231">
      <formula1>"Ita Ernia,Rudi Dwi Yanto,Badrul Komar,Moch Anis Fatony"</formula1>
    </dataValidation>
    <dataValidation type="list" allowBlank="1" showErrorMessage="1" sqref="F4:F231">
      <formula1>ABSENSI!$B$7:$B$38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hidden="1" min="2" max="2" width="7.71"/>
    <col customWidth="1" min="3" max="4" width="20.14"/>
    <col customWidth="1" min="5" max="5" width="25.86"/>
    <col customWidth="1" min="6" max="6" width="17.71"/>
    <col customWidth="1" min="7" max="7" width="18.43"/>
    <col customWidth="1" min="8" max="18" width="8.71"/>
  </cols>
  <sheetData>
    <row r="1">
      <c r="E1" s="76"/>
    </row>
    <row r="2">
      <c r="E2" s="76"/>
    </row>
    <row r="3">
      <c r="A3" s="161" t="s">
        <v>122</v>
      </c>
      <c r="B3" s="161" t="s">
        <v>1301</v>
      </c>
      <c r="C3" s="212" t="s">
        <v>123</v>
      </c>
      <c r="D3" s="212" t="s">
        <v>1348</v>
      </c>
      <c r="E3" s="213" t="s">
        <v>1349</v>
      </c>
      <c r="F3" s="214" t="s">
        <v>1350</v>
      </c>
      <c r="G3" s="214" t="s">
        <v>128</v>
      </c>
      <c r="H3" s="167"/>
      <c r="K3" s="167"/>
      <c r="L3" s="167"/>
      <c r="M3" s="167"/>
      <c r="N3" s="167"/>
      <c r="O3" s="167"/>
      <c r="P3" s="167"/>
      <c r="Q3" s="167"/>
      <c r="R3" s="167"/>
    </row>
    <row r="4">
      <c r="A4" s="215">
        <v>1.0</v>
      </c>
      <c r="B4" s="169">
        <f>COUNTA(GROOMING!$D4)</f>
        <v>0</v>
      </c>
      <c r="C4" s="216"/>
      <c r="D4" s="179"/>
      <c r="E4" s="207"/>
      <c r="F4" s="217"/>
      <c r="G4" s="217"/>
    </row>
    <row r="5">
      <c r="A5" s="215">
        <v>2.0</v>
      </c>
      <c r="B5" s="169">
        <f>COUNTA(GROOMING!$D5)</f>
        <v>0</v>
      </c>
      <c r="C5" s="216"/>
      <c r="D5" s="179"/>
      <c r="E5" s="207"/>
      <c r="F5" s="217"/>
      <c r="G5" s="217"/>
    </row>
    <row r="6">
      <c r="A6" s="215">
        <v>3.0</v>
      </c>
      <c r="B6" s="169">
        <f>COUNTA(GROOMING!$D6)</f>
        <v>0</v>
      </c>
      <c r="C6" s="216"/>
      <c r="D6" s="179"/>
      <c r="E6" s="207"/>
      <c r="F6" s="217"/>
      <c r="G6" s="217"/>
    </row>
    <row r="7">
      <c r="A7" s="215">
        <v>4.0</v>
      </c>
      <c r="B7" s="169">
        <f>COUNTA(GROOMING!$D7)</f>
        <v>0</v>
      </c>
      <c r="C7" s="216"/>
      <c r="D7" s="179"/>
      <c r="E7" s="207"/>
      <c r="F7" s="217"/>
      <c r="G7" s="217"/>
    </row>
    <row r="8">
      <c r="A8" s="215">
        <v>5.0</v>
      </c>
      <c r="B8" s="169">
        <f>COUNTA(GROOMING!$D8)</f>
        <v>0</v>
      </c>
      <c r="C8" s="216"/>
      <c r="D8" s="179"/>
      <c r="E8" s="207"/>
      <c r="F8" s="217"/>
      <c r="G8" s="217"/>
    </row>
    <row r="9">
      <c r="A9" s="215">
        <v>6.0</v>
      </c>
      <c r="B9" s="169">
        <f>COUNTA(GROOMING!$D9)</f>
        <v>0</v>
      </c>
      <c r="C9" s="216"/>
      <c r="D9" s="179"/>
      <c r="E9" s="207"/>
      <c r="F9" s="217"/>
      <c r="G9" s="217"/>
    </row>
    <row r="10">
      <c r="A10" s="215">
        <v>7.0</v>
      </c>
      <c r="B10" s="169">
        <f>COUNTA(GROOMING!$D10)</f>
        <v>0</v>
      </c>
      <c r="C10" s="216"/>
      <c r="D10" s="179"/>
      <c r="E10" s="207"/>
      <c r="F10" s="217"/>
      <c r="G10" s="217"/>
    </row>
    <row r="11">
      <c r="A11" s="215">
        <v>8.0</v>
      </c>
      <c r="B11" s="169">
        <f>COUNTA(GROOMING!$D11)</f>
        <v>0</v>
      </c>
      <c r="C11" s="216"/>
      <c r="D11" s="179"/>
      <c r="E11" s="207"/>
      <c r="F11" s="217"/>
      <c r="G11" s="217"/>
    </row>
    <row r="12">
      <c r="A12" s="215">
        <v>9.0</v>
      </c>
      <c r="B12" s="169">
        <f>COUNTA(GROOMING!$D12)</f>
        <v>0</v>
      </c>
      <c r="C12" s="216"/>
      <c r="D12" s="179"/>
      <c r="E12" s="207"/>
      <c r="F12" s="217"/>
      <c r="G12" s="217"/>
    </row>
    <row r="13">
      <c r="A13" s="215">
        <v>10.0</v>
      </c>
      <c r="B13" s="169">
        <f>COUNTA(GROOMING!$D13)</f>
        <v>0</v>
      </c>
      <c r="C13" s="216"/>
      <c r="D13" s="179"/>
      <c r="E13" s="207"/>
      <c r="F13" s="217"/>
      <c r="G13" s="217"/>
    </row>
    <row r="14">
      <c r="A14" s="215">
        <v>11.0</v>
      </c>
      <c r="B14" s="169">
        <f>COUNTA(GROOMING!$D14)</f>
        <v>0</v>
      </c>
      <c r="C14" s="216"/>
      <c r="D14" s="179"/>
      <c r="E14" s="207"/>
      <c r="F14" s="217"/>
      <c r="G14" s="217"/>
    </row>
    <row r="15">
      <c r="A15" s="215">
        <v>12.0</v>
      </c>
      <c r="B15" s="169">
        <f>COUNTA(GROOMING!$D15)</f>
        <v>0</v>
      </c>
      <c r="C15" s="216"/>
      <c r="D15" s="179"/>
      <c r="E15" s="207"/>
      <c r="F15" s="217"/>
      <c r="G15" s="217"/>
    </row>
    <row r="16">
      <c r="A16" s="215">
        <v>13.0</v>
      </c>
      <c r="B16" s="169">
        <f>COUNTA(GROOMING!$D16)</f>
        <v>0</v>
      </c>
      <c r="C16" s="216"/>
      <c r="D16" s="179"/>
      <c r="E16" s="207"/>
      <c r="F16" s="217"/>
      <c r="G16" s="217"/>
    </row>
    <row r="17">
      <c r="A17" s="215">
        <v>14.0</v>
      </c>
      <c r="B17" s="169">
        <f>COUNTA(GROOMING!$D17)</f>
        <v>0</v>
      </c>
      <c r="C17" s="216"/>
      <c r="D17" s="179"/>
      <c r="E17" s="207"/>
      <c r="F17" s="217"/>
      <c r="G17" s="217"/>
    </row>
    <row r="18">
      <c r="A18" s="215">
        <v>15.0</v>
      </c>
      <c r="B18" s="169">
        <f>COUNTA(GROOMING!$D18)</f>
        <v>0</v>
      </c>
      <c r="C18" s="216"/>
      <c r="D18" s="179"/>
      <c r="E18" s="207"/>
      <c r="F18" s="217"/>
      <c r="G18" s="217"/>
    </row>
    <row r="19">
      <c r="A19" s="215">
        <v>16.0</v>
      </c>
      <c r="B19" s="169">
        <f>COUNTA(GROOMING!$D19)</f>
        <v>0</v>
      </c>
      <c r="C19" s="216"/>
      <c r="D19" s="179"/>
      <c r="E19" s="207"/>
      <c r="F19" s="217"/>
      <c r="G19" s="217"/>
    </row>
    <row r="20">
      <c r="A20" s="215">
        <v>17.0</v>
      </c>
      <c r="B20" s="169">
        <f>COUNTA(GROOMING!$D20)</f>
        <v>0</v>
      </c>
      <c r="C20" s="216"/>
      <c r="D20" s="179"/>
      <c r="E20" s="207"/>
      <c r="F20" s="217"/>
      <c r="G20" s="217"/>
    </row>
    <row r="21" ht="15.75" customHeight="1">
      <c r="A21" s="215">
        <v>18.0</v>
      </c>
      <c r="B21" s="169">
        <f>COUNTA(GROOMING!$D21)</f>
        <v>0</v>
      </c>
      <c r="C21" s="216"/>
      <c r="D21" s="179"/>
      <c r="E21" s="207"/>
      <c r="F21" s="217"/>
      <c r="G21" s="217"/>
    </row>
    <row r="22" ht="15.75" customHeight="1">
      <c r="A22" s="215">
        <v>19.0</v>
      </c>
      <c r="B22" s="169">
        <f>COUNTA(GROOMING!$D22)</f>
        <v>0</v>
      </c>
      <c r="C22" s="216"/>
      <c r="D22" s="179"/>
      <c r="E22" s="207"/>
      <c r="F22" s="217"/>
      <c r="G22" s="217"/>
    </row>
    <row r="23" ht="15.75" customHeight="1">
      <c r="A23" s="215">
        <v>20.0</v>
      </c>
      <c r="B23" s="169">
        <f>COUNTA(GROOMING!$D23)</f>
        <v>0</v>
      </c>
      <c r="C23" s="216"/>
      <c r="D23" s="179"/>
      <c r="E23" s="207"/>
      <c r="F23" s="217"/>
      <c r="G23" s="217"/>
    </row>
    <row r="24" ht="15.75" customHeight="1">
      <c r="A24" s="215">
        <v>21.0</v>
      </c>
      <c r="B24" s="169">
        <f>COUNTA(GROOMING!$D24)</f>
        <v>0</v>
      </c>
      <c r="C24" s="216"/>
      <c r="D24" s="179"/>
      <c r="E24" s="207"/>
      <c r="F24" s="217"/>
      <c r="G24" s="217"/>
    </row>
    <row r="25" ht="15.75" customHeight="1">
      <c r="A25" s="215">
        <v>22.0</v>
      </c>
      <c r="B25" s="169">
        <f>COUNTA(GROOMING!$D25)</f>
        <v>0</v>
      </c>
      <c r="C25" s="216"/>
      <c r="D25" s="179"/>
      <c r="E25" s="207"/>
      <c r="F25" s="217"/>
      <c r="G25" s="217"/>
    </row>
    <row r="26" ht="15.75" customHeight="1">
      <c r="A26" s="215">
        <v>23.0</v>
      </c>
      <c r="B26" s="169">
        <f>COUNTA(GROOMING!$D26)</f>
        <v>0</v>
      </c>
      <c r="C26" s="216"/>
      <c r="D26" s="179"/>
      <c r="E26" s="207"/>
      <c r="F26" s="217"/>
      <c r="G26" s="217"/>
    </row>
    <row r="27" ht="15.75" customHeight="1">
      <c r="A27" s="215">
        <v>24.0</v>
      </c>
      <c r="B27" s="169">
        <f>COUNTA(GROOMING!$D27)</f>
        <v>0</v>
      </c>
      <c r="C27" s="216"/>
      <c r="D27" s="179"/>
      <c r="E27" s="207"/>
      <c r="F27" s="217"/>
      <c r="G27" s="217"/>
    </row>
    <row r="28" ht="15.75" customHeight="1">
      <c r="A28" s="215">
        <v>25.0</v>
      </c>
      <c r="B28" s="169">
        <f>COUNTA(GROOMING!$D28)</f>
        <v>0</v>
      </c>
      <c r="C28" s="216"/>
      <c r="D28" s="179"/>
      <c r="E28" s="207"/>
      <c r="F28" s="217"/>
      <c r="G28" s="217"/>
    </row>
    <row r="29" ht="15.75" customHeight="1">
      <c r="A29" s="215">
        <v>26.0</v>
      </c>
      <c r="B29" s="169">
        <f>COUNTA(GROOMING!$D29)</f>
        <v>0</v>
      </c>
      <c r="C29" s="216"/>
      <c r="D29" s="179"/>
      <c r="E29" s="207"/>
      <c r="F29" s="217"/>
      <c r="G29" s="217"/>
    </row>
    <row r="30" ht="15.75" customHeight="1">
      <c r="A30" s="215">
        <v>27.0</v>
      </c>
      <c r="B30" s="169">
        <f>COUNTA(GROOMING!$D30)</f>
        <v>0</v>
      </c>
      <c r="C30" s="216"/>
      <c r="D30" s="179"/>
      <c r="E30" s="207"/>
      <c r="F30" s="217"/>
      <c r="G30" s="217"/>
    </row>
    <row r="31" ht="15.75" customHeight="1">
      <c r="A31" s="215">
        <v>28.0</v>
      </c>
      <c r="B31" s="169">
        <f>COUNTA(GROOMING!$D31)</f>
        <v>0</v>
      </c>
      <c r="C31" s="216"/>
      <c r="D31" s="179"/>
      <c r="E31" s="207"/>
      <c r="F31" s="217"/>
      <c r="G31" s="217"/>
    </row>
    <row r="32" ht="15.75" customHeight="1">
      <c r="A32" s="215">
        <v>29.0</v>
      </c>
      <c r="B32" s="169">
        <f>COUNTA(GROOMING!$D32)</f>
        <v>0</v>
      </c>
      <c r="C32" s="216"/>
      <c r="D32" s="179"/>
      <c r="E32" s="207"/>
      <c r="F32" s="217"/>
      <c r="G32" s="217"/>
    </row>
    <row r="33" ht="15.75" customHeight="1">
      <c r="A33" s="215">
        <v>30.0</v>
      </c>
      <c r="B33" s="169">
        <f>COUNTA(GROOMING!$D33)</f>
        <v>0</v>
      </c>
      <c r="C33" s="216"/>
      <c r="D33" s="179"/>
      <c r="E33" s="207"/>
      <c r="F33" s="217"/>
      <c r="G33" s="217"/>
    </row>
    <row r="34" ht="15.75" customHeight="1">
      <c r="A34" s="215">
        <v>31.0</v>
      </c>
      <c r="B34" s="169">
        <f>COUNTA(GROOMING!$D34)</f>
        <v>0</v>
      </c>
      <c r="C34" s="216"/>
      <c r="D34" s="179"/>
      <c r="E34" s="207"/>
      <c r="F34" s="217"/>
      <c r="G34" s="217"/>
    </row>
    <row r="35" ht="15.75" customHeight="1">
      <c r="A35" s="215">
        <v>32.0</v>
      </c>
      <c r="B35" s="169">
        <f>COUNTA(GROOMING!$D35)</f>
        <v>0</v>
      </c>
      <c r="C35" s="216"/>
      <c r="D35" s="179"/>
      <c r="E35" s="207"/>
      <c r="F35" s="217"/>
      <c r="G35" s="217"/>
    </row>
    <row r="36" ht="15.75" customHeight="1">
      <c r="A36" s="215">
        <v>33.0</v>
      </c>
      <c r="B36" s="169">
        <f>COUNTA(GROOMING!$D36)</f>
        <v>0</v>
      </c>
      <c r="C36" s="216"/>
      <c r="D36" s="179"/>
      <c r="E36" s="207"/>
      <c r="F36" s="217"/>
      <c r="G36" s="217"/>
    </row>
    <row r="37" ht="15.75" customHeight="1">
      <c r="A37" s="215">
        <v>34.0</v>
      </c>
      <c r="B37" s="169">
        <f>COUNTA(GROOMING!$D37)</f>
        <v>0</v>
      </c>
      <c r="C37" s="216"/>
      <c r="D37" s="179"/>
      <c r="E37" s="207"/>
      <c r="F37" s="217"/>
      <c r="G37" s="217"/>
    </row>
    <row r="38" ht="15.75" customHeight="1">
      <c r="A38" s="215">
        <v>35.0</v>
      </c>
      <c r="B38" s="169">
        <f>COUNTA(GROOMING!$D38)</f>
        <v>0</v>
      </c>
      <c r="C38" s="216"/>
      <c r="D38" s="179"/>
      <c r="E38" s="207"/>
      <c r="F38" s="217"/>
      <c r="G38" s="217"/>
    </row>
    <row r="39" ht="15.75" customHeight="1">
      <c r="A39" s="215">
        <v>36.0</v>
      </c>
      <c r="B39" s="169">
        <f>COUNTA(GROOMING!$D39)</f>
        <v>0</v>
      </c>
      <c r="C39" s="216"/>
      <c r="D39" s="179"/>
      <c r="E39" s="207"/>
      <c r="F39" s="217"/>
      <c r="G39" s="217"/>
    </row>
    <row r="40" ht="15.75" customHeight="1">
      <c r="A40" s="215">
        <v>37.0</v>
      </c>
      <c r="B40" s="169">
        <f>COUNTA(GROOMING!$D40)</f>
        <v>0</v>
      </c>
      <c r="C40" s="216"/>
      <c r="D40" s="179"/>
      <c r="E40" s="207"/>
      <c r="F40" s="217"/>
      <c r="G40" s="217"/>
    </row>
    <row r="41" ht="15.75" customHeight="1">
      <c r="A41" s="215">
        <v>38.0</v>
      </c>
      <c r="B41" s="169">
        <f>COUNTA(GROOMING!$D41)</f>
        <v>0</v>
      </c>
      <c r="C41" s="216"/>
      <c r="D41" s="179"/>
      <c r="E41" s="207"/>
      <c r="F41" s="217"/>
      <c r="G41" s="217"/>
    </row>
    <row r="42" ht="15.75" customHeight="1">
      <c r="A42" s="215">
        <v>39.0</v>
      </c>
      <c r="B42" s="169">
        <f>COUNTA(GROOMING!$D42)</f>
        <v>0</v>
      </c>
      <c r="C42" s="216"/>
      <c r="D42" s="179"/>
      <c r="E42" s="207"/>
      <c r="F42" s="217"/>
      <c r="G42" s="217"/>
    </row>
    <row r="43" ht="15.75" customHeight="1">
      <c r="A43" s="215">
        <v>40.0</v>
      </c>
      <c r="B43" s="169">
        <f>COUNTA(GROOMING!$D43)</f>
        <v>0</v>
      </c>
      <c r="C43" s="216"/>
      <c r="D43" s="179"/>
      <c r="E43" s="207"/>
      <c r="F43" s="217"/>
      <c r="G43" s="217"/>
    </row>
    <row r="44" ht="15.75" customHeight="1">
      <c r="A44" s="215">
        <v>41.0</v>
      </c>
      <c r="B44" s="169">
        <f>COUNTA(GROOMING!$D44)</f>
        <v>0</v>
      </c>
      <c r="C44" s="216"/>
      <c r="D44" s="179"/>
      <c r="E44" s="207"/>
      <c r="F44" s="217"/>
      <c r="G44" s="217"/>
    </row>
    <row r="45" ht="15.75" customHeight="1">
      <c r="A45" s="215">
        <v>42.0</v>
      </c>
      <c r="B45" s="169">
        <f>COUNTA(GROOMING!$D45)</f>
        <v>0</v>
      </c>
      <c r="C45" s="216"/>
      <c r="D45" s="179"/>
      <c r="E45" s="207"/>
      <c r="F45" s="217"/>
      <c r="G45" s="217"/>
    </row>
    <row r="46" ht="15.75" customHeight="1">
      <c r="A46" s="215">
        <v>43.0</v>
      </c>
      <c r="B46" s="169">
        <f>COUNTA(GROOMING!$D46)</f>
        <v>0</v>
      </c>
      <c r="C46" s="216"/>
      <c r="D46" s="179"/>
      <c r="E46" s="207"/>
      <c r="F46" s="217"/>
      <c r="G46" s="217"/>
    </row>
    <row r="47" ht="15.75" customHeight="1">
      <c r="A47" s="215">
        <v>44.0</v>
      </c>
      <c r="B47" s="169">
        <f>COUNTA(GROOMING!$D47)</f>
        <v>0</v>
      </c>
      <c r="C47" s="216"/>
      <c r="D47" s="179"/>
      <c r="E47" s="207"/>
      <c r="F47" s="217"/>
      <c r="G47" s="217"/>
    </row>
    <row r="48" ht="15.75" customHeight="1">
      <c r="A48" s="215">
        <v>45.0</v>
      </c>
      <c r="B48" s="169">
        <f>COUNTA(GROOMING!$D48)</f>
        <v>0</v>
      </c>
      <c r="C48" s="216"/>
      <c r="D48" s="179"/>
      <c r="E48" s="207"/>
      <c r="F48" s="217"/>
      <c r="G48" s="217"/>
    </row>
    <row r="49" ht="15.75" customHeight="1">
      <c r="A49" s="215">
        <v>46.0</v>
      </c>
      <c r="B49" s="169">
        <f>COUNTA(GROOMING!$D49)</f>
        <v>0</v>
      </c>
      <c r="C49" s="216"/>
      <c r="D49" s="179"/>
      <c r="E49" s="207"/>
      <c r="F49" s="217"/>
      <c r="G49" s="217"/>
    </row>
    <row r="50" ht="15.75" customHeight="1">
      <c r="A50" s="215">
        <v>47.0</v>
      </c>
      <c r="B50" s="169">
        <f>COUNTA(GROOMING!$D50)</f>
        <v>0</v>
      </c>
      <c r="C50" s="216"/>
      <c r="D50" s="179"/>
      <c r="E50" s="207"/>
      <c r="F50" s="217"/>
      <c r="G50" s="217"/>
    </row>
    <row r="51" ht="15.75" customHeight="1">
      <c r="A51" s="215">
        <v>48.0</v>
      </c>
      <c r="B51" s="169">
        <f>COUNTA(GROOMING!$D51)</f>
        <v>0</v>
      </c>
      <c r="C51" s="216"/>
      <c r="D51" s="179"/>
      <c r="E51" s="207"/>
      <c r="F51" s="217"/>
      <c r="G51" s="217"/>
    </row>
    <row r="52" ht="15.75" customHeight="1">
      <c r="A52" s="215">
        <v>49.0</v>
      </c>
      <c r="B52" s="169">
        <f>COUNTA(GROOMING!$D52)</f>
        <v>0</v>
      </c>
      <c r="C52" s="216"/>
      <c r="D52" s="179"/>
      <c r="E52" s="207"/>
      <c r="F52" s="217"/>
      <c r="G52" s="217"/>
    </row>
    <row r="53" ht="15.75" customHeight="1">
      <c r="A53" s="215">
        <v>50.0</v>
      </c>
      <c r="B53" s="169">
        <f>COUNTA(GROOMING!$D53)</f>
        <v>0</v>
      </c>
      <c r="C53" s="216"/>
      <c r="D53" s="179"/>
      <c r="E53" s="207"/>
      <c r="F53" s="217"/>
      <c r="G53" s="217"/>
    </row>
    <row r="54" ht="15.75" customHeight="1">
      <c r="A54" s="215">
        <v>51.0</v>
      </c>
      <c r="B54" s="169">
        <f>COUNTA(GROOMING!$D54)</f>
        <v>0</v>
      </c>
      <c r="C54" s="216"/>
      <c r="D54" s="179"/>
      <c r="E54" s="207"/>
      <c r="F54" s="217"/>
      <c r="G54" s="217"/>
    </row>
    <row r="55" ht="15.75" customHeight="1">
      <c r="A55" s="215">
        <v>52.0</v>
      </c>
      <c r="B55" s="169">
        <f>COUNTA(GROOMING!$D55)</f>
        <v>0</v>
      </c>
      <c r="C55" s="216"/>
      <c r="D55" s="179"/>
      <c r="E55" s="207"/>
      <c r="F55" s="217"/>
      <c r="G55" s="217"/>
    </row>
    <row r="56" ht="15.75" customHeight="1">
      <c r="A56" s="215">
        <v>53.0</v>
      </c>
      <c r="B56" s="169">
        <f>COUNTA(GROOMING!$D56)</f>
        <v>0</v>
      </c>
      <c r="C56" s="216"/>
      <c r="D56" s="179"/>
      <c r="E56" s="207"/>
      <c r="F56" s="217"/>
      <c r="G56" s="217"/>
    </row>
    <row r="57" ht="15.75" customHeight="1">
      <c r="A57" s="215">
        <v>54.0</v>
      </c>
      <c r="B57" s="169">
        <f>COUNTA(GROOMING!$D57)</f>
        <v>0</v>
      </c>
      <c r="C57" s="216"/>
      <c r="D57" s="179"/>
      <c r="E57" s="207"/>
      <c r="F57" s="217"/>
      <c r="G57" s="217"/>
    </row>
    <row r="58" ht="15.75" customHeight="1">
      <c r="A58" s="215">
        <v>55.0</v>
      </c>
      <c r="B58" s="169">
        <f>COUNTA(GROOMING!$D58)</f>
        <v>0</v>
      </c>
      <c r="C58" s="216"/>
      <c r="D58" s="179"/>
      <c r="E58" s="207"/>
      <c r="F58" s="217"/>
      <c r="G58" s="217"/>
    </row>
    <row r="59" ht="15.75" customHeight="1">
      <c r="A59" s="215">
        <v>56.0</v>
      </c>
      <c r="B59" s="169">
        <f>COUNTA(GROOMING!$D59)</f>
        <v>0</v>
      </c>
      <c r="C59" s="216"/>
      <c r="D59" s="179"/>
      <c r="E59" s="207"/>
      <c r="F59" s="217"/>
      <c r="G59" s="217"/>
    </row>
    <row r="60" ht="15.75" customHeight="1">
      <c r="A60" s="215">
        <v>57.0</v>
      </c>
      <c r="B60" s="169">
        <f>COUNTA(GROOMING!$D60)</f>
        <v>0</v>
      </c>
      <c r="C60" s="216"/>
      <c r="D60" s="179"/>
      <c r="E60" s="207"/>
      <c r="F60" s="217"/>
      <c r="G60" s="217"/>
    </row>
    <row r="61" ht="15.75" customHeight="1">
      <c r="A61" s="215">
        <v>58.0</v>
      </c>
      <c r="B61" s="169">
        <f>COUNTA(GROOMING!$D61)</f>
        <v>0</v>
      </c>
      <c r="C61" s="216"/>
      <c r="D61" s="179"/>
      <c r="E61" s="207"/>
      <c r="F61" s="217"/>
      <c r="G61" s="217"/>
    </row>
    <row r="62" ht="15.75" customHeight="1">
      <c r="A62" s="215">
        <v>59.0</v>
      </c>
      <c r="B62" s="169">
        <f>COUNTA(GROOMING!$D62)</f>
        <v>0</v>
      </c>
      <c r="C62" s="216"/>
      <c r="D62" s="179"/>
      <c r="E62" s="207"/>
      <c r="F62" s="217"/>
      <c r="G62" s="217"/>
    </row>
    <row r="63" ht="15.75" customHeight="1">
      <c r="A63" s="215">
        <v>60.0</v>
      </c>
      <c r="B63" s="169">
        <f>COUNTA(GROOMING!$D63)</f>
        <v>0</v>
      </c>
      <c r="C63" s="216"/>
      <c r="D63" s="179"/>
      <c r="E63" s="207"/>
      <c r="F63" s="217"/>
      <c r="G63" s="217"/>
    </row>
    <row r="64" ht="15.75" customHeight="1">
      <c r="A64" s="215">
        <v>61.0</v>
      </c>
      <c r="B64" s="169">
        <f>COUNTA(GROOMING!$D64)</f>
        <v>0</v>
      </c>
      <c r="C64" s="216"/>
      <c r="D64" s="179"/>
      <c r="E64" s="207"/>
      <c r="F64" s="217"/>
      <c r="G64" s="217"/>
    </row>
    <row r="65" ht="15.75" customHeight="1">
      <c r="A65" s="215">
        <v>62.0</v>
      </c>
      <c r="B65" s="169">
        <f>COUNTA(GROOMING!$D65)</f>
        <v>0</v>
      </c>
      <c r="C65" s="216"/>
      <c r="D65" s="179"/>
      <c r="E65" s="207"/>
      <c r="F65" s="217"/>
      <c r="G65" s="217"/>
    </row>
    <row r="66" ht="15.75" customHeight="1">
      <c r="A66" s="215">
        <v>63.0</v>
      </c>
      <c r="B66" s="169">
        <f>COUNTA(GROOMING!$D66)</f>
        <v>0</v>
      </c>
      <c r="C66" s="216"/>
      <c r="D66" s="179"/>
      <c r="E66" s="207"/>
      <c r="F66" s="217"/>
      <c r="G66" s="217"/>
    </row>
    <row r="67" ht="15.75" customHeight="1">
      <c r="A67" s="215">
        <v>64.0</v>
      </c>
      <c r="B67" s="169">
        <f>COUNTA(GROOMING!$D67)</f>
        <v>0</v>
      </c>
      <c r="C67" s="216"/>
      <c r="D67" s="179"/>
      <c r="E67" s="207"/>
      <c r="F67" s="217"/>
      <c r="G67" s="217"/>
    </row>
    <row r="68" ht="15.75" customHeight="1">
      <c r="A68" s="215">
        <v>65.0</v>
      </c>
      <c r="B68" s="169">
        <f>COUNTA(GROOMING!$D68)</f>
        <v>0</v>
      </c>
      <c r="C68" s="216"/>
      <c r="D68" s="179"/>
      <c r="E68" s="207"/>
      <c r="F68" s="217"/>
      <c r="G68" s="217"/>
    </row>
    <row r="69" ht="15.75" customHeight="1">
      <c r="A69" s="215">
        <v>66.0</v>
      </c>
      <c r="B69" s="169">
        <f>COUNTA(GROOMING!$D69)</f>
        <v>0</v>
      </c>
      <c r="C69" s="216"/>
      <c r="D69" s="179"/>
      <c r="E69" s="207"/>
      <c r="F69" s="217"/>
      <c r="G69" s="217"/>
    </row>
    <row r="70" ht="15.75" customHeight="1">
      <c r="A70" s="215">
        <v>67.0</v>
      </c>
      <c r="B70" s="169">
        <f>COUNTA(GROOMING!$D70)</f>
        <v>0</v>
      </c>
      <c r="C70" s="216"/>
      <c r="D70" s="179"/>
      <c r="E70" s="207"/>
      <c r="F70" s="217"/>
      <c r="G70" s="217"/>
    </row>
    <row r="71" ht="15.75" customHeight="1">
      <c r="A71" s="215">
        <v>68.0</v>
      </c>
      <c r="B71" s="169">
        <f>COUNTA(GROOMING!$D71)</f>
        <v>0</v>
      </c>
      <c r="C71" s="216"/>
      <c r="D71" s="179"/>
      <c r="E71" s="207"/>
      <c r="F71" s="217"/>
      <c r="G71" s="217"/>
    </row>
    <row r="72" ht="15.75" customHeight="1">
      <c r="A72" s="215">
        <v>69.0</v>
      </c>
      <c r="B72" s="169">
        <f>COUNTA(GROOMING!$D72)</f>
        <v>0</v>
      </c>
      <c r="C72" s="216"/>
      <c r="D72" s="179"/>
      <c r="E72" s="207"/>
      <c r="F72" s="217"/>
      <c r="G72" s="217"/>
    </row>
    <row r="73" ht="15.75" customHeight="1">
      <c r="A73" s="215">
        <v>70.0</v>
      </c>
      <c r="B73" s="169">
        <f>COUNTA(GROOMING!$D73)</f>
        <v>0</v>
      </c>
      <c r="C73" s="216"/>
      <c r="D73" s="179"/>
      <c r="E73" s="207"/>
      <c r="F73" s="217"/>
      <c r="G73" s="217"/>
    </row>
    <row r="74" ht="15.75" customHeight="1">
      <c r="A74" s="215">
        <v>71.0</v>
      </c>
      <c r="B74" s="169">
        <f>COUNTA(GROOMING!$D74)</f>
        <v>0</v>
      </c>
      <c r="C74" s="216"/>
      <c r="D74" s="179"/>
      <c r="E74" s="207"/>
      <c r="F74" s="217"/>
      <c r="G74" s="217"/>
    </row>
    <row r="75" ht="15.75" customHeight="1">
      <c r="A75" s="215">
        <v>72.0</v>
      </c>
      <c r="B75" s="169">
        <f>COUNTA(GROOMING!$D75)</f>
        <v>0</v>
      </c>
      <c r="C75" s="216"/>
      <c r="D75" s="179"/>
      <c r="E75" s="207"/>
      <c r="F75" s="217"/>
      <c r="G75" s="217"/>
    </row>
    <row r="76" ht="15.75" customHeight="1">
      <c r="A76" s="215">
        <v>73.0</v>
      </c>
      <c r="B76" s="169">
        <f>COUNTA(GROOMING!$D76)</f>
        <v>0</v>
      </c>
      <c r="C76" s="216"/>
      <c r="D76" s="179"/>
      <c r="E76" s="207"/>
      <c r="F76" s="217"/>
      <c r="G76" s="217"/>
    </row>
    <row r="77" ht="15.75" customHeight="1">
      <c r="A77" s="215">
        <v>74.0</v>
      </c>
      <c r="B77" s="169">
        <f>COUNTA(GROOMING!$D77)</f>
        <v>0</v>
      </c>
      <c r="C77" s="216"/>
      <c r="D77" s="179"/>
      <c r="E77" s="207"/>
      <c r="F77" s="217"/>
      <c r="G77" s="217"/>
    </row>
    <row r="78" ht="15.75" customHeight="1">
      <c r="A78" s="215">
        <v>75.0</v>
      </c>
      <c r="B78" s="169">
        <f>COUNTA(GROOMING!$D78)</f>
        <v>0</v>
      </c>
      <c r="C78" s="216"/>
      <c r="D78" s="179"/>
      <c r="E78" s="207"/>
      <c r="F78" s="217"/>
      <c r="G78" s="217"/>
    </row>
    <row r="79" ht="15.75" customHeight="1">
      <c r="A79" s="215">
        <v>76.0</v>
      </c>
      <c r="B79" s="169">
        <f>COUNTA(GROOMING!$D79)</f>
        <v>0</v>
      </c>
      <c r="C79" s="216"/>
      <c r="D79" s="179"/>
      <c r="E79" s="207"/>
      <c r="F79" s="217"/>
      <c r="G79" s="217"/>
    </row>
    <row r="80" ht="15.75" customHeight="1">
      <c r="A80" s="215">
        <v>77.0</v>
      </c>
      <c r="B80" s="169">
        <f>COUNTA(GROOMING!$D80)</f>
        <v>0</v>
      </c>
      <c r="C80" s="216"/>
      <c r="D80" s="179"/>
      <c r="E80" s="207"/>
      <c r="F80" s="217"/>
      <c r="G80" s="217"/>
    </row>
    <row r="81" ht="15.75" customHeight="1">
      <c r="A81" s="215">
        <v>78.0</v>
      </c>
      <c r="B81" s="169">
        <f>COUNTA(GROOMING!$D81)</f>
        <v>0</v>
      </c>
      <c r="C81" s="216"/>
      <c r="D81" s="179"/>
      <c r="E81" s="207"/>
      <c r="F81" s="217"/>
      <c r="G81" s="217"/>
    </row>
    <row r="82" ht="15.75" customHeight="1">
      <c r="A82" s="215">
        <v>79.0</v>
      </c>
      <c r="B82" s="169">
        <f>COUNTA(GROOMING!$D82)</f>
        <v>0</v>
      </c>
      <c r="C82" s="216"/>
      <c r="D82" s="179"/>
      <c r="E82" s="207"/>
      <c r="F82" s="217"/>
      <c r="G82" s="217"/>
    </row>
    <row r="83" ht="15.75" customHeight="1">
      <c r="A83" s="215">
        <v>80.0</v>
      </c>
      <c r="B83" s="169">
        <f>COUNTA(GROOMING!$D83)</f>
        <v>0</v>
      </c>
      <c r="C83" s="216"/>
      <c r="D83" s="179"/>
      <c r="E83" s="207"/>
      <c r="F83" s="217"/>
      <c r="G83" s="217"/>
    </row>
    <row r="84" ht="15.75" customHeight="1">
      <c r="A84" s="215">
        <v>81.0</v>
      </c>
      <c r="B84" s="169">
        <f>COUNTA(GROOMING!$D84)</f>
        <v>0</v>
      </c>
      <c r="C84" s="216"/>
      <c r="D84" s="179"/>
      <c r="E84" s="207"/>
      <c r="F84" s="217"/>
      <c r="G84" s="217"/>
    </row>
    <row r="85" ht="15.75" customHeight="1">
      <c r="A85" s="215">
        <v>82.0</v>
      </c>
      <c r="B85" s="169">
        <f>COUNTA(GROOMING!$D85)</f>
        <v>0</v>
      </c>
      <c r="C85" s="216"/>
      <c r="D85" s="179"/>
      <c r="E85" s="207"/>
      <c r="F85" s="217"/>
      <c r="G85" s="217"/>
    </row>
    <row r="86" ht="15.75" customHeight="1">
      <c r="A86" s="215">
        <v>83.0</v>
      </c>
      <c r="B86" s="169">
        <f>COUNTA(GROOMING!$D86)</f>
        <v>0</v>
      </c>
      <c r="C86" s="216"/>
      <c r="D86" s="179"/>
      <c r="E86" s="207"/>
      <c r="F86" s="217"/>
      <c r="G86" s="217"/>
    </row>
    <row r="87" ht="15.75" customHeight="1">
      <c r="A87" s="215">
        <v>84.0</v>
      </c>
      <c r="B87" s="169">
        <f>COUNTA(GROOMING!$D87)</f>
        <v>0</v>
      </c>
      <c r="C87" s="216"/>
      <c r="D87" s="179"/>
      <c r="E87" s="207"/>
      <c r="F87" s="217"/>
      <c r="G87" s="217"/>
    </row>
    <row r="88" ht="15.75" customHeight="1">
      <c r="A88" s="215">
        <v>85.0</v>
      </c>
      <c r="B88" s="169">
        <f>COUNTA(GROOMING!$D88)</f>
        <v>0</v>
      </c>
      <c r="C88" s="216"/>
      <c r="D88" s="179"/>
      <c r="E88" s="207"/>
      <c r="F88" s="217"/>
      <c r="G88" s="217"/>
    </row>
    <row r="89" ht="15.75" customHeight="1">
      <c r="A89" s="215">
        <v>86.0</v>
      </c>
      <c r="B89" s="169">
        <f>COUNTA(GROOMING!$D89)</f>
        <v>0</v>
      </c>
      <c r="C89" s="216"/>
      <c r="D89" s="179"/>
      <c r="E89" s="207"/>
      <c r="F89" s="217"/>
      <c r="G89" s="217"/>
    </row>
    <row r="90" ht="15.75" customHeight="1">
      <c r="A90" s="215">
        <v>87.0</v>
      </c>
      <c r="B90" s="169">
        <f>COUNTA(GROOMING!$D90)</f>
        <v>0</v>
      </c>
      <c r="C90" s="216"/>
      <c r="D90" s="179"/>
      <c r="E90" s="207"/>
      <c r="F90" s="217"/>
      <c r="G90" s="217"/>
    </row>
    <row r="91" ht="15.75" customHeight="1">
      <c r="A91" s="215">
        <v>88.0</v>
      </c>
      <c r="B91" s="169">
        <f>COUNTA(GROOMING!$D91)</f>
        <v>0</v>
      </c>
      <c r="C91" s="216"/>
      <c r="D91" s="179"/>
      <c r="E91" s="207"/>
      <c r="F91" s="217"/>
      <c r="G91" s="217"/>
    </row>
    <row r="92" ht="15.75" customHeight="1">
      <c r="A92" s="215">
        <v>89.0</v>
      </c>
      <c r="B92" s="169">
        <f>COUNTA(GROOMING!$D92)</f>
        <v>0</v>
      </c>
      <c r="C92" s="216"/>
      <c r="D92" s="179"/>
      <c r="E92" s="207"/>
      <c r="F92" s="217"/>
      <c r="G92" s="217"/>
    </row>
    <row r="93" ht="15.75" customHeight="1">
      <c r="A93" s="215">
        <v>90.0</v>
      </c>
      <c r="B93" s="169">
        <f>COUNTA(GROOMING!$D93)</f>
        <v>0</v>
      </c>
      <c r="C93" s="216"/>
      <c r="D93" s="179"/>
      <c r="E93" s="207"/>
      <c r="F93" s="217"/>
      <c r="G93" s="217"/>
    </row>
    <row r="94" ht="15.75" customHeight="1">
      <c r="A94" s="215">
        <v>91.0</v>
      </c>
      <c r="B94" s="169">
        <f>COUNTA(GROOMING!$D94)</f>
        <v>0</v>
      </c>
      <c r="C94" s="216"/>
      <c r="D94" s="179"/>
      <c r="E94" s="207"/>
      <c r="F94" s="217"/>
      <c r="G94" s="217"/>
    </row>
    <row r="95" ht="15.75" customHeight="1">
      <c r="A95" s="215">
        <v>92.0</v>
      </c>
      <c r="B95" s="169">
        <f>COUNTA(GROOMING!$D95)</f>
        <v>0</v>
      </c>
      <c r="C95" s="216"/>
      <c r="D95" s="179"/>
      <c r="E95" s="207"/>
      <c r="F95" s="217"/>
      <c r="G95" s="217"/>
    </row>
    <row r="96" ht="15.75" customHeight="1">
      <c r="A96" s="215">
        <v>93.0</v>
      </c>
      <c r="B96" s="169">
        <f>COUNTA(GROOMING!$D96)</f>
        <v>0</v>
      </c>
      <c r="C96" s="216"/>
      <c r="D96" s="179"/>
      <c r="E96" s="207"/>
      <c r="F96" s="217"/>
      <c r="G96" s="217"/>
    </row>
    <row r="97" ht="15.75" customHeight="1">
      <c r="A97" s="215">
        <v>94.0</v>
      </c>
      <c r="B97" s="169">
        <f>COUNTA(GROOMING!$D97)</f>
        <v>0</v>
      </c>
      <c r="C97" s="216"/>
      <c r="D97" s="179"/>
      <c r="E97" s="207"/>
      <c r="F97" s="217"/>
      <c r="G97" s="217"/>
    </row>
    <row r="98" ht="15.75" customHeight="1">
      <c r="A98" s="215">
        <v>95.0</v>
      </c>
      <c r="B98" s="169">
        <f>COUNTA(GROOMING!$D98)</f>
        <v>0</v>
      </c>
      <c r="C98" s="216"/>
      <c r="D98" s="179"/>
      <c r="E98" s="207"/>
      <c r="F98" s="217"/>
      <c r="G98" s="217"/>
    </row>
    <row r="99" ht="15.75" customHeight="1">
      <c r="A99" s="215">
        <v>96.0</v>
      </c>
      <c r="B99" s="169">
        <f>COUNTA(GROOMING!$D99)</f>
        <v>0</v>
      </c>
      <c r="C99" s="216"/>
      <c r="D99" s="179"/>
      <c r="E99" s="207"/>
      <c r="F99" s="217"/>
      <c r="G99" s="217"/>
    </row>
    <row r="100" ht="15.75" customHeight="1">
      <c r="A100" s="215">
        <v>97.0</v>
      </c>
      <c r="B100" s="169">
        <f>COUNTA(GROOMING!$D100)</f>
        <v>0</v>
      </c>
      <c r="C100" s="216"/>
      <c r="D100" s="179"/>
      <c r="E100" s="207"/>
      <c r="F100" s="217"/>
      <c r="G100" s="217"/>
    </row>
    <row r="101" ht="15.75" customHeight="1">
      <c r="A101" s="215">
        <v>98.0</v>
      </c>
      <c r="B101" s="169">
        <f>COUNTA(GROOMING!$D101)</f>
        <v>0</v>
      </c>
      <c r="C101" s="216"/>
      <c r="D101" s="179"/>
      <c r="E101" s="207"/>
      <c r="F101" s="217"/>
      <c r="G101" s="217"/>
    </row>
    <row r="102" ht="15.75" customHeight="1">
      <c r="A102" s="215">
        <v>99.0</v>
      </c>
      <c r="B102" s="169">
        <f>COUNTA(GROOMING!$D102)</f>
        <v>0</v>
      </c>
      <c r="C102" s="216"/>
      <c r="D102" s="179"/>
      <c r="E102" s="207"/>
      <c r="F102" s="217"/>
      <c r="G102" s="217"/>
    </row>
    <row r="103" ht="15.75" customHeight="1">
      <c r="A103" s="215">
        <v>100.0</v>
      </c>
      <c r="B103" s="169">
        <f>COUNTA(GROOMING!$D103)</f>
        <v>0</v>
      </c>
      <c r="C103" s="216"/>
      <c r="D103" s="179"/>
      <c r="E103" s="207"/>
      <c r="F103" s="217"/>
      <c r="G103" s="217"/>
    </row>
    <row r="104" ht="15.75" customHeight="1">
      <c r="A104" s="215">
        <v>101.0</v>
      </c>
      <c r="B104" s="169">
        <f>COUNTA(GROOMING!$D104)</f>
        <v>0</v>
      </c>
      <c r="C104" s="216"/>
      <c r="D104" s="179"/>
      <c r="E104" s="207"/>
      <c r="F104" s="217"/>
      <c r="G104" s="217"/>
    </row>
    <row r="105" ht="15.75" customHeight="1">
      <c r="A105" s="215">
        <v>102.0</v>
      </c>
      <c r="B105" s="169">
        <f>COUNTA(GROOMING!$D105)</f>
        <v>0</v>
      </c>
      <c r="C105" s="216"/>
      <c r="D105" s="179"/>
      <c r="E105" s="207"/>
      <c r="F105" s="217"/>
      <c r="G105" s="217"/>
    </row>
    <row r="106" ht="15.75" customHeight="1">
      <c r="A106" s="215">
        <v>103.0</v>
      </c>
      <c r="B106" s="169">
        <f>COUNTA(GROOMING!$D106)</f>
        <v>0</v>
      </c>
      <c r="C106" s="216"/>
      <c r="D106" s="179"/>
      <c r="E106" s="207"/>
      <c r="F106" s="217"/>
      <c r="G106" s="217"/>
    </row>
    <row r="107" ht="15.75" customHeight="1">
      <c r="A107" s="215">
        <v>104.0</v>
      </c>
      <c r="B107" s="169">
        <f>COUNTA(GROOMING!$D107)</f>
        <v>0</v>
      </c>
      <c r="C107" s="216"/>
      <c r="D107" s="179"/>
      <c r="E107" s="207"/>
      <c r="F107" s="217"/>
      <c r="G107" s="217"/>
    </row>
    <row r="108" ht="15.75" customHeight="1">
      <c r="A108" s="215">
        <v>105.0</v>
      </c>
      <c r="B108" s="169">
        <f>COUNTA(GROOMING!$D108)</f>
        <v>0</v>
      </c>
      <c r="C108" s="216"/>
      <c r="D108" s="179"/>
      <c r="E108" s="207"/>
      <c r="F108" s="217"/>
      <c r="G108" s="217"/>
    </row>
    <row r="109" ht="15.75" customHeight="1">
      <c r="A109" s="215">
        <v>106.0</v>
      </c>
      <c r="B109" s="169">
        <f>COUNTA(GROOMING!$D109)</f>
        <v>0</v>
      </c>
      <c r="C109" s="216"/>
      <c r="D109" s="179"/>
      <c r="E109" s="207"/>
      <c r="F109" s="217"/>
      <c r="G109" s="217"/>
    </row>
    <row r="110" ht="15.75" customHeight="1">
      <c r="A110" s="215">
        <v>107.0</v>
      </c>
      <c r="B110" s="169">
        <f>COUNTA(GROOMING!$D110)</f>
        <v>0</v>
      </c>
      <c r="C110" s="216"/>
      <c r="D110" s="179"/>
      <c r="E110" s="207"/>
      <c r="F110" s="217"/>
      <c r="G110" s="217"/>
    </row>
    <row r="111" ht="15.75" customHeight="1">
      <c r="A111" s="215">
        <v>108.0</v>
      </c>
      <c r="B111" s="169">
        <f>COUNTA(GROOMING!$D111)</f>
        <v>0</v>
      </c>
      <c r="C111" s="216"/>
      <c r="D111" s="179"/>
      <c r="E111" s="207"/>
      <c r="F111" s="217"/>
      <c r="G111" s="217"/>
    </row>
    <row r="112" ht="15.75" customHeight="1">
      <c r="A112" s="215">
        <v>109.0</v>
      </c>
      <c r="B112" s="169">
        <f>COUNTA(GROOMING!$D112)</f>
        <v>0</v>
      </c>
      <c r="C112" s="216"/>
      <c r="D112" s="179"/>
      <c r="E112" s="207"/>
      <c r="F112" s="217"/>
      <c r="G112" s="217"/>
    </row>
    <row r="113" ht="15.75" customHeight="1">
      <c r="A113" s="215">
        <v>110.0</v>
      </c>
      <c r="B113" s="169">
        <f>COUNTA(GROOMING!$D113)</f>
        <v>0</v>
      </c>
      <c r="C113" s="216"/>
      <c r="D113" s="179"/>
      <c r="E113" s="207"/>
      <c r="F113" s="217"/>
      <c r="G113" s="217"/>
    </row>
    <row r="114" ht="15.75" customHeight="1">
      <c r="A114" s="215">
        <v>111.0</v>
      </c>
      <c r="B114" s="169">
        <f>COUNTA(GROOMING!$D114)</f>
        <v>0</v>
      </c>
      <c r="C114" s="216"/>
      <c r="D114" s="179"/>
      <c r="E114" s="207"/>
      <c r="F114" s="217"/>
      <c r="G114" s="217"/>
    </row>
    <row r="115" ht="15.75" customHeight="1">
      <c r="A115" s="215">
        <v>112.0</v>
      </c>
      <c r="B115" s="169">
        <f>COUNTA(GROOMING!$D115)</f>
        <v>0</v>
      </c>
      <c r="C115" s="216"/>
      <c r="D115" s="179"/>
      <c r="E115" s="207"/>
      <c r="F115" s="217"/>
      <c r="G115" s="217"/>
    </row>
    <row r="116" ht="15.75" customHeight="1">
      <c r="A116" s="215">
        <v>113.0</v>
      </c>
      <c r="B116" s="169">
        <f>COUNTA(GROOMING!$D116)</f>
        <v>0</v>
      </c>
      <c r="C116" s="216"/>
      <c r="D116" s="179"/>
      <c r="E116" s="207"/>
      <c r="F116" s="217"/>
      <c r="G116" s="217"/>
    </row>
    <row r="117" ht="15.75" customHeight="1">
      <c r="A117" s="215">
        <v>114.0</v>
      </c>
      <c r="B117" s="169">
        <f>COUNTA(GROOMING!$D117)</f>
        <v>0</v>
      </c>
      <c r="C117" s="216"/>
      <c r="D117" s="179"/>
      <c r="E117" s="207"/>
      <c r="F117" s="217"/>
      <c r="G117" s="217"/>
    </row>
    <row r="118" ht="15.75" customHeight="1">
      <c r="A118" s="215">
        <v>115.0</v>
      </c>
      <c r="B118" s="169">
        <f>COUNTA(GROOMING!$D118)</f>
        <v>0</v>
      </c>
      <c r="C118" s="216"/>
      <c r="D118" s="179"/>
      <c r="E118" s="207"/>
      <c r="F118" s="217"/>
      <c r="G118" s="217"/>
    </row>
    <row r="119" ht="15.75" customHeight="1">
      <c r="A119" s="215">
        <v>116.0</v>
      </c>
      <c r="B119" s="169">
        <f>COUNTA(GROOMING!$D119)</f>
        <v>0</v>
      </c>
      <c r="C119" s="216"/>
      <c r="D119" s="179"/>
      <c r="E119" s="207"/>
      <c r="F119" s="217"/>
      <c r="G119" s="217"/>
    </row>
    <row r="120" ht="15.75" customHeight="1">
      <c r="A120" s="215">
        <v>117.0</v>
      </c>
      <c r="B120" s="169">
        <f>COUNTA(GROOMING!$D120)</f>
        <v>0</v>
      </c>
      <c r="C120" s="216"/>
      <c r="D120" s="179"/>
      <c r="E120" s="207"/>
      <c r="F120" s="217"/>
      <c r="G120" s="217"/>
    </row>
    <row r="121" ht="15.75" customHeight="1">
      <c r="A121" s="215">
        <v>118.0</v>
      </c>
      <c r="B121" s="169">
        <f>COUNTA(GROOMING!$D121)</f>
        <v>0</v>
      </c>
      <c r="C121" s="216"/>
      <c r="D121" s="179"/>
      <c r="E121" s="207"/>
      <c r="F121" s="217"/>
      <c r="G121" s="217"/>
    </row>
    <row r="122" ht="15.75" customHeight="1">
      <c r="A122" s="215">
        <v>119.0</v>
      </c>
      <c r="B122" s="169">
        <f>COUNTA(GROOMING!$D122)</f>
        <v>0</v>
      </c>
      <c r="C122" s="216"/>
      <c r="D122" s="179"/>
      <c r="E122" s="207"/>
      <c r="F122" s="217"/>
      <c r="G122" s="217"/>
    </row>
    <row r="123" ht="15.75" customHeight="1">
      <c r="A123" s="215">
        <v>120.0</v>
      </c>
      <c r="B123" s="169">
        <f>COUNTA(GROOMING!$D123)</f>
        <v>0</v>
      </c>
      <c r="C123" s="216"/>
      <c r="D123" s="179"/>
      <c r="E123" s="207"/>
      <c r="F123" s="217"/>
      <c r="G123" s="217"/>
    </row>
    <row r="124" ht="15.75" customHeight="1">
      <c r="A124" s="215">
        <v>121.0</v>
      </c>
      <c r="B124" s="169">
        <f>COUNTA(GROOMING!$D124)</f>
        <v>0</v>
      </c>
      <c r="C124" s="216"/>
      <c r="D124" s="179"/>
      <c r="E124" s="207"/>
      <c r="F124" s="217"/>
      <c r="G124" s="217"/>
    </row>
    <row r="125" ht="15.75" customHeight="1">
      <c r="A125" s="215">
        <v>122.0</v>
      </c>
      <c r="B125" s="169">
        <f>COUNTA(GROOMING!$D125)</f>
        <v>0</v>
      </c>
      <c r="C125" s="216"/>
      <c r="D125" s="179"/>
      <c r="E125" s="207"/>
      <c r="F125" s="217"/>
      <c r="G125" s="217"/>
    </row>
    <row r="126" ht="15.75" customHeight="1">
      <c r="A126" s="215">
        <v>123.0</v>
      </c>
      <c r="B126" s="169">
        <f>COUNTA(GROOMING!$D126)</f>
        <v>0</v>
      </c>
      <c r="C126" s="216"/>
      <c r="D126" s="179"/>
      <c r="E126" s="207"/>
      <c r="F126" s="217"/>
      <c r="G126" s="217"/>
    </row>
    <row r="127" ht="15.75" customHeight="1">
      <c r="A127" s="215">
        <v>124.0</v>
      </c>
      <c r="B127" s="169">
        <f>COUNTA(GROOMING!$D127)</f>
        <v>0</v>
      </c>
      <c r="C127" s="216"/>
      <c r="D127" s="179"/>
      <c r="E127" s="207"/>
      <c r="F127" s="217"/>
      <c r="G127" s="217"/>
    </row>
    <row r="128" ht="15.75" customHeight="1">
      <c r="A128" s="215">
        <v>125.0</v>
      </c>
      <c r="B128" s="169">
        <f>COUNTA(GROOMING!$D128)</f>
        <v>0</v>
      </c>
      <c r="C128" s="216"/>
      <c r="D128" s="179"/>
      <c r="E128" s="207"/>
      <c r="F128" s="217"/>
      <c r="G128" s="217"/>
    </row>
    <row r="129" ht="15.75" customHeight="1">
      <c r="A129" s="215">
        <v>126.0</v>
      </c>
      <c r="B129" s="169">
        <f>COUNTA(GROOMING!$D129)</f>
        <v>0</v>
      </c>
      <c r="C129" s="216"/>
      <c r="D129" s="179"/>
      <c r="E129" s="207"/>
      <c r="F129" s="217"/>
      <c r="G129" s="217"/>
    </row>
    <row r="130" ht="15.75" customHeight="1">
      <c r="A130" s="215">
        <v>127.0</v>
      </c>
      <c r="B130" s="169">
        <f>COUNTA(GROOMING!$D130)</f>
        <v>0</v>
      </c>
      <c r="C130" s="216"/>
      <c r="D130" s="179"/>
      <c r="E130" s="207"/>
      <c r="F130" s="217"/>
      <c r="G130" s="217"/>
    </row>
    <row r="131" ht="15.75" customHeight="1">
      <c r="A131" s="215">
        <v>128.0</v>
      </c>
      <c r="B131" s="169">
        <f>COUNTA(GROOMING!$D131)</f>
        <v>0</v>
      </c>
      <c r="C131" s="216"/>
      <c r="D131" s="179"/>
      <c r="E131" s="207"/>
      <c r="F131" s="217"/>
      <c r="G131" s="217"/>
    </row>
    <row r="132" ht="15.75" customHeight="1">
      <c r="A132" s="215">
        <v>129.0</v>
      </c>
      <c r="B132" s="169">
        <f>COUNTA(GROOMING!$D132)</f>
        <v>0</v>
      </c>
      <c r="C132" s="216"/>
      <c r="D132" s="179"/>
      <c r="E132" s="207"/>
      <c r="F132" s="217"/>
      <c r="G132" s="217"/>
    </row>
    <row r="133" ht="15.75" customHeight="1">
      <c r="A133" s="215">
        <v>130.0</v>
      </c>
      <c r="B133" s="169">
        <f>COUNTA(GROOMING!$D133)</f>
        <v>0</v>
      </c>
      <c r="C133" s="216"/>
      <c r="D133" s="179"/>
      <c r="E133" s="207"/>
      <c r="F133" s="217"/>
      <c r="G133" s="217"/>
    </row>
    <row r="134" ht="15.75" customHeight="1">
      <c r="A134" s="215">
        <v>131.0</v>
      </c>
      <c r="B134" s="169">
        <f>COUNTA(GROOMING!$D134)</f>
        <v>0</v>
      </c>
      <c r="C134" s="216"/>
      <c r="D134" s="179"/>
      <c r="E134" s="207"/>
      <c r="F134" s="217"/>
      <c r="G134" s="217"/>
    </row>
    <row r="135" ht="15.75" customHeight="1">
      <c r="A135" s="215">
        <v>132.0</v>
      </c>
      <c r="B135" s="169">
        <f>COUNTA(GROOMING!$D135)</f>
        <v>0</v>
      </c>
      <c r="C135" s="216"/>
      <c r="D135" s="179"/>
      <c r="E135" s="207"/>
      <c r="F135" s="217"/>
      <c r="G135" s="217"/>
    </row>
    <row r="136" ht="15.75" customHeight="1">
      <c r="A136" s="215">
        <v>133.0</v>
      </c>
      <c r="B136" s="169">
        <f>COUNTA(GROOMING!$D136)</f>
        <v>0</v>
      </c>
      <c r="C136" s="216"/>
      <c r="D136" s="179"/>
      <c r="E136" s="207"/>
      <c r="F136" s="217"/>
      <c r="G136" s="217"/>
    </row>
    <row r="137" ht="15.75" customHeight="1">
      <c r="A137" s="215">
        <v>134.0</v>
      </c>
      <c r="B137" s="169">
        <f>COUNTA(GROOMING!$D137)</f>
        <v>0</v>
      </c>
      <c r="C137" s="216"/>
      <c r="D137" s="179"/>
      <c r="E137" s="207"/>
      <c r="F137" s="217"/>
      <c r="G137" s="217"/>
    </row>
    <row r="138" ht="15.75" customHeight="1">
      <c r="A138" s="215">
        <v>135.0</v>
      </c>
      <c r="B138" s="169">
        <f>COUNTA(GROOMING!$D138)</f>
        <v>0</v>
      </c>
      <c r="C138" s="216"/>
      <c r="D138" s="179"/>
      <c r="E138" s="207"/>
      <c r="F138" s="217"/>
      <c r="G138" s="217"/>
    </row>
    <row r="139" ht="15.75" customHeight="1">
      <c r="A139" s="215">
        <v>136.0</v>
      </c>
      <c r="B139" s="169">
        <f>COUNTA(GROOMING!$D139)</f>
        <v>0</v>
      </c>
      <c r="C139" s="216"/>
      <c r="D139" s="179"/>
      <c r="E139" s="207"/>
      <c r="F139" s="217"/>
      <c r="G139" s="217"/>
    </row>
    <row r="140" ht="15.75" customHeight="1">
      <c r="A140" s="215">
        <v>137.0</v>
      </c>
      <c r="B140" s="169">
        <f>COUNTA(GROOMING!$D140)</f>
        <v>0</v>
      </c>
      <c r="C140" s="216"/>
      <c r="D140" s="179"/>
      <c r="E140" s="207"/>
      <c r="F140" s="217"/>
      <c r="G140" s="217"/>
    </row>
    <row r="141" ht="15.75" customHeight="1">
      <c r="A141" s="215">
        <v>138.0</v>
      </c>
      <c r="B141" s="169">
        <f>COUNTA(GROOMING!$D141)</f>
        <v>0</v>
      </c>
      <c r="C141" s="216"/>
      <c r="D141" s="179"/>
      <c r="E141" s="207"/>
      <c r="F141" s="217"/>
      <c r="G141" s="217"/>
    </row>
    <row r="142" ht="15.75" customHeight="1">
      <c r="A142" s="215">
        <v>139.0</v>
      </c>
      <c r="B142" s="169">
        <f>COUNTA(GROOMING!$D142)</f>
        <v>0</v>
      </c>
      <c r="C142" s="216"/>
      <c r="D142" s="179"/>
      <c r="E142" s="207"/>
      <c r="F142" s="217"/>
      <c r="G142" s="217"/>
    </row>
    <row r="143" ht="15.75" customHeight="1">
      <c r="A143" s="215">
        <v>140.0</v>
      </c>
      <c r="B143" s="169">
        <f>COUNTA(GROOMING!$D143)</f>
        <v>0</v>
      </c>
      <c r="C143" s="216"/>
      <c r="D143" s="179"/>
      <c r="E143" s="207"/>
      <c r="F143" s="217"/>
      <c r="G143" s="217"/>
    </row>
    <row r="144" ht="15.75" customHeight="1">
      <c r="A144" s="215">
        <v>141.0</v>
      </c>
      <c r="B144" s="169">
        <f>COUNTA(GROOMING!$D144)</f>
        <v>0</v>
      </c>
      <c r="C144" s="216"/>
      <c r="D144" s="179"/>
      <c r="E144" s="207"/>
      <c r="F144" s="217"/>
      <c r="G144" s="217"/>
    </row>
    <row r="145" ht="15.75" customHeight="1">
      <c r="A145" s="215">
        <v>142.0</v>
      </c>
      <c r="B145" s="169">
        <f>COUNTA(GROOMING!$D145)</f>
        <v>0</v>
      </c>
      <c r="C145" s="216"/>
      <c r="D145" s="179"/>
      <c r="E145" s="207"/>
      <c r="F145" s="217"/>
      <c r="G145" s="217"/>
    </row>
    <row r="146" ht="15.75" customHeight="1">
      <c r="A146" s="215">
        <v>143.0</v>
      </c>
      <c r="B146" s="169">
        <f>COUNTA(GROOMING!$D146)</f>
        <v>0</v>
      </c>
      <c r="C146" s="216"/>
      <c r="D146" s="179"/>
      <c r="E146" s="207"/>
      <c r="F146" s="217"/>
      <c r="G146" s="217"/>
    </row>
    <row r="147" ht="15.75" customHeight="1">
      <c r="A147" s="215">
        <v>144.0</v>
      </c>
      <c r="B147" s="169">
        <f>COUNTA(GROOMING!$D147)</f>
        <v>0</v>
      </c>
      <c r="C147" s="216"/>
      <c r="D147" s="179"/>
      <c r="E147" s="207"/>
      <c r="F147" s="217"/>
      <c r="G147" s="217"/>
    </row>
    <row r="148" ht="15.75" customHeight="1">
      <c r="A148" s="215">
        <v>145.0</v>
      </c>
      <c r="B148" s="169">
        <f>COUNTA(GROOMING!$D148)</f>
        <v>0</v>
      </c>
      <c r="C148" s="216"/>
      <c r="D148" s="179"/>
      <c r="E148" s="207"/>
      <c r="F148" s="217"/>
      <c r="G148" s="217"/>
    </row>
    <row r="149" ht="15.75" customHeight="1">
      <c r="A149" s="215">
        <v>146.0</v>
      </c>
      <c r="B149" s="169">
        <f>COUNTA(GROOMING!$D149)</f>
        <v>0</v>
      </c>
      <c r="C149" s="216"/>
      <c r="D149" s="179"/>
      <c r="E149" s="207"/>
      <c r="F149" s="217"/>
      <c r="G149" s="217"/>
    </row>
    <row r="150" ht="15.75" customHeight="1">
      <c r="A150" s="215">
        <v>147.0</v>
      </c>
      <c r="B150" s="169">
        <f>COUNTA(GROOMING!$D150)</f>
        <v>0</v>
      </c>
      <c r="C150" s="216"/>
      <c r="D150" s="179"/>
      <c r="E150" s="207"/>
      <c r="F150" s="217"/>
      <c r="G150" s="217"/>
    </row>
    <row r="151" ht="15.75" customHeight="1">
      <c r="A151" s="215">
        <v>148.0</v>
      </c>
      <c r="B151" s="169">
        <f>COUNTA(GROOMING!$D151)</f>
        <v>0</v>
      </c>
      <c r="C151" s="216"/>
      <c r="D151" s="179"/>
      <c r="E151" s="207"/>
      <c r="F151" s="217"/>
      <c r="G151" s="217"/>
    </row>
    <row r="152" ht="15.75" customHeight="1">
      <c r="A152" s="215">
        <v>149.0</v>
      </c>
      <c r="B152" s="169">
        <f>COUNTA(GROOMING!$D152)</f>
        <v>0</v>
      </c>
      <c r="C152" s="216"/>
      <c r="D152" s="179"/>
      <c r="E152" s="207"/>
      <c r="F152" s="217"/>
      <c r="G152" s="217"/>
    </row>
    <row r="153" ht="15.75" customHeight="1">
      <c r="A153" s="215">
        <v>150.0</v>
      </c>
      <c r="B153" s="169">
        <f>COUNTA(GROOMING!$D153)</f>
        <v>0</v>
      </c>
      <c r="C153" s="216"/>
      <c r="D153" s="179"/>
      <c r="E153" s="207"/>
      <c r="F153" s="217"/>
      <c r="G153" s="217"/>
    </row>
    <row r="154" ht="15.75" customHeight="1">
      <c r="A154" s="215">
        <v>151.0</v>
      </c>
      <c r="B154" s="169">
        <f>COUNTA(GROOMING!$D154)</f>
        <v>0</v>
      </c>
      <c r="C154" s="216"/>
      <c r="D154" s="179"/>
      <c r="E154" s="207"/>
      <c r="F154" s="217"/>
      <c r="G154" s="217"/>
    </row>
    <row r="155" ht="15.75" customHeight="1">
      <c r="A155" s="215">
        <v>152.0</v>
      </c>
      <c r="B155" s="169">
        <f>COUNTA(GROOMING!$D155)</f>
        <v>0</v>
      </c>
      <c r="C155" s="216"/>
      <c r="D155" s="179"/>
      <c r="E155" s="207"/>
      <c r="F155" s="217"/>
      <c r="G155" s="217"/>
    </row>
    <row r="156" ht="15.75" customHeight="1">
      <c r="A156" s="215">
        <v>153.0</v>
      </c>
      <c r="B156" s="169">
        <f>COUNTA(GROOMING!$D156)</f>
        <v>0</v>
      </c>
      <c r="C156" s="216"/>
      <c r="D156" s="179"/>
      <c r="E156" s="207"/>
      <c r="F156" s="217"/>
      <c r="G156" s="217"/>
    </row>
    <row r="157" ht="15.75" customHeight="1">
      <c r="A157" s="215">
        <v>154.0</v>
      </c>
      <c r="B157" s="169">
        <f>COUNTA(GROOMING!$D157)</f>
        <v>0</v>
      </c>
      <c r="C157" s="216"/>
      <c r="D157" s="179"/>
      <c r="E157" s="207"/>
      <c r="F157" s="217"/>
      <c r="G157" s="217"/>
    </row>
    <row r="158" ht="15.75" customHeight="1">
      <c r="A158" s="215">
        <v>155.0</v>
      </c>
      <c r="B158" s="169">
        <f>COUNTA(GROOMING!$D158)</f>
        <v>0</v>
      </c>
      <c r="C158" s="216"/>
      <c r="D158" s="179"/>
      <c r="E158" s="207"/>
      <c r="F158" s="217"/>
      <c r="G158" s="217"/>
    </row>
    <row r="159" ht="15.75" customHeight="1">
      <c r="A159" s="215">
        <v>156.0</v>
      </c>
      <c r="B159" s="169">
        <f>COUNTA(GROOMING!$D159)</f>
        <v>0</v>
      </c>
      <c r="C159" s="216"/>
      <c r="D159" s="179"/>
      <c r="E159" s="207"/>
      <c r="F159" s="217"/>
      <c r="G159" s="217"/>
    </row>
    <row r="160" ht="15.75" customHeight="1">
      <c r="A160" s="215">
        <v>157.0</v>
      </c>
      <c r="B160" s="169">
        <f>COUNTA(GROOMING!$D160)</f>
        <v>0</v>
      </c>
      <c r="C160" s="216"/>
      <c r="D160" s="179"/>
      <c r="E160" s="207"/>
      <c r="F160" s="217"/>
      <c r="G160" s="217"/>
    </row>
    <row r="161" ht="15.75" customHeight="1">
      <c r="A161" s="215">
        <v>158.0</v>
      </c>
      <c r="B161" s="169">
        <f>COUNTA(GROOMING!$D161)</f>
        <v>0</v>
      </c>
      <c r="C161" s="216"/>
      <c r="D161" s="179"/>
      <c r="E161" s="207"/>
      <c r="F161" s="217"/>
      <c r="G161" s="217"/>
    </row>
    <row r="162" ht="15.75" customHeight="1">
      <c r="A162" s="215">
        <v>159.0</v>
      </c>
      <c r="B162" s="169">
        <f>COUNTA(GROOMING!$D162)</f>
        <v>0</v>
      </c>
      <c r="C162" s="216"/>
      <c r="D162" s="179"/>
      <c r="E162" s="207"/>
      <c r="F162" s="217"/>
      <c r="G162" s="217"/>
    </row>
    <row r="163" ht="15.75" customHeight="1">
      <c r="A163" s="215">
        <v>160.0</v>
      </c>
      <c r="B163" s="169">
        <f>COUNTA(GROOMING!$D163)</f>
        <v>0</v>
      </c>
      <c r="C163" s="216"/>
      <c r="D163" s="179"/>
      <c r="E163" s="207"/>
      <c r="F163" s="217"/>
      <c r="G163" s="217"/>
    </row>
    <row r="164" ht="15.75" customHeight="1">
      <c r="A164" s="215">
        <v>161.0</v>
      </c>
      <c r="B164" s="169">
        <f>COUNTA(GROOMING!$D164)</f>
        <v>0</v>
      </c>
      <c r="C164" s="216"/>
      <c r="D164" s="179"/>
      <c r="E164" s="207"/>
      <c r="F164" s="217"/>
      <c r="G164" s="217"/>
    </row>
    <row r="165" ht="15.75" customHeight="1">
      <c r="A165" s="215">
        <v>162.0</v>
      </c>
      <c r="B165" s="169">
        <f>COUNTA(GROOMING!$D165)</f>
        <v>0</v>
      </c>
      <c r="C165" s="216"/>
      <c r="D165" s="179"/>
      <c r="E165" s="207"/>
      <c r="F165" s="217"/>
      <c r="G165" s="217"/>
    </row>
    <row r="166" ht="15.75" customHeight="1">
      <c r="A166" s="215">
        <v>163.0</v>
      </c>
      <c r="B166" s="169">
        <f>COUNTA(GROOMING!$D166)</f>
        <v>0</v>
      </c>
      <c r="C166" s="216"/>
      <c r="D166" s="179"/>
      <c r="E166" s="207"/>
      <c r="F166" s="217"/>
      <c r="G166" s="217"/>
    </row>
    <row r="167" ht="15.75" customHeight="1">
      <c r="A167" s="215">
        <v>164.0</v>
      </c>
      <c r="B167" s="169">
        <f>COUNTA(GROOMING!$D167)</f>
        <v>0</v>
      </c>
      <c r="C167" s="216"/>
      <c r="D167" s="179"/>
      <c r="E167" s="207"/>
      <c r="F167" s="217"/>
      <c r="G167" s="217"/>
    </row>
    <row r="168" ht="15.75" customHeight="1">
      <c r="A168" s="215">
        <v>165.0</v>
      </c>
      <c r="B168" s="169">
        <f>COUNTA(GROOMING!$D168)</f>
        <v>0</v>
      </c>
      <c r="C168" s="216"/>
      <c r="D168" s="179"/>
      <c r="E168" s="207"/>
      <c r="F168" s="217"/>
      <c r="G168" s="217"/>
    </row>
    <row r="169" ht="15.75" customHeight="1">
      <c r="A169" s="215">
        <v>166.0</v>
      </c>
      <c r="B169" s="169">
        <f>COUNTA(GROOMING!$D169)</f>
        <v>0</v>
      </c>
      <c r="C169" s="216"/>
      <c r="D169" s="179"/>
      <c r="E169" s="207"/>
      <c r="F169" s="217"/>
      <c r="G169" s="217"/>
    </row>
    <row r="170" ht="15.75" customHeight="1">
      <c r="A170" s="215">
        <v>167.0</v>
      </c>
      <c r="B170" s="169">
        <f>COUNTA(GROOMING!$D170)</f>
        <v>0</v>
      </c>
      <c r="C170" s="216"/>
      <c r="D170" s="179"/>
      <c r="E170" s="207"/>
      <c r="F170" s="217"/>
      <c r="G170" s="217"/>
    </row>
    <row r="171" ht="15.75" customHeight="1">
      <c r="A171" s="215">
        <v>168.0</v>
      </c>
      <c r="B171" s="169">
        <f>COUNTA(GROOMING!$D171)</f>
        <v>0</v>
      </c>
      <c r="C171" s="216"/>
      <c r="D171" s="179"/>
      <c r="E171" s="207"/>
      <c r="F171" s="217"/>
      <c r="G171" s="217"/>
    </row>
    <row r="172" ht="15.75" customHeight="1">
      <c r="A172" s="215">
        <v>169.0</v>
      </c>
      <c r="B172" s="169">
        <f>COUNTA(GROOMING!$D172)</f>
        <v>0</v>
      </c>
      <c r="C172" s="216"/>
      <c r="D172" s="179"/>
      <c r="E172" s="207"/>
      <c r="F172" s="217"/>
      <c r="G172" s="217"/>
    </row>
    <row r="173" ht="15.75" customHeight="1">
      <c r="A173" s="215">
        <v>170.0</v>
      </c>
      <c r="B173" s="169">
        <f>COUNTA(GROOMING!$D173)</f>
        <v>0</v>
      </c>
      <c r="C173" s="216"/>
      <c r="D173" s="179"/>
      <c r="E173" s="207"/>
      <c r="F173" s="217"/>
      <c r="G173" s="217"/>
    </row>
    <row r="174" ht="15.75" customHeight="1">
      <c r="A174" s="215">
        <v>171.0</v>
      </c>
      <c r="B174" s="169">
        <f>COUNTA(GROOMING!$D174)</f>
        <v>0</v>
      </c>
      <c r="C174" s="216"/>
      <c r="D174" s="179"/>
      <c r="E174" s="207"/>
      <c r="F174" s="217"/>
      <c r="G174" s="217"/>
    </row>
    <row r="175" ht="15.75" customHeight="1">
      <c r="A175" s="215">
        <v>172.0</v>
      </c>
      <c r="B175" s="169">
        <f>COUNTA(GROOMING!$D175)</f>
        <v>0</v>
      </c>
      <c r="C175" s="215"/>
      <c r="D175" s="179"/>
      <c r="E175" s="207"/>
      <c r="F175" s="217"/>
      <c r="G175" s="217"/>
    </row>
    <row r="176" ht="15.75" customHeight="1">
      <c r="A176" s="215">
        <v>173.0</v>
      </c>
      <c r="B176" s="169">
        <f>COUNTA(GROOMING!$D176)</f>
        <v>0</v>
      </c>
      <c r="C176" s="218"/>
      <c r="D176" s="179"/>
      <c r="E176" s="207"/>
      <c r="F176" s="217"/>
      <c r="G176" s="217"/>
    </row>
    <row r="177" ht="15.75" customHeight="1">
      <c r="A177" s="215">
        <v>174.0</v>
      </c>
      <c r="B177" s="169">
        <f>COUNTA(GROOMING!$D177)</f>
        <v>0</v>
      </c>
      <c r="C177" s="218"/>
      <c r="D177" s="179"/>
      <c r="E177" s="207"/>
      <c r="F177" s="217"/>
      <c r="G177" s="217"/>
    </row>
    <row r="178" ht="15.75" customHeight="1">
      <c r="A178" s="215">
        <v>175.0</v>
      </c>
      <c r="B178" s="169">
        <f>COUNTA(GROOMING!$D178)</f>
        <v>0</v>
      </c>
      <c r="C178" s="218"/>
      <c r="D178" s="179"/>
      <c r="E178" s="207"/>
      <c r="F178" s="217"/>
      <c r="G178" s="217"/>
    </row>
    <row r="179" ht="15.75" customHeight="1">
      <c r="A179" s="215">
        <v>176.0</v>
      </c>
      <c r="B179" s="169">
        <f>COUNTA(GROOMING!$D179)</f>
        <v>0</v>
      </c>
      <c r="C179" s="218"/>
      <c r="D179" s="179"/>
      <c r="E179" s="207"/>
      <c r="F179" s="217"/>
      <c r="G179" s="217"/>
    </row>
    <row r="180" ht="15.75" customHeight="1">
      <c r="A180" s="215">
        <v>177.0</v>
      </c>
      <c r="B180" s="169">
        <f>COUNTA(GROOMING!$D180)</f>
        <v>0</v>
      </c>
      <c r="C180" s="218"/>
      <c r="D180" s="179"/>
      <c r="E180" s="207"/>
      <c r="F180" s="217"/>
      <c r="G180" s="217"/>
    </row>
    <row r="181" ht="15.75" customHeight="1">
      <c r="A181" s="215">
        <v>178.0</v>
      </c>
      <c r="B181" s="169">
        <f>COUNTA(GROOMING!$D181)</f>
        <v>0</v>
      </c>
      <c r="C181" s="218"/>
      <c r="D181" s="179"/>
      <c r="E181" s="207"/>
      <c r="F181" s="217"/>
      <c r="G181" s="217"/>
    </row>
    <row r="182" ht="15.75" customHeight="1">
      <c r="A182" s="215">
        <v>179.0</v>
      </c>
      <c r="B182" s="169">
        <f>COUNTA(GROOMING!$D182)</f>
        <v>0</v>
      </c>
      <c r="C182" s="218"/>
      <c r="D182" s="179"/>
      <c r="E182" s="207"/>
      <c r="F182" s="217"/>
      <c r="G182" s="217"/>
    </row>
    <row r="183" ht="15.75" customHeight="1">
      <c r="A183" s="215">
        <v>180.0</v>
      </c>
      <c r="B183" s="169">
        <f>COUNTA(GROOMING!$D183)</f>
        <v>0</v>
      </c>
      <c r="C183" s="218"/>
      <c r="D183" s="179"/>
      <c r="E183" s="207"/>
      <c r="F183" s="217"/>
      <c r="G183" s="217"/>
    </row>
    <row r="184" ht="15.75" customHeight="1">
      <c r="A184" s="215">
        <v>181.0</v>
      </c>
      <c r="B184" s="169">
        <f>COUNTA(GROOMING!$D184)</f>
        <v>0</v>
      </c>
      <c r="C184" s="218"/>
      <c r="D184" s="179"/>
      <c r="E184" s="207"/>
      <c r="F184" s="217"/>
      <c r="G184" s="217"/>
    </row>
    <row r="185" ht="15.75" customHeight="1">
      <c r="A185" s="215">
        <v>182.0</v>
      </c>
      <c r="B185" s="169">
        <f>COUNTA(GROOMING!$D185)</f>
        <v>0</v>
      </c>
      <c r="C185" s="218"/>
      <c r="D185" s="179"/>
      <c r="E185" s="207"/>
      <c r="F185" s="217"/>
      <c r="G185" s="217"/>
    </row>
    <row r="186" ht="15.75" customHeight="1">
      <c r="A186" s="215">
        <v>183.0</v>
      </c>
      <c r="B186" s="169">
        <f>COUNTA(GROOMING!$D186)</f>
        <v>0</v>
      </c>
      <c r="C186" s="218"/>
      <c r="D186" s="179"/>
      <c r="E186" s="207"/>
      <c r="F186" s="217"/>
      <c r="G186" s="217"/>
    </row>
    <row r="187" ht="15.75" customHeight="1">
      <c r="A187" s="215">
        <v>184.0</v>
      </c>
      <c r="B187" s="169">
        <f>COUNTA(GROOMING!$D187)</f>
        <v>0</v>
      </c>
      <c r="C187" s="218"/>
      <c r="D187" s="179"/>
      <c r="E187" s="207"/>
      <c r="F187" s="217"/>
      <c r="G187" s="217"/>
    </row>
    <row r="188" ht="15.75" customHeight="1">
      <c r="A188" s="215">
        <v>185.0</v>
      </c>
      <c r="B188" s="169">
        <f>COUNTA(GROOMING!$D188)</f>
        <v>0</v>
      </c>
      <c r="C188" s="218"/>
      <c r="D188" s="179"/>
      <c r="E188" s="207"/>
      <c r="F188" s="217"/>
      <c r="G188" s="217"/>
    </row>
    <row r="189" ht="15.75" customHeight="1">
      <c r="A189" s="215">
        <v>186.0</v>
      </c>
      <c r="B189" s="169">
        <f>COUNTA(GROOMING!$D189)</f>
        <v>0</v>
      </c>
      <c r="C189" s="218"/>
      <c r="D189" s="179"/>
      <c r="E189" s="207"/>
      <c r="F189" s="217"/>
      <c r="G189" s="217"/>
    </row>
    <row r="190" ht="15.75" customHeight="1">
      <c r="A190" s="215">
        <v>187.0</v>
      </c>
      <c r="B190" s="169">
        <f>COUNTA(GROOMING!$D190)</f>
        <v>0</v>
      </c>
      <c r="C190" s="218"/>
      <c r="D190" s="179"/>
      <c r="E190" s="207"/>
      <c r="F190" s="217"/>
      <c r="G190" s="217"/>
    </row>
    <row r="191" ht="15.75" customHeight="1">
      <c r="A191" s="215">
        <v>188.0</v>
      </c>
      <c r="B191" s="169">
        <f>COUNTA(GROOMING!$D191)</f>
        <v>0</v>
      </c>
      <c r="C191" s="218"/>
      <c r="D191" s="179"/>
      <c r="E191" s="207"/>
      <c r="F191" s="217"/>
      <c r="G191" s="217"/>
    </row>
    <row r="192" ht="15.75" customHeight="1">
      <c r="A192" s="215">
        <v>189.0</v>
      </c>
      <c r="B192" s="169">
        <f>COUNTA(GROOMING!$D192)</f>
        <v>0</v>
      </c>
      <c r="C192" s="218"/>
      <c r="D192" s="179"/>
      <c r="E192" s="207"/>
      <c r="F192" s="217"/>
      <c r="G192" s="217"/>
    </row>
    <row r="193" ht="15.75" customHeight="1">
      <c r="A193" s="215">
        <v>190.0</v>
      </c>
      <c r="B193" s="169">
        <f>COUNTA(GROOMING!$D193)</f>
        <v>0</v>
      </c>
      <c r="C193" s="219"/>
      <c r="D193" s="179"/>
      <c r="E193" s="207"/>
      <c r="F193" s="217"/>
      <c r="G193" s="217"/>
    </row>
    <row r="194" ht="15.75" customHeight="1">
      <c r="A194" s="215">
        <v>191.0</v>
      </c>
      <c r="B194" s="169">
        <f>COUNTA(GROOMING!$D194)</f>
        <v>0</v>
      </c>
      <c r="C194" s="215"/>
      <c r="D194" s="179"/>
      <c r="E194" s="207"/>
      <c r="F194" s="217"/>
      <c r="G194" s="217"/>
    </row>
    <row r="195" ht="15.75" customHeight="1">
      <c r="A195" s="215">
        <v>192.0</v>
      </c>
      <c r="B195" s="169">
        <f>COUNTA(GROOMING!$D195)</f>
        <v>0</v>
      </c>
      <c r="C195" s="218"/>
      <c r="D195" s="179"/>
      <c r="E195" s="207"/>
      <c r="F195" s="217"/>
      <c r="G195" s="217"/>
    </row>
    <row r="196" ht="15.75" customHeight="1">
      <c r="A196" s="215">
        <v>193.0</v>
      </c>
      <c r="B196" s="169">
        <f>COUNTA(GROOMING!$D196)</f>
        <v>0</v>
      </c>
      <c r="C196" s="218"/>
      <c r="D196" s="179"/>
      <c r="E196" s="207"/>
      <c r="F196" s="217"/>
      <c r="G196" s="217"/>
    </row>
    <row r="197" ht="15.75" customHeight="1">
      <c r="A197" s="215">
        <v>194.0</v>
      </c>
      <c r="B197" s="169">
        <f>COUNTA(GROOMING!$D197)</f>
        <v>0</v>
      </c>
      <c r="C197" s="218"/>
      <c r="D197" s="179"/>
      <c r="E197" s="207"/>
      <c r="F197" s="217"/>
      <c r="G197" s="217"/>
    </row>
    <row r="198" ht="15.75" customHeight="1">
      <c r="A198" s="215">
        <v>195.0</v>
      </c>
      <c r="B198" s="169">
        <f>COUNTA(GROOMING!$D198)</f>
        <v>0</v>
      </c>
      <c r="C198" s="218"/>
      <c r="D198" s="179"/>
      <c r="E198" s="207"/>
      <c r="F198" s="217"/>
      <c r="G198" s="217"/>
    </row>
    <row r="199" ht="15.75" customHeight="1">
      <c r="A199" s="215">
        <v>196.0</v>
      </c>
      <c r="B199" s="169">
        <f>COUNTA(GROOMING!$D199)</f>
        <v>0</v>
      </c>
      <c r="C199" s="218"/>
      <c r="D199" s="179"/>
      <c r="E199" s="207"/>
      <c r="F199" s="217"/>
      <c r="G199" s="217"/>
    </row>
    <row r="200" ht="15.75" customHeight="1">
      <c r="A200" s="215">
        <v>197.0</v>
      </c>
      <c r="B200" s="169">
        <f>COUNTA(GROOMING!$D200)</f>
        <v>0</v>
      </c>
      <c r="C200" s="218"/>
      <c r="D200" s="179"/>
      <c r="E200" s="207"/>
      <c r="F200" s="217"/>
      <c r="G200" s="217"/>
    </row>
    <row r="201" ht="15.75" customHeight="1">
      <c r="A201" s="215">
        <v>198.0</v>
      </c>
      <c r="B201" s="169">
        <f>COUNTA(GROOMING!$D201)</f>
        <v>0</v>
      </c>
      <c r="C201" s="218"/>
      <c r="D201" s="179"/>
      <c r="E201" s="207"/>
      <c r="F201" s="217"/>
      <c r="G201" s="217"/>
    </row>
    <row r="202" ht="15.75" customHeight="1">
      <c r="A202" s="215">
        <v>199.0</v>
      </c>
      <c r="B202" s="169">
        <f>COUNTA(GROOMING!$D202)</f>
        <v>0</v>
      </c>
      <c r="C202" s="218"/>
      <c r="D202" s="179"/>
      <c r="E202" s="207"/>
      <c r="F202" s="217"/>
      <c r="G202" s="217"/>
    </row>
    <row r="203" ht="15.75" customHeight="1">
      <c r="A203" s="215">
        <v>200.0</v>
      </c>
      <c r="B203" s="169">
        <f>COUNTA(GROOMING!$D203)</f>
        <v>0</v>
      </c>
      <c r="C203" s="218"/>
      <c r="D203" s="179"/>
      <c r="E203" s="207"/>
      <c r="F203" s="217"/>
      <c r="G203" s="217"/>
    </row>
    <row r="204" ht="15.75" customHeight="1">
      <c r="A204" s="215">
        <v>201.0</v>
      </c>
      <c r="B204" s="169">
        <f>COUNTA(GROOMING!$D204)</f>
        <v>0</v>
      </c>
      <c r="C204" s="218"/>
      <c r="D204" s="179"/>
      <c r="E204" s="207"/>
      <c r="F204" s="217"/>
      <c r="G204" s="217"/>
    </row>
    <row r="205" ht="15.75" customHeight="1">
      <c r="A205" s="215">
        <v>202.0</v>
      </c>
      <c r="B205" s="169">
        <f>COUNTA(GROOMING!$D205)</f>
        <v>0</v>
      </c>
      <c r="C205" s="218"/>
      <c r="D205" s="179"/>
      <c r="E205" s="207"/>
      <c r="F205" s="217"/>
      <c r="G205" s="217"/>
    </row>
    <row r="206" ht="15.75" customHeight="1">
      <c r="A206" s="215">
        <v>203.0</v>
      </c>
      <c r="B206" s="169">
        <f>COUNTA(GROOMING!$D206)</f>
        <v>0</v>
      </c>
      <c r="C206" s="218"/>
      <c r="D206" s="179"/>
      <c r="E206" s="207"/>
      <c r="F206" s="217"/>
      <c r="G206" s="217"/>
    </row>
    <row r="207" ht="15.75" customHeight="1">
      <c r="A207" s="215">
        <v>204.0</v>
      </c>
      <c r="B207" s="169">
        <f>COUNTA(GROOMING!$D207)</f>
        <v>0</v>
      </c>
      <c r="C207" s="218"/>
      <c r="D207" s="179"/>
      <c r="E207" s="207"/>
      <c r="F207" s="217"/>
      <c r="G207" s="217"/>
    </row>
    <row r="208" ht="15.75" customHeight="1">
      <c r="A208" s="215">
        <v>205.0</v>
      </c>
      <c r="B208" s="169">
        <f>COUNTA(GROOMING!$D208)</f>
        <v>0</v>
      </c>
      <c r="C208" s="218"/>
      <c r="D208" s="179"/>
      <c r="E208" s="207"/>
      <c r="F208" s="217"/>
      <c r="G208" s="217"/>
    </row>
    <row r="209" ht="15.75" customHeight="1">
      <c r="A209" s="215">
        <v>206.0</v>
      </c>
      <c r="B209" s="169">
        <f>COUNTA(GROOMING!$D209)</f>
        <v>0</v>
      </c>
      <c r="C209" s="218"/>
      <c r="D209" s="179"/>
      <c r="E209" s="207"/>
      <c r="F209" s="217"/>
      <c r="G209" s="217"/>
    </row>
    <row r="210" ht="15.75" customHeight="1">
      <c r="A210" s="215">
        <v>207.0</v>
      </c>
      <c r="B210" s="169">
        <f>COUNTA(GROOMING!$D210)</f>
        <v>0</v>
      </c>
      <c r="C210" s="218"/>
      <c r="D210" s="179"/>
      <c r="E210" s="207"/>
      <c r="F210" s="217"/>
      <c r="G210" s="217"/>
    </row>
    <row r="211" ht="15.75" customHeight="1">
      <c r="A211" s="215">
        <v>208.0</v>
      </c>
      <c r="B211" s="169">
        <f>COUNTA(GROOMING!$D211)</f>
        <v>0</v>
      </c>
      <c r="C211" s="218"/>
      <c r="D211" s="179"/>
      <c r="E211" s="207"/>
      <c r="F211" s="217"/>
      <c r="G211" s="217"/>
    </row>
    <row r="212" ht="15.75" customHeight="1">
      <c r="A212" s="215">
        <v>209.0</v>
      </c>
      <c r="B212" s="169">
        <f>COUNTA(GROOMING!$D212)</f>
        <v>0</v>
      </c>
      <c r="C212" s="219"/>
      <c r="D212" s="179"/>
      <c r="E212" s="207"/>
      <c r="F212" s="217"/>
      <c r="G212" s="217"/>
    </row>
    <row r="213" ht="15.75" customHeight="1">
      <c r="A213" s="215">
        <v>210.0</v>
      </c>
      <c r="B213" s="169">
        <f>COUNTA(GROOMING!$D213)</f>
        <v>0</v>
      </c>
      <c r="C213" s="220"/>
      <c r="D213" s="179"/>
      <c r="E213" s="211"/>
      <c r="F213" s="221"/>
      <c r="G213" s="221"/>
    </row>
    <row r="214" ht="15.75" customHeight="1">
      <c r="A214" s="215">
        <v>211.0</v>
      </c>
      <c r="B214" s="169">
        <f>COUNTA(GROOMING!$D214)</f>
        <v>0</v>
      </c>
      <c r="C214" s="220"/>
      <c r="D214" s="179"/>
      <c r="E214" s="211"/>
      <c r="F214" s="221"/>
      <c r="G214" s="221"/>
    </row>
    <row r="215" ht="15.75" customHeight="1">
      <c r="A215" s="215">
        <v>212.0</v>
      </c>
      <c r="B215" s="169">
        <f>COUNTA(GROOMING!$D215)</f>
        <v>0</v>
      </c>
      <c r="C215" s="220"/>
      <c r="D215" s="179"/>
      <c r="E215" s="211"/>
      <c r="F215" s="221"/>
      <c r="G215" s="221"/>
    </row>
    <row r="216" ht="15.75" customHeight="1">
      <c r="A216" s="215">
        <v>213.0</v>
      </c>
      <c r="B216" s="169">
        <f>COUNTA(GROOMING!$D216)</f>
        <v>0</v>
      </c>
      <c r="C216" s="220"/>
      <c r="D216" s="179"/>
      <c r="E216" s="211"/>
      <c r="F216" s="221"/>
      <c r="G216" s="221"/>
    </row>
    <row r="217" ht="15.75" customHeight="1">
      <c r="A217" s="215">
        <v>214.0</v>
      </c>
      <c r="B217" s="169">
        <f>COUNTA(GROOMING!$D217)</f>
        <v>0</v>
      </c>
      <c r="C217" s="220"/>
      <c r="D217" s="179"/>
      <c r="E217" s="211"/>
      <c r="F217" s="221"/>
      <c r="G217" s="221"/>
    </row>
    <row r="218" ht="15.75" customHeight="1">
      <c r="A218" s="215">
        <v>215.0</v>
      </c>
      <c r="B218" s="169">
        <f>COUNTA(GROOMING!$D218)</f>
        <v>0</v>
      </c>
      <c r="C218" s="220"/>
      <c r="D218" s="179"/>
      <c r="E218" s="211"/>
      <c r="F218" s="221"/>
      <c r="G218" s="221"/>
    </row>
    <row r="219" ht="15.75" customHeight="1">
      <c r="A219" s="215">
        <v>216.0</v>
      </c>
      <c r="B219" s="169">
        <f>COUNTA(GROOMING!$D219)</f>
        <v>0</v>
      </c>
      <c r="C219" s="220"/>
      <c r="D219" s="179"/>
      <c r="E219" s="211"/>
      <c r="F219" s="221"/>
      <c r="G219" s="221"/>
    </row>
    <row r="220" ht="15.75" customHeight="1">
      <c r="A220" s="215">
        <v>217.0</v>
      </c>
      <c r="B220" s="169">
        <f>COUNTA(GROOMING!$D220)</f>
        <v>0</v>
      </c>
      <c r="C220" s="220"/>
      <c r="D220" s="179"/>
      <c r="E220" s="211"/>
      <c r="F220" s="221"/>
      <c r="G220" s="221"/>
    </row>
    <row r="221" ht="15.75" customHeight="1">
      <c r="A221" s="215">
        <v>218.0</v>
      </c>
      <c r="B221" s="169">
        <f>COUNTA(GROOMING!$D221)</f>
        <v>0</v>
      </c>
      <c r="C221" s="220"/>
      <c r="D221" s="179"/>
      <c r="E221" s="211"/>
      <c r="F221" s="221"/>
      <c r="G221" s="221"/>
    </row>
    <row r="222" ht="15.75" customHeight="1">
      <c r="A222" s="215">
        <v>219.0</v>
      </c>
      <c r="B222" s="169">
        <f>COUNTA(GROOMING!$D222)</f>
        <v>0</v>
      </c>
      <c r="C222" s="220"/>
      <c r="D222" s="179"/>
      <c r="E222" s="211"/>
      <c r="F222" s="221"/>
      <c r="G222" s="221"/>
    </row>
    <row r="223" ht="15.75" customHeight="1">
      <c r="A223" s="215">
        <v>220.0</v>
      </c>
      <c r="B223" s="169">
        <f>COUNTA(GROOMING!$D223)</f>
        <v>0</v>
      </c>
      <c r="C223" s="220"/>
      <c r="D223" s="179"/>
      <c r="E223" s="211"/>
      <c r="F223" s="221"/>
      <c r="G223" s="221"/>
    </row>
    <row r="224" ht="15.75" customHeight="1">
      <c r="A224" s="215">
        <v>221.0</v>
      </c>
      <c r="B224" s="169">
        <f>COUNTA(GROOMING!$D224)</f>
        <v>0</v>
      </c>
      <c r="C224" s="220"/>
      <c r="D224" s="179"/>
      <c r="E224" s="211"/>
      <c r="F224" s="221"/>
      <c r="G224" s="221"/>
    </row>
    <row r="225" ht="15.75" customHeight="1">
      <c r="A225" s="215">
        <v>222.0</v>
      </c>
      <c r="B225" s="169">
        <f>COUNTA(GROOMING!$D225)</f>
        <v>0</v>
      </c>
      <c r="C225" s="220"/>
      <c r="D225" s="179"/>
      <c r="E225" s="211"/>
      <c r="F225" s="221"/>
      <c r="G225" s="221"/>
    </row>
    <row r="226" ht="15.75" customHeight="1">
      <c r="A226" s="215">
        <v>223.0</v>
      </c>
      <c r="B226" s="169">
        <f>COUNTA(GROOMING!$D226)</f>
        <v>0</v>
      </c>
      <c r="C226" s="220"/>
      <c r="D226" s="179"/>
      <c r="E226" s="211"/>
      <c r="F226" s="221"/>
      <c r="G226" s="221"/>
    </row>
    <row r="227" ht="15.75" customHeight="1">
      <c r="A227" s="215">
        <v>224.0</v>
      </c>
      <c r="B227" s="169">
        <f>COUNTA(GROOMING!$D227)</f>
        <v>0</v>
      </c>
      <c r="C227" s="220"/>
      <c r="D227" s="179"/>
      <c r="E227" s="211"/>
      <c r="F227" s="221"/>
      <c r="G227" s="221"/>
    </row>
    <row r="228" ht="15.75" customHeight="1">
      <c r="A228" s="215">
        <v>225.0</v>
      </c>
      <c r="B228" s="169">
        <f>COUNTA(GROOMING!$D228)</f>
        <v>0</v>
      </c>
      <c r="C228" s="220"/>
      <c r="D228" s="179"/>
      <c r="E228" s="211"/>
      <c r="F228" s="221"/>
      <c r="G228" s="221"/>
    </row>
    <row r="229" ht="15.75" customHeight="1">
      <c r="A229" s="215">
        <v>226.0</v>
      </c>
      <c r="B229" s="169">
        <f>COUNTA(GROOMING!$D229)</f>
        <v>0</v>
      </c>
      <c r="C229" s="222"/>
      <c r="D229" s="179"/>
      <c r="E229" s="223"/>
      <c r="F229" s="224"/>
      <c r="G229" s="224"/>
    </row>
    <row r="230" ht="15.75" customHeight="1">
      <c r="A230" s="215">
        <v>227.0</v>
      </c>
      <c r="B230" s="169">
        <f>COUNTA(GROOMING!$D230)</f>
        <v>0</v>
      </c>
      <c r="C230" s="222"/>
      <c r="D230" s="179"/>
      <c r="E230" s="223"/>
      <c r="F230" s="224"/>
      <c r="G230" s="224"/>
    </row>
    <row r="231" ht="15.75" customHeight="1">
      <c r="A231" s="215">
        <v>228.0</v>
      </c>
      <c r="B231" s="169">
        <f>COUNTA(GROOMING!$D231)</f>
        <v>0</v>
      </c>
      <c r="C231" s="222"/>
      <c r="D231" s="179"/>
      <c r="E231" s="223"/>
      <c r="F231" s="224"/>
      <c r="G231" s="224"/>
    </row>
    <row r="232" ht="15.75" customHeight="1">
      <c r="E232" s="76"/>
    </row>
    <row r="233" ht="15.75" customHeight="1">
      <c r="E233" s="76"/>
    </row>
    <row r="234" ht="15.75" customHeight="1">
      <c r="E234" s="76"/>
    </row>
    <row r="235" ht="15.75" customHeight="1">
      <c r="E235" s="76"/>
    </row>
    <row r="236" ht="15.75" customHeight="1">
      <c r="E236" s="76"/>
    </row>
    <row r="237" ht="15.75" customHeight="1">
      <c r="E237" s="76"/>
    </row>
    <row r="238" ht="15.75" customHeight="1">
      <c r="E238" s="76"/>
    </row>
    <row r="239" ht="15.75" customHeight="1">
      <c r="E239" s="76"/>
    </row>
    <row r="240" ht="15.75" customHeight="1">
      <c r="E240" s="76"/>
    </row>
    <row r="241" ht="15.75" customHeight="1">
      <c r="E241" s="76"/>
    </row>
    <row r="242" ht="15.75" customHeight="1">
      <c r="E242" s="76"/>
    </row>
    <row r="243" ht="15.75" customHeight="1">
      <c r="E243" s="76"/>
    </row>
    <row r="244" ht="15.75" customHeight="1">
      <c r="E244" s="76"/>
    </row>
    <row r="245" ht="15.75" customHeight="1">
      <c r="E245" s="76"/>
    </row>
    <row r="246" ht="15.75" customHeight="1">
      <c r="E246" s="76"/>
    </row>
    <row r="247" ht="15.75" customHeight="1">
      <c r="E247" s="76"/>
    </row>
    <row r="248" ht="15.75" customHeight="1">
      <c r="E248" s="76"/>
    </row>
    <row r="249" ht="15.75" customHeight="1">
      <c r="E249" s="76"/>
    </row>
    <row r="250" ht="15.75" customHeight="1">
      <c r="E250" s="76"/>
    </row>
    <row r="251" ht="15.75" customHeight="1">
      <c r="E251" s="76"/>
    </row>
    <row r="252" ht="15.75" customHeight="1">
      <c r="E252" s="76"/>
    </row>
    <row r="253" ht="15.75" customHeight="1">
      <c r="E253" s="76"/>
    </row>
    <row r="254" ht="15.75" customHeight="1">
      <c r="E254" s="76"/>
    </row>
    <row r="255" ht="15.75" customHeight="1">
      <c r="E255" s="76"/>
    </row>
    <row r="256" ht="15.75" customHeight="1">
      <c r="E256" s="76"/>
    </row>
    <row r="257" ht="15.75" customHeight="1">
      <c r="E257" s="76"/>
    </row>
    <row r="258" ht="15.75" customHeight="1">
      <c r="E258" s="76"/>
    </row>
    <row r="259" ht="15.75" customHeight="1">
      <c r="E259" s="76"/>
    </row>
    <row r="260" ht="15.75" customHeight="1">
      <c r="E260" s="76"/>
    </row>
    <row r="261" ht="15.75" customHeight="1">
      <c r="E261" s="76"/>
    </row>
    <row r="262" ht="15.75" customHeight="1">
      <c r="E262" s="76"/>
    </row>
    <row r="263" ht="15.75" customHeight="1">
      <c r="E263" s="76"/>
    </row>
    <row r="264" ht="15.75" customHeight="1">
      <c r="E264" s="76"/>
    </row>
    <row r="265" ht="15.75" customHeight="1">
      <c r="E265" s="76"/>
    </row>
    <row r="266" ht="15.75" customHeight="1">
      <c r="E266" s="76"/>
    </row>
    <row r="267" ht="15.75" customHeight="1">
      <c r="E267" s="76"/>
    </row>
    <row r="268" ht="15.75" customHeight="1">
      <c r="E268" s="76"/>
    </row>
    <row r="269" ht="15.75" customHeight="1">
      <c r="E269" s="76"/>
    </row>
    <row r="270" ht="15.75" customHeight="1">
      <c r="E270" s="76"/>
    </row>
    <row r="271" ht="15.75" customHeight="1">
      <c r="E271" s="76"/>
    </row>
    <row r="272" ht="15.75" customHeight="1">
      <c r="E272" s="76"/>
    </row>
    <row r="273" ht="15.75" customHeight="1">
      <c r="E273" s="76"/>
    </row>
    <row r="274" ht="15.75" customHeight="1">
      <c r="E274" s="76"/>
    </row>
    <row r="275" ht="15.75" customHeight="1">
      <c r="E275" s="76"/>
    </row>
    <row r="276" ht="15.75" customHeight="1">
      <c r="E276" s="76"/>
    </row>
    <row r="277" ht="15.75" customHeight="1">
      <c r="E277" s="76"/>
    </row>
    <row r="278" ht="15.75" customHeight="1">
      <c r="E278" s="76"/>
    </row>
    <row r="279" ht="15.75" customHeight="1">
      <c r="E279" s="76"/>
    </row>
    <row r="280" ht="15.75" customHeight="1">
      <c r="E280" s="76"/>
    </row>
    <row r="281" ht="15.75" customHeight="1">
      <c r="E281" s="76"/>
    </row>
    <row r="282" ht="15.75" customHeight="1">
      <c r="E282" s="76"/>
    </row>
    <row r="283" ht="15.75" customHeight="1">
      <c r="E283" s="76"/>
    </row>
    <row r="284" ht="15.75" customHeight="1">
      <c r="E284" s="76"/>
    </row>
    <row r="285" ht="15.75" customHeight="1">
      <c r="E285" s="76"/>
    </row>
    <row r="286" ht="15.75" customHeight="1">
      <c r="E286" s="76"/>
    </row>
    <row r="287" ht="15.75" customHeight="1">
      <c r="E287" s="76"/>
    </row>
    <row r="288" ht="15.75" customHeight="1">
      <c r="E288" s="76"/>
    </row>
    <row r="289" ht="15.75" customHeight="1">
      <c r="E289" s="76"/>
    </row>
    <row r="290" ht="15.75" customHeight="1">
      <c r="E290" s="76"/>
    </row>
    <row r="291" ht="15.75" customHeight="1">
      <c r="E291" s="76"/>
    </row>
    <row r="292" ht="15.75" customHeight="1">
      <c r="E292" s="76"/>
    </row>
    <row r="293" ht="15.75" customHeight="1">
      <c r="E293" s="76"/>
    </row>
    <row r="294" ht="15.75" customHeight="1">
      <c r="E294" s="76"/>
    </row>
    <row r="295" ht="15.75" customHeight="1">
      <c r="E295" s="76"/>
    </row>
    <row r="296" ht="15.75" customHeight="1">
      <c r="E296" s="76"/>
    </row>
    <row r="297" ht="15.75" customHeight="1">
      <c r="E297" s="76"/>
    </row>
    <row r="298" ht="15.75" customHeight="1">
      <c r="E298" s="76"/>
    </row>
    <row r="299" ht="15.75" customHeight="1">
      <c r="E299" s="76"/>
    </row>
    <row r="300" ht="15.75" customHeight="1">
      <c r="E300" s="76"/>
    </row>
    <row r="301" ht="15.75" customHeight="1">
      <c r="E301" s="76"/>
    </row>
    <row r="302" ht="15.75" customHeight="1">
      <c r="E302" s="76"/>
    </row>
    <row r="303" ht="15.75" customHeight="1">
      <c r="E303" s="76"/>
    </row>
    <row r="304" ht="15.75" customHeight="1">
      <c r="E304" s="76"/>
    </row>
    <row r="305" ht="15.75" customHeight="1">
      <c r="E305" s="76"/>
    </row>
    <row r="306" ht="15.75" customHeight="1">
      <c r="E306" s="76"/>
    </row>
    <row r="307" ht="15.75" customHeight="1">
      <c r="E307" s="76"/>
    </row>
    <row r="308" ht="15.75" customHeight="1">
      <c r="E308" s="76"/>
    </row>
    <row r="309" ht="15.75" customHeight="1">
      <c r="E309" s="76"/>
    </row>
    <row r="310" ht="15.75" customHeight="1">
      <c r="E310" s="76"/>
    </row>
    <row r="311" ht="15.75" customHeight="1">
      <c r="E311" s="76"/>
    </row>
    <row r="312" ht="15.75" customHeight="1">
      <c r="E312" s="76"/>
    </row>
    <row r="313" ht="15.75" customHeight="1">
      <c r="E313" s="76"/>
    </row>
    <row r="314" ht="15.75" customHeight="1">
      <c r="E314" s="76"/>
    </row>
    <row r="315" ht="15.75" customHeight="1">
      <c r="E315" s="76"/>
    </row>
    <row r="316" ht="15.75" customHeight="1">
      <c r="E316" s="76"/>
    </row>
    <row r="317" ht="15.75" customHeight="1">
      <c r="E317" s="76"/>
    </row>
    <row r="318" ht="15.75" customHeight="1">
      <c r="E318" s="76"/>
    </row>
    <row r="319" ht="15.75" customHeight="1">
      <c r="E319" s="76"/>
    </row>
    <row r="320" ht="15.75" customHeight="1">
      <c r="E320" s="76"/>
    </row>
    <row r="321" ht="15.75" customHeight="1">
      <c r="E321" s="76"/>
    </row>
    <row r="322" ht="15.75" customHeight="1">
      <c r="E322" s="76"/>
    </row>
    <row r="323" ht="15.75" customHeight="1">
      <c r="E323" s="76"/>
    </row>
    <row r="324" ht="15.75" customHeight="1">
      <c r="E324" s="76"/>
    </row>
    <row r="325" ht="15.75" customHeight="1">
      <c r="E325" s="76"/>
    </row>
    <row r="326" ht="15.75" customHeight="1">
      <c r="E326" s="76"/>
    </row>
    <row r="327" ht="15.75" customHeight="1">
      <c r="E327" s="76"/>
    </row>
    <row r="328" ht="15.75" customHeight="1">
      <c r="E328" s="76"/>
    </row>
    <row r="329" ht="15.75" customHeight="1">
      <c r="E329" s="76"/>
    </row>
    <row r="330" ht="15.75" customHeight="1">
      <c r="E330" s="76"/>
    </row>
    <row r="331" ht="15.75" customHeight="1">
      <c r="E331" s="76"/>
    </row>
    <row r="332" ht="15.75" customHeight="1">
      <c r="E332" s="76"/>
    </row>
    <row r="333" ht="15.75" customHeight="1">
      <c r="E333" s="76"/>
    </row>
    <row r="334" ht="15.75" customHeight="1">
      <c r="E334" s="76"/>
    </row>
    <row r="335" ht="15.75" customHeight="1">
      <c r="E335" s="76"/>
    </row>
    <row r="336" ht="15.75" customHeight="1">
      <c r="E336" s="76"/>
    </row>
    <row r="337" ht="15.75" customHeight="1">
      <c r="E337" s="76"/>
    </row>
    <row r="338" ht="15.75" customHeight="1">
      <c r="E338" s="76"/>
    </row>
    <row r="339" ht="15.75" customHeight="1">
      <c r="E339" s="76"/>
    </row>
    <row r="340" ht="15.75" customHeight="1">
      <c r="E340" s="76"/>
    </row>
    <row r="341" ht="15.75" customHeight="1">
      <c r="E341" s="76"/>
    </row>
    <row r="342" ht="15.75" customHeight="1">
      <c r="E342" s="76"/>
    </row>
    <row r="343" ht="15.75" customHeight="1">
      <c r="E343" s="76"/>
    </row>
    <row r="344" ht="15.75" customHeight="1">
      <c r="E344" s="76"/>
    </row>
    <row r="345" ht="15.75" customHeight="1">
      <c r="E345" s="76"/>
    </row>
    <row r="346" ht="15.75" customHeight="1">
      <c r="E346" s="76"/>
    </row>
    <row r="347" ht="15.75" customHeight="1">
      <c r="E347" s="76"/>
    </row>
    <row r="348" ht="15.75" customHeight="1">
      <c r="E348" s="76"/>
    </row>
    <row r="349" ht="15.75" customHeight="1">
      <c r="E349" s="76"/>
    </row>
    <row r="350" ht="15.75" customHeight="1">
      <c r="E350" s="76"/>
    </row>
    <row r="351" ht="15.75" customHeight="1">
      <c r="E351" s="76"/>
    </row>
    <row r="352" ht="15.75" customHeight="1">
      <c r="E352" s="76"/>
    </row>
    <row r="353" ht="15.75" customHeight="1">
      <c r="E353" s="76"/>
    </row>
    <row r="354" ht="15.75" customHeight="1">
      <c r="E354" s="76"/>
    </row>
    <row r="355" ht="15.75" customHeight="1">
      <c r="E355" s="76"/>
    </row>
    <row r="356" ht="15.75" customHeight="1">
      <c r="E356" s="76"/>
    </row>
    <row r="357" ht="15.75" customHeight="1">
      <c r="E357" s="76"/>
    </row>
    <row r="358" ht="15.75" customHeight="1">
      <c r="E358" s="76"/>
    </row>
    <row r="359" ht="15.75" customHeight="1">
      <c r="E359" s="76"/>
    </row>
    <row r="360" ht="15.75" customHeight="1">
      <c r="E360" s="76"/>
    </row>
    <row r="361" ht="15.75" customHeight="1">
      <c r="E361" s="76"/>
    </row>
    <row r="362" ht="15.75" customHeight="1">
      <c r="E362" s="76"/>
    </row>
    <row r="363" ht="15.75" customHeight="1">
      <c r="E363" s="76"/>
    </row>
    <row r="364" ht="15.75" customHeight="1">
      <c r="E364" s="76"/>
    </row>
    <row r="365" ht="15.75" customHeight="1">
      <c r="E365" s="76"/>
    </row>
    <row r="366" ht="15.75" customHeight="1">
      <c r="E366" s="76"/>
    </row>
    <row r="367" ht="15.75" customHeight="1">
      <c r="E367" s="76"/>
    </row>
    <row r="368" ht="15.75" customHeight="1">
      <c r="E368" s="76"/>
    </row>
    <row r="369" ht="15.75" customHeight="1">
      <c r="E369" s="76"/>
    </row>
    <row r="370" ht="15.75" customHeight="1">
      <c r="E370" s="76"/>
    </row>
    <row r="371" ht="15.75" customHeight="1">
      <c r="E371" s="76"/>
    </row>
    <row r="372" ht="15.75" customHeight="1">
      <c r="E372" s="76"/>
    </row>
    <row r="373" ht="15.75" customHeight="1">
      <c r="E373" s="76"/>
    </row>
    <row r="374" ht="15.75" customHeight="1">
      <c r="E374" s="76"/>
    </row>
    <row r="375" ht="15.75" customHeight="1">
      <c r="E375" s="76"/>
    </row>
    <row r="376" ht="15.75" customHeight="1">
      <c r="E376" s="76"/>
    </row>
    <row r="377" ht="15.75" customHeight="1">
      <c r="E377" s="76"/>
    </row>
    <row r="378" ht="15.75" customHeight="1">
      <c r="E378" s="76"/>
    </row>
    <row r="379" ht="15.75" customHeight="1">
      <c r="E379" s="76"/>
    </row>
    <row r="380" ht="15.75" customHeight="1">
      <c r="E380" s="76"/>
    </row>
    <row r="381" ht="15.75" customHeight="1">
      <c r="E381" s="76"/>
    </row>
    <row r="382" ht="15.75" customHeight="1">
      <c r="E382" s="76"/>
    </row>
    <row r="383" ht="15.75" customHeight="1">
      <c r="E383" s="76"/>
    </row>
    <row r="384" ht="15.75" customHeight="1">
      <c r="E384" s="76"/>
    </row>
    <row r="385" ht="15.75" customHeight="1">
      <c r="E385" s="76"/>
    </row>
    <row r="386" ht="15.75" customHeight="1">
      <c r="E386" s="76"/>
    </row>
    <row r="387" ht="15.75" customHeight="1">
      <c r="E387" s="76"/>
    </row>
    <row r="388" ht="15.75" customHeight="1">
      <c r="E388" s="76"/>
    </row>
    <row r="389" ht="15.75" customHeight="1">
      <c r="E389" s="76"/>
    </row>
    <row r="390" ht="15.75" customHeight="1">
      <c r="E390" s="76"/>
    </row>
    <row r="391" ht="15.75" customHeight="1">
      <c r="E391" s="76"/>
    </row>
    <row r="392" ht="15.75" customHeight="1">
      <c r="E392" s="76"/>
    </row>
    <row r="393" ht="15.75" customHeight="1">
      <c r="E393" s="76"/>
    </row>
    <row r="394" ht="15.75" customHeight="1">
      <c r="E394" s="76"/>
    </row>
    <row r="395" ht="15.75" customHeight="1">
      <c r="E395" s="76"/>
    </row>
    <row r="396" ht="15.75" customHeight="1">
      <c r="E396" s="76"/>
    </row>
    <row r="397" ht="15.75" customHeight="1">
      <c r="E397" s="76"/>
    </row>
    <row r="398" ht="15.75" customHeight="1">
      <c r="E398" s="76"/>
    </row>
    <row r="399" ht="15.75" customHeight="1">
      <c r="E399" s="76"/>
    </row>
    <row r="400" ht="15.75" customHeight="1">
      <c r="E400" s="76"/>
    </row>
    <row r="401" ht="15.75" customHeight="1">
      <c r="E401" s="76"/>
    </row>
    <row r="402" ht="15.75" customHeight="1">
      <c r="E402" s="76"/>
    </row>
    <row r="403" ht="15.75" customHeight="1">
      <c r="E403" s="76"/>
    </row>
    <row r="404" ht="15.75" customHeight="1">
      <c r="E404" s="76"/>
    </row>
    <row r="405" ht="15.75" customHeight="1">
      <c r="E405" s="76"/>
    </row>
    <row r="406" ht="15.75" customHeight="1">
      <c r="E406" s="76"/>
    </row>
    <row r="407" ht="15.75" customHeight="1">
      <c r="E407" s="76"/>
    </row>
    <row r="408" ht="15.75" customHeight="1">
      <c r="E408" s="76"/>
    </row>
    <row r="409" ht="15.75" customHeight="1">
      <c r="E409" s="76"/>
    </row>
    <row r="410" ht="15.75" customHeight="1">
      <c r="E410" s="76"/>
    </row>
    <row r="411" ht="15.75" customHeight="1">
      <c r="E411" s="76"/>
    </row>
    <row r="412" ht="15.75" customHeight="1">
      <c r="E412" s="76"/>
    </row>
    <row r="413" ht="15.75" customHeight="1">
      <c r="E413" s="76"/>
    </row>
    <row r="414" ht="15.75" customHeight="1">
      <c r="E414" s="76"/>
    </row>
    <row r="415" ht="15.75" customHeight="1">
      <c r="E415" s="76"/>
    </row>
    <row r="416" ht="15.75" customHeight="1">
      <c r="E416" s="76"/>
    </row>
    <row r="417" ht="15.75" customHeight="1">
      <c r="E417" s="76"/>
    </row>
    <row r="418" ht="15.75" customHeight="1">
      <c r="E418" s="76"/>
    </row>
    <row r="419" ht="15.75" customHeight="1">
      <c r="E419" s="76"/>
    </row>
    <row r="420" ht="15.75" customHeight="1">
      <c r="E420" s="76"/>
    </row>
    <row r="421" ht="15.75" customHeight="1">
      <c r="E421" s="76"/>
    </row>
    <row r="422" ht="15.75" customHeight="1">
      <c r="E422" s="76"/>
    </row>
    <row r="423" ht="15.75" customHeight="1">
      <c r="E423" s="76"/>
    </row>
    <row r="424" ht="15.75" customHeight="1">
      <c r="E424" s="76"/>
    </row>
    <row r="425" ht="15.75" customHeight="1">
      <c r="E425" s="76"/>
    </row>
    <row r="426" ht="15.75" customHeight="1">
      <c r="E426" s="76"/>
    </row>
    <row r="427" ht="15.75" customHeight="1">
      <c r="E427" s="76"/>
    </row>
    <row r="428" ht="15.75" customHeight="1">
      <c r="E428" s="76"/>
    </row>
    <row r="429" ht="15.75" customHeight="1">
      <c r="E429" s="76"/>
    </row>
    <row r="430" ht="15.75" customHeight="1">
      <c r="E430" s="76"/>
    </row>
    <row r="431" ht="15.75" customHeight="1">
      <c r="E431" s="76"/>
    </row>
    <row r="432" ht="15.75" customHeight="1">
      <c r="E432" s="76"/>
    </row>
    <row r="433" ht="15.75" customHeight="1">
      <c r="E433" s="76"/>
    </row>
    <row r="434" ht="15.75" customHeight="1">
      <c r="E434" s="76"/>
    </row>
    <row r="435" ht="15.75" customHeight="1">
      <c r="E435" s="76"/>
    </row>
    <row r="436" ht="15.75" customHeight="1">
      <c r="E436" s="76"/>
    </row>
    <row r="437" ht="15.75" customHeight="1">
      <c r="E437" s="76"/>
    </row>
    <row r="438" ht="15.75" customHeight="1">
      <c r="E438" s="76"/>
    </row>
    <row r="439" ht="15.75" customHeight="1">
      <c r="E439" s="76"/>
    </row>
    <row r="440" ht="15.75" customHeight="1">
      <c r="E440" s="76"/>
    </row>
    <row r="441" ht="15.75" customHeight="1">
      <c r="E441" s="76"/>
    </row>
    <row r="442" ht="15.75" customHeight="1">
      <c r="E442" s="76"/>
    </row>
    <row r="443" ht="15.75" customHeight="1">
      <c r="E443" s="76"/>
    </row>
    <row r="444" ht="15.75" customHeight="1">
      <c r="E444" s="76"/>
    </row>
    <row r="445" ht="15.75" customHeight="1">
      <c r="E445" s="76"/>
    </row>
    <row r="446" ht="15.75" customHeight="1">
      <c r="E446" s="76"/>
    </row>
    <row r="447" ht="15.75" customHeight="1">
      <c r="E447" s="76"/>
    </row>
    <row r="448" ht="15.75" customHeight="1">
      <c r="E448" s="76"/>
    </row>
    <row r="449" ht="15.75" customHeight="1">
      <c r="E449" s="76"/>
    </row>
    <row r="450" ht="15.75" customHeight="1">
      <c r="E450" s="76"/>
    </row>
    <row r="451" ht="15.75" customHeight="1">
      <c r="E451" s="76"/>
    </row>
    <row r="452" ht="15.75" customHeight="1">
      <c r="E452" s="76"/>
    </row>
    <row r="453" ht="15.75" customHeight="1">
      <c r="E453" s="76"/>
    </row>
    <row r="454" ht="15.75" customHeight="1">
      <c r="E454" s="76"/>
    </row>
    <row r="455" ht="15.75" customHeight="1">
      <c r="E455" s="76"/>
    </row>
    <row r="456" ht="15.75" customHeight="1">
      <c r="E456" s="76"/>
    </row>
    <row r="457" ht="15.75" customHeight="1">
      <c r="E457" s="76"/>
    </row>
    <row r="458" ht="15.75" customHeight="1">
      <c r="E458" s="76"/>
    </row>
    <row r="459" ht="15.75" customHeight="1">
      <c r="E459" s="76"/>
    </row>
    <row r="460" ht="15.75" customHeight="1">
      <c r="E460" s="76"/>
    </row>
    <row r="461" ht="15.75" customHeight="1">
      <c r="E461" s="76"/>
    </row>
    <row r="462" ht="15.75" customHeight="1">
      <c r="E462" s="76"/>
    </row>
    <row r="463" ht="15.75" customHeight="1">
      <c r="E463" s="76"/>
    </row>
    <row r="464" ht="15.75" customHeight="1">
      <c r="E464" s="76"/>
    </row>
    <row r="465" ht="15.75" customHeight="1">
      <c r="E465" s="76"/>
    </row>
    <row r="466" ht="15.75" customHeight="1">
      <c r="E466" s="76"/>
    </row>
    <row r="467" ht="15.75" customHeight="1">
      <c r="E467" s="76"/>
    </row>
    <row r="468" ht="15.75" customHeight="1">
      <c r="E468" s="76"/>
    </row>
    <row r="469" ht="15.75" customHeight="1">
      <c r="E469" s="76"/>
    </row>
    <row r="470" ht="15.75" customHeight="1">
      <c r="E470" s="76"/>
    </row>
    <row r="471" ht="15.75" customHeight="1">
      <c r="E471" s="76"/>
    </row>
    <row r="472" ht="15.75" customHeight="1">
      <c r="E472" s="76"/>
    </row>
    <row r="473" ht="15.75" customHeight="1">
      <c r="E473" s="76"/>
    </row>
    <row r="474" ht="15.75" customHeight="1">
      <c r="E474" s="76"/>
    </row>
    <row r="475" ht="15.75" customHeight="1">
      <c r="E475" s="76"/>
    </row>
    <row r="476" ht="15.75" customHeight="1">
      <c r="E476" s="76"/>
    </row>
    <row r="477" ht="15.75" customHeight="1">
      <c r="E477" s="76"/>
    </row>
    <row r="478" ht="15.75" customHeight="1">
      <c r="E478" s="76"/>
    </row>
    <row r="479" ht="15.75" customHeight="1">
      <c r="E479" s="76"/>
    </row>
    <row r="480" ht="15.75" customHeight="1">
      <c r="E480" s="76"/>
    </row>
    <row r="481" ht="15.75" customHeight="1">
      <c r="E481" s="76"/>
    </row>
    <row r="482" ht="15.75" customHeight="1">
      <c r="E482" s="76"/>
    </row>
    <row r="483" ht="15.75" customHeight="1">
      <c r="E483" s="76"/>
    </row>
    <row r="484" ht="15.75" customHeight="1">
      <c r="E484" s="76"/>
    </row>
    <row r="485" ht="15.75" customHeight="1">
      <c r="E485" s="76"/>
    </row>
    <row r="486" ht="15.75" customHeight="1">
      <c r="E486" s="76"/>
    </row>
    <row r="487" ht="15.75" customHeight="1">
      <c r="E487" s="76"/>
    </row>
    <row r="488" ht="15.75" customHeight="1">
      <c r="E488" s="76"/>
    </row>
    <row r="489" ht="15.75" customHeight="1">
      <c r="E489" s="76"/>
    </row>
    <row r="490" ht="15.75" customHeight="1">
      <c r="E490" s="76"/>
    </row>
    <row r="491" ht="15.75" customHeight="1">
      <c r="E491" s="76"/>
    </row>
    <row r="492" ht="15.75" customHeight="1">
      <c r="E492" s="76"/>
    </row>
    <row r="493" ht="15.75" customHeight="1">
      <c r="E493" s="76"/>
    </row>
    <row r="494" ht="15.75" customHeight="1">
      <c r="E494" s="76"/>
    </row>
    <row r="495" ht="15.75" customHeight="1">
      <c r="E495" s="76"/>
    </row>
    <row r="496" ht="15.75" customHeight="1">
      <c r="E496" s="76"/>
    </row>
    <row r="497" ht="15.75" customHeight="1">
      <c r="E497" s="76"/>
    </row>
    <row r="498" ht="15.75" customHeight="1">
      <c r="E498" s="76"/>
    </row>
    <row r="499" ht="15.75" customHeight="1">
      <c r="E499" s="76"/>
    </row>
    <row r="500" ht="15.75" customHeight="1">
      <c r="E500" s="76"/>
    </row>
    <row r="501" ht="15.75" customHeight="1">
      <c r="E501" s="76"/>
    </row>
    <row r="502" ht="15.75" customHeight="1">
      <c r="E502" s="76"/>
    </row>
    <row r="503" ht="15.75" customHeight="1">
      <c r="E503" s="76"/>
    </row>
    <row r="504" ht="15.75" customHeight="1">
      <c r="E504" s="76"/>
    </row>
    <row r="505" ht="15.75" customHeight="1">
      <c r="E505" s="76"/>
    </row>
    <row r="506" ht="15.75" customHeight="1">
      <c r="E506" s="76"/>
    </row>
    <row r="507" ht="15.75" customHeight="1">
      <c r="E507" s="76"/>
    </row>
    <row r="508" ht="15.75" customHeight="1">
      <c r="E508" s="76"/>
    </row>
    <row r="509" ht="15.75" customHeight="1">
      <c r="E509" s="76"/>
    </row>
    <row r="510" ht="15.75" customHeight="1">
      <c r="E510" s="76"/>
    </row>
    <row r="511" ht="15.75" customHeight="1">
      <c r="E511" s="76"/>
    </row>
    <row r="512" ht="15.75" customHeight="1">
      <c r="E512" s="76"/>
    </row>
    <row r="513" ht="15.75" customHeight="1">
      <c r="E513" s="76"/>
    </row>
    <row r="514" ht="15.75" customHeight="1">
      <c r="E514" s="76"/>
    </row>
    <row r="515" ht="15.75" customHeight="1">
      <c r="E515" s="76"/>
    </row>
    <row r="516" ht="15.75" customHeight="1">
      <c r="E516" s="76"/>
    </row>
    <row r="517" ht="15.75" customHeight="1">
      <c r="E517" s="76"/>
    </row>
    <row r="518" ht="15.75" customHeight="1">
      <c r="E518" s="76"/>
    </row>
    <row r="519" ht="15.75" customHeight="1">
      <c r="E519" s="76"/>
    </row>
    <row r="520" ht="15.75" customHeight="1">
      <c r="E520" s="76"/>
    </row>
    <row r="521" ht="15.75" customHeight="1">
      <c r="E521" s="76"/>
    </row>
    <row r="522" ht="15.75" customHeight="1">
      <c r="E522" s="76"/>
    </row>
    <row r="523" ht="15.75" customHeight="1">
      <c r="E523" s="76"/>
    </row>
    <row r="524" ht="15.75" customHeight="1">
      <c r="E524" s="76"/>
    </row>
    <row r="525" ht="15.75" customHeight="1">
      <c r="E525" s="76"/>
    </row>
    <row r="526" ht="15.75" customHeight="1">
      <c r="E526" s="76"/>
    </row>
    <row r="527" ht="15.75" customHeight="1">
      <c r="E527" s="76"/>
    </row>
    <row r="528" ht="15.75" customHeight="1">
      <c r="E528" s="76"/>
    </row>
    <row r="529" ht="15.75" customHeight="1">
      <c r="E529" s="76"/>
    </row>
    <row r="530" ht="15.75" customHeight="1">
      <c r="E530" s="76"/>
    </row>
    <row r="531" ht="15.75" customHeight="1">
      <c r="E531" s="76"/>
    </row>
    <row r="532" ht="15.75" customHeight="1">
      <c r="E532" s="76"/>
    </row>
    <row r="533" ht="15.75" customHeight="1">
      <c r="E533" s="76"/>
    </row>
    <row r="534" ht="15.75" customHeight="1">
      <c r="E534" s="76"/>
    </row>
    <row r="535" ht="15.75" customHeight="1">
      <c r="E535" s="76"/>
    </row>
    <row r="536" ht="15.75" customHeight="1">
      <c r="E536" s="76"/>
    </row>
    <row r="537" ht="15.75" customHeight="1">
      <c r="E537" s="76"/>
    </row>
    <row r="538" ht="15.75" customHeight="1">
      <c r="E538" s="76"/>
    </row>
    <row r="539" ht="15.75" customHeight="1">
      <c r="E539" s="76"/>
    </row>
    <row r="540" ht="15.75" customHeight="1">
      <c r="E540" s="76"/>
    </row>
    <row r="541" ht="15.75" customHeight="1">
      <c r="E541" s="76"/>
    </row>
    <row r="542" ht="15.75" customHeight="1">
      <c r="E542" s="76"/>
    </row>
    <row r="543" ht="15.75" customHeight="1">
      <c r="E543" s="76"/>
    </row>
    <row r="544" ht="15.75" customHeight="1">
      <c r="E544" s="76"/>
    </row>
    <row r="545" ht="15.75" customHeight="1">
      <c r="E545" s="76"/>
    </row>
    <row r="546" ht="15.75" customHeight="1">
      <c r="E546" s="76"/>
    </row>
    <row r="547" ht="15.75" customHeight="1">
      <c r="E547" s="76"/>
    </row>
    <row r="548" ht="15.75" customHeight="1">
      <c r="E548" s="76"/>
    </row>
    <row r="549" ht="15.75" customHeight="1">
      <c r="E549" s="76"/>
    </row>
    <row r="550" ht="15.75" customHeight="1">
      <c r="E550" s="76"/>
    </row>
    <row r="551" ht="15.75" customHeight="1">
      <c r="E551" s="76"/>
    </row>
    <row r="552" ht="15.75" customHeight="1">
      <c r="E552" s="76"/>
    </row>
    <row r="553" ht="15.75" customHeight="1">
      <c r="E553" s="76"/>
    </row>
    <row r="554" ht="15.75" customHeight="1">
      <c r="E554" s="76"/>
    </row>
    <row r="555" ht="15.75" customHeight="1">
      <c r="E555" s="76"/>
    </row>
    <row r="556" ht="15.75" customHeight="1">
      <c r="E556" s="76"/>
    </row>
    <row r="557" ht="15.75" customHeight="1">
      <c r="E557" s="76"/>
    </row>
    <row r="558" ht="15.75" customHeight="1">
      <c r="E558" s="76"/>
    </row>
    <row r="559" ht="15.75" customHeight="1">
      <c r="E559" s="76"/>
    </row>
    <row r="560" ht="15.75" customHeight="1">
      <c r="E560" s="76"/>
    </row>
    <row r="561" ht="15.75" customHeight="1">
      <c r="E561" s="76"/>
    </row>
    <row r="562" ht="15.75" customHeight="1">
      <c r="E562" s="76"/>
    </row>
    <row r="563" ht="15.75" customHeight="1">
      <c r="E563" s="76"/>
    </row>
    <row r="564" ht="15.75" customHeight="1">
      <c r="E564" s="76"/>
    </row>
    <row r="565" ht="15.75" customHeight="1">
      <c r="E565" s="76"/>
    </row>
    <row r="566" ht="15.75" customHeight="1">
      <c r="E566" s="76"/>
    </row>
    <row r="567" ht="15.75" customHeight="1">
      <c r="E567" s="76"/>
    </row>
    <row r="568" ht="15.75" customHeight="1">
      <c r="E568" s="76"/>
    </row>
    <row r="569" ht="15.75" customHeight="1">
      <c r="E569" s="76"/>
    </row>
    <row r="570" ht="15.75" customHeight="1">
      <c r="E570" s="76"/>
    </row>
    <row r="571" ht="15.75" customHeight="1">
      <c r="E571" s="76"/>
    </row>
    <row r="572" ht="15.75" customHeight="1">
      <c r="E572" s="76"/>
    </row>
    <row r="573" ht="15.75" customHeight="1">
      <c r="E573" s="76"/>
    </row>
    <row r="574" ht="15.75" customHeight="1">
      <c r="E574" s="76"/>
    </row>
    <row r="575" ht="15.75" customHeight="1">
      <c r="E575" s="76"/>
    </row>
    <row r="576" ht="15.75" customHeight="1">
      <c r="E576" s="76"/>
    </row>
    <row r="577" ht="15.75" customHeight="1">
      <c r="E577" s="76"/>
    </row>
    <row r="578" ht="15.75" customHeight="1">
      <c r="E578" s="76"/>
    </row>
    <row r="579" ht="15.75" customHeight="1">
      <c r="E579" s="76"/>
    </row>
    <row r="580" ht="15.75" customHeight="1">
      <c r="E580" s="76"/>
    </row>
    <row r="581" ht="15.75" customHeight="1">
      <c r="E581" s="76"/>
    </row>
    <row r="582" ht="15.75" customHeight="1">
      <c r="E582" s="76"/>
    </row>
    <row r="583" ht="15.75" customHeight="1">
      <c r="E583" s="76"/>
    </row>
    <row r="584" ht="15.75" customHeight="1">
      <c r="E584" s="76"/>
    </row>
    <row r="585" ht="15.75" customHeight="1">
      <c r="E585" s="76"/>
    </row>
    <row r="586" ht="15.75" customHeight="1">
      <c r="E586" s="76"/>
    </row>
    <row r="587" ht="15.75" customHeight="1">
      <c r="E587" s="76"/>
    </row>
    <row r="588" ht="15.75" customHeight="1">
      <c r="E588" s="76"/>
    </row>
    <row r="589" ht="15.75" customHeight="1">
      <c r="E589" s="76"/>
    </row>
    <row r="590" ht="15.75" customHeight="1">
      <c r="E590" s="76"/>
    </row>
    <row r="591" ht="15.75" customHeight="1">
      <c r="E591" s="76"/>
    </row>
    <row r="592" ht="15.75" customHeight="1">
      <c r="E592" s="76"/>
    </row>
    <row r="593" ht="15.75" customHeight="1">
      <c r="E593" s="76"/>
    </row>
    <row r="594" ht="15.75" customHeight="1">
      <c r="E594" s="76"/>
    </row>
    <row r="595" ht="15.75" customHeight="1">
      <c r="E595" s="76"/>
    </row>
    <row r="596" ht="15.75" customHeight="1">
      <c r="E596" s="76"/>
    </row>
    <row r="597" ht="15.75" customHeight="1">
      <c r="E597" s="76"/>
    </row>
    <row r="598" ht="15.75" customHeight="1">
      <c r="E598" s="76"/>
    </row>
    <row r="599" ht="15.75" customHeight="1">
      <c r="E599" s="76"/>
    </row>
    <row r="600" ht="15.75" customHeight="1">
      <c r="E600" s="76"/>
    </row>
    <row r="601" ht="15.75" customHeight="1">
      <c r="E601" s="76"/>
    </row>
    <row r="602" ht="15.75" customHeight="1">
      <c r="E602" s="76"/>
    </row>
    <row r="603" ht="15.75" customHeight="1">
      <c r="E603" s="76"/>
    </row>
    <row r="604" ht="15.75" customHeight="1">
      <c r="E604" s="76"/>
    </row>
    <row r="605" ht="15.75" customHeight="1">
      <c r="E605" s="76"/>
    </row>
    <row r="606" ht="15.75" customHeight="1">
      <c r="E606" s="76"/>
    </row>
    <row r="607" ht="15.75" customHeight="1">
      <c r="E607" s="76"/>
    </row>
    <row r="608" ht="15.75" customHeight="1">
      <c r="E608" s="76"/>
    </row>
    <row r="609" ht="15.75" customHeight="1">
      <c r="E609" s="76"/>
    </row>
    <row r="610" ht="15.75" customHeight="1">
      <c r="E610" s="76"/>
    </row>
    <row r="611" ht="15.75" customHeight="1">
      <c r="E611" s="76"/>
    </row>
    <row r="612" ht="15.75" customHeight="1">
      <c r="E612" s="76"/>
    </row>
    <row r="613" ht="15.75" customHeight="1">
      <c r="E613" s="76"/>
    </row>
    <row r="614" ht="15.75" customHeight="1">
      <c r="E614" s="76"/>
    </row>
    <row r="615" ht="15.75" customHeight="1">
      <c r="E615" s="76"/>
    </row>
    <row r="616" ht="15.75" customHeight="1">
      <c r="E616" s="76"/>
    </row>
    <row r="617" ht="15.75" customHeight="1">
      <c r="E617" s="76"/>
    </row>
    <row r="618" ht="15.75" customHeight="1">
      <c r="E618" s="76"/>
    </row>
    <row r="619" ht="15.75" customHeight="1">
      <c r="E619" s="76"/>
    </row>
    <row r="620" ht="15.75" customHeight="1">
      <c r="E620" s="76"/>
    </row>
    <row r="621" ht="15.75" customHeight="1">
      <c r="E621" s="76"/>
    </row>
    <row r="622" ht="15.75" customHeight="1">
      <c r="E622" s="76"/>
    </row>
    <row r="623" ht="15.75" customHeight="1">
      <c r="E623" s="76"/>
    </row>
    <row r="624" ht="15.75" customHeight="1">
      <c r="E624" s="76"/>
    </row>
    <row r="625" ht="15.75" customHeight="1">
      <c r="E625" s="76"/>
    </row>
    <row r="626" ht="15.75" customHeight="1">
      <c r="E626" s="76"/>
    </row>
    <row r="627" ht="15.75" customHeight="1">
      <c r="E627" s="76"/>
    </row>
    <row r="628" ht="15.75" customHeight="1">
      <c r="E628" s="76"/>
    </row>
    <row r="629" ht="15.75" customHeight="1">
      <c r="E629" s="76"/>
    </row>
    <row r="630" ht="15.75" customHeight="1">
      <c r="E630" s="76"/>
    </row>
    <row r="631" ht="15.75" customHeight="1">
      <c r="E631" s="76"/>
    </row>
    <row r="632" ht="15.75" customHeight="1">
      <c r="E632" s="76"/>
    </row>
    <row r="633" ht="15.75" customHeight="1">
      <c r="E633" s="76"/>
    </row>
    <row r="634" ht="15.75" customHeight="1">
      <c r="E634" s="76"/>
    </row>
    <row r="635" ht="15.75" customHeight="1">
      <c r="E635" s="76"/>
    </row>
    <row r="636" ht="15.75" customHeight="1">
      <c r="E636" s="76"/>
    </row>
    <row r="637" ht="15.75" customHeight="1">
      <c r="E637" s="76"/>
    </row>
    <row r="638" ht="15.75" customHeight="1">
      <c r="E638" s="76"/>
    </row>
    <row r="639" ht="15.75" customHeight="1">
      <c r="E639" s="76"/>
    </row>
    <row r="640" ht="15.75" customHeight="1">
      <c r="E640" s="76"/>
    </row>
    <row r="641" ht="15.75" customHeight="1">
      <c r="E641" s="76"/>
    </row>
    <row r="642" ht="15.75" customHeight="1">
      <c r="E642" s="76"/>
    </row>
    <row r="643" ht="15.75" customHeight="1">
      <c r="E643" s="76"/>
    </row>
    <row r="644" ht="15.75" customHeight="1">
      <c r="E644" s="76"/>
    </row>
    <row r="645" ht="15.75" customHeight="1">
      <c r="E645" s="76"/>
    </row>
    <row r="646" ht="15.75" customHeight="1">
      <c r="E646" s="76"/>
    </row>
    <row r="647" ht="15.75" customHeight="1">
      <c r="E647" s="76"/>
    </row>
    <row r="648" ht="15.75" customHeight="1">
      <c r="E648" s="76"/>
    </row>
    <row r="649" ht="15.75" customHeight="1">
      <c r="E649" s="76"/>
    </row>
    <row r="650" ht="15.75" customHeight="1">
      <c r="E650" s="76"/>
    </row>
    <row r="651" ht="15.75" customHeight="1">
      <c r="E651" s="76"/>
    </row>
    <row r="652" ht="15.75" customHeight="1">
      <c r="E652" s="76"/>
    </row>
    <row r="653" ht="15.75" customHeight="1">
      <c r="E653" s="76"/>
    </row>
    <row r="654" ht="15.75" customHeight="1">
      <c r="E654" s="76"/>
    </row>
    <row r="655" ht="15.75" customHeight="1">
      <c r="E655" s="76"/>
    </row>
    <row r="656" ht="15.75" customHeight="1">
      <c r="E656" s="76"/>
    </row>
    <row r="657" ht="15.75" customHeight="1">
      <c r="E657" s="76"/>
    </row>
    <row r="658" ht="15.75" customHeight="1">
      <c r="E658" s="76"/>
    </row>
    <row r="659" ht="15.75" customHeight="1">
      <c r="E659" s="76"/>
    </row>
    <row r="660" ht="15.75" customHeight="1">
      <c r="E660" s="76"/>
    </row>
    <row r="661" ht="15.75" customHeight="1">
      <c r="E661" s="76"/>
    </row>
    <row r="662" ht="15.75" customHeight="1">
      <c r="E662" s="76"/>
    </row>
    <row r="663" ht="15.75" customHeight="1">
      <c r="E663" s="76"/>
    </row>
    <row r="664" ht="15.75" customHeight="1">
      <c r="E664" s="76"/>
    </row>
    <row r="665" ht="15.75" customHeight="1">
      <c r="E665" s="76"/>
    </row>
    <row r="666" ht="15.75" customHeight="1">
      <c r="E666" s="76"/>
    </row>
    <row r="667" ht="15.75" customHeight="1">
      <c r="E667" s="76"/>
    </row>
    <row r="668" ht="15.75" customHeight="1">
      <c r="E668" s="76"/>
    </row>
    <row r="669" ht="15.75" customHeight="1">
      <c r="E669" s="76"/>
    </row>
    <row r="670" ht="15.75" customHeight="1">
      <c r="E670" s="76"/>
    </row>
    <row r="671" ht="15.75" customHeight="1">
      <c r="E671" s="76"/>
    </row>
    <row r="672" ht="15.75" customHeight="1">
      <c r="E672" s="76"/>
    </row>
    <row r="673" ht="15.75" customHeight="1">
      <c r="E673" s="76"/>
    </row>
    <row r="674" ht="15.75" customHeight="1">
      <c r="E674" s="76"/>
    </row>
    <row r="675" ht="15.75" customHeight="1">
      <c r="E675" s="76"/>
    </row>
    <row r="676" ht="15.75" customHeight="1">
      <c r="E676" s="76"/>
    </row>
    <row r="677" ht="15.75" customHeight="1">
      <c r="E677" s="76"/>
    </row>
    <row r="678" ht="15.75" customHeight="1">
      <c r="E678" s="76"/>
    </row>
    <row r="679" ht="15.75" customHeight="1">
      <c r="E679" s="76"/>
    </row>
    <row r="680" ht="15.75" customHeight="1">
      <c r="E680" s="76"/>
    </row>
    <row r="681" ht="15.75" customHeight="1">
      <c r="E681" s="76"/>
    </row>
    <row r="682" ht="15.75" customHeight="1">
      <c r="E682" s="76"/>
    </row>
    <row r="683" ht="15.75" customHeight="1">
      <c r="E683" s="76"/>
    </row>
    <row r="684" ht="15.75" customHeight="1">
      <c r="E684" s="76"/>
    </row>
    <row r="685" ht="15.75" customHeight="1">
      <c r="E685" s="76"/>
    </row>
    <row r="686" ht="15.75" customHeight="1">
      <c r="E686" s="76"/>
    </row>
    <row r="687" ht="15.75" customHeight="1">
      <c r="E687" s="76"/>
    </row>
    <row r="688" ht="15.75" customHeight="1">
      <c r="E688" s="76"/>
    </row>
    <row r="689" ht="15.75" customHeight="1">
      <c r="E689" s="76"/>
    </row>
    <row r="690" ht="15.75" customHeight="1">
      <c r="E690" s="76"/>
    </row>
    <row r="691" ht="15.75" customHeight="1">
      <c r="E691" s="76"/>
    </row>
    <row r="692" ht="15.75" customHeight="1">
      <c r="E692" s="76"/>
    </row>
    <row r="693" ht="15.75" customHeight="1">
      <c r="E693" s="76"/>
    </row>
    <row r="694" ht="15.75" customHeight="1">
      <c r="E694" s="76"/>
    </row>
    <row r="695" ht="15.75" customHeight="1">
      <c r="E695" s="76"/>
    </row>
    <row r="696" ht="15.75" customHeight="1">
      <c r="E696" s="76"/>
    </row>
    <row r="697" ht="15.75" customHeight="1">
      <c r="E697" s="76"/>
    </row>
    <row r="698" ht="15.75" customHeight="1">
      <c r="E698" s="76"/>
    </row>
    <row r="699" ht="15.75" customHeight="1">
      <c r="E699" s="76"/>
    </row>
    <row r="700" ht="15.75" customHeight="1">
      <c r="E700" s="76"/>
    </row>
    <row r="701" ht="15.75" customHeight="1">
      <c r="E701" s="76"/>
    </row>
    <row r="702" ht="15.75" customHeight="1">
      <c r="E702" s="76"/>
    </row>
    <row r="703" ht="15.75" customHeight="1">
      <c r="E703" s="76"/>
    </row>
    <row r="704" ht="15.75" customHeight="1">
      <c r="E704" s="76"/>
    </row>
    <row r="705" ht="15.75" customHeight="1">
      <c r="E705" s="76"/>
    </row>
    <row r="706" ht="15.75" customHeight="1">
      <c r="E706" s="76"/>
    </row>
    <row r="707" ht="15.75" customHeight="1">
      <c r="E707" s="76"/>
    </row>
    <row r="708" ht="15.75" customHeight="1">
      <c r="E708" s="76"/>
    </row>
    <row r="709" ht="15.75" customHeight="1">
      <c r="E709" s="76"/>
    </row>
    <row r="710" ht="15.75" customHeight="1">
      <c r="E710" s="76"/>
    </row>
    <row r="711" ht="15.75" customHeight="1">
      <c r="E711" s="76"/>
    </row>
    <row r="712" ht="15.75" customHeight="1">
      <c r="E712" s="76"/>
    </row>
    <row r="713" ht="15.75" customHeight="1">
      <c r="E713" s="76"/>
    </row>
    <row r="714" ht="15.75" customHeight="1">
      <c r="E714" s="76"/>
    </row>
    <row r="715" ht="15.75" customHeight="1">
      <c r="E715" s="76"/>
    </row>
    <row r="716" ht="15.75" customHeight="1">
      <c r="E716" s="76"/>
    </row>
    <row r="717" ht="15.75" customHeight="1">
      <c r="E717" s="76"/>
    </row>
    <row r="718" ht="15.75" customHeight="1">
      <c r="E718" s="76"/>
    </row>
    <row r="719" ht="15.75" customHeight="1">
      <c r="E719" s="76"/>
    </row>
    <row r="720" ht="15.75" customHeight="1">
      <c r="E720" s="76"/>
    </row>
    <row r="721" ht="15.75" customHeight="1">
      <c r="E721" s="76"/>
    </row>
    <row r="722" ht="15.75" customHeight="1">
      <c r="E722" s="76"/>
    </row>
    <row r="723" ht="15.75" customHeight="1">
      <c r="E723" s="76"/>
    </row>
    <row r="724" ht="15.75" customHeight="1">
      <c r="E724" s="76"/>
    </row>
    <row r="725" ht="15.75" customHeight="1">
      <c r="E725" s="76"/>
    </row>
    <row r="726" ht="15.75" customHeight="1">
      <c r="E726" s="76"/>
    </row>
    <row r="727" ht="15.75" customHeight="1">
      <c r="E727" s="76"/>
    </row>
    <row r="728" ht="15.75" customHeight="1">
      <c r="E728" s="76"/>
    </row>
    <row r="729" ht="15.75" customHeight="1">
      <c r="E729" s="76"/>
    </row>
    <row r="730" ht="15.75" customHeight="1">
      <c r="E730" s="76"/>
    </row>
    <row r="731" ht="15.75" customHeight="1">
      <c r="E731" s="76"/>
    </row>
    <row r="732" ht="15.75" customHeight="1">
      <c r="E732" s="76"/>
    </row>
    <row r="733" ht="15.75" customHeight="1">
      <c r="E733" s="76"/>
    </row>
    <row r="734" ht="15.75" customHeight="1">
      <c r="E734" s="76"/>
    </row>
    <row r="735" ht="15.75" customHeight="1">
      <c r="E735" s="76"/>
    </row>
    <row r="736" ht="15.75" customHeight="1">
      <c r="E736" s="76"/>
    </row>
    <row r="737" ht="15.75" customHeight="1">
      <c r="E737" s="76"/>
    </row>
    <row r="738" ht="15.75" customHeight="1">
      <c r="E738" s="76"/>
    </row>
    <row r="739" ht="15.75" customHeight="1">
      <c r="E739" s="76"/>
    </row>
    <row r="740" ht="15.75" customHeight="1">
      <c r="E740" s="76"/>
    </row>
    <row r="741" ht="15.75" customHeight="1">
      <c r="E741" s="76"/>
    </row>
    <row r="742" ht="15.75" customHeight="1">
      <c r="E742" s="76"/>
    </row>
    <row r="743" ht="15.75" customHeight="1">
      <c r="E743" s="76"/>
    </row>
    <row r="744" ht="15.75" customHeight="1">
      <c r="E744" s="76"/>
    </row>
    <row r="745" ht="15.75" customHeight="1">
      <c r="E745" s="76"/>
    </row>
    <row r="746" ht="15.75" customHeight="1">
      <c r="E746" s="76"/>
    </row>
    <row r="747" ht="15.75" customHeight="1">
      <c r="E747" s="76"/>
    </row>
    <row r="748" ht="15.75" customHeight="1">
      <c r="E748" s="76"/>
    </row>
    <row r="749" ht="15.75" customHeight="1">
      <c r="E749" s="76"/>
    </row>
    <row r="750" ht="15.75" customHeight="1">
      <c r="E750" s="76"/>
    </row>
    <row r="751" ht="15.75" customHeight="1">
      <c r="E751" s="76"/>
    </row>
    <row r="752" ht="15.75" customHeight="1">
      <c r="E752" s="76"/>
    </row>
    <row r="753" ht="15.75" customHeight="1">
      <c r="E753" s="76"/>
    </row>
    <row r="754" ht="15.75" customHeight="1">
      <c r="E754" s="76"/>
    </row>
    <row r="755" ht="15.75" customHeight="1">
      <c r="E755" s="76"/>
    </row>
    <row r="756" ht="15.75" customHeight="1">
      <c r="E756" s="76"/>
    </row>
    <row r="757" ht="15.75" customHeight="1">
      <c r="E757" s="76"/>
    </row>
    <row r="758" ht="15.75" customHeight="1">
      <c r="E758" s="76"/>
    </row>
    <row r="759" ht="15.75" customHeight="1">
      <c r="E759" s="76"/>
    </row>
    <row r="760" ht="15.75" customHeight="1">
      <c r="E760" s="76"/>
    </row>
    <row r="761" ht="15.75" customHeight="1">
      <c r="E761" s="76"/>
    </row>
    <row r="762" ht="15.75" customHeight="1">
      <c r="E762" s="76"/>
    </row>
    <row r="763" ht="15.75" customHeight="1">
      <c r="E763" s="76"/>
    </row>
    <row r="764" ht="15.75" customHeight="1">
      <c r="E764" s="76"/>
    </row>
    <row r="765" ht="15.75" customHeight="1">
      <c r="E765" s="76"/>
    </row>
    <row r="766" ht="15.75" customHeight="1">
      <c r="E766" s="76"/>
    </row>
    <row r="767" ht="15.75" customHeight="1">
      <c r="E767" s="76"/>
    </row>
    <row r="768" ht="15.75" customHeight="1">
      <c r="E768" s="76"/>
    </row>
    <row r="769" ht="15.75" customHeight="1">
      <c r="E769" s="76"/>
    </row>
    <row r="770" ht="15.75" customHeight="1">
      <c r="E770" s="76"/>
    </row>
    <row r="771" ht="15.75" customHeight="1">
      <c r="E771" s="76"/>
    </row>
    <row r="772" ht="15.75" customHeight="1">
      <c r="E772" s="76"/>
    </row>
    <row r="773" ht="15.75" customHeight="1">
      <c r="E773" s="76"/>
    </row>
    <row r="774" ht="15.75" customHeight="1">
      <c r="E774" s="76"/>
    </row>
    <row r="775" ht="15.75" customHeight="1">
      <c r="E775" s="76"/>
    </row>
    <row r="776" ht="15.75" customHeight="1">
      <c r="E776" s="76"/>
    </row>
    <row r="777" ht="15.75" customHeight="1">
      <c r="E777" s="76"/>
    </row>
    <row r="778" ht="15.75" customHeight="1">
      <c r="E778" s="76"/>
    </row>
    <row r="779" ht="15.75" customHeight="1">
      <c r="E779" s="76"/>
    </row>
    <row r="780" ht="15.75" customHeight="1">
      <c r="E780" s="76"/>
    </row>
    <row r="781" ht="15.75" customHeight="1">
      <c r="E781" s="76"/>
    </row>
    <row r="782" ht="15.75" customHeight="1">
      <c r="E782" s="76"/>
    </row>
    <row r="783" ht="15.75" customHeight="1">
      <c r="E783" s="76"/>
    </row>
    <row r="784" ht="15.75" customHeight="1">
      <c r="E784" s="76"/>
    </row>
    <row r="785" ht="15.75" customHeight="1">
      <c r="E785" s="76"/>
    </row>
    <row r="786" ht="15.75" customHeight="1">
      <c r="E786" s="76"/>
    </row>
    <row r="787" ht="15.75" customHeight="1">
      <c r="E787" s="76"/>
    </row>
    <row r="788" ht="15.75" customHeight="1">
      <c r="E788" s="76"/>
    </row>
    <row r="789" ht="15.75" customHeight="1">
      <c r="E789" s="76"/>
    </row>
    <row r="790" ht="15.75" customHeight="1">
      <c r="E790" s="76"/>
    </row>
    <row r="791" ht="15.75" customHeight="1">
      <c r="E791" s="76"/>
    </row>
    <row r="792" ht="15.75" customHeight="1">
      <c r="E792" s="76"/>
    </row>
    <row r="793" ht="15.75" customHeight="1">
      <c r="E793" s="76"/>
    </row>
    <row r="794" ht="15.75" customHeight="1">
      <c r="E794" s="76"/>
    </row>
    <row r="795" ht="15.75" customHeight="1">
      <c r="E795" s="76"/>
    </row>
    <row r="796" ht="15.75" customHeight="1">
      <c r="E796" s="76"/>
    </row>
    <row r="797" ht="15.75" customHeight="1">
      <c r="E797" s="76"/>
    </row>
    <row r="798" ht="15.75" customHeight="1">
      <c r="E798" s="76"/>
    </row>
    <row r="799" ht="15.75" customHeight="1">
      <c r="E799" s="76"/>
    </row>
    <row r="800" ht="15.75" customHeight="1">
      <c r="E800" s="76"/>
    </row>
    <row r="801" ht="15.75" customHeight="1">
      <c r="E801" s="76"/>
    </row>
    <row r="802" ht="15.75" customHeight="1">
      <c r="E802" s="76"/>
    </row>
    <row r="803" ht="15.75" customHeight="1">
      <c r="E803" s="76"/>
    </row>
    <row r="804" ht="15.75" customHeight="1">
      <c r="E804" s="76"/>
    </row>
    <row r="805" ht="15.75" customHeight="1">
      <c r="E805" s="76"/>
    </row>
    <row r="806" ht="15.75" customHeight="1">
      <c r="E806" s="76"/>
    </row>
    <row r="807" ht="15.75" customHeight="1">
      <c r="E807" s="76"/>
    </row>
    <row r="808" ht="15.75" customHeight="1">
      <c r="E808" s="76"/>
    </row>
    <row r="809" ht="15.75" customHeight="1">
      <c r="E809" s="76"/>
    </row>
    <row r="810" ht="15.75" customHeight="1">
      <c r="E810" s="76"/>
    </row>
    <row r="811" ht="15.75" customHeight="1">
      <c r="E811" s="76"/>
    </row>
    <row r="812" ht="15.75" customHeight="1">
      <c r="E812" s="76"/>
    </row>
    <row r="813" ht="15.75" customHeight="1">
      <c r="E813" s="76"/>
    </row>
    <row r="814" ht="15.75" customHeight="1">
      <c r="E814" s="76"/>
    </row>
    <row r="815" ht="15.75" customHeight="1">
      <c r="E815" s="76"/>
    </row>
    <row r="816" ht="15.75" customHeight="1">
      <c r="E816" s="76"/>
    </row>
    <row r="817" ht="15.75" customHeight="1">
      <c r="E817" s="76"/>
    </row>
    <row r="818" ht="15.75" customHeight="1">
      <c r="E818" s="76"/>
    </row>
    <row r="819" ht="15.75" customHeight="1">
      <c r="E819" s="76"/>
    </row>
    <row r="820" ht="15.75" customHeight="1">
      <c r="E820" s="76"/>
    </row>
    <row r="821" ht="15.75" customHeight="1">
      <c r="E821" s="76"/>
    </row>
    <row r="822" ht="15.75" customHeight="1">
      <c r="E822" s="76"/>
    </row>
    <row r="823" ht="15.75" customHeight="1">
      <c r="E823" s="76"/>
    </row>
    <row r="824" ht="15.75" customHeight="1">
      <c r="E824" s="76"/>
    </row>
    <row r="825" ht="15.75" customHeight="1">
      <c r="E825" s="76"/>
    </row>
    <row r="826" ht="15.75" customHeight="1">
      <c r="E826" s="76"/>
    </row>
    <row r="827" ht="15.75" customHeight="1">
      <c r="E827" s="76"/>
    </row>
    <row r="828" ht="15.75" customHeight="1">
      <c r="E828" s="76"/>
    </row>
    <row r="829" ht="15.75" customHeight="1">
      <c r="E829" s="76"/>
    </row>
    <row r="830" ht="15.75" customHeight="1">
      <c r="E830" s="76"/>
    </row>
    <row r="831" ht="15.75" customHeight="1">
      <c r="E831" s="76"/>
    </row>
    <row r="832" ht="15.75" customHeight="1">
      <c r="E832" s="76"/>
    </row>
    <row r="833" ht="15.75" customHeight="1">
      <c r="E833" s="76"/>
    </row>
    <row r="834" ht="15.75" customHeight="1">
      <c r="E834" s="76"/>
    </row>
    <row r="835" ht="15.75" customHeight="1">
      <c r="E835" s="76"/>
    </row>
    <row r="836" ht="15.75" customHeight="1">
      <c r="E836" s="76"/>
    </row>
    <row r="837" ht="15.75" customHeight="1">
      <c r="E837" s="76"/>
    </row>
    <row r="838" ht="15.75" customHeight="1">
      <c r="E838" s="76"/>
    </row>
    <row r="839" ht="15.75" customHeight="1">
      <c r="E839" s="76"/>
    </row>
    <row r="840" ht="15.75" customHeight="1">
      <c r="E840" s="76"/>
    </row>
    <row r="841" ht="15.75" customHeight="1">
      <c r="E841" s="76"/>
    </row>
    <row r="842" ht="15.75" customHeight="1">
      <c r="E842" s="76"/>
    </row>
    <row r="843" ht="15.75" customHeight="1">
      <c r="E843" s="76"/>
    </row>
    <row r="844" ht="15.75" customHeight="1">
      <c r="E844" s="76"/>
    </row>
    <row r="845" ht="15.75" customHeight="1">
      <c r="E845" s="76"/>
    </row>
    <row r="846" ht="15.75" customHeight="1">
      <c r="E846" s="76"/>
    </row>
    <row r="847" ht="15.75" customHeight="1">
      <c r="E847" s="76"/>
    </row>
    <row r="848" ht="15.75" customHeight="1">
      <c r="E848" s="76"/>
    </row>
    <row r="849" ht="15.75" customHeight="1">
      <c r="E849" s="76"/>
    </row>
    <row r="850" ht="15.75" customHeight="1">
      <c r="E850" s="76"/>
    </row>
    <row r="851" ht="15.75" customHeight="1">
      <c r="E851" s="76"/>
    </row>
    <row r="852" ht="15.75" customHeight="1">
      <c r="E852" s="76"/>
    </row>
    <row r="853" ht="15.75" customHeight="1">
      <c r="E853" s="76"/>
    </row>
    <row r="854" ht="15.75" customHeight="1">
      <c r="E854" s="76"/>
    </row>
    <row r="855" ht="15.75" customHeight="1">
      <c r="E855" s="76"/>
    </row>
    <row r="856" ht="15.75" customHeight="1">
      <c r="E856" s="76"/>
    </row>
    <row r="857" ht="15.75" customHeight="1">
      <c r="E857" s="76"/>
    </row>
    <row r="858" ht="15.75" customHeight="1">
      <c r="E858" s="76"/>
    </row>
    <row r="859" ht="15.75" customHeight="1">
      <c r="E859" s="76"/>
    </row>
    <row r="860" ht="15.75" customHeight="1">
      <c r="E860" s="76"/>
    </row>
    <row r="861" ht="15.75" customHeight="1">
      <c r="E861" s="76"/>
    </row>
    <row r="862" ht="15.75" customHeight="1">
      <c r="E862" s="76"/>
    </row>
    <row r="863" ht="15.75" customHeight="1">
      <c r="E863" s="76"/>
    </row>
    <row r="864" ht="15.75" customHeight="1">
      <c r="E864" s="76"/>
    </row>
    <row r="865" ht="15.75" customHeight="1">
      <c r="E865" s="76"/>
    </row>
    <row r="866" ht="15.75" customHeight="1">
      <c r="E866" s="76"/>
    </row>
    <row r="867" ht="15.75" customHeight="1">
      <c r="E867" s="76"/>
    </row>
    <row r="868" ht="15.75" customHeight="1">
      <c r="E868" s="76"/>
    </row>
    <row r="869" ht="15.75" customHeight="1">
      <c r="E869" s="76"/>
    </row>
    <row r="870" ht="15.75" customHeight="1">
      <c r="E870" s="76"/>
    </row>
    <row r="871" ht="15.75" customHeight="1">
      <c r="E871" s="76"/>
    </row>
    <row r="872" ht="15.75" customHeight="1">
      <c r="E872" s="76"/>
    </row>
    <row r="873" ht="15.75" customHeight="1">
      <c r="E873" s="76"/>
    </row>
    <row r="874" ht="15.75" customHeight="1">
      <c r="E874" s="76"/>
    </row>
    <row r="875" ht="15.75" customHeight="1">
      <c r="E875" s="76"/>
    </row>
    <row r="876" ht="15.75" customHeight="1">
      <c r="E876" s="76"/>
    </row>
    <row r="877" ht="15.75" customHeight="1">
      <c r="E877" s="76"/>
    </row>
    <row r="878" ht="15.75" customHeight="1">
      <c r="E878" s="76"/>
    </row>
    <row r="879" ht="15.75" customHeight="1">
      <c r="E879" s="76"/>
    </row>
    <row r="880" ht="15.75" customHeight="1">
      <c r="E880" s="76"/>
    </row>
    <row r="881" ht="15.75" customHeight="1">
      <c r="E881" s="76"/>
    </row>
    <row r="882" ht="15.75" customHeight="1">
      <c r="E882" s="76"/>
    </row>
    <row r="883" ht="15.75" customHeight="1">
      <c r="E883" s="76"/>
    </row>
    <row r="884" ht="15.75" customHeight="1">
      <c r="E884" s="76"/>
    </row>
    <row r="885" ht="15.75" customHeight="1">
      <c r="E885" s="76"/>
    </row>
    <row r="886" ht="15.75" customHeight="1">
      <c r="E886" s="76"/>
    </row>
    <row r="887" ht="15.75" customHeight="1">
      <c r="E887" s="76"/>
    </row>
    <row r="888" ht="15.75" customHeight="1">
      <c r="E888" s="76"/>
    </row>
    <row r="889" ht="15.75" customHeight="1">
      <c r="E889" s="76"/>
    </row>
    <row r="890" ht="15.75" customHeight="1">
      <c r="E890" s="76"/>
    </row>
    <row r="891" ht="15.75" customHeight="1">
      <c r="E891" s="76"/>
    </row>
    <row r="892" ht="15.75" customHeight="1">
      <c r="E892" s="76"/>
    </row>
    <row r="893" ht="15.75" customHeight="1">
      <c r="E893" s="76"/>
    </row>
    <row r="894" ht="15.75" customHeight="1">
      <c r="E894" s="76"/>
    </row>
    <row r="895" ht="15.75" customHeight="1">
      <c r="E895" s="76"/>
    </row>
    <row r="896" ht="15.75" customHeight="1">
      <c r="E896" s="76"/>
    </row>
    <row r="897" ht="15.75" customHeight="1">
      <c r="E897" s="76"/>
    </row>
    <row r="898" ht="15.75" customHeight="1">
      <c r="E898" s="76"/>
    </row>
    <row r="899" ht="15.75" customHeight="1">
      <c r="E899" s="76"/>
    </row>
    <row r="900" ht="15.75" customHeight="1">
      <c r="E900" s="76"/>
    </row>
    <row r="901" ht="15.75" customHeight="1">
      <c r="E901" s="76"/>
    </row>
    <row r="902" ht="15.75" customHeight="1">
      <c r="E902" s="76"/>
    </row>
    <row r="903" ht="15.75" customHeight="1">
      <c r="E903" s="76"/>
    </row>
    <row r="904" ht="15.75" customHeight="1">
      <c r="E904" s="76"/>
    </row>
    <row r="905" ht="15.75" customHeight="1">
      <c r="E905" s="76"/>
    </row>
    <row r="906" ht="15.75" customHeight="1">
      <c r="E906" s="76"/>
    </row>
    <row r="907" ht="15.75" customHeight="1">
      <c r="E907" s="76"/>
    </row>
    <row r="908" ht="15.75" customHeight="1">
      <c r="E908" s="76"/>
    </row>
    <row r="909" ht="15.75" customHeight="1">
      <c r="E909" s="76"/>
    </row>
    <row r="910" ht="15.75" customHeight="1">
      <c r="E910" s="76"/>
    </row>
    <row r="911" ht="15.75" customHeight="1">
      <c r="E911" s="76"/>
    </row>
    <row r="912" ht="15.75" customHeight="1">
      <c r="E912" s="76"/>
    </row>
    <row r="913" ht="15.75" customHeight="1">
      <c r="E913" s="76"/>
    </row>
    <row r="914" ht="15.75" customHeight="1">
      <c r="E914" s="76"/>
    </row>
    <row r="915" ht="15.75" customHeight="1">
      <c r="E915" s="76"/>
    </row>
    <row r="916" ht="15.75" customHeight="1">
      <c r="E916" s="76"/>
    </row>
    <row r="917" ht="15.75" customHeight="1">
      <c r="E917" s="76"/>
    </row>
    <row r="918" ht="15.75" customHeight="1">
      <c r="E918" s="76"/>
    </row>
    <row r="919" ht="15.75" customHeight="1">
      <c r="E919" s="76"/>
    </row>
    <row r="920" ht="15.75" customHeight="1">
      <c r="E920" s="76"/>
    </row>
    <row r="921" ht="15.75" customHeight="1">
      <c r="E921" s="76"/>
    </row>
    <row r="922" ht="15.75" customHeight="1">
      <c r="E922" s="76"/>
    </row>
    <row r="923" ht="15.75" customHeight="1">
      <c r="E923" s="76"/>
    </row>
    <row r="924" ht="15.75" customHeight="1">
      <c r="E924" s="76"/>
    </row>
    <row r="925" ht="15.75" customHeight="1">
      <c r="E925" s="76"/>
    </row>
    <row r="926" ht="15.75" customHeight="1">
      <c r="E926" s="76"/>
    </row>
    <row r="927" ht="15.75" customHeight="1">
      <c r="E927" s="76"/>
    </row>
    <row r="928" ht="15.75" customHeight="1">
      <c r="E928" s="76"/>
    </row>
    <row r="929" ht="15.75" customHeight="1">
      <c r="E929" s="76"/>
    </row>
    <row r="930" ht="15.75" customHeight="1">
      <c r="E930" s="76"/>
    </row>
    <row r="931" ht="15.75" customHeight="1">
      <c r="E931" s="76"/>
    </row>
    <row r="932" ht="15.75" customHeight="1">
      <c r="E932" s="76"/>
    </row>
    <row r="933" ht="15.75" customHeight="1">
      <c r="E933" s="76"/>
    </row>
    <row r="934" ht="15.75" customHeight="1">
      <c r="E934" s="76"/>
    </row>
    <row r="935" ht="15.75" customHeight="1">
      <c r="E935" s="76"/>
    </row>
    <row r="936" ht="15.75" customHeight="1">
      <c r="E936" s="76"/>
    </row>
    <row r="937" ht="15.75" customHeight="1">
      <c r="E937" s="76"/>
    </row>
    <row r="938" ht="15.75" customHeight="1">
      <c r="E938" s="76"/>
    </row>
    <row r="939" ht="15.75" customHeight="1">
      <c r="E939" s="76"/>
    </row>
    <row r="940" ht="15.75" customHeight="1">
      <c r="E940" s="76"/>
    </row>
    <row r="941" ht="15.75" customHeight="1">
      <c r="E941" s="76"/>
    </row>
    <row r="942" ht="15.75" customHeight="1">
      <c r="E942" s="76"/>
    </row>
    <row r="943" ht="15.75" customHeight="1">
      <c r="E943" s="76"/>
    </row>
    <row r="944" ht="15.75" customHeight="1">
      <c r="E944" s="76"/>
    </row>
    <row r="945" ht="15.75" customHeight="1">
      <c r="E945" s="76"/>
    </row>
    <row r="946" ht="15.75" customHeight="1">
      <c r="E946" s="76"/>
    </row>
    <row r="947" ht="15.75" customHeight="1">
      <c r="E947" s="76"/>
    </row>
    <row r="948" ht="15.75" customHeight="1">
      <c r="E948" s="76"/>
    </row>
    <row r="949" ht="15.75" customHeight="1">
      <c r="E949" s="76"/>
    </row>
    <row r="950" ht="15.75" customHeight="1">
      <c r="E950" s="76"/>
    </row>
    <row r="951" ht="15.75" customHeight="1">
      <c r="E951" s="76"/>
    </row>
    <row r="952" ht="15.75" customHeight="1">
      <c r="E952" s="76"/>
    </row>
    <row r="953" ht="15.75" customHeight="1">
      <c r="E953" s="76"/>
    </row>
    <row r="954" ht="15.75" customHeight="1">
      <c r="E954" s="76"/>
    </row>
    <row r="955" ht="15.75" customHeight="1">
      <c r="E955" s="76"/>
    </row>
    <row r="956" ht="15.75" customHeight="1">
      <c r="E956" s="76"/>
    </row>
    <row r="957" ht="15.75" customHeight="1">
      <c r="E957" s="76"/>
    </row>
    <row r="958" ht="15.75" customHeight="1">
      <c r="E958" s="76"/>
    </row>
    <row r="959" ht="15.75" customHeight="1">
      <c r="E959" s="76"/>
    </row>
    <row r="960" ht="15.75" customHeight="1">
      <c r="E960" s="76"/>
    </row>
    <row r="961" ht="15.75" customHeight="1">
      <c r="E961" s="76"/>
    </row>
    <row r="962" ht="15.75" customHeight="1">
      <c r="E962" s="76"/>
    </row>
    <row r="963" ht="15.75" customHeight="1">
      <c r="E963" s="76"/>
    </row>
    <row r="964" ht="15.75" customHeight="1">
      <c r="E964" s="76"/>
    </row>
    <row r="965" ht="15.75" customHeight="1">
      <c r="E965" s="76"/>
    </row>
    <row r="966" ht="15.75" customHeight="1">
      <c r="E966" s="76"/>
    </row>
    <row r="967" ht="15.75" customHeight="1">
      <c r="E967" s="76"/>
    </row>
    <row r="968" ht="15.75" customHeight="1">
      <c r="E968" s="76"/>
    </row>
    <row r="969" ht="15.75" customHeight="1">
      <c r="E969" s="76"/>
    </row>
    <row r="970" ht="15.75" customHeight="1">
      <c r="E970" s="76"/>
    </row>
    <row r="971" ht="15.75" customHeight="1">
      <c r="E971" s="76"/>
    </row>
    <row r="972" ht="15.75" customHeight="1">
      <c r="E972" s="76"/>
    </row>
    <row r="973" ht="15.75" customHeight="1">
      <c r="E973" s="76"/>
    </row>
    <row r="974" ht="15.75" customHeight="1">
      <c r="E974" s="76"/>
    </row>
    <row r="975" ht="15.75" customHeight="1">
      <c r="E975" s="76"/>
    </row>
    <row r="976" ht="15.75" customHeight="1">
      <c r="E976" s="76"/>
    </row>
    <row r="977" ht="15.75" customHeight="1">
      <c r="E977" s="76"/>
    </row>
    <row r="978" ht="15.75" customHeight="1">
      <c r="E978" s="76"/>
    </row>
    <row r="979" ht="15.75" customHeight="1">
      <c r="E979" s="76"/>
    </row>
    <row r="980" ht="15.75" customHeight="1">
      <c r="E980" s="76"/>
    </row>
    <row r="981" ht="15.75" customHeight="1">
      <c r="E981" s="76"/>
    </row>
    <row r="982" ht="15.75" customHeight="1">
      <c r="E982" s="76"/>
    </row>
    <row r="983" ht="15.75" customHeight="1">
      <c r="E983" s="76"/>
    </row>
    <row r="984" ht="15.75" customHeight="1">
      <c r="E984" s="76"/>
    </row>
    <row r="985" ht="15.75" customHeight="1">
      <c r="E985" s="76"/>
    </row>
    <row r="986" ht="15.75" customHeight="1">
      <c r="E986" s="76"/>
    </row>
    <row r="987" ht="15.75" customHeight="1">
      <c r="E987" s="76"/>
    </row>
    <row r="988" ht="15.75" customHeight="1">
      <c r="E988" s="76"/>
    </row>
    <row r="989" ht="15.75" customHeight="1">
      <c r="E989" s="76"/>
    </row>
    <row r="990" ht="15.75" customHeight="1">
      <c r="E990" s="76"/>
    </row>
    <row r="991" ht="15.75" customHeight="1">
      <c r="E991" s="76"/>
    </row>
    <row r="992" ht="15.75" customHeight="1">
      <c r="E992" s="76"/>
    </row>
    <row r="993" ht="15.75" customHeight="1">
      <c r="E993" s="76"/>
    </row>
    <row r="994" ht="15.75" customHeight="1">
      <c r="E994" s="76"/>
    </row>
    <row r="995" ht="15.75" customHeight="1">
      <c r="E995" s="76"/>
    </row>
    <row r="996" ht="15.75" customHeight="1">
      <c r="E996" s="76"/>
    </row>
    <row r="997" ht="15.75" customHeight="1">
      <c r="E997" s="76"/>
    </row>
    <row r="998" ht="15.75" customHeight="1">
      <c r="E998" s="76"/>
    </row>
    <row r="999" ht="15.75" customHeight="1">
      <c r="E999" s="76"/>
    </row>
    <row r="1000" ht="15.75" customHeight="1">
      <c r="E1000" s="76"/>
    </row>
  </sheetData>
  <dataValidations>
    <dataValidation type="list" allowBlank="1" showErrorMessage="1" sqref="C4:C231">
      <formula1>ABSENSI!$B$7:$B$50</formula1>
    </dataValidation>
    <dataValidation type="list" allowBlank="1" showErrorMessage="1" sqref="F4:G231">
      <formula1>"Ita Ernia,Rudi Dwi Yanto,Badrul Komar,Moch Anis Fatony"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2024-03-20T06:30:00Z</dcterms:created>
  <dc:creator>Win10</dc:creator>
</cp:coreProperties>
</file>