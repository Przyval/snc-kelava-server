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NC\QC\KPI\"/>
    </mc:Choice>
  </mc:AlternateContent>
  <xr:revisionPtr revIDLastSave="0" documentId="13_ncr:1_{7840EC54-AF08-47FC-B303-4D36EDBE92BE}" xr6:coauthVersionLast="47" xr6:coauthVersionMax="47" xr10:uidLastSave="{00000000-0000-0000-0000-000000000000}"/>
  <bookViews>
    <workbookView xWindow="-120" yWindow="-120" windowWidth="20730" windowHeight="11160" tabRatio="594" xr2:uid="{1AA7E592-5254-4107-A487-56A51A5D916B}"/>
  </bookViews>
  <sheets>
    <sheet name="Rekap" sheetId="9" r:id="rId1"/>
    <sheet name="Anam" sheetId="1" r:id="rId2"/>
    <sheet name="Akbar" sheetId="2" r:id="rId3"/>
    <sheet name="Suparman" sheetId="3" r:id="rId4"/>
    <sheet name="Mahrus" sheetId="4" r:id="rId5"/>
    <sheet name="Lucky" sheetId="5" r:id="rId6"/>
    <sheet name="Andik" sheetId="6" r:id="rId7"/>
    <sheet name="Abu" sheetId="7" r:id="rId8"/>
    <sheet name="Almas" sheetId="8" r:id="rId9"/>
  </sheets>
  <definedNames>
    <definedName name="_xlnm._FilterDatabase" localSheetId="0" hidden="1">Rekap!$B$5:$O$13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7" i="8" l="1"/>
  <c r="AE7" i="7"/>
  <c r="AE8" i="6"/>
  <c r="AE7" i="5"/>
  <c r="AE7" i="4"/>
  <c r="AE7" i="3"/>
  <c r="AE8" i="2"/>
  <c r="AE7" i="1"/>
  <c r="W16" i="8" l="1"/>
  <c r="AA16" i="7"/>
  <c r="AA16" i="5"/>
  <c r="AB16" i="5" s="1"/>
  <c r="AA17" i="6"/>
  <c r="AB17" i="6" s="1"/>
  <c r="N16" i="6"/>
  <c r="AA16" i="4"/>
  <c r="AA16" i="3"/>
  <c r="AA17" i="2"/>
  <c r="AB17" i="2" s="1"/>
  <c r="AA16" i="1"/>
  <c r="V17" i="8"/>
  <c r="U16" i="8"/>
  <c r="V16" i="8" s="1"/>
  <c r="V18" i="8" s="1"/>
  <c r="L9" i="9" s="1"/>
  <c r="V15" i="8"/>
  <c r="Y16" i="7"/>
  <c r="Z17" i="6"/>
  <c r="Y17" i="6"/>
  <c r="Y16" i="5"/>
  <c r="Y16" i="4"/>
  <c r="Y16" i="3"/>
  <c r="Y17" i="2"/>
  <c r="Z17" i="2" s="1"/>
  <c r="Y16" i="1"/>
  <c r="Z16" i="1" s="1"/>
  <c r="S16" i="8"/>
  <c r="W16" i="7"/>
  <c r="X17" i="6"/>
  <c r="V17" i="6"/>
  <c r="T17" i="6"/>
  <c r="W17" i="6"/>
  <c r="W16" i="5"/>
  <c r="W16" i="4"/>
  <c r="X16" i="4" s="1"/>
  <c r="W16" i="3"/>
  <c r="W17" i="2"/>
  <c r="W16" i="1"/>
  <c r="Q16" i="8"/>
  <c r="U16" i="7"/>
  <c r="U17" i="6"/>
  <c r="U16" i="5"/>
  <c r="U16" i="4"/>
  <c r="U16" i="3"/>
  <c r="U17" i="2"/>
  <c r="U16" i="1"/>
  <c r="V16" i="1" s="1"/>
  <c r="O16" i="8"/>
  <c r="S16" i="7"/>
  <c r="T16" i="7" s="1"/>
  <c r="S16" i="5"/>
  <c r="S16" i="4"/>
  <c r="S16" i="3"/>
  <c r="T16" i="3" s="1"/>
  <c r="S17" i="2"/>
  <c r="S16" i="1"/>
  <c r="H15" i="5"/>
  <c r="J15" i="5"/>
  <c r="L15" i="5"/>
  <c r="E9" i="9"/>
  <c r="E10" i="9"/>
  <c r="D10" i="9"/>
  <c r="C10" i="9"/>
  <c r="E13" i="9"/>
  <c r="D13" i="9"/>
  <c r="C13" i="9"/>
  <c r="F8" i="9"/>
  <c r="C8" i="9"/>
  <c r="E11" i="9"/>
  <c r="D11" i="9"/>
  <c r="C11" i="9"/>
  <c r="N17" i="8"/>
  <c r="R17" i="7"/>
  <c r="R18" i="6"/>
  <c r="R17" i="4"/>
  <c r="R17" i="3"/>
  <c r="R18" i="3" s="1"/>
  <c r="H8" i="9" s="1"/>
  <c r="R18" i="2"/>
  <c r="L17" i="8"/>
  <c r="P17" i="7"/>
  <c r="P18" i="7" s="1"/>
  <c r="G10" i="9" s="1"/>
  <c r="P17" i="5"/>
  <c r="P17" i="4"/>
  <c r="P18" i="2"/>
  <c r="P17" i="1"/>
  <c r="N17" i="7"/>
  <c r="J17" i="8"/>
  <c r="N18" i="6"/>
  <c r="R17" i="5"/>
  <c r="N17" i="4"/>
  <c r="N17" i="3"/>
  <c r="N18" i="3" s="1"/>
  <c r="N18" i="2"/>
  <c r="N17" i="1"/>
  <c r="Z17" i="8"/>
  <c r="X17" i="8"/>
  <c r="T17" i="8"/>
  <c r="R17" i="8"/>
  <c r="P17" i="8"/>
  <c r="AD17" i="7"/>
  <c r="AB17" i="7"/>
  <c r="Z17" i="7"/>
  <c r="X17" i="7"/>
  <c r="V17" i="7"/>
  <c r="T17" i="7"/>
  <c r="AD17" i="6"/>
  <c r="P18" i="6"/>
  <c r="AD17" i="5"/>
  <c r="AB17" i="5"/>
  <c r="Z17" i="5"/>
  <c r="X17" i="5"/>
  <c r="V17" i="5"/>
  <c r="T17" i="5"/>
  <c r="N17" i="5"/>
  <c r="AD17" i="4"/>
  <c r="AB17" i="4"/>
  <c r="Z17" i="4"/>
  <c r="X17" i="4"/>
  <c r="V17" i="4"/>
  <c r="T17" i="4"/>
  <c r="AD17" i="3"/>
  <c r="AB17" i="3"/>
  <c r="Z17" i="3"/>
  <c r="X17" i="3"/>
  <c r="V17" i="3"/>
  <c r="T17" i="3"/>
  <c r="P17" i="3"/>
  <c r="P18" i="3" s="1"/>
  <c r="G8" i="9" s="1"/>
  <c r="H17" i="1"/>
  <c r="J17" i="1"/>
  <c r="L17" i="1"/>
  <c r="R17" i="1"/>
  <c r="R18" i="1" s="1"/>
  <c r="H11" i="9" s="1"/>
  <c r="Z16" i="8"/>
  <c r="X16" i="8"/>
  <c r="T16" i="8"/>
  <c r="R16" i="8"/>
  <c r="P16" i="8"/>
  <c r="Z15" i="8"/>
  <c r="Z18" i="8" s="1"/>
  <c r="X15" i="8"/>
  <c r="X18" i="8" s="1"/>
  <c r="M9" i="9" s="1"/>
  <c r="T15" i="8"/>
  <c r="R15" i="8"/>
  <c r="P15" i="8"/>
  <c r="AD16" i="7"/>
  <c r="AD18" i="7" s="1"/>
  <c r="AB16" i="7"/>
  <c r="Z16" i="7"/>
  <c r="X16" i="7"/>
  <c r="V16" i="7"/>
  <c r="AD15" i="7"/>
  <c r="AB15" i="7"/>
  <c r="Z15" i="7"/>
  <c r="X15" i="7"/>
  <c r="V15" i="7"/>
  <c r="T15" i="7"/>
  <c r="AD18" i="6"/>
  <c r="AB18" i="6"/>
  <c r="Z18" i="6"/>
  <c r="X18" i="6"/>
  <c r="V18" i="6"/>
  <c r="T18" i="6"/>
  <c r="AD16" i="6"/>
  <c r="AD19" i="6" s="1"/>
  <c r="AB16" i="6"/>
  <c r="Z16" i="6"/>
  <c r="X16" i="6"/>
  <c r="V16" i="6"/>
  <c r="T16" i="6"/>
  <c r="AD16" i="5"/>
  <c r="Z16" i="5"/>
  <c r="X16" i="5"/>
  <c r="V16" i="5"/>
  <c r="T16" i="5"/>
  <c r="AD15" i="5"/>
  <c r="AD18" i="5" s="1"/>
  <c r="AB15" i="5"/>
  <c r="Z15" i="5"/>
  <c r="X15" i="5"/>
  <c r="V15" i="5"/>
  <c r="T15" i="5"/>
  <c r="AD16" i="4"/>
  <c r="AB16" i="4"/>
  <c r="Z16" i="4"/>
  <c r="V16" i="4"/>
  <c r="T16" i="4"/>
  <c r="AD15" i="4"/>
  <c r="AD18" i="4" s="1"/>
  <c r="AB15" i="4"/>
  <c r="Z15" i="4"/>
  <c r="X15" i="4"/>
  <c r="V15" i="4"/>
  <c r="T15" i="4"/>
  <c r="AD18" i="3"/>
  <c r="AD16" i="3"/>
  <c r="AB16" i="3"/>
  <c r="Z16" i="3"/>
  <c r="X16" i="3"/>
  <c r="V16" i="3"/>
  <c r="AD15" i="3"/>
  <c r="AB15" i="3"/>
  <c r="AB18" i="3" s="1"/>
  <c r="M8" i="9" s="1"/>
  <c r="Z15" i="3"/>
  <c r="X15" i="3"/>
  <c r="V15" i="3"/>
  <c r="T15" i="3"/>
  <c r="AD18" i="2"/>
  <c r="AB18" i="2"/>
  <c r="Z18" i="2"/>
  <c r="X18" i="2"/>
  <c r="V18" i="2"/>
  <c r="T18" i="2"/>
  <c r="AD17" i="2"/>
  <c r="X17" i="2"/>
  <c r="V17" i="2"/>
  <c r="T17" i="2"/>
  <c r="AD16" i="2"/>
  <c r="AD19" i="2" s="1"/>
  <c r="AB16" i="2"/>
  <c r="Z16" i="2"/>
  <c r="X16" i="2"/>
  <c r="V16" i="2"/>
  <c r="T16" i="2"/>
  <c r="AD17" i="1"/>
  <c r="AD16" i="1"/>
  <c r="AD15" i="1"/>
  <c r="AD18" i="1" s="1"/>
  <c r="AB17" i="1"/>
  <c r="AB16" i="1"/>
  <c r="AB15" i="1"/>
  <c r="Z17" i="1"/>
  <c r="Z15" i="1"/>
  <c r="X17" i="1"/>
  <c r="X16" i="1"/>
  <c r="X15" i="1"/>
  <c r="X18" i="1" s="1"/>
  <c r="K11" i="9" s="1"/>
  <c r="V17" i="1"/>
  <c r="V15" i="1"/>
  <c r="T17" i="1"/>
  <c r="T16" i="1"/>
  <c r="T15" i="1"/>
  <c r="N15" i="8"/>
  <c r="L15" i="8"/>
  <c r="J15" i="8"/>
  <c r="R15" i="7"/>
  <c r="P15" i="7"/>
  <c r="N15" i="7"/>
  <c r="R16" i="6"/>
  <c r="P16" i="6"/>
  <c r="R15" i="5"/>
  <c r="P15" i="5"/>
  <c r="N15" i="5"/>
  <c r="R15" i="4"/>
  <c r="P15" i="4"/>
  <c r="N15" i="4"/>
  <c r="R15" i="3"/>
  <c r="P15" i="3"/>
  <c r="N15" i="3"/>
  <c r="L15" i="3"/>
  <c r="R16" i="2"/>
  <c r="P16" i="2"/>
  <c r="N16" i="2"/>
  <c r="R15" i="1"/>
  <c r="P15" i="1"/>
  <c r="N15" i="1"/>
  <c r="N16" i="8"/>
  <c r="L16" i="8"/>
  <c r="J16" i="8"/>
  <c r="N16" i="7"/>
  <c r="R17" i="6"/>
  <c r="P17" i="6"/>
  <c r="N17" i="6"/>
  <c r="R16" i="5"/>
  <c r="P16" i="5"/>
  <c r="R16" i="4"/>
  <c r="P16" i="4"/>
  <c r="N16" i="4"/>
  <c r="R16" i="3"/>
  <c r="P16" i="3"/>
  <c r="N16" i="3"/>
  <c r="R17" i="2"/>
  <c r="P17" i="2"/>
  <c r="N17" i="2"/>
  <c r="R16" i="1"/>
  <c r="P16" i="1"/>
  <c r="AB18" i="5" l="1"/>
  <c r="M7" i="9" s="1"/>
  <c r="AB19" i="2"/>
  <c r="M12" i="9" s="1"/>
  <c r="AB18" i="1"/>
  <c r="M11" i="9" s="1"/>
  <c r="AB18" i="7"/>
  <c r="M10" i="9" s="1"/>
  <c r="Z18" i="7"/>
  <c r="L10" i="9" s="1"/>
  <c r="Z18" i="5"/>
  <c r="L7" i="9" s="1"/>
  <c r="Z18" i="4"/>
  <c r="L13" i="9" s="1"/>
  <c r="Z18" i="1"/>
  <c r="L11" i="9" s="1"/>
  <c r="T18" i="8"/>
  <c r="K9" i="9" s="1"/>
  <c r="X18" i="7"/>
  <c r="K10" i="9" s="1"/>
  <c r="X19" i="6"/>
  <c r="K6" i="9" s="1"/>
  <c r="X18" i="5"/>
  <c r="K7" i="9" s="1"/>
  <c r="X18" i="4"/>
  <c r="K13" i="9" s="1"/>
  <c r="X19" i="2"/>
  <c r="K12" i="9" s="1"/>
  <c r="R18" i="8"/>
  <c r="J9" i="9" s="1"/>
  <c r="V18" i="7"/>
  <c r="J10" i="9" s="1"/>
  <c r="V19" i="6"/>
  <c r="J6" i="9" s="1"/>
  <c r="V18" i="5"/>
  <c r="J7" i="9" s="1"/>
  <c r="V18" i="4"/>
  <c r="J13" i="9" s="1"/>
  <c r="V18" i="1"/>
  <c r="J11" i="9" s="1"/>
  <c r="P18" i="8"/>
  <c r="I9" i="9" s="1"/>
  <c r="T18" i="7"/>
  <c r="I10" i="9" s="1"/>
  <c r="T19" i="6"/>
  <c r="I6" i="9" s="1"/>
  <c r="T18" i="4"/>
  <c r="I13" i="9" s="1"/>
  <c r="T18" i="3"/>
  <c r="I8" i="9" s="1"/>
  <c r="T18" i="1"/>
  <c r="I11" i="9" s="1"/>
  <c r="T19" i="2"/>
  <c r="I12" i="9" s="1"/>
  <c r="V19" i="2"/>
  <c r="J12" i="9" s="1"/>
  <c r="Z19" i="2"/>
  <c r="L12" i="9" s="1"/>
  <c r="R19" i="2"/>
  <c r="H12" i="9" s="1"/>
  <c r="P19" i="2"/>
  <c r="G12" i="9" s="1"/>
  <c r="AB19" i="6"/>
  <c r="M6" i="9" s="1"/>
  <c r="Z19" i="6"/>
  <c r="L6" i="9" s="1"/>
  <c r="R18" i="5"/>
  <c r="H7" i="9" s="1"/>
  <c r="N18" i="8"/>
  <c r="H9" i="9" s="1"/>
  <c r="T18" i="5"/>
  <c r="I7" i="9" s="1"/>
  <c r="AB18" i="4"/>
  <c r="M13" i="9" s="1"/>
  <c r="V18" i="3"/>
  <c r="J8" i="9" s="1"/>
  <c r="X18" i="3"/>
  <c r="K8" i="9" s="1"/>
  <c r="Z18" i="3"/>
  <c r="L8" i="9" s="1"/>
  <c r="P18" i="1"/>
  <c r="G11" i="9" s="1"/>
  <c r="L18" i="8"/>
  <c r="G9" i="9" s="1"/>
  <c r="J18" i="8"/>
  <c r="F9" i="9" s="1"/>
  <c r="R18" i="7"/>
  <c r="H10" i="9" s="1"/>
  <c r="N18" i="7"/>
  <c r="F10" i="9" s="1"/>
  <c r="R19" i="6"/>
  <c r="H6" i="9" s="1"/>
  <c r="N19" i="6"/>
  <c r="F6" i="9" s="1"/>
  <c r="P19" i="6"/>
  <c r="G6" i="9" s="1"/>
  <c r="P18" i="5"/>
  <c r="G7" i="9" s="1"/>
  <c r="N18" i="5"/>
  <c r="F7" i="9" s="1"/>
  <c r="R18" i="4"/>
  <c r="H13" i="9" s="1"/>
  <c r="P18" i="4"/>
  <c r="G13" i="9" s="1"/>
  <c r="N18" i="4"/>
  <c r="F13" i="9" s="1"/>
  <c r="N19" i="2"/>
  <c r="F12" i="9" s="1"/>
  <c r="O13" i="9" l="1"/>
  <c r="O9" i="9"/>
  <c r="O10" i="9"/>
  <c r="N16" i="1"/>
  <c r="L18" i="1"/>
  <c r="L17" i="3"/>
  <c r="G16" i="8"/>
  <c r="F18" i="8"/>
  <c r="H17" i="8"/>
  <c r="H16" i="8"/>
  <c r="H15" i="8"/>
  <c r="K16" i="7"/>
  <c r="L17" i="7"/>
  <c r="L16" i="7"/>
  <c r="L15" i="7"/>
  <c r="J17" i="7"/>
  <c r="L17" i="5"/>
  <c r="L17" i="4"/>
  <c r="L18" i="2"/>
  <c r="L18" i="6"/>
  <c r="K17" i="6"/>
  <c r="L16" i="6"/>
  <c r="L17" i="6"/>
  <c r="K16" i="5"/>
  <c r="L16" i="5" s="1"/>
  <c r="K16" i="4"/>
  <c r="L16" i="4" s="1"/>
  <c r="L15" i="4"/>
  <c r="K16" i="3"/>
  <c r="L16" i="3" s="1"/>
  <c r="K17" i="2"/>
  <c r="L17" i="2" s="1"/>
  <c r="L19" i="2" s="1"/>
  <c r="E12" i="9" s="1"/>
  <c r="L16" i="2"/>
  <c r="K16" i="1"/>
  <c r="L16" i="1" s="1"/>
  <c r="L15" i="1"/>
  <c r="I16" i="7"/>
  <c r="J16" i="7" s="1"/>
  <c r="J15" i="7"/>
  <c r="I17" i="6"/>
  <c r="J17" i="6" s="1"/>
  <c r="J16" i="6"/>
  <c r="I16" i="5"/>
  <c r="J16" i="5" s="1"/>
  <c r="J18" i="5" s="1"/>
  <c r="D7" i="9" s="1"/>
  <c r="I16" i="4"/>
  <c r="J16" i="4" s="1"/>
  <c r="J18" i="4" s="1"/>
  <c r="J15" i="4"/>
  <c r="I16" i="3"/>
  <c r="J15" i="3"/>
  <c r="J18" i="3" s="1"/>
  <c r="D8" i="9" s="1"/>
  <c r="I17" i="2"/>
  <c r="J17" i="2" s="1"/>
  <c r="J16" i="2"/>
  <c r="I16" i="1"/>
  <c r="J16" i="1" s="1"/>
  <c r="J15" i="1"/>
  <c r="G16" i="7"/>
  <c r="N18" i="1" l="1"/>
  <c r="F11" i="9" s="1"/>
  <c r="O11" i="9" s="1"/>
  <c r="H18" i="8"/>
  <c r="L18" i="7"/>
  <c r="L19" i="6"/>
  <c r="E6" i="9" s="1"/>
  <c r="L18" i="5"/>
  <c r="E7" i="9" s="1"/>
  <c r="L18" i="4"/>
  <c r="L18" i="3"/>
  <c r="E8" i="9" s="1"/>
  <c r="O8" i="9" s="1"/>
  <c r="J18" i="7"/>
  <c r="J19" i="6"/>
  <c r="D6" i="9" s="1"/>
  <c r="J19" i="2"/>
  <c r="D12" i="9" s="1"/>
  <c r="J18" i="1"/>
  <c r="F18" i="7"/>
  <c r="H16" i="7"/>
  <c r="H15" i="7"/>
  <c r="G17" i="6"/>
  <c r="H17" i="6" s="1"/>
  <c r="F19" i="6"/>
  <c r="H16" i="6"/>
  <c r="G16" i="5"/>
  <c r="H16" i="5" s="1"/>
  <c r="F18" i="5"/>
  <c r="G16" i="4"/>
  <c r="H16" i="4" s="1"/>
  <c r="H15" i="4"/>
  <c r="F18" i="4"/>
  <c r="H15" i="3"/>
  <c r="G16" i="3"/>
  <c r="F18" i="3"/>
  <c r="G17" i="2"/>
  <c r="H17" i="2" s="1"/>
  <c r="H16" i="2"/>
  <c r="F19" i="2"/>
  <c r="H15" i="1"/>
  <c r="H16" i="1"/>
  <c r="G16" i="1"/>
  <c r="F18" i="1"/>
  <c r="H18" i="1" l="1"/>
  <c r="H18" i="7"/>
  <c r="H19" i="6"/>
  <c r="C6" i="9" s="1"/>
  <c r="O6" i="9" s="1"/>
  <c r="H18" i="5"/>
  <c r="C7" i="9" s="1"/>
  <c r="O7" i="9" s="1"/>
  <c r="H18" i="4"/>
  <c r="H18" i="3"/>
  <c r="H19" i="2"/>
  <c r="C12" i="9" s="1"/>
  <c r="O12" i="9" s="1"/>
</calcChain>
</file>

<file path=xl/sharedStrings.xml><?xml version="1.0" encoding="utf-8"?>
<sst xmlns="http://schemas.openxmlformats.org/spreadsheetml/2006/main" count="701" uniqueCount="136">
  <si>
    <t>No</t>
  </si>
  <si>
    <t xml:space="preserve">Kategori Penilaian </t>
  </si>
  <si>
    <t>Sub penilaian</t>
  </si>
  <si>
    <t>Bobot</t>
  </si>
  <si>
    <t xml:space="preserve">Indikator Penilaian </t>
  </si>
  <si>
    <t>Kedisiplinan</t>
  </si>
  <si>
    <t xml:space="preserve">Administrasi </t>
  </si>
  <si>
    <t xml:space="preserve">- Check In &amp; Out Laporan pelayanan tidak sesuai dengan jadwal </t>
  </si>
  <si>
    <t>Waktu</t>
  </si>
  <si>
    <t>- Tidak melakukan cancel treatment pada client</t>
  </si>
  <si>
    <t>- Tidak izin mendadak (kurang dari 24 jam dari jadwal)</t>
  </si>
  <si>
    <t xml:space="preserve">Kinerja </t>
  </si>
  <si>
    <t>- melaksanakan arahan SPV sesuai dengan yang diperintahkan</t>
  </si>
  <si>
    <t>Complain</t>
  </si>
  <si>
    <t>- Frekuensi client complain major dalam 1 bulan</t>
  </si>
  <si>
    <t>Grooming</t>
  </si>
  <si>
    <t>Kunjungan</t>
  </si>
  <si>
    <t>- Jumlah kunjungan (100%)</t>
  </si>
  <si>
    <t>- Jumlah jam kunjungan (150 Jam / 9000 Menit)</t>
  </si>
  <si>
    <t>- Hari efektif</t>
  </si>
  <si>
    <t>- Ketepatan Pengisian administrasi (Laporan pelayanan &amp; checklist) tidak lengkap meliputi keterangan  area, jenis &amp; hasil treatment, pemakaian chemical, dokumentasi pengerjaan, serta rekomendasi (apabila ada)</t>
  </si>
  <si>
    <t>- Tidak datang terlambat saat melakukan kunjungan ke client baik treatment maupun follow up</t>
  </si>
  <si>
    <t>- Penilaian Tim QC</t>
  </si>
  <si>
    <t>- Responsibility teknisi dalam penanganan complain</t>
  </si>
  <si>
    <t>- Selalu berpenampilan rapi  (seragam, sepatu) serta memotong rapi rambut, kuku kumis, jenggot.
- Menggunakan APD lengkap saat treatment</t>
  </si>
  <si>
    <t>Total</t>
  </si>
  <si>
    <t>4 ( 11 Jan 2025) (PLN, 3 rasa, pramita, laoban)</t>
  </si>
  <si>
    <t>Tidak (sarung tangan)</t>
  </si>
  <si>
    <t>Jan</t>
  </si>
  <si>
    <t>Keterangan</t>
  </si>
  <si>
    <t>Persentase</t>
  </si>
  <si>
    <t>6 (laporan pelayanan gloria Kupang, pacar, Suko)</t>
  </si>
  <si>
    <t>1 ( Bu Mega, Ketiduran)</t>
  </si>
  <si>
    <t>1 ( Eicy cafe, 6 hari)</t>
  </si>
  <si>
    <t>Tidak memakai sepatu safety &amp; sarung tangan</t>
  </si>
  <si>
    <t>4 (tgl 18 &amp; 25 laporan pelayananserta checklist) belum diisi)</t>
  </si>
  <si>
    <t>1 ( Bu Elly - 6)</t>
  </si>
  <si>
    <t>Lengkap</t>
  </si>
  <si>
    <t>Tidak ada foto</t>
  </si>
  <si>
    <t>1 ( ayam goreng, reschedule karena kesiangan)</t>
  </si>
  <si>
    <t>2 (Kwang Tung Waspada-4, Nailistic - 3)</t>
  </si>
  <si>
    <t>Berkumis, kuku panjang, tidak memakai topi</t>
  </si>
  <si>
    <t>Check in tidak di area</t>
  </si>
  <si>
    <t>4 (Cikal 18 &amp; 25)</t>
  </si>
  <si>
    <t>Tidak memakai sarung tangan</t>
  </si>
  <si>
    <t>88 EM ( lapel tidak ada tangkapan pelayanan)</t>
  </si>
  <si>
    <t>2 (Kwang tung, CV Manna SBY)</t>
  </si>
  <si>
    <t>Alura - 4</t>
  </si>
  <si>
    <t>Kuku panjang</t>
  </si>
  <si>
    <t>Banyak yang check out tidak dilokasi</t>
  </si>
  <si>
    <t>1 (duck king)</t>
  </si>
  <si>
    <t>Sarung tangan</t>
  </si>
  <si>
    <t>Feb</t>
  </si>
  <si>
    <t>2 basic studio foto hanya sedikit</t>
  </si>
  <si>
    <t>3.5</t>
  </si>
  <si>
    <t>1 tongji</t>
  </si>
  <si>
    <t>1 (tongji 4 hari)</t>
  </si>
  <si>
    <t>Apd tidak lengkap, tidak ada sarung tangan</t>
  </si>
  <si>
    <t>11 lapel</t>
  </si>
  <si>
    <t>1 Bravo</t>
  </si>
  <si>
    <t>APD (Sepatu &amp; sarung tangan)</t>
  </si>
  <si>
    <t>8 cikal</t>
  </si>
  <si>
    <t>Apd lengkap</t>
  </si>
  <si>
    <t>Kuku panjang, berkumis rambut tidak rapi</t>
  </si>
  <si>
    <t>In tidak di tempat</t>
  </si>
  <si>
    <t>Out dirumah</t>
  </si>
  <si>
    <t>1 mr lee</t>
  </si>
  <si>
    <t>Mar</t>
  </si>
  <si>
    <t>1 (Casa)</t>
  </si>
  <si>
    <t>Ya</t>
  </si>
  <si>
    <t>15 ( lamora &amp; 88kds) penulisan Chemical kurang lengkap</t>
  </si>
  <si>
    <t>Tidak (rambut, sepatu tidak safety)</t>
  </si>
  <si>
    <t>1 (loca Tj) ketiduran</t>
  </si>
  <si>
    <t>1 (common ground)</t>
  </si>
  <si>
    <t>3 client tgl 12 (Bu Lyla, Bu diana, Bu Grace)</t>
  </si>
  <si>
    <t>1 hari tidak ada kabar</t>
  </si>
  <si>
    <t>Rambut, kuku</t>
  </si>
  <si>
    <t>8 (88EM room dan tangkapan)</t>
  </si>
  <si>
    <t>36 ( banyak yang out di rumah)</t>
  </si>
  <si>
    <t>1 hari</t>
  </si>
  <si>
    <t>Kumis</t>
  </si>
  <si>
    <t>Apr</t>
  </si>
  <si>
    <t>Tigarasa &amp; AP tidak rekomendasi (10)</t>
  </si>
  <si>
    <t>1 GKI</t>
  </si>
  <si>
    <t>May</t>
  </si>
  <si>
    <t>June</t>
  </si>
  <si>
    <t>Lamora (1)</t>
  </si>
  <si>
    <t>AADK ARH (1)</t>
  </si>
  <si>
    <t>Amaris EM (1)</t>
  </si>
  <si>
    <t>Santika (1)</t>
  </si>
  <si>
    <t>Tanamera Truno (1)</t>
  </si>
  <si>
    <t>RJS (1)</t>
  </si>
  <si>
    <t>Sepatu safety</t>
  </si>
  <si>
    <t>4 Juni bu lila rescedule kesiangan</t>
  </si>
  <si>
    <t>Tidak ada laporan pelayanan (all gloria)</t>
  </si>
  <si>
    <t>Juni Benhill (27 Juni)</t>
  </si>
  <si>
    <t>kurang rapi dari grooming</t>
  </si>
  <si>
    <t>Cikal (8)</t>
  </si>
  <si>
    <t>Rekap KPI Teknisi Mobile</t>
  </si>
  <si>
    <t>Nama</t>
  </si>
  <si>
    <t>Bulan</t>
  </si>
  <si>
    <t>Jun</t>
  </si>
  <si>
    <t>Jul</t>
  </si>
  <si>
    <t>Aug</t>
  </si>
  <si>
    <t>Sep</t>
  </si>
  <si>
    <t>Oct</t>
  </si>
  <si>
    <t>Nov</t>
  </si>
  <si>
    <t>Dec</t>
  </si>
  <si>
    <t>Rata-Rata</t>
  </si>
  <si>
    <t>Choirul Anam</t>
  </si>
  <si>
    <t>Akbar Rohmatulah</t>
  </si>
  <si>
    <t>Suparman</t>
  </si>
  <si>
    <t>Moh. Mahrus</t>
  </si>
  <si>
    <t>Lucky Adi Putra</t>
  </si>
  <si>
    <t>Andik Noroyan Fananiar</t>
  </si>
  <si>
    <t>Muhammad Abu Samsudin</t>
  </si>
  <si>
    <t>Ananda Almas Saputra</t>
  </si>
  <si>
    <t>Juli</t>
  </si>
  <si>
    <t>Agustus</t>
  </si>
  <si>
    <t>September</t>
  </si>
  <si>
    <t>Oktober</t>
  </si>
  <si>
    <t>November</t>
  </si>
  <si>
    <t>Desember</t>
  </si>
  <si>
    <t>1 hari tidak ada kabar (3 Juli)</t>
  </si>
  <si>
    <t>Nama Teknisi</t>
  </si>
  <si>
    <t>SPV</t>
  </si>
  <si>
    <t>Badrul Komar</t>
  </si>
  <si>
    <t>: Andik Noroyan</t>
  </si>
  <si>
    <t xml:space="preserve">Nama : </t>
  </si>
  <si>
    <t>Akbar</t>
  </si>
  <si>
    <t>Segar Berkah</t>
  </si>
  <si>
    <t>Centimeter</t>
  </si>
  <si>
    <t>PT. Heaven Chemical Indonesia</t>
  </si>
  <si>
    <t>1 (shell veteran)</t>
  </si>
  <si>
    <t>3-4 Okt</t>
  </si>
  <si>
    <t>Keterlambatan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</si>
</sst>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Roboto"/>
    </font>
    <font>
      <sz val="11"/>
      <name val="Calibri"/>
      <family val="2"/>
      <scheme val="minor"/>
    </font>
    <font>
      <sz val="10"/>
      <color rgb="FF434343"/>
      <name val="Roboto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 wrapText="1"/>
    </xf>
    <xf numFmtId="0" fontId="0" fillId="0" borderId="3" xfId="0" quotePrefix="1" applyBorder="1" applyAlignment="1">
      <alignment vertical="center" wrapText="1"/>
    </xf>
    <xf numFmtId="0" fontId="0" fillId="0" borderId="3" xfId="0" quotePrefix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3" xfId="0" applyFont="1" applyFill="1" applyBorder="1" applyAlignment="1">
      <alignment horizontal="center" vertical="center" wrapText="1"/>
    </xf>
    <xf numFmtId="164" fontId="1" fillId="2" borderId="3" xfId="1" applyNumberFormat="1" applyFont="1" applyFill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1" fillId="0" borderId="10" xfId="1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4" fontId="1" fillId="2" borderId="8" xfId="1" applyNumberFormat="1" applyFont="1" applyFill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164" fontId="1" fillId="2" borderId="10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3" xfId="0" applyFont="1" applyBorder="1"/>
    <xf numFmtId="164" fontId="0" fillId="0" borderId="3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164" fontId="0" fillId="0" borderId="3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4" fontId="1" fillId="0" borderId="9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5" borderId="3" xfId="1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1" applyNumberFormat="1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0" fillId="0" borderId="1" xfId="0" quotePrefix="1" applyBorder="1" applyAlignment="1">
      <alignment vertical="center" wrapText="1"/>
    </xf>
    <xf numFmtId="9" fontId="0" fillId="2" borderId="3" xfId="0" applyNumberFormat="1" applyFill="1" applyBorder="1" applyAlignment="1">
      <alignment horizontal="center" wrapText="1"/>
    </xf>
    <xf numFmtId="164" fontId="1" fillId="0" borderId="3" xfId="1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9" fontId="0" fillId="0" borderId="0" xfId="1" applyFont="1"/>
    <xf numFmtId="0" fontId="6" fillId="6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8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1" fontId="3" fillId="3" borderId="3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2" borderId="0" xfId="0" applyFill="1"/>
    <xf numFmtId="0" fontId="6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FF99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Rata-Rata KPI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Rekap!$O$4</c:f>
              <c:strCache>
                <c:ptCount val="1"/>
                <c:pt idx="0">
                  <c:v>Rata-Rata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Rekap!$B$6:$B$13</c:f>
              <c:strCache>
                <c:ptCount val="8"/>
                <c:pt idx="0">
                  <c:v>Andik Noroyan Fananiar</c:v>
                </c:pt>
                <c:pt idx="1">
                  <c:v>Lucky Adi Putra</c:v>
                </c:pt>
                <c:pt idx="2">
                  <c:v>Suparman</c:v>
                </c:pt>
                <c:pt idx="3">
                  <c:v>Ananda Almas Saputra</c:v>
                </c:pt>
                <c:pt idx="4">
                  <c:v>Muhammad Abu Samsudin</c:v>
                </c:pt>
                <c:pt idx="5">
                  <c:v>Choirul Anam</c:v>
                </c:pt>
                <c:pt idx="6">
                  <c:v>Akbar Rohmatulah</c:v>
                </c:pt>
                <c:pt idx="7">
                  <c:v>Moh. Mahrus</c:v>
                </c:pt>
              </c:strCache>
            </c:strRef>
          </c:cat>
          <c:val>
            <c:numRef>
              <c:f>Rekap!$O$6:$O$13</c:f>
              <c:numCache>
                <c:formatCode>0.0%</c:formatCode>
                <c:ptCount val="8"/>
                <c:pt idx="0">
                  <c:v>0.84949589371980672</c:v>
                </c:pt>
                <c:pt idx="1">
                  <c:v>0.81131752305665361</c:v>
                </c:pt>
                <c:pt idx="2">
                  <c:v>0.81022630654369787</c:v>
                </c:pt>
                <c:pt idx="3">
                  <c:v>0.76012160493827174</c:v>
                </c:pt>
                <c:pt idx="4">
                  <c:v>0.75279191919191923</c:v>
                </c:pt>
                <c:pt idx="5">
                  <c:v>0.7099323671497586</c:v>
                </c:pt>
                <c:pt idx="6">
                  <c:v>0.7053956521739132</c:v>
                </c:pt>
                <c:pt idx="7">
                  <c:v>0.66998322353974527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8-4FD4-AC39-E0FE66703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61207392"/>
        <c:axId val="861192416"/>
        <c:axId val="0"/>
      </c:bar3DChart>
      <c:catAx>
        <c:axId val="8612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92416"/>
        <c:crosses val="autoZero"/>
        <c:auto val="1"/>
        <c:lblAlgn val="ctr"/>
        <c:lblOffset val="100"/>
        <c:noMultiLvlLbl val="0"/>
      </c:catAx>
      <c:valAx>
        <c:axId val="86119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20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14</xdr:row>
      <xdr:rowOff>0</xdr:rowOff>
    </xdr:from>
    <xdr:to>
      <xdr:col>9</xdr:col>
      <xdr:colOff>361949</xdr:colOff>
      <xdr:row>31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11293-9D18-4C25-8E35-FA81A5AC5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FF6A2-63E7-4739-A44E-00EC64D8A3D5}" name="Table1" displayName="Table1" ref="L17:M25" totalsRowShown="0">
  <autoFilter ref="L17:M25" xr:uid="{833FF6A2-63E7-4739-A44E-00EC64D8A3D5}"/>
  <sortState xmlns:xlrd2="http://schemas.microsoft.com/office/spreadsheetml/2017/richdata2" ref="L18:M25">
    <sortCondition ref="M17:M25"/>
  </sortState>
  <tableColumns count="2">
    <tableColumn id="1" xr3:uid="{43D8D3F4-CBFA-4130-B9BA-18263B0F7C9C}" name="Nama Teknisi" dataDxfId="0"/>
    <tableColumn id="2" xr3:uid="{24C80B85-2BD1-4A01-8A69-17659225CA6E}" name="Keterlamb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79BF-0F3C-43D3-B793-2562CED9771D}">
  <dimension ref="B2:P25"/>
  <sheetViews>
    <sheetView tabSelected="1" workbookViewId="0">
      <selection activeCell="M30" sqref="M30"/>
    </sheetView>
  </sheetViews>
  <sheetFormatPr defaultRowHeight="15" x14ac:dyDescent="0.25"/>
  <cols>
    <col min="2" max="2" width="25" bestFit="1" customWidth="1"/>
    <col min="12" max="12" width="26.28515625" customWidth="1"/>
    <col min="13" max="13" width="22.85546875" customWidth="1"/>
    <col min="16" max="16" width="15.42578125" customWidth="1"/>
  </cols>
  <sheetData>
    <row r="2" spans="2:16" ht="18.75" x14ac:dyDescent="0.3">
      <c r="B2" s="66" t="s">
        <v>98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2:16" x14ac:dyDescent="0.25">
      <c r="B4" s="65" t="s">
        <v>99</v>
      </c>
      <c r="C4" s="65" t="s">
        <v>100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 t="s">
        <v>108</v>
      </c>
    </row>
    <row r="5" spans="2:16" x14ac:dyDescent="0.25">
      <c r="B5" s="65"/>
      <c r="C5" s="48" t="s">
        <v>28</v>
      </c>
      <c r="D5" s="48" t="s">
        <v>52</v>
      </c>
      <c r="E5" s="48" t="s">
        <v>67</v>
      </c>
      <c r="F5" s="48" t="s">
        <v>81</v>
      </c>
      <c r="G5" s="48" t="s">
        <v>84</v>
      </c>
      <c r="H5" s="48" t="s">
        <v>101</v>
      </c>
      <c r="I5" s="48" t="s">
        <v>102</v>
      </c>
      <c r="J5" s="48" t="s">
        <v>103</v>
      </c>
      <c r="K5" s="48" t="s">
        <v>104</v>
      </c>
      <c r="L5" s="48" t="s">
        <v>105</v>
      </c>
      <c r="M5" s="48" t="s">
        <v>106</v>
      </c>
      <c r="N5" s="48" t="s">
        <v>107</v>
      </c>
      <c r="O5" s="65"/>
      <c r="P5" s="99" t="s">
        <v>135</v>
      </c>
    </row>
    <row r="6" spans="2:16" x14ac:dyDescent="0.25">
      <c r="B6" s="11" t="s">
        <v>114</v>
      </c>
      <c r="C6" s="46">
        <f>Andik!H19</f>
        <v>0.65967777777777781</v>
      </c>
      <c r="D6" s="46">
        <f>Andik!J19</f>
        <v>0.86423333333333341</v>
      </c>
      <c r="E6" s="46">
        <f>Andik!L19</f>
        <v>0.77042777777777782</v>
      </c>
      <c r="F6" s="46">
        <f>Andik!N19</f>
        <v>0.80562318840579705</v>
      </c>
      <c r="G6" s="46">
        <f>Andik!P19</f>
        <v>0.91400000000000003</v>
      </c>
      <c r="H6" s="46">
        <f>Andik!R19</f>
        <v>0.77915942028985508</v>
      </c>
      <c r="I6" s="46">
        <f>Andik!T19</f>
        <v>0.84278333333333333</v>
      </c>
      <c r="J6" s="46">
        <f>Andik!V19</f>
        <v>0.97219999999999995</v>
      </c>
      <c r="K6" s="46">
        <f>Andik!X19</f>
        <v>0.92031666666666656</v>
      </c>
      <c r="L6" s="46">
        <f>Andik!Z19</f>
        <v>0.94971666666666665</v>
      </c>
      <c r="M6" s="46">
        <f>Andik!AB19</f>
        <v>0.86631666666666662</v>
      </c>
      <c r="N6" s="46"/>
      <c r="O6" s="49">
        <f>AVERAGE(C6:N6)</f>
        <v>0.84949589371980672</v>
      </c>
      <c r="P6">
        <v>31</v>
      </c>
    </row>
    <row r="7" spans="2:16" x14ac:dyDescent="0.25">
      <c r="B7" s="11" t="s">
        <v>113</v>
      </c>
      <c r="C7" s="46">
        <f>Lucky!H18</f>
        <v>0.75652222222222232</v>
      </c>
      <c r="D7" s="46">
        <f>Lucky!J18</f>
        <v>0.73438888888888898</v>
      </c>
      <c r="E7" s="46">
        <f>Lucky!L18</f>
        <v>0.72322222222222232</v>
      </c>
      <c r="F7" s="46">
        <f>Lucky!N18</f>
        <v>0.75808333333333322</v>
      </c>
      <c r="G7" s="46">
        <f>Lucky!P18</f>
        <v>0.82100000000000006</v>
      </c>
      <c r="H7" s="46">
        <f>Lucky!R18</f>
        <v>0.88882608695652165</v>
      </c>
      <c r="I7" s="97">
        <f>Lucky!T18</f>
        <v>0.92645555555555559</v>
      </c>
      <c r="J7" s="46">
        <f>Lucky!V18</f>
        <v>0.70639999999999992</v>
      </c>
      <c r="K7" s="46">
        <f>Lucky!X18</f>
        <v>0.76828333333333332</v>
      </c>
      <c r="L7" s="46">
        <f>Lucky!Z18</f>
        <v>0.93968888888888891</v>
      </c>
      <c r="M7" s="46">
        <f>Lucky!AB18</f>
        <v>0.90162222222222232</v>
      </c>
      <c r="N7" s="46"/>
      <c r="O7" s="49">
        <f>AVERAGE(C7:N7)</f>
        <v>0.81131752305665361</v>
      </c>
      <c r="P7">
        <v>55</v>
      </c>
    </row>
    <row r="8" spans="2:16" x14ac:dyDescent="0.25">
      <c r="B8" s="11" t="s">
        <v>111</v>
      </c>
      <c r="C8" s="46">
        <f>Suparman!H18</f>
        <v>0.79200000000000004</v>
      </c>
      <c r="D8" s="46">
        <f>Suparman!J18</f>
        <v>0.7420000000000001</v>
      </c>
      <c r="E8" s="46">
        <f>Suparman!L18</f>
        <v>0.71272777777777785</v>
      </c>
      <c r="F8" s="46">
        <f>Suparman!N18</f>
        <v>0.86165217391304338</v>
      </c>
      <c r="G8" s="46">
        <f>Suparman!P18</f>
        <v>0.8653333333333334</v>
      </c>
      <c r="H8" s="46">
        <f>Suparman!R18</f>
        <v>0.91315942028985519</v>
      </c>
      <c r="I8" s="46">
        <f>Suparman!T18</f>
        <v>0.72781666666666678</v>
      </c>
      <c r="J8" s="46">
        <f>Suparman!V18</f>
        <v>0.84173333333333344</v>
      </c>
      <c r="K8" s="46">
        <f>Suparman!X18</f>
        <v>0.82438888888888895</v>
      </c>
      <c r="L8" s="46">
        <f>Suparman!Z18</f>
        <v>0.84928333333333328</v>
      </c>
      <c r="M8" s="46">
        <f>Suparman!AB18</f>
        <v>0.78239444444444461</v>
      </c>
      <c r="N8" s="49"/>
      <c r="O8" s="49">
        <f>AVERAGE(C8:N8)</f>
        <v>0.81022630654369787</v>
      </c>
      <c r="P8">
        <v>69</v>
      </c>
    </row>
    <row r="9" spans="2:16" x14ac:dyDescent="0.25">
      <c r="B9" s="11" t="s">
        <v>116</v>
      </c>
      <c r="C9" s="47"/>
      <c r="D9" s="47"/>
      <c r="E9" s="46">
        <f>Almas!H18</f>
        <v>0.77316111111111119</v>
      </c>
      <c r="F9" s="46">
        <f>Almas!J18</f>
        <v>0.71250000000000013</v>
      </c>
      <c r="G9" s="46">
        <f>Almas!L18</f>
        <v>0.84599999999999997</v>
      </c>
      <c r="H9" s="46">
        <f>Almas!N18</f>
        <v>0.75000000000000011</v>
      </c>
      <c r="I9" s="46">
        <f>Almas!P18</f>
        <v>0.69051111111111119</v>
      </c>
      <c r="J9" s="46">
        <f>Almas!R18</f>
        <v>0.65866111111111114</v>
      </c>
      <c r="K9" s="46">
        <f>Almas!T18</f>
        <v>0.75676111111111111</v>
      </c>
      <c r="L9" s="46">
        <f>Almas!V18</f>
        <v>0.82188888888888878</v>
      </c>
      <c r="M9" s="46">
        <f>Almas!X18</f>
        <v>0.83161111111111108</v>
      </c>
      <c r="N9" s="46"/>
      <c r="O9" s="49">
        <f>AVERAGE(C9:N9)</f>
        <v>0.76012160493827174</v>
      </c>
      <c r="P9">
        <v>90</v>
      </c>
    </row>
    <row r="10" spans="2:16" x14ac:dyDescent="0.25">
      <c r="B10" s="11" t="s">
        <v>115</v>
      </c>
      <c r="C10" s="46">
        <f>Abu!H18</f>
        <v>0.69181111111111115</v>
      </c>
      <c r="D10" s="46">
        <f>Abu!J18</f>
        <v>0.50642777777777781</v>
      </c>
      <c r="E10" s="46">
        <f>Abu!L18</f>
        <v>0.52630555555555558</v>
      </c>
      <c r="F10" s="46">
        <f>Abu!N18</f>
        <v>0.82150000000000012</v>
      </c>
      <c r="G10" s="46">
        <f>Abu!P18</f>
        <v>0.87966666666666671</v>
      </c>
      <c r="H10" s="46">
        <f>Abu!R18</f>
        <v>0.83500000000000008</v>
      </c>
      <c r="I10" s="46">
        <f>Abu!T18</f>
        <v>0.85041666666666671</v>
      </c>
      <c r="J10" s="46">
        <f>Abu!V18</f>
        <v>0.74143333333333339</v>
      </c>
      <c r="K10" s="46">
        <f>Abu!X18</f>
        <v>0.81953333333333334</v>
      </c>
      <c r="L10" s="46">
        <f>Abu!Z18</f>
        <v>0.79138888888888892</v>
      </c>
      <c r="M10" s="46">
        <f>Abu!AB18</f>
        <v>0.81722777777777778</v>
      </c>
      <c r="N10" s="46"/>
      <c r="O10" s="49">
        <f>AVERAGE(C10:N10)</f>
        <v>0.75279191919191923</v>
      </c>
      <c r="P10">
        <v>38</v>
      </c>
    </row>
    <row r="11" spans="2:16" x14ac:dyDescent="0.25">
      <c r="B11" s="11" t="s">
        <v>109</v>
      </c>
      <c r="C11" s="46">
        <f>Anam!H18</f>
        <v>0.75503888888888893</v>
      </c>
      <c r="D11" s="46">
        <f>Anam!J18</f>
        <v>0.70471111111111118</v>
      </c>
      <c r="E11" s="46">
        <f>Anam!L18</f>
        <v>0.582988888888889</v>
      </c>
      <c r="F11" s="46">
        <f>Anam!N18</f>
        <v>0.62365217391304351</v>
      </c>
      <c r="G11" s="46">
        <f>Anam!P18</f>
        <v>0.72982608695652185</v>
      </c>
      <c r="H11" s="46">
        <f>Anam!R18</f>
        <v>0.73358333333333348</v>
      </c>
      <c r="I11" s="46">
        <f>Anam!T18</f>
        <v>0.69813888888888898</v>
      </c>
      <c r="J11" s="46">
        <f>Anam!V18</f>
        <v>0.70215000000000005</v>
      </c>
      <c r="K11" s="46">
        <f>Anam!X18</f>
        <v>0.79807777777777766</v>
      </c>
      <c r="L11" s="46">
        <f>Anam!Z18</f>
        <v>0.66369999999999996</v>
      </c>
      <c r="M11" s="46">
        <f>Anam!AB18</f>
        <v>0.81738888888888883</v>
      </c>
      <c r="N11" s="46"/>
      <c r="O11" s="49">
        <f>AVERAGE(C11:N11)</f>
        <v>0.7099323671497586</v>
      </c>
      <c r="P11">
        <v>42</v>
      </c>
    </row>
    <row r="12" spans="2:16" x14ac:dyDescent="0.25">
      <c r="B12" s="11" t="s">
        <v>110</v>
      </c>
      <c r="C12" s="46">
        <f>Akbar!H19</f>
        <v>0.50945555555555555</v>
      </c>
      <c r="D12" s="46">
        <f>Akbar!J19</f>
        <v>0.63932222222222235</v>
      </c>
      <c r="E12" s="46">
        <f>Akbar!L19</f>
        <v>0.66178888888888898</v>
      </c>
      <c r="F12" s="46">
        <f>Akbar!N19</f>
        <v>0.64465217391304352</v>
      </c>
      <c r="G12" s="46">
        <f>Akbar!P19</f>
        <v>0.65166666666666684</v>
      </c>
      <c r="H12" s="46">
        <f>Akbar!R19</f>
        <v>0.72100000000000009</v>
      </c>
      <c r="I12" s="46">
        <f>Akbar!T19</f>
        <v>0.83335555555555563</v>
      </c>
      <c r="J12" s="46">
        <f>Akbar!V19</f>
        <v>0.74978888888888895</v>
      </c>
      <c r="K12" s="46">
        <f>Akbar!X19</f>
        <v>0.70556666666666668</v>
      </c>
      <c r="L12" s="46">
        <f>Akbar!Z19</f>
        <v>0.82017777777777789</v>
      </c>
      <c r="M12" s="46">
        <f>Akbar!AB19</f>
        <v>0.82257777777777785</v>
      </c>
      <c r="N12" s="46"/>
      <c r="O12" s="49">
        <f>AVERAGE(C12:N12)</f>
        <v>0.7053956521739132</v>
      </c>
      <c r="P12">
        <v>78</v>
      </c>
    </row>
    <row r="13" spans="2:16" x14ac:dyDescent="0.25">
      <c r="B13" s="11" t="s">
        <v>112</v>
      </c>
      <c r="C13" s="46">
        <f>Mahrus!H18</f>
        <v>0.60241111111111112</v>
      </c>
      <c r="D13" s="46">
        <f>Mahrus!J18</f>
        <v>0.71621111111111124</v>
      </c>
      <c r="E13" s="46">
        <f>Mahrus!L18</f>
        <v>0.55248333333333333</v>
      </c>
      <c r="F13" s="46">
        <f>Mahrus!N18</f>
        <v>0.64214492753623198</v>
      </c>
      <c r="G13" s="46">
        <f>Mahrus!P18</f>
        <v>0.72266666666666668</v>
      </c>
      <c r="H13" s="46">
        <f>Mahrus!R18</f>
        <v>0.72315942028985503</v>
      </c>
      <c r="I13" s="46">
        <f>Mahrus!T18</f>
        <v>0.5178666666666667</v>
      </c>
      <c r="J13" s="46">
        <f>Mahrus!V18</f>
        <v>0.71127222222222231</v>
      </c>
      <c r="K13" s="46">
        <f>Mahrus!X18</f>
        <v>0.70172777777777784</v>
      </c>
      <c r="L13" s="46">
        <f>Mahrus!Z18</f>
        <v>0.73948888888888897</v>
      </c>
      <c r="M13" s="46">
        <f>Mahrus!AB18</f>
        <v>0.74038333333333328</v>
      </c>
      <c r="N13" s="46"/>
      <c r="O13" s="49">
        <f>AVERAGE(C13:N13)</f>
        <v>0.66998322353974527</v>
      </c>
      <c r="P13">
        <v>114</v>
      </c>
    </row>
    <row r="17" spans="12:13" x14ac:dyDescent="0.25">
      <c r="L17" s="100" t="s">
        <v>124</v>
      </c>
      <c r="M17" s="101" t="s">
        <v>135</v>
      </c>
    </row>
    <row r="18" spans="12:13" x14ac:dyDescent="0.25">
      <c r="L18" s="11" t="s">
        <v>114</v>
      </c>
      <c r="M18">
        <v>31</v>
      </c>
    </row>
    <row r="19" spans="12:13" x14ac:dyDescent="0.25">
      <c r="L19" s="11" t="s">
        <v>115</v>
      </c>
      <c r="M19">
        <v>38</v>
      </c>
    </row>
    <row r="20" spans="12:13" x14ac:dyDescent="0.25">
      <c r="L20" s="11" t="s">
        <v>109</v>
      </c>
      <c r="M20">
        <v>42</v>
      </c>
    </row>
    <row r="21" spans="12:13" x14ac:dyDescent="0.25">
      <c r="L21" s="11" t="s">
        <v>113</v>
      </c>
      <c r="M21">
        <v>55</v>
      </c>
    </row>
    <row r="22" spans="12:13" x14ac:dyDescent="0.25">
      <c r="L22" s="11" t="s">
        <v>111</v>
      </c>
      <c r="M22">
        <v>69</v>
      </c>
    </row>
    <row r="23" spans="12:13" x14ac:dyDescent="0.25">
      <c r="L23" s="11" t="s">
        <v>110</v>
      </c>
      <c r="M23">
        <v>78</v>
      </c>
    </row>
    <row r="24" spans="12:13" x14ac:dyDescent="0.25">
      <c r="L24" s="11" t="s">
        <v>116</v>
      </c>
      <c r="M24">
        <v>90</v>
      </c>
    </row>
    <row r="25" spans="12:13" x14ac:dyDescent="0.25">
      <c r="L25" s="11" t="s">
        <v>112</v>
      </c>
      <c r="M25">
        <v>114</v>
      </c>
    </row>
  </sheetData>
  <autoFilter ref="B5:O13" xr:uid="{A80F79BF-0F3C-43D3-B793-2562CED9771D}">
    <sortState xmlns:xlrd2="http://schemas.microsoft.com/office/spreadsheetml/2017/richdata2" ref="B7:O13">
      <sortCondition descending="1" ref="O5:O13"/>
    </sortState>
  </autoFilter>
  <mergeCells count="4">
    <mergeCell ref="C4:N4"/>
    <mergeCell ref="B4:B5"/>
    <mergeCell ref="O4:O5"/>
    <mergeCell ref="B2:O2"/>
  </mergeCells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7AAE-6687-40DF-A52B-A5F98E05F7E5}">
  <dimension ref="B3:AE18"/>
  <sheetViews>
    <sheetView topLeftCell="O1" workbookViewId="0">
      <selection activeCell="AE7" sqref="AE7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7" customWidth="1"/>
    <col min="8" max="8" width="11.42578125" style="20" customWidth="1"/>
    <col min="9" max="9" width="14.85546875" customWidth="1"/>
    <col min="10" max="10" width="14.7109375" customWidth="1"/>
    <col min="11" max="11" width="11.42578125" customWidth="1"/>
    <col min="12" max="12" width="10.85546875" customWidth="1"/>
    <col min="13" max="13" width="11.42578125" bestFit="1" customWidth="1"/>
    <col min="14" max="14" width="10.85546875" bestFit="1" customWidth="1"/>
    <col min="15" max="15" width="11.5703125" customWidth="1"/>
    <col min="17" max="17" width="12.28515625" customWidth="1"/>
    <col min="18" max="18" width="10.85546875" bestFit="1" customWidth="1"/>
    <col min="19" max="19" width="11.140625" customWidth="1"/>
    <col min="20" max="20" width="10.85546875" customWidth="1"/>
    <col min="21" max="21" width="11.140625" customWidth="1"/>
    <col min="22" max="22" width="10.85546875" customWidth="1"/>
    <col min="23" max="23" width="11.140625" customWidth="1"/>
    <col min="24" max="24" width="10.85546875" customWidth="1"/>
    <col min="25" max="25" width="11.140625" customWidth="1"/>
    <col min="26" max="26" width="10.85546875" customWidth="1"/>
    <col min="27" max="27" width="11.140625" customWidth="1"/>
    <col min="28" max="28" width="10.85546875" customWidth="1"/>
    <col min="29" max="29" width="11.140625" customWidth="1"/>
    <col min="30" max="30" width="10.85546875" customWidth="1"/>
  </cols>
  <sheetData>
    <row r="3" spans="2:31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28</v>
      </c>
      <c r="H3" s="67"/>
      <c r="I3" s="67" t="s">
        <v>52</v>
      </c>
      <c r="J3" s="67"/>
      <c r="K3" s="67" t="s">
        <v>67</v>
      </c>
      <c r="L3" s="67"/>
      <c r="M3" s="67" t="s">
        <v>81</v>
      </c>
      <c r="N3" s="67"/>
      <c r="O3" s="67" t="s">
        <v>84</v>
      </c>
      <c r="P3" s="67"/>
      <c r="Q3" s="67" t="s">
        <v>85</v>
      </c>
      <c r="R3" s="67"/>
      <c r="S3" s="67" t="s">
        <v>117</v>
      </c>
      <c r="T3" s="67"/>
      <c r="U3" s="67" t="s">
        <v>118</v>
      </c>
      <c r="V3" s="67"/>
      <c r="W3" s="67" t="s">
        <v>119</v>
      </c>
      <c r="X3" s="67"/>
      <c r="Y3" s="67" t="s">
        <v>120</v>
      </c>
      <c r="Z3" s="67"/>
      <c r="AA3" s="67" t="s">
        <v>121</v>
      </c>
      <c r="AB3" s="67"/>
      <c r="AC3" s="67" t="s">
        <v>122</v>
      </c>
      <c r="AD3" s="67"/>
    </row>
    <row r="4" spans="2:31" x14ac:dyDescent="0.25">
      <c r="B4" s="69"/>
      <c r="C4" s="69"/>
      <c r="D4" s="69"/>
      <c r="E4" s="69"/>
      <c r="F4" s="69"/>
      <c r="G4" s="12" t="s">
        <v>29</v>
      </c>
      <c r="H4" s="17" t="s">
        <v>30</v>
      </c>
      <c r="I4" s="7" t="s">
        <v>29</v>
      </c>
      <c r="J4" s="17" t="s">
        <v>30</v>
      </c>
      <c r="K4" s="7" t="s">
        <v>29</v>
      </c>
      <c r="L4" s="1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  <c r="AA4" s="7" t="s">
        <v>29</v>
      </c>
      <c r="AB4" s="17" t="s">
        <v>30</v>
      </c>
      <c r="AC4" s="7" t="s">
        <v>29</v>
      </c>
      <c r="AD4" s="17" t="s">
        <v>30</v>
      </c>
    </row>
    <row r="5" spans="2:31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13">
        <v>0</v>
      </c>
      <c r="H5" s="29">
        <v>0.05</v>
      </c>
      <c r="I5" s="31">
        <v>4</v>
      </c>
      <c r="J5" s="35">
        <v>0.05</v>
      </c>
      <c r="K5" s="13">
        <v>13</v>
      </c>
      <c r="L5" s="18">
        <v>0</v>
      </c>
      <c r="M5" s="13">
        <v>12</v>
      </c>
      <c r="N5" s="18">
        <v>0</v>
      </c>
      <c r="O5" s="13">
        <v>8</v>
      </c>
      <c r="P5" s="18">
        <v>0</v>
      </c>
      <c r="Q5" s="13">
        <v>1</v>
      </c>
      <c r="R5" s="18">
        <v>0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>
        <v>0</v>
      </c>
      <c r="Z5" s="18">
        <v>0.05</v>
      </c>
      <c r="AA5" s="13">
        <v>0</v>
      </c>
      <c r="AB5" s="18">
        <v>0.05</v>
      </c>
      <c r="AC5" s="13"/>
      <c r="AD5" s="18">
        <v>0</v>
      </c>
    </row>
    <row r="6" spans="2:31" ht="51" x14ac:dyDescent="0.25">
      <c r="B6" s="73"/>
      <c r="C6" s="73"/>
      <c r="D6" s="73"/>
      <c r="E6" s="3" t="s">
        <v>20</v>
      </c>
      <c r="F6" s="8">
        <v>0.05</v>
      </c>
      <c r="G6" s="13">
        <v>0</v>
      </c>
      <c r="H6" s="29">
        <v>0.05</v>
      </c>
      <c r="I6" s="31" t="s">
        <v>53</v>
      </c>
      <c r="J6" s="35">
        <v>0.05</v>
      </c>
      <c r="K6" s="13">
        <v>0</v>
      </c>
      <c r="L6" s="18">
        <v>0.05</v>
      </c>
      <c r="M6" s="13" t="s">
        <v>82</v>
      </c>
      <c r="N6" s="18">
        <v>0.05</v>
      </c>
      <c r="O6" s="13" t="s">
        <v>82</v>
      </c>
      <c r="P6" s="18">
        <v>0.05</v>
      </c>
      <c r="Q6" s="13" t="s">
        <v>82</v>
      </c>
      <c r="R6" s="18">
        <v>0.05</v>
      </c>
      <c r="S6" s="13">
        <v>0</v>
      </c>
      <c r="T6" s="18">
        <v>0.05</v>
      </c>
      <c r="U6" s="13">
        <v>0</v>
      </c>
      <c r="V6" s="18">
        <v>0.05</v>
      </c>
      <c r="W6" s="13">
        <v>0</v>
      </c>
      <c r="X6" s="18">
        <v>0.05</v>
      </c>
      <c r="Y6" s="13">
        <v>0</v>
      </c>
      <c r="Z6" s="18">
        <v>0.05</v>
      </c>
      <c r="AA6" s="13">
        <v>0</v>
      </c>
      <c r="AB6" s="18">
        <v>0.05</v>
      </c>
      <c r="AC6" s="13"/>
      <c r="AD6" s="18">
        <v>0</v>
      </c>
    </row>
    <row r="7" spans="2:31" ht="30" x14ac:dyDescent="0.25">
      <c r="B7" s="73"/>
      <c r="C7" s="73"/>
      <c r="D7" s="73" t="s">
        <v>8</v>
      </c>
      <c r="E7" s="4" t="s">
        <v>21</v>
      </c>
      <c r="F7" s="8">
        <v>0.05</v>
      </c>
      <c r="G7" s="13">
        <v>3</v>
      </c>
      <c r="H7" s="30">
        <v>0.05</v>
      </c>
      <c r="I7" s="31">
        <v>0</v>
      </c>
      <c r="J7" s="22">
        <v>0.05</v>
      </c>
      <c r="K7" s="13">
        <v>5</v>
      </c>
      <c r="L7" s="19">
        <v>0</v>
      </c>
      <c r="M7" s="13">
        <v>8</v>
      </c>
      <c r="N7" s="19">
        <v>0</v>
      </c>
      <c r="O7" s="13">
        <v>8</v>
      </c>
      <c r="P7" s="19">
        <v>0</v>
      </c>
      <c r="Q7" s="13">
        <v>6</v>
      </c>
      <c r="R7" s="19">
        <v>0</v>
      </c>
      <c r="S7" s="13">
        <v>8</v>
      </c>
      <c r="T7" s="19">
        <v>0</v>
      </c>
      <c r="U7" s="13">
        <v>4</v>
      </c>
      <c r="V7" s="19">
        <v>0.05</v>
      </c>
      <c r="W7" s="13">
        <v>0</v>
      </c>
      <c r="X7" s="19">
        <v>0.05</v>
      </c>
      <c r="Y7" s="13">
        <v>0</v>
      </c>
      <c r="Z7" s="19">
        <v>0.05</v>
      </c>
      <c r="AA7" s="13">
        <v>0</v>
      </c>
      <c r="AB7" s="19">
        <v>0.05</v>
      </c>
      <c r="AC7" s="13"/>
      <c r="AD7" s="19">
        <v>0</v>
      </c>
      <c r="AE7" s="98">
        <f>SUM(G7,I7,K7,M7,O7,Q7,S7,U7,W7,Y7,AA7)</f>
        <v>42</v>
      </c>
    </row>
    <row r="8" spans="2:31" ht="38.25" x14ac:dyDescent="0.25">
      <c r="B8" s="73"/>
      <c r="C8" s="73"/>
      <c r="D8" s="73"/>
      <c r="E8" s="5" t="s">
        <v>9</v>
      </c>
      <c r="F8" s="8">
        <v>0.05</v>
      </c>
      <c r="G8" s="13" t="s">
        <v>26</v>
      </c>
      <c r="H8" s="29">
        <v>0</v>
      </c>
      <c r="I8" s="31">
        <v>0</v>
      </c>
      <c r="J8" s="35">
        <v>0.05</v>
      </c>
      <c r="K8" s="13">
        <v>0</v>
      </c>
      <c r="L8" s="18">
        <v>0.05</v>
      </c>
      <c r="M8" s="13">
        <v>0</v>
      </c>
      <c r="N8" s="18">
        <v>0.05</v>
      </c>
      <c r="O8" s="13">
        <v>0</v>
      </c>
      <c r="P8" s="18">
        <v>0.05</v>
      </c>
      <c r="Q8" s="13">
        <v>0</v>
      </c>
      <c r="R8" s="18">
        <v>0.05</v>
      </c>
      <c r="S8" s="13">
        <v>0</v>
      </c>
      <c r="T8" s="18">
        <v>0.05</v>
      </c>
      <c r="U8" s="13">
        <v>0</v>
      </c>
      <c r="V8" s="18">
        <v>0.05</v>
      </c>
      <c r="W8" s="13">
        <v>0</v>
      </c>
      <c r="X8" s="18">
        <v>0.05</v>
      </c>
      <c r="Y8" s="13">
        <v>0</v>
      </c>
      <c r="Z8" s="18">
        <v>0.05</v>
      </c>
      <c r="AA8" s="13">
        <v>0</v>
      </c>
      <c r="AB8" s="18">
        <v>0.05</v>
      </c>
      <c r="AC8" s="13"/>
      <c r="AD8" s="18">
        <v>0</v>
      </c>
    </row>
    <row r="9" spans="2:31" x14ac:dyDescent="0.25">
      <c r="B9" s="73"/>
      <c r="C9" s="73"/>
      <c r="D9" s="73"/>
      <c r="E9" s="4" t="s">
        <v>10</v>
      </c>
      <c r="F9" s="8">
        <v>0.05</v>
      </c>
      <c r="G9" s="13">
        <v>1</v>
      </c>
      <c r="H9" s="29">
        <v>0.05</v>
      </c>
      <c r="I9" s="31">
        <v>0</v>
      </c>
      <c r="J9" s="35">
        <v>0.05</v>
      </c>
      <c r="K9" s="13">
        <v>0</v>
      </c>
      <c r="L9" s="18">
        <v>0.05</v>
      </c>
      <c r="M9" s="13">
        <v>0</v>
      </c>
      <c r="N9" s="18">
        <v>0.05</v>
      </c>
      <c r="O9" s="13">
        <v>0</v>
      </c>
      <c r="P9" s="18">
        <v>0.05</v>
      </c>
      <c r="Q9" s="13">
        <v>0</v>
      </c>
      <c r="R9" s="18">
        <v>0.05</v>
      </c>
      <c r="S9" s="13">
        <v>0</v>
      </c>
      <c r="T9" s="18">
        <v>0.05</v>
      </c>
      <c r="U9" s="13">
        <v>0</v>
      </c>
      <c r="V9" s="18">
        <v>0.05</v>
      </c>
      <c r="W9" s="13">
        <v>0</v>
      </c>
      <c r="X9" s="18">
        <v>0.05</v>
      </c>
      <c r="Y9" s="13" t="s">
        <v>134</v>
      </c>
      <c r="Z9" s="18">
        <v>0</v>
      </c>
      <c r="AA9" s="13">
        <v>0</v>
      </c>
      <c r="AB9" s="18">
        <v>0.05</v>
      </c>
      <c r="AC9" s="13"/>
      <c r="AD9" s="18">
        <v>0</v>
      </c>
    </row>
    <row r="10" spans="2:31" x14ac:dyDescent="0.25">
      <c r="B10" s="73"/>
      <c r="C10" s="73"/>
      <c r="D10" s="78" t="s">
        <v>11</v>
      </c>
      <c r="E10" s="4" t="s">
        <v>22</v>
      </c>
      <c r="F10" s="8">
        <v>0.05</v>
      </c>
      <c r="G10" s="13">
        <v>3.5</v>
      </c>
      <c r="H10" s="29">
        <v>3.5000000000000003E-2</v>
      </c>
      <c r="I10" s="31">
        <v>3.5</v>
      </c>
      <c r="J10" s="35">
        <v>3.5000000000000003E-2</v>
      </c>
      <c r="K10" s="13">
        <v>3.5</v>
      </c>
      <c r="L10" s="18">
        <v>3.5000000000000003E-2</v>
      </c>
      <c r="M10" s="13">
        <v>4</v>
      </c>
      <c r="N10" s="18">
        <v>0.04</v>
      </c>
      <c r="O10" s="13">
        <v>4</v>
      </c>
      <c r="P10" s="18">
        <v>0.04</v>
      </c>
      <c r="Q10" s="13">
        <v>3.5</v>
      </c>
      <c r="R10" s="18">
        <v>3.5000000000000003E-2</v>
      </c>
      <c r="S10" s="13">
        <v>3</v>
      </c>
      <c r="T10" s="18">
        <v>0.03</v>
      </c>
      <c r="U10" s="13">
        <v>4</v>
      </c>
      <c r="V10" s="18">
        <v>0.04</v>
      </c>
      <c r="W10" s="13">
        <v>4</v>
      </c>
      <c r="X10" s="18">
        <v>0.04</v>
      </c>
      <c r="Y10" s="13">
        <v>4</v>
      </c>
      <c r="Z10" s="18">
        <v>0.04</v>
      </c>
      <c r="AA10" s="13">
        <v>4</v>
      </c>
      <c r="AB10" s="18">
        <v>0.04</v>
      </c>
      <c r="AC10" s="13"/>
      <c r="AD10" s="18">
        <v>0</v>
      </c>
    </row>
    <row r="11" spans="2:31" x14ac:dyDescent="0.25">
      <c r="B11" s="73"/>
      <c r="C11" s="73"/>
      <c r="D11" s="79"/>
      <c r="E11" s="5" t="s">
        <v>12</v>
      </c>
      <c r="F11" s="8">
        <v>0.05</v>
      </c>
      <c r="G11" s="13">
        <v>4.5999999999999996</v>
      </c>
      <c r="H11" s="29">
        <v>4.5999999999999999E-2</v>
      </c>
      <c r="I11" s="31">
        <v>0</v>
      </c>
      <c r="J11" s="35">
        <v>4.5999999999999999E-2</v>
      </c>
      <c r="K11" s="13">
        <v>4.5999999999999996</v>
      </c>
      <c r="L11" s="18">
        <v>4.5999999999999999E-2</v>
      </c>
      <c r="M11" s="13">
        <v>4</v>
      </c>
      <c r="N11" s="18">
        <v>4.5999999999999999E-2</v>
      </c>
      <c r="O11" s="13">
        <v>4.5999999999999996</v>
      </c>
      <c r="P11" s="18">
        <v>4.5999999999999999E-2</v>
      </c>
      <c r="Q11" s="13">
        <v>4.5999999999999996</v>
      </c>
      <c r="R11" s="18">
        <v>4.5999999999999999E-2</v>
      </c>
      <c r="S11" s="13">
        <v>4</v>
      </c>
      <c r="T11" s="18">
        <v>0.04</v>
      </c>
      <c r="U11" s="13">
        <v>4.5999999999999996</v>
      </c>
      <c r="V11" s="18">
        <v>4.5999999999999999E-2</v>
      </c>
      <c r="W11" s="13">
        <v>4.5999999999999996</v>
      </c>
      <c r="X11" s="18">
        <v>4.5999999999999999E-2</v>
      </c>
      <c r="Y11" s="13">
        <v>4.5999999999999996</v>
      </c>
      <c r="Z11" s="18">
        <v>4.5999999999999999E-2</v>
      </c>
      <c r="AA11" s="13">
        <v>4.5999999999999996</v>
      </c>
      <c r="AB11" s="18">
        <v>4.5999999999999999E-2</v>
      </c>
      <c r="AC11" s="13"/>
      <c r="AD11" s="18">
        <v>0</v>
      </c>
    </row>
    <row r="12" spans="2:31" ht="38.25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13">
        <v>0</v>
      </c>
      <c r="H12" s="29">
        <v>0.1</v>
      </c>
      <c r="I12" s="31" t="s">
        <v>55</v>
      </c>
      <c r="J12" s="35">
        <v>0</v>
      </c>
      <c r="K12" s="13" t="s">
        <v>68</v>
      </c>
      <c r="L12" s="18">
        <v>0</v>
      </c>
      <c r="M12" s="13" t="s">
        <v>83</v>
      </c>
      <c r="N12" s="18">
        <v>0</v>
      </c>
      <c r="O12" s="13">
        <v>0</v>
      </c>
      <c r="P12" s="18">
        <v>0.1</v>
      </c>
      <c r="Q12" s="13">
        <v>0</v>
      </c>
      <c r="R12" s="18">
        <v>0.1</v>
      </c>
      <c r="S12" s="13" t="s">
        <v>130</v>
      </c>
      <c r="T12" s="18">
        <v>0</v>
      </c>
      <c r="U12" s="13" t="s">
        <v>131</v>
      </c>
      <c r="V12" s="18">
        <v>0</v>
      </c>
      <c r="W12" s="13">
        <v>0</v>
      </c>
      <c r="X12" s="18">
        <v>0.1</v>
      </c>
      <c r="Y12" s="13" t="s">
        <v>132</v>
      </c>
      <c r="Z12" s="18">
        <v>0</v>
      </c>
      <c r="AA12" s="13">
        <v>0</v>
      </c>
      <c r="AB12" s="18">
        <v>0.1</v>
      </c>
      <c r="AC12" s="13"/>
      <c r="AD12" s="18">
        <v>0</v>
      </c>
    </row>
    <row r="13" spans="2:31" x14ac:dyDescent="0.25">
      <c r="B13" s="73"/>
      <c r="C13" s="76"/>
      <c r="D13" s="77"/>
      <c r="E13" s="4" t="s">
        <v>23</v>
      </c>
      <c r="F13" s="8">
        <v>0.1</v>
      </c>
      <c r="G13" s="13">
        <v>0</v>
      </c>
      <c r="H13" s="29">
        <v>0.1</v>
      </c>
      <c r="I13" s="31" t="s">
        <v>56</v>
      </c>
      <c r="J13" s="35">
        <v>0.1</v>
      </c>
      <c r="K13" s="13">
        <v>1</v>
      </c>
      <c r="L13" s="18">
        <v>0.1</v>
      </c>
      <c r="M13" s="13">
        <v>0</v>
      </c>
      <c r="N13" s="18">
        <v>0.1</v>
      </c>
      <c r="O13" s="13">
        <v>0</v>
      </c>
      <c r="P13" s="18">
        <v>0.1</v>
      </c>
      <c r="Q13" s="13">
        <v>0</v>
      </c>
      <c r="R13" s="18">
        <v>0.1</v>
      </c>
      <c r="S13" s="13">
        <v>1</v>
      </c>
      <c r="T13" s="18">
        <v>0.1</v>
      </c>
      <c r="U13" s="13">
        <v>2</v>
      </c>
      <c r="V13" s="18">
        <v>0.1</v>
      </c>
      <c r="W13" s="13">
        <v>1</v>
      </c>
      <c r="X13" s="18">
        <v>0.1</v>
      </c>
      <c r="Y13" s="13">
        <v>1</v>
      </c>
      <c r="Z13" s="18">
        <v>0.1</v>
      </c>
      <c r="AA13" s="13">
        <v>2</v>
      </c>
      <c r="AB13" s="18">
        <v>0.1</v>
      </c>
      <c r="AC13" s="13"/>
      <c r="AD13" s="18">
        <v>0</v>
      </c>
    </row>
    <row r="14" spans="2:31" ht="63.7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3" t="s">
        <v>27</v>
      </c>
      <c r="H14" s="29">
        <v>0</v>
      </c>
      <c r="I14" s="31" t="s">
        <v>57</v>
      </c>
      <c r="J14" s="35">
        <v>0</v>
      </c>
      <c r="K14" s="31" t="s">
        <v>57</v>
      </c>
      <c r="L14" s="18">
        <v>0</v>
      </c>
      <c r="M14" s="31" t="s">
        <v>57</v>
      </c>
      <c r="N14" s="18">
        <v>0</v>
      </c>
      <c r="O14" s="31" t="s">
        <v>57</v>
      </c>
      <c r="P14" s="18">
        <v>0</v>
      </c>
      <c r="Q14" s="31" t="s">
        <v>57</v>
      </c>
      <c r="R14" s="18">
        <v>0</v>
      </c>
      <c r="S14" s="31" t="s">
        <v>57</v>
      </c>
      <c r="T14" s="18">
        <v>0</v>
      </c>
      <c r="U14" s="31" t="s">
        <v>57</v>
      </c>
      <c r="V14" s="18">
        <v>0</v>
      </c>
      <c r="W14" s="31" t="s">
        <v>57</v>
      </c>
      <c r="X14" s="18">
        <v>0</v>
      </c>
      <c r="Y14" s="31" t="s">
        <v>57</v>
      </c>
      <c r="Z14" s="18">
        <v>0</v>
      </c>
      <c r="AA14" s="31" t="s">
        <v>57</v>
      </c>
      <c r="AB14" s="18">
        <v>0</v>
      </c>
      <c r="AC14" s="31"/>
      <c r="AD14" s="18">
        <v>0</v>
      </c>
    </row>
    <row r="15" spans="2:31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13">
        <v>70</v>
      </c>
      <c r="H15" s="29">
        <f>((G15/100*100%)*20%)</f>
        <v>0.13999999999999999</v>
      </c>
      <c r="I15" s="31">
        <v>67</v>
      </c>
      <c r="J15" s="35">
        <f>((I15/100*100%)*20%)</f>
        <v>0.13400000000000001</v>
      </c>
      <c r="K15" s="13">
        <v>64</v>
      </c>
      <c r="L15" s="18">
        <f>((K15/100*100%)*20%)</f>
        <v>0.128</v>
      </c>
      <c r="M15" s="13">
        <v>62</v>
      </c>
      <c r="N15" s="18">
        <f>((M15/75*100%)*20%)</f>
        <v>0.16533333333333333</v>
      </c>
      <c r="O15" s="13">
        <v>64</v>
      </c>
      <c r="P15" s="18">
        <f>((O15/75*100%)*20%)</f>
        <v>0.17066666666666669</v>
      </c>
      <c r="Q15" s="13">
        <v>66</v>
      </c>
      <c r="R15" s="18">
        <f>((Q15/75*100%)*20%)</f>
        <v>0.17600000000000002</v>
      </c>
      <c r="S15" s="13">
        <v>75</v>
      </c>
      <c r="T15" s="18">
        <f>((S15/75*100%)*20%)</f>
        <v>0.2</v>
      </c>
      <c r="U15" s="13">
        <v>57</v>
      </c>
      <c r="V15" s="18">
        <f>((U15/75*100%)*20%)</f>
        <v>0.15200000000000002</v>
      </c>
      <c r="W15" s="13">
        <v>58</v>
      </c>
      <c r="X15" s="18">
        <f>((W15/75*100%)*20%)</f>
        <v>0.15466666666666667</v>
      </c>
      <c r="Y15" s="13">
        <v>61</v>
      </c>
      <c r="Z15" s="18">
        <f>((Y15/75*100%)*20%)</f>
        <v>0.16266666666666668</v>
      </c>
      <c r="AA15" s="13">
        <v>61</v>
      </c>
      <c r="AB15" s="18">
        <f>((AA15/75*100%)*20%)</f>
        <v>0.16266666666666668</v>
      </c>
      <c r="AC15" s="13"/>
      <c r="AD15" s="18">
        <f>((AC15/75*100%)*20%)</f>
        <v>0</v>
      </c>
    </row>
    <row r="16" spans="2:31" x14ac:dyDescent="0.25">
      <c r="B16" s="73"/>
      <c r="C16" s="76"/>
      <c r="D16" s="77"/>
      <c r="E16" s="5" t="s">
        <v>18</v>
      </c>
      <c r="F16" s="8">
        <v>0.1</v>
      </c>
      <c r="G16" s="14">
        <f>7751/60</f>
        <v>129.18333333333334</v>
      </c>
      <c r="H16" s="29">
        <f>((G16/150*100%)*10%)</f>
        <v>8.6122222222222225E-2</v>
      </c>
      <c r="I16" s="31">
        <f>8074/60</f>
        <v>134.56666666666666</v>
      </c>
      <c r="J16" s="35">
        <f>((I16/150*100%)*10%)</f>
        <v>8.9711111111111116E-2</v>
      </c>
      <c r="K16" s="13">
        <f>7034/60</f>
        <v>117.23333333333333</v>
      </c>
      <c r="L16" s="18">
        <f>((K16/150*100%)*10%)</f>
        <v>7.8155555555555561E-2</v>
      </c>
      <c r="M16" s="13">
        <v>115</v>
      </c>
      <c r="N16" s="18">
        <f>((M16/150*100%)*10%)</f>
        <v>7.6666666666666675E-2</v>
      </c>
      <c r="O16" s="13">
        <v>113</v>
      </c>
      <c r="P16" s="18">
        <f>((O16/150*100%)*10%)</f>
        <v>7.5333333333333335E-2</v>
      </c>
      <c r="Q16" s="13">
        <v>118</v>
      </c>
      <c r="R16" s="18">
        <f>((Q16/150*100%)*10%)</f>
        <v>7.8666666666666663E-2</v>
      </c>
      <c r="S16" s="13">
        <f>6845/60</f>
        <v>114.08333333333333</v>
      </c>
      <c r="T16" s="18">
        <f>((S16/150*100%)*10%)</f>
        <v>7.6055555555555557E-2</v>
      </c>
      <c r="U16" s="13">
        <f>5961/60</f>
        <v>99.35</v>
      </c>
      <c r="V16" s="18">
        <f>((U16/150*100%)*10%)</f>
        <v>6.6233333333333338E-2</v>
      </c>
      <c r="W16" s="13">
        <f>5542/60</f>
        <v>92.36666666666666</v>
      </c>
      <c r="X16" s="18">
        <f>((W16/150*100%)*10%)</f>
        <v>6.157777777777778E-2</v>
      </c>
      <c r="Y16" s="13">
        <f>5853/60</f>
        <v>97.55</v>
      </c>
      <c r="Z16" s="18">
        <f>((Y16/150*100%)*10%)</f>
        <v>6.5033333333333332E-2</v>
      </c>
      <c r="AA16" s="13">
        <f>6185/60</f>
        <v>103.08333333333333</v>
      </c>
      <c r="AB16" s="18">
        <f>((AA16/150*100%)*10%)</f>
        <v>6.8722222222222226E-2</v>
      </c>
      <c r="AC16" s="13"/>
      <c r="AD16" s="18">
        <f>((AC16/150*100%)*10%)</f>
        <v>0</v>
      </c>
    </row>
    <row r="17" spans="2:30" x14ac:dyDescent="0.25">
      <c r="B17" s="78"/>
      <c r="C17" s="76"/>
      <c r="D17" s="77"/>
      <c r="E17" s="6" t="s">
        <v>19</v>
      </c>
      <c r="F17" s="9">
        <v>0.05</v>
      </c>
      <c r="G17" s="13">
        <v>23</v>
      </c>
      <c r="H17" s="18">
        <f>((G17/24*100%)*5%)</f>
        <v>4.791666666666667E-2</v>
      </c>
      <c r="I17" s="31">
        <v>24</v>
      </c>
      <c r="J17" s="18">
        <f>((I17/24*100%)*5%)</f>
        <v>0.05</v>
      </c>
      <c r="K17" s="13">
        <v>22</v>
      </c>
      <c r="L17" s="18">
        <f>((K17/24*100%)*5%)</f>
        <v>4.5833333333333337E-2</v>
      </c>
      <c r="M17" s="13">
        <v>21</v>
      </c>
      <c r="N17" s="18">
        <f>((M17/23*100%)*5%)</f>
        <v>4.5652173913043478E-2</v>
      </c>
      <c r="O17" s="13">
        <v>22</v>
      </c>
      <c r="P17" s="18">
        <f>((O17/23*100%)*5%)</f>
        <v>4.7826086956521741E-2</v>
      </c>
      <c r="Q17" s="13">
        <v>23</v>
      </c>
      <c r="R17" s="18">
        <f>((Q17/24*100%)*5%)</f>
        <v>4.791666666666667E-2</v>
      </c>
      <c r="S17" s="13">
        <v>25</v>
      </c>
      <c r="T17" s="18">
        <f>((S17/24*100%)*5%)</f>
        <v>5.2083333333333343E-2</v>
      </c>
      <c r="U17" s="13">
        <v>23</v>
      </c>
      <c r="V17" s="18">
        <f>((U17/24*100%)*5%)</f>
        <v>4.791666666666667E-2</v>
      </c>
      <c r="W17" s="13">
        <v>22</v>
      </c>
      <c r="X17" s="18">
        <f>((W17/24*100%)*5%)</f>
        <v>4.5833333333333337E-2</v>
      </c>
      <c r="Y17" s="13">
        <v>24</v>
      </c>
      <c r="Z17" s="18">
        <f>((Y17/24*100%)*5%)</f>
        <v>0.05</v>
      </c>
      <c r="AA17" s="13">
        <v>24</v>
      </c>
      <c r="AB17" s="18">
        <f>((AA17/24*100%)*5%)</f>
        <v>0.05</v>
      </c>
      <c r="AC17" s="13"/>
      <c r="AD17" s="18">
        <f>((AC17/24*100%)*5%)</f>
        <v>0</v>
      </c>
    </row>
    <row r="18" spans="2:30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11"/>
      <c r="H18" s="27">
        <f>SUM(H5:H17)</f>
        <v>0.75503888888888893</v>
      </c>
      <c r="I18" s="15"/>
      <c r="J18" s="36">
        <f>SUM(J5:J17)</f>
        <v>0.70471111111111118</v>
      </c>
      <c r="K18" s="39"/>
      <c r="L18" s="26">
        <f>SUM(L5:L17)</f>
        <v>0.582988888888889</v>
      </c>
      <c r="M18" s="39"/>
      <c r="N18" s="26">
        <f>SUM(N5:N17)</f>
        <v>0.62365217391304351</v>
      </c>
      <c r="O18" s="39"/>
      <c r="P18" s="26">
        <f>SUM(P5:P17)</f>
        <v>0.72982608695652185</v>
      </c>
      <c r="Q18" s="39"/>
      <c r="R18" s="26">
        <f>SUM(R5:R17)</f>
        <v>0.73358333333333348</v>
      </c>
      <c r="S18" s="39"/>
      <c r="T18" s="26">
        <f>SUM(T5:T17)</f>
        <v>0.69813888888888898</v>
      </c>
      <c r="U18" s="39"/>
      <c r="V18" s="26">
        <f>SUM(V5:V17)</f>
        <v>0.70215000000000005</v>
      </c>
      <c r="W18" s="39"/>
      <c r="X18" s="26">
        <f>SUM(X5:X17)</f>
        <v>0.79807777777777766</v>
      </c>
      <c r="Y18" s="39"/>
      <c r="Z18" s="26">
        <f>SUM(Z5:Z17)</f>
        <v>0.66369999999999996</v>
      </c>
      <c r="AA18" s="39"/>
      <c r="AB18" s="26">
        <f>SUM(AB5:AB17)</f>
        <v>0.81738888888888883</v>
      </c>
      <c r="AC18" s="39"/>
      <c r="AD18" s="26">
        <f>SUM(AD5:AD17)</f>
        <v>0</v>
      </c>
    </row>
  </sheetData>
  <mergeCells count="28">
    <mergeCell ref="B18:E18"/>
    <mergeCell ref="B5:B11"/>
    <mergeCell ref="C5:C11"/>
    <mergeCell ref="B12:B13"/>
    <mergeCell ref="C12:D13"/>
    <mergeCell ref="D5:D6"/>
    <mergeCell ref="D7:D9"/>
    <mergeCell ref="D10:D11"/>
    <mergeCell ref="C14:D14"/>
    <mergeCell ref="B15:B17"/>
    <mergeCell ref="C15:D17"/>
    <mergeCell ref="O3:P3"/>
    <mergeCell ref="Q3:R3"/>
    <mergeCell ref="G3:H3"/>
    <mergeCell ref="B3:B4"/>
    <mergeCell ref="C3:C4"/>
    <mergeCell ref="M3:N3"/>
    <mergeCell ref="D3:D4"/>
    <mergeCell ref="F3:F4"/>
    <mergeCell ref="E3:E4"/>
    <mergeCell ref="K3:L3"/>
    <mergeCell ref="I3:J3"/>
    <mergeCell ref="AC3:AD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BE4C-A839-4FE3-8F69-9E251FA73B34}">
  <sheetPr>
    <pageSetUpPr fitToPage="1"/>
  </sheetPr>
  <dimension ref="B1:AF19"/>
  <sheetViews>
    <sheetView topLeftCell="N1" workbookViewId="0">
      <selection activeCell="AE8" sqref="AE8"/>
    </sheetView>
  </sheetViews>
  <sheetFormatPr defaultRowHeight="15" x14ac:dyDescent="0.25"/>
  <cols>
    <col min="3" max="3" width="17.28515625" customWidth="1"/>
    <col min="4" max="4" width="15.140625" customWidth="1"/>
    <col min="5" max="5" width="44.42578125" style="53" customWidth="1"/>
    <col min="7" max="7" width="12.7109375" customWidth="1"/>
    <col min="8" max="8" width="11.42578125" style="20" customWidth="1"/>
    <col min="9" max="9" width="14.28515625" customWidth="1"/>
    <col min="10" max="10" width="14.42578125" customWidth="1"/>
    <col min="11" max="11" width="11.42578125" customWidth="1"/>
    <col min="12" max="12" width="12" customWidth="1"/>
    <col min="13" max="13" width="11.140625" customWidth="1"/>
    <col min="14" max="14" width="10.85546875" bestFit="1" customWidth="1"/>
    <col min="15" max="15" width="11.140625" customWidth="1"/>
    <col min="16" max="16" width="10.85546875" bestFit="1" customWidth="1"/>
    <col min="17" max="17" width="11.140625" customWidth="1"/>
    <col min="18" max="18" width="10.85546875" bestFit="1" customWidth="1"/>
    <col min="19" max="30" width="9.140625" customWidth="1"/>
  </cols>
  <sheetData>
    <row r="1" spans="2:32" x14ac:dyDescent="0.25">
      <c r="B1" t="s">
        <v>128</v>
      </c>
      <c r="C1" t="s">
        <v>129</v>
      </c>
    </row>
    <row r="2" spans="2:32" x14ac:dyDescent="0.25">
      <c r="B2" t="s">
        <v>125</v>
      </c>
      <c r="C2" t="s">
        <v>126</v>
      </c>
    </row>
    <row r="4" spans="2:32" x14ac:dyDescent="0.25">
      <c r="B4" s="67" t="s">
        <v>0</v>
      </c>
      <c r="C4" s="67" t="s">
        <v>1</v>
      </c>
      <c r="D4" s="67" t="s">
        <v>2</v>
      </c>
      <c r="E4" s="80" t="s">
        <v>4</v>
      </c>
      <c r="F4" s="67" t="s">
        <v>3</v>
      </c>
      <c r="G4" s="67" t="s">
        <v>28</v>
      </c>
      <c r="H4" s="67"/>
      <c r="I4" s="67" t="s">
        <v>52</v>
      </c>
      <c r="J4" s="67"/>
      <c r="K4" s="67" t="s">
        <v>67</v>
      </c>
      <c r="L4" s="67"/>
      <c r="M4" s="67" t="s">
        <v>81</v>
      </c>
      <c r="N4" s="67"/>
      <c r="O4" s="67" t="s">
        <v>84</v>
      </c>
      <c r="P4" s="67"/>
      <c r="Q4" s="67" t="s">
        <v>85</v>
      </c>
      <c r="R4" s="67"/>
      <c r="S4" s="67" t="s">
        <v>117</v>
      </c>
      <c r="T4" s="67"/>
      <c r="U4" s="67" t="s">
        <v>118</v>
      </c>
      <c r="V4" s="67"/>
      <c r="W4" s="67" t="s">
        <v>119</v>
      </c>
      <c r="X4" s="67"/>
      <c r="Y4" s="67" t="s">
        <v>120</v>
      </c>
      <c r="Z4" s="67"/>
      <c r="AA4" s="67" t="s">
        <v>121</v>
      </c>
      <c r="AB4" s="67"/>
      <c r="AC4" s="67" t="s">
        <v>122</v>
      </c>
      <c r="AD4" s="67"/>
    </row>
    <row r="5" spans="2:32" x14ac:dyDescent="0.25">
      <c r="B5" s="67"/>
      <c r="C5" s="67"/>
      <c r="D5" s="67"/>
      <c r="E5" s="80"/>
      <c r="F5" s="67"/>
      <c r="G5" s="12" t="s">
        <v>29</v>
      </c>
      <c r="H5" s="17" t="s">
        <v>30</v>
      </c>
      <c r="I5" s="12" t="s">
        <v>29</v>
      </c>
      <c r="J5" s="17" t="s">
        <v>30</v>
      </c>
      <c r="K5" s="12" t="s">
        <v>29</v>
      </c>
      <c r="L5" s="17" t="s">
        <v>30</v>
      </c>
      <c r="M5" s="12" t="s">
        <v>29</v>
      </c>
      <c r="N5" s="17" t="s">
        <v>30</v>
      </c>
      <c r="O5" s="12" t="s">
        <v>29</v>
      </c>
      <c r="P5" s="17" t="s">
        <v>30</v>
      </c>
      <c r="Q5" s="12" t="s">
        <v>29</v>
      </c>
      <c r="R5" s="17" t="s">
        <v>30</v>
      </c>
      <c r="S5" s="7" t="s">
        <v>29</v>
      </c>
      <c r="T5" s="17" t="s">
        <v>30</v>
      </c>
      <c r="U5" s="7" t="s">
        <v>29</v>
      </c>
      <c r="V5" s="17" t="s">
        <v>30</v>
      </c>
      <c r="W5" s="7" t="s">
        <v>29</v>
      </c>
      <c r="X5" s="17" t="s">
        <v>30</v>
      </c>
      <c r="Y5" s="7" t="s">
        <v>29</v>
      </c>
      <c r="Z5" s="17" t="s">
        <v>30</v>
      </c>
      <c r="AA5" s="7" t="s">
        <v>29</v>
      </c>
      <c r="AB5" s="17" t="s">
        <v>30</v>
      </c>
      <c r="AC5" s="7" t="s">
        <v>29</v>
      </c>
      <c r="AD5" s="17" t="s">
        <v>30</v>
      </c>
    </row>
    <row r="6" spans="2:32" ht="30" x14ac:dyDescent="0.25">
      <c r="B6" s="73">
        <v>1</v>
      </c>
      <c r="C6" s="73" t="s">
        <v>5</v>
      </c>
      <c r="D6" s="73" t="s">
        <v>6</v>
      </c>
      <c r="E6" s="3" t="s">
        <v>7</v>
      </c>
      <c r="F6" s="50">
        <v>0.05</v>
      </c>
      <c r="G6" s="16">
        <v>15</v>
      </c>
      <c r="H6" s="40">
        <v>0</v>
      </c>
      <c r="I6" s="33">
        <v>28</v>
      </c>
      <c r="J6" s="40">
        <v>0</v>
      </c>
      <c r="K6" s="38">
        <v>26</v>
      </c>
      <c r="L6" s="40">
        <v>0</v>
      </c>
      <c r="M6" s="13">
        <v>3</v>
      </c>
      <c r="N6" s="40">
        <v>0.05</v>
      </c>
      <c r="O6" s="13">
        <v>2</v>
      </c>
      <c r="P6" s="40">
        <v>0.05</v>
      </c>
      <c r="Q6" s="13">
        <v>3</v>
      </c>
      <c r="R6" s="40">
        <v>0.05</v>
      </c>
      <c r="S6" s="13">
        <v>0</v>
      </c>
      <c r="T6" s="40">
        <v>0.05</v>
      </c>
      <c r="U6" s="13">
        <v>0</v>
      </c>
      <c r="V6" s="40">
        <v>0.05</v>
      </c>
      <c r="W6" s="13">
        <v>0</v>
      </c>
      <c r="X6" s="40">
        <v>0.05</v>
      </c>
      <c r="Y6" s="13">
        <v>0</v>
      </c>
      <c r="Z6" s="40">
        <v>0.05</v>
      </c>
      <c r="AA6" s="13">
        <v>0</v>
      </c>
      <c r="AB6" s="40">
        <v>0.05</v>
      </c>
      <c r="AC6" s="13"/>
      <c r="AD6" s="18">
        <v>0</v>
      </c>
    </row>
    <row r="7" spans="2:32" ht="90" x14ac:dyDescent="0.25">
      <c r="B7" s="73"/>
      <c r="C7" s="73"/>
      <c r="D7" s="73"/>
      <c r="E7" s="3" t="s">
        <v>20</v>
      </c>
      <c r="F7" s="50">
        <v>0.05</v>
      </c>
      <c r="G7" s="16" t="s">
        <v>31</v>
      </c>
      <c r="H7" s="40">
        <v>0</v>
      </c>
      <c r="I7" s="33" t="s">
        <v>58</v>
      </c>
      <c r="J7" s="40">
        <v>0</v>
      </c>
      <c r="K7" s="41" t="s">
        <v>70</v>
      </c>
      <c r="L7" s="40">
        <v>0</v>
      </c>
      <c r="M7" s="13" t="s">
        <v>94</v>
      </c>
      <c r="N7" s="40">
        <v>0</v>
      </c>
      <c r="O7" s="13" t="s">
        <v>94</v>
      </c>
      <c r="P7" s="40">
        <v>0</v>
      </c>
      <c r="Q7" s="13" t="s">
        <v>94</v>
      </c>
      <c r="R7" s="40">
        <v>0</v>
      </c>
      <c r="S7" s="13" t="s">
        <v>37</v>
      </c>
      <c r="T7" s="18">
        <v>0.05</v>
      </c>
      <c r="U7" s="13" t="s">
        <v>37</v>
      </c>
      <c r="V7" s="18">
        <v>0.05</v>
      </c>
      <c r="W7" s="13" t="s">
        <v>37</v>
      </c>
      <c r="X7" s="18">
        <v>0.05</v>
      </c>
      <c r="Y7" s="13" t="s">
        <v>37</v>
      </c>
      <c r="Z7" s="18">
        <v>0.05</v>
      </c>
      <c r="AA7" s="13" t="s">
        <v>37</v>
      </c>
      <c r="AB7" s="18">
        <v>0.05</v>
      </c>
      <c r="AC7" s="13"/>
      <c r="AD7" s="18">
        <v>0</v>
      </c>
    </row>
    <row r="8" spans="2:32" ht="45" x14ac:dyDescent="0.25">
      <c r="B8" s="73"/>
      <c r="C8" s="73"/>
      <c r="D8" s="73" t="s">
        <v>8</v>
      </c>
      <c r="E8" s="4" t="s">
        <v>21</v>
      </c>
      <c r="F8" s="50">
        <v>0.05</v>
      </c>
      <c r="G8" s="16">
        <v>17</v>
      </c>
      <c r="H8" s="51">
        <v>0</v>
      </c>
      <c r="I8" s="33">
        <v>7</v>
      </c>
      <c r="J8" s="51">
        <v>0.05</v>
      </c>
      <c r="K8" s="1">
        <v>17</v>
      </c>
      <c r="L8" s="51">
        <v>0</v>
      </c>
      <c r="M8" s="13">
        <v>13</v>
      </c>
      <c r="N8" s="51">
        <v>0</v>
      </c>
      <c r="O8" s="13">
        <v>9</v>
      </c>
      <c r="P8" s="51">
        <v>0</v>
      </c>
      <c r="Q8" s="13">
        <v>4</v>
      </c>
      <c r="R8" s="51">
        <v>0.05</v>
      </c>
      <c r="S8" s="13">
        <v>8</v>
      </c>
      <c r="T8" s="19">
        <v>0</v>
      </c>
      <c r="U8" s="13">
        <v>3</v>
      </c>
      <c r="V8" s="19">
        <v>0.05</v>
      </c>
      <c r="W8" s="13">
        <v>0</v>
      </c>
      <c r="X8" s="19">
        <v>0.05</v>
      </c>
      <c r="Y8" s="13">
        <v>0</v>
      </c>
      <c r="Z8" s="19">
        <v>0.05</v>
      </c>
      <c r="AA8" s="13">
        <v>0</v>
      </c>
      <c r="AB8" s="19">
        <v>0.05</v>
      </c>
      <c r="AC8" s="13"/>
      <c r="AD8" s="19">
        <v>0</v>
      </c>
      <c r="AE8" s="98">
        <f>SUM(G8,I8,K8,M8,O8,Q8,S8,U8,W8,Y8,AA8)</f>
        <v>78</v>
      </c>
      <c r="AF8" s="64"/>
    </row>
    <row r="9" spans="2:32" ht="25.5" x14ac:dyDescent="0.25">
      <c r="B9" s="73"/>
      <c r="C9" s="73"/>
      <c r="D9" s="73"/>
      <c r="E9" s="4" t="s">
        <v>9</v>
      </c>
      <c r="F9" s="50">
        <v>0.05</v>
      </c>
      <c r="G9" s="16" t="s">
        <v>32</v>
      </c>
      <c r="H9" s="40">
        <v>0</v>
      </c>
      <c r="I9" s="33">
        <v>0</v>
      </c>
      <c r="J9" s="40">
        <v>0.05</v>
      </c>
      <c r="K9" s="1">
        <v>0</v>
      </c>
      <c r="L9" s="40">
        <v>0.05</v>
      </c>
      <c r="M9" s="13">
        <v>0</v>
      </c>
      <c r="N9" s="40">
        <v>0.05</v>
      </c>
      <c r="O9" s="13">
        <v>0</v>
      </c>
      <c r="P9" s="40">
        <v>0.05</v>
      </c>
      <c r="Q9" s="13" t="s">
        <v>95</v>
      </c>
      <c r="R9" s="40">
        <v>0</v>
      </c>
      <c r="S9" s="13"/>
      <c r="T9" s="18">
        <v>0</v>
      </c>
      <c r="U9" s="13"/>
      <c r="V9" s="18">
        <v>0</v>
      </c>
      <c r="W9" s="13"/>
      <c r="X9" s="18">
        <v>0</v>
      </c>
      <c r="Y9" s="13"/>
      <c r="Z9" s="18">
        <v>0</v>
      </c>
      <c r="AA9" s="13"/>
      <c r="AB9" s="18">
        <v>0</v>
      </c>
      <c r="AC9" s="13"/>
      <c r="AD9" s="18">
        <v>0</v>
      </c>
    </row>
    <row r="10" spans="2:32" ht="30" x14ac:dyDescent="0.25">
      <c r="B10" s="73"/>
      <c r="C10" s="73"/>
      <c r="D10" s="73"/>
      <c r="E10" s="4" t="s">
        <v>10</v>
      </c>
      <c r="F10" s="50">
        <v>0.05</v>
      </c>
      <c r="G10" s="16">
        <v>0</v>
      </c>
      <c r="H10" s="40">
        <v>0.05</v>
      </c>
      <c r="I10" s="33">
        <v>0</v>
      </c>
      <c r="J10" s="40">
        <v>0.05</v>
      </c>
      <c r="K10" s="40">
        <v>0</v>
      </c>
      <c r="L10" s="40">
        <v>0.05</v>
      </c>
      <c r="M10" s="13">
        <v>0</v>
      </c>
      <c r="N10" s="40">
        <v>0.05</v>
      </c>
      <c r="O10" s="13">
        <v>0</v>
      </c>
      <c r="P10" s="40">
        <v>0.05</v>
      </c>
      <c r="Q10" s="13">
        <v>0</v>
      </c>
      <c r="R10" s="40">
        <v>0.05</v>
      </c>
      <c r="S10" s="13">
        <v>0</v>
      </c>
      <c r="T10" s="40">
        <v>0.05</v>
      </c>
      <c r="U10" s="13">
        <v>0</v>
      </c>
      <c r="V10" s="40">
        <v>0.05</v>
      </c>
      <c r="W10" s="13">
        <v>0</v>
      </c>
      <c r="X10" s="40">
        <v>0.05</v>
      </c>
      <c r="Y10" s="13">
        <v>0</v>
      </c>
      <c r="Z10" s="40">
        <v>0.05</v>
      </c>
      <c r="AA10" s="13">
        <v>0</v>
      </c>
      <c r="AB10" s="40">
        <v>0.05</v>
      </c>
      <c r="AC10" s="13"/>
      <c r="AD10" s="18">
        <v>0</v>
      </c>
    </row>
    <row r="11" spans="2:32" x14ac:dyDescent="0.25">
      <c r="B11" s="73"/>
      <c r="C11" s="73"/>
      <c r="D11" s="73" t="s">
        <v>11</v>
      </c>
      <c r="E11" s="4" t="s">
        <v>22</v>
      </c>
      <c r="F11" s="50">
        <v>0.05</v>
      </c>
      <c r="G11" s="16">
        <v>3</v>
      </c>
      <c r="H11" s="40">
        <v>0.03</v>
      </c>
      <c r="I11" s="33" t="s">
        <v>54</v>
      </c>
      <c r="J11" s="40">
        <v>3.5000000000000003E-2</v>
      </c>
      <c r="K11" s="38">
        <v>3.5</v>
      </c>
      <c r="L11" s="40">
        <v>3.5000000000000003E-2</v>
      </c>
      <c r="M11" s="13">
        <v>3.5</v>
      </c>
      <c r="N11" s="40">
        <v>3.5000000000000003E-2</v>
      </c>
      <c r="O11" s="13">
        <v>3.5</v>
      </c>
      <c r="P11" s="40">
        <v>3.5000000000000003E-2</v>
      </c>
      <c r="Q11" s="13">
        <v>3.5</v>
      </c>
      <c r="R11" s="40">
        <v>3.5000000000000003E-2</v>
      </c>
      <c r="S11" s="13">
        <v>4</v>
      </c>
      <c r="T11" s="18">
        <v>0.04</v>
      </c>
      <c r="U11" s="13">
        <v>4</v>
      </c>
      <c r="V11" s="18">
        <v>0.04</v>
      </c>
      <c r="W11" s="13">
        <v>4</v>
      </c>
      <c r="X11" s="18">
        <v>0.04</v>
      </c>
      <c r="Y11" s="13">
        <v>4</v>
      </c>
      <c r="Z11" s="18">
        <v>0.04</v>
      </c>
      <c r="AA11" s="13">
        <v>4</v>
      </c>
      <c r="AB11" s="18">
        <v>0.04</v>
      </c>
      <c r="AC11" s="13"/>
      <c r="AD11" s="18">
        <v>0</v>
      </c>
    </row>
    <row r="12" spans="2:32" ht="30" x14ac:dyDescent="0.25">
      <c r="B12" s="73"/>
      <c r="C12" s="73"/>
      <c r="D12" s="73"/>
      <c r="E12" s="4" t="s">
        <v>12</v>
      </c>
      <c r="F12" s="50">
        <v>0.05</v>
      </c>
      <c r="G12" s="13">
        <v>4.5999999999999996</v>
      </c>
      <c r="H12" s="40">
        <v>4.5999999999999999E-2</v>
      </c>
      <c r="I12" s="33">
        <v>4.5999999999999996</v>
      </c>
      <c r="J12" s="40">
        <v>4.5999999999999999E-2</v>
      </c>
      <c r="K12" s="38">
        <v>4.3</v>
      </c>
      <c r="L12" s="40">
        <v>4.2999999999999997E-2</v>
      </c>
      <c r="M12" s="13">
        <v>3.6</v>
      </c>
      <c r="N12" s="40">
        <v>3.5999999999999997E-2</v>
      </c>
      <c r="O12" s="13">
        <v>3.6</v>
      </c>
      <c r="P12" s="40">
        <v>3.5999999999999997E-2</v>
      </c>
      <c r="Q12" s="13">
        <v>3.6</v>
      </c>
      <c r="R12" s="40">
        <v>3.5999999999999997E-2</v>
      </c>
      <c r="S12" s="13">
        <v>4</v>
      </c>
      <c r="T12" s="18">
        <v>0.04</v>
      </c>
      <c r="U12" s="13">
        <v>4</v>
      </c>
      <c r="V12" s="18">
        <v>0.04</v>
      </c>
      <c r="W12" s="13">
        <v>4</v>
      </c>
      <c r="X12" s="18">
        <v>0.04</v>
      </c>
      <c r="Y12" s="13">
        <v>4</v>
      </c>
      <c r="Z12" s="18">
        <v>0.04</v>
      </c>
      <c r="AA12" s="13">
        <v>4</v>
      </c>
      <c r="AB12" s="18">
        <v>0.04</v>
      </c>
      <c r="AC12" s="13"/>
      <c r="AD12" s="18">
        <v>0</v>
      </c>
    </row>
    <row r="13" spans="2:32" ht="25.5" x14ac:dyDescent="0.25">
      <c r="B13" s="73">
        <v>2</v>
      </c>
      <c r="C13" s="73" t="s">
        <v>13</v>
      </c>
      <c r="D13" s="73"/>
      <c r="E13" s="4" t="s">
        <v>14</v>
      </c>
      <c r="F13" s="50">
        <v>0.1</v>
      </c>
      <c r="G13" s="16">
        <v>2</v>
      </c>
      <c r="H13" s="40">
        <v>0</v>
      </c>
      <c r="I13" s="33">
        <v>1</v>
      </c>
      <c r="J13" s="40">
        <v>0</v>
      </c>
      <c r="K13" s="38">
        <v>0</v>
      </c>
      <c r="L13" s="40">
        <v>0.1</v>
      </c>
      <c r="M13" s="13" t="s">
        <v>86</v>
      </c>
      <c r="N13" s="40">
        <v>0</v>
      </c>
      <c r="O13" s="13" t="s">
        <v>87</v>
      </c>
      <c r="P13" s="40">
        <v>0</v>
      </c>
      <c r="Q13" s="13">
        <v>0</v>
      </c>
      <c r="R13" s="40">
        <v>0.1</v>
      </c>
      <c r="S13" s="13">
        <v>0</v>
      </c>
      <c r="T13" s="18">
        <v>0.1</v>
      </c>
      <c r="U13" s="13">
        <v>1</v>
      </c>
      <c r="V13" s="18">
        <v>0</v>
      </c>
      <c r="W13" s="13">
        <v>1</v>
      </c>
      <c r="X13" s="18">
        <v>0</v>
      </c>
      <c r="Y13" s="13">
        <v>1</v>
      </c>
      <c r="Z13" s="18">
        <v>0</v>
      </c>
      <c r="AA13" s="13">
        <v>1</v>
      </c>
      <c r="AB13" s="18">
        <v>0</v>
      </c>
      <c r="AC13" s="13"/>
      <c r="AD13" s="18">
        <v>0</v>
      </c>
    </row>
    <row r="14" spans="2:32" ht="30" x14ac:dyDescent="0.25">
      <c r="B14" s="73"/>
      <c r="C14" s="73"/>
      <c r="D14" s="73"/>
      <c r="E14" s="4" t="s">
        <v>23</v>
      </c>
      <c r="F14" s="50">
        <v>0.1</v>
      </c>
      <c r="G14" s="16" t="s">
        <v>33</v>
      </c>
      <c r="H14" s="50">
        <v>0.1</v>
      </c>
      <c r="I14" s="33" t="s">
        <v>59</v>
      </c>
      <c r="J14" s="50">
        <v>0.1</v>
      </c>
      <c r="K14" s="38">
        <v>1</v>
      </c>
      <c r="L14" s="50">
        <v>0.1</v>
      </c>
      <c r="M14" s="13">
        <v>1</v>
      </c>
      <c r="N14" s="50">
        <v>0.1</v>
      </c>
      <c r="O14" s="50">
        <v>0</v>
      </c>
      <c r="P14" s="50">
        <v>0.1</v>
      </c>
      <c r="Q14" s="50">
        <v>0</v>
      </c>
      <c r="R14" s="50">
        <v>0.1</v>
      </c>
      <c r="S14" s="13">
        <v>1</v>
      </c>
      <c r="T14" s="18">
        <v>0.1</v>
      </c>
      <c r="U14" s="13">
        <v>0</v>
      </c>
      <c r="V14" s="18">
        <v>0.1</v>
      </c>
      <c r="W14" s="96">
        <v>4</v>
      </c>
      <c r="X14" s="18">
        <v>0</v>
      </c>
      <c r="Y14" s="50">
        <v>0</v>
      </c>
      <c r="Z14" s="50">
        <v>0.1</v>
      </c>
      <c r="AA14" s="50">
        <v>0</v>
      </c>
      <c r="AB14" s="50">
        <v>0.1</v>
      </c>
      <c r="AC14" s="13"/>
      <c r="AD14" s="18">
        <v>0</v>
      </c>
    </row>
    <row r="15" spans="2:32" ht="75" x14ac:dyDescent="0.25">
      <c r="B15" s="1">
        <v>3</v>
      </c>
      <c r="C15" s="73" t="s">
        <v>15</v>
      </c>
      <c r="D15" s="73"/>
      <c r="E15" s="4" t="s">
        <v>24</v>
      </c>
      <c r="F15" s="50">
        <v>0.1</v>
      </c>
      <c r="G15" s="16" t="s">
        <v>34</v>
      </c>
      <c r="H15" s="40">
        <v>0</v>
      </c>
      <c r="I15" s="33" t="s">
        <v>60</v>
      </c>
      <c r="J15" s="40">
        <v>0</v>
      </c>
      <c r="K15" s="41" t="s">
        <v>71</v>
      </c>
      <c r="L15" s="40">
        <v>0</v>
      </c>
      <c r="M15" s="31" t="s">
        <v>92</v>
      </c>
      <c r="N15" s="40">
        <v>0</v>
      </c>
      <c r="O15" s="31" t="s">
        <v>92</v>
      </c>
      <c r="P15" s="40">
        <v>0</v>
      </c>
      <c r="Q15" s="31" t="s">
        <v>92</v>
      </c>
      <c r="R15" s="40">
        <v>0</v>
      </c>
      <c r="S15" s="31" t="s">
        <v>69</v>
      </c>
      <c r="T15" s="18">
        <v>0.1</v>
      </c>
      <c r="U15" s="31" t="s">
        <v>69</v>
      </c>
      <c r="V15" s="18">
        <v>0.1</v>
      </c>
      <c r="W15" s="31" t="s">
        <v>69</v>
      </c>
      <c r="X15" s="18">
        <v>0.1</v>
      </c>
      <c r="Y15" s="31" t="s">
        <v>69</v>
      </c>
      <c r="Z15" s="18">
        <v>0.1</v>
      </c>
      <c r="AA15" s="31" t="s">
        <v>69</v>
      </c>
      <c r="AB15" s="18">
        <v>0.1</v>
      </c>
      <c r="AC15" s="31"/>
      <c r="AD15" s="18">
        <v>0</v>
      </c>
    </row>
    <row r="16" spans="2:32" x14ac:dyDescent="0.25">
      <c r="B16" s="73">
        <v>4</v>
      </c>
      <c r="C16" s="73" t="s">
        <v>16</v>
      </c>
      <c r="D16" s="73"/>
      <c r="E16" s="4" t="s">
        <v>17</v>
      </c>
      <c r="F16" s="50">
        <v>0.2</v>
      </c>
      <c r="G16" s="16">
        <v>71</v>
      </c>
      <c r="H16" s="40">
        <f>((G16/100*100%)*20%)</f>
        <v>0.14199999999999999</v>
      </c>
      <c r="I16" s="33">
        <v>76</v>
      </c>
      <c r="J16" s="40">
        <f>((I16/100*100%)*20%)</f>
        <v>0.15200000000000002</v>
      </c>
      <c r="K16" s="38">
        <v>70</v>
      </c>
      <c r="L16" s="40">
        <f>((K16/100*100%)*20%)</f>
        <v>0.13999999999999999</v>
      </c>
      <c r="M16" s="13">
        <v>72</v>
      </c>
      <c r="N16" s="40">
        <f>((M16/75*100%)*20%)</f>
        <v>0.192</v>
      </c>
      <c r="O16" s="13">
        <v>71</v>
      </c>
      <c r="P16" s="40">
        <f>((O16/75*100%)*20%)</f>
        <v>0.18933333333333335</v>
      </c>
      <c r="Q16" s="13">
        <v>63</v>
      </c>
      <c r="R16" s="40">
        <f>((Q16/75*100%)*20%)</f>
        <v>0.16800000000000001</v>
      </c>
      <c r="S16" s="13">
        <v>66</v>
      </c>
      <c r="T16" s="18">
        <f>((S16/75*100%)*20%)</f>
        <v>0.17600000000000002</v>
      </c>
      <c r="U16" s="13">
        <v>54</v>
      </c>
      <c r="V16" s="18">
        <f>((U16/75*100%)*20%)</f>
        <v>0.14399999999999999</v>
      </c>
      <c r="W16" s="13">
        <v>73</v>
      </c>
      <c r="X16" s="18">
        <f>((W16/75*100%)*20%)</f>
        <v>0.19466666666666668</v>
      </c>
      <c r="Y16" s="13">
        <v>74</v>
      </c>
      <c r="Z16" s="18">
        <f>((Y16/75*100%)*20%)</f>
        <v>0.19733333333333336</v>
      </c>
      <c r="AA16" s="13">
        <v>80</v>
      </c>
      <c r="AB16" s="18">
        <f>((AA16/75*100%)*20%)</f>
        <v>0.21333333333333335</v>
      </c>
      <c r="AC16" s="13"/>
      <c r="AD16" s="18">
        <f>((AC16/75*100%)*20%)</f>
        <v>0</v>
      </c>
    </row>
    <row r="17" spans="2:30" x14ac:dyDescent="0.25">
      <c r="B17" s="73"/>
      <c r="C17" s="73"/>
      <c r="D17" s="73"/>
      <c r="E17" s="4" t="s">
        <v>18</v>
      </c>
      <c r="F17" s="50">
        <v>0.1</v>
      </c>
      <c r="G17" s="16">
        <f>8231/60</f>
        <v>137.18333333333334</v>
      </c>
      <c r="H17" s="40">
        <f>((G17/150*100%)*10%)</f>
        <v>9.1455555555555568E-2</v>
      </c>
      <c r="I17" s="33">
        <f>9569/60</f>
        <v>159.48333333333332</v>
      </c>
      <c r="J17" s="40">
        <f>((I17/150*100%)*10%)</f>
        <v>0.10632222222222221</v>
      </c>
      <c r="K17" s="38">
        <f>8441/60</f>
        <v>140.68333333333334</v>
      </c>
      <c r="L17" s="40">
        <f>((K17/150*100%)*10%)</f>
        <v>9.3788888888888894E-2</v>
      </c>
      <c r="M17" s="13">
        <v>129</v>
      </c>
      <c r="N17" s="40">
        <f>((M17/150*100%)*10%)</f>
        <v>8.6000000000000007E-2</v>
      </c>
      <c r="O17" s="13">
        <v>137</v>
      </c>
      <c r="P17" s="40">
        <f>((O17/150*100%)*10%)</f>
        <v>9.1333333333333336E-2</v>
      </c>
      <c r="Q17" s="13">
        <v>129</v>
      </c>
      <c r="R17" s="40">
        <f>((Q17/150*100%)*10%)</f>
        <v>8.6000000000000007E-2</v>
      </c>
      <c r="S17" s="13">
        <f>6587/60</f>
        <v>109.78333333333333</v>
      </c>
      <c r="T17" s="18">
        <f>((S17/150*100%)*10%)</f>
        <v>7.3188888888888901E-2</v>
      </c>
      <c r="U17" s="13">
        <f>6821/60</f>
        <v>113.68333333333334</v>
      </c>
      <c r="V17" s="18">
        <f>((U17/150*100%)*10%)</f>
        <v>7.5788888888888906E-2</v>
      </c>
      <c r="W17" s="13">
        <f>7281/60</f>
        <v>121.35</v>
      </c>
      <c r="X17" s="18">
        <f>((W17/150*100%)*10%)</f>
        <v>8.09E-2</v>
      </c>
      <c r="Y17" s="13">
        <f>7981/60</f>
        <v>133.01666666666668</v>
      </c>
      <c r="Z17" s="18">
        <f>((Y17/150*100%)*10%)</f>
        <v>8.86777777777778E-2</v>
      </c>
      <c r="AA17" s="13">
        <f>7132/60</f>
        <v>118.86666666666666</v>
      </c>
      <c r="AB17" s="18">
        <f>((AA17/150*100%)*10%)</f>
        <v>7.9244444444444451E-2</v>
      </c>
      <c r="AC17" s="13"/>
      <c r="AD17" s="18">
        <f>((AC17/150*100%)*10%)</f>
        <v>0</v>
      </c>
    </row>
    <row r="18" spans="2:30" x14ac:dyDescent="0.25">
      <c r="B18" s="73"/>
      <c r="C18" s="73"/>
      <c r="D18" s="73"/>
      <c r="E18" s="4" t="s">
        <v>19</v>
      </c>
      <c r="F18" s="50">
        <v>0.05</v>
      </c>
      <c r="G18" s="16">
        <v>24</v>
      </c>
      <c r="H18" s="40">
        <v>0.05</v>
      </c>
      <c r="I18" s="33">
        <v>26</v>
      </c>
      <c r="J18" s="40">
        <v>0.05</v>
      </c>
      <c r="K18" s="38">
        <v>24</v>
      </c>
      <c r="L18" s="40">
        <f>((24/24*100%)*5%)</f>
        <v>0.05</v>
      </c>
      <c r="M18" s="13">
        <v>21</v>
      </c>
      <c r="N18" s="40">
        <f>((M18/23*100%)*5%)</f>
        <v>4.5652173913043478E-2</v>
      </c>
      <c r="O18" s="13">
        <v>23</v>
      </c>
      <c r="P18" s="40">
        <f>((O18/23*100%)*5%)</f>
        <v>0.05</v>
      </c>
      <c r="Q18" s="13">
        <v>23</v>
      </c>
      <c r="R18" s="40">
        <f>((Q18/25*100%)*5%)</f>
        <v>4.6000000000000006E-2</v>
      </c>
      <c r="S18" s="13">
        <v>26</v>
      </c>
      <c r="T18" s="18">
        <f>((S18/24*100%)*5%)</f>
        <v>5.4166666666666669E-2</v>
      </c>
      <c r="U18" s="13">
        <v>24</v>
      </c>
      <c r="V18" s="18">
        <f>((U18/24*100%)*5%)</f>
        <v>0.05</v>
      </c>
      <c r="W18" s="13">
        <v>24</v>
      </c>
      <c r="X18" s="18">
        <f>((W18/24*100%)*5%)</f>
        <v>0.05</v>
      </c>
      <c r="Y18" s="13">
        <v>26</v>
      </c>
      <c r="Z18" s="18">
        <f>((Y18/24*100%)*5%)</f>
        <v>5.4166666666666669E-2</v>
      </c>
      <c r="AA18" s="13">
        <v>24</v>
      </c>
      <c r="AB18" s="18">
        <f>((AA18/24*100%)*5%)</f>
        <v>0.05</v>
      </c>
      <c r="AC18" s="13"/>
      <c r="AD18" s="18">
        <f>((AC18/24*100%)*5%)</f>
        <v>0</v>
      </c>
    </row>
    <row r="19" spans="2:30" x14ac:dyDescent="0.25">
      <c r="B19" s="81" t="s">
        <v>25</v>
      </c>
      <c r="C19" s="81"/>
      <c r="D19" s="81"/>
      <c r="E19" s="81"/>
      <c r="F19" s="52">
        <f>SUM(F6:F18)</f>
        <v>0.99999999999999989</v>
      </c>
      <c r="G19" s="11"/>
      <c r="H19" s="27">
        <f>SUM(H6:H18)</f>
        <v>0.50945555555555555</v>
      </c>
      <c r="I19" s="11"/>
      <c r="J19" s="27">
        <f>SUM(J6:J18)</f>
        <v>0.63932222222222235</v>
      </c>
      <c r="K19" s="11"/>
      <c r="L19" s="27">
        <f>SUM(L6:L18)</f>
        <v>0.66178888888888898</v>
      </c>
      <c r="M19" s="39"/>
      <c r="N19" s="27">
        <f>SUM(N6:N18)</f>
        <v>0.64465217391304352</v>
      </c>
      <c r="O19" s="39"/>
      <c r="P19" s="27">
        <f>SUM(P6:P18)</f>
        <v>0.65166666666666684</v>
      </c>
      <c r="Q19" s="39"/>
      <c r="R19" s="27">
        <f>SUM(R6:R18)</f>
        <v>0.72100000000000009</v>
      </c>
      <c r="S19" s="39"/>
      <c r="T19" s="26">
        <f>SUM(T6:T18)</f>
        <v>0.83335555555555563</v>
      </c>
      <c r="U19" s="39"/>
      <c r="V19" s="26">
        <f>SUM(V6:V18)</f>
        <v>0.74978888888888895</v>
      </c>
      <c r="W19" s="39"/>
      <c r="X19" s="26">
        <f>SUM(X6:X18)</f>
        <v>0.70556666666666668</v>
      </c>
      <c r="Y19" s="39"/>
      <c r="Z19" s="26">
        <f>SUM(Z6:Z18)</f>
        <v>0.82017777777777789</v>
      </c>
      <c r="AA19" s="39"/>
      <c r="AB19" s="26">
        <f>SUM(AB6:AB18)</f>
        <v>0.82257777777777785</v>
      </c>
      <c r="AC19" s="39"/>
      <c r="AD19" s="26">
        <f>SUM(AD6:AD18)</f>
        <v>0</v>
      </c>
    </row>
  </sheetData>
  <mergeCells count="28">
    <mergeCell ref="B16:B18"/>
    <mergeCell ref="C16:D18"/>
    <mergeCell ref="B19:E19"/>
    <mergeCell ref="B6:B12"/>
    <mergeCell ref="C6:C12"/>
    <mergeCell ref="D6:D7"/>
    <mergeCell ref="D8:D10"/>
    <mergeCell ref="D11:D12"/>
    <mergeCell ref="B13:B14"/>
    <mergeCell ref="C13:D14"/>
    <mergeCell ref="C15:D15"/>
    <mergeCell ref="M4:N4"/>
    <mergeCell ref="O4:P4"/>
    <mergeCell ref="Q4:R4"/>
    <mergeCell ref="B4:B5"/>
    <mergeCell ref="C4:C5"/>
    <mergeCell ref="D4:D5"/>
    <mergeCell ref="E4:E5"/>
    <mergeCell ref="F4:F5"/>
    <mergeCell ref="K4:L4"/>
    <mergeCell ref="I4:J4"/>
    <mergeCell ref="G4:H4"/>
    <mergeCell ref="AC4:AD4"/>
    <mergeCell ref="S4:T4"/>
    <mergeCell ref="U4:V4"/>
    <mergeCell ref="W4:X4"/>
    <mergeCell ref="Y4:Z4"/>
    <mergeCell ref="AA4:AB4"/>
  </mergeCells>
  <pageMargins left="0.36" right="0.39" top="0.59" bottom="0.55000000000000004" header="0.3" footer="0.3"/>
  <pageSetup scale="75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1922-8803-4DE8-B080-80FAAA511CD6}">
  <dimension ref="B3:AE18"/>
  <sheetViews>
    <sheetView topLeftCell="U1" workbookViewId="0">
      <selection activeCell="AE7" sqref="AE7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7" customWidth="1"/>
    <col min="8" max="8" width="11.42578125" style="20" customWidth="1"/>
    <col min="9" max="9" width="11.42578125" customWidth="1"/>
    <col min="10" max="10" width="10.85546875" customWidth="1"/>
    <col min="11" max="11" width="11.42578125" customWidth="1"/>
    <col min="12" max="12" width="10.85546875" customWidth="1"/>
    <col min="13" max="13" width="11.42578125" bestFit="1" customWidth="1"/>
    <col min="14" max="14" width="10.85546875" bestFit="1" customWidth="1"/>
    <col min="15" max="15" width="11.140625" bestFit="1" customWidth="1"/>
    <col min="16" max="16" width="10.85546875" bestFit="1" customWidth="1"/>
    <col min="17" max="17" width="11.140625" bestFit="1" customWidth="1"/>
    <col min="19" max="30" width="9.140625" customWidth="1"/>
  </cols>
  <sheetData>
    <row r="3" spans="2:31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28</v>
      </c>
      <c r="H3" s="67"/>
      <c r="I3" s="67" t="s">
        <v>52</v>
      </c>
      <c r="J3" s="67"/>
      <c r="K3" s="67" t="s">
        <v>67</v>
      </c>
      <c r="L3" s="67"/>
      <c r="M3" s="67" t="s">
        <v>81</v>
      </c>
      <c r="N3" s="67"/>
      <c r="O3" s="67" t="s">
        <v>84</v>
      </c>
      <c r="P3" s="67"/>
      <c r="Q3" s="67" t="s">
        <v>85</v>
      </c>
      <c r="R3" s="67"/>
      <c r="S3" s="67" t="s">
        <v>117</v>
      </c>
      <c r="T3" s="67"/>
      <c r="U3" s="67" t="s">
        <v>118</v>
      </c>
      <c r="V3" s="67"/>
      <c r="W3" s="67" t="s">
        <v>119</v>
      </c>
      <c r="X3" s="67"/>
      <c r="Y3" s="67" t="s">
        <v>120</v>
      </c>
      <c r="Z3" s="67"/>
      <c r="AA3" s="67" t="s">
        <v>121</v>
      </c>
      <c r="AB3" s="67"/>
      <c r="AC3" s="67" t="s">
        <v>122</v>
      </c>
      <c r="AD3" s="67"/>
    </row>
    <row r="4" spans="2:31" x14ac:dyDescent="0.25">
      <c r="B4" s="69"/>
      <c r="C4" s="69"/>
      <c r="D4" s="69"/>
      <c r="E4" s="69"/>
      <c r="F4" s="69"/>
      <c r="G4" s="7" t="s">
        <v>29</v>
      </c>
      <c r="H4" s="17" t="s">
        <v>30</v>
      </c>
      <c r="I4" s="7" t="s">
        <v>29</v>
      </c>
      <c r="J4" s="17" t="s">
        <v>30</v>
      </c>
      <c r="K4" s="7" t="s">
        <v>29</v>
      </c>
      <c r="L4" s="1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  <c r="AA4" s="7" t="s">
        <v>29</v>
      </c>
      <c r="AB4" s="17" t="s">
        <v>30</v>
      </c>
      <c r="AC4" s="7" t="s">
        <v>29</v>
      </c>
      <c r="AD4" s="17" t="s">
        <v>30</v>
      </c>
    </row>
    <row r="5" spans="2:31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13">
        <v>0</v>
      </c>
      <c r="H5" s="30">
        <v>0.05</v>
      </c>
      <c r="I5" s="31">
        <v>19</v>
      </c>
      <c r="J5" s="19">
        <v>0</v>
      </c>
      <c r="K5" s="43">
        <v>9</v>
      </c>
      <c r="L5" s="19">
        <v>0</v>
      </c>
      <c r="M5" s="13">
        <v>3</v>
      </c>
      <c r="N5" s="18">
        <v>0.05</v>
      </c>
      <c r="O5" s="13">
        <v>1</v>
      </c>
      <c r="P5" s="18">
        <v>0.05</v>
      </c>
      <c r="Q5" s="13">
        <v>0</v>
      </c>
      <c r="R5" s="18">
        <v>0.05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>
        <v>0</v>
      </c>
      <c r="Z5" s="18">
        <v>0.05</v>
      </c>
      <c r="AA5" s="13">
        <v>0</v>
      </c>
      <c r="AB5" s="18">
        <v>0.05</v>
      </c>
      <c r="AC5" s="13"/>
      <c r="AD5" s="18">
        <v>0</v>
      </c>
    </row>
    <row r="6" spans="2:31" ht="63.75" x14ac:dyDescent="0.25">
      <c r="B6" s="73"/>
      <c r="C6" s="73"/>
      <c r="D6" s="73"/>
      <c r="E6" s="3" t="s">
        <v>20</v>
      </c>
      <c r="F6" s="8">
        <v>0.05</v>
      </c>
      <c r="G6" s="13" t="s">
        <v>35</v>
      </c>
      <c r="H6" s="30">
        <v>0.05</v>
      </c>
      <c r="I6" s="31" t="s">
        <v>61</v>
      </c>
      <c r="J6" s="19">
        <v>0</v>
      </c>
      <c r="K6" s="43">
        <v>9</v>
      </c>
      <c r="L6" s="19">
        <v>0</v>
      </c>
      <c r="M6" s="13" t="s">
        <v>97</v>
      </c>
      <c r="N6" s="18">
        <v>0</v>
      </c>
      <c r="O6" s="13" t="s">
        <v>97</v>
      </c>
      <c r="P6" s="18">
        <v>0</v>
      </c>
      <c r="Q6" s="13" t="s">
        <v>97</v>
      </c>
      <c r="R6" s="18">
        <v>0</v>
      </c>
      <c r="S6" s="13" t="s">
        <v>97</v>
      </c>
      <c r="T6" s="18">
        <v>0</v>
      </c>
      <c r="U6" s="13" t="s">
        <v>97</v>
      </c>
      <c r="V6" s="18">
        <v>0</v>
      </c>
      <c r="W6" s="13" t="s">
        <v>97</v>
      </c>
      <c r="X6" s="18">
        <v>0</v>
      </c>
      <c r="Y6" s="13" t="s">
        <v>97</v>
      </c>
      <c r="Z6" s="18">
        <v>0</v>
      </c>
      <c r="AA6" s="13" t="s">
        <v>97</v>
      </c>
      <c r="AB6" s="18">
        <v>0</v>
      </c>
      <c r="AC6" s="13"/>
      <c r="AD6" s="18">
        <v>0</v>
      </c>
    </row>
    <row r="7" spans="2:31" ht="30" x14ac:dyDescent="0.25">
      <c r="B7" s="73"/>
      <c r="C7" s="73"/>
      <c r="D7" s="73" t="s">
        <v>8</v>
      </c>
      <c r="E7" s="4" t="s">
        <v>21</v>
      </c>
      <c r="F7" s="8">
        <v>0.05</v>
      </c>
      <c r="G7" s="13">
        <v>10</v>
      </c>
      <c r="H7" s="30">
        <v>0</v>
      </c>
      <c r="I7" s="31">
        <v>7</v>
      </c>
      <c r="J7" s="19">
        <v>0.05</v>
      </c>
      <c r="K7" s="43">
        <v>6</v>
      </c>
      <c r="L7" s="19">
        <v>0.05</v>
      </c>
      <c r="M7" s="13">
        <v>13</v>
      </c>
      <c r="N7" s="19">
        <v>0</v>
      </c>
      <c r="O7" s="13">
        <v>9</v>
      </c>
      <c r="P7" s="19">
        <v>0</v>
      </c>
      <c r="Q7" s="13">
        <v>4</v>
      </c>
      <c r="R7" s="19">
        <v>0.05</v>
      </c>
      <c r="S7" s="13">
        <v>10</v>
      </c>
      <c r="T7" s="19">
        <v>0</v>
      </c>
      <c r="U7" s="13">
        <v>10</v>
      </c>
      <c r="V7" s="19">
        <v>0</v>
      </c>
      <c r="W7" s="13">
        <v>0</v>
      </c>
      <c r="X7" s="19">
        <v>0.05</v>
      </c>
      <c r="Y7" s="13">
        <v>0</v>
      </c>
      <c r="Z7" s="19">
        <v>0.05</v>
      </c>
      <c r="AA7" s="13">
        <v>0</v>
      </c>
      <c r="AB7" s="19">
        <v>0.05</v>
      </c>
      <c r="AC7" s="13"/>
      <c r="AD7" s="19">
        <v>0</v>
      </c>
      <c r="AE7" s="98">
        <f>SUM(G7,I7,K7,M7,O7,Q7,S7,U7,W7,Y7,AA7)</f>
        <v>69</v>
      </c>
    </row>
    <row r="8" spans="2:31" ht="30" x14ac:dyDescent="0.25">
      <c r="B8" s="73"/>
      <c r="C8" s="73"/>
      <c r="D8" s="73"/>
      <c r="E8" s="5" t="s">
        <v>9</v>
      </c>
      <c r="F8" s="8">
        <v>0.05</v>
      </c>
      <c r="G8" s="13">
        <v>0</v>
      </c>
      <c r="H8" s="29">
        <v>0.05</v>
      </c>
      <c r="I8" s="31">
        <v>0</v>
      </c>
      <c r="J8" s="18">
        <v>0.05</v>
      </c>
      <c r="K8" s="42" t="s">
        <v>72</v>
      </c>
      <c r="L8" s="18">
        <v>0</v>
      </c>
      <c r="M8" s="13">
        <v>0</v>
      </c>
      <c r="N8" s="18">
        <v>0.05</v>
      </c>
      <c r="O8" s="13">
        <v>0</v>
      </c>
      <c r="P8" s="18">
        <v>0.05</v>
      </c>
      <c r="Q8" s="13">
        <v>0</v>
      </c>
      <c r="R8" s="18">
        <v>0.05</v>
      </c>
      <c r="S8" s="13">
        <v>0</v>
      </c>
      <c r="T8" s="18">
        <v>0.05</v>
      </c>
      <c r="U8" s="13">
        <v>0</v>
      </c>
      <c r="V8" s="18">
        <v>0.05</v>
      </c>
      <c r="W8" s="13">
        <v>0</v>
      </c>
      <c r="X8" s="18">
        <v>0.05</v>
      </c>
      <c r="Y8" s="13">
        <v>0</v>
      </c>
      <c r="Z8" s="18">
        <v>0.05</v>
      </c>
      <c r="AA8" s="13" t="s">
        <v>133</v>
      </c>
      <c r="AB8" s="18">
        <v>0</v>
      </c>
      <c r="AC8" s="13"/>
      <c r="AD8" s="18">
        <v>0</v>
      </c>
    </row>
    <row r="9" spans="2:31" x14ac:dyDescent="0.25">
      <c r="B9" s="73"/>
      <c r="C9" s="73"/>
      <c r="D9" s="73"/>
      <c r="E9" s="4" t="s">
        <v>10</v>
      </c>
      <c r="F9" s="8">
        <v>0.05</v>
      </c>
      <c r="G9" s="13">
        <v>0</v>
      </c>
      <c r="H9" s="29">
        <v>0.05</v>
      </c>
      <c r="I9" s="31">
        <v>0</v>
      </c>
      <c r="J9" s="18">
        <v>0.05</v>
      </c>
      <c r="K9" s="43">
        <v>0</v>
      </c>
      <c r="L9" s="18">
        <v>0.05</v>
      </c>
      <c r="M9" s="13">
        <v>0</v>
      </c>
      <c r="N9" s="18">
        <v>0.05</v>
      </c>
      <c r="O9" s="13">
        <v>0</v>
      </c>
      <c r="P9" s="18">
        <v>0.05</v>
      </c>
      <c r="Q9" s="13">
        <v>0</v>
      </c>
      <c r="R9" s="18">
        <v>0.05</v>
      </c>
      <c r="S9" s="13">
        <v>0</v>
      </c>
      <c r="T9" s="18">
        <v>0.05</v>
      </c>
      <c r="U9" s="13">
        <v>0</v>
      </c>
      <c r="V9" s="18">
        <v>0.05</v>
      </c>
      <c r="W9" s="13">
        <v>0</v>
      </c>
      <c r="X9" s="18">
        <v>0.05</v>
      </c>
      <c r="Y9" s="13">
        <v>0</v>
      </c>
      <c r="Z9" s="18">
        <v>0.05</v>
      </c>
      <c r="AA9" s="13">
        <v>0</v>
      </c>
      <c r="AB9" s="18">
        <v>0.05</v>
      </c>
      <c r="AC9" s="13"/>
      <c r="AD9" s="18">
        <v>0</v>
      </c>
    </row>
    <row r="10" spans="2:31" x14ac:dyDescent="0.25">
      <c r="B10" s="73"/>
      <c r="C10" s="73"/>
      <c r="D10" s="78" t="s">
        <v>11</v>
      </c>
      <c r="E10" s="4" t="s">
        <v>22</v>
      </c>
      <c r="F10" s="8">
        <v>0.05</v>
      </c>
      <c r="G10" s="13">
        <v>4</v>
      </c>
      <c r="H10" s="29">
        <v>0.04</v>
      </c>
      <c r="I10" s="31">
        <v>4</v>
      </c>
      <c r="J10" s="18">
        <v>0.04</v>
      </c>
      <c r="K10" s="43">
        <v>4</v>
      </c>
      <c r="L10" s="18">
        <v>0.04</v>
      </c>
      <c r="M10" s="43">
        <v>4</v>
      </c>
      <c r="N10" s="18">
        <v>0.04</v>
      </c>
      <c r="O10" s="43">
        <v>4</v>
      </c>
      <c r="P10" s="18">
        <v>0.04</v>
      </c>
      <c r="Q10" s="43">
        <v>4</v>
      </c>
      <c r="R10" s="18">
        <v>0.04</v>
      </c>
      <c r="S10" s="13">
        <v>4</v>
      </c>
      <c r="T10" s="18">
        <v>0.04</v>
      </c>
      <c r="U10" s="13">
        <v>4</v>
      </c>
      <c r="V10" s="18">
        <v>0.04</v>
      </c>
      <c r="W10" s="13">
        <v>4</v>
      </c>
      <c r="X10" s="18">
        <v>0.04</v>
      </c>
      <c r="Y10" s="13">
        <v>4</v>
      </c>
      <c r="Z10" s="18">
        <v>0.04</v>
      </c>
      <c r="AA10" s="13">
        <v>4</v>
      </c>
      <c r="AB10" s="18">
        <v>0.04</v>
      </c>
      <c r="AC10" s="13"/>
      <c r="AD10" s="18">
        <v>0</v>
      </c>
    </row>
    <row r="11" spans="2:31" x14ac:dyDescent="0.25">
      <c r="B11" s="73"/>
      <c r="C11" s="73"/>
      <c r="D11" s="79"/>
      <c r="E11" s="5" t="s">
        <v>12</v>
      </c>
      <c r="F11" s="8">
        <v>0.05</v>
      </c>
      <c r="G11" s="13">
        <v>4.5999999999999996</v>
      </c>
      <c r="H11" s="29">
        <v>4.5999999999999999E-2</v>
      </c>
      <c r="I11" s="31">
        <v>4.5999999999999996</v>
      </c>
      <c r="J11" s="18">
        <v>4.5999999999999999E-2</v>
      </c>
      <c r="K11" s="43">
        <v>4.3</v>
      </c>
      <c r="L11" s="18">
        <v>4.2999999999999997E-2</v>
      </c>
      <c r="M11" s="13">
        <v>4.5999999999999996</v>
      </c>
      <c r="N11" s="18">
        <v>4.5999999999999999E-2</v>
      </c>
      <c r="O11" s="13">
        <v>4.5999999999999996</v>
      </c>
      <c r="P11" s="18">
        <v>4.5999999999999999E-2</v>
      </c>
      <c r="Q11" s="13">
        <v>4.5999999999999996</v>
      </c>
      <c r="R11" s="18">
        <v>4.5999999999999999E-2</v>
      </c>
      <c r="S11" s="13">
        <v>4</v>
      </c>
      <c r="T11" s="18">
        <v>0.04</v>
      </c>
      <c r="U11" s="13">
        <v>4</v>
      </c>
      <c r="V11" s="18">
        <v>0.04</v>
      </c>
      <c r="W11" s="13">
        <v>4</v>
      </c>
      <c r="X11" s="18">
        <v>0.04</v>
      </c>
      <c r="Y11" s="13">
        <v>4</v>
      </c>
      <c r="Z11" s="18">
        <v>0.04</v>
      </c>
      <c r="AA11" s="13">
        <v>4</v>
      </c>
      <c r="AB11" s="18">
        <v>0.04</v>
      </c>
      <c r="AC11" s="13"/>
      <c r="AD11" s="18">
        <v>0</v>
      </c>
    </row>
    <row r="12" spans="2:31" ht="30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13">
        <v>2</v>
      </c>
      <c r="H12" s="30">
        <v>0</v>
      </c>
      <c r="I12" s="31">
        <v>2</v>
      </c>
      <c r="J12" s="19">
        <v>0</v>
      </c>
      <c r="K12" s="43" t="s">
        <v>73</v>
      </c>
      <c r="L12" s="19">
        <v>0</v>
      </c>
      <c r="M12" s="13">
        <v>0</v>
      </c>
      <c r="N12" s="18">
        <v>0.1</v>
      </c>
      <c r="O12" s="13">
        <v>0</v>
      </c>
      <c r="P12" s="18">
        <v>0.1</v>
      </c>
      <c r="Q12" s="13">
        <v>0</v>
      </c>
      <c r="R12" s="18">
        <v>0.1</v>
      </c>
      <c r="S12" s="13">
        <v>2</v>
      </c>
      <c r="T12" s="18">
        <v>0</v>
      </c>
      <c r="U12" s="13">
        <v>0</v>
      </c>
      <c r="V12" s="18">
        <v>0.1</v>
      </c>
      <c r="W12" s="13">
        <v>1</v>
      </c>
      <c r="X12" s="18">
        <v>0</v>
      </c>
      <c r="Y12" s="13">
        <v>0</v>
      </c>
      <c r="Z12" s="18">
        <v>0.1</v>
      </c>
      <c r="AA12" s="13">
        <v>1</v>
      </c>
      <c r="AB12" s="18">
        <v>0</v>
      </c>
      <c r="AC12" s="13"/>
      <c r="AD12" s="18">
        <v>0</v>
      </c>
    </row>
    <row r="13" spans="2:31" x14ac:dyDescent="0.25">
      <c r="B13" s="73"/>
      <c r="C13" s="76"/>
      <c r="D13" s="77"/>
      <c r="E13" s="4" t="s">
        <v>23</v>
      </c>
      <c r="F13" s="8">
        <v>0.1</v>
      </c>
      <c r="G13" s="13" t="s">
        <v>36</v>
      </c>
      <c r="H13" s="8">
        <v>0.1</v>
      </c>
      <c r="I13" s="31">
        <v>2</v>
      </c>
      <c r="J13" s="32">
        <v>0.1</v>
      </c>
      <c r="K13" s="43">
        <v>2</v>
      </c>
      <c r="L13" s="32">
        <v>0.1</v>
      </c>
      <c r="M13" s="13">
        <v>1</v>
      </c>
      <c r="N13" s="18">
        <v>0.1</v>
      </c>
      <c r="O13" s="13">
        <v>1</v>
      </c>
      <c r="P13" s="18">
        <v>0.1</v>
      </c>
      <c r="Q13" s="13">
        <v>0</v>
      </c>
      <c r="R13" s="18">
        <v>0.1</v>
      </c>
      <c r="S13" s="13">
        <v>2</v>
      </c>
      <c r="T13" s="18">
        <v>0.1</v>
      </c>
      <c r="U13" s="13">
        <v>1</v>
      </c>
      <c r="V13" s="18">
        <v>0.1</v>
      </c>
      <c r="W13" s="13">
        <v>1</v>
      </c>
      <c r="X13" s="18">
        <v>0.1</v>
      </c>
      <c r="Y13" s="13">
        <v>0</v>
      </c>
      <c r="Z13" s="18">
        <v>0.1</v>
      </c>
      <c r="AA13" s="96">
        <v>3</v>
      </c>
      <c r="AB13" s="18">
        <v>0.1</v>
      </c>
      <c r="AC13" s="13"/>
      <c r="AD13" s="18">
        <v>0</v>
      </c>
    </row>
    <row r="14" spans="2:31" ht="4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3" t="s">
        <v>37</v>
      </c>
      <c r="H14" s="30">
        <v>0.1</v>
      </c>
      <c r="I14" s="31" t="s">
        <v>62</v>
      </c>
      <c r="J14" s="19">
        <v>0.1</v>
      </c>
      <c r="K14" s="43" t="s">
        <v>69</v>
      </c>
      <c r="L14" s="19">
        <v>0.1</v>
      </c>
      <c r="M14" s="31" t="s">
        <v>69</v>
      </c>
      <c r="N14" s="19">
        <v>0.1</v>
      </c>
      <c r="O14" s="31" t="s">
        <v>69</v>
      </c>
      <c r="P14" s="19">
        <v>0.1</v>
      </c>
      <c r="Q14" s="31" t="s">
        <v>69</v>
      </c>
      <c r="R14" s="19">
        <v>0.1</v>
      </c>
      <c r="S14" s="31" t="s">
        <v>69</v>
      </c>
      <c r="T14" s="18">
        <v>0.1</v>
      </c>
      <c r="U14" s="31" t="s">
        <v>69</v>
      </c>
      <c r="V14" s="18">
        <v>0.1</v>
      </c>
      <c r="W14" s="31" t="s">
        <v>69</v>
      </c>
      <c r="X14" s="18">
        <v>0.1</v>
      </c>
      <c r="Y14" s="31" t="s">
        <v>69</v>
      </c>
      <c r="Z14" s="18">
        <v>0.1</v>
      </c>
      <c r="AA14" s="31" t="s">
        <v>69</v>
      </c>
      <c r="AB14" s="18">
        <v>0.1</v>
      </c>
      <c r="AC14" s="31"/>
      <c r="AD14" s="18">
        <v>0</v>
      </c>
    </row>
    <row r="15" spans="2:31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13">
        <v>78</v>
      </c>
      <c r="H15" s="29">
        <f>((G15/100*100%)*20%)</f>
        <v>0.15600000000000003</v>
      </c>
      <c r="I15" s="31">
        <v>78</v>
      </c>
      <c r="J15" s="18">
        <f>((I15/100*100%)*20%)</f>
        <v>0.15600000000000003</v>
      </c>
      <c r="K15" s="43">
        <v>71</v>
      </c>
      <c r="L15" s="18">
        <f>((K15/75*100%)*20%)</f>
        <v>0.18933333333333335</v>
      </c>
      <c r="M15" s="13">
        <v>72</v>
      </c>
      <c r="N15" s="18">
        <f>((M15/75*100%)*20%)</f>
        <v>0.192</v>
      </c>
      <c r="O15" s="13">
        <v>71</v>
      </c>
      <c r="P15" s="18">
        <f>((O15/75*100%)*20%)</f>
        <v>0.18933333333333335</v>
      </c>
      <c r="Q15" s="13">
        <v>69</v>
      </c>
      <c r="R15" s="18">
        <f>((Q15/75*100%)*20%)</f>
        <v>0.18400000000000002</v>
      </c>
      <c r="S15" s="13">
        <v>64</v>
      </c>
      <c r="T15" s="18">
        <f>((S15/75*100%)*20%)</f>
        <v>0.17066666666666669</v>
      </c>
      <c r="U15" s="13">
        <v>64</v>
      </c>
      <c r="V15" s="18">
        <f>((U15/75*100%)*20%)</f>
        <v>0.17066666666666669</v>
      </c>
      <c r="W15" s="13">
        <v>65</v>
      </c>
      <c r="X15" s="18">
        <f>((W15/75*100%)*20%)</f>
        <v>0.17333333333333334</v>
      </c>
      <c r="Y15" s="13">
        <v>56</v>
      </c>
      <c r="Z15" s="18">
        <f>((Y15/75*100%)*20%)</f>
        <v>0.14933333333333335</v>
      </c>
      <c r="AA15" s="13">
        <v>75</v>
      </c>
      <c r="AB15" s="18">
        <f>((AA15/75*100%)*20%)</f>
        <v>0.2</v>
      </c>
      <c r="AC15" s="13"/>
      <c r="AD15" s="18">
        <f>((AC15/75*100%)*20%)</f>
        <v>0</v>
      </c>
    </row>
    <row r="16" spans="2:31" x14ac:dyDescent="0.25">
      <c r="B16" s="73"/>
      <c r="C16" s="76"/>
      <c r="D16" s="77"/>
      <c r="E16" s="5" t="s">
        <v>18</v>
      </c>
      <c r="F16" s="8">
        <v>0.1</v>
      </c>
      <c r="G16" s="13">
        <f>9654/60</f>
        <v>160.9</v>
      </c>
      <c r="H16" s="30">
        <v>0.1</v>
      </c>
      <c r="I16" s="31">
        <f>10664/60</f>
        <v>177.73333333333332</v>
      </c>
      <c r="J16" s="19">
        <v>0.1</v>
      </c>
      <c r="K16" s="43">
        <f>8323/60</f>
        <v>138.71666666666667</v>
      </c>
      <c r="L16" s="19">
        <f>((K16/150*100%)*10%)</f>
        <v>9.2477777777777784E-2</v>
      </c>
      <c r="M16" s="13">
        <v>132</v>
      </c>
      <c r="N16" s="18">
        <f>((M16/150*100%)*10%)</f>
        <v>8.8000000000000009E-2</v>
      </c>
      <c r="O16" s="13">
        <v>135</v>
      </c>
      <c r="P16" s="18">
        <f>((O16/150*100%)*10%)</f>
        <v>9.0000000000000011E-2</v>
      </c>
      <c r="Q16" s="13">
        <v>143</v>
      </c>
      <c r="R16" s="18">
        <f>((Q16/150*100%)*10%)</f>
        <v>9.5333333333333339E-2</v>
      </c>
      <c r="S16" s="13">
        <f>7131/60</f>
        <v>118.85</v>
      </c>
      <c r="T16" s="18">
        <f>((S16/150*100%)*10%)</f>
        <v>7.9233333333333336E-2</v>
      </c>
      <c r="U16" s="13">
        <f>8196/60</f>
        <v>136.6</v>
      </c>
      <c r="V16" s="18">
        <f>((U16/150*100%)*10%)</f>
        <v>9.1066666666666671E-2</v>
      </c>
      <c r="W16" s="13">
        <f>10895/60</f>
        <v>181.58333333333334</v>
      </c>
      <c r="X16" s="18">
        <f>((W16/150*100%)*10%)</f>
        <v>0.12105555555555557</v>
      </c>
      <c r="Y16" s="13">
        <f>6858/60</f>
        <v>114.3</v>
      </c>
      <c r="Z16" s="18">
        <f>((Y16/150*100%)*10%)</f>
        <v>7.6200000000000004E-2</v>
      </c>
      <c r="AA16" s="13">
        <f>9028/60</f>
        <v>150.46666666666667</v>
      </c>
      <c r="AB16" s="18">
        <f>((AA16/150*100%)*10%)</f>
        <v>0.10031111111111111</v>
      </c>
      <c r="AC16" s="13"/>
      <c r="AD16" s="18">
        <f>((AC16/150*100%)*10%)</f>
        <v>0</v>
      </c>
    </row>
    <row r="17" spans="2:30" x14ac:dyDescent="0.25">
      <c r="B17" s="78"/>
      <c r="C17" s="76"/>
      <c r="D17" s="77"/>
      <c r="E17" s="6" t="s">
        <v>19</v>
      </c>
      <c r="F17" s="9">
        <v>0.05</v>
      </c>
      <c r="G17" s="13">
        <v>24</v>
      </c>
      <c r="H17" s="29">
        <v>0.05</v>
      </c>
      <c r="I17" s="31">
        <v>24</v>
      </c>
      <c r="J17" s="18">
        <v>0.05</v>
      </c>
      <c r="K17" s="43">
        <v>23</v>
      </c>
      <c r="L17" s="18">
        <f>((23/24*100%)*5%)</f>
        <v>4.791666666666667E-2</v>
      </c>
      <c r="M17" s="13">
        <v>21</v>
      </c>
      <c r="N17" s="18">
        <f>((M17/23*100%)*5%)</f>
        <v>4.5652173913043478E-2</v>
      </c>
      <c r="O17" s="13">
        <v>24</v>
      </c>
      <c r="P17" s="18">
        <f>((O17/24*100%)*5%)</f>
        <v>0.05</v>
      </c>
      <c r="Q17" s="13">
        <v>22</v>
      </c>
      <c r="R17" s="18">
        <f>((Q17/23*100%)*5%)</f>
        <v>4.7826086956521741E-2</v>
      </c>
      <c r="S17" s="13">
        <v>23</v>
      </c>
      <c r="T17" s="18">
        <f>((S17/24*100%)*5%)</f>
        <v>4.791666666666667E-2</v>
      </c>
      <c r="U17" s="13">
        <v>24</v>
      </c>
      <c r="V17" s="18">
        <f>((U17/24*100%)*5%)</f>
        <v>0.05</v>
      </c>
      <c r="W17" s="13">
        <v>24</v>
      </c>
      <c r="X17" s="18">
        <f>((W17/24*100%)*5%)</f>
        <v>0.05</v>
      </c>
      <c r="Y17" s="13">
        <v>21</v>
      </c>
      <c r="Z17" s="18">
        <f>((Y17/24*100%)*5%)</f>
        <v>4.3750000000000004E-2</v>
      </c>
      <c r="AA17" s="13">
        <v>25</v>
      </c>
      <c r="AB17" s="18">
        <f>((AA17/24*100%)*5%)</f>
        <v>5.2083333333333343E-2</v>
      </c>
      <c r="AC17" s="13"/>
      <c r="AD17" s="18">
        <f>((AC17/24*100%)*5%)</f>
        <v>0</v>
      </c>
    </row>
    <row r="18" spans="2:30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15"/>
      <c r="H18" s="27">
        <f>SUM(H5:H17)</f>
        <v>0.79200000000000004</v>
      </c>
      <c r="I18" s="15"/>
      <c r="J18" s="27">
        <f>SUM(J5:J17)</f>
        <v>0.7420000000000001</v>
      </c>
      <c r="K18" s="44"/>
      <c r="L18" s="27">
        <f>SUM(L5:L17)</f>
        <v>0.71272777777777785</v>
      </c>
      <c r="M18" s="39"/>
      <c r="N18" s="26">
        <f>SUM(N5:N17)</f>
        <v>0.86165217391304338</v>
      </c>
      <c r="O18" s="39"/>
      <c r="P18" s="26">
        <f>SUM(P5:P17)</f>
        <v>0.8653333333333334</v>
      </c>
      <c r="Q18" s="39"/>
      <c r="R18" s="26">
        <f>SUM(R5:R17)</f>
        <v>0.91315942028985519</v>
      </c>
      <c r="S18" s="39"/>
      <c r="T18" s="26">
        <f>SUM(T5:T17)</f>
        <v>0.72781666666666678</v>
      </c>
      <c r="U18" s="39"/>
      <c r="V18" s="26">
        <f>SUM(V5:V17)</f>
        <v>0.84173333333333344</v>
      </c>
      <c r="W18" s="39"/>
      <c r="X18" s="26">
        <f>SUM(X5:X17)</f>
        <v>0.82438888888888895</v>
      </c>
      <c r="Y18" s="39"/>
      <c r="Z18" s="26">
        <f>SUM(Z5:Z17)</f>
        <v>0.84928333333333328</v>
      </c>
      <c r="AA18" s="39"/>
      <c r="AB18" s="26">
        <f>SUM(AB5:AB17)</f>
        <v>0.78239444444444461</v>
      </c>
      <c r="AC18" s="39"/>
      <c r="AD18" s="26">
        <f>SUM(AD5:AD17)</f>
        <v>0</v>
      </c>
    </row>
  </sheetData>
  <mergeCells count="28">
    <mergeCell ref="B15:B17"/>
    <mergeCell ref="C15:D17"/>
    <mergeCell ref="B18:E18"/>
    <mergeCell ref="B5:B11"/>
    <mergeCell ref="C5:C11"/>
    <mergeCell ref="D5:D6"/>
    <mergeCell ref="D7:D9"/>
    <mergeCell ref="D10:D11"/>
    <mergeCell ref="B12:B13"/>
    <mergeCell ref="C12:D13"/>
    <mergeCell ref="C14:D14"/>
    <mergeCell ref="M3:N3"/>
    <mergeCell ref="O3:P3"/>
    <mergeCell ref="Q3:R3"/>
    <mergeCell ref="B3:B4"/>
    <mergeCell ref="C3:C4"/>
    <mergeCell ref="D3:D4"/>
    <mergeCell ref="E3:E4"/>
    <mergeCell ref="F3:F4"/>
    <mergeCell ref="K3:L3"/>
    <mergeCell ref="I3:J3"/>
    <mergeCell ref="G3:H3"/>
    <mergeCell ref="AC3:AD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4889-1FA2-41BD-9731-5EAD04103759}">
  <dimension ref="B3:AE18"/>
  <sheetViews>
    <sheetView topLeftCell="M1" workbookViewId="0">
      <selection activeCell="AE7" sqref="AE7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7" customWidth="1"/>
    <col min="8" max="8" width="11.42578125" style="20" customWidth="1"/>
    <col min="9" max="9" width="11.42578125" style="28" customWidth="1"/>
    <col min="10" max="10" width="10.85546875" customWidth="1"/>
    <col min="11" max="11" width="11.42578125" customWidth="1"/>
    <col min="12" max="12" width="10.85546875" customWidth="1"/>
    <col min="13" max="13" width="11.140625" bestFit="1" customWidth="1"/>
    <col min="15" max="15" width="11.140625" bestFit="1" customWidth="1"/>
    <col min="17" max="17" width="11.140625" bestFit="1" customWidth="1"/>
    <col min="19" max="19" width="10.42578125" customWidth="1"/>
    <col min="20" max="30" width="9.140625" customWidth="1"/>
  </cols>
  <sheetData>
    <row r="3" spans="2:31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28</v>
      </c>
      <c r="H3" s="67"/>
      <c r="I3" s="67" t="s">
        <v>52</v>
      </c>
      <c r="J3" s="67"/>
      <c r="K3" s="67" t="s">
        <v>67</v>
      </c>
      <c r="L3" s="67"/>
      <c r="M3" s="67" t="s">
        <v>81</v>
      </c>
      <c r="N3" s="67"/>
      <c r="O3" s="67" t="s">
        <v>84</v>
      </c>
      <c r="P3" s="67"/>
      <c r="Q3" s="67" t="s">
        <v>85</v>
      </c>
      <c r="R3" s="67"/>
      <c r="S3" s="67" t="s">
        <v>117</v>
      </c>
      <c r="T3" s="67"/>
      <c r="U3" s="67" t="s">
        <v>118</v>
      </c>
      <c r="V3" s="67"/>
      <c r="W3" s="67" t="s">
        <v>119</v>
      </c>
      <c r="X3" s="67"/>
      <c r="Y3" s="67" t="s">
        <v>120</v>
      </c>
      <c r="Z3" s="67"/>
      <c r="AA3" s="67" t="s">
        <v>121</v>
      </c>
      <c r="AB3" s="67"/>
      <c r="AC3" s="67" t="s">
        <v>122</v>
      </c>
      <c r="AD3" s="67"/>
    </row>
    <row r="4" spans="2:31" x14ac:dyDescent="0.25">
      <c r="B4" s="69"/>
      <c r="C4" s="69"/>
      <c r="D4" s="69"/>
      <c r="E4" s="69"/>
      <c r="F4" s="69"/>
      <c r="G4" s="7" t="s">
        <v>29</v>
      </c>
      <c r="H4" s="34" t="s">
        <v>30</v>
      </c>
      <c r="I4" s="12" t="s">
        <v>29</v>
      </c>
      <c r="J4" s="37" t="s">
        <v>30</v>
      </c>
      <c r="K4" s="12" t="s">
        <v>29</v>
      </c>
      <c r="L4" s="3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  <c r="AA4" s="7" t="s">
        <v>29</v>
      </c>
      <c r="AB4" s="17" t="s">
        <v>30</v>
      </c>
      <c r="AC4" s="7" t="s">
        <v>29</v>
      </c>
      <c r="AD4" s="17" t="s">
        <v>30</v>
      </c>
    </row>
    <row r="5" spans="2:31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16">
        <v>7</v>
      </c>
      <c r="H5" s="30">
        <v>0</v>
      </c>
      <c r="I5" s="33">
        <v>4</v>
      </c>
      <c r="J5" s="21">
        <v>0.05</v>
      </c>
      <c r="K5" s="43">
        <v>13</v>
      </c>
      <c r="L5" s="21">
        <v>0</v>
      </c>
      <c r="M5" s="13">
        <v>11</v>
      </c>
      <c r="N5" s="18">
        <v>0</v>
      </c>
      <c r="O5" s="13">
        <v>5</v>
      </c>
      <c r="P5" s="18">
        <v>0</v>
      </c>
      <c r="Q5" s="13">
        <v>1</v>
      </c>
      <c r="R5" s="18">
        <v>0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>
        <v>0</v>
      </c>
      <c r="Z5" s="18">
        <v>0.05</v>
      </c>
      <c r="AA5" s="13">
        <v>0</v>
      </c>
      <c r="AB5" s="18">
        <v>0.05</v>
      </c>
      <c r="AC5" s="13"/>
      <c r="AD5" s="18">
        <v>0</v>
      </c>
    </row>
    <row r="6" spans="2:31" ht="45" x14ac:dyDescent="0.25">
      <c r="B6" s="73"/>
      <c r="C6" s="73"/>
      <c r="D6" s="73"/>
      <c r="E6" s="3" t="s">
        <v>20</v>
      </c>
      <c r="F6" s="8">
        <v>0.05</v>
      </c>
      <c r="G6" s="16" t="s">
        <v>38</v>
      </c>
      <c r="H6" s="35">
        <v>0</v>
      </c>
      <c r="I6" s="33">
        <v>6</v>
      </c>
      <c r="J6" s="35">
        <v>0</v>
      </c>
      <c r="K6" s="43">
        <v>1</v>
      </c>
      <c r="L6" s="18">
        <v>0</v>
      </c>
      <c r="M6" s="13">
        <v>0</v>
      </c>
      <c r="N6" s="18">
        <v>0.05</v>
      </c>
      <c r="O6" s="13">
        <v>0</v>
      </c>
      <c r="P6" s="18">
        <v>0.05</v>
      </c>
      <c r="Q6" s="13">
        <v>0</v>
      </c>
      <c r="R6" s="18">
        <v>0.05</v>
      </c>
      <c r="S6" s="13">
        <v>0</v>
      </c>
      <c r="T6" s="18">
        <v>0.05</v>
      </c>
      <c r="U6" s="13">
        <v>0</v>
      </c>
      <c r="V6" s="18">
        <v>0.05</v>
      </c>
      <c r="W6" s="13">
        <v>0</v>
      </c>
      <c r="X6" s="18">
        <v>0.05</v>
      </c>
      <c r="Y6" s="13">
        <v>0</v>
      </c>
      <c r="Z6" s="18">
        <v>0.05</v>
      </c>
      <c r="AA6" s="13">
        <v>0</v>
      </c>
      <c r="AB6" s="18">
        <v>0.05</v>
      </c>
      <c r="AC6" s="13"/>
      <c r="AD6" s="18">
        <v>0</v>
      </c>
    </row>
    <row r="7" spans="2:31" ht="30" x14ac:dyDescent="0.25">
      <c r="B7" s="73"/>
      <c r="C7" s="73"/>
      <c r="D7" s="73" t="s">
        <v>8</v>
      </c>
      <c r="E7" s="4" t="s">
        <v>21</v>
      </c>
      <c r="F7" s="8">
        <v>0.05</v>
      </c>
      <c r="G7" s="16">
        <v>22</v>
      </c>
      <c r="H7" s="22">
        <v>0</v>
      </c>
      <c r="I7" s="33">
        <v>22</v>
      </c>
      <c r="J7" s="22">
        <v>0</v>
      </c>
      <c r="K7" s="43">
        <v>16</v>
      </c>
      <c r="L7" s="19">
        <v>0</v>
      </c>
      <c r="M7" s="13">
        <v>22</v>
      </c>
      <c r="N7" s="19">
        <v>0</v>
      </c>
      <c r="O7" s="13">
        <v>12</v>
      </c>
      <c r="P7" s="19">
        <v>0</v>
      </c>
      <c r="Q7" s="13">
        <v>24</v>
      </c>
      <c r="R7" s="19">
        <v>0</v>
      </c>
      <c r="S7" s="13">
        <v>15</v>
      </c>
      <c r="T7" s="19">
        <v>0</v>
      </c>
      <c r="U7" s="13">
        <v>11</v>
      </c>
      <c r="V7" s="19">
        <v>0</v>
      </c>
      <c r="W7" s="13">
        <v>0</v>
      </c>
      <c r="X7" s="19">
        <v>0.05</v>
      </c>
      <c r="Y7" s="13">
        <v>0</v>
      </c>
      <c r="Z7" s="19">
        <v>0.05</v>
      </c>
      <c r="AA7" s="13">
        <v>0</v>
      </c>
      <c r="AB7" s="19">
        <v>0.05</v>
      </c>
      <c r="AC7" s="13"/>
      <c r="AD7" s="19">
        <v>0</v>
      </c>
      <c r="AE7" s="98">
        <f>SUM(G7,I7,K7,M7,O7,Q7,S7,U7,W7,Y7,AA7)</f>
        <v>144</v>
      </c>
    </row>
    <row r="8" spans="2:31" ht="60" x14ac:dyDescent="0.25">
      <c r="B8" s="73"/>
      <c r="C8" s="73"/>
      <c r="D8" s="73"/>
      <c r="E8" s="5" t="s">
        <v>9</v>
      </c>
      <c r="F8" s="8">
        <v>0.05</v>
      </c>
      <c r="G8" s="16" t="s">
        <v>39</v>
      </c>
      <c r="H8" s="35">
        <v>0</v>
      </c>
      <c r="I8" s="33">
        <v>0</v>
      </c>
      <c r="J8" s="35">
        <v>0.05</v>
      </c>
      <c r="K8" s="42" t="s">
        <v>74</v>
      </c>
      <c r="L8" s="18">
        <v>0</v>
      </c>
      <c r="M8" s="13">
        <v>0</v>
      </c>
      <c r="N8" s="18">
        <v>0.05</v>
      </c>
      <c r="O8" s="13">
        <v>0</v>
      </c>
      <c r="P8" s="18">
        <v>0.05</v>
      </c>
      <c r="Q8" s="13" t="s">
        <v>93</v>
      </c>
      <c r="R8" s="18">
        <v>0</v>
      </c>
      <c r="S8" s="13">
        <v>0</v>
      </c>
      <c r="T8" s="18">
        <v>0.05</v>
      </c>
      <c r="U8" s="13">
        <v>0</v>
      </c>
      <c r="V8" s="18">
        <v>0.05</v>
      </c>
      <c r="W8" s="13">
        <v>0</v>
      </c>
      <c r="X8" s="18">
        <v>0.05</v>
      </c>
      <c r="Y8" s="13">
        <v>0</v>
      </c>
      <c r="Z8" s="18">
        <v>0.05</v>
      </c>
      <c r="AA8" s="13">
        <v>0</v>
      </c>
      <c r="AB8" s="18">
        <v>0.05</v>
      </c>
      <c r="AC8" s="13"/>
      <c r="AD8" s="18">
        <v>0</v>
      </c>
    </row>
    <row r="9" spans="2:31" ht="60" x14ac:dyDescent="0.25">
      <c r="B9" s="73"/>
      <c r="C9" s="73"/>
      <c r="D9" s="73"/>
      <c r="E9" s="4" t="s">
        <v>10</v>
      </c>
      <c r="F9" s="8">
        <v>0.05</v>
      </c>
      <c r="G9" s="16">
        <v>0</v>
      </c>
      <c r="H9" s="35">
        <v>0.05</v>
      </c>
      <c r="I9" s="33">
        <v>0</v>
      </c>
      <c r="J9" s="35">
        <v>0.05</v>
      </c>
      <c r="K9" s="43" t="s">
        <v>75</v>
      </c>
      <c r="L9" s="18">
        <v>0</v>
      </c>
      <c r="M9" s="13">
        <v>0</v>
      </c>
      <c r="N9" s="18">
        <v>0.05</v>
      </c>
      <c r="O9" s="13">
        <v>0</v>
      </c>
      <c r="P9" s="18">
        <v>0.05</v>
      </c>
      <c r="Q9" s="13">
        <v>0</v>
      </c>
      <c r="R9" s="18">
        <v>0.05</v>
      </c>
      <c r="S9" s="43" t="s">
        <v>123</v>
      </c>
      <c r="T9" s="18">
        <v>0</v>
      </c>
      <c r="U9" s="13">
        <v>0</v>
      </c>
      <c r="V9" s="18">
        <v>0.05</v>
      </c>
      <c r="W9" s="13">
        <v>0</v>
      </c>
      <c r="X9" s="18">
        <v>0.05</v>
      </c>
      <c r="Y9" s="13">
        <v>0</v>
      </c>
      <c r="Z9" s="18">
        <v>0.05</v>
      </c>
      <c r="AA9" s="13">
        <v>0</v>
      </c>
      <c r="AB9" s="18">
        <v>0.05</v>
      </c>
      <c r="AC9" s="13"/>
      <c r="AD9" s="18">
        <v>0</v>
      </c>
    </row>
    <row r="10" spans="2:31" x14ac:dyDescent="0.25">
      <c r="B10" s="73"/>
      <c r="C10" s="73"/>
      <c r="D10" s="78" t="s">
        <v>11</v>
      </c>
      <c r="E10" s="4" t="s">
        <v>22</v>
      </c>
      <c r="F10" s="8">
        <v>0.05</v>
      </c>
      <c r="G10" s="16">
        <v>3.5</v>
      </c>
      <c r="H10" s="35">
        <v>3.5000000000000003E-2</v>
      </c>
      <c r="I10" s="33">
        <v>4</v>
      </c>
      <c r="J10" s="35">
        <v>0.04</v>
      </c>
      <c r="K10" s="43">
        <v>3.5</v>
      </c>
      <c r="L10" s="18">
        <v>0.04</v>
      </c>
      <c r="M10" s="13">
        <v>4</v>
      </c>
      <c r="N10" s="18">
        <v>0.04</v>
      </c>
      <c r="O10" s="13">
        <v>4</v>
      </c>
      <c r="P10" s="18">
        <v>0.04</v>
      </c>
      <c r="Q10" s="13">
        <v>4</v>
      </c>
      <c r="R10" s="18">
        <v>0.04</v>
      </c>
      <c r="S10" s="13">
        <v>4</v>
      </c>
      <c r="T10" s="18">
        <v>0.04</v>
      </c>
      <c r="U10" s="13">
        <v>4</v>
      </c>
      <c r="V10" s="18">
        <v>0.04</v>
      </c>
      <c r="W10" s="13">
        <v>4</v>
      </c>
      <c r="X10" s="18">
        <v>0.04</v>
      </c>
      <c r="Y10" s="13">
        <v>4</v>
      </c>
      <c r="Z10" s="18">
        <v>0.04</v>
      </c>
      <c r="AA10" s="13">
        <v>4</v>
      </c>
      <c r="AB10" s="18">
        <v>0.04</v>
      </c>
      <c r="AC10" s="13"/>
      <c r="AD10" s="18">
        <v>0</v>
      </c>
    </row>
    <row r="11" spans="2:31" x14ac:dyDescent="0.25">
      <c r="B11" s="73"/>
      <c r="C11" s="73"/>
      <c r="D11" s="79"/>
      <c r="E11" s="5" t="s">
        <v>12</v>
      </c>
      <c r="F11" s="8">
        <v>0.05</v>
      </c>
      <c r="G11" s="13">
        <v>4.5999999999999996</v>
      </c>
      <c r="H11" s="29">
        <v>4.5999999999999999E-2</v>
      </c>
      <c r="I11" s="33">
        <v>4.5999999999999996</v>
      </c>
      <c r="J11" s="35">
        <v>4.5999999999999999E-2</v>
      </c>
      <c r="K11" s="43">
        <v>4.5999999999999996</v>
      </c>
      <c r="L11" s="18">
        <v>4.5999999999999999E-2</v>
      </c>
      <c r="M11" s="13">
        <v>4.5999999999999996</v>
      </c>
      <c r="N11" s="18">
        <v>4.5999999999999999E-2</v>
      </c>
      <c r="O11" s="13">
        <v>4.5999999999999996</v>
      </c>
      <c r="P11" s="18">
        <v>4.5999999999999999E-2</v>
      </c>
      <c r="Q11" s="13">
        <v>4.5999999999999996</v>
      </c>
      <c r="R11" s="18">
        <v>4.5999999999999999E-2</v>
      </c>
      <c r="S11" s="13">
        <v>4.5999999999999996</v>
      </c>
      <c r="T11" s="18">
        <v>4.5999999999999999E-2</v>
      </c>
      <c r="U11" s="13">
        <v>4.5999999999999996</v>
      </c>
      <c r="V11" s="18">
        <v>4.5999999999999999E-2</v>
      </c>
      <c r="W11" s="13">
        <v>4.5999999999999996</v>
      </c>
      <c r="X11" s="18">
        <v>4.5999999999999999E-2</v>
      </c>
      <c r="Y11" s="13">
        <v>4.5999999999999996</v>
      </c>
      <c r="Z11" s="18">
        <v>4.5999999999999999E-2</v>
      </c>
      <c r="AA11" s="13">
        <v>4.5999999999999996</v>
      </c>
      <c r="AB11" s="18">
        <v>4.5999999999999999E-2</v>
      </c>
      <c r="AC11" s="13"/>
      <c r="AD11" s="18">
        <v>0</v>
      </c>
    </row>
    <row r="12" spans="2:31" ht="25.5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16">
        <v>0</v>
      </c>
      <c r="H12" s="30">
        <v>0.1</v>
      </c>
      <c r="I12" s="33">
        <v>0</v>
      </c>
      <c r="J12" s="22">
        <v>0.1</v>
      </c>
      <c r="K12" s="43">
        <v>0</v>
      </c>
      <c r="L12" s="19">
        <v>0.1</v>
      </c>
      <c r="M12" s="13" t="s">
        <v>88</v>
      </c>
      <c r="N12" s="18">
        <v>0</v>
      </c>
      <c r="O12" s="13">
        <v>0</v>
      </c>
      <c r="P12" s="18">
        <v>0.1</v>
      </c>
      <c r="Q12" s="13">
        <v>0</v>
      </c>
      <c r="R12" s="18">
        <v>0.1</v>
      </c>
      <c r="S12" s="13"/>
      <c r="T12" s="18">
        <v>0</v>
      </c>
      <c r="U12" s="13"/>
      <c r="V12" s="18">
        <v>0</v>
      </c>
      <c r="W12" s="13"/>
      <c r="X12" s="18">
        <v>0</v>
      </c>
      <c r="Y12" s="13"/>
      <c r="Z12" s="18">
        <v>0</v>
      </c>
      <c r="AA12" s="13"/>
      <c r="AB12" s="18">
        <v>0</v>
      </c>
      <c r="AC12" s="13"/>
      <c r="AD12" s="18">
        <v>0</v>
      </c>
    </row>
    <row r="13" spans="2:31" ht="38.25" x14ac:dyDescent="0.25">
      <c r="B13" s="73"/>
      <c r="C13" s="76"/>
      <c r="D13" s="77"/>
      <c r="E13" s="4" t="s">
        <v>23</v>
      </c>
      <c r="F13" s="8">
        <v>0.1</v>
      </c>
      <c r="G13" s="16" t="s">
        <v>40</v>
      </c>
      <c r="H13" s="8">
        <v>0.1</v>
      </c>
      <c r="I13" s="33">
        <v>0</v>
      </c>
      <c r="J13" s="21">
        <v>0.1</v>
      </c>
      <c r="K13" s="43">
        <v>0</v>
      </c>
      <c r="L13" s="32">
        <v>0.1</v>
      </c>
      <c r="M13" s="13">
        <v>1</v>
      </c>
      <c r="N13" s="18">
        <v>0.1</v>
      </c>
      <c r="O13" s="13">
        <v>1</v>
      </c>
      <c r="P13" s="18">
        <v>0.1</v>
      </c>
      <c r="Q13" s="13">
        <v>2</v>
      </c>
      <c r="R13" s="18">
        <v>0.1</v>
      </c>
      <c r="S13" s="13">
        <v>3</v>
      </c>
      <c r="T13" s="18">
        <v>0</v>
      </c>
      <c r="U13" s="13">
        <v>0</v>
      </c>
      <c r="V13" s="18">
        <v>0.1</v>
      </c>
      <c r="W13" s="13">
        <v>0</v>
      </c>
      <c r="X13" s="18">
        <v>0.1</v>
      </c>
      <c r="Y13" s="13">
        <v>0</v>
      </c>
      <c r="Z13" s="18">
        <v>0.1</v>
      </c>
      <c r="AA13" s="13">
        <v>0</v>
      </c>
      <c r="AB13" s="18">
        <v>0.1</v>
      </c>
      <c r="AC13" s="13"/>
      <c r="AD13" s="18">
        <v>0</v>
      </c>
    </row>
    <row r="14" spans="2:31" ht="63.7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6" t="s">
        <v>41</v>
      </c>
      <c r="H14" s="30">
        <v>0</v>
      </c>
      <c r="I14" s="33" t="s">
        <v>63</v>
      </c>
      <c r="J14" s="22">
        <v>0</v>
      </c>
      <c r="K14" s="43" t="s">
        <v>76</v>
      </c>
      <c r="L14" s="19">
        <v>0</v>
      </c>
      <c r="M14" s="31" t="s">
        <v>96</v>
      </c>
      <c r="N14" s="18">
        <v>0</v>
      </c>
      <c r="O14" s="31" t="s">
        <v>96</v>
      </c>
      <c r="P14" s="18">
        <v>0</v>
      </c>
      <c r="Q14" s="31" t="s">
        <v>96</v>
      </c>
      <c r="R14" s="18">
        <v>0</v>
      </c>
      <c r="S14" s="18">
        <v>0</v>
      </c>
      <c r="T14" s="31" t="s">
        <v>96</v>
      </c>
      <c r="U14" s="18">
        <v>0</v>
      </c>
      <c r="V14" s="31" t="s">
        <v>96</v>
      </c>
      <c r="W14" s="18">
        <v>0</v>
      </c>
      <c r="X14" s="31" t="s">
        <v>96</v>
      </c>
      <c r="Y14" s="18">
        <v>0</v>
      </c>
      <c r="Z14" s="31" t="s">
        <v>96</v>
      </c>
      <c r="AA14" s="18">
        <v>0</v>
      </c>
      <c r="AB14" s="31" t="s">
        <v>96</v>
      </c>
      <c r="AC14" s="31"/>
      <c r="AD14" s="18">
        <v>0</v>
      </c>
    </row>
    <row r="15" spans="2:31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16">
        <v>71</v>
      </c>
      <c r="H15" s="29">
        <f>((G15/100*100%)*20%)</f>
        <v>0.14199999999999999</v>
      </c>
      <c r="I15" s="33">
        <v>72</v>
      </c>
      <c r="J15" s="35">
        <f>((I15/100*100%)*20%)</f>
        <v>0.14399999999999999</v>
      </c>
      <c r="K15" s="43">
        <v>68</v>
      </c>
      <c r="L15" s="18">
        <f>((K15/100*100%)*20%)</f>
        <v>0.13600000000000001</v>
      </c>
      <c r="M15" s="13">
        <v>66</v>
      </c>
      <c r="N15" s="18">
        <f>((M15/75*100%)*20%)</f>
        <v>0.17600000000000002</v>
      </c>
      <c r="O15" s="13">
        <v>61</v>
      </c>
      <c r="P15" s="18">
        <f>((O15/75*100%)*20%)</f>
        <v>0.16266666666666668</v>
      </c>
      <c r="Q15" s="13">
        <v>74</v>
      </c>
      <c r="R15" s="18">
        <f>((Q15/75*100%)*20%)</f>
        <v>0.19733333333333336</v>
      </c>
      <c r="S15" s="13">
        <v>59</v>
      </c>
      <c r="T15" s="18">
        <f>((S15/75*100%)*20%)</f>
        <v>0.15733333333333333</v>
      </c>
      <c r="U15" s="13">
        <v>68</v>
      </c>
      <c r="V15" s="18">
        <f>((U15/75*100%)*20%)</f>
        <v>0.18133333333333335</v>
      </c>
      <c r="W15" s="13">
        <v>57</v>
      </c>
      <c r="X15" s="18">
        <f>((W15/75*100%)*20%)</f>
        <v>0.15200000000000002</v>
      </c>
      <c r="Y15" s="13">
        <v>64</v>
      </c>
      <c r="Z15" s="18">
        <f>((Y15/75*100%)*20%)</f>
        <v>0.17066666666666669</v>
      </c>
      <c r="AA15" s="13">
        <v>67</v>
      </c>
      <c r="AB15" s="18">
        <f>((AA15/75*100%)*20%)</f>
        <v>0.17866666666666667</v>
      </c>
      <c r="AC15" s="13"/>
      <c r="AD15" s="18">
        <f>((AC15/75*100%)*20%)</f>
        <v>0</v>
      </c>
    </row>
    <row r="16" spans="2:31" x14ac:dyDescent="0.25">
      <c r="B16" s="73"/>
      <c r="C16" s="76"/>
      <c r="D16" s="77"/>
      <c r="E16" s="5" t="s">
        <v>18</v>
      </c>
      <c r="F16" s="8">
        <v>0.1</v>
      </c>
      <c r="G16" s="16">
        <f>7147/60</f>
        <v>119.11666666666666</v>
      </c>
      <c r="H16" s="29">
        <f>((G16/150*100%)*10%)</f>
        <v>7.9411111111111113E-2</v>
      </c>
      <c r="I16" s="33">
        <f>8119/60</f>
        <v>135.31666666666666</v>
      </c>
      <c r="J16" s="35">
        <f>((I16/150*100%)*10%)</f>
        <v>9.0211111111111117E-2</v>
      </c>
      <c r="K16" s="43">
        <f>7806/60</f>
        <v>130.1</v>
      </c>
      <c r="L16" s="18">
        <f>((K16/150*100%)*10%)</f>
        <v>8.6733333333333329E-2</v>
      </c>
      <c r="M16" s="13">
        <v>130</v>
      </c>
      <c r="N16" s="18">
        <f>((M16/150*100%)*10%)</f>
        <v>8.666666666666667E-2</v>
      </c>
      <c r="O16" s="13">
        <v>111</v>
      </c>
      <c r="P16" s="18">
        <f>((O16/150*100%)*10%)</f>
        <v>7.3999999999999996E-2</v>
      </c>
      <c r="Q16" s="13">
        <v>138</v>
      </c>
      <c r="R16" s="18">
        <f>((Q16/150*100%)*10%)</f>
        <v>9.2000000000000012E-2</v>
      </c>
      <c r="S16" s="13">
        <f>7083/60</f>
        <v>118.05</v>
      </c>
      <c r="T16" s="18">
        <f>((S16/150*100%)*10%)</f>
        <v>7.8700000000000006E-2</v>
      </c>
      <c r="U16" s="13">
        <f>8267/60</f>
        <v>137.78333333333333</v>
      </c>
      <c r="V16" s="18">
        <f>((U16/150*100%)*10%)</f>
        <v>9.1855555555555565E-2</v>
      </c>
      <c r="W16" s="13">
        <f>5923/60</f>
        <v>98.716666666666669</v>
      </c>
      <c r="X16" s="18">
        <f>((W16/150*100%)*10%)</f>
        <v>6.5811111111111112E-2</v>
      </c>
      <c r="Y16" s="13">
        <f>7454/60</f>
        <v>124.23333333333333</v>
      </c>
      <c r="Z16" s="18">
        <f>((Y16/150*100%)*10%)</f>
        <v>8.2822222222222228E-2</v>
      </c>
      <c r="AA16" s="13">
        <f>7002/60</f>
        <v>116.7</v>
      </c>
      <c r="AB16" s="18">
        <f>((AA16/150*100%)*10%)</f>
        <v>7.7800000000000008E-2</v>
      </c>
      <c r="AC16" s="13"/>
      <c r="AD16" s="18">
        <f>((AC16/150*100%)*10%)</f>
        <v>0</v>
      </c>
    </row>
    <row r="17" spans="2:30" x14ac:dyDescent="0.25">
      <c r="B17" s="78"/>
      <c r="C17" s="76"/>
      <c r="D17" s="77"/>
      <c r="E17" s="6" t="s">
        <v>19</v>
      </c>
      <c r="F17" s="9">
        <v>0.05</v>
      </c>
      <c r="G17" s="16">
        <v>24</v>
      </c>
      <c r="H17" s="29">
        <v>0.05</v>
      </c>
      <c r="I17" s="33">
        <v>23</v>
      </c>
      <c r="J17" s="35">
        <v>4.5999999999999999E-2</v>
      </c>
      <c r="K17" s="43">
        <v>21</v>
      </c>
      <c r="L17" s="18">
        <f>((21/24*100%)*5%)</f>
        <v>4.3750000000000004E-2</v>
      </c>
      <c r="M17" s="13">
        <v>20</v>
      </c>
      <c r="N17" s="18">
        <f>((M17/23*100%)*5%)</f>
        <v>4.3478260869565216E-2</v>
      </c>
      <c r="O17" s="13">
        <v>22</v>
      </c>
      <c r="P17" s="18">
        <f>((O17/22*100%)*5%)</f>
        <v>0.05</v>
      </c>
      <c r="Q17" s="13">
        <v>22</v>
      </c>
      <c r="R17" s="18">
        <f>((Q17/23*100%)*5%)</f>
        <v>4.7826086956521741E-2</v>
      </c>
      <c r="S17" s="13">
        <v>22</v>
      </c>
      <c r="T17" s="18">
        <f>((S17/24*100%)*5%)</f>
        <v>4.5833333333333337E-2</v>
      </c>
      <c r="U17" s="13">
        <v>25</v>
      </c>
      <c r="V17" s="18">
        <f>((U17/24*100%)*5%)</f>
        <v>5.2083333333333343E-2</v>
      </c>
      <c r="W17" s="13">
        <v>23</v>
      </c>
      <c r="X17" s="18">
        <f>((W17/24*100%)*5%)</f>
        <v>4.791666666666667E-2</v>
      </c>
      <c r="Y17" s="13">
        <v>24</v>
      </c>
      <c r="Z17" s="18">
        <f>((Y17/24*100%)*5%)</f>
        <v>0.05</v>
      </c>
      <c r="AA17" s="13">
        <v>23</v>
      </c>
      <c r="AB17" s="18">
        <f>((AA17/24*100%)*5%)</f>
        <v>4.791666666666667E-2</v>
      </c>
      <c r="AC17" s="13"/>
      <c r="AD17" s="18">
        <f>((AC17/24*100%)*5%)</f>
        <v>0</v>
      </c>
    </row>
    <row r="18" spans="2:30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15"/>
      <c r="H18" s="36">
        <f>SUM(H5:H17)</f>
        <v>0.60241111111111112</v>
      </c>
      <c r="I18" s="38"/>
      <c r="J18" s="26">
        <f>SUM(J5:J17)</f>
        <v>0.71621111111111124</v>
      </c>
      <c r="K18" s="38"/>
      <c r="L18" s="26">
        <f>SUM(L5:L17)</f>
        <v>0.55248333333333333</v>
      </c>
      <c r="M18" s="39"/>
      <c r="N18" s="26">
        <f>SUM(N5:N17)</f>
        <v>0.64214492753623198</v>
      </c>
      <c r="O18" s="39"/>
      <c r="P18" s="26">
        <f>SUM(P5:P17)</f>
        <v>0.72266666666666668</v>
      </c>
      <c r="Q18" s="39"/>
      <c r="R18" s="26">
        <f>SUM(R5:R17)</f>
        <v>0.72315942028985503</v>
      </c>
      <c r="S18" s="39"/>
      <c r="T18" s="26">
        <f>SUM(T5:T17)</f>
        <v>0.5178666666666667</v>
      </c>
      <c r="U18" s="39"/>
      <c r="V18" s="26">
        <f>SUM(V5:V17)</f>
        <v>0.71127222222222231</v>
      </c>
      <c r="W18" s="39"/>
      <c r="X18" s="26">
        <f>SUM(X5:X17)</f>
        <v>0.70172777777777784</v>
      </c>
      <c r="Y18" s="39"/>
      <c r="Z18" s="26">
        <f>SUM(Z5:Z17)</f>
        <v>0.73948888888888897</v>
      </c>
      <c r="AA18" s="39"/>
      <c r="AB18" s="26">
        <f>SUM(AB5:AB17)</f>
        <v>0.74038333333333328</v>
      </c>
      <c r="AC18" s="39"/>
      <c r="AD18" s="26">
        <f>SUM(AD5:AD17)</f>
        <v>0</v>
      </c>
    </row>
  </sheetData>
  <mergeCells count="28">
    <mergeCell ref="B15:B17"/>
    <mergeCell ref="C15:D17"/>
    <mergeCell ref="B18:E18"/>
    <mergeCell ref="B5:B11"/>
    <mergeCell ref="C5:C11"/>
    <mergeCell ref="D5:D6"/>
    <mergeCell ref="D7:D9"/>
    <mergeCell ref="D10:D11"/>
    <mergeCell ref="B12:B13"/>
    <mergeCell ref="C12:D13"/>
    <mergeCell ref="C14:D14"/>
    <mergeCell ref="M3:N3"/>
    <mergeCell ref="O3:P3"/>
    <mergeCell ref="Q3:R3"/>
    <mergeCell ref="B3:B4"/>
    <mergeCell ref="C3:C4"/>
    <mergeCell ref="D3:D4"/>
    <mergeCell ref="E3:E4"/>
    <mergeCell ref="F3:F4"/>
    <mergeCell ref="K3:L3"/>
    <mergeCell ref="I3:J3"/>
    <mergeCell ref="G3:H3"/>
    <mergeCell ref="AC3:AD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F2AE-DC47-4212-955B-982915694D32}">
  <dimension ref="B3:AE18"/>
  <sheetViews>
    <sheetView topLeftCell="M1" workbookViewId="0">
      <selection activeCell="AE7" sqref="AE7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7" customWidth="1"/>
    <col min="8" max="8" width="11.42578125" style="20" customWidth="1"/>
    <col min="9" max="9" width="11.42578125" customWidth="1"/>
    <col min="10" max="10" width="10.85546875" customWidth="1"/>
    <col min="11" max="11" width="11.42578125" customWidth="1"/>
    <col min="12" max="12" width="10.85546875" customWidth="1"/>
    <col min="13" max="13" width="11.140625" customWidth="1"/>
    <col min="14" max="14" width="10.85546875" bestFit="1" customWidth="1"/>
    <col min="15" max="15" width="11.140625" customWidth="1"/>
    <col min="16" max="16" width="10.85546875" bestFit="1" customWidth="1"/>
    <col min="17" max="17" width="11.140625" customWidth="1"/>
    <col min="18" max="18" width="10.85546875" bestFit="1" customWidth="1"/>
    <col min="19" max="30" width="9.140625" customWidth="1"/>
  </cols>
  <sheetData>
    <row r="3" spans="2:31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28</v>
      </c>
      <c r="H3" s="67"/>
      <c r="I3" s="67" t="s">
        <v>52</v>
      </c>
      <c r="J3" s="67"/>
      <c r="K3" s="67" t="s">
        <v>67</v>
      </c>
      <c r="L3" s="67"/>
      <c r="M3" s="67" t="s">
        <v>81</v>
      </c>
      <c r="N3" s="67"/>
      <c r="O3" s="67" t="s">
        <v>84</v>
      </c>
      <c r="P3" s="67"/>
      <c r="Q3" s="67" t="s">
        <v>85</v>
      </c>
      <c r="R3" s="67"/>
      <c r="S3" s="67" t="s">
        <v>117</v>
      </c>
      <c r="T3" s="67"/>
      <c r="U3" s="67" t="s">
        <v>118</v>
      </c>
      <c r="V3" s="67"/>
      <c r="W3" s="67" t="s">
        <v>119</v>
      </c>
      <c r="X3" s="67"/>
      <c r="Y3" s="67" t="s">
        <v>120</v>
      </c>
      <c r="Z3" s="67"/>
      <c r="AA3" s="67" t="s">
        <v>121</v>
      </c>
      <c r="AB3" s="67"/>
      <c r="AC3" s="67" t="s">
        <v>122</v>
      </c>
      <c r="AD3" s="67"/>
    </row>
    <row r="4" spans="2:31" x14ac:dyDescent="0.25">
      <c r="B4" s="69"/>
      <c r="C4" s="69"/>
      <c r="D4" s="69"/>
      <c r="E4" s="69"/>
      <c r="F4" s="69"/>
      <c r="G4" s="7" t="s">
        <v>29</v>
      </c>
      <c r="H4" s="17" t="s">
        <v>30</v>
      </c>
      <c r="I4" s="7" t="s">
        <v>29</v>
      </c>
      <c r="J4" s="17" t="s">
        <v>30</v>
      </c>
      <c r="K4" s="7" t="s">
        <v>29</v>
      </c>
      <c r="L4" s="1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  <c r="AA4" s="7" t="s">
        <v>29</v>
      </c>
      <c r="AB4" s="17" t="s">
        <v>30</v>
      </c>
      <c r="AC4" s="7" t="s">
        <v>29</v>
      </c>
      <c r="AD4" s="17" t="s">
        <v>30</v>
      </c>
    </row>
    <row r="5" spans="2:31" ht="25.5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13" t="s">
        <v>42</v>
      </c>
      <c r="H5" s="22">
        <v>0</v>
      </c>
      <c r="I5" s="31" t="s">
        <v>64</v>
      </c>
      <c r="J5" s="22">
        <v>0</v>
      </c>
      <c r="K5" s="31">
        <v>11</v>
      </c>
      <c r="L5" s="22">
        <v>0</v>
      </c>
      <c r="M5" s="13">
        <v>2</v>
      </c>
      <c r="N5" s="18">
        <v>0</v>
      </c>
      <c r="O5" s="13">
        <v>6</v>
      </c>
      <c r="P5" s="18">
        <v>0</v>
      </c>
      <c r="Q5" s="13">
        <v>0</v>
      </c>
      <c r="R5" s="18">
        <v>0.05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>
        <v>0</v>
      </c>
      <c r="Z5" s="18">
        <v>0.05</v>
      </c>
      <c r="AA5" s="13">
        <v>0</v>
      </c>
      <c r="AB5" s="18">
        <v>0.05</v>
      </c>
      <c r="AC5" s="13"/>
      <c r="AD5" s="18">
        <v>0</v>
      </c>
    </row>
    <row r="6" spans="2:31" ht="45" x14ac:dyDescent="0.25">
      <c r="B6" s="73"/>
      <c r="C6" s="73"/>
      <c r="D6" s="73"/>
      <c r="E6" s="3" t="s">
        <v>20</v>
      </c>
      <c r="F6" s="8">
        <v>0.05</v>
      </c>
      <c r="G6" s="13" t="s">
        <v>43</v>
      </c>
      <c r="H6" s="35">
        <v>0.05</v>
      </c>
      <c r="I6" s="31" t="s">
        <v>61</v>
      </c>
      <c r="J6" s="35">
        <v>0</v>
      </c>
      <c r="K6" s="31">
        <v>9</v>
      </c>
      <c r="L6" s="18">
        <v>0</v>
      </c>
      <c r="M6" s="13" t="s">
        <v>97</v>
      </c>
      <c r="N6" s="18">
        <v>0</v>
      </c>
      <c r="O6" s="13" t="s">
        <v>97</v>
      </c>
      <c r="P6" s="18">
        <v>0</v>
      </c>
      <c r="Q6" s="13" t="s">
        <v>97</v>
      </c>
      <c r="R6" s="18">
        <v>0</v>
      </c>
      <c r="S6" s="13" t="s">
        <v>97</v>
      </c>
      <c r="T6" s="18">
        <v>0</v>
      </c>
      <c r="U6" s="13" t="s">
        <v>97</v>
      </c>
      <c r="V6" s="18">
        <v>0</v>
      </c>
      <c r="W6" s="13" t="s">
        <v>97</v>
      </c>
      <c r="X6" s="18">
        <v>0</v>
      </c>
      <c r="Y6" s="13" t="s">
        <v>97</v>
      </c>
      <c r="Z6" s="18">
        <v>0</v>
      </c>
      <c r="AA6" s="13" t="s">
        <v>97</v>
      </c>
      <c r="AB6" s="18">
        <v>0</v>
      </c>
      <c r="AC6" s="13"/>
      <c r="AD6" s="18">
        <v>0</v>
      </c>
    </row>
    <row r="7" spans="2:31" ht="30" x14ac:dyDescent="0.25">
      <c r="B7" s="73"/>
      <c r="C7" s="73"/>
      <c r="D7" s="73" t="s">
        <v>8</v>
      </c>
      <c r="E7" s="4" t="s">
        <v>21</v>
      </c>
      <c r="F7" s="8">
        <v>0.05</v>
      </c>
      <c r="G7" s="13">
        <v>20</v>
      </c>
      <c r="H7" s="22">
        <v>0</v>
      </c>
      <c r="I7" s="31">
        <v>3</v>
      </c>
      <c r="J7" s="22">
        <v>0.05</v>
      </c>
      <c r="K7" s="31">
        <v>14</v>
      </c>
      <c r="L7" s="19">
        <v>0</v>
      </c>
      <c r="M7" s="13">
        <v>5</v>
      </c>
      <c r="N7" s="19">
        <v>0.05</v>
      </c>
      <c r="O7" s="13">
        <v>7</v>
      </c>
      <c r="P7" s="19">
        <v>0</v>
      </c>
      <c r="Q7" s="13">
        <v>1</v>
      </c>
      <c r="R7" s="19">
        <v>0.05</v>
      </c>
      <c r="S7" s="13">
        <v>3</v>
      </c>
      <c r="T7" s="19">
        <v>0.05</v>
      </c>
      <c r="U7" s="13">
        <v>2</v>
      </c>
      <c r="V7" s="19">
        <v>0</v>
      </c>
      <c r="W7" s="13">
        <v>0</v>
      </c>
      <c r="X7" s="19">
        <v>0.05</v>
      </c>
      <c r="Y7" s="13">
        <v>0</v>
      </c>
      <c r="Z7" s="19">
        <v>0.05</v>
      </c>
      <c r="AA7" s="13">
        <v>0</v>
      </c>
      <c r="AB7" s="19">
        <v>0.05</v>
      </c>
      <c r="AC7" s="13"/>
      <c r="AD7" s="19">
        <v>0</v>
      </c>
      <c r="AE7" s="98">
        <f>SUM(G7,I7,K7,M7,O7,Q7,S7,U7,W7,Y7,AA7)</f>
        <v>55</v>
      </c>
    </row>
    <row r="8" spans="2:31" x14ac:dyDescent="0.25">
      <c r="B8" s="73"/>
      <c r="C8" s="73"/>
      <c r="D8" s="73"/>
      <c r="E8" s="5" t="s">
        <v>9</v>
      </c>
      <c r="F8" s="8">
        <v>0.05</v>
      </c>
      <c r="G8" s="13">
        <v>0</v>
      </c>
      <c r="H8" s="35">
        <v>0.05</v>
      </c>
      <c r="I8" s="31">
        <v>0</v>
      </c>
      <c r="J8" s="35">
        <v>0.05</v>
      </c>
      <c r="K8" s="31">
        <v>0</v>
      </c>
      <c r="L8" s="18">
        <v>0.05</v>
      </c>
      <c r="M8" s="13">
        <v>0</v>
      </c>
      <c r="N8" s="18">
        <v>0.05</v>
      </c>
      <c r="O8" s="13">
        <v>0</v>
      </c>
      <c r="P8" s="18">
        <v>0.05</v>
      </c>
      <c r="Q8" s="13">
        <v>0</v>
      </c>
      <c r="R8" s="18">
        <v>0.05</v>
      </c>
      <c r="S8" s="13">
        <v>0</v>
      </c>
      <c r="T8" s="18">
        <v>0.05</v>
      </c>
      <c r="U8" s="13">
        <v>0</v>
      </c>
      <c r="V8" s="18">
        <v>0.05</v>
      </c>
      <c r="W8" s="13">
        <v>0</v>
      </c>
      <c r="X8" s="18">
        <v>0.05</v>
      </c>
      <c r="Y8" s="13">
        <v>0</v>
      </c>
      <c r="Z8" s="18">
        <v>0.05</v>
      </c>
      <c r="AA8" s="13">
        <v>0</v>
      </c>
      <c r="AB8" s="18">
        <v>0.05</v>
      </c>
      <c r="AC8" s="13"/>
      <c r="AD8" s="18">
        <v>0</v>
      </c>
    </row>
    <row r="9" spans="2:31" x14ac:dyDescent="0.25">
      <c r="B9" s="73"/>
      <c r="C9" s="73"/>
      <c r="D9" s="73"/>
      <c r="E9" s="4" t="s">
        <v>10</v>
      </c>
      <c r="F9" s="8">
        <v>0.05</v>
      </c>
      <c r="G9" s="13">
        <v>0</v>
      </c>
      <c r="H9" s="35">
        <v>0.05</v>
      </c>
      <c r="I9" s="31">
        <v>0</v>
      </c>
      <c r="J9" s="35">
        <v>0.05</v>
      </c>
      <c r="K9" s="31">
        <v>0</v>
      </c>
      <c r="L9" s="18">
        <v>0.05</v>
      </c>
      <c r="M9" s="13">
        <v>0</v>
      </c>
      <c r="N9" s="18">
        <v>0.05</v>
      </c>
      <c r="O9" s="13">
        <v>0</v>
      </c>
      <c r="P9" s="18">
        <v>0.05</v>
      </c>
      <c r="Q9" s="13">
        <v>0</v>
      </c>
      <c r="R9" s="18">
        <v>0.05</v>
      </c>
      <c r="S9" s="13">
        <v>0</v>
      </c>
      <c r="T9" s="18">
        <v>0.05</v>
      </c>
      <c r="U9" s="13">
        <v>0</v>
      </c>
      <c r="V9" s="18">
        <v>0.05</v>
      </c>
      <c r="W9" s="13">
        <v>0</v>
      </c>
      <c r="X9" s="18">
        <v>0.05</v>
      </c>
      <c r="Y9" s="13">
        <v>0</v>
      </c>
      <c r="Z9" s="18">
        <v>0.05</v>
      </c>
      <c r="AA9" s="13">
        <v>0</v>
      </c>
      <c r="AB9" s="18">
        <v>0.05</v>
      </c>
      <c r="AC9" s="13"/>
      <c r="AD9" s="18">
        <v>0</v>
      </c>
    </row>
    <row r="10" spans="2:31" x14ac:dyDescent="0.25">
      <c r="B10" s="73"/>
      <c r="C10" s="73"/>
      <c r="D10" s="78" t="s">
        <v>11</v>
      </c>
      <c r="E10" s="4" t="s">
        <v>22</v>
      </c>
      <c r="F10" s="8">
        <v>0.05</v>
      </c>
      <c r="G10" s="13">
        <v>3</v>
      </c>
      <c r="H10" s="35">
        <v>0.03</v>
      </c>
      <c r="I10" s="31">
        <v>4</v>
      </c>
      <c r="J10" s="35">
        <v>0.04</v>
      </c>
      <c r="K10" s="31">
        <v>4</v>
      </c>
      <c r="L10" s="18">
        <v>0.04</v>
      </c>
      <c r="M10" s="13">
        <v>4.5</v>
      </c>
      <c r="N10" s="18">
        <v>4.4999999999999998E-2</v>
      </c>
      <c r="O10" s="13">
        <v>4.5</v>
      </c>
      <c r="P10" s="18">
        <v>4.4999999999999998E-2</v>
      </c>
      <c r="Q10" s="13">
        <v>4.5</v>
      </c>
      <c r="R10" s="18">
        <v>4.4999999999999998E-2</v>
      </c>
      <c r="S10" s="13">
        <v>4.5</v>
      </c>
      <c r="T10" s="18">
        <v>4.4999999999999998E-2</v>
      </c>
      <c r="U10" s="13">
        <v>4.5</v>
      </c>
      <c r="V10" s="18">
        <v>4.4999999999999998E-2</v>
      </c>
      <c r="W10" s="13">
        <v>4.5</v>
      </c>
      <c r="X10" s="18">
        <v>4.4999999999999998E-2</v>
      </c>
      <c r="Y10" s="13">
        <v>4.5</v>
      </c>
      <c r="Z10" s="18">
        <v>4.4999999999999998E-2</v>
      </c>
      <c r="AA10" s="13">
        <v>4.5</v>
      </c>
      <c r="AB10" s="18">
        <v>4.4999999999999998E-2</v>
      </c>
      <c r="AC10" s="13"/>
      <c r="AD10" s="18">
        <v>0</v>
      </c>
    </row>
    <row r="11" spans="2:31" x14ac:dyDescent="0.25">
      <c r="B11" s="73"/>
      <c r="C11" s="73"/>
      <c r="D11" s="79"/>
      <c r="E11" s="5" t="s">
        <v>12</v>
      </c>
      <c r="F11" s="8">
        <v>0.05</v>
      </c>
      <c r="G11" s="13">
        <v>4.5999999999999996</v>
      </c>
      <c r="H11" s="29">
        <v>4.5999999999999999E-2</v>
      </c>
      <c r="I11" s="31">
        <v>4.5999999999999996</v>
      </c>
      <c r="J11" s="35">
        <v>4.5999999999999999E-2</v>
      </c>
      <c r="K11" s="31">
        <v>4.5999999999999996</v>
      </c>
      <c r="L11" s="18">
        <v>4.5999999999999999E-2</v>
      </c>
      <c r="M11" s="13">
        <v>4.5999999999999996</v>
      </c>
      <c r="N11" s="18">
        <v>4.5999999999999999E-2</v>
      </c>
      <c r="O11" s="13">
        <v>4.5999999999999996</v>
      </c>
      <c r="P11" s="18">
        <v>4.5999999999999999E-2</v>
      </c>
      <c r="Q11" s="13">
        <v>4.5999999999999996</v>
      </c>
      <c r="R11" s="18">
        <v>4.5999999999999999E-2</v>
      </c>
      <c r="S11" s="13">
        <v>4.5999999999999996</v>
      </c>
      <c r="T11" s="18">
        <v>4.5999999999999999E-2</v>
      </c>
      <c r="U11" s="13">
        <v>4.5999999999999996</v>
      </c>
      <c r="V11" s="18">
        <v>4.5999999999999999E-2</v>
      </c>
      <c r="W11" s="13">
        <v>4.5999999999999996</v>
      </c>
      <c r="X11" s="18">
        <v>4.5999999999999999E-2</v>
      </c>
      <c r="Y11" s="13">
        <v>4.5999999999999996</v>
      </c>
      <c r="Z11" s="18">
        <v>4.5999999999999999E-2</v>
      </c>
      <c r="AA11" s="13">
        <v>4.5999999999999996</v>
      </c>
      <c r="AB11" s="18">
        <v>4.5999999999999999E-2</v>
      </c>
      <c r="AC11" s="13"/>
      <c r="AD11" s="18">
        <v>0</v>
      </c>
    </row>
    <row r="12" spans="2:31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13">
        <v>0</v>
      </c>
      <c r="H12" s="22">
        <v>0.1</v>
      </c>
      <c r="I12" s="31">
        <v>0</v>
      </c>
      <c r="J12" s="22">
        <v>0.1</v>
      </c>
      <c r="K12" s="31">
        <v>0</v>
      </c>
      <c r="L12" s="22">
        <v>0.1</v>
      </c>
      <c r="M12" s="13" t="s">
        <v>89</v>
      </c>
      <c r="N12" s="18">
        <v>0</v>
      </c>
      <c r="O12" s="13">
        <v>0</v>
      </c>
      <c r="P12" s="18">
        <v>0.1</v>
      </c>
      <c r="Q12" s="13">
        <v>0</v>
      </c>
      <c r="R12" s="18">
        <v>0.1</v>
      </c>
      <c r="S12" s="13">
        <v>0</v>
      </c>
      <c r="T12" s="18">
        <v>0.1</v>
      </c>
      <c r="U12" s="13">
        <v>0</v>
      </c>
      <c r="V12" s="18">
        <v>0.1</v>
      </c>
      <c r="W12" s="13">
        <v>2</v>
      </c>
      <c r="X12" s="18">
        <v>0</v>
      </c>
      <c r="Y12" s="13">
        <v>0</v>
      </c>
      <c r="Z12" s="18">
        <v>0.1</v>
      </c>
      <c r="AA12" s="13">
        <v>0</v>
      </c>
      <c r="AB12" s="18">
        <v>0.1</v>
      </c>
      <c r="AC12" s="13"/>
      <c r="AD12" s="18">
        <v>0</v>
      </c>
    </row>
    <row r="13" spans="2:31" x14ac:dyDescent="0.25">
      <c r="B13" s="73"/>
      <c r="C13" s="76"/>
      <c r="D13" s="77"/>
      <c r="E13" s="4" t="s">
        <v>23</v>
      </c>
      <c r="F13" s="8">
        <v>0.1</v>
      </c>
      <c r="G13" s="13">
        <v>0</v>
      </c>
      <c r="H13" s="8">
        <v>0.1</v>
      </c>
      <c r="I13" s="31">
        <v>0</v>
      </c>
      <c r="J13" s="21">
        <v>0.1</v>
      </c>
      <c r="K13" s="31">
        <v>0</v>
      </c>
      <c r="L13" s="21">
        <v>0.1</v>
      </c>
      <c r="M13" s="13">
        <v>0</v>
      </c>
      <c r="N13" s="18">
        <v>0.1</v>
      </c>
      <c r="O13" s="13">
        <v>0</v>
      </c>
      <c r="P13" s="18">
        <v>0.1</v>
      </c>
      <c r="Q13" s="13">
        <v>0</v>
      </c>
      <c r="R13" s="18">
        <v>0.1</v>
      </c>
      <c r="S13" s="13">
        <v>1</v>
      </c>
      <c r="T13" s="18">
        <v>0.1</v>
      </c>
      <c r="U13" s="13">
        <v>3</v>
      </c>
      <c r="V13" s="18">
        <v>0</v>
      </c>
      <c r="W13" s="13">
        <v>2</v>
      </c>
      <c r="X13" s="18">
        <v>0.1</v>
      </c>
      <c r="Y13" s="13">
        <v>0</v>
      </c>
      <c r="Z13" s="18">
        <v>0.1</v>
      </c>
      <c r="AA13" s="13">
        <v>2</v>
      </c>
      <c r="AB13" s="18">
        <v>0.1</v>
      </c>
      <c r="AC13" s="13"/>
      <c r="AD13" s="18">
        <v>0</v>
      </c>
    </row>
    <row r="14" spans="2:31" ht="63.7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3" t="s">
        <v>44</v>
      </c>
      <c r="H14" s="23">
        <v>0</v>
      </c>
      <c r="I14" s="31" t="s">
        <v>44</v>
      </c>
      <c r="J14" s="23">
        <v>0</v>
      </c>
      <c r="K14" s="31" t="s">
        <v>57</v>
      </c>
      <c r="L14" s="23">
        <v>0</v>
      </c>
      <c r="M14" s="31" t="s">
        <v>69</v>
      </c>
      <c r="N14" s="18">
        <v>0.1</v>
      </c>
      <c r="O14" s="31" t="s">
        <v>69</v>
      </c>
      <c r="P14" s="18">
        <v>0.1</v>
      </c>
      <c r="Q14" s="31" t="s">
        <v>69</v>
      </c>
      <c r="R14" s="18">
        <v>0.1</v>
      </c>
      <c r="S14" s="31" t="s">
        <v>69</v>
      </c>
      <c r="T14" s="18">
        <v>0.1</v>
      </c>
      <c r="U14" s="31" t="s">
        <v>69</v>
      </c>
      <c r="V14" s="18">
        <v>0.1</v>
      </c>
      <c r="W14" s="31" t="s">
        <v>69</v>
      </c>
      <c r="X14" s="18">
        <v>0.1</v>
      </c>
      <c r="Y14" s="31" t="s">
        <v>69</v>
      </c>
      <c r="Z14" s="18">
        <v>0.1</v>
      </c>
      <c r="AA14" s="31" t="s">
        <v>69</v>
      </c>
      <c r="AB14" s="18">
        <v>0.1</v>
      </c>
      <c r="AC14" s="31"/>
      <c r="AD14" s="18">
        <v>0</v>
      </c>
    </row>
    <row r="15" spans="2:31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13">
        <v>70</v>
      </c>
      <c r="H15" s="35">
        <f>((G15/75*100%)*20%)</f>
        <v>0.18666666666666668</v>
      </c>
      <c r="I15" s="31">
        <v>64</v>
      </c>
      <c r="J15" s="35">
        <f>((I15/75*100%)*20%)</f>
        <v>0.17066666666666669</v>
      </c>
      <c r="K15" s="31">
        <v>72</v>
      </c>
      <c r="L15" s="18">
        <f>((K15/75*100%)*20%)</f>
        <v>0.192</v>
      </c>
      <c r="M15" s="13">
        <v>65</v>
      </c>
      <c r="N15" s="18">
        <f>((M15/75*100%)*20%)</f>
        <v>0.17333333333333334</v>
      </c>
      <c r="O15" s="13">
        <v>70</v>
      </c>
      <c r="P15" s="18">
        <f>((O15/75*100%)*20%)</f>
        <v>0.18666666666666668</v>
      </c>
      <c r="Q15" s="13">
        <v>62</v>
      </c>
      <c r="R15" s="18">
        <f>((Q15/75*100%)*20%)</f>
        <v>0.16533333333333333</v>
      </c>
      <c r="S15" s="13">
        <v>70</v>
      </c>
      <c r="T15" s="18">
        <f>((S15/75*100%)*20%)</f>
        <v>0.18666666666666668</v>
      </c>
      <c r="U15" s="13">
        <v>52</v>
      </c>
      <c r="V15" s="18">
        <f>((U15/75*100%)*20%)</f>
        <v>0.13866666666666669</v>
      </c>
      <c r="W15" s="13">
        <v>59</v>
      </c>
      <c r="X15" s="18">
        <f>((W15/75*100%)*20%)</f>
        <v>0.15733333333333333</v>
      </c>
      <c r="Y15" s="13">
        <v>71</v>
      </c>
      <c r="Z15" s="18">
        <f>((Y15/75*100%)*20%)</f>
        <v>0.18933333333333335</v>
      </c>
      <c r="AA15" s="13">
        <v>61</v>
      </c>
      <c r="AB15" s="18">
        <f>((AA15/75*100%)*20%)</f>
        <v>0.16266666666666668</v>
      </c>
      <c r="AC15" s="13"/>
      <c r="AD15" s="18">
        <f>((AC15/75*100%)*20%)</f>
        <v>0</v>
      </c>
    </row>
    <row r="16" spans="2:31" x14ac:dyDescent="0.25">
      <c r="B16" s="73"/>
      <c r="C16" s="76"/>
      <c r="D16" s="77"/>
      <c r="E16" s="5" t="s">
        <v>18</v>
      </c>
      <c r="F16" s="8">
        <v>0.1</v>
      </c>
      <c r="G16" s="13">
        <f>8447/60</f>
        <v>140.78333333333333</v>
      </c>
      <c r="H16" s="35">
        <f>((G16/150*100%)*10%)</f>
        <v>9.3855555555555567E-2</v>
      </c>
      <c r="I16" s="31">
        <f>7355/60</f>
        <v>122.58333333333333</v>
      </c>
      <c r="J16" s="35">
        <f>((I16/150*100%)*10%)</f>
        <v>8.1722222222222224E-2</v>
      </c>
      <c r="K16" s="31">
        <f>8570/60</f>
        <v>142.83333333333334</v>
      </c>
      <c r="L16" s="18">
        <f>((K16/150*100%)*10%)</f>
        <v>9.5222222222222236E-2</v>
      </c>
      <c r="M16" s="13">
        <v>186</v>
      </c>
      <c r="N16" s="18">
        <v>0.1</v>
      </c>
      <c r="O16" s="13">
        <v>140</v>
      </c>
      <c r="P16" s="18">
        <f>((O16/150*100%)*10%)</f>
        <v>9.3333333333333338E-2</v>
      </c>
      <c r="Q16" s="13">
        <v>127</v>
      </c>
      <c r="R16" s="18">
        <f>((Q16/150*100%)*10%)</f>
        <v>8.4666666666666668E-2</v>
      </c>
      <c r="S16" s="13">
        <f>8516/60</f>
        <v>141.93333333333334</v>
      </c>
      <c r="T16" s="18">
        <f>((S16/150*100%)*10%)</f>
        <v>9.4622222222222233E-2</v>
      </c>
      <c r="U16" s="13">
        <f>7281/60</f>
        <v>121.35</v>
      </c>
      <c r="V16" s="18">
        <f>((U16/150*100%)*10%)</f>
        <v>8.09E-2</v>
      </c>
      <c r="W16" s="13">
        <f>6483/60</f>
        <v>108.05</v>
      </c>
      <c r="X16" s="18">
        <f>((W16/150*100%)*10%)</f>
        <v>7.2033333333333324E-2</v>
      </c>
      <c r="Y16" s="13">
        <f>9467/60</f>
        <v>157.78333333333333</v>
      </c>
      <c r="Z16" s="18">
        <f>((Y16/150*100%)*10%)</f>
        <v>0.10518888888888889</v>
      </c>
      <c r="AA16" s="13">
        <f>9191/60</f>
        <v>153.18333333333334</v>
      </c>
      <c r="AB16" s="18">
        <f>((AA16/150*100%)*10%)</f>
        <v>0.10212222222222223</v>
      </c>
      <c r="AC16" s="13"/>
      <c r="AD16" s="18">
        <f>((AC16/150*100%)*10%)</f>
        <v>0</v>
      </c>
    </row>
    <row r="17" spans="2:30" x14ac:dyDescent="0.25">
      <c r="B17" s="78"/>
      <c r="C17" s="76"/>
      <c r="D17" s="77"/>
      <c r="E17" s="6" t="s">
        <v>19</v>
      </c>
      <c r="F17" s="9">
        <v>0.05</v>
      </c>
      <c r="G17" s="13">
        <v>24</v>
      </c>
      <c r="H17" s="35">
        <v>0.05</v>
      </c>
      <c r="I17" s="31">
        <v>23</v>
      </c>
      <c r="J17" s="35">
        <v>4.5999999999999999E-2</v>
      </c>
      <c r="K17" s="31">
        <v>24</v>
      </c>
      <c r="L17" s="18">
        <f>((24/24*100%)*5%)</f>
        <v>0.05</v>
      </c>
      <c r="M17" s="13">
        <v>21</v>
      </c>
      <c r="N17" s="18">
        <f>((M17/24*100%)*5%)</f>
        <v>4.3750000000000004E-2</v>
      </c>
      <c r="O17" s="13">
        <v>23</v>
      </c>
      <c r="P17" s="18">
        <f>((O17/23*100%)*5%)</f>
        <v>0.05</v>
      </c>
      <c r="Q17" s="13">
        <v>22</v>
      </c>
      <c r="R17" s="18">
        <f>((Q17/23*100%)*5%)</f>
        <v>4.7826086956521741E-2</v>
      </c>
      <c r="S17" s="13">
        <v>26</v>
      </c>
      <c r="T17" s="18">
        <f>((S17/24*100%)*5%)</f>
        <v>5.4166666666666669E-2</v>
      </c>
      <c r="U17" s="13">
        <v>22</v>
      </c>
      <c r="V17" s="18">
        <f>((U17/24*100%)*5%)</f>
        <v>4.5833333333333337E-2</v>
      </c>
      <c r="W17" s="13">
        <v>23</v>
      </c>
      <c r="X17" s="18">
        <f>((W17/24*100%)*5%)</f>
        <v>4.791666666666667E-2</v>
      </c>
      <c r="Y17" s="13">
        <v>26</v>
      </c>
      <c r="Z17" s="18">
        <f>((Y17/24*100%)*5%)</f>
        <v>5.4166666666666669E-2</v>
      </c>
      <c r="AA17" s="13">
        <v>22</v>
      </c>
      <c r="AB17" s="18">
        <f>((AA17/24*100%)*5%)</f>
        <v>4.5833333333333337E-2</v>
      </c>
      <c r="AC17" s="13"/>
      <c r="AD17" s="18">
        <f>((AC17/24*100%)*5%)</f>
        <v>0</v>
      </c>
    </row>
    <row r="18" spans="2:30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24"/>
      <c r="H18" s="26">
        <f>SUM(H5:H17)</f>
        <v>0.75652222222222232</v>
      </c>
      <c r="I18" s="25"/>
      <c r="J18" s="26">
        <f>SUM(J5:J17)</f>
        <v>0.73438888888888898</v>
      </c>
      <c r="K18" s="25"/>
      <c r="L18" s="26">
        <f>SUM(L5:L17)</f>
        <v>0.72322222222222232</v>
      </c>
      <c r="M18" s="39"/>
      <c r="N18" s="26">
        <f>SUM(N5:N17)</f>
        <v>0.75808333333333322</v>
      </c>
      <c r="O18" s="39"/>
      <c r="P18" s="26">
        <f>SUM(P5:P17)</f>
        <v>0.82100000000000006</v>
      </c>
      <c r="Q18" s="39"/>
      <c r="R18" s="26">
        <f>SUM(R5:R17)</f>
        <v>0.88882608695652165</v>
      </c>
      <c r="S18" s="39"/>
      <c r="T18" s="26">
        <f>SUM(T5:T17)</f>
        <v>0.92645555555555559</v>
      </c>
      <c r="U18" s="39"/>
      <c r="V18" s="26">
        <f>SUM(V5:V17)</f>
        <v>0.70639999999999992</v>
      </c>
      <c r="W18" s="39"/>
      <c r="X18" s="26">
        <f>SUM(X5:X17)</f>
        <v>0.76828333333333332</v>
      </c>
      <c r="Y18" s="39"/>
      <c r="Z18" s="26">
        <f>SUM(Z5:Z17)</f>
        <v>0.93968888888888891</v>
      </c>
      <c r="AA18" s="39"/>
      <c r="AB18" s="26">
        <f>SUM(AB5:AB17)</f>
        <v>0.90162222222222232</v>
      </c>
      <c r="AC18" s="39"/>
      <c r="AD18" s="26">
        <f>SUM(AD5:AD17)</f>
        <v>0</v>
      </c>
    </row>
  </sheetData>
  <mergeCells count="28">
    <mergeCell ref="B15:B17"/>
    <mergeCell ref="C15:D17"/>
    <mergeCell ref="B18:E18"/>
    <mergeCell ref="B5:B11"/>
    <mergeCell ref="C5:C11"/>
    <mergeCell ref="D5:D6"/>
    <mergeCell ref="D7:D9"/>
    <mergeCell ref="D10:D11"/>
    <mergeCell ref="B12:B13"/>
    <mergeCell ref="C12:D13"/>
    <mergeCell ref="C14:D14"/>
    <mergeCell ref="M3:N3"/>
    <mergeCell ref="O3:P3"/>
    <mergeCell ref="Q3:R3"/>
    <mergeCell ref="B3:B4"/>
    <mergeCell ref="C3:C4"/>
    <mergeCell ref="D3:D4"/>
    <mergeCell ref="E3:E4"/>
    <mergeCell ref="F3:F4"/>
    <mergeCell ref="K3:L3"/>
    <mergeCell ref="I3:J3"/>
    <mergeCell ref="G3:H3"/>
    <mergeCell ref="AC3:AD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929A-97E2-4B3C-91C5-43B97DF517BD}">
  <sheetPr>
    <pageSetUpPr fitToPage="1"/>
  </sheetPr>
  <dimension ref="B1:AE22"/>
  <sheetViews>
    <sheetView topLeftCell="U4" workbookViewId="0">
      <selection activeCell="AE8" sqref="AE8"/>
    </sheetView>
  </sheetViews>
  <sheetFormatPr defaultRowHeight="15" x14ac:dyDescent="0.25"/>
  <cols>
    <col min="3" max="3" width="17.28515625" customWidth="1"/>
    <col min="4" max="4" width="15.140625" customWidth="1"/>
    <col min="5" max="5" width="42.85546875" customWidth="1"/>
    <col min="7" max="7" width="17" hidden="1" customWidth="1"/>
    <col min="8" max="8" width="11.42578125" style="20" customWidth="1"/>
    <col min="9" max="9" width="11.42578125" customWidth="1"/>
    <col min="10" max="10" width="10.85546875" customWidth="1"/>
    <col min="11" max="11" width="11.140625" customWidth="1"/>
    <col min="12" max="12" width="10.85546875" customWidth="1"/>
    <col min="13" max="13" width="11.140625" customWidth="1"/>
    <col min="15" max="15" width="9.140625" customWidth="1"/>
    <col min="17" max="17" width="11.5703125" customWidth="1"/>
    <col min="19" max="19" width="11.140625" customWidth="1"/>
    <col min="20" max="20" width="9.140625" customWidth="1"/>
    <col min="21" max="21" width="11.140625" customWidth="1"/>
    <col min="22" max="30" width="9.140625" customWidth="1"/>
  </cols>
  <sheetData>
    <row r="1" spans="2:31" ht="30" x14ac:dyDescent="0.25">
      <c r="B1" s="53" t="s">
        <v>124</v>
      </c>
      <c r="C1" s="53" t="s">
        <v>127</v>
      </c>
      <c r="D1" s="53"/>
      <c r="E1" s="53"/>
      <c r="F1" s="53"/>
      <c r="G1" s="53"/>
      <c r="H1" s="54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2:31" x14ac:dyDescent="0.25">
      <c r="B2" s="53" t="s">
        <v>125</v>
      </c>
      <c r="C2" s="53" t="s">
        <v>126</v>
      </c>
      <c r="D2" s="53"/>
      <c r="E2" s="53"/>
      <c r="F2" s="53"/>
      <c r="G2" s="53"/>
      <c r="H2" s="54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2:31" x14ac:dyDescent="0.25">
      <c r="B3" s="53"/>
      <c r="C3" s="53"/>
      <c r="D3" s="53"/>
      <c r="E3" s="53"/>
      <c r="F3" s="53"/>
      <c r="G3" s="53"/>
      <c r="H3" s="54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2:31" x14ac:dyDescent="0.25">
      <c r="B4" s="84" t="s">
        <v>0</v>
      </c>
      <c r="C4" s="84" t="s">
        <v>1</v>
      </c>
      <c r="D4" s="84" t="s">
        <v>2</v>
      </c>
      <c r="E4" s="84" t="s">
        <v>4</v>
      </c>
      <c r="F4" s="80" t="s">
        <v>3</v>
      </c>
      <c r="G4" s="80" t="s">
        <v>28</v>
      </c>
      <c r="H4" s="80"/>
      <c r="I4" s="80" t="s">
        <v>52</v>
      </c>
      <c r="J4" s="80"/>
      <c r="K4" s="80" t="s">
        <v>67</v>
      </c>
      <c r="L4" s="80"/>
      <c r="M4" s="80" t="s">
        <v>81</v>
      </c>
      <c r="N4" s="80"/>
      <c r="O4" s="80" t="s">
        <v>84</v>
      </c>
      <c r="P4" s="80"/>
      <c r="Q4" s="80" t="s">
        <v>85</v>
      </c>
      <c r="R4" s="80"/>
      <c r="S4" s="82" t="s">
        <v>117</v>
      </c>
      <c r="T4" s="83"/>
      <c r="U4" s="82" t="s">
        <v>118</v>
      </c>
      <c r="V4" s="83"/>
      <c r="W4" s="82" t="s">
        <v>119</v>
      </c>
      <c r="X4" s="83"/>
      <c r="Y4" s="82" t="s">
        <v>120</v>
      </c>
      <c r="Z4" s="83"/>
      <c r="AA4" s="82" t="s">
        <v>121</v>
      </c>
      <c r="AB4" s="83"/>
      <c r="AC4" s="82" t="s">
        <v>122</v>
      </c>
      <c r="AD4" s="83"/>
    </row>
    <row r="5" spans="2:31" ht="30" x14ac:dyDescent="0.25">
      <c r="B5" s="85"/>
      <c r="C5" s="85"/>
      <c r="D5" s="85"/>
      <c r="E5" s="85"/>
      <c r="F5" s="80"/>
      <c r="G5" s="55" t="s">
        <v>29</v>
      </c>
      <c r="H5" s="56" t="s">
        <v>30</v>
      </c>
      <c r="I5" s="55" t="s">
        <v>29</v>
      </c>
      <c r="J5" s="56" t="s">
        <v>30</v>
      </c>
      <c r="K5" s="55" t="s">
        <v>29</v>
      </c>
      <c r="L5" s="56" t="s">
        <v>30</v>
      </c>
      <c r="M5" s="55" t="s">
        <v>29</v>
      </c>
      <c r="N5" s="56" t="s">
        <v>30</v>
      </c>
      <c r="O5" s="55" t="s">
        <v>29</v>
      </c>
      <c r="P5" s="56" t="s">
        <v>30</v>
      </c>
      <c r="Q5" s="55" t="s">
        <v>29</v>
      </c>
      <c r="R5" s="56" t="s">
        <v>30</v>
      </c>
      <c r="S5" s="7" t="s">
        <v>29</v>
      </c>
      <c r="T5" s="17" t="s">
        <v>30</v>
      </c>
      <c r="U5" s="7" t="s">
        <v>29</v>
      </c>
      <c r="V5" s="17" t="s">
        <v>30</v>
      </c>
      <c r="W5" s="7" t="s">
        <v>29</v>
      </c>
      <c r="X5" s="17" t="s">
        <v>30</v>
      </c>
      <c r="Y5" s="7" t="s">
        <v>29</v>
      </c>
      <c r="Z5" s="17" t="s">
        <v>30</v>
      </c>
      <c r="AA5" s="7" t="s">
        <v>29</v>
      </c>
      <c r="AB5" s="17" t="s">
        <v>30</v>
      </c>
      <c r="AC5" s="7" t="s">
        <v>29</v>
      </c>
      <c r="AD5" s="17" t="s">
        <v>30</v>
      </c>
    </row>
    <row r="6" spans="2:31" ht="30" x14ac:dyDescent="0.25">
      <c r="B6" s="86">
        <v>1</v>
      </c>
      <c r="C6" s="86" t="s">
        <v>5</v>
      </c>
      <c r="D6" s="86" t="s">
        <v>6</v>
      </c>
      <c r="E6" s="3" t="s">
        <v>7</v>
      </c>
      <c r="F6" s="57">
        <v>0.05</v>
      </c>
      <c r="G6" s="16">
        <v>0</v>
      </c>
      <c r="H6" s="57">
        <v>0.05</v>
      </c>
      <c r="I6" s="33">
        <v>0</v>
      </c>
      <c r="J6" s="57">
        <v>0.05</v>
      </c>
      <c r="K6" s="16">
        <v>0</v>
      </c>
      <c r="L6" s="57">
        <v>0.05</v>
      </c>
      <c r="M6" s="13">
        <v>0</v>
      </c>
      <c r="N6" s="42">
        <v>0.05</v>
      </c>
      <c r="O6" s="13">
        <v>0</v>
      </c>
      <c r="P6" s="42">
        <v>0.05</v>
      </c>
      <c r="Q6" s="13">
        <v>0</v>
      </c>
      <c r="R6" s="42">
        <v>0.05</v>
      </c>
      <c r="S6" s="13">
        <v>0</v>
      </c>
      <c r="T6" s="18">
        <v>0.05</v>
      </c>
      <c r="U6" s="13">
        <v>0</v>
      </c>
      <c r="V6" s="18">
        <v>0.05</v>
      </c>
      <c r="W6" s="13">
        <v>0</v>
      </c>
      <c r="X6" s="18">
        <v>0.05</v>
      </c>
      <c r="Y6" s="13">
        <v>0</v>
      </c>
      <c r="Z6" s="18">
        <v>0.05</v>
      </c>
      <c r="AA6" s="13">
        <v>0</v>
      </c>
      <c r="AB6" s="18">
        <v>0.05</v>
      </c>
      <c r="AC6" s="13"/>
      <c r="AD6" s="18">
        <v>0</v>
      </c>
    </row>
    <row r="7" spans="2:31" ht="75" x14ac:dyDescent="0.25">
      <c r="B7" s="86"/>
      <c r="C7" s="86"/>
      <c r="D7" s="86"/>
      <c r="E7" s="3" t="s">
        <v>20</v>
      </c>
      <c r="F7" s="57">
        <v>0.05</v>
      </c>
      <c r="G7" s="16" t="s">
        <v>45</v>
      </c>
      <c r="H7" s="42">
        <v>0</v>
      </c>
      <c r="I7" s="33">
        <v>5</v>
      </c>
      <c r="J7" s="42">
        <v>0</v>
      </c>
      <c r="K7" s="16" t="s">
        <v>77</v>
      </c>
      <c r="L7" s="42">
        <v>0</v>
      </c>
      <c r="M7" s="16" t="s">
        <v>77</v>
      </c>
      <c r="N7" s="42">
        <v>0</v>
      </c>
      <c r="O7" s="16" t="s">
        <v>77</v>
      </c>
      <c r="P7" s="42">
        <v>0</v>
      </c>
      <c r="Q7" s="16" t="s">
        <v>77</v>
      </c>
      <c r="R7" s="42">
        <v>0</v>
      </c>
      <c r="S7" s="13">
        <v>0</v>
      </c>
      <c r="T7" s="18">
        <v>0.05</v>
      </c>
      <c r="U7" s="13">
        <v>0</v>
      </c>
      <c r="V7" s="18">
        <v>0.05</v>
      </c>
      <c r="W7" s="13">
        <v>0</v>
      </c>
      <c r="X7" s="18">
        <v>0.05</v>
      </c>
      <c r="Y7" s="13">
        <v>0</v>
      </c>
      <c r="Z7" s="18">
        <v>0.05</v>
      </c>
      <c r="AA7" s="13">
        <v>0</v>
      </c>
      <c r="AB7" s="18">
        <v>0.05</v>
      </c>
      <c r="AC7" s="13"/>
      <c r="AD7" s="18"/>
    </row>
    <row r="8" spans="2:31" ht="45" x14ac:dyDescent="0.25">
      <c r="B8" s="86"/>
      <c r="C8" s="86"/>
      <c r="D8" s="86" t="s">
        <v>8</v>
      </c>
      <c r="E8" s="4" t="s">
        <v>21</v>
      </c>
      <c r="F8" s="57">
        <v>0.05</v>
      </c>
      <c r="G8" s="16">
        <v>0</v>
      </c>
      <c r="H8" s="58">
        <v>0.05</v>
      </c>
      <c r="I8" s="33">
        <v>4</v>
      </c>
      <c r="J8" s="58">
        <v>0.05</v>
      </c>
      <c r="K8" s="16">
        <v>4</v>
      </c>
      <c r="L8" s="58">
        <v>0</v>
      </c>
      <c r="M8" s="13">
        <v>5</v>
      </c>
      <c r="N8" s="58">
        <v>0.05</v>
      </c>
      <c r="O8" s="13">
        <v>5</v>
      </c>
      <c r="P8" s="58">
        <v>0.05</v>
      </c>
      <c r="Q8" s="13">
        <v>6</v>
      </c>
      <c r="R8" s="58">
        <v>0.05</v>
      </c>
      <c r="S8" s="13">
        <v>3</v>
      </c>
      <c r="T8" s="19">
        <v>0.05</v>
      </c>
      <c r="U8" s="13">
        <v>4</v>
      </c>
      <c r="V8" s="19">
        <v>0.05</v>
      </c>
      <c r="W8" s="13">
        <v>0</v>
      </c>
      <c r="X8" s="19">
        <v>0.05</v>
      </c>
      <c r="Y8" s="13">
        <v>0</v>
      </c>
      <c r="Z8" s="19">
        <v>0.05</v>
      </c>
      <c r="AA8" s="13">
        <v>0</v>
      </c>
      <c r="AB8" s="19">
        <v>0.05</v>
      </c>
      <c r="AC8" s="13"/>
      <c r="AD8" s="19">
        <v>0</v>
      </c>
      <c r="AE8" s="98">
        <f>SUM(G8,I8,K8,M8,O8,Q8,S8,U8,W8,Y8,AA8)</f>
        <v>31</v>
      </c>
    </row>
    <row r="9" spans="2:31" ht="30" x14ac:dyDescent="0.25">
      <c r="B9" s="86"/>
      <c r="C9" s="86"/>
      <c r="D9" s="86"/>
      <c r="E9" s="4" t="s">
        <v>9</v>
      </c>
      <c r="F9" s="57">
        <v>0.05</v>
      </c>
      <c r="G9" s="16">
        <v>0</v>
      </c>
      <c r="H9" s="42">
        <v>0.05</v>
      </c>
      <c r="I9" s="33">
        <v>0</v>
      </c>
      <c r="J9" s="42">
        <v>0.05</v>
      </c>
      <c r="K9" s="16">
        <v>0</v>
      </c>
      <c r="L9" s="42">
        <v>0.05</v>
      </c>
      <c r="M9" s="13">
        <v>0</v>
      </c>
      <c r="N9" s="42">
        <v>0.05</v>
      </c>
      <c r="O9" s="13">
        <v>0</v>
      </c>
      <c r="P9" s="42">
        <v>0.05</v>
      </c>
      <c r="Q9" s="13">
        <v>0</v>
      </c>
      <c r="R9" s="42">
        <v>0.05</v>
      </c>
      <c r="S9" s="13">
        <v>0</v>
      </c>
      <c r="T9" s="42">
        <v>0.05</v>
      </c>
      <c r="U9" s="13">
        <v>0</v>
      </c>
      <c r="V9" s="42">
        <v>0.05</v>
      </c>
      <c r="W9" s="13">
        <v>0</v>
      </c>
      <c r="X9" s="42">
        <v>0.05</v>
      </c>
      <c r="Y9" s="13">
        <v>0</v>
      </c>
      <c r="Z9" s="42">
        <v>0.05</v>
      </c>
      <c r="AA9" s="13">
        <v>0</v>
      </c>
      <c r="AB9" s="42">
        <v>0.05</v>
      </c>
      <c r="AC9" s="13"/>
      <c r="AD9" s="18">
        <v>0</v>
      </c>
    </row>
    <row r="10" spans="2:31" ht="30" x14ac:dyDescent="0.25">
      <c r="B10" s="86"/>
      <c r="C10" s="86"/>
      <c r="D10" s="86"/>
      <c r="E10" s="4" t="s">
        <v>10</v>
      </c>
      <c r="F10" s="57">
        <v>0.05</v>
      </c>
      <c r="G10" s="16">
        <v>0</v>
      </c>
      <c r="H10" s="42">
        <v>0.05</v>
      </c>
      <c r="I10" s="33">
        <v>0</v>
      </c>
      <c r="J10" s="42">
        <v>0.05</v>
      </c>
      <c r="K10" s="16">
        <v>0</v>
      </c>
      <c r="L10" s="42">
        <v>0.05</v>
      </c>
      <c r="M10" s="13">
        <v>0</v>
      </c>
      <c r="N10" s="42">
        <v>0.05</v>
      </c>
      <c r="O10" s="13">
        <v>0</v>
      </c>
      <c r="P10" s="42">
        <v>0.05</v>
      </c>
      <c r="Q10" s="13">
        <v>0</v>
      </c>
      <c r="R10" s="42">
        <v>0.05</v>
      </c>
      <c r="S10" s="13">
        <v>0</v>
      </c>
      <c r="T10" s="42">
        <v>0.05</v>
      </c>
      <c r="U10" s="13">
        <v>0</v>
      </c>
      <c r="V10" s="42">
        <v>0.05</v>
      </c>
      <c r="W10" s="13">
        <v>0</v>
      </c>
      <c r="X10" s="42">
        <v>0.05</v>
      </c>
      <c r="Y10" s="13">
        <v>0</v>
      </c>
      <c r="Z10" s="42">
        <v>0.05</v>
      </c>
      <c r="AA10" s="13">
        <v>0</v>
      </c>
      <c r="AB10" s="42">
        <v>0.05</v>
      </c>
      <c r="AC10" s="13"/>
      <c r="AD10" s="18">
        <v>0</v>
      </c>
    </row>
    <row r="11" spans="2:31" x14ac:dyDescent="0.25">
      <c r="B11" s="86"/>
      <c r="C11" s="86"/>
      <c r="D11" s="87" t="s">
        <v>11</v>
      </c>
      <c r="E11" s="4" t="s">
        <v>22</v>
      </c>
      <c r="F11" s="57">
        <v>0.05</v>
      </c>
      <c r="G11" s="16">
        <v>4</v>
      </c>
      <c r="H11" s="42">
        <v>0.04</v>
      </c>
      <c r="I11" s="33">
        <v>4</v>
      </c>
      <c r="J11" s="42">
        <v>0.04</v>
      </c>
      <c r="K11" s="16">
        <v>4</v>
      </c>
      <c r="L11" s="42">
        <v>0.04</v>
      </c>
      <c r="M11" s="13">
        <v>4.5</v>
      </c>
      <c r="N11" s="42">
        <v>4.4999999999999998E-2</v>
      </c>
      <c r="O11" s="13">
        <v>4.5</v>
      </c>
      <c r="P11" s="42">
        <v>4.4999999999999998E-2</v>
      </c>
      <c r="Q11" s="13">
        <v>4.5</v>
      </c>
      <c r="R11" s="42">
        <v>4.4999999999999998E-2</v>
      </c>
      <c r="S11" s="13">
        <v>4</v>
      </c>
      <c r="T11" s="18">
        <v>0.04</v>
      </c>
      <c r="U11" s="13">
        <v>4</v>
      </c>
      <c r="V11" s="18">
        <v>0.04</v>
      </c>
      <c r="W11" s="13">
        <v>4</v>
      </c>
      <c r="X11" s="18">
        <v>0.04</v>
      </c>
      <c r="Y11" s="13">
        <v>4</v>
      </c>
      <c r="Z11" s="18">
        <v>0.04</v>
      </c>
      <c r="AA11" s="13">
        <v>4</v>
      </c>
      <c r="AB11" s="18">
        <v>0.04</v>
      </c>
      <c r="AC11" s="13"/>
      <c r="AD11" s="18">
        <v>0</v>
      </c>
    </row>
    <row r="12" spans="2:31" ht="30" x14ac:dyDescent="0.25">
      <c r="B12" s="86"/>
      <c r="C12" s="86"/>
      <c r="D12" s="95"/>
      <c r="E12" s="4" t="s">
        <v>12</v>
      </c>
      <c r="F12" s="57">
        <v>0.05</v>
      </c>
      <c r="G12" s="13">
        <v>4.5999999999999996</v>
      </c>
      <c r="H12" s="42">
        <v>4.5999999999999999E-2</v>
      </c>
      <c r="I12" s="33">
        <v>4.5999999999999996</v>
      </c>
      <c r="J12" s="42">
        <v>4.5999999999999999E-2</v>
      </c>
      <c r="K12" s="16">
        <v>4.5999999999999996</v>
      </c>
      <c r="L12" s="42">
        <v>4.5999999999999999E-2</v>
      </c>
      <c r="M12" s="13">
        <v>4.3</v>
      </c>
      <c r="N12" s="42">
        <v>4.2999999999999997E-2</v>
      </c>
      <c r="O12" s="13">
        <v>4.3</v>
      </c>
      <c r="P12" s="42">
        <v>4.2999999999999997E-2</v>
      </c>
      <c r="Q12" s="13">
        <v>4.3</v>
      </c>
      <c r="R12" s="42">
        <v>4.2999999999999997E-2</v>
      </c>
      <c r="S12" s="13">
        <v>4.3</v>
      </c>
      <c r="T12" s="42">
        <v>4.2999999999999997E-2</v>
      </c>
      <c r="U12" s="13">
        <v>4.3</v>
      </c>
      <c r="V12" s="42">
        <v>4.2999999999999997E-2</v>
      </c>
      <c r="W12" s="13">
        <v>4.3</v>
      </c>
      <c r="X12" s="42">
        <v>4.2999999999999997E-2</v>
      </c>
      <c r="Y12" s="13">
        <v>4.3</v>
      </c>
      <c r="Z12" s="42">
        <v>4.2999999999999997E-2</v>
      </c>
      <c r="AA12" s="13">
        <v>4.3</v>
      </c>
      <c r="AB12" s="42">
        <v>4.2999999999999997E-2</v>
      </c>
      <c r="AC12" s="13"/>
      <c r="AD12" s="18">
        <v>0</v>
      </c>
    </row>
    <row r="13" spans="2:31" ht="30" x14ac:dyDescent="0.25">
      <c r="B13" s="86">
        <v>2</v>
      </c>
      <c r="C13" s="88" t="s">
        <v>13</v>
      </c>
      <c r="D13" s="89"/>
      <c r="E13" s="4" t="s">
        <v>14</v>
      </c>
      <c r="F13" s="57">
        <v>0.1</v>
      </c>
      <c r="G13" s="16" t="s">
        <v>46</v>
      </c>
      <c r="H13" s="58">
        <v>0</v>
      </c>
      <c r="I13" s="33">
        <v>0</v>
      </c>
      <c r="J13" s="58">
        <v>0.1</v>
      </c>
      <c r="K13" s="16">
        <v>0</v>
      </c>
      <c r="L13" s="58">
        <v>0.1</v>
      </c>
      <c r="M13" s="13">
        <v>0</v>
      </c>
      <c r="N13" s="42">
        <v>0.1</v>
      </c>
      <c r="O13" s="13">
        <v>0</v>
      </c>
      <c r="P13" s="42">
        <v>0.1</v>
      </c>
      <c r="Q13" s="13" t="s">
        <v>90</v>
      </c>
      <c r="R13" s="42">
        <v>0</v>
      </c>
      <c r="S13" s="13">
        <v>2</v>
      </c>
      <c r="T13" s="18">
        <v>0</v>
      </c>
      <c r="U13" s="13">
        <v>0</v>
      </c>
      <c r="V13" s="18">
        <v>0.1</v>
      </c>
      <c r="W13" s="13">
        <v>0</v>
      </c>
      <c r="X13" s="18">
        <v>0.1</v>
      </c>
      <c r="Y13" s="13">
        <v>0</v>
      </c>
      <c r="Z13" s="18">
        <v>0.1</v>
      </c>
      <c r="AA13" s="13">
        <v>1</v>
      </c>
      <c r="AB13" s="18">
        <v>0</v>
      </c>
      <c r="AC13" s="13"/>
      <c r="AD13" s="18">
        <v>0</v>
      </c>
    </row>
    <row r="14" spans="2:31" ht="30" x14ac:dyDescent="0.25">
      <c r="B14" s="86"/>
      <c r="C14" s="90"/>
      <c r="D14" s="91"/>
      <c r="E14" s="4" t="s">
        <v>23</v>
      </c>
      <c r="F14" s="57">
        <v>0.1</v>
      </c>
      <c r="G14" s="16" t="s">
        <v>47</v>
      </c>
      <c r="H14" s="57">
        <v>0.1</v>
      </c>
      <c r="I14" s="33">
        <v>0</v>
      </c>
      <c r="J14" s="57">
        <v>0.1</v>
      </c>
      <c r="K14" s="16">
        <v>0</v>
      </c>
      <c r="L14" s="57">
        <v>0.1</v>
      </c>
      <c r="M14" s="13">
        <v>4</v>
      </c>
      <c r="N14" s="42">
        <v>0.1</v>
      </c>
      <c r="O14" s="13">
        <v>1</v>
      </c>
      <c r="P14" s="42">
        <v>0.1</v>
      </c>
      <c r="Q14" s="13">
        <v>1</v>
      </c>
      <c r="R14" s="42">
        <v>0.1</v>
      </c>
      <c r="S14" s="13">
        <v>1</v>
      </c>
      <c r="T14" s="18">
        <v>0.1</v>
      </c>
      <c r="U14" s="13">
        <v>2</v>
      </c>
      <c r="V14" s="18">
        <v>0.1</v>
      </c>
      <c r="W14" s="13">
        <v>1</v>
      </c>
      <c r="X14" s="18">
        <v>0.1</v>
      </c>
      <c r="Y14" s="13">
        <v>0</v>
      </c>
      <c r="Z14" s="18">
        <v>0.1</v>
      </c>
      <c r="AA14" s="13">
        <v>0</v>
      </c>
      <c r="AB14" s="18">
        <v>0.1</v>
      </c>
      <c r="AC14" s="13"/>
      <c r="AD14" s="18">
        <v>0</v>
      </c>
    </row>
    <row r="15" spans="2:31" ht="60" x14ac:dyDescent="0.25">
      <c r="B15" s="43">
        <v>3</v>
      </c>
      <c r="C15" s="88" t="s">
        <v>15</v>
      </c>
      <c r="D15" s="89"/>
      <c r="E15" s="4" t="s">
        <v>24</v>
      </c>
      <c r="F15" s="57">
        <v>0.1</v>
      </c>
      <c r="G15" s="16" t="s">
        <v>48</v>
      </c>
      <c r="H15" s="58">
        <v>0</v>
      </c>
      <c r="I15" s="33" t="s">
        <v>37</v>
      </c>
      <c r="J15" s="58">
        <v>0.1</v>
      </c>
      <c r="K15" s="16" t="s">
        <v>69</v>
      </c>
      <c r="L15" s="58">
        <v>0.1</v>
      </c>
      <c r="M15" s="31" t="s">
        <v>69</v>
      </c>
      <c r="N15" s="42">
        <v>0.1</v>
      </c>
      <c r="O15" s="31" t="s">
        <v>69</v>
      </c>
      <c r="P15" s="42">
        <v>0.1</v>
      </c>
      <c r="Q15" s="31" t="s">
        <v>69</v>
      </c>
      <c r="R15" s="42">
        <v>0.1</v>
      </c>
      <c r="S15" s="31" t="s">
        <v>69</v>
      </c>
      <c r="T15" s="42">
        <v>0.1</v>
      </c>
      <c r="U15" s="31" t="s">
        <v>69</v>
      </c>
      <c r="V15" s="42">
        <v>0.1</v>
      </c>
      <c r="W15" s="31" t="s">
        <v>69</v>
      </c>
      <c r="X15" s="42">
        <v>0.1</v>
      </c>
      <c r="Y15" s="31" t="s">
        <v>69</v>
      </c>
      <c r="Z15" s="42">
        <v>0.1</v>
      </c>
      <c r="AA15" s="31" t="s">
        <v>69</v>
      </c>
      <c r="AB15" s="42">
        <v>0.1</v>
      </c>
      <c r="AC15" s="31"/>
      <c r="AD15" s="18">
        <v>0</v>
      </c>
    </row>
    <row r="16" spans="2:31" x14ac:dyDescent="0.25">
      <c r="B16" s="86">
        <v>4</v>
      </c>
      <c r="C16" s="88" t="s">
        <v>16</v>
      </c>
      <c r="D16" s="89"/>
      <c r="E16" s="4" t="s">
        <v>17</v>
      </c>
      <c r="F16" s="57">
        <v>0.2</v>
      </c>
      <c r="G16" s="16">
        <v>75</v>
      </c>
      <c r="H16" s="42">
        <f>((G16/100*100%)*20%)</f>
        <v>0.15000000000000002</v>
      </c>
      <c r="I16" s="33">
        <v>76</v>
      </c>
      <c r="J16" s="42">
        <f>((I16/100*100%)*20%)</f>
        <v>0.15200000000000002</v>
      </c>
      <c r="K16" s="16">
        <v>62</v>
      </c>
      <c r="L16" s="42">
        <f>((K16/100*100%)*20%)</f>
        <v>0.124</v>
      </c>
      <c r="M16" s="13">
        <v>48</v>
      </c>
      <c r="N16" s="42">
        <f>((M16/75*100%)*20%)</f>
        <v>0.128</v>
      </c>
      <c r="O16" s="13">
        <v>74</v>
      </c>
      <c r="P16" s="42">
        <f>((O16/75*100%)*20%)</f>
        <v>0.19733333333333336</v>
      </c>
      <c r="Q16" s="13">
        <v>64</v>
      </c>
      <c r="R16" s="42">
        <f>((Q16/75*100%)*20%)</f>
        <v>0.17066666666666669</v>
      </c>
      <c r="S16" s="13">
        <v>69</v>
      </c>
      <c r="T16" s="18">
        <f>((S16/75*100%)*20%)</f>
        <v>0.18400000000000002</v>
      </c>
      <c r="U16" s="13">
        <v>75</v>
      </c>
      <c r="V16" s="18">
        <f>((U16/75*100%)*20%)</f>
        <v>0.2</v>
      </c>
      <c r="W16" s="13">
        <v>58</v>
      </c>
      <c r="X16" s="18">
        <f>((W16/75*100%)*20%)</f>
        <v>0.15466666666666667</v>
      </c>
      <c r="Y16" s="13">
        <v>69</v>
      </c>
      <c r="Z16" s="18">
        <f>((Y16/75*100%)*20%)</f>
        <v>0.18400000000000002</v>
      </c>
      <c r="AA16" s="13">
        <v>73</v>
      </c>
      <c r="AB16" s="18">
        <f>((AA16/75*100%)*20%)</f>
        <v>0.19466666666666668</v>
      </c>
      <c r="AC16" s="13"/>
      <c r="AD16" s="18">
        <f>((AC16/75*100%)*20%)</f>
        <v>0</v>
      </c>
    </row>
    <row r="17" spans="2:30" ht="30" x14ac:dyDescent="0.25">
      <c r="B17" s="86"/>
      <c r="C17" s="90"/>
      <c r="D17" s="91"/>
      <c r="E17" s="4" t="s">
        <v>18</v>
      </c>
      <c r="F17" s="57">
        <v>0.1</v>
      </c>
      <c r="G17" s="16">
        <f>6631/60</f>
        <v>110.51666666666667</v>
      </c>
      <c r="H17" s="42">
        <f>((G17/150*100%)*10%)</f>
        <v>7.3677777777777773E-2</v>
      </c>
      <c r="I17" s="33">
        <f>6861/60</f>
        <v>114.35</v>
      </c>
      <c r="J17" s="42">
        <f>((I17/150*100%)*10%)</f>
        <v>7.6233333333333334E-2</v>
      </c>
      <c r="K17" s="59">
        <f>5626/60</f>
        <v>93.766666666666666</v>
      </c>
      <c r="L17" s="42">
        <f>((K17/150*100%)*10%)</f>
        <v>6.2511111111111115E-2</v>
      </c>
      <c r="M17" s="13">
        <v>79</v>
      </c>
      <c r="N17" s="42">
        <f>((M17/150*100%)*10%)</f>
        <v>5.2666666666666667E-2</v>
      </c>
      <c r="O17" s="13">
        <v>118</v>
      </c>
      <c r="P17" s="42">
        <f>((O17/150*100%)*10%)</f>
        <v>7.8666666666666663E-2</v>
      </c>
      <c r="Q17" s="13">
        <v>109</v>
      </c>
      <c r="R17" s="42">
        <f>((Q17/150*100%)*10%)</f>
        <v>7.2666666666666671E-2</v>
      </c>
      <c r="S17" s="13">
        <v>110.55</v>
      </c>
      <c r="T17" s="42">
        <f>((S17/150*100%)*10%)</f>
        <v>7.3700000000000002E-2</v>
      </c>
      <c r="U17" s="13">
        <f>7653/60</f>
        <v>127.55</v>
      </c>
      <c r="V17" s="42">
        <f>((U17/150*100%)*10%)</f>
        <v>8.5033333333333336E-2</v>
      </c>
      <c r="W17" s="13">
        <f>7626/60</f>
        <v>127.1</v>
      </c>
      <c r="X17" s="42">
        <f>((W17/150*100%)*10%)</f>
        <v>8.4733333333333327E-2</v>
      </c>
      <c r="Y17" s="13">
        <f>7257/60</f>
        <v>120.95</v>
      </c>
      <c r="Z17" s="42">
        <f>((Y17/150*100%)*10%)</f>
        <v>8.0633333333333335E-2</v>
      </c>
      <c r="AA17" s="13">
        <f>7791/60</f>
        <v>129.85</v>
      </c>
      <c r="AB17" s="42">
        <f>((AA17/150*100%)*10%)</f>
        <v>8.6566666666666667E-2</v>
      </c>
      <c r="AC17" s="13"/>
      <c r="AD17" s="18">
        <f>((AC17/24*100%)*5%)</f>
        <v>0</v>
      </c>
    </row>
    <row r="18" spans="2:30" x14ac:dyDescent="0.25">
      <c r="B18" s="87"/>
      <c r="C18" s="90"/>
      <c r="D18" s="91"/>
      <c r="E18" s="60" t="s">
        <v>19</v>
      </c>
      <c r="F18" s="57">
        <v>0.05</v>
      </c>
      <c r="G18" s="16">
        <v>25</v>
      </c>
      <c r="H18" s="42">
        <v>0.05</v>
      </c>
      <c r="I18" s="33">
        <v>26</v>
      </c>
      <c r="J18" s="42">
        <v>0.05</v>
      </c>
      <c r="K18" s="59">
        <v>23</v>
      </c>
      <c r="L18" s="42">
        <f>((23/24*100%)*5%)</f>
        <v>4.791666666666667E-2</v>
      </c>
      <c r="M18" s="13">
        <v>17</v>
      </c>
      <c r="N18" s="42">
        <f>((M18/23*100%)*5%)</f>
        <v>3.6956521739130437E-2</v>
      </c>
      <c r="O18" s="13">
        <v>24</v>
      </c>
      <c r="P18" s="42">
        <f>((O18/24*100%)*5%)</f>
        <v>0.05</v>
      </c>
      <c r="Q18" s="13">
        <v>22</v>
      </c>
      <c r="R18" s="42">
        <f>((Q18/23*100%)*5%)</f>
        <v>4.7826086956521741E-2</v>
      </c>
      <c r="S18" s="13">
        <v>25</v>
      </c>
      <c r="T18" s="18">
        <f>((S18/24*100%)*5%)</f>
        <v>5.2083333333333343E-2</v>
      </c>
      <c r="U18" s="13">
        <v>26</v>
      </c>
      <c r="V18" s="18">
        <f>((U18/24*100%)*5%)</f>
        <v>5.4166666666666669E-2</v>
      </c>
      <c r="W18" s="13">
        <v>23</v>
      </c>
      <c r="X18" s="18">
        <f>((W18/24*100%)*5%)</f>
        <v>4.791666666666667E-2</v>
      </c>
      <c r="Y18" s="13">
        <v>25</v>
      </c>
      <c r="Z18" s="18">
        <f>((Y18/24*100%)*5%)</f>
        <v>5.2083333333333343E-2</v>
      </c>
      <c r="AA18" s="13">
        <v>25</v>
      </c>
      <c r="AB18" s="18">
        <f>((AA18/24*100%)*5%)</f>
        <v>5.2083333333333343E-2</v>
      </c>
      <c r="AC18" s="13"/>
      <c r="AD18" s="18">
        <f>((AC18/24*100%)*5%)</f>
        <v>0</v>
      </c>
    </row>
    <row r="19" spans="2:30" x14ac:dyDescent="0.25">
      <c r="B19" s="92" t="s">
        <v>25</v>
      </c>
      <c r="C19" s="93"/>
      <c r="D19" s="93"/>
      <c r="E19" s="94"/>
      <c r="F19" s="61">
        <f>SUM(F6:F18)</f>
        <v>0.99999999999999989</v>
      </c>
      <c r="G19" s="59"/>
      <c r="H19" s="62">
        <f>SUM(H6:H18)</f>
        <v>0.65967777777777781</v>
      </c>
      <c r="I19" s="59"/>
      <c r="J19" s="62">
        <f>SUM(J6:J18)</f>
        <v>0.86423333333333341</v>
      </c>
      <c r="K19" s="59"/>
      <c r="L19" s="62">
        <f>SUM(L6:L18)</f>
        <v>0.77042777777777782</v>
      </c>
      <c r="M19" s="63"/>
      <c r="N19" s="62">
        <f>SUM(N6:N18)</f>
        <v>0.80562318840579705</v>
      </c>
      <c r="O19" s="63"/>
      <c r="P19" s="62">
        <f>SUM(P6:P18)</f>
        <v>0.91400000000000003</v>
      </c>
      <c r="Q19" s="63"/>
      <c r="R19" s="62">
        <f>SUM(R6:R18)</f>
        <v>0.77915942028985508</v>
      </c>
      <c r="S19" s="39"/>
      <c r="T19" s="26">
        <f>SUM(T6:T18)</f>
        <v>0.84278333333333333</v>
      </c>
      <c r="U19" s="39"/>
      <c r="V19" s="26">
        <f>SUM(V6:V18)</f>
        <v>0.97219999999999995</v>
      </c>
      <c r="W19" s="39"/>
      <c r="X19" s="26">
        <f>SUM(X6:X18)</f>
        <v>0.92031666666666656</v>
      </c>
      <c r="Y19" s="39"/>
      <c r="Z19" s="26">
        <f>SUM(Z6:Z18)</f>
        <v>0.94971666666666665</v>
      </c>
      <c r="AA19" s="39"/>
      <c r="AB19" s="26">
        <f>SUM(AB6:AB18)</f>
        <v>0.86631666666666662</v>
      </c>
      <c r="AC19" s="39"/>
      <c r="AD19" s="26">
        <f>SUM(AD6:AD18)</f>
        <v>0</v>
      </c>
    </row>
    <row r="22" spans="2:30" x14ac:dyDescent="0.25">
      <c r="S22">
        <v>110.55</v>
      </c>
    </row>
  </sheetData>
  <mergeCells count="28">
    <mergeCell ref="B16:B18"/>
    <mergeCell ref="C16:D18"/>
    <mergeCell ref="B19:E19"/>
    <mergeCell ref="B6:B12"/>
    <mergeCell ref="C6:C12"/>
    <mergeCell ref="D6:D7"/>
    <mergeCell ref="D8:D10"/>
    <mergeCell ref="D11:D12"/>
    <mergeCell ref="B13:B14"/>
    <mergeCell ref="C13:D14"/>
    <mergeCell ref="C15:D15"/>
    <mergeCell ref="K4:L4"/>
    <mergeCell ref="I4:J4"/>
    <mergeCell ref="G4:H4"/>
    <mergeCell ref="S4:T4"/>
    <mergeCell ref="U4:V4"/>
    <mergeCell ref="B4:B5"/>
    <mergeCell ref="C4:C5"/>
    <mergeCell ref="D4:D5"/>
    <mergeCell ref="E4:E5"/>
    <mergeCell ref="F4:F5"/>
    <mergeCell ref="AA4:AB4"/>
    <mergeCell ref="AC4:AD4"/>
    <mergeCell ref="M4:N4"/>
    <mergeCell ref="O4:P4"/>
    <mergeCell ref="Q4:R4"/>
    <mergeCell ref="W4:X4"/>
    <mergeCell ref="Y4:Z4"/>
  </mergeCells>
  <pageMargins left="0.3" right="0.25" top="0.43" bottom="0.75" header="0.3" footer="0.3"/>
  <pageSetup scale="46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88B8-5E0E-4E83-9481-8214F4279444}">
  <dimension ref="B3:AE18"/>
  <sheetViews>
    <sheetView topLeftCell="M1" workbookViewId="0">
      <selection activeCell="AE7" sqref="AE7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7" style="28" customWidth="1"/>
    <col min="8" max="8" width="11.42578125" style="20" customWidth="1"/>
    <col min="9" max="9" width="11.42578125" customWidth="1"/>
    <col min="10" max="10" width="10.85546875" customWidth="1"/>
    <col min="11" max="11" width="12.7109375" customWidth="1"/>
    <col min="12" max="12" width="13" customWidth="1"/>
    <col min="13" max="13" width="11.140625" bestFit="1" customWidth="1"/>
    <col min="14" max="14" width="10.85546875" bestFit="1" customWidth="1"/>
    <col min="15" max="15" width="11.140625" bestFit="1" customWidth="1"/>
    <col min="16" max="16" width="10.85546875" bestFit="1" customWidth="1"/>
    <col min="17" max="17" width="11.140625" bestFit="1" customWidth="1"/>
    <col min="18" max="18" width="10.85546875" bestFit="1" customWidth="1"/>
    <col min="19" max="30" width="9.140625" customWidth="1"/>
  </cols>
  <sheetData>
    <row r="3" spans="2:31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28</v>
      </c>
      <c r="H3" s="67"/>
      <c r="I3" s="67" t="s">
        <v>52</v>
      </c>
      <c r="J3" s="67"/>
      <c r="K3" s="67" t="s">
        <v>67</v>
      </c>
      <c r="L3" s="67"/>
      <c r="M3" s="67" t="s">
        <v>81</v>
      </c>
      <c r="N3" s="67"/>
      <c r="O3" s="67" t="s">
        <v>84</v>
      </c>
      <c r="P3" s="67"/>
      <c r="Q3" s="67" t="s">
        <v>85</v>
      </c>
      <c r="R3" s="67"/>
      <c r="S3" s="67" t="s">
        <v>117</v>
      </c>
      <c r="T3" s="67"/>
      <c r="U3" s="67" t="s">
        <v>118</v>
      </c>
      <c r="V3" s="67"/>
      <c r="W3" s="67" t="s">
        <v>119</v>
      </c>
      <c r="X3" s="67"/>
      <c r="Y3" s="67" t="s">
        <v>120</v>
      </c>
      <c r="Z3" s="67"/>
      <c r="AA3" s="67" t="s">
        <v>121</v>
      </c>
      <c r="AB3" s="67"/>
      <c r="AC3" s="67" t="s">
        <v>122</v>
      </c>
      <c r="AD3" s="67"/>
    </row>
    <row r="4" spans="2:31" x14ac:dyDescent="0.25">
      <c r="B4" s="69"/>
      <c r="C4" s="69"/>
      <c r="D4" s="69"/>
      <c r="E4" s="69"/>
      <c r="F4" s="69"/>
      <c r="G4" s="7" t="s">
        <v>29</v>
      </c>
      <c r="H4" s="17" t="s">
        <v>30</v>
      </c>
      <c r="I4" s="7" t="s">
        <v>29</v>
      </c>
      <c r="J4" s="17" t="s">
        <v>30</v>
      </c>
      <c r="K4" s="7" t="s">
        <v>29</v>
      </c>
      <c r="L4" s="1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  <c r="AA4" s="7" t="s">
        <v>29</v>
      </c>
      <c r="AB4" s="17" t="s">
        <v>30</v>
      </c>
      <c r="AC4" s="7" t="s">
        <v>29</v>
      </c>
      <c r="AD4" s="17" t="s">
        <v>30</v>
      </c>
    </row>
    <row r="5" spans="2:31" ht="38.25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13" t="s">
        <v>49</v>
      </c>
      <c r="H5" s="21">
        <v>0</v>
      </c>
      <c r="I5" s="31" t="s">
        <v>65</v>
      </c>
      <c r="J5" s="21">
        <v>0</v>
      </c>
      <c r="K5" s="13" t="s">
        <v>78</v>
      </c>
      <c r="L5" s="21">
        <v>0</v>
      </c>
      <c r="M5" s="13">
        <v>4</v>
      </c>
      <c r="N5" s="18">
        <v>0</v>
      </c>
      <c r="O5" s="13">
        <v>4</v>
      </c>
      <c r="P5" s="18">
        <v>0</v>
      </c>
      <c r="Q5" s="13">
        <v>0</v>
      </c>
      <c r="R5" s="18">
        <v>0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>
        <v>0</v>
      </c>
      <c r="Z5" s="18">
        <v>0.05</v>
      </c>
      <c r="AA5" s="13">
        <v>0</v>
      </c>
      <c r="AB5" s="18">
        <v>0.05</v>
      </c>
      <c r="AC5" s="13"/>
      <c r="AD5" s="18">
        <v>0</v>
      </c>
    </row>
    <row r="6" spans="2:31" ht="45" x14ac:dyDescent="0.25">
      <c r="B6" s="73"/>
      <c r="C6" s="73"/>
      <c r="D6" s="73"/>
      <c r="E6" s="3" t="s">
        <v>20</v>
      </c>
      <c r="F6" s="8">
        <v>0.05</v>
      </c>
      <c r="G6" s="13">
        <v>0</v>
      </c>
      <c r="H6" s="35">
        <v>0.05</v>
      </c>
      <c r="I6" s="31">
        <v>32</v>
      </c>
      <c r="J6" s="35">
        <v>0</v>
      </c>
      <c r="K6" s="13">
        <v>30</v>
      </c>
      <c r="L6" s="18">
        <v>0</v>
      </c>
      <c r="M6" s="13">
        <v>0</v>
      </c>
      <c r="N6" s="18">
        <v>0.05</v>
      </c>
      <c r="O6" s="13">
        <v>0</v>
      </c>
      <c r="P6" s="18">
        <v>0.05</v>
      </c>
      <c r="Q6" s="13">
        <v>0</v>
      </c>
      <c r="R6" s="18">
        <v>0.05</v>
      </c>
      <c r="S6" s="13">
        <v>0</v>
      </c>
      <c r="T6" s="18">
        <v>0.05</v>
      </c>
      <c r="U6" s="13">
        <v>0</v>
      </c>
      <c r="V6" s="18">
        <v>0.05</v>
      </c>
      <c r="W6" s="13">
        <v>0</v>
      </c>
      <c r="X6" s="18">
        <v>0.05</v>
      </c>
      <c r="Y6" s="13">
        <v>0</v>
      </c>
      <c r="Z6" s="18">
        <v>0.05</v>
      </c>
      <c r="AA6" s="13">
        <v>0</v>
      </c>
      <c r="AB6" s="18">
        <v>0.05</v>
      </c>
      <c r="AC6" s="13"/>
      <c r="AD6" s="18">
        <v>0</v>
      </c>
    </row>
    <row r="7" spans="2:31" ht="30" x14ac:dyDescent="0.25">
      <c r="B7" s="73"/>
      <c r="C7" s="73"/>
      <c r="D7" s="73" t="s">
        <v>8</v>
      </c>
      <c r="E7" s="4" t="s">
        <v>21</v>
      </c>
      <c r="F7" s="8">
        <v>0.05</v>
      </c>
      <c r="G7" s="96">
        <v>3</v>
      </c>
      <c r="H7" s="22">
        <v>0</v>
      </c>
      <c r="I7" s="31">
        <v>7</v>
      </c>
      <c r="J7" s="22">
        <v>0</v>
      </c>
      <c r="K7" s="13">
        <v>10</v>
      </c>
      <c r="L7" s="19">
        <v>0</v>
      </c>
      <c r="M7" s="13">
        <v>2</v>
      </c>
      <c r="N7" s="19">
        <v>0.05</v>
      </c>
      <c r="O7" s="13">
        <v>2</v>
      </c>
      <c r="P7" s="19">
        <v>0.05</v>
      </c>
      <c r="Q7" s="13">
        <v>9</v>
      </c>
      <c r="R7" s="19">
        <v>0</v>
      </c>
      <c r="S7" s="13">
        <v>2</v>
      </c>
      <c r="T7" s="19">
        <v>0.05</v>
      </c>
      <c r="U7" s="13">
        <v>3</v>
      </c>
      <c r="V7" s="19">
        <v>0</v>
      </c>
      <c r="W7" s="13">
        <v>0</v>
      </c>
      <c r="X7" s="19">
        <v>0.05</v>
      </c>
      <c r="Y7" s="13">
        <v>0</v>
      </c>
      <c r="Z7" s="19">
        <v>0.05</v>
      </c>
      <c r="AA7" s="13">
        <v>0</v>
      </c>
      <c r="AB7" s="19">
        <v>0.05</v>
      </c>
      <c r="AC7" s="13"/>
      <c r="AD7" s="19">
        <v>0</v>
      </c>
      <c r="AE7" s="98">
        <f>SUM(G7,I7,K7,M7,O7,Q7,S7,U7,W7,Y7,AA7)</f>
        <v>38</v>
      </c>
    </row>
    <row r="8" spans="2:31" x14ac:dyDescent="0.25">
      <c r="B8" s="73"/>
      <c r="C8" s="73"/>
      <c r="D8" s="73"/>
      <c r="E8" s="5" t="s">
        <v>9</v>
      </c>
      <c r="F8" s="8">
        <v>0.05</v>
      </c>
      <c r="G8" s="13">
        <v>0</v>
      </c>
      <c r="H8" s="35">
        <v>0.05</v>
      </c>
      <c r="I8" s="31" t="s">
        <v>66</v>
      </c>
      <c r="J8" s="35">
        <v>0</v>
      </c>
      <c r="K8" s="13">
        <v>2</v>
      </c>
      <c r="L8" s="18">
        <v>0</v>
      </c>
      <c r="M8" s="13">
        <v>0</v>
      </c>
      <c r="N8" s="18">
        <v>0.05</v>
      </c>
      <c r="O8" s="13">
        <v>0</v>
      </c>
      <c r="P8" s="18">
        <v>0.05</v>
      </c>
      <c r="Q8" s="13">
        <v>0</v>
      </c>
      <c r="R8" s="18">
        <v>0.05</v>
      </c>
      <c r="S8" s="13">
        <v>0</v>
      </c>
      <c r="T8" s="18">
        <v>0.05</v>
      </c>
      <c r="U8" s="13">
        <v>0</v>
      </c>
      <c r="V8" s="18">
        <v>0.05</v>
      </c>
      <c r="W8" s="13">
        <v>0</v>
      </c>
      <c r="X8" s="18">
        <v>0.05</v>
      </c>
      <c r="Y8" s="13">
        <v>0</v>
      </c>
      <c r="Z8" s="18">
        <v>0.05</v>
      </c>
      <c r="AA8" s="13">
        <v>0</v>
      </c>
      <c r="AB8" s="18">
        <v>0.05</v>
      </c>
      <c r="AC8" s="13"/>
      <c r="AD8" s="18">
        <v>0</v>
      </c>
    </row>
    <row r="9" spans="2:31" x14ac:dyDescent="0.25">
      <c r="B9" s="73"/>
      <c r="C9" s="73"/>
      <c r="D9" s="73"/>
      <c r="E9" s="4" t="s">
        <v>10</v>
      </c>
      <c r="F9" s="8">
        <v>0.05</v>
      </c>
      <c r="G9" s="13">
        <v>0</v>
      </c>
      <c r="H9" s="35">
        <v>0.05</v>
      </c>
      <c r="I9" s="31">
        <v>0</v>
      </c>
      <c r="J9" s="35">
        <v>0.05</v>
      </c>
      <c r="K9" s="13" t="s">
        <v>79</v>
      </c>
      <c r="L9" s="18">
        <v>0</v>
      </c>
      <c r="M9" s="13">
        <v>0</v>
      </c>
      <c r="N9" s="18">
        <v>0.05</v>
      </c>
      <c r="O9" s="13">
        <v>0</v>
      </c>
      <c r="P9" s="18">
        <v>0.05</v>
      </c>
      <c r="Q9" s="13">
        <v>0</v>
      </c>
      <c r="R9" s="18">
        <v>0.05</v>
      </c>
      <c r="S9" s="13">
        <v>0</v>
      </c>
      <c r="T9" s="18">
        <v>0.05</v>
      </c>
      <c r="U9" s="13">
        <v>0</v>
      </c>
      <c r="V9" s="18">
        <v>0.05</v>
      </c>
      <c r="W9" s="13">
        <v>0</v>
      </c>
      <c r="X9" s="18">
        <v>0.05</v>
      </c>
      <c r="Y9" s="13">
        <v>0</v>
      </c>
      <c r="Z9" s="18">
        <v>0.05</v>
      </c>
      <c r="AA9" s="13">
        <v>0</v>
      </c>
      <c r="AB9" s="18">
        <v>0.05</v>
      </c>
      <c r="AC9" s="13"/>
      <c r="AD9" s="18">
        <v>0</v>
      </c>
    </row>
    <row r="10" spans="2:31" x14ac:dyDescent="0.25">
      <c r="B10" s="73"/>
      <c r="C10" s="73"/>
      <c r="D10" s="78" t="s">
        <v>11</v>
      </c>
      <c r="E10" s="4" t="s">
        <v>22</v>
      </c>
      <c r="F10" s="8">
        <v>0.05</v>
      </c>
      <c r="G10" s="13">
        <v>3</v>
      </c>
      <c r="H10" s="35">
        <v>0.03</v>
      </c>
      <c r="I10" s="31">
        <v>3</v>
      </c>
      <c r="J10" s="35">
        <v>0.03</v>
      </c>
      <c r="K10" s="13">
        <v>3</v>
      </c>
      <c r="L10" s="18">
        <v>0.03</v>
      </c>
      <c r="M10" s="13">
        <v>3.5</v>
      </c>
      <c r="N10" s="18">
        <v>3.5000000000000003E-2</v>
      </c>
      <c r="O10" s="13">
        <v>3.5</v>
      </c>
      <c r="P10" s="18">
        <v>3.5000000000000003E-2</v>
      </c>
      <c r="Q10" s="13">
        <v>3.5</v>
      </c>
      <c r="R10" s="18">
        <v>3.5000000000000003E-2</v>
      </c>
      <c r="S10" s="13">
        <v>4</v>
      </c>
      <c r="T10" s="18">
        <v>0.04</v>
      </c>
      <c r="U10" s="13">
        <v>4</v>
      </c>
      <c r="V10" s="18">
        <v>0.04</v>
      </c>
      <c r="W10" s="13">
        <v>4</v>
      </c>
      <c r="X10" s="18">
        <v>0.04</v>
      </c>
      <c r="Y10" s="13">
        <v>4</v>
      </c>
      <c r="Z10" s="18">
        <v>0.04</v>
      </c>
      <c r="AA10" s="13">
        <v>4</v>
      </c>
      <c r="AB10" s="18">
        <v>0.04</v>
      </c>
      <c r="AC10" s="13"/>
      <c r="AD10" s="18">
        <v>0</v>
      </c>
    </row>
    <row r="11" spans="2:31" x14ac:dyDescent="0.25">
      <c r="B11" s="73"/>
      <c r="C11" s="73"/>
      <c r="D11" s="79"/>
      <c r="E11" s="5" t="s">
        <v>12</v>
      </c>
      <c r="F11" s="8">
        <v>0.05</v>
      </c>
      <c r="G11" s="13">
        <v>3.6</v>
      </c>
      <c r="H11" s="35">
        <v>3.5999999999999997E-2</v>
      </c>
      <c r="I11" s="31">
        <v>3.6</v>
      </c>
      <c r="J11" s="35">
        <v>3.5999999999999997E-2</v>
      </c>
      <c r="K11" s="13">
        <v>3.6</v>
      </c>
      <c r="L11" s="18">
        <v>3.5999999999999997E-2</v>
      </c>
      <c r="M11" s="13">
        <v>4</v>
      </c>
      <c r="N11" s="18">
        <v>0.04</v>
      </c>
      <c r="O11" s="13">
        <v>4</v>
      </c>
      <c r="P11" s="18">
        <v>0.04</v>
      </c>
      <c r="Q11" s="13">
        <v>4</v>
      </c>
      <c r="R11" s="18">
        <v>0.04</v>
      </c>
      <c r="S11" s="13">
        <v>4</v>
      </c>
      <c r="T11" s="18">
        <v>0.04</v>
      </c>
      <c r="U11" s="13">
        <v>4</v>
      </c>
      <c r="V11" s="18">
        <v>0.04</v>
      </c>
      <c r="W11" s="13">
        <v>4</v>
      </c>
      <c r="X11" s="18">
        <v>0.04</v>
      </c>
      <c r="Y11" s="13">
        <v>4</v>
      </c>
      <c r="Z11" s="18">
        <v>0.04</v>
      </c>
      <c r="AA11" s="13">
        <v>4</v>
      </c>
      <c r="AB11" s="18">
        <v>0.04</v>
      </c>
      <c r="AC11" s="13"/>
      <c r="AD11" s="18">
        <v>0</v>
      </c>
    </row>
    <row r="12" spans="2:31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13">
        <v>0</v>
      </c>
      <c r="H12" s="29">
        <v>0.1</v>
      </c>
      <c r="I12" s="31">
        <v>1</v>
      </c>
      <c r="J12" s="35">
        <v>0</v>
      </c>
      <c r="K12" s="13">
        <v>0</v>
      </c>
      <c r="L12" s="18">
        <v>0.1</v>
      </c>
      <c r="M12" s="13">
        <v>0</v>
      </c>
      <c r="N12" s="18">
        <v>0.1</v>
      </c>
      <c r="O12" s="13">
        <v>0</v>
      </c>
      <c r="P12" s="18">
        <v>0.1</v>
      </c>
      <c r="Q12" s="13">
        <v>0</v>
      </c>
      <c r="R12" s="18">
        <v>0.1</v>
      </c>
      <c r="S12" s="13">
        <v>0</v>
      </c>
      <c r="T12" s="18">
        <v>0.1</v>
      </c>
      <c r="U12" s="13">
        <v>0</v>
      </c>
      <c r="V12" s="18">
        <v>0.1</v>
      </c>
      <c r="W12" s="13">
        <v>0</v>
      </c>
      <c r="X12" s="18">
        <v>0.1</v>
      </c>
      <c r="Y12" s="13">
        <v>0</v>
      </c>
      <c r="Z12" s="18">
        <v>0.1</v>
      </c>
      <c r="AA12" s="13">
        <v>0</v>
      </c>
      <c r="AB12" s="18">
        <v>0.1</v>
      </c>
      <c r="AC12" s="13"/>
      <c r="AD12" s="18">
        <v>0.1</v>
      </c>
    </row>
    <row r="13" spans="2:31" x14ac:dyDescent="0.25">
      <c r="B13" s="73"/>
      <c r="C13" s="76"/>
      <c r="D13" s="77"/>
      <c r="E13" s="4" t="s">
        <v>23</v>
      </c>
      <c r="F13" s="8">
        <v>0.1</v>
      </c>
      <c r="G13" s="13" t="s">
        <v>50</v>
      </c>
      <c r="H13" s="35">
        <v>0.1</v>
      </c>
      <c r="I13" s="31">
        <v>0</v>
      </c>
      <c r="J13" s="35">
        <v>0.1</v>
      </c>
      <c r="K13" s="13">
        <v>0</v>
      </c>
      <c r="L13" s="18">
        <v>0.1</v>
      </c>
      <c r="M13" s="13">
        <v>0</v>
      </c>
      <c r="N13" s="18">
        <v>0.1</v>
      </c>
      <c r="O13" s="13">
        <v>1</v>
      </c>
      <c r="P13" s="18">
        <v>0.1</v>
      </c>
      <c r="Q13" s="13">
        <v>1</v>
      </c>
      <c r="R13" s="18">
        <v>0.1</v>
      </c>
      <c r="S13" s="13">
        <v>0</v>
      </c>
      <c r="T13" s="18">
        <v>0.1</v>
      </c>
      <c r="U13" s="13">
        <v>0</v>
      </c>
      <c r="V13" s="18">
        <v>0.1</v>
      </c>
      <c r="W13" s="13">
        <v>0</v>
      </c>
      <c r="X13" s="18">
        <v>0.1</v>
      </c>
      <c r="Y13" s="13">
        <v>0</v>
      </c>
      <c r="Z13" s="18">
        <v>0.1</v>
      </c>
      <c r="AA13" s="13">
        <v>0</v>
      </c>
      <c r="AB13" s="18">
        <v>0.1</v>
      </c>
      <c r="AC13" s="13"/>
      <c r="AD13" s="18">
        <v>0</v>
      </c>
    </row>
    <row r="14" spans="2:31" ht="63.7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3" t="s">
        <v>51</v>
      </c>
      <c r="H14" s="30">
        <v>0</v>
      </c>
      <c r="I14" s="31" t="s">
        <v>51</v>
      </c>
      <c r="J14" s="22">
        <v>0</v>
      </c>
      <c r="K14" s="13" t="s">
        <v>80</v>
      </c>
      <c r="L14" s="19">
        <v>0</v>
      </c>
      <c r="M14" s="31" t="s">
        <v>69</v>
      </c>
      <c r="N14" s="18">
        <v>0.1</v>
      </c>
      <c r="O14" s="31" t="s">
        <v>69</v>
      </c>
      <c r="P14" s="18">
        <v>0.1</v>
      </c>
      <c r="Q14" s="31" t="s">
        <v>69</v>
      </c>
      <c r="R14" s="18">
        <v>0.1</v>
      </c>
      <c r="S14" s="31" t="s">
        <v>57</v>
      </c>
      <c r="T14" s="18">
        <v>0</v>
      </c>
      <c r="U14" s="31" t="s">
        <v>57</v>
      </c>
      <c r="V14" s="18">
        <v>0</v>
      </c>
      <c r="W14" s="31" t="s">
        <v>57</v>
      </c>
      <c r="X14" s="18">
        <v>0</v>
      </c>
      <c r="Y14" s="31" t="s">
        <v>57</v>
      </c>
      <c r="Z14" s="18">
        <v>0</v>
      </c>
      <c r="AA14" s="31" t="s">
        <v>57</v>
      </c>
      <c r="AB14" s="18">
        <v>0</v>
      </c>
      <c r="AC14" s="31"/>
      <c r="AD14" s="18">
        <v>0</v>
      </c>
    </row>
    <row r="15" spans="2:31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13">
        <v>58</v>
      </c>
      <c r="H15" s="35">
        <f>((G15/100*100%)*20%)</f>
        <v>0.11599999999999999</v>
      </c>
      <c r="I15" s="31">
        <v>64</v>
      </c>
      <c r="J15" s="35">
        <f>((I15/100*100%)*20%)</f>
        <v>0.128</v>
      </c>
      <c r="K15" s="13">
        <v>53</v>
      </c>
      <c r="L15" s="18">
        <f>((K15/100*100%)*20%)</f>
        <v>0.10600000000000001</v>
      </c>
      <c r="M15" s="13">
        <v>52</v>
      </c>
      <c r="N15" s="18">
        <f>((M15/75*100%)*20%)</f>
        <v>0.13866666666666669</v>
      </c>
      <c r="O15" s="13">
        <v>58</v>
      </c>
      <c r="P15" s="18">
        <f>((O15/75*100%)*20%)</f>
        <v>0.15466666666666667</v>
      </c>
      <c r="Q15" s="13">
        <v>60</v>
      </c>
      <c r="R15" s="18">
        <f>((Q15/75*100%)*20%)</f>
        <v>0.16000000000000003</v>
      </c>
      <c r="S15" s="13">
        <v>57</v>
      </c>
      <c r="T15" s="18">
        <f>((S15/75*100%)*20%)</f>
        <v>0.15200000000000002</v>
      </c>
      <c r="U15" s="13">
        <v>48</v>
      </c>
      <c r="V15" s="18">
        <f>((U15/75*100%)*20%)</f>
        <v>0.128</v>
      </c>
      <c r="W15" s="13">
        <v>60</v>
      </c>
      <c r="X15" s="18">
        <f>((W15/75*100%)*20%)</f>
        <v>0.16000000000000003</v>
      </c>
      <c r="Y15" s="13">
        <v>47</v>
      </c>
      <c r="Z15" s="18">
        <f>((Y15/75*100%)*20%)</f>
        <v>0.12533333333333335</v>
      </c>
      <c r="AA15" s="13">
        <v>52</v>
      </c>
      <c r="AB15" s="18">
        <f>((AA15/75*100%)*20%)</f>
        <v>0.13866666666666669</v>
      </c>
      <c r="AC15" s="13"/>
      <c r="AD15" s="18">
        <f>((AC15/75*100%)*20%)</f>
        <v>0</v>
      </c>
    </row>
    <row r="16" spans="2:31" x14ac:dyDescent="0.25">
      <c r="B16" s="73"/>
      <c r="C16" s="76"/>
      <c r="D16" s="77"/>
      <c r="E16" s="5" t="s">
        <v>18</v>
      </c>
      <c r="F16" s="8">
        <v>0.1</v>
      </c>
      <c r="G16" s="13">
        <f>9883/60</f>
        <v>164.71666666666667</v>
      </c>
      <c r="H16" s="35">
        <f>((G16/150*100%)*10%)</f>
        <v>0.10981111111111111</v>
      </c>
      <c r="I16" s="31">
        <f>10306/60</f>
        <v>171.76666666666668</v>
      </c>
      <c r="J16" s="35">
        <f>((I16/150*100%)*10%)</f>
        <v>0.11451111111111112</v>
      </c>
      <c r="K16" s="13">
        <f>9575/60</f>
        <v>159.58333333333334</v>
      </c>
      <c r="L16" s="18">
        <f>((K16/150*100%)*10%)</f>
        <v>0.10638888888888889</v>
      </c>
      <c r="M16" s="13">
        <v>93</v>
      </c>
      <c r="N16" s="18">
        <f>((M16/150*100%)*10%)</f>
        <v>6.2E-2</v>
      </c>
      <c r="O16" s="13">
        <v>188</v>
      </c>
      <c r="P16" s="18">
        <v>0.1</v>
      </c>
      <c r="Q16" s="13">
        <v>158</v>
      </c>
      <c r="R16" s="18">
        <v>0.1</v>
      </c>
      <c r="S16" s="13">
        <f>10470/60</f>
        <v>174.5</v>
      </c>
      <c r="T16" s="18">
        <f>((S16/150*100%)*10%)</f>
        <v>0.11633333333333334</v>
      </c>
      <c r="U16" s="13">
        <f>7884/60</f>
        <v>131.4</v>
      </c>
      <c r="V16" s="18">
        <f>((U16/150*100%)*10%)</f>
        <v>8.7600000000000011E-2</v>
      </c>
      <c r="W16" s="13">
        <f>6783/60</f>
        <v>113.05</v>
      </c>
      <c r="X16" s="18">
        <f>((W16/150*100%)*10%)</f>
        <v>7.5366666666666665E-2</v>
      </c>
      <c r="Y16" s="13">
        <f>8120/60</f>
        <v>135.33333333333334</v>
      </c>
      <c r="Z16" s="18">
        <f>((Y16/150*100%)*10%)</f>
        <v>9.0222222222222231E-2</v>
      </c>
      <c r="AA16" s="13">
        <f>8683/60</f>
        <v>144.71666666666667</v>
      </c>
      <c r="AB16" s="18">
        <f>((AA16/150*100%)*10%)</f>
        <v>9.6477777777777787E-2</v>
      </c>
      <c r="AC16" s="13"/>
      <c r="AD16" s="18">
        <f>((AC16/150*100%)*10%)</f>
        <v>0</v>
      </c>
    </row>
    <row r="17" spans="2:30" x14ac:dyDescent="0.25">
      <c r="B17" s="78"/>
      <c r="C17" s="76"/>
      <c r="D17" s="77"/>
      <c r="E17" s="6" t="s">
        <v>19</v>
      </c>
      <c r="F17" s="9">
        <v>0.05</v>
      </c>
      <c r="G17" s="13">
        <v>24</v>
      </c>
      <c r="H17" s="35">
        <v>0.05</v>
      </c>
      <c r="I17" s="31">
        <v>25</v>
      </c>
      <c r="J17" s="35">
        <f>((23/24*100%)*5%)</f>
        <v>4.791666666666667E-2</v>
      </c>
      <c r="K17" s="13">
        <v>23</v>
      </c>
      <c r="L17" s="18">
        <f>((23/24*100%)*5%)</f>
        <v>4.791666666666667E-2</v>
      </c>
      <c r="M17" s="13">
        <v>22</v>
      </c>
      <c r="N17" s="18">
        <f>((M17/24*100%)*5%)</f>
        <v>4.5833333333333337E-2</v>
      </c>
      <c r="O17" s="13">
        <v>26</v>
      </c>
      <c r="P17" s="18">
        <f>((O17/26*100%)*5%)</f>
        <v>0.05</v>
      </c>
      <c r="Q17" s="13">
        <v>23</v>
      </c>
      <c r="R17" s="18">
        <f>((Q17/23*100%)*5%)</f>
        <v>0.05</v>
      </c>
      <c r="S17" s="13">
        <v>25</v>
      </c>
      <c r="T17" s="18">
        <f>((S17/24*100%)*5%)</f>
        <v>5.2083333333333343E-2</v>
      </c>
      <c r="U17" s="13">
        <v>22</v>
      </c>
      <c r="V17" s="18">
        <f>((U17/24*100%)*5%)</f>
        <v>4.5833333333333337E-2</v>
      </c>
      <c r="W17" s="13">
        <v>26</v>
      </c>
      <c r="X17" s="18">
        <f>((W17/24*100%)*5%)</f>
        <v>5.4166666666666669E-2</v>
      </c>
      <c r="Y17" s="13">
        <v>22</v>
      </c>
      <c r="Z17" s="18">
        <f>((Y17/24*100%)*5%)</f>
        <v>4.5833333333333337E-2</v>
      </c>
      <c r="AA17" s="13">
        <v>25</v>
      </c>
      <c r="AB17" s="18">
        <f>((AA17/24*100%)*5%)</f>
        <v>5.2083333333333343E-2</v>
      </c>
      <c r="AC17" s="13"/>
      <c r="AD17" s="18">
        <f>((AC17/24*100%)*5%)</f>
        <v>0</v>
      </c>
    </row>
    <row r="18" spans="2:30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25"/>
      <c r="H18" s="26">
        <f>SUM(H5:H17)</f>
        <v>0.69181111111111115</v>
      </c>
      <c r="I18" s="25"/>
      <c r="J18" s="45">
        <f>SUM(J5:J17)</f>
        <v>0.50642777777777781</v>
      </c>
      <c r="K18" s="24"/>
      <c r="L18" s="26">
        <f>SUM(L5:L17)</f>
        <v>0.52630555555555558</v>
      </c>
      <c r="M18" s="39"/>
      <c r="N18" s="26">
        <f>SUM(N5:N17)</f>
        <v>0.82150000000000012</v>
      </c>
      <c r="O18" s="39"/>
      <c r="P18" s="26">
        <f>SUM(P5:P17)</f>
        <v>0.87966666666666671</v>
      </c>
      <c r="Q18" s="39"/>
      <c r="R18" s="26">
        <f>SUM(R5:R17)</f>
        <v>0.83500000000000008</v>
      </c>
      <c r="S18" s="39"/>
      <c r="T18" s="26">
        <f>SUM(T5:T17)</f>
        <v>0.85041666666666671</v>
      </c>
      <c r="U18" s="39"/>
      <c r="V18" s="26">
        <f>SUM(V5:V17)</f>
        <v>0.74143333333333339</v>
      </c>
      <c r="W18" s="39"/>
      <c r="X18" s="26">
        <f>SUM(X5:X17)</f>
        <v>0.81953333333333334</v>
      </c>
      <c r="Y18" s="39"/>
      <c r="Z18" s="26">
        <f>SUM(Z5:Z17)</f>
        <v>0.79138888888888892</v>
      </c>
      <c r="AA18" s="39"/>
      <c r="AB18" s="26">
        <f>SUM(AB5:AB17)</f>
        <v>0.81722777777777778</v>
      </c>
      <c r="AC18" s="39"/>
      <c r="AD18" s="26">
        <f>SUM(AD5:AD17)</f>
        <v>0.1</v>
      </c>
    </row>
  </sheetData>
  <mergeCells count="28">
    <mergeCell ref="B15:B17"/>
    <mergeCell ref="C15:D17"/>
    <mergeCell ref="B18:E18"/>
    <mergeCell ref="B5:B11"/>
    <mergeCell ref="C5:C11"/>
    <mergeCell ref="D5:D6"/>
    <mergeCell ref="D7:D9"/>
    <mergeCell ref="D10:D11"/>
    <mergeCell ref="B12:B13"/>
    <mergeCell ref="C12:D13"/>
    <mergeCell ref="C14:D14"/>
    <mergeCell ref="M3:N3"/>
    <mergeCell ref="O3:P3"/>
    <mergeCell ref="Q3:R3"/>
    <mergeCell ref="B3:B4"/>
    <mergeCell ref="C3:C4"/>
    <mergeCell ref="D3:D4"/>
    <mergeCell ref="E3:E4"/>
    <mergeCell ref="F3:F4"/>
    <mergeCell ref="K3:L3"/>
    <mergeCell ref="I3:J3"/>
    <mergeCell ref="G3:H3"/>
    <mergeCell ref="AC3:AD3"/>
    <mergeCell ref="S3:T3"/>
    <mergeCell ref="U3:V3"/>
    <mergeCell ref="W3:X3"/>
    <mergeCell ref="Y3:Z3"/>
    <mergeCell ref="AA3:AB3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22D9-317C-431A-8DDE-18E41387C0B7}">
  <dimension ref="B3:AA18"/>
  <sheetViews>
    <sheetView topLeftCell="R1" workbookViewId="0">
      <selection activeCell="AD10" sqref="AD10"/>
    </sheetView>
  </sheetViews>
  <sheetFormatPr defaultRowHeight="15" x14ac:dyDescent="0.25"/>
  <cols>
    <col min="3" max="3" width="17.28515625" customWidth="1"/>
    <col min="4" max="4" width="15.140625" customWidth="1"/>
    <col min="5" max="5" width="77.7109375" customWidth="1"/>
    <col min="7" max="7" width="12.7109375" customWidth="1"/>
    <col min="8" max="8" width="13" customWidth="1"/>
    <col min="9" max="9" width="11.140625" bestFit="1" customWidth="1"/>
    <col min="10" max="10" width="10.85546875" bestFit="1" customWidth="1"/>
    <col min="11" max="11" width="11.140625" bestFit="1" customWidth="1"/>
    <col min="12" max="12" width="10.85546875" bestFit="1" customWidth="1"/>
    <col min="13" max="13" width="11.140625" bestFit="1" customWidth="1"/>
    <col min="14" max="14" width="10.85546875" bestFit="1" customWidth="1"/>
    <col min="15" max="15" width="11.140625" customWidth="1"/>
    <col min="16" max="16" width="9.140625" customWidth="1"/>
    <col min="17" max="17" width="11.140625" customWidth="1"/>
    <col min="18" max="18" width="9.140625" customWidth="1"/>
    <col min="19" max="19" width="11.140625" customWidth="1"/>
    <col min="20" max="20" width="9.140625" customWidth="1"/>
    <col min="21" max="21" width="11.140625" customWidth="1"/>
    <col min="22" max="22" width="9.140625" customWidth="1"/>
    <col min="23" max="23" width="11.140625" customWidth="1"/>
    <col min="24" max="24" width="9.140625" customWidth="1"/>
    <col min="25" max="25" width="11.140625" customWidth="1"/>
    <col min="26" max="26" width="9.140625" customWidth="1"/>
  </cols>
  <sheetData>
    <row r="3" spans="2:27" x14ac:dyDescent="0.25">
      <c r="B3" s="68" t="s">
        <v>0</v>
      </c>
      <c r="C3" s="68" t="s">
        <v>1</v>
      </c>
      <c r="D3" s="68" t="s">
        <v>2</v>
      </c>
      <c r="E3" s="68" t="s">
        <v>4</v>
      </c>
      <c r="F3" s="68" t="s">
        <v>3</v>
      </c>
      <c r="G3" s="67" t="s">
        <v>67</v>
      </c>
      <c r="H3" s="67"/>
      <c r="I3" s="67" t="s">
        <v>81</v>
      </c>
      <c r="J3" s="67"/>
      <c r="K3" s="67" t="s">
        <v>84</v>
      </c>
      <c r="L3" s="67"/>
      <c r="M3" s="67" t="s">
        <v>85</v>
      </c>
      <c r="N3" s="67"/>
      <c r="O3" s="67" t="s">
        <v>117</v>
      </c>
      <c r="P3" s="67"/>
      <c r="Q3" s="67" t="s">
        <v>118</v>
      </c>
      <c r="R3" s="67"/>
      <c r="S3" s="67" t="s">
        <v>119</v>
      </c>
      <c r="T3" s="67"/>
      <c r="U3" s="67" t="s">
        <v>120</v>
      </c>
      <c r="V3" s="67"/>
      <c r="W3" s="67" t="s">
        <v>121</v>
      </c>
      <c r="X3" s="67"/>
      <c r="Y3" s="67" t="s">
        <v>122</v>
      </c>
      <c r="Z3" s="67"/>
    </row>
    <row r="4" spans="2:27" x14ac:dyDescent="0.25">
      <c r="B4" s="69"/>
      <c r="C4" s="69"/>
      <c r="D4" s="69"/>
      <c r="E4" s="69"/>
      <c r="F4" s="69"/>
      <c r="G4" s="7" t="s">
        <v>29</v>
      </c>
      <c r="H4" s="17" t="s">
        <v>30</v>
      </c>
      <c r="I4" s="7" t="s">
        <v>29</v>
      </c>
      <c r="J4" s="17" t="s">
        <v>30</v>
      </c>
      <c r="K4" s="7" t="s">
        <v>29</v>
      </c>
      <c r="L4" s="17" t="s">
        <v>30</v>
      </c>
      <c r="M4" s="7" t="s">
        <v>29</v>
      </c>
      <c r="N4" s="17" t="s">
        <v>30</v>
      </c>
      <c r="O4" s="7" t="s">
        <v>29</v>
      </c>
      <c r="P4" s="17" t="s">
        <v>30</v>
      </c>
      <c r="Q4" s="7" t="s">
        <v>29</v>
      </c>
      <c r="R4" s="17" t="s">
        <v>30</v>
      </c>
      <c r="S4" s="7" t="s">
        <v>29</v>
      </c>
      <c r="T4" s="17" t="s">
        <v>30</v>
      </c>
      <c r="U4" s="7" t="s">
        <v>29</v>
      </c>
      <c r="V4" s="17" t="s">
        <v>30</v>
      </c>
      <c r="W4" s="7" t="s">
        <v>29</v>
      </c>
      <c r="X4" s="17" t="s">
        <v>30</v>
      </c>
      <c r="Y4" s="7" t="s">
        <v>29</v>
      </c>
      <c r="Z4" s="17" t="s">
        <v>30</v>
      </c>
    </row>
    <row r="5" spans="2:27" x14ac:dyDescent="0.25">
      <c r="B5" s="73">
        <v>1</v>
      </c>
      <c r="C5" s="73" t="s">
        <v>5</v>
      </c>
      <c r="D5" s="73" t="s">
        <v>6</v>
      </c>
      <c r="E5" s="2" t="s">
        <v>7</v>
      </c>
      <c r="F5" s="8">
        <v>0.05</v>
      </c>
      <c r="G5" s="38">
        <v>31</v>
      </c>
      <c r="H5" s="21">
        <v>0</v>
      </c>
      <c r="I5" s="13">
        <v>12</v>
      </c>
      <c r="J5" s="18">
        <v>0</v>
      </c>
      <c r="K5" s="13">
        <v>0</v>
      </c>
      <c r="L5" s="18">
        <v>0</v>
      </c>
      <c r="M5" s="13">
        <v>0</v>
      </c>
      <c r="N5" s="18">
        <v>0</v>
      </c>
      <c r="O5" s="13">
        <v>0</v>
      </c>
      <c r="P5" s="18">
        <v>0.05</v>
      </c>
      <c r="Q5" s="13">
        <v>0</v>
      </c>
      <c r="R5" s="18">
        <v>0.05</v>
      </c>
      <c r="S5" s="13">
        <v>0</v>
      </c>
      <c r="T5" s="18">
        <v>0.05</v>
      </c>
      <c r="U5" s="13">
        <v>0</v>
      </c>
      <c r="V5" s="18">
        <v>0.05</v>
      </c>
      <c r="W5" s="13">
        <v>0</v>
      </c>
      <c r="X5" s="18">
        <v>0.05</v>
      </c>
      <c r="Y5" s="13"/>
      <c r="Z5" s="18">
        <v>0</v>
      </c>
    </row>
    <row r="6" spans="2:27" ht="45" x14ac:dyDescent="0.25">
      <c r="B6" s="73"/>
      <c r="C6" s="73"/>
      <c r="D6" s="73"/>
      <c r="E6" s="3" t="s">
        <v>20</v>
      </c>
      <c r="F6" s="8">
        <v>0.05</v>
      </c>
      <c r="G6" s="38">
        <v>0</v>
      </c>
      <c r="H6" s="18">
        <v>0.05</v>
      </c>
      <c r="I6" s="1">
        <v>0</v>
      </c>
      <c r="J6" s="18">
        <v>0.05</v>
      </c>
      <c r="K6" s="1">
        <v>0</v>
      </c>
      <c r="L6" s="18">
        <v>0.05</v>
      </c>
      <c r="M6" s="1">
        <v>0</v>
      </c>
      <c r="N6" s="18">
        <v>0.05</v>
      </c>
      <c r="O6" s="1">
        <v>0</v>
      </c>
      <c r="P6" s="18">
        <v>0.05</v>
      </c>
      <c r="Q6" s="1">
        <v>0</v>
      </c>
      <c r="R6" s="18">
        <v>0.05</v>
      </c>
      <c r="S6" s="1">
        <v>0</v>
      </c>
      <c r="T6" s="18">
        <v>0.05</v>
      </c>
      <c r="U6" s="1">
        <v>0</v>
      </c>
      <c r="V6" s="18">
        <v>0.05</v>
      </c>
      <c r="W6" s="1">
        <v>0</v>
      </c>
      <c r="X6" s="18">
        <v>0.05</v>
      </c>
      <c r="Y6" s="13"/>
      <c r="Z6" s="18">
        <v>0</v>
      </c>
    </row>
    <row r="7" spans="2:27" ht="30" x14ac:dyDescent="0.25">
      <c r="B7" s="73"/>
      <c r="C7" s="73"/>
      <c r="D7" s="73" t="s">
        <v>8</v>
      </c>
      <c r="E7" s="4" t="s">
        <v>21</v>
      </c>
      <c r="F7" s="8">
        <v>0.05</v>
      </c>
      <c r="G7" s="38">
        <v>16</v>
      </c>
      <c r="H7" s="19">
        <v>0</v>
      </c>
      <c r="I7" s="13">
        <v>16</v>
      </c>
      <c r="J7" s="19">
        <v>0</v>
      </c>
      <c r="K7" s="13">
        <v>15</v>
      </c>
      <c r="L7" s="19">
        <v>0</v>
      </c>
      <c r="M7" s="13">
        <v>15</v>
      </c>
      <c r="N7" s="19">
        <v>0</v>
      </c>
      <c r="O7" s="13">
        <v>12</v>
      </c>
      <c r="P7" s="19">
        <v>0</v>
      </c>
      <c r="Q7" s="13">
        <v>16</v>
      </c>
      <c r="R7" s="19">
        <v>0</v>
      </c>
      <c r="S7" s="13">
        <v>0</v>
      </c>
      <c r="T7" s="19">
        <v>0.05</v>
      </c>
      <c r="U7" s="13">
        <v>0</v>
      </c>
      <c r="V7" s="19">
        <v>0.05</v>
      </c>
      <c r="W7" s="13">
        <v>0</v>
      </c>
      <c r="X7" s="19">
        <v>0.05</v>
      </c>
      <c r="Y7" s="13"/>
      <c r="Z7" s="19">
        <v>0</v>
      </c>
      <c r="AA7" s="98">
        <f>SUM(C7,E7,G7,I7,K7,M7,O7,Q7,S7,U7,W7)</f>
        <v>90</v>
      </c>
    </row>
    <row r="8" spans="2:27" x14ac:dyDescent="0.25">
      <c r="B8" s="73"/>
      <c r="C8" s="73"/>
      <c r="D8" s="73"/>
      <c r="E8" s="5" t="s">
        <v>9</v>
      </c>
      <c r="F8" s="8">
        <v>0.05</v>
      </c>
      <c r="G8" s="38">
        <v>0</v>
      </c>
      <c r="H8" s="18">
        <v>0.05</v>
      </c>
      <c r="I8" s="38">
        <v>0</v>
      </c>
      <c r="J8" s="18">
        <v>0.05</v>
      </c>
      <c r="K8" s="38">
        <v>0</v>
      </c>
      <c r="L8" s="18">
        <v>0.05</v>
      </c>
      <c r="M8" s="38">
        <v>0</v>
      </c>
      <c r="N8" s="18">
        <v>0.05</v>
      </c>
      <c r="O8" s="38">
        <v>0</v>
      </c>
      <c r="P8" s="18">
        <v>0.05</v>
      </c>
      <c r="Q8" s="38">
        <v>0</v>
      </c>
      <c r="R8" s="18">
        <v>0.05</v>
      </c>
      <c r="S8" s="38">
        <v>0</v>
      </c>
      <c r="T8" s="18">
        <v>0.05</v>
      </c>
      <c r="U8" s="38">
        <v>0</v>
      </c>
      <c r="V8" s="18">
        <v>0.05</v>
      </c>
      <c r="W8" s="38">
        <v>0</v>
      </c>
      <c r="X8" s="18">
        <v>0.05</v>
      </c>
      <c r="Y8" s="13"/>
      <c r="Z8" s="18">
        <v>0</v>
      </c>
    </row>
    <row r="9" spans="2:27" x14ac:dyDescent="0.25">
      <c r="B9" s="73"/>
      <c r="C9" s="73"/>
      <c r="D9" s="73"/>
      <c r="E9" s="4" t="s">
        <v>10</v>
      </c>
      <c r="F9" s="8">
        <v>0.05</v>
      </c>
      <c r="G9" s="38">
        <v>0</v>
      </c>
      <c r="H9" s="18">
        <v>0.05</v>
      </c>
      <c r="I9" s="38">
        <v>0</v>
      </c>
      <c r="J9" s="18">
        <v>0.05</v>
      </c>
      <c r="K9" s="38">
        <v>0</v>
      </c>
      <c r="L9" s="18">
        <v>0.05</v>
      </c>
      <c r="M9" s="38">
        <v>0</v>
      </c>
      <c r="N9" s="18">
        <v>0.05</v>
      </c>
      <c r="O9" s="38">
        <v>0</v>
      </c>
      <c r="P9" s="18">
        <v>0.05</v>
      </c>
      <c r="Q9" s="38">
        <v>0</v>
      </c>
      <c r="R9" s="18">
        <v>0.05</v>
      </c>
      <c r="S9" s="38">
        <v>0</v>
      </c>
      <c r="T9" s="18">
        <v>0.05</v>
      </c>
      <c r="U9" s="38">
        <v>0</v>
      </c>
      <c r="V9" s="18">
        <v>0.05</v>
      </c>
      <c r="W9" s="38">
        <v>0</v>
      </c>
      <c r="X9" s="18">
        <v>0.05</v>
      </c>
      <c r="Y9" s="13"/>
      <c r="Z9" s="18">
        <v>0</v>
      </c>
    </row>
    <row r="10" spans="2:27" x14ac:dyDescent="0.25">
      <c r="B10" s="73"/>
      <c r="C10" s="73"/>
      <c r="D10" s="78" t="s">
        <v>11</v>
      </c>
      <c r="E10" s="4" t="s">
        <v>22</v>
      </c>
      <c r="F10" s="8">
        <v>0.05</v>
      </c>
      <c r="G10" s="38">
        <v>3</v>
      </c>
      <c r="H10" s="18">
        <v>0.03</v>
      </c>
      <c r="I10" s="13">
        <v>4</v>
      </c>
      <c r="J10" s="18">
        <v>0.04</v>
      </c>
      <c r="K10" s="13">
        <v>4</v>
      </c>
      <c r="L10" s="18">
        <v>0.04</v>
      </c>
      <c r="M10" s="13">
        <v>4</v>
      </c>
      <c r="N10" s="18">
        <v>0.04</v>
      </c>
      <c r="O10" s="13">
        <v>4</v>
      </c>
      <c r="P10" s="18">
        <v>0.04</v>
      </c>
      <c r="Q10" s="13">
        <v>4</v>
      </c>
      <c r="R10" s="18">
        <v>0.04</v>
      </c>
      <c r="S10" s="13">
        <v>4</v>
      </c>
      <c r="T10" s="18">
        <v>0.04</v>
      </c>
      <c r="U10" s="13">
        <v>4</v>
      </c>
      <c r="V10" s="18">
        <v>0.04</v>
      </c>
      <c r="W10" s="13">
        <v>4</v>
      </c>
      <c r="X10" s="18">
        <v>0.04</v>
      </c>
      <c r="Y10" s="13"/>
      <c r="Z10" s="18"/>
    </row>
    <row r="11" spans="2:27" x14ac:dyDescent="0.25">
      <c r="B11" s="73"/>
      <c r="C11" s="73"/>
      <c r="D11" s="79"/>
      <c r="E11" s="5" t="s">
        <v>12</v>
      </c>
      <c r="F11" s="8">
        <v>0.05</v>
      </c>
      <c r="G11" s="38">
        <v>3.3</v>
      </c>
      <c r="H11" s="18">
        <v>3.3000000000000002E-2</v>
      </c>
      <c r="I11" s="13">
        <v>3.6</v>
      </c>
      <c r="J11" s="18">
        <v>3.5999999999999997E-2</v>
      </c>
      <c r="K11" s="13">
        <v>3.6</v>
      </c>
      <c r="L11" s="18">
        <v>3.5999999999999997E-2</v>
      </c>
      <c r="M11" s="13">
        <v>3.6</v>
      </c>
      <c r="N11" s="18">
        <v>3.5999999999999997E-2</v>
      </c>
      <c r="O11" s="13">
        <v>4</v>
      </c>
      <c r="P11" s="18">
        <v>0.04</v>
      </c>
      <c r="Q11" s="13">
        <v>4</v>
      </c>
      <c r="R11" s="18">
        <v>0.04</v>
      </c>
      <c r="S11" s="13">
        <v>4</v>
      </c>
      <c r="T11" s="18">
        <v>0.04</v>
      </c>
      <c r="U11" s="13">
        <v>4</v>
      </c>
      <c r="V11" s="18">
        <v>0.04</v>
      </c>
      <c r="W11" s="13">
        <v>4</v>
      </c>
      <c r="X11" s="18">
        <v>0.04</v>
      </c>
      <c r="Y11" s="13"/>
      <c r="Z11" s="18"/>
    </row>
    <row r="12" spans="2:27" x14ac:dyDescent="0.25">
      <c r="B12" s="73">
        <v>2</v>
      </c>
      <c r="C12" s="74" t="s">
        <v>13</v>
      </c>
      <c r="D12" s="75"/>
      <c r="E12" s="5" t="s">
        <v>14</v>
      </c>
      <c r="F12" s="8">
        <v>0.1</v>
      </c>
      <c r="G12" s="38">
        <v>0</v>
      </c>
      <c r="H12" s="18">
        <v>0.1</v>
      </c>
      <c r="I12" s="13" t="s">
        <v>91</v>
      </c>
      <c r="J12" s="18">
        <v>0</v>
      </c>
      <c r="K12" s="13">
        <v>0</v>
      </c>
      <c r="L12" s="18">
        <v>0.1</v>
      </c>
      <c r="M12" s="13" t="s">
        <v>91</v>
      </c>
      <c r="N12" s="18">
        <v>0</v>
      </c>
      <c r="O12" s="13">
        <v>3</v>
      </c>
      <c r="P12" s="18">
        <v>0</v>
      </c>
      <c r="Q12" s="13">
        <v>1</v>
      </c>
      <c r="R12" s="18">
        <v>0</v>
      </c>
      <c r="S12" s="13">
        <v>1</v>
      </c>
      <c r="T12" s="18">
        <v>0</v>
      </c>
      <c r="U12" s="13">
        <v>0</v>
      </c>
      <c r="V12" s="18">
        <v>0.1</v>
      </c>
      <c r="W12" s="13">
        <v>0</v>
      </c>
      <c r="X12" s="18">
        <v>0.1</v>
      </c>
      <c r="Y12" s="13"/>
      <c r="Z12" s="18">
        <v>0</v>
      </c>
    </row>
    <row r="13" spans="2:27" x14ac:dyDescent="0.25">
      <c r="B13" s="73"/>
      <c r="C13" s="76"/>
      <c r="D13" s="77"/>
      <c r="E13" s="4" t="s">
        <v>23</v>
      </c>
      <c r="F13" s="8">
        <v>0.1</v>
      </c>
      <c r="G13" s="38">
        <v>0</v>
      </c>
      <c r="H13" s="18">
        <v>0.1</v>
      </c>
      <c r="I13" s="13">
        <v>0</v>
      </c>
      <c r="J13" s="18">
        <v>0.1</v>
      </c>
      <c r="K13" s="13">
        <v>3</v>
      </c>
      <c r="L13" s="18">
        <v>0.1</v>
      </c>
      <c r="M13" s="13">
        <v>3</v>
      </c>
      <c r="N13" s="18">
        <v>0.1</v>
      </c>
      <c r="O13" s="13">
        <v>2</v>
      </c>
      <c r="P13" s="18">
        <v>0.1</v>
      </c>
      <c r="Q13" s="13">
        <v>1</v>
      </c>
      <c r="R13" s="18">
        <v>0.1</v>
      </c>
      <c r="S13" s="13">
        <v>0</v>
      </c>
      <c r="T13" s="18">
        <v>0.1</v>
      </c>
      <c r="U13" s="13">
        <v>0</v>
      </c>
      <c r="V13" s="18">
        <v>0.1</v>
      </c>
      <c r="W13" s="13">
        <v>0</v>
      </c>
      <c r="X13" s="18">
        <v>0.1</v>
      </c>
      <c r="Y13" s="13"/>
      <c r="Z13" s="18">
        <v>0</v>
      </c>
    </row>
    <row r="14" spans="2:27" ht="63.75" x14ac:dyDescent="0.25">
      <c r="B14" s="1">
        <v>3</v>
      </c>
      <c r="C14" s="74" t="s">
        <v>15</v>
      </c>
      <c r="D14" s="75"/>
      <c r="E14" s="4" t="s">
        <v>24</v>
      </c>
      <c r="F14" s="9">
        <v>0.1</v>
      </c>
      <c r="G14" s="1" t="s">
        <v>37</v>
      </c>
      <c r="H14" s="19">
        <v>0.1</v>
      </c>
      <c r="I14" s="31" t="s">
        <v>69</v>
      </c>
      <c r="J14" s="18">
        <v>0.1</v>
      </c>
      <c r="K14" s="31" t="s">
        <v>69</v>
      </c>
      <c r="L14" s="18">
        <v>0.1</v>
      </c>
      <c r="M14" s="31" t="s">
        <v>69</v>
      </c>
      <c r="N14" s="18">
        <v>0.1</v>
      </c>
      <c r="O14" s="31" t="s">
        <v>57</v>
      </c>
      <c r="P14" s="18">
        <v>0</v>
      </c>
      <c r="Q14" s="31" t="s">
        <v>57</v>
      </c>
      <c r="R14" s="18">
        <v>0</v>
      </c>
      <c r="S14" s="31" t="s">
        <v>57</v>
      </c>
      <c r="T14" s="18">
        <v>0</v>
      </c>
      <c r="U14" s="31" t="s">
        <v>57</v>
      </c>
      <c r="V14" s="18">
        <v>0</v>
      </c>
      <c r="W14" s="31" t="s">
        <v>57</v>
      </c>
      <c r="X14" s="18">
        <v>0</v>
      </c>
      <c r="Y14" s="31"/>
      <c r="Z14" s="18">
        <v>0</v>
      </c>
    </row>
    <row r="15" spans="2:27" x14ac:dyDescent="0.25">
      <c r="B15" s="73">
        <v>4</v>
      </c>
      <c r="C15" s="74" t="s">
        <v>16</v>
      </c>
      <c r="D15" s="75"/>
      <c r="E15" s="5" t="s">
        <v>17</v>
      </c>
      <c r="F15" s="8">
        <v>0.2</v>
      </c>
      <c r="G15" s="38">
        <v>71</v>
      </c>
      <c r="H15" s="18">
        <f>((G15/100*100%)*20%)</f>
        <v>0.14199999999999999</v>
      </c>
      <c r="I15" s="13">
        <v>65</v>
      </c>
      <c r="J15" s="18">
        <f>((I15/75*100%)*20%)</f>
        <v>0.17333333333333334</v>
      </c>
      <c r="K15" s="13">
        <v>72</v>
      </c>
      <c r="L15" s="18">
        <f>((K15/75*100%)*20%)</f>
        <v>0.192</v>
      </c>
      <c r="M15" s="13">
        <v>72</v>
      </c>
      <c r="N15" s="18">
        <f>((M15/75*100%)*20%)</f>
        <v>0.192</v>
      </c>
      <c r="O15" s="13">
        <v>72</v>
      </c>
      <c r="P15" s="18">
        <f>((O15/75*100%)*20%)</f>
        <v>0.192</v>
      </c>
      <c r="Q15" s="13">
        <v>62</v>
      </c>
      <c r="R15" s="18">
        <f>((Q15/75*100%)*20%)</f>
        <v>0.16533333333333333</v>
      </c>
      <c r="S15" s="13">
        <v>69</v>
      </c>
      <c r="T15" s="18">
        <f>((S15/75*100%)*20%)</f>
        <v>0.18400000000000002</v>
      </c>
      <c r="U15" s="13">
        <v>64</v>
      </c>
      <c r="V15" s="18">
        <f>((U15/75*100%)*20%)</f>
        <v>0.17066666666666669</v>
      </c>
      <c r="W15" s="13">
        <v>67</v>
      </c>
      <c r="X15" s="18">
        <f>((W15/75*100%)*20%)</f>
        <v>0.17866666666666667</v>
      </c>
      <c r="Y15" s="13"/>
      <c r="Z15" s="18">
        <f>((Y15/75*100%)*20%)</f>
        <v>0</v>
      </c>
    </row>
    <row r="16" spans="2:27" x14ac:dyDescent="0.25">
      <c r="B16" s="73"/>
      <c r="C16" s="76"/>
      <c r="D16" s="77"/>
      <c r="E16" s="5" t="s">
        <v>18</v>
      </c>
      <c r="F16" s="8">
        <v>0.1</v>
      </c>
      <c r="G16" s="38">
        <f>6322/60</f>
        <v>105.36666666666666</v>
      </c>
      <c r="H16" s="18">
        <f>((G16/150*100%)*10%)</f>
        <v>7.0244444444444443E-2</v>
      </c>
      <c r="I16" s="13">
        <v>101</v>
      </c>
      <c r="J16" s="18">
        <f>((I16/150*100%)*10%)</f>
        <v>6.7333333333333342E-2</v>
      </c>
      <c r="K16" s="13">
        <v>123</v>
      </c>
      <c r="L16" s="18">
        <f>((K16/150*100%)*10%)</f>
        <v>8.2000000000000003E-2</v>
      </c>
      <c r="M16" s="13">
        <v>123</v>
      </c>
      <c r="N16" s="18">
        <f>((M16/150*100%)*10%)</f>
        <v>8.2000000000000003E-2</v>
      </c>
      <c r="O16" s="13">
        <f>6166/60</f>
        <v>102.76666666666667</v>
      </c>
      <c r="P16" s="18">
        <f>((O16/150*100%)*10%)</f>
        <v>6.851111111111112E-2</v>
      </c>
      <c r="Q16" s="13">
        <f>5887/60</f>
        <v>98.11666666666666</v>
      </c>
      <c r="R16" s="18">
        <f>((Q16/150*100%)*10%)</f>
        <v>6.5411111111111114E-2</v>
      </c>
      <c r="S16" s="13">
        <f>8161/60</f>
        <v>136.01666666666668</v>
      </c>
      <c r="T16" s="18">
        <f>((S16/150*100%)*10%)</f>
        <v>9.0677777777777802E-2</v>
      </c>
      <c r="U16" s="13">
        <f>6035/60</f>
        <v>100.58333333333333</v>
      </c>
      <c r="V16" s="18">
        <f>((U16/150*100%)*10%)</f>
        <v>6.7055555555555563E-2</v>
      </c>
      <c r="W16" s="13">
        <f>6565/60</f>
        <v>109.41666666666667</v>
      </c>
      <c r="X16" s="18">
        <f>((W16/150*100%)*10%)</f>
        <v>7.2944444444444451E-2</v>
      </c>
      <c r="Y16" s="13"/>
      <c r="Z16" s="18">
        <f>((Y16/150*100%)*10%)</f>
        <v>0</v>
      </c>
    </row>
    <row r="17" spans="2:26" x14ac:dyDescent="0.25">
      <c r="B17" s="78"/>
      <c r="C17" s="76"/>
      <c r="D17" s="77"/>
      <c r="E17" s="6" t="s">
        <v>19</v>
      </c>
      <c r="F17" s="9">
        <v>0.05</v>
      </c>
      <c r="G17" s="38">
        <v>24</v>
      </c>
      <c r="H17" s="18">
        <f>((23/24*100%)*5%)</f>
        <v>4.791666666666667E-2</v>
      </c>
      <c r="I17" s="13">
        <v>22</v>
      </c>
      <c r="J17" s="18">
        <f>((I17/24*100%)*5%)</f>
        <v>4.5833333333333337E-2</v>
      </c>
      <c r="K17" s="13">
        <v>23</v>
      </c>
      <c r="L17" s="18">
        <f>((K17/25*100%)*5%)</f>
        <v>4.6000000000000006E-2</v>
      </c>
      <c r="M17" s="13">
        <v>23</v>
      </c>
      <c r="N17" s="18">
        <f>((M17/23*100%)*5%)</f>
        <v>0.05</v>
      </c>
      <c r="O17" s="13">
        <v>24</v>
      </c>
      <c r="P17" s="18">
        <f>((O17/24*100%)*5%)</f>
        <v>0.05</v>
      </c>
      <c r="Q17" s="13">
        <v>23</v>
      </c>
      <c r="R17" s="18">
        <f>((Q17/24*100%)*5%)</f>
        <v>4.791666666666667E-2</v>
      </c>
      <c r="S17" s="13">
        <v>25</v>
      </c>
      <c r="T17" s="18">
        <f>((S17/24*100%)*5%)</f>
        <v>5.2083333333333343E-2</v>
      </c>
      <c r="U17" s="13">
        <v>26</v>
      </c>
      <c r="V17" s="18">
        <f>((U17/24*100%)*5%)</f>
        <v>5.4166666666666669E-2</v>
      </c>
      <c r="W17" s="13">
        <v>24</v>
      </c>
      <c r="X17" s="18">
        <f>((W17/24*100%)*5%)</f>
        <v>0.05</v>
      </c>
      <c r="Y17" s="13"/>
      <c r="Z17" s="18">
        <f>((Y17/24*100%)*5%)</f>
        <v>0</v>
      </c>
    </row>
    <row r="18" spans="2:26" x14ac:dyDescent="0.25">
      <c r="B18" s="70" t="s">
        <v>25</v>
      </c>
      <c r="C18" s="71"/>
      <c r="D18" s="71"/>
      <c r="E18" s="72"/>
      <c r="F18" s="10">
        <f>SUM(F5:F17)</f>
        <v>0.99999999999999989</v>
      </c>
      <c r="G18" s="24"/>
      <c r="H18" s="26">
        <f>SUM(H5:H17)</f>
        <v>0.77316111111111119</v>
      </c>
      <c r="I18" s="39"/>
      <c r="J18" s="26">
        <f>SUM(J5:J17)</f>
        <v>0.71250000000000013</v>
      </c>
      <c r="K18" s="39"/>
      <c r="L18" s="26">
        <f>SUM(L5:L17)</f>
        <v>0.84599999999999997</v>
      </c>
      <c r="M18" s="39"/>
      <c r="N18" s="26">
        <f>SUM(N5:N17)</f>
        <v>0.75000000000000011</v>
      </c>
      <c r="O18" s="39"/>
      <c r="P18" s="26">
        <f>SUM(P5:P17)</f>
        <v>0.69051111111111119</v>
      </c>
      <c r="Q18" s="39"/>
      <c r="R18" s="26">
        <f>SUM(R5:R17)</f>
        <v>0.65866111111111114</v>
      </c>
      <c r="S18" s="39"/>
      <c r="T18" s="26">
        <f>SUM(T5:T17)</f>
        <v>0.75676111111111111</v>
      </c>
      <c r="U18" s="39"/>
      <c r="V18" s="26">
        <f>SUM(V5:V17)</f>
        <v>0.82188888888888878</v>
      </c>
      <c r="W18" s="39"/>
      <c r="X18" s="26">
        <f>SUM(X5:X17)</f>
        <v>0.83161111111111108</v>
      </c>
      <c r="Y18" s="39"/>
      <c r="Z18" s="26">
        <f>SUM(Z5:Z17)</f>
        <v>0</v>
      </c>
    </row>
  </sheetData>
  <mergeCells count="26">
    <mergeCell ref="C12:D13"/>
    <mergeCell ref="C14:D14"/>
    <mergeCell ref="B15:B17"/>
    <mergeCell ref="C15:D17"/>
    <mergeCell ref="B18:E18"/>
    <mergeCell ref="B12:B13"/>
    <mergeCell ref="I3:J3"/>
    <mergeCell ref="K3:L3"/>
    <mergeCell ref="M3:N3"/>
    <mergeCell ref="G3:H3"/>
    <mergeCell ref="B5:B11"/>
    <mergeCell ref="C5:C11"/>
    <mergeCell ref="D5:D6"/>
    <mergeCell ref="D7:D9"/>
    <mergeCell ref="D10:D11"/>
    <mergeCell ref="B3:B4"/>
    <mergeCell ref="C3:C4"/>
    <mergeCell ref="D3:D4"/>
    <mergeCell ref="E3:E4"/>
    <mergeCell ref="F3:F4"/>
    <mergeCell ref="Y3:Z3"/>
    <mergeCell ref="O3:P3"/>
    <mergeCell ref="Q3:R3"/>
    <mergeCell ref="S3:T3"/>
    <mergeCell ref="U3:V3"/>
    <mergeCell ref="W3:X3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Rekap</vt:lpstr>
      <vt:lpstr>Anam</vt:lpstr>
      <vt:lpstr>Akbar</vt:lpstr>
      <vt:lpstr>Suparman</vt:lpstr>
      <vt:lpstr>Mahrus</vt:lpstr>
      <vt:lpstr>Lucky</vt:lpstr>
      <vt:lpstr>Andik</vt:lpstr>
      <vt:lpstr>Abu</vt:lpstr>
      <vt:lpstr>Almas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2025-07-29T05:43:38Z</cp:lastPrinted>
  <dcterms:created xsi:type="dcterms:W3CDTF">2025-01-07T05:12:59Z</dcterms:created>
  <dcterms:modified xsi:type="dcterms:W3CDTF">2025-12-20T04:48:48Z</dcterms:modified>
</cp:coreProperties>
</file>