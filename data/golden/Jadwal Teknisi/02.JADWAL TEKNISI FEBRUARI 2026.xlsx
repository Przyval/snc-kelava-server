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BAR R" sheetId="1" r:id="rId4"/>
    <sheet state="visible" name="ANAM" sheetId="2" r:id="rId5"/>
    <sheet state="visible" name="ABU S" sheetId="3" r:id="rId6"/>
    <sheet state="visible" name="ADAM" sheetId="4" r:id="rId7"/>
    <sheet state="visible" name="MAHRUS" sheetId="5" r:id="rId8"/>
    <sheet state="visible" name="ALMAS" sheetId="6" r:id="rId9"/>
    <sheet state="visible" name="ANDIK" sheetId="7" r:id="rId10"/>
    <sheet state="visible" name="LUCKY" sheetId="8" r:id="rId11"/>
    <sheet state="visible" name="MAULANA" sheetId="9" r:id="rId12"/>
    <sheet state="visible" name="IWAN" sheetId="10" r:id="rId13"/>
    <sheet state="visible" name="RENDY" sheetId="11" r:id="rId14"/>
    <sheet state="visible" name="ARGA" sheetId="12" r:id="rId15"/>
    <sheet state="visible" name="GILANG" sheetId="13" r:id="rId16"/>
    <sheet state="visible" name="FATHUR" sheetId="14" r:id="rId17"/>
    <sheet state="visible" name="MARIL" sheetId="15" r:id="rId18"/>
    <sheet state="visible" name="RIFQY" sheetId="16" r:id="rId19"/>
    <sheet state="visible" name="FARHAN" sheetId="17" r:id="rId20"/>
    <sheet state="visible" name="MAMAN" sheetId="18" r:id="rId21"/>
    <sheet state="visible" name="Jadwal Mobil" sheetId="19" r:id="rId22"/>
  </sheets>
  <definedNames>
    <definedName hidden="1" localSheetId="0" name="_xlnm._FilterDatabase">'AKBAR R'!$W$9:$Y$44</definedName>
    <definedName hidden="1" localSheetId="1" name="_xlnm._FilterDatabase">ANAM!$W$14:$Y$45</definedName>
    <definedName hidden="1" localSheetId="2" name="_xlnm._FilterDatabase">'ABU S'!$W$5:$Y$35</definedName>
    <definedName hidden="1" localSheetId="4" name="_xlnm._FilterDatabase">MAHRUS!$W$9:$Y$35</definedName>
    <definedName hidden="1" localSheetId="6" name="_xlnm._FilterDatabase">ANDIK!$W$13:$Y$41</definedName>
    <definedName hidden="1" localSheetId="7" name="_xlnm._FilterDatabase">LUCKY!$W$13:$Y$34</definedName>
    <definedName hidden="1" localSheetId="17" name="_xlnm._FilterDatabase">MAMAN!$W$13:$Y$41</definedName>
  </definedNames>
  <calcPr/>
  <extLst>
    <ext uri="GoogleSheetsCustomDataVersion2">
      <go:sheetsCustomData xmlns:go="http://customooxmlschemas.google.com/" r:id="rId23" roundtripDataChecksum="ZxuPonVrUNuFg3g5iuWKSfkGfTjO3LgwVOWA93gSZL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9">
      <text>
        <t xml:space="preserve">======
ID#AAABzHkSGR4
Quality Control    (2026-01-28 07:46:16)
jika gt dipindah sini</t>
      </text>
    </comment>
  </commentList>
  <extLst>
    <ext uri="GoogleSheetsCustomDataVersion2">
      <go:sheetsCustomData xmlns:go="http://customooxmlschemas.google.com/" r:id="rId1" roundtripDataSignature="AMtx7mh8fOVoJyNN/8hYE6iPlFNxqcoPN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3">
      <text>
        <t xml:space="preserve">======
ID#AAAB0Za2AB8
Quality Control    (2026-02-14 05:14:35)
IMAM</t>
      </text>
    </comment>
  </commentList>
  <extLst>
    <ext uri="GoogleSheetsCustomDataVersion2">
      <go:sheetsCustomData xmlns:go="http://customooxmlschemas.google.com/" r:id="rId1" roundtripDataSignature="AMtx7mgHoqBgHTUISD46L4msQpWRvTl3G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5">
      <text>
        <t xml:space="preserve">======
ID#AAABtUTEItY
Quality Control    (2025-10-30 03:50:19)
Adam</t>
      </text>
    </comment>
    <comment authorId="0" ref="I20">
      <text>
        <t xml:space="preserve">======
ID#AAABtUTEItU
Quality Control    (2025-10-30 03:43:04)
adam</t>
      </text>
    </comment>
    <comment authorId="0" ref="A16">
      <text>
        <t xml:space="preserve">======
ID#AAABryzEx20
Quality Control    (2025-09-11 07:57:42)
Adam</t>
      </text>
    </comment>
  </commentList>
  <extLst>
    <ext uri="GoogleSheetsCustomDataVersion2">
      <go:sheetsCustomData xmlns:go="http://customooxmlschemas.google.com/" r:id="rId1" roundtripDataSignature="AMtx7mjo9hBXP5T9hCTqH4gLrWElHl8A1w=="/>
    </ext>
  </extLst>
</comments>
</file>

<file path=xl/sharedStrings.xml><?xml version="1.0" encoding="utf-8"?>
<sst xmlns="http://schemas.openxmlformats.org/spreadsheetml/2006/main" count="4320" uniqueCount="492">
  <si>
    <t>Nama</t>
  </si>
  <si>
    <t>: AKBAR</t>
  </si>
  <si>
    <t>JADWAL TEKNISI BULAN FEBRUARI 2026</t>
  </si>
  <si>
    <t>SUPERVISOR</t>
  </si>
  <si>
    <t>: IDRIS</t>
  </si>
  <si>
    <t>TOTAL KUNJUNGAN</t>
  </si>
  <si>
    <t>JAM EFEKTIF</t>
  </si>
  <si>
    <t>SENIN</t>
  </si>
  <si>
    <t>SELASA</t>
  </si>
  <si>
    <t>RABU</t>
  </si>
  <si>
    <t>KAMIS</t>
  </si>
  <si>
    <t>JUMAT</t>
  </si>
  <si>
    <t>SABTU</t>
  </si>
  <si>
    <t>MINGGU</t>
  </si>
  <si>
    <t>OFF</t>
  </si>
  <si>
    <t>No</t>
  </si>
  <si>
    <t>Client</t>
  </si>
  <si>
    <t>Kunjungan</t>
  </si>
  <si>
    <t>88 KDS</t>
  </si>
  <si>
    <t>AADK ARH</t>
  </si>
  <si>
    <t>AADK WIY</t>
  </si>
  <si>
    <t>ASIA CROFFLE</t>
  </si>
  <si>
    <t>ASINAN PTC</t>
  </si>
  <si>
    <t>LAMORA</t>
  </si>
  <si>
    <t>13.00-15.00</t>
  </si>
  <si>
    <t>PRC</t>
  </si>
  <si>
    <t>BENHILL</t>
  </si>
  <si>
    <t>P. DANIEL</t>
  </si>
  <si>
    <t>11.00-12.00</t>
  </si>
  <si>
    <t>10.00-13.00</t>
  </si>
  <si>
    <t>21.00-22.00</t>
  </si>
  <si>
    <t>PC</t>
  </si>
  <si>
    <t>BU CYNTHIA</t>
  </si>
  <si>
    <t>14.00-15.00</t>
  </si>
  <si>
    <t>RC</t>
  </si>
  <si>
    <t>CV.DESEMBER</t>
  </si>
  <si>
    <t>13.00-16.00</t>
  </si>
  <si>
    <t>BRAVO M</t>
  </si>
  <si>
    <t>09.00-10.00</t>
  </si>
  <si>
    <t>PAK.YANS</t>
  </si>
  <si>
    <t>GT</t>
  </si>
  <si>
    <t>SHELL MAST</t>
  </si>
  <si>
    <t>00.00-01.00</t>
  </si>
  <si>
    <t>BU.MARIA</t>
  </si>
  <si>
    <t>DAPUR RT</t>
  </si>
  <si>
    <t>IMPERIAL CHEF</t>
  </si>
  <si>
    <t>01.30-03.00</t>
  </si>
  <si>
    <t>23.00-02.00</t>
  </si>
  <si>
    <t>S-OUT</t>
  </si>
  <si>
    <t>CV.DMM</t>
  </si>
  <si>
    <t>GLORIA GP</t>
  </si>
  <si>
    <t>23.00-00.30</t>
  </si>
  <si>
    <t>19.30-20.30</t>
  </si>
  <si>
    <t>GF. SUKO</t>
  </si>
  <si>
    <t>G.KUPANG</t>
  </si>
  <si>
    <t>G.LOGISTIK YPK</t>
  </si>
  <si>
    <t>TANG KITCHEN</t>
  </si>
  <si>
    <t>12.00-13.00</t>
  </si>
  <si>
    <t>G.PACAR</t>
  </si>
  <si>
    <t>SPA</t>
  </si>
  <si>
    <t>13.00-14.00</t>
  </si>
  <si>
    <t>08.00-10.00</t>
  </si>
  <si>
    <t>08.00-09.00</t>
  </si>
  <si>
    <t>10.00-11.00</t>
  </si>
  <si>
    <t>G.SUKO</t>
  </si>
  <si>
    <t>BU ASTRID</t>
  </si>
  <si>
    <t>SAGA DAR</t>
  </si>
  <si>
    <t>HAVANA M</t>
  </si>
  <si>
    <t>22.30-23.30</t>
  </si>
  <si>
    <t xml:space="preserve"> </t>
  </si>
  <si>
    <t>16.00-17.00</t>
  </si>
  <si>
    <t>OFFICE SNC</t>
  </si>
  <si>
    <t>Keterangan:</t>
  </si>
  <si>
    <t>: END</t>
  </si>
  <si>
    <t>: HOLD</t>
  </si>
  <si>
    <t>: NEW</t>
  </si>
  <si>
    <t>: RENEWAL</t>
  </si>
  <si>
    <t>: CHOIRUL ANAM</t>
  </si>
  <si>
    <t>IDRIS</t>
  </si>
  <si>
    <t xml:space="preserve">: </t>
  </si>
  <si>
    <t>CEK JADWAL</t>
  </si>
  <si>
    <t xml:space="preserve">JUMAT </t>
  </si>
  <si>
    <t xml:space="preserve">SABTU </t>
  </si>
  <si>
    <t>A. PLASTIK 52</t>
  </si>
  <si>
    <t>08.30-10.30</t>
  </si>
  <si>
    <t>WIENA CATERING</t>
  </si>
  <si>
    <t>CV.MANNA SDA</t>
  </si>
  <si>
    <t>DOSIDO</t>
  </si>
  <si>
    <t>3 RASA</t>
  </si>
  <si>
    <t>A. PLASTIK 27</t>
  </si>
  <si>
    <t>11.00-12.30</t>
  </si>
  <si>
    <t>CV.KASABA</t>
  </si>
  <si>
    <t xml:space="preserve">ICHIKAWA </t>
  </si>
  <si>
    <t>LAOBAN</t>
  </si>
  <si>
    <t>07.00-08.30</t>
  </si>
  <si>
    <t>CENTIMETER</t>
  </si>
  <si>
    <t>P.STEVEN G</t>
  </si>
  <si>
    <t>PT.HCI</t>
  </si>
  <si>
    <t>PRAMITA</t>
  </si>
  <si>
    <t>DOPAMINE</t>
  </si>
  <si>
    <t>18.00-20.00</t>
  </si>
  <si>
    <t>BENHIL SDA</t>
  </si>
  <si>
    <t>15.00-16.00</t>
  </si>
  <si>
    <t>GKI</t>
  </si>
  <si>
    <t>13.30-15.30</t>
  </si>
  <si>
    <t>DEMAND JS</t>
  </si>
  <si>
    <t>21.15-22.15</t>
  </si>
  <si>
    <t>SUPP</t>
  </si>
  <si>
    <t>AADK</t>
  </si>
  <si>
    <t>SHUYI GM</t>
  </si>
  <si>
    <t>22.00-23.00</t>
  </si>
  <si>
    <t>SAISHO GWLAK</t>
  </si>
  <si>
    <t>21:30-22:30</t>
  </si>
  <si>
    <t>ANEKA JASUMA</t>
  </si>
  <si>
    <t>Note Ita</t>
  </si>
  <si>
    <t xml:space="preserve">SENIN </t>
  </si>
  <si>
    <t xml:space="preserve">RABU </t>
  </si>
  <si>
    <t xml:space="preserve">MINGGU </t>
  </si>
  <si>
    <t>10.00-12.00</t>
  </si>
  <si>
    <t>CENTRAL AUTO P</t>
  </si>
  <si>
    <t>P.HENDRIK</t>
  </si>
  <si>
    <t>11.00-12.02</t>
  </si>
  <si>
    <t>ISTANA D</t>
  </si>
  <si>
    <t>DAYS SBY</t>
  </si>
  <si>
    <t xml:space="preserve">SPBU </t>
  </si>
  <si>
    <t>SHELL WS</t>
  </si>
  <si>
    <t>HAVANA SDA</t>
  </si>
  <si>
    <t>PT.CASA UTAMA</t>
  </si>
  <si>
    <t>16.30-18.00</t>
  </si>
  <si>
    <t>21.30-22.30</t>
  </si>
  <si>
    <t>22:00-23:00</t>
  </si>
  <si>
    <t>SHUYI CWS</t>
  </si>
  <si>
    <t>21.00-22.30</t>
  </si>
  <si>
    <t>15.00-16.30</t>
  </si>
  <si>
    <t>PAK WIJAYA</t>
  </si>
  <si>
    <t>PAK YON TANTO</t>
  </si>
  <si>
    <t>JUM'AT</t>
  </si>
  <si>
    <t xml:space="preserve">SOTO SADI </t>
  </si>
  <si>
    <t>TEKNISI</t>
  </si>
  <si>
    <t>ABU SAMSUDIN</t>
  </si>
  <si>
    <t xml:space="preserve">IDRIS </t>
  </si>
  <si>
    <t xml:space="preserve"> ING</t>
  </si>
  <si>
    <t>Mr.LEE</t>
  </si>
  <si>
    <t>BE YOUTIFUL</t>
  </si>
  <si>
    <t>LUMINOR SDA</t>
  </si>
  <si>
    <t>12.00-16.00</t>
  </si>
  <si>
    <t>DRAGON HP TP</t>
  </si>
  <si>
    <t>TANA TI</t>
  </si>
  <si>
    <t>LUMINOR JS</t>
  </si>
  <si>
    <t>22.00-01.00</t>
  </si>
  <si>
    <t>PAK.ALEX</t>
  </si>
  <si>
    <t>PAK.MARIO</t>
  </si>
  <si>
    <t>10.00-14.00</t>
  </si>
  <si>
    <t>ACAII TP</t>
  </si>
  <si>
    <t>HARIS MOBIL</t>
  </si>
  <si>
    <t>AYAM GEPREK</t>
  </si>
  <si>
    <t>13.00-17.00</t>
  </si>
  <si>
    <t>BAK MIE</t>
  </si>
  <si>
    <t>FEEL MATCHA TP</t>
  </si>
  <si>
    <t>AYAM BERKAT</t>
  </si>
  <si>
    <t>16.30-19.00</t>
  </si>
  <si>
    <t>STEAK WITH U</t>
  </si>
  <si>
    <t>CUTI</t>
  </si>
  <si>
    <t>GTR</t>
  </si>
  <si>
    <t xml:space="preserve">V    </t>
  </si>
  <si>
    <t>: ADAM</t>
  </si>
  <si>
    <t>TONG TJIE PTC</t>
  </si>
  <si>
    <t>CIKAL</t>
  </si>
  <si>
    <t>MOOS CAFE</t>
  </si>
  <si>
    <t>BAGI KOPI</t>
  </si>
  <si>
    <t>KAWAN SEDUH</t>
  </si>
  <si>
    <t xml:space="preserve"> RC</t>
  </si>
  <si>
    <t>OFFICE HCI</t>
  </si>
  <si>
    <t>BU.JOCELIN</t>
  </si>
  <si>
    <t>AIO</t>
  </si>
  <si>
    <t>07.00-08.00</t>
  </si>
  <si>
    <t>BU.LILY</t>
  </si>
  <si>
    <t>DAYS DH</t>
  </si>
  <si>
    <t>TAEYUNGSUNG</t>
  </si>
  <si>
    <t>88 EK</t>
  </si>
  <si>
    <t>COMMOND G</t>
  </si>
  <si>
    <t>21.30-23.00</t>
  </si>
  <si>
    <t>OKINAWA PM</t>
  </si>
  <si>
    <t>14.00-17.00</t>
  </si>
  <si>
    <t>TONG JI SILOAM</t>
  </si>
  <si>
    <t>AHYAT</t>
  </si>
  <si>
    <t>16.00-18.00</t>
  </si>
  <si>
    <t>CLAY POT</t>
  </si>
  <si>
    <t>DR SAHAR</t>
  </si>
  <si>
    <t>PHOBABA GM</t>
  </si>
  <si>
    <t>22.00-24.00</t>
  </si>
  <si>
    <t>24.00-03.00</t>
  </si>
  <si>
    <t>ASINAN GM</t>
  </si>
  <si>
    <t xml:space="preserve">PAK DANIEL </t>
  </si>
  <si>
    <t>89 EK</t>
  </si>
  <si>
    <t>06.30-08.00</t>
  </si>
  <si>
    <t>GOODFELLAS K</t>
  </si>
  <si>
    <t>BU LIE ING</t>
  </si>
  <si>
    <t>PAK GERALD</t>
  </si>
  <si>
    <t>DERM BEAUTY</t>
  </si>
  <si>
    <t>PAK REGGY</t>
  </si>
  <si>
    <t>PAK PETER</t>
  </si>
  <si>
    <t>15.00-19.00</t>
  </si>
  <si>
    <t>DRAGON H P</t>
  </si>
  <si>
    <t>SHELL VET</t>
  </si>
  <si>
    <t>22.00-23.30</t>
  </si>
  <si>
    <t>KOPI 3 CIT</t>
  </si>
  <si>
    <t xml:space="preserve">   </t>
  </si>
  <si>
    <t>: MAHRUS</t>
  </si>
  <si>
    <t xml:space="preserve">  </t>
  </si>
  <si>
    <t>JAM</t>
  </si>
  <si>
    <t>AMARIS EM</t>
  </si>
  <si>
    <t>B.GRACE</t>
  </si>
  <si>
    <t>BU.DIANA</t>
  </si>
  <si>
    <t>BU.LYLA</t>
  </si>
  <si>
    <t>CV KARINA</t>
  </si>
  <si>
    <t>BU.PUSPA</t>
  </si>
  <si>
    <t>WALLET</t>
  </si>
  <si>
    <t>G. PAKUWON</t>
  </si>
  <si>
    <t>09.00-13.00</t>
  </si>
  <si>
    <t>XL MEDIA</t>
  </si>
  <si>
    <t>KUWEH</t>
  </si>
  <si>
    <t>GYOPO PIZZA</t>
  </si>
  <si>
    <t>NAILISTIC</t>
  </si>
  <si>
    <t>DHDC</t>
  </si>
  <si>
    <t>PT.MING</t>
  </si>
  <si>
    <t>20.0-21.00</t>
  </si>
  <si>
    <t>HAVANA</t>
  </si>
  <si>
    <t>HIGA BOX</t>
  </si>
  <si>
    <t>CAROLINE</t>
  </si>
  <si>
    <t>R M P</t>
  </si>
  <si>
    <t>20.00-23.00</t>
  </si>
  <si>
    <t>TOKO KOPI</t>
  </si>
  <si>
    <t>23.00-24.00</t>
  </si>
  <si>
    <t>24.00-02.00</t>
  </si>
  <si>
    <t>MEDICELLE</t>
  </si>
  <si>
    <t>19.00-22.00</t>
  </si>
  <si>
    <t>KOPI 3 AWANG</t>
  </si>
  <si>
    <t>KOPI 3 SAWAH</t>
  </si>
  <si>
    <t>SAISHO PEM</t>
  </si>
  <si>
    <t>14.00-18.00</t>
  </si>
  <si>
    <t>KWANG T WAS</t>
  </si>
  <si>
    <t>PT.SURYA T.L</t>
  </si>
  <si>
    <t>17.00-19.00</t>
  </si>
  <si>
    <t>20.45-22.00</t>
  </si>
  <si>
    <t>WARE.H TM</t>
  </si>
  <si>
    <t xml:space="preserve">       </t>
  </si>
  <si>
    <t>21.00-24.00</t>
  </si>
  <si>
    <t>PAK NIXON</t>
  </si>
  <si>
    <t>22.30-24.30</t>
  </si>
  <si>
    <t>ket :</t>
  </si>
  <si>
    <t>XL media pindah bulan 1x</t>
  </si>
  <si>
    <t>Ming Hutang 3</t>
  </si>
  <si>
    <t>: ANANDA AS</t>
  </si>
  <si>
    <t xml:space="preserve"> JAM</t>
  </si>
  <si>
    <t>HAVANNA JS</t>
  </si>
  <si>
    <t>KYUKA R</t>
  </si>
  <si>
    <t>CROMBSTEN</t>
  </si>
  <si>
    <t>TM GRAHA</t>
  </si>
  <si>
    <t>HACHIYA</t>
  </si>
  <si>
    <t>ASINAN TP</t>
  </si>
  <si>
    <t>BEATUS</t>
  </si>
  <si>
    <t>HACIENDA</t>
  </si>
  <si>
    <t>GF SUHAT</t>
  </si>
  <si>
    <t>RJS</t>
  </si>
  <si>
    <t>PT.SMB</t>
  </si>
  <si>
    <t>08.00-12.00</t>
  </si>
  <si>
    <t>AADK BANDUNGAN</t>
  </si>
  <si>
    <t xml:space="preserve">KAMI GOHAN </t>
  </si>
  <si>
    <t>CKP MEER</t>
  </si>
  <si>
    <t>16.00-17.30</t>
  </si>
  <si>
    <t>PASAR KITA</t>
  </si>
  <si>
    <t>PT SEGAR</t>
  </si>
  <si>
    <t>12.30-14.00</t>
  </si>
  <si>
    <t>AADK TELOGOMAS</t>
  </si>
  <si>
    <t>SHELL MARG</t>
  </si>
  <si>
    <t>ACAII</t>
  </si>
  <si>
    <t>21.00-23.00</t>
  </si>
  <si>
    <t>GF KALUTA</t>
  </si>
  <si>
    <t>PT.SGN</t>
  </si>
  <si>
    <t>14.00-16.00</t>
  </si>
  <si>
    <t>AADK MUL</t>
  </si>
  <si>
    <t>GRAHA CBA</t>
  </si>
  <si>
    <t>09.00-11.00</t>
  </si>
  <si>
    <t>TONG TJIE</t>
  </si>
  <si>
    <t>03.30-05.00</t>
  </si>
  <si>
    <t>: ANDIK</t>
  </si>
  <si>
    <t>ALURA</t>
  </si>
  <si>
    <t>88 EM</t>
  </si>
  <si>
    <t>11.00-14.00</t>
  </si>
  <si>
    <t>VOILA21</t>
  </si>
  <si>
    <t>VOILA ID</t>
  </si>
  <si>
    <t>VERT</t>
  </si>
  <si>
    <t>23.30-24.30</t>
  </si>
  <si>
    <t>BU ELLY</t>
  </si>
  <si>
    <t xml:space="preserve">PT HASKARA </t>
  </si>
  <si>
    <t>S-IN</t>
  </si>
  <si>
    <t>P.HENGKY</t>
  </si>
  <si>
    <t>PT.BISI MOJO</t>
  </si>
  <si>
    <t>BU FRANS</t>
  </si>
  <si>
    <t>BU RINI</t>
  </si>
  <si>
    <t>13.30-14.30</t>
  </si>
  <si>
    <t>PT.BISI</t>
  </si>
  <si>
    <t>SUTRACO. L</t>
  </si>
  <si>
    <t>CV.MANNA</t>
  </si>
  <si>
    <t>TOKO KOPI JS</t>
  </si>
  <si>
    <t>22.30-24.00</t>
  </si>
  <si>
    <t>SUTRACO. B</t>
  </si>
  <si>
    <t>S. HANDOYO</t>
  </si>
  <si>
    <t>17.00-18.00</t>
  </si>
  <si>
    <t>SUJI PM</t>
  </si>
  <si>
    <t>HIGA AE</t>
  </si>
  <si>
    <t>HONEY POK</t>
  </si>
  <si>
    <t>KWANG T C</t>
  </si>
  <si>
    <t>07.30-09.00</t>
  </si>
  <si>
    <t>PAK WINANDA</t>
  </si>
  <si>
    <t>P.VICTOR</t>
  </si>
  <si>
    <t>PAK HENDRA</t>
  </si>
  <si>
    <t>BU SISCA</t>
  </si>
  <si>
    <t>12.00-15.00</t>
  </si>
  <si>
    <t>PT HASKARA</t>
  </si>
  <si>
    <t>TANAMERA TRUN</t>
  </si>
  <si>
    <t>23.30-01.00</t>
  </si>
  <si>
    <t xml:space="preserve">     </t>
  </si>
  <si>
    <t>VOILA.ID</t>
  </si>
  <si>
    <t>LUCKY</t>
  </si>
  <si>
    <t>B. YENY</t>
  </si>
  <si>
    <t>SANTIKA</t>
  </si>
  <si>
    <t>08.00-11.00</t>
  </si>
  <si>
    <t xml:space="preserve">TRISTAR </t>
  </si>
  <si>
    <t>BDG</t>
  </si>
  <si>
    <t>7 DERMAGA S</t>
  </si>
  <si>
    <t>P. STEVEN</t>
  </si>
  <si>
    <t>PAK DANNY</t>
  </si>
  <si>
    <t>PAK MECHAEL</t>
  </si>
  <si>
    <t>DUTA BAYU</t>
  </si>
  <si>
    <t>BU EDDY</t>
  </si>
  <si>
    <t xml:space="preserve">PAK EVAN </t>
  </si>
  <si>
    <t>PAK GEORGE</t>
  </si>
  <si>
    <t>PAK HARIANTO</t>
  </si>
  <si>
    <t>HAVANA CIT</t>
  </si>
  <si>
    <t>22.15-23.15</t>
  </si>
  <si>
    <t>PHOBABA PM</t>
  </si>
  <si>
    <t>XIO XIANG PTC</t>
  </si>
  <si>
    <t>21,00-22,00</t>
  </si>
  <si>
    <t>23.30-01.30</t>
  </si>
  <si>
    <t>CV. ANDALAN SK</t>
  </si>
  <si>
    <t>SON GA</t>
  </si>
  <si>
    <t>FEEL MATCHA WH</t>
  </si>
  <si>
    <t>15.00-18.00</t>
  </si>
  <si>
    <t>16.00-20.00</t>
  </si>
  <si>
    <t>P. WILLIAM</t>
  </si>
  <si>
    <t>PAK AWI</t>
  </si>
  <si>
    <t>UNIN</t>
  </si>
  <si>
    <t>SAISHO PTC</t>
  </si>
  <si>
    <t>PAK WISNU</t>
  </si>
  <si>
    <t>ASR</t>
  </si>
  <si>
    <t>DES</t>
  </si>
  <si>
    <t>20.00-21.00</t>
  </si>
  <si>
    <t>02.00-04.00</t>
  </si>
  <si>
    <t>:RENDY</t>
  </si>
  <si>
    <t>JADWAL TEKNISI FEBRUARI BULAN  2026</t>
  </si>
  <si>
    <t>EURO CHAIR</t>
  </si>
  <si>
    <t>BU VICA</t>
  </si>
  <si>
    <t>PAK HERY</t>
  </si>
  <si>
    <t>MIST</t>
  </si>
  <si>
    <t xml:space="preserve">PAK HERI </t>
  </si>
  <si>
    <t>BU SARI</t>
  </si>
  <si>
    <t>TONG JIE PCM</t>
  </si>
  <si>
    <t>BOBBIE BURGER</t>
  </si>
  <si>
    <t>JOGJA PM</t>
  </si>
  <si>
    <t>08.00-22.00</t>
  </si>
  <si>
    <t>BC</t>
  </si>
  <si>
    <t>PHOBABA PCM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</si>
  <si>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</si>
  <si>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t>MST</t>
  </si>
  <si>
    <t>KAWAI</t>
  </si>
  <si>
    <t>BAGI KOPI M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</si>
  <si>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</si>
  <si>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t>ALBA</t>
  </si>
  <si>
    <t xml:space="preserve">PC </t>
  </si>
  <si>
    <t xml:space="preserve">    </t>
  </si>
  <si>
    <t>NOOR AYLA</t>
  </si>
  <si>
    <t>02.00-03.00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</si>
  <si>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</si>
  <si>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t>STEP KIDS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</si>
  <si>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</si>
  <si>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t>Solo PM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</si>
  <si>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</si>
  <si>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t>18.00-19.00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</si>
  <si>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</si>
  <si>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t>PAK JOHAN WJ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</si>
  <si>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</si>
  <si>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t>KJJ OFFICE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</si>
  <si>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</si>
  <si>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t>KJJ HOME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</si>
  <si>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</si>
  <si>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t>TONGJIE TP OP</t>
  </si>
  <si>
    <t>INST</t>
  </si>
  <si>
    <t>TONGJIE TP OT</t>
  </si>
  <si>
    <t>Ket.</t>
  </si>
  <si>
    <t xml:space="preserve">BOBBIE BURGER lewat bulan </t>
  </si>
  <si>
    <t xml:space="preserve">TEKNISI </t>
  </si>
  <si>
    <t>MAULANA</t>
  </si>
  <si>
    <t>: FATHONY</t>
  </si>
  <si>
    <t>SUPRAMA</t>
  </si>
  <si>
    <t>08.00-13.00</t>
  </si>
  <si>
    <t>JP</t>
  </si>
  <si>
    <t>FG</t>
  </si>
  <si>
    <t>AFG</t>
  </si>
  <si>
    <t>EURO CHAIR N</t>
  </si>
  <si>
    <t>16.00-19.00</t>
  </si>
  <si>
    <t>HOME GROUND PADEL</t>
  </si>
  <si>
    <t>24.00-01.00</t>
  </si>
  <si>
    <t>GRAHA PADEL CLUB</t>
  </si>
  <si>
    <t>TONG TJI MJK</t>
  </si>
  <si>
    <t>BRAVO CEPU</t>
  </si>
  <si>
    <t>BRAVO BJN</t>
  </si>
  <si>
    <t>BRAVO TB 1</t>
  </si>
  <si>
    <t>EURO CHAIR K</t>
  </si>
  <si>
    <t>BRAVO TB 2</t>
  </si>
  <si>
    <t>PCM</t>
  </si>
  <si>
    <t>.</t>
  </si>
  <si>
    <t>:TOMI</t>
  </si>
  <si>
    <t>JADWAL TEKNISI BULAN JANUARI 2026</t>
  </si>
  <si>
    <t>TP</t>
  </si>
  <si>
    <t>07.00-15.00</t>
  </si>
  <si>
    <t>15.00-23.00</t>
  </si>
  <si>
    <t>Stand by FU</t>
  </si>
  <si>
    <t>SOGO TP</t>
  </si>
  <si>
    <t>23.00-01.00</t>
  </si>
  <si>
    <t>SUP TP</t>
  </si>
  <si>
    <t>PTC</t>
  </si>
  <si>
    <t>Shell Mer</t>
  </si>
  <si>
    <t>07.00-10.00</t>
  </si>
  <si>
    <t>11.00-13.00</t>
  </si>
  <si>
    <t>ARGA</t>
  </si>
  <si>
    <t>FATONY</t>
  </si>
  <si>
    <t>08.00-16.00</t>
  </si>
  <si>
    <t>22.00-02.00</t>
  </si>
  <si>
    <t>SUP</t>
  </si>
  <si>
    <t>VASA</t>
  </si>
  <si>
    <t xml:space="preserve">Suprama </t>
  </si>
  <si>
    <t>ALMA</t>
  </si>
  <si>
    <t>24.00-01.30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</si>
  <si>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</si>
  <si>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t xml:space="preserve">PM JOGJA </t>
  </si>
  <si>
    <t>TONG TJIE ROYAL</t>
  </si>
  <si>
    <t xml:space="preserve">JOY OF LEARNING </t>
  </si>
  <si>
    <t>24.00-03.01</t>
  </si>
  <si>
    <t>El Grande Padel</t>
  </si>
  <si>
    <t>Instl</t>
  </si>
  <si>
    <t>24.30-01.30</t>
  </si>
  <si>
    <t>FATHUR</t>
  </si>
  <si>
    <t>24.00-01.29</t>
  </si>
  <si>
    <t>MARIL</t>
  </si>
  <si>
    <t>16.00-22.00</t>
  </si>
  <si>
    <t>14.00-22.00</t>
  </si>
  <si>
    <t>09.00-16.00</t>
  </si>
  <si>
    <t>RIFQY</t>
  </si>
  <si>
    <t>Sakit</t>
  </si>
  <si>
    <t>FARHAN</t>
  </si>
  <si>
    <t>16.00-24.00</t>
  </si>
  <si>
    <t>: MAMAN</t>
  </si>
  <si>
    <t>:</t>
  </si>
  <si>
    <t>KARYA MM</t>
  </si>
  <si>
    <t>PAK RAVEN</t>
  </si>
  <si>
    <t>ABU ALI CAFE</t>
  </si>
  <si>
    <t>P.PETER</t>
  </si>
  <si>
    <t>15.30-16.30</t>
  </si>
  <si>
    <t>PAK RICHIE</t>
  </si>
  <si>
    <t>TONG TJIE PCM</t>
  </si>
  <si>
    <t>ANIN DITA</t>
  </si>
  <si>
    <t>DANDELION</t>
  </si>
  <si>
    <t>MULLIGAN</t>
  </si>
  <si>
    <t>BU SHETLY</t>
  </si>
  <si>
    <t>PAK DANIEL</t>
  </si>
  <si>
    <t>KEEVIN</t>
  </si>
  <si>
    <t>PT HCI</t>
  </si>
  <si>
    <t>TTD CIKAL</t>
  </si>
  <si>
    <t>: PINDAH HARI</t>
  </si>
  <si>
    <t>Mobil</t>
  </si>
  <si>
    <t>JADWAL TEKNISI BULAN JULI 2025</t>
  </si>
  <si>
    <t xml:space="preserve">PT INTRACO </t>
  </si>
  <si>
    <t>PADEL</t>
  </si>
  <si>
    <t>PLN NPS</t>
  </si>
  <si>
    <t>PM</t>
  </si>
  <si>
    <t>IHT SUPRAMA</t>
  </si>
  <si>
    <t xml:space="preserve">IHT </t>
  </si>
  <si>
    <t>SURVEY TC</t>
  </si>
  <si>
    <t>PAKUWON GRUP</t>
  </si>
  <si>
    <t>CHEMICAL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</si>
</sst>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IDR]\ * #,##0.00_);_([$IDR]\ * \(#,##0.00\);_([$IDR]\ * &quot;-&quot;??_);_(@_)"/>
    <numFmt numFmtId="165" formatCode="[$-409]d\-mmm"/>
    <numFmt numFmtId="166" formatCode="&quot;$&quot;#,##0.00"/>
    <numFmt numFmtId="167" formatCode="_-[$IDR]\ * #,##0.00_-;\-[$IDR]\ * #,##0.00_-;_-[$IDR]\ * &quot;-&quot;??_-;_-@"/>
  </numFmts>
  <fonts count="38">
    <font>
      <sz val="11.0"/>
      <color theme="1"/>
      <name val="Calibri"/>
      <scheme val="minor"/>
    </font>
    <font>
      <b/>
      <color rgb="FF000000"/>
      <name val="Times New Roman"/>
    </font>
    <font>
      <b/>
      <sz val="10.0"/>
      <color rgb="FF000000"/>
      <name val="Times New Roman"/>
    </font>
    <font>
      <b/>
      <sz val="18.0"/>
      <color rgb="FF000000"/>
      <name val="Times New Roman"/>
    </font>
    <font>
      <color theme="1"/>
      <name val="Calibri"/>
    </font>
    <font>
      <b/>
      <sz val="11.0"/>
      <color theme="1"/>
      <name val="Times New Roman"/>
    </font>
    <font>
      <b/>
      <sz val="10.0"/>
      <color theme="1"/>
      <name val="Times New Roman"/>
    </font>
    <font/>
    <font>
      <b/>
      <sz val="11.0"/>
      <color rgb="FFFF0000"/>
      <name val="Times New Roman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  <font>
      <color theme="1"/>
      <name val="Times New Roman"/>
    </font>
    <font>
      <b/>
      <sz val="18.0"/>
      <color rgb="FF000000"/>
      <name val="Tahoma"/>
    </font>
    <font>
      <b/>
      <sz val="8.0"/>
      <color theme="1"/>
      <name val="Tahoma"/>
    </font>
    <font>
      <sz val="8.0"/>
      <color rgb="FF000000"/>
      <name val="Tahoma"/>
    </font>
    <font>
      <color theme="1"/>
      <name val="Calibri"/>
      <scheme val="minor"/>
    </font>
    <font>
      <b/>
      <color theme="1"/>
      <name val="Calibri"/>
    </font>
    <font>
      <sz val="11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b/>
      <sz val="8.0"/>
      <color theme="1"/>
      <name val="Times New Roman"/>
    </font>
    <font>
      <b/>
      <color theme="1"/>
      <name val="Times New Roman"/>
    </font>
    <font>
      <sz val="10.0"/>
      <color theme="1"/>
      <name val="Times New Roman"/>
    </font>
    <font>
      <sz val="11.0"/>
      <color theme="1"/>
      <name val="Arial"/>
    </font>
    <font>
      <sz val="12.0"/>
      <color theme="1"/>
      <name val="Calibri"/>
    </font>
    <font>
      <sz val="8.0"/>
      <color theme="1"/>
      <name val="Tahoma"/>
    </font>
    <font>
      <color rgb="FF000000"/>
      <name val="Times New Roman"/>
    </font>
    <font>
      <sz val="11.0"/>
      <color rgb="FFFF0000"/>
      <name val="Calibri"/>
    </font>
    <font>
      <color theme="1"/>
      <name val="Arial"/>
    </font>
    <font>
      <b/>
      <color theme="1"/>
      <name val="Arial"/>
    </font>
    <font>
      <b/>
      <sz val="18.0"/>
      <color theme="1"/>
      <name val="Times New Roman"/>
    </font>
    <font>
      <b/>
      <sz val="8.0"/>
      <color rgb="FF000000"/>
      <name val="Tahoma"/>
    </font>
    <font>
      <b/>
      <sz val="12.0"/>
      <color rgb="FFFF0000"/>
      <name val="Times New Roman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theme="9"/>
        <bgColor theme="9"/>
      </patternFill>
    </fill>
    <fill>
      <patternFill patternType="solid">
        <fgColor rgb="FFD5A6BD"/>
        <bgColor rgb="FFD5A6BD"/>
      </patternFill>
    </fill>
    <fill>
      <patternFill patternType="solid">
        <fgColor rgb="FFFFC000"/>
        <bgColor rgb="FFFFC000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left style="thin">
        <color rgb="FF8EA9DB"/>
      </left>
      <top style="thin">
        <color rgb="FF8EA9DB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8EA9DB"/>
      </top>
    </border>
    <border>
      <right style="thin">
        <color rgb="FF8EA9DB"/>
      </right>
      <top style="thin">
        <color rgb="FF8EA9DB"/>
      </top>
    </border>
    <border>
      <left style="thin">
        <color rgb="FF8EA9DB"/>
      </left>
      <bottom style="thin">
        <color rgb="FF8EA9DB"/>
      </bottom>
    </border>
    <border>
      <right style="thin">
        <color rgb="FF8EA9DB"/>
      </right>
      <bottom style="thin">
        <color rgb="FF8EA9DB"/>
      </bottom>
    </border>
    <border>
      <left/>
      <top/>
      <bottom/>
    </border>
    <border>
      <top/>
      <bottom/>
    </border>
    <border>
      <left/>
      <top/>
    </border>
    <border>
      <top/>
    </border>
    <border>
      <right style="medium">
        <color rgb="FF000000"/>
      </right>
      <bottom style="medium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5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readingOrder="0" shrinkToFit="0" vertical="center" wrapText="1"/>
    </xf>
    <xf borderId="0" fillId="0" fontId="6" numFmtId="164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bottom"/>
    </xf>
    <xf borderId="2" fillId="0" fontId="7" numFmtId="0" xfId="0" applyBorder="1" applyFont="1"/>
    <xf borderId="3" fillId="0" fontId="7" numFmtId="0" xfId="0" applyBorder="1" applyFont="1"/>
    <xf borderId="1" fillId="2" fontId="8" numFmtId="0" xfId="0" applyAlignment="1" applyBorder="1" applyFont="1">
      <alignment horizontal="center" vertical="bottom"/>
    </xf>
    <xf borderId="1" fillId="2" fontId="5" numFmtId="165" xfId="0" applyAlignment="1" applyBorder="1" applyFont="1" applyNumberFormat="1">
      <alignment horizontal="center" readingOrder="0" vertical="bottom"/>
    </xf>
    <xf borderId="1" fillId="2" fontId="5" numFmtId="165" xfId="0" applyAlignment="1" applyBorder="1" applyFont="1" applyNumberFormat="1">
      <alignment horizontal="center" vertical="bottom"/>
    </xf>
    <xf borderId="1" fillId="2" fontId="8" numFmtId="165" xfId="0" applyAlignment="1" applyBorder="1" applyFont="1" applyNumberFormat="1">
      <alignment horizontal="center" readingOrder="0" vertical="bottom"/>
    </xf>
    <xf borderId="4" fillId="0" fontId="5" numFmtId="165" xfId="0" applyAlignment="1" applyBorder="1" applyFont="1" applyNumberFormat="1">
      <alignment vertical="bottom"/>
    </xf>
    <xf borderId="1" fillId="3" fontId="5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vertical="bottom"/>
    </xf>
    <xf borderId="6" fillId="0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shrinkToFit="0" wrapText="0"/>
    </xf>
    <xf borderId="1" fillId="4" fontId="5" numFmtId="0" xfId="0" applyAlignment="1" applyBorder="1" applyFill="1" applyFont="1">
      <alignment horizontal="center" vertical="bottom"/>
    </xf>
    <xf borderId="1" fillId="4" fontId="13" numFmtId="0" xfId="0" applyAlignment="1" applyBorder="1" applyFont="1">
      <alignment horizontal="center" vertical="bottom"/>
    </xf>
    <xf borderId="1" fillId="4" fontId="8" numFmtId="0" xfId="0" applyAlignment="1" applyBorder="1" applyFont="1">
      <alignment horizontal="center" vertical="bottom"/>
    </xf>
    <xf borderId="1" fillId="4" fontId="5" numFmtId="165" xfId="0" applyAlignment="1" applyBorder="1" applyFont="1" applyNumberFormat="1">
      <alignment horizontal="center" vertical="bottom"/>
    </xf>
    <xf borderId="1" fillId="4" fontId="8" numFmtId="165" xfId="0" applyAlignment="1" applyBorder="1" applyFont="1" applyNumberFormat="1">
      <alignment horizontal="center" vertical="bottom"/>
    </xf>
    <xf borderId="4" fillId="5" fontId="5" numFmtId="165" xfId="0" applyAlignment="1" applyBorder="1" applyFill="1" applyFont="1" applyNumberFormat="1">
      <alignment vertical="bottom"/>
    </xf>
    <xf borderId="4" fillId="0" fontId="12" numFmtId="165" xfId="0" applyAlignment="1" applyBorder="1" applyFont="1" applyNumberFormat="1">
      <alignment vertical="bottom"/>
    </xf>
    <xf borderId="4" fillId="0" fontId="11" numFmtId="165" xfId="0" applyAlignment="1" applyBorder="1" applyFont="1" applyNumberFormat="1">
      <alignment vertical="bottom"/>
    </xf>
    <xf borderId="4" fillId="5" fontId="5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6" fontId="12" numFmtId="165" xfId="0" applyAlignment="1" applyBorder="1" applyFill="1" applyFont="1" applyNumberFormat="1">
      <alignment vertical="bottom"/>
    </xf>
    <xf borderId="4" fillId="2" fontId="12" numFmtId="0" xfId="0" applyAlignment="1" applyBorder="1" applyFont="1">
      <alignment vertical="bottom"/>
    </xf>
    <xf borderId="4" fillId="7" fontId="12" numFmtId="0" xfId="0" applyAlignment="1" applyBorder="1" applyFill="1" applyFont="1">
      <alignment vertical="bottom"/>
    </xf>
    <xf borderId="7" fillId="7" fontId="12" numFmtId="0" xfId="0" applyAlignment="1" applyBorder="1" applyFont="1">
      <alignment horizontal="center" vertical="center"/>
    </xf>
    <xf borderId="4" fillId="0" fontId="12" numFmtId="0" xfId="0" applyBorder="1" applyFont="1"/>
    <xf borderId="4" fillId="6" fontId="11" numFmtId="0" xfId="0" applyAlignment="1" applyBorder="1" applyFont="1">
      <alignment vertical="bottom"/>
    </xf>
    <xf borderId="4" fillId="8" fontId="14" numFmtId="0" xfId="0" applyAlignment="1" applyBorder="1" applyFill="1" applyFont="1">
      <alignment horizontal="center"/>
    </xf>
    <xf borderId="4" fillId="6" fontId="12" numFmtId="0" xfId="0" applyAlignment="1" applyBorder="1" applyFont="1">
      <alignment vertical="bottom"/>
    </xf>
    <xf borderId="8" fillId="0" fontId="7" numFmtId="0" xfId="0" applyBorder="1" applyFont="1"/>
    <xf borderId="4" fillId="3" fontId="12" numFmtId="0" xfId="0" applyAlignment="1" applyBorder="1" applyFont="1">
      <alignment vertical="bottom"/>
    </xf>
    <xf borderId="9" fillId="0" fontId="7" numFmtId="0" xfId="0" applyBorder="1" applyFont="1"/>
    <xf borderId="4" fillId="5" fontId="11" numFmtId="0" xfId="0" applyAlignment="1" applyBorder="1" applyFont="1">
      <alignment vertical="bottom"/>
    </xf>
    <xf borderId="4" fillId="0" fontId="12" numFmtId="0" xfId="0" applyAlignment="1" applyBorder="1" applyFont="1">
      <alignment readingOrder="0"/>
    </xf>
    <xf borderId="10" fillId="0" fontId="15" numFmtId="0" xfId="0" applyBorder="1" applyFont="1"/>
    <xf borderId="4" fillId="3" fontId="12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1" fillId="9" fontId="5" numFmtId="165" xfId="0" applyAlignment="1" applyBorder="1" applyFill="1" applyFont="1" applyNumberFormat="1">
      <alignment horizontal="center" vertical="bottom"/>
    </xf>
    <xf borderId="1" fillId="9" fontId="8" numFmtId="165" xfId="0" applyAlignment="1" applyBorder="1" applyFont="1" applyNumberFormat="1">
      <alignment horizontal="center" vertical="bottom"/>
    </xf>
    <xf borderId="4" fillId="0" fontId="15" numFmtId="0" xfId="0" applyBorder="1" applyFont="1"/>
    <xf borderId="7" fillId="0" fontId="12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bottom"/>
    </xf>
    <xf borderId="4" fillId="6" fontId="5" numFmtId="0" xfId="0" applyAlignment="1" applyBorder="1" applyFont="1">
      <alignment vertical="bottom"/>
    </xf>
    <xf borderId="4" fillId="8" fontId="12" numFmtId="0" xfId="0" applyAlignment="1" applyBorder="1" applyFont="1">
      <alignment vertical="bottom"/>
    </xf>
    <xf borderId="11" fillId="0" fontId="11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bottom"/>
    </xf>
    <xf borderId="9" fillId="0" fontId="5" numFmtId="165" xfId="0" applyAlignment="1" applyBorder="1" applyFont="1" applyNumberFormat="1">
      <alignment vertical="bottom"/>
    </xf>
    <xf borderId="10" fillId="0" fontId="5" numFmtId="0" xfId="0" applyAlignment="1" applyBorder="1" applyFont="1">
      <alignment shrinkToFit="0" wrapText="0"/>
    </xf>
    <xf borderId="4" fillId="0" fontId="12" numFmtId="0" xfId="0" applyAlignment="1" applyBorder="1" applyFont="1">
      <alignment readingOrder="0" vertical="bottom"/>
    </xf>
    <xf borderId="11" fillId="0" fontId="5" numFmtId="0" xfId="0" applyAlignment="1" applyBorder="1" applyFont="1">
      <alignment shrinkToFit="0" wrapText="0"/>
    </xf>
    <xf borderId="4" fillId="3" fontId="12" numFmtId="165" xfId="0" applyAlignment="1" applyBorder="1" applyFont="1" applyNumberFormat="1">
      <alignment vertical="bottom"/>
    </xf>
    <xf borderId="11" fillId="0" fontId="5" numFmtId="0" xfId="0" applyAlignment="1" applyBorder="1" applyFont="1">
      <alignment vertical="bottom"/>
    </xf>
    <xf borderId="4" fillId="5" fontId="12" numFmtId="0" xfId="0" applyAlignment="1" applyBorder="1" applyFont="1">
      <alignment vertical="bottom"/>
    </xf>
    <xf borderId="4" fillId="0" fontId="12" numFmtId="166" xfId="0" applyAlignment="1" applyBorder="1" applyFont="1" applyNumberFormat="1">
      <alignment vertical="bottom"/>
    </xf>
    <xf borderId="12" fillId="0" fontId="11" numFmtId="0" xfId="0" applyAlignment="1" applyBorder="1" applyFont="1">
      <alignment horizontal="center" vertical="bottom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9" fillId="6" fontId="5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9" fillId="6" fontId="11" numFmtId="0" xfId="0" applyAlignment="1" applyBorder="1" applyFont="1">
      <alignment vertical="bottom"/>
    </xf>
    <xf borderId="4" fillId="6" fontId="5" numFmtId="165" xfId="0" applyAlignment="1" applyBorder="1" applyFont="1" applyNumberFormat="1">
      <alignment vertical="bottom"/>
    </xf>
    <xf borderId="4" fillId="0" fontId="5" numFmtId="0" xfId="0" applyBorder="1" applyFont="1"/>
    <xf borderId="4" fillId="0" fontId="5" numFmtId="0" xfId="0" applyAlignment="1" applyBorder="1" applyFont="1">
      <alignment vertical="center"/>
    </xf>
    <xf borderId="0" fillId="0" fontId="12" numFmtId="0" xfId="0" applyAlignment="1" applyFont="1">
      <alignment horizontal="left" vertical="top"/>
    </xf>
    <xf borderId="0" fillId="0" fontId="6" numFmtId="164" xfId="0" applyAlignment="1" applyFont="1" applyNumberFormat="1">
      <alignment horizontal="center"/>
    </xf>
    <xf borderId="13" fillId="3" fontId="4" numFmtId="0" xfId="0" applyBorder="1" applyFont="1"/>
    <xf borderId="13" fillId="0" fontId="5" numFmtId="0" xfId="0" applyAlignment="1" applyBorder="1" applyFont="1">
      <alignment vertical="bottom"/>
    </xf>
    <xf borderId="13" fillId="0" fontId="4" numFmtId="0" xfId="0" applyBorder="1" applyFont="1"/>
    <xf borderId="0" fillId="5" fontId="4" numFmtId="0" xfId="0" applyFont="1"/>
    <xf borderId="0" fillId="0" fontId="11" numFmtId="165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13" fillId="2" fontId="4" numFmtId="0" xfId="0" applyBorder="1" applyFont="1"/>
    <xf borderId="0" fillId="0" fontId="12" numFmtId="0" xfId="0" applyAlignment="1" applyFont="1">
      <alignment vertical="bottom"/>
    </xf>
    <xf borderId="0" fillId="0" fontId="15" numFmtId="0" xfId="0" applyFont="1"/>
    <xf borderId="13" fillId="10" fontId="4" numFmtId="0" xfId="0" applyBorder="1" applyFill="1" applyFont="1"/>
    <xf borderId="13" fillId="8" fontId="4" numFmtId="0" xfId="0" applyBorder="1" applyFont="1"/>
    <xf borderId="0" fillId="0" fontId="12" numFmtId="165" xfId="0" applyAlignment="1" applyFont="1" applyNumberFormat="1">
      <alignment vertical="bottom"/>
    </xf>
    <xf borderId="0" fillId="0" fontId="12" numFmtId="0" xfId="0" applyFont="1"/>
    <xf borderId="0" fillId="0" fontId="11" numFmtId="0" xfId="0" applyAlignment="1" applyFont="1">
      <alignment vertical="bottom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4" numFmtId="0" xfId="0" applyFont="1"/>
    <xf borderId="4" fillId="0" fontId="19" numFmtId="0" xfId="0" applyBorder="1" applyFont="1"/>
    <xf borderId="0" fillId="0" fontId="20" numFmtId="0" xfId="0" applyFont="1"/>
    <xf borderId="1" fillId="4" fontId="5" numFmtId="0" xfId="0" applyAlignment="1" applyBorder="1" applyFont="1">
      <alignment horizontal="center" shrinkToFit="0" vertical="center" wrapText="1"/>
    </xf>
    <xf borderId="1" fillId="4" fontId="8" numFmtId="16" xfId="0" applyAlignment="1" applyBorder="1" applyFont="1" applyNumberFormat="1">
      <alignment horizontal="center" shrinkToFit="0" vertical="center" wrapText="1"/>
    </xf>
    <xf borderId="1" fillId="4" fontId="13" numFmtId="165" xfId="0" applyAlignment="1" applyBorder="1" applyFont="1" applyNumberFormat="1">
      <alignment horizontal="center" shrinkToFit="1" vertical="center" wrapText="0"/>
    </xf>
    <xf borderId="1" fillId="4" fontId="5" numFmtId="165" xfId="0" applyAlignment="1" applyBorder="1" applyFont="1" applyNumberFormat="1">
      <alignment horizontal="center" shrinkToFit="1" vertical="center" wrapText="0"/>
    </xf>
    <xf borderId="1" fillId="4" fontId="8" numFmtId="165" xfId="0" applyAlignment="1" applyBorder="1" applyFont="1" applyNumberFormat="1">
      <alignment horizontal="center" shrinkToFit="1" vertical="center" wrapText="0"/>
    </xf>
    <xf borderId="4" fillId="6" fontId="12" numFmtId="0" xfId="0" applyBorder="1" applyFont="1"/>
    <xf borderId="4" fillId="5" fontId="12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vertical="bottom" wrapText="1"/>
    </xf>
    <xf borderId="4" fillId="5" fontId="5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center"/>
    </xf>
    <xf borderId="4" fillId="0" fontId="21" numFmtId="0" xfId="0" applyAlignment="1" applyBorder="1" applyFont="1">
      <alignment horizontal="left" vertical="center"/>
    </xf>
    <xf borderId="4" fillId="0" fontId="11" numFmtId="0" xfId="0" applyBorder="1" applyFont="1"/>
    <xf borderId="4" fillId="6" fontId="12" numFmtId="0" xfId="0" applyAlignment="1" applyBorder="1" applyFont="1">
      <alignment shrinkToFit="0" wrapText="1"/>
    </xf>
    <xf borderId="4" fillId="3" fontId="12" numFmtId="0" xfId="0" applyAlignment="1" applyBorder="1" applyFont="1">
      <alignment shrinkToFit="0" wrapText="1"/>
    </xf>
    <xf borderId="4" fillId="5" fontId="12" numFmtId="0" xfId="0" applyBorder="1" applyFont="1"/>
    <xf borderId="4" fillId="5" fontId="12" numFmtId="0" xfId="0" applyAlignment="1" applyBorder="1" applyFont="1">
      <alignment horizontal="left" vertical="center"/>
    </xf>
    <xf borderId="4" fillId="6" fontId="12" numFmtId="0" xfId="0" applyAlignment="1" applyBorder="1" applyFont="1">
      <alignment shrinkToFit="0" vertical="bottom" wrapText="1"/>
    </xf>
    <xf borderId="4" fillId="5" fontId="21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left" vertical="center"/>
    </xf>
    <xf borderId="4" fillId="11" fontId="12" numFmtId="0" xfId="0" applyAlignment="1" applyBorder="1" applyFill="1" applyFont="1">
      <alignment vertical="bottom"/>
    </xf>
    <xf borderId="4" fillId="0" fontId="13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left" vertical="center"/>
    </xf>
    <xf borderId="4" fillId="0" fontId="21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5" numFmtId="165" xfId="0" applyAlignment="1" applyBorder="1" applyFont="1" applyNumberFormat="1">
      <alignment horizontal="center" shrinkToFit="1" vertical="center" wrapText="0"/>
    </xf>
    <xf borderId="1" fillId="2" fontId="8" numFmtId="165" xfId="0" applyAlignment="1" applyBorder="1" applyFont="1" applyNumberFormat="1">
      <alignment horizontal="center" shrinkToFit="1" vertical="center" wrapText="0"/>
    </xf>
    <xf borderId="4" fillId="5" fontId="13" numFmtId="0" xfId="0" applyAlignment="1" applyBorder="1" applyFont="1">
      <alignment horizontal="left" shrinkToFit="0" vertical="center" wrapText="1"/>
    </xf>
    <xf borderId="4" fillId="5" fontId="13" numFmtId="0" xfId="0" applyBorder="1" applyFont="1"/>
    <xf borderId="4" fillId="5" fontId="12" numFmtId="0" xfId="0" applyAlignment="1" applyBorder="1" applyFont="1">
      <alignment shrinkToFit="0" vertical="bottom" wrapText="1"/>
    </xf>
    <xf borderId="4" fillId="11" fontId="12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center"/>
    </xf>
    <xf borderId="4" fillId="3" fontId="12" numFmtId="0" xfId="0" applyBorder="1" applyFont="1"/>
    <xf borderId="4" fillId="0" fontId="21" numFmtId="0" xfId="0" applyBorder="1" applyFont="1"/>
    <xf borderId="4" fillId="5" fontId="13" numFmtId="0" xfId="0" applyAlignment="1" applyBorder="1" applyFont="1">
      <alignment horizontal="left" vertical="center"/>
    </xf>
    <xf borderId="4" fillId="6" fontId="5" numFmtId="0" xfId="0" applyBorder="1" applyFont="1"/>
    <xf borderId="4" fillId="10" fontId="15" numFmtId="0" xfId="0" applyAlignment="1" applyBorder="1" applyFont="1">
      <alignment horizontal="center"/>
    </xf>
    <xf borderId="4" fillId="10" fontId="12" numFmtId="0" xfId="0" applyAlignment="1" applyBorder="1" applyFont="1">
      <alignment shrinkToFit="0" vertical="bottom" wrapText="1"/>
    </xf>
    <xf borderId="4" fillId="5" fontId="5" numFmtId="0" xfId="0" applyAlignment="1" applyBorder="1" applyFont="1">
      <alignment vertical="center"/>
    </xf>
    <xf borderId="4" fillId="6" fontId="5" numFmtId="0" xfId="0" applyAlignment="1" applyBorder="1" applyFont="1">
      <alignment shrinkToFit="0" wrapText="1"/>
    </xf>
    <xf borderId="4" fillId="5" fontId="5" numFmtId="0" xfId="0" applyAlignment="1" applyBorder="1" applyFont="1">
      <alignment shrinkToFit="0" wrapText="1"/>
    </xf>
    <xf borderId="4" fillId="5" fontId="5" numFmtId="0" xfId="0" applyBorder="1" applyFont="1"/>
    <xf borderId="1" fillId="4" fontId="8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4" fillId="12" fontId="12" numFmtId="0" xfId="0" applyAlignment="1" applyBorder="1" applyFill="1" applyFont="1">
      <alignment shrinkToFit="0" vertical="bottom" wrapText="1"/>
    </xf>
    <xf borderId="4" fillId="8" fontId="12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readingOrder="0" shrinkToFit="0" vertical="bottom" wrapText="1"/>
    </xf>
    <xf borderId="4" fillId="8" fontId="12" numFmtId="0" xfId="0" applyAlignment="1" applyBorder="1" applyFont="1">
      <alignment shrinkToFit="0" wrapText="1"/>
    </xf>
    <xf borderId="4" fillId="8" fontId="12" numFmtId="0" xfId="0" applyBorder="1" applyFont="1"/>
    <xf borderId="4" fillId="3" fontId="15" numFmtId="0" xfId="0" applyAlignment="1" applyBorder="1" applyFont="1">
      <alignment horizontal="center"/>
    </xf>
    <xf borderId="4" fillId="6" fontId="5" numFmtId="0" xfId="0" applyAlignment="1" applyBorder="1" applyFont="1">
      <alignment horizontal="left" shrinkToFit="0" vertical="center" wrapText="1"/>
    </xf>
    <xf borderId="4" fillId="10" fontId="12" numFmtId="0" xfId="0" applyAlignment="1" applyBorder="1" applyFont="1">
      <alignment horizontal="left" shrinkToFit="0" vertical="center" wrapText="1"/>
    </xf>
    <xf borderId="4" fillId="10" fontId="21" numFmtId="0" xfId="0" applyBorder="1" applyFont="1"/>
    <xf borderId="4" fillId="5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4" fillId="6" fontId="13" numFmtId="0" xfId="0" applyBorder="1" applyFont="1"/>
    <xf borderId="0" fillId="0" fontId="13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2" fontId="13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vertical="bottom"/>
    </xf>
    <xf borderId="14" fillId="0" fontId="22" numFmtId="0" xfId="0" applyAlignment="1" applyBorder="1" applyFont="1">
      <alignment horizontal="center" vertical="bottom"/>
    </xf>
    <xf borderId="15" fillId="0" fontId="22" numFmtId="0" xfId="0" applyAlignment="1" applyBorder="1" applyFont="1">
      <alignment horizontal="center" vertical="bottom"/>
    </xf>
    <xf borderId="1" fillId="2" fontId="8" numFmtId="165" xfId="0" applyAlignment="1" applyBorder="1" applyFont="1" applyNumberFormat="1">
      <alignment horizontal="center" vertical="bottom"/>
    </xf>
    <xf borderId="1" fillId="2" fontId="13" numFmtId="165" xfId="0" applyAlignment="1" applyBorder="1" applyFont="1" applyNumberFormat="1">
      <alignment horizontal="center" readingOrder="0" vertical="bottom"/>
    </xf>
    <xf borderId="16" fillId="0" fontId="22" numFmtId="0" xfId="0" applyAlignment="1" applyBorder="1" applyFont="1">
      <alignment horizontal="center" vertical="bottom"/>
    </xf>
    <xf borderId="4" fillId="0" fontId="23" numFmtId="0" xfId="0" applyAlignment="1" applyBorder="1" applyFont="1">
      <alignment vertical="bottom"/>
    </xf>
    <xf borderId="4" fillId="0" fontId="23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left" vertical="center"/>
    </xf>
    <xf borderId="4" fillId="13" fontId="12" numFmtId="0" xfId="0" applyAlignment="1" applyBorder="1" applyFill="1" applyFont="1">
      <alignment shrinkToFit="0" wrapText="1"/>
    </xf>
    <xf borderId="4" fillId="6" fontId="11" numFmtId="0" xfId="0" applyBorder="1" applyFont="1"/>
    <xf borderId="4" fillId="0" fontId="14" numFmtId="0" xfId="0" applyAlignment="1" applyBorder="1" applyFont="1">
      <alignment horizontal="center"/>
    </xf>
    <xf borderId="4" fillId="0" fontId="24" numFmtId="0" xfId="0" applyAlignment="1" applyBorder="1" applyFont="1">
      <alignment horizontal="center"/>
    </xf>
    <xf borderId="1" fillId="4" fontId="13" numFmtId="16" xfId="0" applyAlignment="1" applyBorder="1" applyFont="1" applyNumberFormat="1">
      <alignment horizontal="center" shrinkToFit="0" vertical="center" wrapText="1"/>
    </xf>
    <xf borderId="4" fillId="10" fontId="12" numFmtId="0" xfId="0" applyAlignment="1" applyBorder="1" applyFont="1">
      <alignment readingOrder="0" vertical="bottom"/>
    </xf>
    <xf borderId="4" fillId="10" fontId="12" numFmtId="0" xfId="0" applyAlignment="1" applyBorder="1" applyFont="1">
      <alignment readingOrder="0" shrinkToFit="0" vertical="bottom" wrapText="1"/>
    </xf>
    <xf borderId="4" fillId="8" fontId="12" numFmtId="0" xfId="0" applyAlignment="1" applyBorder="1" applyFont="1">
      <alignment readingOrder="0" shrinkToFit="0" wrapText="1"/>
    </xf>
    <xf borderId="4" fillId="5" fontId="5" numFmtId="0" xfId="0" applyAlignment="1" applyBorder="1" applyFont="1">
      <alignment horizontal="left" readingOrder="0" shrinkToFit="0" vertical="center" wrapText="1"/>
    </xf>
    <xf borderId="4" fillId="6" fontId="12" numFmtId="0" xfId="0" applyAlignment="1" applyBorder="1" applyFont="1">
      <alignment readingOrder="0" vertical="bottom"/>
    </xf>
    <xf borderId="4" fillId="5" fontId="24" numFmtId="0" xfId="0" applyAlignment="1" applyBorder="1" applyFont="1">
      <alignment horizontal="center"/>
    </xf>
    <xf borderId="1" fillId="2" fontId="13" numFmtId="0" xfId="0" applyAlignment="1" applyBorder="1" applyFont="1">
      <alignment horizontal="center" shrinkToFit="0" vertical="center" wrapText="1"/>
    </xf>
    <xf borderId="1" fillId="2" fontId="13" numFmtId="165" xfId="0" applyAlignment="1" applyBorder="1" applyFont="1" applyNumberFormat="1">
      <alignment horizontal="center" shrinkToFit="1" vertical="center" wrapText="0"/>
    </xf>
    <xf borderId="1" fillId="2" fontId="5" numFmtId="0" xfId="0" applyAlignment="1" applyBorder="1" applyFont="1">
      <alignment horizontal="center" readingOrder="0" vertical="center"/>
    </xf>
    <xf borderId="4" fillId="5" fontId="23" numFmtId="0" xfId="0" applyAlignment="1" applyBorder="1" applyFont="1">
      <alignment horizontal="center" vertical="bottom"/>
    </xf>
    <xf borderId="4" fillId="8" fontId="14" numFmtId="0" xfId="0" applyAlignment="1" applyBorder="1" applyFont="1">
      <alignment horizontal="center" readingOrder="0"/>
    </xf>
    <xf borderId="4" fillId="5" fontId="2" numFmtId="0" xfId="0" applyAlignment="1" applyBorder="1" applyFont="1">
      <alignment horizontal="left" shrinkToFit="0" vertical="center" wrapText="1"/>
    </xf>
    <xf borderId="4" fillId="0" fontId="13" numFmtId="0" xfId="0" applyBorder="1" applyFont="1"/>
    <xf borderId="4" fillId="5" fontId="6" numFmtId="0" xfId="0" applyAlignment="1" applyBorder="1" applyFont="1">
      <alignment horizontal="left" shrinkToFit="0" vertical="center" wrapText="1"/>
    </xf>
    <xf borderId="4" fillId="5" fontId="25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horizontal="left"/>
    </xf>
    <xf borderId="4" fillId="5" fontId="12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center" vertical="bottom"/>
    </xf>
    <xf borderId="4" fillId="5" fontId="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5" fontId="13" numFmtId="0" xfId="0" applyAlignment="1" applyBorder="1" applyFont="1">
      <alignment horizontal="left"/>
    </xf>
    <xf borderId="4" fillId="5" fontId="1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vertical="bottom"/>
    </xf>
    <xf borderId="4" fillId="5" fontId="13" numFmtId="0" xfId="0" applyAlignment="1" applyBorder="1" applyFont="1">
      <alignment horizontal="center"/>
    </xf>
    <xf borderId="17" fillId="0" fontId="23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left"/>
    </xf>
    <xf borderId="4" fillId="0" fontId="12" numFmtId="0" xfId="0" applyAlignment="1" applyBorder="1" applyFont="1">
      <alignment horizontal="center" vertical="bottom"/>
    </xf>
    <xf borderId="4" fillId="0" fontId="21" numFmtId="0" xfId="0" applyAlignment="1" applyBorder="1" applyFont="1">
      <alignment horizontal="left"/>
    </xf>
    <xf borderId="4" fillId="0" fontId="12" numFmtId="0" xfId="0" applyAlignment="1" applyBorder="1" applyFont="1">
      <alignment horizontal="center"/>
    </xf>
    <xf borderId="4" fillId="0" fontId="14" numFmtId="0" xfId="0" applyAlignment="1" applyBorder="1" applyFont="1">
      <alignment vertical="bottom"/>
    </xf>
    <xf borderId="4" fillId="12" fontId="12" numFmtId="0" xfId="0" applyAlignment="1" applyBorder="1" applyFont="1">
      <alignment shrinkToFit="0" wrapText="1"/>
    </xf>
    <xf borderId="4" fillId="5" fontId="12" numFmtId="0" xfId="0" applyAlignment="1" applyBorder="1" applyFont="1">
      <alignment readingOrder="0" shrinkToFit="0" wrapText="1"/>
    </xf>
    <xf borderId="4" fillId="0" fontId="26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shrinkToFit="0" vertical="center" wrapText="1"/>
    </xf>
    <xf borderId="4" fillId="14" fontId="1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readingOrder="0"/>
    </xf>
    <xf borderId="4" fillId="6" fontId="26" numFmtId="0" xfId="0" applyAlignment="1" applyBorder="1" applyFont="1">
      <alignment shrinkToFit="0" wrapText="1"/>
    </xf>
    <xf borderId="4" fillId="0" fontId="13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shrinkToFit="0" vertical="center" wrapText="1"/>
    </xf>
    <xf borderId="1" fillId="9" fontId="5" numFmtId="165" xfId="0" applyAlignment="1" applyBorder="1" applyFont="1" applyNumberFormat="1">
      <alignment horizontal="center" shrinkToFit="1" vertical="center" wrapText="0"/>
    </xf>
    <xf borderId="4" fillId="0" fontId="2" numFmtId="0" xfId="0" applyBorder="1" applyFont="1"/>
    <xf borderId="4" fillId="0" fontId="5" numFmtId="0" xfId="0" applyAlignment="1" applyBorder="1" applyFont="1">
      <alignment horizontal="center" vertical="bottom"/>
    </xf>
    <xf borderId="4" fillId="0" fontId="2" numFmtId="0" xfId="0" applyAlignment="1" applyBorder="1" applyFont="1">
      <alignment shrinkToFit="0" vertical="center" wrapText="1"/>
    </xf>
    <xf borderId="4" fillId="8" fontId="12" numFmtId="0" xfId="0" applyAlignment="1" applyBorder="1" applyFont="1">
      <alignment horizontal="center" vertical="bottom"/>
    </xf>
    <xf borderId="4" fillId="0" fontId="5" numFmtId="0" xfId="0" applyAlignment="1" applyBorder="1" applyFont="1">
      <alignment shrinkToFit="0" wrapText="1"/>
    </xf>
    <xf borderId="4" fillId="8" fontId="21" numFmtId="0" xfId="0" applyBorder="1" applyFont="1"/>
    <xf borderId="4" fillId="8" fontId="12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left" shrinkToFit="0" vertical="center" wrapText="1"/>
    </xf>
    <xf borderId="4" fillId="6" fontId="2" numFmtId="0" xfId="0" applyBorder="1" applyFont="1"/>
    <xf borderId="4" fillId="5" fontId="27" numFmtId="0" xfId="0" applyAlignment="1" applyBorder="1" applyFont="1">
      <alignment horizontal="left" vertical="center"/>
    </xf>
    <xf borderId="18" fillId="15" fontId="6" numFmtId="167" xfId="0" applyAlignment="1" applyBorder="1" applyFill="1" applyFont="1" applyNumberFormat="1">
      <alignment horizontal="left" shrinkToFit="0" vertical="center" wrapText="1"/>
    </xf>
    <xf borderId="19" fillId="0" fontId="7" numFmtId="0" xfId="0" applyBorder="1" applyFont="1"/>
    <xf borderId="4" fillId="0" fontId="22" numFmtId="0" xfId="0" applyBorder="1" applyFont="1"/>
    <xf borderId="4" fillId="0" fontId="22" numFmtId="0" xfId="0" applyAlignment="1" applyBorder="1" applyFont="1">
      <alignment horizontal="center"/>
    </xf>
    <xf borderId="4" fillId="0" fontId="20" numFmtId="0" xfId="0" applyBorder="1" applyFont="1"/>
    <xf borderId="4" fillId="0" fontId="14" numFmtId="0" xfId="0" applyBorder="1" applyFont="1"/>
    <xf borderId="4" fillId="0" fontId="23" numFmtId="0" xfId="0" applyAlignment="1" applyBorder="1" applyFont="1">
      <alignment horizontal="center"/>
    </xf>
    <xf borderId="4" fillId="0" fontId="23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center"/>
    </xf>
    <xf borderId="4" fillId="6" fontId="10" numFmtId="0" xfId="0" applyBorder="1" applyFont="1"/>
    <xf borderId="4" fillId="0" fontId="10" numFmtId="0" xfId="0" applyBorder="1" applyFont="1"/>
    <xf borderId="4" fillId="2" fontId="12" numFmtId="0" xfId="0" applyAlignment="1" applyBorder="1" applyFont="1">
      <alignment horizontal="center" vertical="bottom"/>
    </xf>
    <xf borderId="4" fillId="5" fontId="10" numFmtId="0" xfId="0" applyBorder="1" applyFont="1"/>
    <xf borderId="4" fillId="5" fontId="10" numFmtId="0" xfId="0" applyAlignment="1" applyBorder="1" applyFont="1">
      <alignment horizontal="center"/>
    </xf>
    <xf borderId="4" fillId="0" fontId="11" numFmtId="0" xfId="0" applyAlignment="1" applyBorder="1" applyFont="1">
      <alignment readingOrder="0" vertical="bottom"/>
    </xf>
    <xf borderId="4" fillId="0" fontId="23" numFmtId="0" xfId="0" applyBorder="1" applyFont="1"/>
    <xf borderId="4" fillId="0" fontId="13" numFmtId="0" xfId="0" applyAlignment="1" applyBorder="1" applyFont="1">
      <alignment vertical="center"/>
    </xf>
    <xf borderId="4" fillId="3" fontId="12" numFmtId="0" xfId="0" applyAlignment="1" applyBorder="1" applyFont="1">
      <alignment readingOrder="0" vertical="bottom"/>
    </xf>
    <xf borderId="13" fillId="0" fontId="14" numFmtId="0" xfId="0" applyBorder="1" applyFont="1"/>
    <xf borderId="7" fillId="0" fontId="23" numFmtId="0" xfId="0" applyAlignment="1" applyBorder="1" applyFont="1">
      <alignment horizontal="left" shrinkToFit="0" vertical="center" wrapText="1"/>
    </xf>
    <xf borderId="1" fillId="0" fontId="22" numFmtId="0" xfId="0" applyAlignment="1" applyBorder="1" applyFont="1">
      <alignment horizontal="center"/>
    </xf>
    <xf borderId="3" fillId="0" fontId="23" numFmtId="0" xfId="0" applyAlignment="1" applyBorder="1" applyFont="1">
      <alignment horizontal="center"/>
    </xf>
    <xf borderId="9" fillId="0" fontId="23" numFmtId="0" xfId="0" applyAlignment="1" applyBorder="1" applyFont="1">
      <alignment horizontal="left" shrinkToFit="0" vertical="center" wrapText="1"/>
    </xf>
    <xf borderId="4" fillId="2" fontId="12" numFmtId="0" xfId="0" applyBorder="1" applyFont="1"/>
    <xf borderId="4" fillId="2" fontId="12" numFmtId="0" xfId="0" applyAlignment="1" applyBorder="1" applyFont="1">
      <alignment readingOrder="0"/>
    </xf>
    <xf borderId="4" fillId="2" fontId="5" numFmtId="0" xfId="0" applyBorder="1" applyFont="1"/>
    <xf borderId="20" fillId="15" fontId="6" numFmtId="167" xfId="0" applyAlignment="1" applyBorder="1" applyFont="1" applyNumberFormat="1">
      <alignment horizontal="left" shrinkToFit="0" vertical="center" wrapText="1"/>
    </xf>
    <xf borderId="21" fillId="0" fontId="7" numFmtId="0" xfId="0" applyBorder="1" applyFont="1"/>
    <xf borderId="1" fillId="2" fontId="5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4" fillId="5" fontId="28" numFmtId="0" xfId="0" applyAlignment="1" applyBorder="1" applyFont="1">
      <alignment vertical="bottom"/>
    </xf>
    <xf borderId="4" fillId="0" fontId="22" numFmtId="0" xfId="0" applyAlignment="1" applyBorder="1" applyFont="1">
      <alignment vertical="bottom"/>
    </xf>
    <xf borderId="1" fillId="3" fontId="5" numFmtId="0" xfId="0" applyAlignment="1" applyBorder="1" applyFont="1">
      <alignment horizontal="center" shrinkToFit="0" wrapText="1"/>
    </xf>
    <xf borderId="4" fillId="3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readingOrder="0" shrinkToFit="0" wrapText="1"/>
    </xf>
    <xf borderId="4" fillId="5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6" fontId="28" numFmtId="0" xfId="0" applyAlignment="1" applyBorder="1" applyFont="1">
      <alignment vertical="bottom"/>
    </xf>
    <xf borderId="0" fillId="0" fontId="5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18" fillId="15" fontId="6" numFmtId="164" xfId="0" applyAlignment="1" applyBorder="1" applyFont="1" applyNumberFormat="1">
      <alignment horizontal="left" shrinkToFit="0" vertical="top" wrapText="1"/>
    </xf>
    <xf borderId="1" fillId="2" fontId="13" numFmtId="165" xfId="0" applyAlignment="1" applyBorder="1" applyFont="1" applyNumberFormat="1">
      <alignment horizontal="center" vertical="bottom"/>
    </xf>
    <xf borderId="4" fillId="5" fontId="21" numFmtId="0" xfId="0" applyBorder="1" applyFont="1"/>
    <xf borderId="3" fillId="0" fontId="12" numFmtId="0" xfId="0" applyAlignment="1" applyBorder="1" applyFont="1">
      <alignment vertical="bottom"/>
    </xf>
    <xf borderId="4" fillId="6" fontId="21" numFmtId="0" xfId="0" applyAlignment="1" applyBorder="1" applyFont="1">
      <alignment readingOrder="0" vertical="bottom"/>
    </xf>
    <xf borderId="4" fillId="6" fontId="12" numFmtId="0" xfId="0" applyAlignment="1" applyBorder="1" applyFont="1">
      <alignment horizontal="center" vertical="bottom"/>
    </xf>
    <xf borderId="4" fillId="8" fontId="21" numFmtId="0" xfId="0" applyAlignment="1" applyBorder="1" applyFont="1">
      <alignment readingOrder="0" vertical="bottom"/>
    </xf>
    <xf borderId="4" fillId="0" fontId="13" numFmtId="0" xfId="0" applyAlignment="1" applyBorder="1" applyFont="1">
      <alignment vertical="bottom"/>
    </xf>
    <xf borderId="4" fillId="0" fontId="29" numFmtId="0" xfId="0" applyAlignment="1" applyBorder="1" applyFont="1">
      <alignment horizontal="center"/>
    </xf>
    <xf borderId="4" fillId="0" fontId="14" numFmtId="0" xfId="0" applyAlignment="1" applyBorder="1" applyFont="1">
      <alignment horizontal="left" shrinkToFit="0" vertical="center" wrapText="1"/>
    </xf>
    <xf borderId="4" fillId="16" fontId="12" numFmtId="0" xfId="0" applyAlignment="1" applyBorder="1" applyFill="1" applyFont="1">
      <alignment vertical="bottom"/>
    </xf>
    <xf borderId="4" fillId="16" fontId="12" numFmtId="0" xfId="0" applyAlignment="1" applyBorder="1" applyFont="1">
      <alignment readingOrder="0" vertical="bottom"/>
    </xf>
    <xf borderId="0" fillId="0" fontId="22" numFmtId="0" xfId="0" applyAlignment="1" applyFont="1">
      <alignment horizontal="center"/>
    </xf>
    <xf borderId="4" fillId="5" fontId="13" numFmtId="0" xfId="0" applyAlignment="1" applyBorder="1" applyFont="1">
      <alignment vertical="bottom"/>
    </xf>
    <xf borderId="0" fillId="0" fontId="1" numFmtId="0" xfId="0" applyAlignment="1" applyFont="1">
      <alignment horizontal="left" readingOrder="0"/>
    </xf>
    <xf borderId="18" fillId="5" fontId="6" numFmtId="164" xfId="0" applyAlignment="1" applyBorder="1" applyFont="1" applyNumberFormat="1">
      <alignment horizontal="left" shrinkToFit="0" vertical="top" wrapText="1"/>
    </xf>
    <xf borderId="0" fillId="0" fontId="30" numFmtId="0" xfId="0" applyAlignment="1" applyFont="1">
      <alignment horizontal="center" shrinkToFit="0" vertical="center" wrapText="1"/>
    </xf>
    <xf borderId="13" fillId="0" fontId="21" numFmtId="0" xfId="0" applyBorder="1" applyFont="1"/>
    <xf borderId="4" fillId="5" fontId="13" numFmtId="0" xfId="0" applyAlignment="1" applyBorder="1" applyFont="1">
      <alignment vertical="center"/>
    </xf>
    <xf borderId="4" fillId="0" fontId="1" numFmtId="0" xfId="0" applyBorder="1" applyFont="1"/>
    <xf borderId="4" fillId="0" fontId="31" numFmtId="0" xfId="0" applyBorder="1" applyFont="1"/>
    <xf borderId="1" fillId="3" fontId="12" numFmtId="0" xfId="0" applyAlignment="1" applyBorder="1" applyFont="1">
      <alignment vertical="bottom"/>
    </xf>
    <xf borderId="4" fillId="6" fontId="32" numFmtId="0" xfId="0" applyBorder="1" applyFont="1"/>
    <xf borderId="4" fillId="10" fontId="12" numFmtId="0" xfId="0" applyAlignment="1" applyBorder="1" applyFont="1">
      <alignment vertical="bottom"/>
    </xf>
    <xf borderId="9" fillId="6" fontId="10" numFmtId="0" xfId="0" applyBorder="1" applyFont="1"/>
    <xf borderId="1" fillId="0" fontId="12" numFmtId="0" xfId="0" applyAlignment="1" applyBorder="1" applyFont="1">
      <alignment vertical="bottom"/>
    </xf>
    <xf borderId="4" fillId="12" fontId="31" numFmtId="0" xfId="0" applyAlignment="1" applyBorder="1" applyFont="1">
      <alignment readingOrder="0"/>
    </xf>
    <xf borderId="4" fillId="12" fontId="11" numFmtId="0" xfId="0" applyAlignment="1" applyBorder="1" applyFont="1">
      <alignment vertical="bottom"/>
    </xf>
    <xf borderId="4" fillId="2" fontId="10" numFmtId="0" xfId="0" applyAlignment="1" applyBorder="1" applyFont="1">
      <alignment readingOrder="0"/>
    </xf>
    <xf borderId="4" fillId="0" fontId="21" numFmtId="0" xfId="0" applyAlignment="1" applyBorder="1" applyFont="1">
      <alignment vertical="bottom"/>
    </xf>
    <xf borderId="4" fillId="0" fontId="19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4" fillId="6" fontId="1" numFmtId="0" xfId="0" applyBorder="1" applyFont="1"/>
    <xf borderId="0" fillId="0" fontId="26" numFmtId="0" xfId="0" applyAlignment="1" applyFont="1">
      <alignment shrinkToFit="0" vertical="bottom" wrapText="1"/>
    </xf>
    <xf borderId="0" fillId="0" fontId="33" numFmtId="0" xfId="0" applyAlignment="1" applyFont="1">
      <alignment vertical="bottom"/>
    </xf>
    <xf borderId="0" fillId="0" fontId="33" numFmtId="164" xfId="0" applyAlignment="1" applyFont="1" applyNumberFormat="1">
      <alignment vertical="bottom"/>
    </xf>
    <xf borderId="0" fillId="0" fontId="33" numFmtId="0" xfId="0" applyAlignment="1" applyFont="1">
      <alignment vertical="top"/>
    </xf>
    <xf borderId="4" fillId="0" fontId="33" numFmtId="0" xfId="0" applyAlignment="1" applyBorder="1" applyFont="1">
      <alignment vertical="bottom"/>
    </xf>
    <xf borderId="4" fillId="0" fontId="33" numFmtId="0" xfId="0" applyAlignment="1" applyBorder="1" applyFont="1">
      <alignment readingOrder="0" vertical="bottom"/>
    </xf>
    <xf borderId="1" fillId="3" fontId="13" numFmtId="0" xfId="0" applyAlignment="1" applyBorder="1" applyFont="1">
      <alignment horizontal="center"/>
    </xf>
    <xf borderId="4" fillId="0" fontId="15" numFmtId="0" xfId="0" applyAlignment="1" applyBorder="1" applyFont="1">
      <alignment vertical="bottom"/>
    </xf>
    <xf borderId="4" fillId="6" fontId="11" numFmtId="0" xfId="0" applyAlignment="1" applyBorder="1" applyFont="1">
      <alignment readingOrder="0"/>
    </xf>
    <xf borderId="4" fillId="0" fontId="15" numFmtId="0" xfId="0" applyAlignment="1" applyBorder="1" applyFont="1">
      <alignment readingOrder="0" vertical="bottom"/>
    </xf>
    <xf borderId="4" fillId="10" fontId="12" numFmtId="0" xfId="0" applyAlignment="1" applyBorder="1" applyFont="1">
      <alignment readingOrder="0"/>
    </xf>
    <xf borderId="4" fillId="10" fontId="12" numFmtId="0" xfId="0" applyAlignment="1" applyBorder="1" applyFont="1">
      <alignment readingOrder="0" shrinkToFit="0" wrapText="1"/>
    </xf>
    <xf borderId="4" fillId="10" fontId="15" numFmtId="0" xfId="0" applyAlignment="1" applyBorder="1" applyFont="1">
      <alignment readingOrder="0" vertical="bottom"/>
    </xf>
    <xf borderId="0" fillId="0" fontId="19" numFmtId="0" xfId="0" applyAlignment="1" applyFont="1">
      <alignment readingOrder="0"/>
    </xf>
    <xf borderId="4" fillId="6" fontId="12" numFmtId="0" xfId="0" applyAlignment="1" applyBorder="1" applyFont="1">
      <alignment readingOrder="0" shrinkToFit="0" vertical="bottom" wrapText="1"/>
    </xf>
    <xf borderId="4" fillId="8" fontId="33" numFmtId="0" xfId="0" applyAlignment="1" applyBorder="1" applyFont="1">
      <alignment vertical="bottom"/>
    </xf>
    <xf borderId="4" fillId="8" fontId="33" numFmtId="0" xfId="0" applyAlignment="1" applyBorder="1" applyFont="1">
      <alignment readingOrder="0" vertical="bottom"/>
    </xf>
    <xf borderId="1" fillId="4" fontId="33" numFmtId="0" xfId="0" applyAlignment="1" applyBorder="1" applyFont="1">
      <alignment vertical="bottom"/>
    </xf>
    <xf borderId="1" fillId="4" fontId="33" numFmtId="165" xfId="0" applyAlignment="1" applyBorder="1" applyFont="1" applyNumberFormat="1">
      <alignment vertical="bottom"/>
    </xf>
    <xf borderId="4" fillId="6" fontId="26" numFmtId="0" xfId="0" applyAlignment="1" applyBorder="1" applyFont="1">
      <alignment vertical="bottom"/>
    </xf>
    <xf borderId="4" fillId="0" fontId="26" numFmtId="0" xfId="0" applyAlignment="1" applyBorder="1" applyFont="1">
      <alignment shrinkToFit="0" vertical="bottom" wrapText="1"/>
    </xf>
    <xf borderId="4" fillId="6" fontId="33" numFmtId="0" xfId="0" applyAlignment="1" applyBorder="1" applyFont="1">
      <alignment vertical="bottom"/>
    </xf>
    <xf borderId="4" fillId="0" fontId="34" numFmtId="0" xfId="0" applyAlignment="1" applyBorder="1" applyFont="1">
      <alignment vertical="bottom"/>
    </xf>
    <xf borderId="4" fillId="0" fontId="33" numFmtId="165" xfId="0" applyAlignment="1" applyBorder="1" applyFont="1" applyNumberFormat="1">
      <alignment vertical="bottom"/>
    </xf>
    <xf borderId="1" fillId="2" fontId="33" numFmtId="0" xfId="0" applyAlignment="1" applyBorder="1" applyFont="1">
      <alignment vertical="bottom"/>
    </xf>
    <xf borderId="0" fillId="0" fontId="26" numFmtId="0" xfId="0" applyAlignment="1" applyFont="1">
      <alignment shrinkToFit="0" wrapText="1"/>
    </xf>
    <xf borderId="0" fillId="0" fontId="11" numFmtId="0" xfId="0" applyFont="1"/>
    <xf borderId="0" fillId="0" fontId="35" numFmtId="0" xfId="0" applyAlignment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1" fillId="2" fontId="11" numFmtId="165" xfId="0" applyAlignment="1" applyBorder="1" applyFont="1" applyNumberFormat="1">
      <alignment vertical="bottom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11" fillId="0" fontId="22" numFmtId="0" xfId="0" applyAlignment="1" applyBorder="1" applyFont="1">
      <alignment horizontal="center" vertical="bottom"/>
    </xf>
    <xf borderId="10" fillId="0" fontId="22" numFmtId="0" xfId="0" applyAlignment="1" applyBorder="1" applyFont="1">
      <alignment vertical="bottom"/>
    </xf>
    <xf borderId="17" fillId="0" fontId="22" numFmtId="0" xfId="0" applyAlignment="1" applyBorder="1" applyFont="1">
      <alignment horizontal="center" vertical="bottom"/>
    </xf>
    <xf borderId="10" fillId="0" fontId="11" numFmtId="0" xfId="0" applyAlignment="1" applyBorder="1" applyFont="1">
      <alignment vertical="bottom"/>
    </xf>
    <xf borderId="1" fillId="4" fontId="5" numFmtId="0" xfId="0" applyAlignment="1" applyBorder="1" applyFont="1">
      <alignment horizontal="center" shrinkToFit="0" wrapText="1"/>
    </xf>
    <xf borderId="1" fillId="4" fontId="8" numFmtId="16" xfId="0" applyAlignment="1" applyBorder="1" applyFont="1" applyNumberFormat="1">
      <alignment horizontal="center" shrinkToFit="0" wrapText="1"/>
    </xf>
    <xf borderId="1" fillId="4" fontId="5" numFmtId="165" xfId="0" applyAlignment="1" applyBorder="1" applyFont="1" applyNumberFormat="1">
      <alignment horizontal="center"/>
    </xf>
    <xf borderId="1" fillId="4" fontId="8" numFmtId="165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center" shrinkToFit="0" wrapText="1"/>
    </xf>
    <xf borderId="1" fillId="2" fontId="5" numFmtId="165" xfId="0" applyAlignment="1" applyBorder="1" applyFont="1" applyNumberFormat="1">
      <alignment horizontal="center"/>
    </xf>
    <xf borderId="1" fillId="2" fontId="8" numFmtId="165" xfId="0" applyAlignment="1" applyBorder="1" applyFont="1" applyNumberFormat="1">
      <alignment horizontal="center"/>
    </xf>
    <xf borderId="4" fillId="0" fontId="28" numFmtId="0" xfId="0" applyAlignment="1" applyBorder="1" applyFont="1">
      <alignment vertical="bottom"/>
    </xf>
    <xf borderId="1" fillId="4" fontId="8" numFmtId="0" xfId="0" applyAlignment="1" applyBorder="1" applyFont="1">
      <alignment horizontal="center" shrinkToFit="0" wrapText="1"/>
    </xf>
    <xf borderId="1" fillId="9" fontId="5" numFmtId="0" xfId="0" applyAlignment="1" applyBorder="1" applyFont="1">
      <alignment horizontal="center" shrinkToFit="0" wrapText="1"/>
    </xf>
    <xf borderId="1" fillId="9" fontId="5" numFmtId="165" xfId="0" applyAlignment="1" applyBorder="1" applyFont="1" applyNumberFormat="1">
      <alignment horizontal="center"/>
    </xf>
    <xf borderId="1" fillId="2" fontId="11" numFmtId="0" xfId="0" applyBorder="1" applyFont="1"/>
    <xf borderId="1" fillId="2" fontId="11" numFmtId="165" xfId="0" applyBorder="1" applyFont="1" applyNumberFormat="1"/>
    <xf borderId="4" fillId="6" fontId="11" numFmtId="0" xfId="0" applyBorder="1" applyFont="1"/>
    <xf borderId="0" fillId="0" fontId="11" numFmtId="0" xfId="0" applyAlignment="1" applyFont="1">
      <alignment readingOrder="0" vertical="bottom"/>
    </xf>
    <xf borderId="1" fillId="4" fontId="11" numFmtId="0" xfId="0" applyBorder="1" applyFont="1"/>
    <xf borderId="1" fillId="4" fontId="11" numFmtId="16" xfId="0" applyBorder="1" applyFont="1" applyNumberFormat="1"/>
    <xf borderId="1" fillId="4" fontId="11" numFmtId="165" xfId="0" applyBorder="1" applyFont="1" applyNumberFormat="1"/>
    <xf borderId="0" fillId="0" fontId="12" numFmtId="0" xfId="0" applyAlignment="1" applyFont="1">
      <alignment vertical="top"/>
    </xf>
    <xf borderId="0" fillId="0" fontId="11" numFmtId="164" xfId="0" applyAlignment="1" applyFont="1" applyNumberFormat="1">
      <alignment vertical="bottom"/>
    </xf>
    <xf borderId="13" fillId="3" fontId="11" numFmtId="0" xfId="0" applyAlignment="1" applyBorder="1" applyFont="1">
      <alignment vertical="bottom"/>
    </xf>
    <xf borderId="13" fillId="0" fontId="11" numFmtId="0" xfId="0" applyAlignment="1" applyBorder="1" applyFont="1">
      <alignment vertical="bottom"/>
    </xf>
    <xf borderId="0" fillId="6" fontId="11" numFmtId="0" xfId="0" applyAlignment="1" applyFont="1">
      <alignment vertical="bottom"/>
    </xf>
    <xf borderId="13" fillId="2" fontId="11" numFmtId="0" xfId="0" applyAlignment="1" applyBorder="1" applyFont="1">
      <alignment vertical="bottom"/>
    </xf>
    <xf borderId="13" fillId="10" fontId="11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shrinkToFit="0" vertical="center" wrapText="1"/>
    </xf>
    <xf borderId="4" fillId="6" fontId="5" numFmtId="0" xfId="0" applyAlignment="1" applyBorder="1" applyFont="1">
      <alignment readingOrder="0" vertical="bottom"/>
    </xf>
    <xf borderId="4" fillId="10" fontId="5" numFmtId="0" xfId="0" applyAlignment="1" applyBorder="1" applyFont="1">
      <alignment shrinkToFit="0" vertical="bottom" wrapText="1"/>
    </xf>
    <xf borderId="4" fillId="10" fontId="5" numFmtId="0" xfId="0" applyAlignment="1" applyBorder="1" applyFont="1">
      <alignment readingOrder="0" shrinkToFit="0" vertical="bottom" wrapText="1"/>
    </xf>
    <xf borderId="4" fillId="6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4" fillId="0" fontId="3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vertical="bottom"/>
    </xf>
    <xf borderId="4" fillId="6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vertical="bottom"/>
    </xf>
    <xf borderId="1" fillId="0" fontId="33" numFmtId="0" xfId="0" applyAlignment="1" applyBorder="1" applyFont="1">
      <alignment vertical="top"/>
    </xf>
    <xf borderId="4" fillId="6" fontId="12" numFmtId="0" xfId="0" applyAlignment="1" applyBorder="1" applyFont="1">
      <alignment readingOrder="0" shrinkToFit="0" wrapText="1"/>
    </xf>
    <xf borderId="22" fillId="0" fontId="22" numFmtId="0" xfId="0" applyAlignment="1" applyBorder="1" applyFont="1">
      <alignment vertical="bottom"/>
    </xf>
    <xf borderId="4" fillId="10" fontId="5" numFmtId="0" xfId="0" applyAlignment="1" applyBorder="1" applyFont="1">
      <alignment shrinkToFit="0" vertical="bottom" wrapText="1"/>
    </xf>
    <xf borderId="4" fillId="0" fontId="33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10" fontId="33" numFmtId="0" xfId="0" applyAlignment="1" applyBorder="1" applyFont="1">
      <alignment readingOrder="0" vertical="bottom"/>
    </xf>
    <xf borderId="1" fillId="10" fontId="5" numFmtId="0" xfId="0" applyAlignment="1" applyBorder="1" applyFont="1">
      <alignment horizontal="center" readingOrder="0" vertical="bottom"/>
    </xf>
    <xf borderId="1" fillId="0" fontId="33" numFmtId="0" xfId="0" applyAlignment="1" applyBorder="1" applyFont="1">
      <alignment vertical="bottom"/>
    </xf>
    <xf borderId="0" fillId="0" fontId="26" numFmtId="0" xfId="0" applyAlignment="1" applyFont="1">
      <alignment readingOrder="0" shrinkToFit="0" vertical="bottom" wrapText="1"/>
    </xf>
    <xf borderId="23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/>
    </xf>
    <xf borderId="23" fillId="17" fontId="5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left" shrinkToFit="0" vertical="center" wrapText="1"/>
    </xf>
    <xf borderId="1" fillId="10" fontId="33" numFmtId="0" xfId="0" applyAlignment="1" applyBorder="1" applyFont="1">
      <alignment horizontal="center" readingOrder="0" vertical="bottom"/>
    </xf>
    <xf borderId="4" fillId="3" fontId="34" numFmtId="0" xfId="0" applyAlignment="1" applyBorder="1" applyFont="1">
      <alignment vertical="bottom"/>
    </xf>
    <xf borderId="25" fillId="0" fontId="5" numFmtId="0" xfId="0" applyAlignment="1" applyBorder="1" applyFont="1">
      <alignment vertical="bottom"/>
    </xf>
    <xf borderId="25" fillId="0" fontId="7" numFmtId="0" xfId="0" applyBorder="1" applyFont="1"/>
    <xf borderId="25" fillId="0" fontId="33" numFmtId="0" xfId="0" applyAlignment="1" applyBorder="1" applyFont="1">
      <alignment vertical="top"/>
    </xf>
    <xf borderId="25" fillId="0" fontId="33" numFmtId="0" xfId="0" applyAlignment="1" applyBorder="1" applyFont="1">
      <alignment vertical="bottom"/>
    </xf>
    <xf borderId="26" fillId="2" fontId="5" numFmtId="0" xfId="0" applyAlignment="1" applyBorder="1" applyFont="1">
      <alignment horizontal="center" vertical="bottom"/>
    </xf>
    <xf borderId="27" fillId="0" fontId="7" numFmtId="0" xfId="0" applyBorder="1" applyFont="1"/>
    <xf borderId="28" fillId="0" fontId="7" numFmtId="0" xfId="0" applyBorder="1" applyFont="1"/>
    <xf borderId="26" fillId="2" fontId="8" numFmtId="0" xfId="0" applyAlignment="1" applyBorder="1" applyFont="1">
      <alignment horizontal="center" vertical="bottom"/>
    </xf>
    <xf borderId="26" fillId="2" fontId="5" numFmtId="165" xfId="0" applyAlignment="1" applyBorder="1" applyFont="1" applyNumberFormat="1">
      <alignment horizontal="center" vertical="bottom"/>
    </xf>
    <xf borderId="29" fillId="2" fontId="5" numFmtId="165" xfId="0" applyAlignment="1" applyBorder="1" applyFont="1" applyNumberFormat="1">
      <alignment horizontal="center" vertical="bottom"/>
    </xf>
    <xf borderId="22" fillId="0" fontId="7" numFmtId="0" xfId="0" applyBorder="1" applyFont="1"/>
    <xf borderId="25" fillId="2" fontId="8" numFmtId="165" xfId="0" applyAlignment="1" applyBorder="1" applyFont="1" applyNumberFormat="1">
      <alignment horizontal="center" vertical="bottom"/>
    </xf>
    <xf borderId="30" fillId="0" fontId="33" numFmtId="0" xfId="0" applyAlignment="1" applyBorder="1" applyFont="1">
      <alignment vertical="bottom"/>
    </xf>
    <xf borderId="22" fillId="0" fontId="33" numFmtId="0" xfId="0" applyAlignment="1" applyBorder="1" applyFont="1">
      <alignment vertical="bottom"/>
    </xf>
    <xf borderId="13" fillId="6" fontId="5" numFmtId="0" xfId="0" applyAlignment="1" applyBorder="1" applyFont="1">
      <alignment vertical="bottom"/>
    </xf>
    <xf borderId="13" fillId="5" fontId="2" numFmtId="0" xfId="0" applyAlignment="1" applyBorder="1" applyFont="1">
      <alignment horizontal="left" shrinkToFit="0" vertical="center" wrapText="1"/>
    </xf>
    <xf borderId="13" fillId="5" fontId="6" numFmtId="0" xfId="0" applyAlignment="1" applyBorder="1" applyFont="1">
      <alignment horizontal="left" shrinkToFit="0" vertical="center" wrapText="1"/>
    </xf>
    <xf borderId="22" fillId="6" fontId="26" numFmtId="0" xfId="0" applyAlignment="1" applyBorder="1" applyFont="1">
      <alignment vertical="bottom"/>
    </xf>
    <xf borderId="22" fillId="0" fontId="26" numFmtId="0" xfId="0" applyAlignment="1" applyBorder="1" applyFont="1">
      <alignment shrinkToFit="0" vertical="bottom" wrapText="1"/>
    </xf>
    <xf borderId="22" fillId="0" fontId="34" numFmtId="0" xfId="0" applyAlignment="1" applyBorder="1" applyFont="1">
      <alignment vertical="bottom"/>
    </xf>
    <xf borderId="13" fillId="6" fontId="13" numFmtId="0" xfId="0" applyBorder="1" applyFont="1"/>
    <xf borderId="13" fillId="0" fontId="13" numFmtId="0" xfId="0" applyAlignment="1" applyBorder="1" applyFont="1">
      <alignment horizontal="left" shrinkToFit="0" vertical="center" wrapText="1"/>
    </xf>
    <xf borderId="31" fillId="0" fontId="13" numFmtId="0" xfId="0" applyBorder="1" applyFont="1"/>
    <xf borderId="13" fillId="0" fontId="13" numFmtId="0" xfId="0" applyAlignment="1" applyBorder="1" applyFont="1">
      <alignment horizontal="left"/>
    </xf>
    <xf borderId="13" fillId="0" fontId="13" numFmtId="0" xfId="0" applyBorder="1" applyFont="1"/>
    <xf borderId="13" fillId="5" fontId="13" numFmtId="0" xfId="0" applyAlignment="1" applyBorder="1" applyFont="1">
      <alignment horizontal="left" shrinkToFit="0" vertical="center" wrapText="1"/>
    </xf>
    <xf borderId="26" fillId="0" fontId="13" numFmtId="0" xfId="0" applyAlignment="1" applyBorder="1" applyFont="1">
      <alignment horizontal="left" shrinkToFit="0" vertical="center" wrapText="1"/>
    </xf>
    <xf borderId="28" fillId="0" fontId="5" numFmtId="0" xfId="0" applyAlignment="1" applyBorder="1" applyFont="1">
      <alignment horizontal="left" shrinkToFit="0" vertical="center" wrapText="1"/>
    </xf>
    <xf borderId="13" fillId="0" fontId="5" numFmtId="0" xfId="0" applyAlignment="1" applyBorder="1" applyFont="1">
      <alignment horizontal="left" shrinkToFit="0" vertical="center" wrapText="1"/>
    </xf>
    <xf borderId="30" fillId="6" fontId="33" numFmtId="0" xfId="0" applyAlignment="1" applyBorder="1" applyFont="1">
      <alignment vertical="bottom"/>
    </xf>
    <xf borderId="22" fillId="6" fontId="33" numFmtId="0" xfId="0" applyAlignment="1" applyBorder="1" applyFont="1">
      <alignment vertical="bottom"/>
    </xf>
    <xf borderId="13" fillId="6" fontId="5" numFmtId="0" xfId="0" applyBorder="1" applyFont="1"/>
    <xf borderId="13" fillId="5" fontId="27" numFmtId="0" xfId="0" applyAlignment="1" applyBorder="1" applyFont="1">
      <alignment horizontal="left" vertical="center"/>
    </xf>
    <xf borderId="29" fillId="4" fontId="5" numFmtId="0" xfId="0" applyAlignment="1" applyBorder="1" applyFont="1">
      <alignment horizontal="center" vertical="bottom"/>
    </xf>
    <xf borderId="25" fillId="4" fontId="5" numFmtId="0" xfId="0" applyAlignment="1" applyBorder="1" applyFont="1">
      <alignment horizontal="center" vertical="bottom"/>
    </xf>
    <xf borderId="25" fillId="4" fontId="8" numFmtId="0" xfId="0" applyAlignment="1" applyBorder="1" applyFont="1">
      <alignment horizontal="center" vertical="bottom"/>
    </xf>
    <xf borderId="29" fillId="4" fontId="5" numFmtId="165" xfId="0" applyAlignment="1" applyBorder="1" applyFont="1" applyNumberFormat="1">
      <alignment horizontal="center" vertical="bottom"/>
    </xf>
    <xf borderId="25" fillId="4" fontId="5" numFmtId="165" xfId="0" applyAlignment="1" applyBorder="1" applyFont="1" applyNumberFormat="1">
      <alignment horizontal="center" vertical="bottom"/>
    </xf>
    <xf borderId="25" fillId="4" fontId="8" numFmtId="165" xfId="0" applyAlignment="1" applyBorder="1" applyFont="1" applyNumberFormat="1">
      <alignment horizontal="center" vertical="bottom"/>
    </xf>
    <xf borderId="26" fillId="3" fontId="2" numFmtId="0" xfId="0" applyAlignment="1" applyBorder="1" applyFont="1">
      <alignment horizontal="center" shrinkToFit="0" vertical="center" wrapText="1"/>
    </xf>
    <xf borderId="29" fillId="2" fontId="5" numFmtId="0" xfId="0" applyAlignment="1" applyBorder="1" applyFont="1">
      <alignment horizontal="center" vertical="bottom"/>
    </xf>
    <xf borderId="25" fillId="2" fontId="5" numFmtId="0" xfId="0" applyAlignment="1" applyBorder="1" applyFont="1">
      <alignment horizontal="center" vertical="bottom"/>
    </xf>
    <xf borderId="25" fillId="2" fontId="8" numFmtId="0" xfId="0" applyAlignment="1" applyBorder="1" applyFont="1">
      <alignment horizontal="center" vertical="bottom"/>
    </xf>
    <xf borderId="25" fillId="2" fontId="5" numFmtId="165" xfId="0" applyAlignment="1" applyBorder="1" applyFont="1" applyNumberFormat="1">
      <alignment horizontal="center" vertical="bottom"/>
    </xf>
    <xf borderId="29" fillId="9" fontId="5" numFmtId="165" xfId="0" applyAlignment="1" applyBorder="1" applyFont="1" applyNumberFormat="1">
      <alignment horizontal="center" vertical="bottom"/>
    </xf>
    <xf borderId="25" fillId="9" fontId="5" numFmtId="165" xfId="0" applyAlignment="1" applyBorder="1" applyFont="1" applyNumberFormat="1">
      <alignment horizontal="center" vertical="bottom"/>
    </xf>
    <xf borderId="25" fillId="9" fontId="8" numFmtId="165" xfId="0" applyAlignment="1" applyBorder="1" applyFont="1" applyNumberFormat="1">
      <alignment horizontal="center" vertical="bottom"/>
    </xf>
    <xf borderId="13" fillId="0" fontId="5" numFmtId="0" xfId="0" applyBorder="1" applyFont="1"/>
    <xf borderId="22" fillId="6" fontId="5" numFmtId="0" xfId="0" applyAlignment="1" applyBorder="1" applyFont="1">
      <alignment vertical="bottom"/>
    </xf>
    <xf borderId="25" fillId="4" fontId="33" numFmtId="0" xfId="0" applyAlignment="1" applyBorder="1" applyFont="1">
      <alignment vertical="bottom"/>
    </xf>
    <xf borderId="25" fillId="4" fontId="33" numFmtId="165" xfId="0" applyAlignment="1" applyBorder="1" applyFont="1" applyNumberFormat="1">
      <alignment vertical="bottom"/>
    </xf>
    <xf borderId="22" fillId="0" fontId="33" numFmtId="165" xfId="0" applyAlignment="1" applyBorder="1" applyFont="1" applyNumberFormat="1">
      <alignment vertical="bottom"/>
    </xf>
    <xf borderId="0" fillId="0" fontId="3" numFmtId="0" xfId="0" applyFont="1"/>
    <xf borderId="0" fillId="0" fontId="10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0" fontId="36" numFmtId="0" xfId="0" applyFont="1"/>
    <xf borderId="0" fillId="0" fontId="18" numFmtId="0" xfId="0" applyAlignment="1" applyFont="1">
      <alignment horizontal="center"/>
    </xf>
    <xf borderId="4" fillId="6" fontId="5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left"/>
    </xf>
    <xf borderId="4" fillId="3" fontId="13" numFmtId="0" xfId="0" applyAlignment="1" applyBorder="1" applyFont="1">
      <alignment horizontal="left"/>
    </xf>
    <xf borderId="4" fillId="3" fontId="13" numFmtId="0" xfId="0" applyAlignment="1" applyBorder="1" applyFont="1">
      <alignment horizontal="center"/>
    </xf>
    <xf borderId="7" fillId="0" fontId="1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/>
    </xf>
    <xf borderId="4" fillId="8" fontId="24" numFmtId="0" xfId="0" applyAlignment="1" applyBorder="1" applyFont="1">
      <alignment horizontal="center"/>
    </xf>
    <xf borderId="4" fillId="3" fontId="13" numFmtId="0" xfId="0" applyBorder="1" applyFont="1"/>
    <xf borderId="4" fillId="3" fontId="13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center" vertical="bottom"/>
    </xf>
    <xf borderId="4" fillId="0" fontId="24" numFmtId="0" xfId="0" applyAlignment="1" applyBorder="1" applyFont="1">
      <alignment vertical="bottom"/>
    </xf>
    <xf borderId="4" fillId="10" fontId="5" numFmtId="0" xfId="0" applyAlignment="1" applyBorder="1" applyFont="1">
      <alignment vertical="bottom"/>
    </xf>
    <xf borderId="4" fillId="10" fontId="5" numFmtId="0" xfId="0" applyAlignment="1" applyBorder="1" applyFont="1">
      <alignment horizontal="center" vertical="bottom"/>
    </xf>
    <xf borderId="4" fillId="10" fontId="24" numFmtId="0" xfId="0" applyAlignment="1" applyBorder="1" applyFont="1">
      <alignment horizontal="center"/>
    </xf>
    <xf borderId="4" fillId="0" fontId="13" numFmtId="0" xfId="0" applyAlignment="1" applyBorder="1" applyFont="1">
      <alignment horizontal="left" shrinkToFit="0" wrapText="0"/>
    </xf>
    <xf borderId="4" fillId="10" fontId="13" numFmtId="0" xfId="0" applyBorder="1" applyFont="1"/>
    <xf borderId="4" fillId="8" fontId="13" numFmtId="0" xfId="0" applyBorder="1" applyFont="1"/>
    <xf borderId="4" fillId="8" fontId="13" numFmtId="0" xfId="0" applyAlignment="1" applyBorder="1" applyFont="1">
      <alignment horizontal="left"/>
    </xf>
    <xf borderId="4" fillId="8" fontId="13" numFmtId="0" xfId="0" applyAlignment="1" applyBorder="1" applyFont="1">
      <alignment horizontal="center"/>
    </xf>
    <xf borderId="4" fillId="3" fontId="5" numFmtId="0" xfId="0" applyAlignment="1" applyBorder="1" applyFont="1">
      <alignment vertical="bottom"/>
    </xf>
    <xf borderId="4" fillId="3" fontId="5" numFmtId="0" xfId="0" applyAlignment="1" applyBorder="1" applyFont="1">
      <alignment horizontal="center" vertical="bottom"/>
    </xf>
    <xf borderId="4" fillId="0" fontId="21" numFmtId="0" xfId="0" applyAlignment="1" applyBorder="1" applyFont="1">
      <alignment horizontal="left" shrinkToFit="0" wrapText="0"/>
    </xf>
    <xf borderId="4" fillId="10" fontId="22" numFmtId="0" xfId="0" applyAlignment="1" applyBorder="1" applyFont="1">
      <alignment vertical="bottom"/>
    </xf>
    <xf borderId="1" fillId="4" fontId="5" numFmtId="165" xfId="0" applyAlignment="1" applyBorder="1" applyFont="1" applyNumberFormat="1">
      <alignment horizontal="center" shrinkToFit="0" vertical="center" wrapText="1"/>
    </xf>
    <xf borderId="4" fillId="0" fontId="37" numFmtId="0" xfId="0" applyAlignment="1" applyBorder="1" applyFont="1">
      <alignment horizontal="center" vertical="bottom"/>
    </xf>
    <xf borderId="4" fillId="8" fontId="13" numFmtId="0" xfId="0" applyAlignment="1" applyBorder="1" applyFont="1">
      <alignment horizontal="left" shrinkToFit="0" vertical="center" wrapText="1"/>
    </xf>
    <xf borderId="1" fillId="4" fontId="13" numFmtId="0" xfId="0" applyAlignment="1" applyBorder="1" applyFont="1">
      <alignment horizontal="center"/>
    </xf>
    <xf borderId="4" fillId="0" fontId="27" numFmtId="0" xfId="0" applyAlignment="1" applyBorder="1" applyFont="1">
      <alignment horizontal="left" vertical="center"/>
    </xf>
    <xf borderId="4" fillId="6" fontId="13" numFmtId="0" xfId="0" applyAlignment="1" applyBorder="1" applyFont="1">
      <alignment horizontal="left"/>
    </xf>
    <xf borderId="4" fillId="6" fontId="13" numFmtId="0" xfId="0" applyAlignment="1" applyBorder="1" applyFont="1">
      <alignment horizontal="left" shrinkToFit="0" wrapText="0"/>
    </xf>
    <xf borderId="25" fillId="0" fontId="1" numFmtId="0" xfId="0" applyAlignment="1" applyBorder="1" applyFont="1">
      <alignment horizontal="left"/>
    </xf>
    <xf borderId="26" fillId="2" fontId="5" numFmtId="0" xfId="0" applyAlignment="1" applyBorder="1" applyFont="1">
      <alignment horizontal="center" shrinkToFit="0" vertical="center" wrapText="1"/>
    </xf>
    <xf borderId="26" fillId="2" fontId="5" numFmtId="165" xfId="0" applyAlignment="1" applyBorder="1" applyFont="1" applyNumberFormat="1">
      <alignment horizontal="center" shrinkToFit="1" vertical="center" wrapText="0"/>
    </xf>
    <xf borderId="26" fillId="2" fontId="8" numFmtId="165" xfId="0" applyAlignment="1" applyBorder="1" applyFont="1" applyNumberFormat="1">
      <alignment horizontal="center" vertical="bottom"/>
    </xf>
    <xf borderId="32" fillId="5" fontId="2" numFmtId="0" xfId="0" applyAlignment="1" applyBorder="1" applyFont="1">
      <alignment shrinkToFit="0" vertical="center" wrapText="1"/>
    </xf>
    <xf borderId="13" fillId="5" fontId="6" numFmtId="0" xfId="0" applyAlignment="1" applyBorder="1" applyFont="1">
      <alignment horizontal="left" vertical="center"/>
    </xf>
    <xf borderId="13" fillId="10" fontId="13" numFmtId="0" xfId="0" applyBorder="1" applyFont="1"/>
    <xf borderId="13" fillId="0" fontId="2" numFmtId="0" xfId="0" applyBorder="1" applyFont="1"/>
    <xf borderId="13" fillId="6" fontId="2" numFmtId="0" xfId="0" applyBorder="1" applyFont="1"/>
    <xf borderId="22" fillId="0" fontId="5" numFmtId="0" xfId="0" applyAlignment="1" applyBorder="1" applyFont="1">
      <alignment vertical="bottom"/>
    </xf>
    <xf borderId="13" fillId="0" fontId="5" numFmtId="0" xfId="0" applyAlignment="1" applyBorder="1" applyFont="1">
      <alignment horizontal="left" vertical="center"/>
    </xf>
    <xf borderId="13" fillId="5" fontId="5" numFmtId="0" xfId="0" applyAlignment="1" applyBorder="1" applyFont="1">
      <alignment horizontal="left" shrinkToFit="0" vertical="center" wrapText="1"/>
    </xf>
    <xf borderId="31" fillId="0" fontId="5" numFmtId="0" xfId="0" applyAlignment="1" applyBorder="1" applyFont="1">
      <alignment vertical="center"/>
    </xf>
    <xf borderId="26" fillId="4" fontId="5" numFmtId="0" xfId="0" applyAlignment="1" applyBorder="1" applyFont="1">
      <alignment horizontal="center" shrinkToFit="0" vertical="center" wrapText="1"/>
    </xf>
    <xf borderId="26" fillId="4" fontId="8" numFmtId="16" xfId="0" applyAlignment="1" applyBorder="1" applyFont="1" applyNumberFormat="1">
      <alignment horizontal="center" shrinkToFit="0" vertical="center" wrapText="1"/>
    </xf>
    <xf borderId="26" fillId="4" fontId="13" numFmtId="165" xfId="0" applyAlignment="1" applyBorder="1" applyFont="1" applyNumberFormat="1">
      <alignment horizontal="center" shrinkToFit="1" vertical="center" wrapText="0"/>
    </xf>
    <xf borderId="26" fillId="4" fontId="5" numFmtId="165" xfId="0" applyAlignment="1" applyBorder="1" applyFont="1" applyNumberFormat="1">
      <alignment horizontal="center" shrinkToFit="1" vertical="center" wrapText="0"/>
    </xf>
    <xf borderId="26" fillId="4" fontId="8" numFmtId="165" xfId="0" applyAlignment="1" applyBorder="1" applyFont="1" applyNumberFormat="1">
      <alignment horizontal="center" shrinkToFit="1" vertical="center" wrapText="0"/>
    </xf>
    <xf borderId="13" fillId="0" fontId="5" numFmtId="0" xfId="0" applyAlignment="1" applyBorder="1" applyFont="1">
      <alignment shrinkToFit="0" vertical="bottom" wrapText="1"/>
    </xf>
    <xf borderId="31" fillId="0" fontId="5" numFmtId="0" xfId="0" applyAlignment="1" applyBorder="1" applyFont="1">
      <alignment vertical="bottom"/>
    </xf>
    <xf borderId="13" fillId="0" fontId="5" numFmtId="0" xfId="0" applyAlignment="1" applyBorder="1" applyFont="1">
      <alignment shrinkToFit="0" wrapText="1"/>
    </xf>
    <xf borderId="13" fillId="0" fontId="26" numFmtId="0" xfId="0" applyAlignment="1" applyBorder="1" applyFont="1">
      <alignment vertical="bottom"/>
    </xf>
    <xf borderId="26" fillId="0" fontId="13" numFmtId="0" xfId="0" applyAlignment="1" applyBorder="1" applyFont="1">
      <alignment horizontal="left"/>
    </xf>
    <xf borderId="28" fillId="5" fontId="6" numFmtId="0" xfId="0" applyAlignment="1" applyBorder="1" applyFont="1">
      <alignment horizontal="left" shrinkToFit="0" vertical="center" wrapText="1"/>
    </xf>
    <xf borderId="26" fillId="2" fontId="8" numFmtId="0" xfId="0" applyAlignment="1" applyBorder="1" applyFont="1">
      <alignment horizontal="center" shrinkToFit="0" vertical="center" wrapText="1"/>
    </xf>
    <xf borderId="26" fillId="2" fontId="8" numFmtId="165" xfId="0" applyAlignment="1" applyBorder="1" applyFont="1" applyNumberFormat="1">
      <alignment horizontal="center" shrinkToFit="1" vertical="center" wrapText="0"/>
    </xf>
    <xf borderId="13" fillId="6" fontId="1" numFmtId="0" xfId="0" applyBorder="1" applyFont="1"/>
    <xf borderId="13" fillId="0" fontId="13" numFmtId="0" xfId="0" applyAlignment="1" applyBorder="1" applyFont="1">
      <alignment horizontal="center" vertical="center"/>
    </xf>
    <xf borderId="13" fillId="5" fontId="2" numFmtId="0" xfId="0" applyAlignment="1" applyBorder="1" applyFont="1">
      <alignment shrinkToFit="0" vertical="center" wrapText="1"/>
    </xf>
    <xf borderId="13" fillId="0" fontId="13" numFmtId="0" xfId="0" applyAlignment="1" applyBorder="1" applyFont="1">
      <alignment horizontal="left" vertical="center"/>
    </xf>
    <xf borderId="13" fillId="8" fontId="5" numFmtId="0" xfId="0" applyAlignment="1" applyBorder="1" applyFont="1">
      <alignment horizontal="left" vertical="center"/>
    </xf>
    <xf borderId="13" fillId="8" fontId="5" numFmtId="0" xfId="0" applyAlignment="1" applyBorder="1" applyFont="1">
      <alignment horizontal="left" shrinkToFit="0" vertical="center" wrapText="1"/>
    </xf>
    <xf borderId="26" fillId="9" fontId="5" numFmtId="0" xfId="0" applyAlignment="1" applyBorder="1" applyFont="1">
      <alignment horizontal="center" shrinkToFit="0" vertical="center" wrapText="1"/>
    </xf>
    <xf borderId="26" fillId="9" fontId="5" numFmtId="165" xfId="0" applyAlignment="1" applyBorder="1" applyFont="1" applyNumberFormat="1">
      <alignment horizontal="center" shrinkToFit="1" vertical="center" wrapText="0"/>
    </xf>
    <xf borderId="13" fillId="0" fontId="6" numFmtId="0" xfId="0" applyAlignment="1" applyBorder="1" applyFont="1">
      <alignment vertical="bottom"/>
    </xf>
    <xf borderId="30" fillId="0" fontId="5" numFmtId="0" xfId="0" applyAlignment="1" applyBorder="1" applyFont="1">
      <alignment vertical="bottom"/>
    </xf>
    <xf borderId="13" fillId="5" fontId="2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8.0"/>
    <col customWidth="1" min="4" max="4" width="17.29"/>
    <col customWidth="1" min="5" max="5" width="11.43"/>
    <col customWidth="1" min="6" max="6" width="8.71"/>
    <col customWidth="1" min="7" max="7" width="15.0"/>
    <col customWidth="1" min="8" max="8" width="11.29"/>
    <col customWidth="1" min="9" max="9" width="7.86"/>
    <col customWidth="1" min="10" max="10" width="18.86"/>
    <col customWidth="1" min="11" max="11" width="11.43"/>
    <col customWidth="1" min="12" max="12" width="7.71"/>
    <col customWidth="1" min="13" max="13" width="17.57"/>
    <col customWidth="1" min="14" max="14" width="11.43"/>
    <col customWidth="1" min="15" max="15" width="7.14"/>
    <col customWidth="1" min="16" max="16" width="17.57"/>
    <col customWidth="1" min="17" max="17" width="11.86"/>
    <col customWidth="1" min="18" max="18" width="6.71"/>
    <col customWidth="1" min="19" max="19" width="11.71"/>
    <col customWidth="1" min="20" max="20" width="10.71"/>
    <col customWidth="1" min="21" max="21" width="5.71"/>
    <col customWidth="1" min="22" max="23" width="8.71"/>
    <col customWidth="1" min="24" max="24" width="19.0"/>
    <col customWidth="1" min="25" max="25" width="12.14"/>
    <col customWidth="1" min="26" max="26" width="8.71"/>
  </cols>
  <sheetData>
    <row r="1" ht="15.0" customHeight="1">
      <c r="A1" s="1" t="s">
        <v>0</v>
      </c>
      <c r="C1" s="2" t="s">
        <v>1</v>
      </c>
      <c r="F1" s="3"/>
      <c r="G1" s="4" t="s">
        <v>2</v>
      </c>
      <c r="Q1" s="3"/>
      <c r="W1" s="5"/>
      <c r="Y1" s="5"/>
    </row>
    <row r="2" ht="15.0" customHeight="1">
      <c r="A2" s="1" t="s">
        <v>3</v>
      </c>
      <c r="C2" s="6" t="s">
        <v>4</v>
      </c>
      <c r="F2" s="3"/>
      <c r="Q2" s="3"/>
      <c r="W2" s="5"/>
      <c r="Y2" s="5"/>
    </row>
    <row r="3" ht="15.0" customHeight="1">
      <c r="A3" s="1" t="s">
        <v>5</v>
      </c>
      <c r="C3" s="7"/>
      <c r="F3" s="3"/>
      <c r="Q3" s="3"/>
      <c r="W3" s="5"/>
      <c r="Y3" s="5"/>
    </row>
    <row r="4" ht="15.0" customHeight="1">
      <c r="A4" s="1" t="s">
        <v>6</v>
      </c>
      <c r="C4" s="8"/>
      <c r="F4" s="3"/>
      <c r="G4" s="9"/>
      <c r="H4" s="9"/>
      <c r="I4" s="9"/>
      <c r="J4" s="9"/>
      <c r="K4" s="9"/>
      <c r="L4" s="9"/>
      <c r="M4" s="10"/>
      <c r="N4" s="9"/>
      <c r="O4" s="9"/>
      <c r="P4" s="9"/>
      <c r="Q4" s="3"/>
      <c r="W4" s="5"/>
      <c r="Y4" s="5"/>
    </row>
    <row r="5" ht="20.2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  <c r="W5" s="5"/>
      <c r="Y5" s="5"/>
    </row>
    <row r="6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  <c r="Y6" s="5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W7" s="5"/>
      <c r="Y7" s="5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W8" s="5"/>
      <c r="Y8" s="5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 t="s">
        <v>14</v>
      </c>
      <c r="T9" s="12"/>
      <c r="U9" s="13"/>
      <c r="W9" s="20" t="s">
        <v>15</v>
      </c>
      <c r="X9" s="21" t="s">
        <v>16</v>
      </c>
      <c r="Y9" s="22" t="s">
        <v>17</v>
      </c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W10" s="23">
        <v>1.0</v>
      </c>
      <c r="X10" s="24" t="s">
        <v>18</v>
      </c>
      <c r="Y10" s="25">
        <f t="shared" ref="Y10:Y37" si="1">COUNTIF($A$5:$U$52,X10)</f>
        <v>8</v>
      </c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W11" s="23">
        <v>2.0</v>
      </c>
      <c r="X11" s="26" t="s">
        <v>19</v>
      </c>
      <c r="Y11" s="25">
        <f t="shared" si="1"/>
        <v>2</v>
      </c>
    </row>
    <row r="12" ht="15.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W12" s="23">
        <v>3.0</v>
      </c>
      <c r="X12" s="26" t="s">
        <v>20</v>
      </c>
      <c r="Y12" s="25">
        <f t="shared" si="1"/>
        <v>2</v>
      </c>
    </row>
    <row r="13" ht="21.0" customHeight="1">
      <c r="A13" s="27" t="s">
        <v>7</v>
      </c>
      <c r="B13" s="12"/>
      <c r="C13" s="13"/>
      <c r="D13" s="27" t="s">
        <v>8</v>
      </c>
      <c r="E13" s="12"/>
      <c r="F13" s="13"/>
      <c r="G13" s="27" t="s">
        <v>9</v>
      </c>
      <c r="H13" s="12"/>
      <c r="I13" s="13"/>
      <c r="J13" s="28" t="s">
        <v>10</v>
      </c>
      <c r="K13" s="12"/>
      <c r="L13" s="13"/>
      <c r="M13" s="27" t="s">
        <v>11</v>
      </c>
      <c r="N13" s="12"/>
      <c r="O13" s="13"/>
      <c r="P13" s="27" t="s">
        <v>12</v>
      </c>
      <c r="Q13" s="12"/>
      <c r="R13" s="13"/>
      <c r="S13" s="29" t="s">
        <v>13</v>
      </c>
      <c r="T13" s="12"/>
      <c r="U13" s="13"/>
      <c r="W13" s="23">
        <v>4.0</v>
      </c>
      <c r="X13" s="26" t="s">
        <v>21</v>
      </c>
      <c r="Y13" s="25">
        <f t="shared" si="1"/>
        <v>2</v>
      </c>
    </row>
    <row r="14">
      <c r="A14" s="30">
        <f>S6+1</f>
        <v>46055</v>
      </c>
      <c r="B14" s="12"/>
      <c r="C14" s="13"/>
      <c r="D14" s="30">
        <f>A14+1</f>
        <v>46056</v>
      </c>
      <c r="E14" s="12"/>
      <c r="F14" s="13"/>
      <c r="G14" s="30">
        <f>D14+1</f>
        <v>46057</v>
      </c>
      <c r="H14" s="12"/>
      <c r="I14" s="13"/>
      <c r="J14" s="30">
        <f>G14+1</f>
        <v>46058</v>
      </c>
      <c r="K14" s="12"/>
      <c r="L14" s="13"/>
      <c r="M14" s="30">
        <f>J14+1</f>
        <v>46059</v>
      </c>
      <c r="N14" s="12"/>
      <c r="O14" s="13"/>
      <c r="P14" s="30">
        <f>M14+1</f>
        <v>46060</v>
      </c>
      <c r="Q14" s="12"/>
      <c r="R14" s="13"/>
      <c r="S14" s="31">
        <f>P14+1</f>
        <v>46061</v>
      </c>
      <c r="T14" s="12"/>
      <c r="U14" s="13"/>
      <c r="W14" s="23">
        <v>5.0</v>
      </c>
      <c r="X14" s="26" t="s">
        <v>22</v>
      </c>
      <c r="Y14" s="25">
        <f t="shared" si="1"/>
        <v>3</v>
      </c>
    </row>
    <row r="15" ht="15.75" customHeight="1">
      <c r="A15" s="32"/>
      <c r="B15" s="32"/>
      <c r="C15" s="32"/>
      <c r="D15" s="32"/>
      <c r="E15" s="32"/>
      <c r="F15" s="32"/>
      <c r="G15" s="24" t="s">
        <v>23</v>
      </c>
      <c r="H15" s="33" t="s">
        <v>24</v>
      </c>
      <c r="I15" s="33" t="s">
        <v>25</v>
      </c>
      <c r="J15" s="32"/>
      <c r="K15" s="32"/>
      <c r="L15" s="32"/>
      <c r="M15" s="34"/>
      <c r="N15" s="34"/>
      <c r="O15" s="34"/>
      <c r="P15" s="35"/>
      <c r="Q15" s="35"/>
      <c r="R15" s="35"/>
      <c r="S15" s="36"/>
      <c r="T15" s="36"/>
      <c r="U15" s="36"/>
      <c r="W15" s="23">
        <v>6.0</v>
      </c>
      <c r="X15" s="26" t="s">
        <v>26</v>
      </c>
      <c r="Y15" s="25">
        <f t="shared" si="1"/>
        <v>2</v>
      </c>
    </row>
    <row r="16">
      <c r="A16" s="37" t="s">
        <v>27</v>
      </c>
      <c r="B16" s="37" t="s">
        <v>28</v>
      </c>
      <c r="C16" s="37" t="s">
        <v>25</v>
      </c>
      <c r="D16" s="33" t="s">
        <v>18</v>
      </c>
      <c r="E16" s="33" t="s">
        <v>29</v>
      </c>
      <c r="F16" s="33" t="s">
        <v>25</v>
      </c>
      <c r="G16" s="24" t="s">
        <v>22</v>
      </c>
      <c r="H16" s="24" t="s">
        <v>30</v>
      </c>
      <c r="I16" s="24" t="s">
        <v>31</v>
      </c>
      <c r="J16" s="38" t="s">
        <v>32</v>
      </c>
      <c r="K16" s="38" t="s">
        <v>33</v>
      </c>
      <c r="L16" s="38" t="s">
        <v>34</v>
      </c>
      <c r="M16" s="39" t="s">
        <v>35</v>
      </c>
      <c r="N16" s="40" t="s">
        <v>36</v>
      </c>
      <c r="O16" s="39" t="s">
        <v>25</v>
      </c>
      <c r="P16" s="33" t="s">
        <v>37</v>
      </c>
      <c r="Q16" s="41" t="s">
        <v>38</v>
      </c>
      <c r="R16" s="33" t="s">
        <v>25</v>
      </c>
      <c r="S16" s="36"/>
      <c r="T16" s="36"/>
      <c r="U16" s="36"/>
      <c r="W16" s="23">
        <v>7.0</v>
      </c>
      <c r="X16" s="26" t="s">
        <v>37</v>
      </c>
      <c r="Y16" s="25">
        <f t="shared" si="1"/>
        <v>4</v>
      </c>
    </row>
    <row r="17" ht="15.75" customHeight="1">
      <c r="A17" s="24" t="s">
        <v>39</v>
      </c>
      <c r="B17" s="24" t="s">
        <v>33</v>
      </c>
      <c r="C17" s="24" t="s">
        <v>25</v>
      </c>
      <c r="D17" s="42"/>
      <c r="E17" s="36"/>
      <c r="F17" s="43" t="s">
        <v>40</v>
      </c>
      <c r="G17" s="33" t="s">
        <v>41</v>
      </c>
      <c r="H17" s="37" t="s">
        <v>42</v>
      </c>
      <c r="I17" s="37" t="s">
        <v>25</v>
      </c>
      <c r="J17" s="37"/>
      <c r="K17" s="44"/>
      <c r="L17" s="37"/>
      <c r="M17" s="39" t="s">
        <v>43</v>
      </c>
      <c r="N17" s="45"/>
      <c r="O17" s="39" t="s">
        <v>34</v>
      </c>
      <c r="P17" s="46" t="s">
        <v>44</v>
      </c>
      <c r="Q17" s="46" t="s">
        <v>28</v>
      </c>
      <c r="R17" s="46" t="s">
        <v>34</v>
      </c>
      <c r="S17" s="19" t="s">
        <v>14</v>
      </c>
      <c r="T17" s="12"/>
      <c r="U17" s="13"/>
      <c r="W17" s="23">
        <v>20.0</v>
      </c>
      <c r="X17" s="26" t="s">
        <v>32</v>
      </c>
      <c r="Y17" s="25">
        <f t="shared" si="1"/>
        <v>2</v>
      </c>
    </row>
    <row r="18" ht="15.75" customHeight="1">
      <c r="A18" s="37" t="s">
        <v>21</v>
      </c>
      <c r="B18" s="44" t="s">
        <v>30</v>
      </c>
      <c r="C18" s="37" t="s">
        <v>31</v>
      </c>
      <c r="D18" s="24" t="s">
        <v>45</v>
      </c>
      <c r="E18" s="24" t="s">
        <v>30</v>
      </c>
      <c r="F18" s="24" t="s">
        <v>25</v>
      </c>
      <c r="G18" s="44" t="s">
        <v>20</v>
      </c>
      <c r="H18" s="44" t="s">
        <v>46</v>
      </c>
      <c r="I18" s="44" t="s">
        <v>25</v>
      </c>
      <c r="J18" s="24" t="s">
        <v>18</v>
      </c>
      <c r="K18" s="24" t="s">
        <v>47</v>
      </c>
      <c r="L18" s="46" t="s">
        <v>48</v>
      </c>
      <c r="M18" s="39" t="s">
        <v>49</v>
      </c>
      <c r="N18" s="47"/>
      <c r="O18" s="39" t="s">
        <v>25</v>
      </c>
      <c r="P18" s="33" t="s">
        <v>50</v>
      </c>
      <c r="Q18" s="24" t="s">
        <v>24</v>
      </c>
      <c r="R18" s="33" t="s">
        <v>34</v>
      </c>
      <c r="S18" s="36"/>
      <c r="T18" s="36"/>
      <c r="U18" s="36"/>
      <c r="W18" s="23">
        <v>9.0</v>
      </c>
      <c r="X18" s="26" t="s">
        <v>43</v>
      </c>
      <c r="Y18" s="25">
        <f t="shared" si="1"/>
        <v>3</v>
      </c>
    </row>
    <row r="19" ht="15.75" customHeight="1">
      <c r="A19" s="35"/>
      <c r="B19" s="35"/>
      <c r="C19" s="35"/>
      <c r="D19" s="24" t="s">
        <v>19</v>
      </c>
      <c r="E19" s="24" t="s">
        <v>51</v>
      </c>
      <c r="F19" s="24" t="s">
        <v>25</v>
      </c>
      <c r="G19" s="48"/>
      <c r="H19" s="48"/>
      <c r="I19" s="48"/>
      <c r="J19" s="35"/>
      <c r="K19" s="35"/>
      <c r="L19" s="35"/>
      <c r="M19" s="24" t="s">
        <v>26</v>
      </c>
      <c r="N19" s="24" t="s">
        <v>52</v>
      </c>
      <c r="O19" s="24" t="s">
        <v>25</v>
      </c>
      <c r="P19" s="33"/>
      <c r="Q19" s="24"/>
      <c r="R19" s="33"/>
      <c r="S19" s="36"/>
      <c r="T19" s="36"/>
      <c r="U19" s="36"/>
      <c r="W19" s="23">
        <v>10.0</v>
      </c>
      <c r="X19" s="26" t="s">
        <v>35</v>
      </c>
      <c r="Y19" s="25">
        <f t="shared" si="1"/>
        <v>3</v>
      </c>
    </row>
    <row r="20" ht="15.75" customHeight="1">
      <c r="A20" s="35"/>
      <c r="B20" s="35"/>
      <c r="C20" s="35"/>
      <c r="D20" s="35"/>
      <c r="E20" s="35"/>
      <c r="F20" s="46" t="s">
        <v>48</v>
      </c>
      <c r="G20" s="35"/>
      <c r="H20" s="35"/>
      <c r="I20" s="35"/>
      <c r="J20" s="32"/>
      <c r="K20" s="32"/>
      <c r="L20" s="32"/>
      <c r="M20" s="24"/>
      <c r="N20" s="44"/>
      <c r="O20" s="44"/>
      <c r="P20" s="24" t="s">
        <v>53</v>
      </c>
      <c r="Q20" s="24" t="s">
        <v>30</v>
      </c>
      <c r="R20" s="24" t="s">
        <v>25</v>
      </c>
      <c r="S20" s="36"/>
      <c r="T20" s="36"/>
      <c r="U20" s="36"/>
      <c r="W20" s="23">
        <v>11.0</v>
      </c>
      <c r="X20" s="26" t="s">
        <v>49</v>
      </c>
      <c r="Y20" s="25">
        <f t="shared" si="1"/>
        <v>3</v>
      </c>
    </row>
    <row r="21" ht="21.75" customHeight="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  <c r="W21" s="23">
        <v>12.0</v>
      </c>
      <c r="X21" s="26" t="s">
        <v>54</v>
      </c>
      <c r="Y21" s="25">
        <f t="shared" si="1"/>
        <v>2</v>
      </c>
    </row>
    <row r="22" ht="18.0" customHeight="1">
      <c r="A22" s="16">
        <f>S14+1</f>
        <v>46062</v>
      </c>
      <c r="B22" s="12"/>
      <c r="C22" s="13"/>
      <c r="D22" s="16">
        <f>A22+1</f>
        <v>46063</v>
      </c>
      <c r="E22" s="12"/>
      <c r="F22" s="13"/>
      <c r="G22" s="16">
        <f>D22+1</f>
        <v>46064</v>
      </c>
      <c r="H22" s="12"/>
      <c r="I22" s="13"/>
      <c r="J22" s="16">
        <f>G22+1</f>
        <v>46065</v>
      </c>
      <c r="K22" s="12"/>
      <c r="L22" s="13"/>
      <c r="M22" s="16">
        <f>J22+1</f>
        <v>46066</v>
      </c>
      <c r="N22" s="12"/>
      <c r="O22" s="13"/>
      <c r="P22" s="16">
        <f>M22+1</f>
        <v>46067</v>
      </c>
      <c r="Q22" s="12"/>
      <c r="R22" s="13"/>
      <c r="S22" s="16">
        <f>P22+1</f>
        <v>46068</v>
      </c>
      <c r="T22" s="12"/>
      <c r="U22" s="13"/>
      <c r="W22" s="23">
        <v>13.0</v>
      </c>
      <c r="X22" s="26" t="s">
        <v>55</v>
      </c>
      <c r="Y22" s="25">
        <f t="shared" si="1"/>
        <v>2</v>
      </c>
    </row>
    <row r="23" ht="15.75" customHeight="1">
      <c r="A23" s="35"/>
      <c r="B23" s="35"/>
      <c r="C23" s="35"/>
      <c r="D23" s="33" t="s">
        <v>56</v>
      </c>
      <c r="E23" s="33" t="s">
        <v>57</v>
      </c>
      <c r="F23" s="33" t="s">
        <v>34</v>
      </c>
      <c r="G23" s="34"/>
      <c r="H23" s="34"/>
      <c r="I23" s="34"/>
      <c r="J23" s="32"/>
      <c r="K23" s="35"/>
      <c r="L23" s="32"/>
      <c r="M23" s="32"/>
      <c r="N23" s="35"/>
      <c r="O23" s="32"/>
      <c r="Q23" s="35"/>
      <c r="R23" s="35"/>
      <c r="S23" s="36"/>
      <c r="T23" s="36"/>
      <c r="U23" s="36"/>
      <c r="W23" s="23">
        <v>14.0</v>
      </c>
      <c r="X23" s="26" t="s">
        <v>58</v>
      </c>
      <c r="Y23" s="25">
        <f t="shared" si="1"/>
        <v>2</v>
      </c>
    </row>
    <row r="24">
      <c r="A24" s="24" t="s">
        <v>18</v>
      </c>
      <c r="B24" s="24" t="s">
        <v>29</v>
      </c>
      <c r="C24" s="24" t="s">
        <v>25</v>
      </c>
      <c r="D24" s="33" t="s">
        <v>59</v>
      </c>
      <c r="E24" s="24" t="s">
        <v>60</v>
      </c>
      <c r="F24" s="33" t="s">
        <v>25</v>
      </c>
      <c r="G24" s="24" t="s">
        <v>54</v>
      </c>
      <c r="H24" s="33" t="s">
        <v>61</v>
      </c>
      <c r="I24" s="33" t="s">
        <v>34</v>
      </c>
      <c r="J24" s="33" t="s">
        <v>37</v>
      </c>
      <c r="K24" s="49" t="s">
        <v>62</v>
      </c>
      <c r="L24" s="33" t="s">
        <v>25</v>
      </c>
      <c r="M24" s="24" t="s">
        <v>58</v>
      </c>
      <c r="N24" s="24" t="s">
        <v>63</v>
      </c>
      <c r="O24" s="24" t="s">
        <v>34</v>
      </c>
      <c r="P24" s="32"/>
      <c r="Q24" s="35"/>
      <c r="R24" s="32"/>
      <c r="S24" s="34"/>
      <c r="T24" s="34"/>
      <c r="U24" s="34"/>
      <c r="W24" s="23">
        <v>15.0</v>
      </c>
      <c r="X24" s="24" t="s">
        <v>64</v>
      </c>
      <c r="Y24" s="25">
        <f t="shared" si="1"/>
        <v>2</v>
      </c>
    </row>
    <row r="25" ht="15.75" customHeight="1">
      <c r="A25" s="34"/>
      <c r="B25" s="34"/>
      <c r="C25" s="34"/>
      <c r="D25" s="34"/>
      <c r="E25" s="34"/>
      <c r="F25" s="34"/>
      <c r="G25" s="33" t="s">
        <v>64</v>
      </c>
      <c r="H25" s="33" t="s">
        <v>28</v>
      </c>
      <c r="I25" s="33" t="s">
        <v>34</v>
      </c>
      <c r="J25" s="32"/>
      <c r="K25" s="35"/>
      <c r="L25" s="32"/>
      <c r="M25" s="24" t="s">
        <v>65</v>
      </c>
      <c r="N25" s="24" t="s">
        <v>33</v>
      </c>
      <c r="O25" s="24" t="s">
        <v>25</v>
      </c>
      <c r="P25" s="32"/>
      <c r="Q25" s="35"/>
      <c r="R25" s="32"/>
      <c r="S25" s="19" t="s">
        <v>14</v>
      </c>
      <c r="T25" s="12"/>
      <c r="U25" s="13"/>
      <c r="W25" s="23">
        <v>16.0</v>
      </c>
      <c r="X25" s="26" t="s">
        <v>53</v>
      </c>
      <c r="Y25" s="25">
        <f t="shared" si="1"/>
        <v>2</v>
      </c>
    </row>
    <row r="26" ht="15.75" customHeight="1">
      <c r="A26" s="24" t="s">
        <v>66</v>
      </c>
      <c r="B26" s="24" t="s">
        <v>30</v>
      </c>
      <c r="C26" s="24" t="s">
        <v>25</v>
      </c>
      <c r="D26" s="44" t="s">
        <v>67</v>
      </c>
      <c r="E26" s="44" t="s">
        <v>68</v>
      </c>
      <c r="F26" s="44" t="s">
        <v>25</v>
      </c>
      <c r="G26" s="24" t="s">
        <v>23</v>
      </c>
      <c r="H26" s="33" t="s">
        <v>24</v>
      </c>
      <c r="I26" s="33" t="s">
        <v>25</v>
      </c>
      <c r="J26" s="33" t="s">
        <v>18</v>
      </c>
      <c r="K26" s="33" t="s">
        <v>29</v>
      </c>
      <c r="L26" s="33" t="s">
        <v>25</v>
      </c>
      <c r="M26" s="50"/>
      <c r="N26" s="24"/>
      <c r="O26" s="24"/>
      <c r="P26" s="33" t="s">
        <v>55</v>
      </c>
      <c r="Q26" s="44" t="s">
        <v>28</v>
      </c>
      <c r="R26" s="33" t="s">
        <v>25</v>
      </c>
      <c r="S26" s="36"/>
      <c r="T26" s="36"/>
      <c r="U26" s="36"/>
      <c r="W26" s="23">
        <v>17.0</v>
      </c>
      <c r="X26" s="26" t="s">
        <v>50</v>
      </c>
      <c r="Y26" s="25">
        <f t="shared" si="1"/>
        <v>2</v>
      </c>
    </row>
    <row r="27" ht="15.75" customHeight="1">
      <c r="A27" s="35"/>
      <c r="B27" s="35" t="s">
        <v>69</v>
      </c>
      <c r="C27" s="35"/>
      <c r="D27" s="35"/>
      <c r="E27" s="35" t="s">
        <v>69</v>
      </c>
      <c r="F27" s="35"/>
      <c r="G27" s="35"/>
      <c r="H27" s="35"/>
      <c r="I27" s="35"/>
      <c r="J27" s="35"/>
      <c r="K27" s="35"/>
      <c r="L27" s="35"/>
      <c r="M27" s="24" t="s">
        <v>23</v>
      </c>
      <c r="N27" s="24" t="s">
        <v>47</v>
      </c>
      <c r="O27" s="24" t="s">
        <v>25</v>
      </c>
      <c r="P27" s="44" t="s">
        <v>44</v>
      </c>
      <c r="Q27" s="24" t="s">
        <v>70</v>
      </c>
      <c r="R27" s="44" t="s">
        <v>34</v>
      </c>
      <c r="S27" s="36"/>
      <c r="T27" s="36"/>
      <c r="U27" s="36"/>
      <c r="W27" s="23">
        <v>18.0</v>
      </c>
      <c r="X27" s="51" t="s">
        <v>67</v>
      </c>
      <c r="Y27" s="25">
        <f t="shared" si="1"/>
        <v>2</v>
      </c>
    </row>
    <row r="28" ht="15.75" customHeight="1">
      <c r="A28" s="52" t="s">
        <v>69</v>
      </c>
      <c r="B28" s="35"/>
      <c r="C28" s="35"/>
      <c r="D28" s="52" t="s">
        <v>69</v>
      </c>
      <c r="E28" s="35"/>
      <c r="F28" s="35"/>
      <c r="G28" s="35"/>
      <c r="H28" s="35"/>
      <c r="I28" s="35"/>
      <c r="J28" s="35"/>
      <c r="K28" s="35"/>
      <c r="L28" s="35"/>
      <c r="M28" s="53"/>
      <c r="N28" s="54"/>
      <c r="O28" s="55" t="s">
        <v>48</v>
      </c>
      <c r="P28" s="32"/>
      <c r="Q28" s="35"/>
      <c r="R28" s="32"/>
      <c r="S28" s="36"/>
      <c r="T28" s="36"/>
      <c r="U28" s="36"/>
      <c r="W28" s="23">
        <v>19.0</v>
      </c>
      <c r="X28" s="26" t="s">
        <v>45</v>
      </c>
      <c r="Y28" s="25">
        <f t="shared" si="1"/>
        <v>2</v>
      </c>
    </row>
    <row r="29" ht="20.25" customHeight="1">
      <c r="A29" s="27" t="s">
        <v>7</v>
      </c>
      <c r="B29" s="12"/>
      <c r="C29" s="13"/>
      <c r="D29" s="29" t="s">
        <v>8</v>
      </c>
      <c r="E29" s="12"/>
      <c r="F29" s="13"/>
      <c r="G29" s="27" t="s">
        <v>9</v>
      </c>
      <c r="H29" s="12"/>
      <c r="I29" s="13"/>
      <c r="J29" s="27" t="s">
        <v>10</v>
      </c>
      <c r="K29" s="12"/>
      <c r="L29" s="13"/>
      <c r="M29" s="27" t="s">
        <v>11</v>
      </c>
      <c r="N29" s="12"/>
      <c r="O29" s="13"/>
      <c r="P29" s="27" t="s">
        <v>12</v>
      </c>
      <c r="Q29" s="12"/>
      <c r="R29" s="13"/>
      <c r="S29" s="29" t="s">
        <v>13</v>
      </c>
      <c r="T29" s="12"/>
      <c r="U29" s="13"/>
      <c r="W29" s="23">
        <v>24.0</v>
      </c>
      <c r="X29" s="26" t="s">
        <v>23</v>
      </c>
      <c r="Y29" s="25">
        <f t="shared" si="1"/>
        <v>5</v>
      </c>
    </row>
    <row r="30" ht="15.75" customHeight="1">
      <c r="A30" s="56">
        <f>S22+1</f>
        <v>46069</v>
      </c>
      <c r="B30" s="12"/>
      <c r="C30" s="13"/>
      <c r="D30" s="57">
        <f>A30+1</f>
        <v>46070</v>
      </c>
      <c r="E30" s="12"/>
      <c r="F30" s="13"/>
      <c r="G30" s="56">
        <f>D30+1</f>
        <v>46071</v>
      </c>
      <c r="H30" s="12"/>
      <c r="I30" s="13"/>
      <c r="J30" s="56">
        <f>G30+1</f>
        <v>46072</v>
      </c>
      <c r="K30" s="12"/>
      <c r="L30" s="13"/>
      <c r="M30" s="56">
        <f>J30+1</f>
        <v>46073</v>
      </c>
      <c r="N30" s="12"/>
      <c r="O30" s="13"/>
      <c r="P30" s="56">
        <f>M30+1</f>
        <v>46074</v>
      </c>
      <c r="Q30" s="12"/>
      <c r="R30" s="13"/>
      <c r="S30" s="57">
        <f>P30+1</f>
        <v>46075</v>
      </c>
      <c r="T30" s="12"/>
      <c r="U30" s="13"/>
      <c r="W30" s="23">
        <v>30.0</v>
      </c>
      <c r="X30" s="58" t="s">
        <v>71</v>
      </c>
      <c r="Y30" s="25">
        <f t="shared" si="1"/>
        <v>1</v>
      </c>
    </row>
    <row r="31" ht="15.75" customHeight="1">
      <c r="A31" s="32"/>
      <c r="B31" s="32"/>
      <c r="C31" s="32"/>
      <c r="D31" s="33"/>
      <c r="E31" s="33"/>
      <c r="F31" s="33"/>
      <c r="G31" s="24" t="s">
        <v>23</v>
      </c>
      <c r="H31" s="33" t="s">
        <v>24</v>
      </c>
      <c r="I31" s="33" t="s">
        <v>25</v>
      </c>
      <c r="J31" s="18"/>
      <c r="K31" s="18"/>
      <c r="L31" s="18"/>
      <c r="M31" s="37"/>
      <c r="N31" s="44"/>
      <c r="O31" s="37"/>
      <c r="P31" s="35"/>
      <c r="Q31" s="35"/>
      <c r="R31" s="35"/>
      <c r="S31" s="36"/>
      <c r="T31" s="36"/>
      <c r="U31" s="36"/>
      <c r="W31" s="23">
        <v>21.0</v>
      </c>
      <c r="X31" s="26" t="s">
        <v>27</v>
      </c>
      <c r="Y31" s="25">
        <f t="shared" si="1"/>
        <v>2</v>
      </c>
    </row>
    <row r="32">
      <c r="A32" s="37" t="s">
        <v>27</v>
      </c>
      <c r="B32" s="37"/>
      <c r="C32" s="37" t="s">
        <v>25</v>
      </c>
      <c r="D32" s="33" t="s">
        <v>18</v>
      </c>
      <c r="E32" s="33" t="s">
        <v>29</v>
      </c>
      <c r="F32" s="33" t="s">
        <v>25</v>
      </c>
      <c r="G32" s="24" t="s">
        <v>22</v>
      </c>
      <c r="H32" s="24"/>
      <c r="I32" s="24" t="s">
        <v>31</v>
      </c>
      <c r="J32" s="38" t="s">
        <v>32</v>
      </c>
      <c r="K32" s="38" t="s">
        <v>33</v>
      </c>
      <c r="L32" s="38" t="s">
        <v>34</v>
      </c>
      <c r="M32" s="24" t="s">
        <v>35</v>
      </c>
      <c r="N32" s="59"/>
      <c r="O32" s="24" t="s">
        <v>25</v>
      </c>
      <c r="P32" s="33" t="s">
        <v>37</v>
      </c>
      <c r="Q32" s="41" t="s">
        <v>38</v>
      </c>
      <c r="R32" s="33" t="s">
        <v>25</v>
      </c>
      <c r="S32" s="34"/>
      <c r="T32" s="34"/>
      <c r="U32" s="34"/>
      <c r="W32" s="23">
        <v>23.0</v>
      </c>
      <c r="X32" s="26" t="s">
        <v>39</v>
      </c>
      <c r="Y32" s="25">
        <f t="shared" si="1"/>
        <v>2</v>
      </c>
    </row>
    <row r="33" ht="15.75" customHeight="1">
      <c r="A33" s="24" t="s">
        <v>39</v>
      </c>
      <c r="B33" s="24" t="s">
        <v>33</v>
      </c>
      <c r="C33" s="24" t="s">
        <v>25</v>
      </c>
      <c r="D33" s="24"/>
      <c r="E33" s="24"/>
      <c r="F33" s="24"/>
      <c r="G33" s="24" t="s">
        <v>41</v>
      </c>
      <c r="H33" s="44" t="s">
        <v>42</v>
      </c>
      <c r="I33" s="44" t="s">
        <v>25</v>
      </c>
      <c r="J33" s="37" t="s">
        <v>21</v>
      </c>
      <c r="K33" s="44" t="s">
        <v>30</v>
      </c>
      <c r="L33" s="37" t="s">
        <v>31</v>
      </c>
      <c r="M33" s="24" t="s">
        <v>43</v>
      </c>
      <c r="N33" s="45"/>
      <c r="O33" s="24" t="s">
        <v>34</v>
      </c>
      <c r="P33" s="44" t="s">
        <v>44</v>
      </c>
      <c r="Q33" s="44" t="s">
        <v>28</v>
      </c>
      <c r="R33" s="44" t="s">
        <v>34</v>
      </c>
      <c r="S33" s="19" t="s">
        <v>14</v>
      </c>
      <c r="T33" s="12"/>
      <c r="U33" s="13"/>
      <c r="W33" s="23">
        <v>22.0</v>
      </c>
      <c r="X33" s="26" t="s">
        <v>66</v>
      </c>
      <c r="Y33" s="25">
        <f t="shared" si="1"/>
        <v>3</v>
      </c>
    </row>
    <row r="34" ht="15.75" customHeight="1">
      <c r="A34" s="24" t="s">
        <v>22</v>
      </c>
      <c r="B34" s="24" t="s">
        <v>30</v>
      </c>
      <c r="C34" s="24" t="s">
        <v>31</v>
      </c>
      <c r="D34" s="24"/>
      <c r="E34" s="24"/>
      <c r="F34" s="24"/>
      <c r="G34" s="44" t="s">
        <v>20</v>
      </c>
      <c r="H34" s="44" t="s">
        <v>46</v>
      </c>
      <c r="I34" s="44" t="s">
        <v>25</v>
      </c>
      <c r="J34" s="24" t="s">
        <v>18</v>
      </c>
      <c r="K34" s="24" t="s">
        <v>47</v>
      </c>
      <c r="L34" s="46" t="s">
        <v>48</v>
      </c>
      <c r="M34" s="24" t="s">
        <v>49</v>
      </c>
      <c r="N34" s="47"/>
      <c r="O34" s="24" t="s">
        <v>25</v>
      </c>
      <c r="P34" s="33" t="s">
        <v>50</v>
      </c>
      <c r="Q34" s="24" t="s">
        <v>24</v>
      </c>
      <c r="R34" s="33" t="s">
        <v>34</v>
      </c>
      <c r="S34" s="36"/>
      <c r="T34" s="36"/>
      <c r="U34" s="36"/>
      <c r="W34" s="23">
        <v>26.0</v>
      </c>
      <c r="X34" s="26" t="s">
        <v>41</v>
      </c>
      <c r="Y34" s="25">
        <f t="shared" si="1"/>
        <v>2</v>
      </c>
    </row>
    <row r="35" ht="15.75" customHeight="1">
      <c r="A35" s="35"/>
      <c r="B35" s="35"/>
      <c r="C35" s="35"/>
      <c r="D35" s="24" t="s">
        <v>19</v>
      </c>
      <c r="E35" s="24" t="s">
        <v>51</v>
      </c>
      <c r="F35" s="24" t="s">
        <v>25</v>
      </c>
      <c r="G35" s="48"/>
      <c r="H35" s="48"/>
      <c r="I35" s="46" t="s">
        <v>48</v>
      </c>
      <c r="J35" s="32"/>
      <c r="K35" s="32"/>
      <c r="L35" s="32"/>
      <c r="M35" s="24" t="s">
        <v>26</v>
      </c>
      <c r="N35" s="24" t="s">
        <v>52</v>
      </c>
      <c r="O35" s="24" t="s">
        <v>25</v>
      </c>
      <c r="P35" s="36"/>
      <c r="Q35" s="36"/>
      <c r="R35" s="36"/>
      <c r="S35" s="36"/>
      <c r="T35" s="36"/>
      <c r="U35" s="36"/>
      <c r="W35" s="23">
        <v>27.0</v>
      </c>
      <c r="X35" s="24" t="s">
        <v>59</v>
      </c>
      <c r="Y35" s="25">
        <f t="shared" si="1"/>
        <v>2</v>
      </c>
    </row>
    <row r="36" ht="15.75" customHeight="1">
      <c r="A36" s="60"/>
      <c r="B36" s="60"/>
      <c r="C36" s="60"/>
      <c r="D36" s="35"/>
      <c r="E36" s="35"/>
      <c r="F36" s="35"/>
      <c r="G36" s="60"/>
      <c r="H36" s="60"/>
      <c r="I36" s="61"/>
      <c r="J36" s="18"/>
      <c r="K36" s="18"/>
      <c r="L36" s="18"/>
      <c r="M36" s="24"/>
      <c r="N36" s="44"/>
      <c r="O36" s="44"/>
      <c r="P36" s="62" t="s">
        <v>53</v>
      </c>
      <c r="Q36" s="62" t="s">
        <v>30</v>
      </c>
      <c r="R36" s="62" t="s">
        <v>25</v>
      </c>
      <c r="S36" s="36"/>
      <c r="T36" s="36"/>
      <c r="U36" s="36"/>
      <c r="W36" s="23">
        <v>28.0</v>
      </c>
      <c r="X36" s="58" t="s">
        <v>56</v>
      </c>
      <c r="Y36" s="25">
        <f t="shared" si="1"/>
        <v>2</v>
      </c>
    </row>
    <row r="37" ht="22.5" customHeight="1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/>
      <c r="T37" s="12"/>
      <c r="U37" s="13"/>
      <c r="W37" s="23">
        <v>29.0</v>
      </c>
      <c r="X37" s="24" t="s">
        <v>65</v>
      </c>
      <c r="Y37" s="25">
        <f t="shared" si="1"/>
        <v>2</v>
      </c>
    </row>
    <row r="38" ht="15.75" customHeight="1">
      <c r="A38" s="16">
        <f>S30+1</f>
        <v>46076</v>
      </c>
      <c r="B38" s="12"/>
      <c r="C38" s="13"/>
      <c r="D38" s="16">
        <f>A38+1</f>
        <v>46077</v>
      </c>
      <c r="E38" s="12"/>
      <c r="F38" s="13"/>
      <c r="G38" s="16">
        <f>D38+1</f>
        <v>46078</v>
      </c>
      <c r="H38" s="12"/>
      <c r="I38" s="13"/>
      <c r="J38" s="16">
        <f>G38+1</f>
        <v>46079</v>
      </c>
      <c r="K38" s="12"/>
      <c r="L38" s="13"/>
      <c r="M38" s="16">
        <f>J38+1</f>
        <v>46080</v>
      </c>
      <c r="N38" s="12"/>
      <c r="O38" s="13"/>
      <c r="P38" s="16">
        <f>M38+1</f>
        <v>46081</v>
      </c>
      <c r="Q38" s="12"/>
      <c r="R38" s="13"/>
      <c r="S38" s="16"/>
      <c r="T38" s="12"/>
      <c r="U38" s="13"/>
      <c r="V38" s="63"/>
      <c r="W38" s="23">
        <v>30.0</v>
      </c>
      <c r="X38" s="24"/>
      <c r="Y38" s="25"/>
    </row>
    <row r="39" ht="15.75" customHeight="1">
      <c r="A39" s="60"/>
      <c r="C39" s="60"/>
      <c r="D39" s="37"/>
      <c r="E39" s="37"/>
      <c r="F39" s="37"/>
      <c r="G39" s="24"/>
      <c r="H39" s="33"/>
      <c r="I39" s="33"/>
      <c r="J39" s="39" t="s">
        <v>35</v>
      </c>
      <c r="K39" s="40" t="s">
        <v>36</v>
      </c>
      <c r="L39" s="39" t="s">
        <v>25</v>
      </c>
      <c r="M39" s="64"/>
      <c r="N39" s="64"/>
      <c r="O39" s="64"/>
      <c r="P39" s="65"/>
      <c r="Q39" s="65"/>
      <c r="R39" s="65"/>
      <c r="S39" s="36"/>
      <c r="T39" s="36"/>
      <c r="U39" s="36"/>
      <c r="W39" s="23"/>
      <c r="X39" s="66"/>
      <c r="Y39" s="25"/>
    </row>
    <row r="40">
      <c r="A40" s="24" t="s">
        <v>18</v>
      </c>
      <c r="B40" s="24" t="s">
        <v>29</v>
      </c>
      <c r="C40" s="24" t="s">
        <v>25</v>
      </c>
      <c r="D40" s="33" t="s">
        <v>56</v>
      </c>
      <c r="E40" s="67" t="s">
        <v>33</v>
      </c>
      <c r="F40" s="33" t="s">
        <v>34</v>
      </c>
      <c r="G40" s="24" t="s">
        <v>54</v>
      </c>
      <c r="H40" s="33" t="s">
        <v>61</v>
      </c>
      <c r="I40" s="33" t="s">
        <v>34</v>
      </c>
      <c r="J40" s="39" t="s">
        <v>43</v>
      </c>
      <c r="K40" s="45"/>
      <c r="L40" s="39" t="s">
        <v>34</v>
      </c>
      <c r="M40" s="24" t="s">
        <v>58</v>
      </c>
      <c r="N40" s="24" t="s">
        <v>63</v>
      </c>
      <c r="O40" s="24" t="s">
        <v>34</v>
      </c>
      <c r="P40" s="33" t="s">
        <v>37</v>
      </c>
      <c r="Q40" s="49" t="s">
        <v>62</v>
      </c>
      <c r="R40" s="33" t="s">
        <v>25</v>
      </c>
      <c r="S40" s="34"/>
      <c r="T40" s="34"/>
      <c r="U40" s="34"/>
      <c r="W40" s="23"/>
      <c r="X40" s="68"/>
      <c r="Y40" s="25"/>
    </row>
    <row r="41" ht="15.75" customHeight="1">
      <c r="A41" s="37"/>
      <c r="B41" s="37"/>
      <c r="C41" s="37"/>
      <c r="D41" s="69" t="s">
        <v>59</v>
      </c>
      <c r="E41" s="46" t="s">
        <v>60</v>
      </c>
      <c r="F41" s="69" t="s">
        <v>25</v>
      </c>
      <c r="G41" s="33" t="s">
        <v>64</v>
      </c>
      <c r="H41" s="33" t="s">
        <v>28</v>
      </c>
      <c r="I41" s="33" t="s">
        <v>34</v>
      </c>
      <c r="J41" s="39" t="s">
        <v>49</v>
      </c>
      <c r="K41" s="47"/>
      <c r="L41" s="39" t="s">
        <v>25</v>
      </c>
      <c r="M41" s="24" t="s">
        <v>65</v>
      </c>
      <c r="N41" s="24" t="s">
        <v>33</v>
      </c>
      <c r="O41" s="24" t="s">
        <v>25</v>
      </c>
      <c r="P41" s="33" t="s">
        <v>55</v>
      </c>
      <c r="Q41" s="44" t="s">
        <v>28</v>
      </c>
      <c r="R41" s="33" t="s">
        <v>25</v>
      </c>
      <c r="S41" s="19" t="s">
        <v>14</v>
      </c>
      <c r="T41" s="12"/>
      <c r="U41" s="13"/>
      <c r="W41" s="23"/>
      <c r="X41" s="70"/>
      <c r="Y41" s="25"/>
    </row>
    <row r="42" ht="15.75" customHeight="1">
      <c r="A42" s="24" t="s">
        <v>66</v>
      </c>
      <c r="B42" s="24" t="s">
        <v>30</v>
      </c>
      <c r="C42" s="24" t="s">
        <v>25</v>
      </c>
      <c r="D42" s="44" t="s">
        <v>67</v>
      </c>
      <c r="E42" s="44" t="s">
        <v>68</v>
      </c>
      <c r="F42" s="44" t="s">
        <v>25</v>
      </c>
      <c r="G42" s="71" t="s">
        <v>23</v>
      </c>
      <c r="H42" s="71" t="s">
        <v>24</v>
      </c>
      <c r="I42" s="71" t="s">
        <v>25</v>
      </c>
      <c r="J42" s="33" t="s">
        <v>18</v>
      </c>
      <c r="K42" s="33" t="s">
        <v>29</v>
      </c>
      <c r="L42" s="33" t="s">
        <v>25</v>
      </c>
      <c r="M42" s="50" t="s">
        <v>71</v>
      </c>
      <c r="N42" s="24" t="s">
        <v>70</v>
      </c>
      <c r="O42" s="24" t="s">
        <v>31</v>
      </c>
      <c r="P42" s="44" t="s">
        <v>44</v>
      </c>
      <c r="Q42" s="24" t="s">
        <v>70</v>
      </c>
      <c r="R42" s="44" t="s">
        <v>34</v>
      </c>
      <c r="S42" s="36"/>
      <c r="T42" s="36"/>
      <c r="U42" s="36"/>
      <c r="W42" s="23"/>
      <c r="X42" s="68"/>
      <c r="Y42" s="25"/>
    </row>
    <row r="43" ht="15.75" customHeight="1">
      <c r="A43" s="24"/>
      <c r="B43" s="24"/>
      <c r="C43" s="24"/>
      <c r="D43" s="18"/>
      <c r="E43" s="18"/>
      <c r="F43" s="18"/>
      <c r="G43" s="62" t="s">
        <v>45</v>
      </c>
      <c r="H43" s="62" t="s">
        <v>30</v>
      </c>
      <c r="I43" s="62" t="s">
        <v>25</v>
      </c>
      <c r="J43" s="62" t="s">
        <v>66</v>
      </c>
      <c r="K43" s="62" t="s">
        <v>30</v>
      </c>
      <c r="L43" s="62" t="s">
        <v>25</v>
      </c>
      <c r="M43" s="53"/>
      <c r="N43" s="54"/>
      <c r="O43" s="72"/>
      <c r="P43" s="24"/>
      <c r="Q43" s="24"/>
      <c r="R43" s="24"/>
      <c r="S43" s="36"/>
      <c r="T43" s="36"/>
      <c r="U43" s="36"/>
      <c r="W43" s="23"/>
      <c r="X43" s="68"/>
      <c r="Y43" s="25"/>
    </row>
    <row r="44" ht="15.75" customHeight="1">
      <c r="A44" s="60"/>
      <c r="B44" s="60"/>
      <c r="C44" s="24"/>
      <c r="D44" s="61"/>
      <c r="E44" s="61"/>
      <c r="F44" s="61"/>
      <c r="G44" s="60"/>
      <c r="H44" s="60"/>
      <c r="I44" s="61"/>
      <c r="J44" s="18"/>
      <c r="K44" s="18"/>
      <c r="L44" s="18"/>
      <c r="M44" s="24"/>
      <c r="N44" s="44"/>
      <c r="O44" s="44"/>
      <c r="P44" s="24"/>
      <c r="Q44" s="24"/>
      <c r="R44" s="24"/>
      <c r="S44" s="42"/>
      <c r="T44" s="42"/>
      <c r="U44" s="42"/>
      <c r="W44" s="73"/>
      <c r="Y44" s="5">
        <f>SUM(Y10:Y43)</f>
        <v>71</v>
      </c>
    </row>
    <row r="45" ht="15.75" customHeight="1">
      <c r="A45" s="27"/>
      <c r="B45" s="12"/>
      <c r="C45" s="13"/>
      <c r="D45" s="27"/>
      <c r="E45" s="12"/>
      <c r="F45" s="13"/>
      <c r="G45" s="27"/>
      <c r="H45" s="12"/>
      <c r="I45" s="13"/>
      <c r="J45" s="27"/>
      <c r="K45" s="12"/>
      <c r="L45" s="13"/>
      <c r="M45" s="27"/>
      <c r="N45" s="12"/>
      <c r="O45" s="13"/>
      <c r="P45" s="27"/>
      <c r="Q45" s="12"/>
      <c r="R45" s="13"/>
      <c r="S45" s="29"/>
      <c r="T45" s="12"/>
      <c r="U45" s="13"/>
      <c r="V45" s="74"/>
      <c r="W45" s="75"/>
      <c r="X45" s="74"/>
      <c r="Y45" s="75"/>
      <c r="Z45" s="74"/>
    </row>
    <row r="46" ht="15.75" customHeight="1">
      <c r="A46" s="56"/>
      <c r="B46" s="12"/>
      <c r="C46" s="13"/>
      <c r="D46" s="56"/>
      <c r="E46" s="12"/>
      <c r="F46" s="13"/>
      <c r="G46" s="56"/>
      <c r="H46" s="12"/>
      <c r="I46" s="13"/>
      <c r="J46" s="56"/>
      <c r="K46" s="12"/>
      <c r="L46" s="13"/>
      <c r="M46" s="56"/>
      <c r="N46" s="12"/>
      <c r="O46" s="13"/>
      <c r="P46" s="56"/>
      <c r="Q46" s="12"/>
      <c r="R46" s="13"/>
      <c r="S46" s="57"/>
      <c r="T46" s="12"/>
      <c r="U46" s="13"/>
      <c r="V46" s="74"/>
      <c r="W46" s="75"/>
      <c r="X46" s="74"/>
      <c r="Y46" s="75"/>
      <c r="Z46" s="74"/>
    </row>
    <row r="47" ht="15.75" customHeight="1">
      <c r="A47" s="65"/>
      <c r="B47" s="65"/>
      <c r="C47" s="65"/>
      <c r="D47" s="64"/>
      <c r="E47" s="64"/>
      <c r="F47" s="64"/>
      <c r="G47" s="64"/>
      <c r="H47" s="64"/>
      <c r="I47" s="64"/>
      <c r="J47" s="76"/>
      <c r="K47" s="76"/>
      <c r="L47" s="76"/>
      <c r="M47" s="76"/>
      <c r="N47" s="76"/>
      <c r="O47" s="76"/>
      <c r="P47" s="77"/>
      <c r="Q47" s="77"/>
      <c r="R47" s="77"/>
      <c r="S47" s="78"/>
      <c r="T47" s="78"/>
      <c r="U47" s="78"/>
      <c r="W47" s="5"/>
      <c r="Y47" s="5"/>
    </row>
    <row r="48" ht="15.75" customHeight="1">
      <c r="A48" s="79"/>
      <c r="B48" s="61"/>
      <c r="C48" s="7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36"/>
      <c r="Q48" s="36"/>
      <c r="R48" s="36"/>
      <c r="S48" s="36"/>
      <c r="T48" s="36"/>
      <c r="U48" s="36"/>
      <c r="W48" s="5"/>
      <c r="Y48" s="5"/>
    </row>
    <row r="49" ht="15.75" customHeight="1">
      <c r="A49" s="60"/>
      <c r="B49" s="60"/>
      <c r="C49" s="60"/>
      <c r="D49" s="60"/>
      <c r="E49" s="60"/>
      <c r="F49" s="60"/>
      <c r="G49" s="18"/>
      <c r="H49" s="18"/>
      <c r="I49" s="18"/>
      <c r="J49" s="60"/>
      <c r="K49" s="60"/>
      <c r="L49" s="60"/>
      <c r="M49" s="60"/>
      <c r="N49" s="60"/>
      <c r="O49" s="60"/>
      <c r="P49" s="60"/>
      <c r="Q49" s="36"/>
      <c r="R49" s="60"/>
      <c r="S49" s="36"/>
      <c r="T49" s="36"/>
      <c r="U49" s="36"/>
      <c r="W49" s="5"/>
      <c r="Y49" s="5"/>
    </row>
    <row r="50" ht="15.75" customHeight="1">
      <c r="A50" s="60"/>
      <c r="B50" s="60"/>
      <c r="C50" s="60"/>
      <c r="D50" s="61"/>
      <c r="E50" s="61"/>
      <c r="F50" s="61"/>
      <c r="G50" s="60"/>
      <c r="H50" s="60"/>
      <c r="I50" s="60"/>
      <c r="J50" s="60"/>
      <c r="K50" s="60"/>
      <c r="L50" s="60"/>
      <c r="M50" s="60"/>
      <c r="N50" s="60"/>
      <c r="O50" s="60"/>
      <c r="P50" s="80"/>
      <c r="Q50" s="80"/>
      <c r="R50" s="80"/>
      <c r="S50" s="42"/>
      <c r="T50" s="42"/>
      <c r="U50" s="42"/>
      <c r="W50" s="5"/>
      <c r="Y50" s="5"/>
    </row>
    <row r="51" ht="15.75" customHeight="1">
      <c r="A51" s="60"/>
      <c r="B51" s="60"/>
      <c r="C51" s="60"/>
      <c r="D51" s="60"/>
      <c r="E51" s="60"/>
      <c r="F51" s="60"/>
      <c r="G51" s="42"/>
      <c r="H51" s="42"/>
      <c r="I51" s="42"/>
      <c r="J51" s="60"/>
      <c r="K51" s="60"/>
      <c r="L51" s="60"/>
      <c r="M51" s="60"/>
      <c r="N51" s="60"/>
      <c r="O51" s="61"/>
      <c r="P51" s="60"/>
      <c r="Q51" s="60"/>
      <c r="R51" s="61"/>
      <c r="S51" s="36"/>
      <c r="T51" s="36"/>
      <c r="U51" s="36"/>
      <c r="W51" s="5"/>
      <c r="Y51" s="5"/>
    </row>
    <row r="52" ht="15.75" customHeight="1">
      <c r="A52" s="60"/>
      <c r="B52" s="81"/>
      <c r="C52" s="60"/>
      <c r="D52" s="61"/>
      <c r="E52" s="61"/>
      <c r="F52" s="61"/>
      <c r="G52" s="60"/>
      <c r="H52" s="60"/>
      <c r="I52" s="61"/>
      <c r="J52" s="61"/>
      <c r="K52" s="61"/>
      <c r="L52" s="61"/>
      <c r="M52" s="60"/>
      <c r="N52" s="60"/>
      <c r="O52" s="60"/>
      <c r="P52" s="36"/>
      <c r="Q52" s="36"/>
      <c r="R52" s="36"/>
      <c r="S52" s="42"/>
      <c r="T52" s="42"/>
      <c r="U52" s="42"/>
      <c r="W52" s="5"/>
      <c r="Y52" s="5"/>
    </row>
    <row r="53" ht="15.75" customHeight="1">
      <c r="W53" s="5"/>
      <c r="Y53" s="5"/>
    </row>
    <row r="54" ht="15.75" customHeight="1">
      <c r="A54" s="82" t="s">
        <v>72</v>
      </c>
      <c r="B54" s="83"/>
      <c r="W54" s="5"/>
      <c r="Y54" s="5"/>
    </row>
    <row r="55" ht="15.75" customHeight="1">
      <c r="A55" s="84"/>
      <c r="B55" s="85" t="s">
        <v>73</v>
      </c>
      <c r="C55" s="86"/>
      <c r="D55" s="87"/>
      <c r="I55" s="88"/>
      <c r="J55" s="88"/>
      <c r="K55" s="88"/>
      <c r="M55" s="89"/>
      <c r="N55" s="90"/>
      <c r="O55" s="89"/>
      <c r="W55" s="5"/>
      <c r="Y55" s="5"/>
    </row>
    <row r="56" ht="15.75" customHeight="1">
      <c r="A56" s="91"/>
      <c r="B56" s="85" t="s">
        <v>74</v>
      </c>
      <c r="C56" s="86"/>
      <c r="I56" s="92"/>
      <c r="J56" s="92"/>
      <c r="K56" s="92"/>
      <c r="M56" s="93"/>
      <c r="N56" s="92"/>
      <c r="O56" s="92"/>
      <c r="W56" s="5"/>
      <c r="Y56" s="5"/>
    </row>
    <row r="57" ht="15.75" customHeight="1">
      <c r="A57" s="94"/>
      <c r="B57" s="85" t="s">
        <v>75</v>
      </c>
      <c r="C57" s="86"/>
      <c r="I57" s="92"/>
      <c r="J57" s="92"/>
      <c r="K57" s="92"/>
      <c r="M57" s="92"/>
      <c r="N57" s="92"/>
      <c r="O57" s="92"/>
      <c r="W57" s="5"/>
      <c r="Y57" s="5"/>
    </row>
    <row r="58" ht="15.75" customHeight="1">
      <c r="A58" s="95"/>
      <c r="B58" s="85" t="s">
        <v>76</v>
      </c>
      <c r="C58" s="86"/>
      <c r="I58" s="89"/>
      <c r="J58" s="90"/>
      <c r="K58" s="89"/>
      <c r="M58" s="96"/>
      <c r="N58" s="92"/>
      <c r="O58" s="96"/>
      <c r="W58" s="5"/>
      <c r="Y58" s="5"/>
    </row>
    <row r="59" ht="15.75" customHeight="1">
      <c r="I59" s="96"/>
      <c r="J59" s="97"/>
      <c r="K59" s="96"/>
      <c r="M59" s="98"/>
      <c r="N59" s="98"/>
      <c r="O59" s="98"/>
      <c r="W59" s="5"/>
      <c r="Y59" s="5"/>
    </row>
    <row r="60" ht="15.75" customHeight="1">
      <c r="I60" s="92"/>
      <c r="J60" s="92"/>
      <c r="K60" s="92"/>
      <c r="W60" s="5"/>
      <c r="Y60" s="5"/>
    </row>
    <row r="61" ht="15.75" customHeight="1">
      <c r="W61" s="5"/>
      <c r="Y61" s="5"/>
    </row>
    <row r="62" ht="15.75" customHeight="1">
      <c r="W62" s="5"/>
      <c r="Y62" s="5"/>
    </row>
    <row r="63" ht="15.75" customHeight="1">
      <c r="W63" s="5"/>
      <c r="Y63" s="5"/>
    </row>
    <row r="64" ht="15.75" customHeight="1">
      <c r="W64" s="5"/>
      <c r="Y64" s="5"/>
    </row>
    <row r="65" ht="15.75" customHeight="1">
      <c r="W65" s="5"/>
      <c r="Y65" s="5"/>
    </row>
    <row r="66" ht="15.75" customHeight="1">
      <c r="W66" s="5"/>
      <c r="Y66" s="5"/>
    </row>
    <row r="67" ht="15.75" customHeight="1">
      <c r="W67" s="5"/>
      <c r="Y67" s="5"/>
    </row>
    <row r="68" ht="15.75" customHeight="1">
      <c r="W68" s="5"/>
      <c r="Y68" s="5"/>
    </row>
    <row r="69" ht="15.75" customHeight="1">
      <c r="W69" s="5"/>
      <c r="Y69" s="5"/>
    </row>
    <row r="70" ht="15.75" customHeight="1">
      <c r="W70" s="5"/>
      <c r="Y70" s="5"/>
    </row>
    <row r="71" ht="15.75" customHeight="1">
      <c r="W71" s="5"/>
      <c r="Y71" s="5"/>
    </row>
    <row r="72" ht="15.75" customHeight="1">
      <c r="W72" s="5"/>
      <c r="Y72" s="5"/>
    </row>
    <row r="73" ht="15.75" customHeight="1">
      <c r="W73" s="5"/>
      <c r="Y73" s="5"/>
    </row>
    <row r="74" ht="15.75" customHeight="1">
      <c r="W74" s="5"/>
      <c r="Y74" s="5"/>
    </row>
    <row r="75" ht="15.75" customHeight="1">
      <c r="W75" s="5"/>
      <c r="Y75" s="5"/>
    </row>
    <row r="76" ht="15.75" customHeight="1">
      <c r="W76" s="5"/>
      <c r="Y76" s="5"/>
    </row>
    <row r="77" ht="15.75" customHeight="1">
      <c r="W77" s="5"/>
      <c r="Y77" s="5"/>
    </row>
    <row r="78" ht="15.75" customHeight="1">
      <c r="W78" s="5"/>
      <c r="Y78" s="5"/>
    </row>
    <row r="79" ht="15.75" customHeight="1">
      <c r="W79" s="5"/>
      <c r="Y79" s="5"/>
    </row>
    <row r="80" ht="15.75" customHeight="1">
      <c r="W80" s="5"/>
      <c r="Y80" s="5"/>
    </row>
    <row r="81" ht="15.75" customHeight="1">
      <c r="W81" s="5"/>
      <c r="Y81" s="5"/>
    </row>
    <row r="82" ht="15.75" customHeight="1">
      <c r="W82" s="5"/>
      <c r="Y82" s="5"/>
    </row>
    <row r="83" ht="15.75" customHeight="1">
      <c r="W83" s="5"/>
      <c r="Y83" s="5"/>
    </row>
    <row r="84" ht="15.75" customHeight="1">
      <c r="W84" s="5"/>
      <c r="Y84" s="5"/>
    </row>
    <row r="85" ht="15.75" customHeight="1">
      <c r="W85" s="5"/>
      <c r="Y85" s="5"/>
    </row>
    <row r="86" ht="15.75" customHeight="1">
      <c r="W86" s="5"/>
      <c r="Y86" s="5"/>
    </row>
    <row r="87" ht="15.75" customHeight="1">
      <c r="W87" s="5"/>
      <c r="Y87" s="5"/>
    </row>
    <row r="88" ht="15.75" customHeight="1">
      <c r="W88" s="5"/>
      <c r="Y88" s="5"/>
    </row>
    <row r="89" ht="15.75" customHeight="1">
      <c r="W89" s="5"/>
      <c r="Y89" s="5"/>
    </row>
    <row r="90" ht="15.75" customHeight="1">
      <c r="W90" s="5"/>
      <c r="Y90" s="5"/>
    </row>
    <row r="91" ht="15.75" customHeight="1">
      <c r="W91" s="5"/>
      <c r="Y91" s="5"/>
    </row>
    <row r="92" ht="15.75" customHeight="1">
      <c r="W92" s="5"/>
      <c r="Y92" s="5"/>
    </row>
    <row r="93" ht="15.75" customHeight="1">
      <c r="W93" s="5"/>
      <c r="Y93" s="5"/>
    </row>
    <row r="94" ht="15.75" customHeight="1">
      <c r="W94" s="5"/>
      <c r="Y94" s="5"/>
    </row>
    <row r="95" ht="15.75" customHeight="1">
      <c r="W95" s="5"/>
      <c r="Y95" s="5"/>
    </row>
    <row r="96" ht="15.75" customHeight="1">
      <c r="W96" s="5"/>
      <c r="Y96" s="5"/>
    </row>
    <row r="97" ht="15.75" customHeight="1">
      <c r="W97" s="5"/>
      <c r="Y97" s="5"/>
    </row>
    <row r="98" ht="15.75" customHeight="1">
      <c r="W98" s="5"/>
      <c r="Y98" s="5"/>
    </row>
    <row r="99" ht="15.75" customHeight="1">
      <c r="W99" s="5"/>
      <c r="Y99" s="5"/>
    </row>
    <row r="100" ht="15.75" customHeight="1">
      <c r="W100" s="5"/>
      <c r="Y100" s="5"/>
    </row>
    <row r="101" ht="15.75" customHeight="1">
      <c r="W101" s="5"/>
      <c r="Y101" s="5"/>
    </row>
    <row r="102" ht="15.75" customHeight="1">
      <c r="W102" s="5"/>
      <c r="Y102" s="5"/>
    </row>
    <row r="103" ht="15.75" customHeight="1">
      <c r="W103" s="5"/>
      <c r="Y103" s="5"/>
    </row>
    <row r="104" ht="15.75" customHeight="1">
      <c r="W104" s="5"/>
      <c r="Y104" s="5"/>
    </row>
    <row r="105" ht="15.75" customHeight="1">
      <c r="W105" s="5"/>
      <c r="Y105" s="5"/>
    </row>
    <row r="106" ht="15.75" customHeight="1">
      <c r="W106" s="5"/>
      <c r="Y106" s="5"/>
    </row>
    <row r="107" ht="15.75" customHeight="1">
      <c r="W107" s="5"/>
      <c r="Y107" s="5"/>
    </row>
    <row r="108" ht="15.75" customHeight="1">
      <c r="W108" s="5"/>
      <c r="Y108" s="5"/>
    </row>
    <row r="109" ht="15.75" customHeight="1">
      <c r="W109" s="5"/>
      <c r="Y109" s="5"/>
    </row>
    <row r="110" ht="15.75" customHeight="1">
      <c r="W110" s="5"/>
      <c r="Y110" s="5"/>
    </row>
    <row r="111" ht="15.75" customHeight="1">
      <c r="W111" s="5"/>
      <c r="Y111" s="5"/>
    </row>
    <row r="112" ht="15.75" customHeight="1">
      <c r="W112" s="5"/>
      <c r="Y112" s="5"/>
    </row>
    <row r="113" ht="15.75" customHeight="1">
      <c r="W113" s="5"/>
      <c r="Y113" s="5"/>
    </row>
    <row r="114" ht="15.75" customHeight="1">
      <c r="W114" s="5"/>
      <c r="Y114" s="5"/>
    </row>
    <row r="115" ht="15.75" customHeight="1">
      <c r="W115" s="5"/>
      <c r="Y115" s="5"/>
    </row>
    <row r="116" ht="15.75" customHeight="1">
      <c r="W116" s="5"/>
      <c r="Y116" s="5"/>
    </row>
    <row r="117" ht="15.75" customHeight="1">
      <c r="W117" s="5"/>
      <c r="Y117" s="5"/>
    </row>
    <row r="118" ht="15.75" customHeight="1">
      <c r="W118" s="5"/>
      <c r="Y118" s="5"/>
    </row>
    <row r="119" ht="15.75" customHeight="1">
      <c r="W119" s="5"/>
      <c r="Y119" s="5"/>
    </row>
    <row r="120" ht="15.75" customHeight="1">
      <c r="W120" s="5"/>
      <c r="Y120" s="5"/>
    </row>
    <row r="121" ht="15.75" customHeight="1">
      <c r="W121" s="5"/>
      <c r="Y121" s="5"/>
    </row>
    <row r="122" ht="15.75" customHeight="1">
      <c r="W122" s="5"/>
      <c r="Y122" s="5"/>
    </row>
    <row r="123" ht="15.75" customHeight="1">
      <c r="W123" s="5"/>
      <c r="Y123" s="5"/>
    </row>
    <row r="124" ht="15.75" customHeight="1">
      <c r="W124" s="5"/>
      <c r="Y124" s="5"/>
    </row>
    <row r="125" ht="15.75" customHeight="1">
      <c r="W125" s="5"/>
      <c r="Y125" s="5"/>
    </row>
    <row r="126" ht="15.75" customHeight="1">
      <c r="W126" s="5"/>
      <c r="Y126" s="5"/>
    </row>
    <row r="127" ht="15.75" customHeight="1">
      <c r="W127" s="5"/>
      <c r="Y127" s="5"/>
    </row>
    <row r="128" ht="15.75" customHeight="1">
      <c r="W128" s="5"/>
      <c r="Y128" s="5"/>
    </row>
    <row r="129" ht="15.75" customHeight="1">
      <c r="W129" s="5"/>
      <c r="Y129" s="5"/>
    </row>
    <row r="130" ht="15.75" customHeight="1">
      <c r="W130" s="5"/>
      <c r="Y130" s="5"/>
    </row>
    <row r="131" ht="15.75" customHeight="1">
      <c r="W131" s="5"/>
      <c r="Y131" s="5"/>
    </row>
    <row r="132" ht="15.75" customHeight="1">
      <c r="W132" s="5"/>
      <c r="Y132" s="5"/>
    </row>
    <row r="133" ht="15.75" customHeight="1">
      <c r="W133" s="5"/>
      <c r="Y133" s="5"/>
    </row>
    <row r="134" ht="15.75" customHeight="1">
      <c r="W134" s="5"/>
      <c r="Y134" s="5"/>
    </row>
    <row r="135" ht="15.75" customHeight="1">
      <c r="W135" s="5"/>
      <c r="Y135" s="5"/>
    </row>
    <row r="136" ht="15.75" customHeight="1">
      <c r="W136" s="5"/>
      <c r="Y136" s="5"/>
    </row>
    <row r="137" ht="15.75" customHeight="1">
      <c r="W137" s="5"/>
      <c r="Y137" s="5"/>
    </row>
    <row r="138" ht="15.75" customHeight="1">
      <c r="W138" s="5"/>
      <c r="Y138" s="5"/>
    </row>
    <row r="139" ht="15.75" customHeight="1">
      <c r="W139" s="5"/>
      <c r="Y139" s="5"/>
    </row>
    <row r="140" ht="15.75" customHeight="1">
      <c r="W140" s="5"/>
      <c r="Y140" s="5"/>
    </row>
    <row r="141" ht="15.75" customHeight="1">
      <c r="W141" s="5"/>
      <c r="Y141" s="5"/>
    </row>
    <row r="142" ht="15.75" customHeight="1">
      <c r="W142" s="5"/>
      <c r="Y142" s="5"/>
    </row>
    <row r="143" ht="15.75" customHeight="1">
      <c r="W143" s="5"/>
      <c r="Y143" s="5"/>
    </row>
    <row r="144" ht="15.75" customHeight="1">
      <c r="W144" s="5"/>
      <c r="Y144" s="5"/>
    </row>
    <row r="145" ht="15.75" customHeight="1">
      <c r="W145" s="5"/>
      <c r="Y145" s="5"/>
    </row>
    <row r="146" ht="15.75" customHeight="1">
      <c r="W146" s="5"/>
      <c r="Y146" s="5"/>
    </row>
    <row r="147" ht="15.75" customHeight="1">
      <c r="W147" s="5"/>
      <c r="Y147" s="5"/>
    </row>
    <row r="148" ht="15.75" customHeight="1">
      <c r="W148" s="5"/>
      <c r="Y148" s="5"/>
    </row>
    <row r="149" ht="15.75" customHeight="1">
      <c r="W149" s="5"/>
      <c r="Y149" s="5"/>
    </row>
    <row r="150" ht="15.75" customHeight="1">
      <c r="W150" s="5"/>
      <c r="Y150" s="5"/>
    </row>
    <row r="151" ht="15.75" customHeight="1">
      <c r="W151" s="5"/>
      <c r="Y151" s="5"/>
    </row>
    <row r="152" ht="15.75" customHeight="1">
      <c r="W152" s="5"/>
      <c r="Y152" s="5"/>
    </row>
    <row r="153" ht="15.75" customHeight="1">
      <c r="W153" s="5"/>
      <c r="Y153" s="5"/>
    </row>
    <row r="154" ht="15.75" customHeight="1">
      <c r="W154" s="5"/>
      <c r="Y154" s="5"/>
    </row>
    <row r="155" ht="15.75" customHeight="1">
      <c r="W155" s="5"/>
      <c r="Y155" s="5"/>
    </row>
    <row r="156" ht="15.75" customHeight="1">
      <c r="W156" s="5"/>
      <c r="Y156" s="5"/>
    </row>
    <row r="157" ht="15.75" customHeight="1">
      <c r="W157" s="5"/>
      <c r="Y157" s="5"/>
    </row>
    <row r="158" ht="15.75" customHeight="1">
      <c r="W158" s="5"/>
      <c r="Y158" s="5"/>
    </row>
    <row r="159" ht="15.75" customHeight="1">
      <c r="W159" s="5"/>
      <c r="Y159" s="5"/>
    </row>
    <row r="160" ht="15.75" customHeight="1">
      <c r="W160" s="5"/>
      <c r="Y160" s="5"/>
    </row>
    <row r="161" ht="15.75" customHeight="1">
      <c r="W161" s="5"/>
      <c r="Y161" s="5"/>
    </row>
    <row r="162" ht="15.75" customHeight="1">
      <c r="W162" s="5"/>
      <c r="Y162" s="5"/>
    </row>
    <row r="163" ht="15.75" customHeight="1">
      <c r="W163" s="5"/>
      <c r="Y163" s="5"/>
    </row>
    <row r="164" ht="15.75" customHeight="1">
      <c r="W164" s="5"/>
      <c r="Y164" s="5"/>
    </row>
    <row r="165" ht="15.75" customHeight="1">
      <c r="W165" s="5"/>
      <c r="Y165" s="5"/>
    </row>
    <row r="166" ht="15.75" customHeight="1">
      <c r="W166" s="5"/>
      <c r="Y166" s="5"/>
    </row>
    <row r="167" ht="15.75" customHeight="1">
      <c r="W167" s="5"/>
      <c r="Y167" s="5"/>
    </row>
    <row r="168" ht="15.75" customHeight="1">
      <c r="W168" s="5"/>
      <c r="Y168" s="5"/>
    </row>
    <row r="169" ht="15.75" customHeight="1">
      <c r="W169" s="5"/>
      <c r="Y169" s="5"/>
    </row>
    <row r="170" ht="15.75" customHeight="1">
      <c r="W170" s="5"/>
      <c r="Y170" s="5"/>
    </row>
    <row r="171" ht="15.75" customHeight="1">
      <c r="W171" s="5"/>
      <c r="Y171" s="5"/>
    </row>
    <row r="172" ht="15.75" customHeight="1">
      <c r="W172" s="5"/>
      <c r="Y172" s="5"/>
    </row>
    <row r="173" ht="15.75" customHeight="1">
      <c r="W173" s="5"/>
      <c r="Y173" s="5"/>
    </row>
    <row r="174" ht="15.75" customHeight="1">
      <c r="W174" s="5"/>
      <c r="Y174" s="5"/>
    </row>
    <row r="175" ht="15.75" customHeight="1">
      <c r="W175" s="5"/>
      <c r="Y175" s="5"/>
    </row>
    <row r="176" ht="15.75" customHeight="1">
      <c r="W176" s="5"/>
      <c r="Y176" s="5"/>
    </row>
    <row r="177" ht="15.75" customHeight="1">
      <c r="W177" s="5"/>
      <c r="Y177" s="5"/>
    </row>
    <row r="178" ht="15.75" customHeight="1">
      <c r="W178" s="5"/>
      <c r="Y178" s="5"/>
    </row>
    <row r="179" ht="15.75" customHeight="1">
      <c r="W179" s="5"/>
      <c r="Y179" s="5"/>
    </row>
    <row r="180" ht="15.75" customHeight="1">
      <c r="W180" s="5"/>
      <c r="Y180" s="5"/>
    </row>
    <row r="181" ht="15.75" customHeight="1">
      <c r="W181" s="5"/>
      <c r="Y181" s="5"/>
    </row>
    <row r="182" ht="15.75" customHeight="1">
      <c r="W182" s="5"/>
      <c r="Y182" s="5"/>
    </row>
    <row r="183" ht="15.75" customHeight="1">
      <c r="W183" s="5"/>
      <c r="Y183" s="5"/>
    </row>
    <row r="184" ht="15.75" customHeight="1">
      <c r="W184" s="5"/>
      <c r="Y184" s="5"/>
    </row>
    <row r="185" ht="15.75" customHeight="1">
      <c r="W185" s="5"/>
      <c r="Y185" s="5"/>
    </row>
    <row r="186" ht="15.75" customHeight="1">
      <c r="W186" s="5"/>
      <c r="Y186" s="5"/>
    </row>
    <row r="187" ht="15.75" customHeight="1">
      <c r="W187" s="5"/>
      <c r="Y187" s="5"/>
    </row>
    <row r="188" ht="15.75" customHeight="1">
      <c r="W188" s="5"/>
      <c r="Y188" s="5"/>
    </row>
    <row r="189" ht="15.75" customHeight="1">
      <c r="W189" s="5"/>
      <c r="Y189" s="5"/>
    </row>
    <row r="190" ht="15.75" customHeight="1">
      <c r="W190" s="5"/>
      <c r="Y190" s="5"/>
    </row>
    <row r="191" ht="15.75" customHeight="1">
      <c r="W191" s="5"/>
      <c r="Y191" s="5"/>
    </row>
    <row r="192" ht="15.75" customHeight="1">
      <c r="W192" s="5"/>
      <c r="Y192" s="5"/>
    </row>
    <row r="193" ht="15.75" customHeight="1">
      <c r="W193" s="5"/>
      <c r="Y193" s="5"/>
    </row>
    <row r="194" ht="15.75" customHeight="1">
      <c r="W194" s="5"/>
      <c r="Y194" s="5"/>
    </row>
    <row r="195" ht="15.75" customHeight="1">
      <c r="W195" s="5"/>
      <c r="Y195" s="5"/>
    </row>
    <row r="196" ht="15.75" customHeight="1">
      <c r="W196" s="5"/>
      <c r="Y196" s="5"/>
    </row>
    <row r="197" ht="15.75" customHeight="1">
      <c r="W197" s="5"/>
      <c r="Y197" s="5"/>
    </row>
    <row r="198" ht="15.75" customHeight="1">
      <c r="W198" s="5"/>
      <c r="Y198" s="5"/>
    </row>
    <row r="199" ht="15.75" customHeight="1">
      <c r="W199" s="5"/>
      <c r="Y199" s="5"/>
    </row>
    <row r="200" ht="15.75" customHeight="1">
      <c r="W200" s="5"/>
      <c r="Y200" s="5"/>
    </row>
    <row r="201" ht="15.75" customHeight="1">
      <c r="W201" s="5"/>
      <c r="Y201" s="5"/>
    </row>
    <row r="202" ht="15.75" customHeight="1">
      <c r="W202" s="5"/>
      <c r="Y202" s="5"/>
    </row>
    <row r="203" ht="15.75" customHeight="1">
      <c r="W203" s="5"/>
      <c r="Y203" s="5"/>
    </row>
    <row r="204" ht="15.75" customHeight="1">
      <c r="W204" s="5"/>
      <c r="Y204" s="5"/>
    </row>
    <row r="205" ht="15.75" customHeight="1">
      <c r="W205" s="5"/>
      <c r="Y205" s="5"/>
    </row>
    <row r="206" ht="15.75" customHeight="1">
      <c r="W206" s="5"/>
      <c r="Y206" s="5"/>
    </row>
    <row r="207" ht="15.75" customHeight="1">
      <c r="W207" s="5"/>
      <c r="Y207" s="5"/>
    </row>
    <row r="208" ht="15.75" customHeight="1">
      <c r="W208" s="5"/>
      <c r="Y208" s="5"/>
    </row>
    <row r="209" ht="15.75" customHeight="1">
      <c r="W209" s="5"/>
      <c r="Y209" s="5"/>
    </row>
    <row r="210" ht="15.75" customHeight="1">
      <c r="W210" s="5"/>
      <c r="Y210" s="5"/>
    </row>
    <row r="211" ht="15.75" customHeight="1">
      <c r="W211" s="5"/>
      <c r="Y211" s="5"/>
    </row>
    <row r="212" ht="15.75" customHeight="1">
      <c r="W212" s="5"/>
      <c r="Y212" s="5"/>
    </row>
    <row r="213" ht="15.75" customHeight="1">
      <c r="W213" s="5"/>
      <c r="Y213" s="5"/>
    </row>
    <row r="214" ht="15.75" customHeight="1">
      <c r="W214" s="5"/>
      <c r="Y214" s="5"/>
    </row>
    <row r="215" ht="15.75" customHeight="1">
      <c r="W215" s="5"/>
      <c r="Y215" s="5"/>
    </row>
    <row r="216" ht="15.75" customHeight="1">
      <c r="W216" s="5"/>
      <c r="Y216" s="5"/>
    </row>
    <row r="217" ht="15.75" customHeight="1">
      <c r="W217" s="5"/>
      <c r="Y217" s="5"/>
    </row>
    <row r="218" ht="15.75" customHeight="1">
      <c r="W218" s="5"/>
      <c r="Y218" s="5"/>
    </row>
    <row r="219" ht="15.75" customHeight="1">
      <c r="W219" s="5"/>
      <c r="Y219" s="5"/>
    </row>
    <row r="220" ht="15.75" customHeight="1">
      <c r="W220" s="5"/>
      <c r="Y220" s="5"/>
    </row>
    <row r="221" ht="15.75" customHeight="1">
      <c r="W221" s="5"/>
      <c r="Y221" s="5"/>
    </row>
    <row r="222" ht="15.75" customHeight="1">
      <c r="W222" s="5"/>
      <c r="Y222" s="5"/>
    </row>
    <row r="223" ht="15.75" customHeight="1">
      <c r="W223" s="5"/>
      <c r="Y223" s="5"/>
    </row>
    <row r="224" ht="15.75" customHeight="1">
      <c r="W224" s="5"/>
      <c r="Y224" s="5"/>
    </row>
    <row r="225" ht="15.75" customHeight="1">
      <c r="W225" s="5"/>
      <c r="Y225" s="5"/>
    </row>
    <row r="226" ht="15.75" customHeight="1">
      <c r="W226" s="5"/>
      <c r="Y226" s="5"/>
    </row>
    <row r="227" ht="15.75" customHeight="1">
      <c r="W227" s="5"/>
      <c r="Y227" s="5"/>
    </row>
    <row r="228" ht="15.75" customHeight="1">
      <c r="W228" s="5"/>
      <c r="Y228" s="5"/>
    </row>
    <row r="229" ht="15.75" customHeight="1">
      <c r="W229" s="5"/>
      <c r="Y229" s="5"/>
    </row>
    <row r="230" ht="15.75" customHeight="1">
      <c r="W230" s="5"/>
      <c r="Y230" s="5"/>
    </row>
    <row r="231" ht="15.75" customHeight="1">
      <c r="W231" s="5"/>
      <c r="Y231" s="5"/>
    </row>
    <row r="232" ht="15.75" customHeight="1">
      <c r="W232" s="5"/>
      <c r="Y232" s="5"/>
    </row>
    <row r="233" ht="15.75" customHeight="1">
      <c r="W233" s="5"/>
      <c r="Y233" s="5"/>
    </row>
    <row r="234" ht="15.75" customHeight="1">
      <c r="W234" s="5"/>
      <c r="Y234" s="5"/>
    </row>
    <row r="235" ht="15.75" customHeight="1">
      <c r="W235" s="5"/>
      <c r="Y235" s="5"/>
    </row>
    <row r="236" ht="15.75" customHeight="1">
      <c r="W236" s="5"/>
      <c r="Y236" s="5"/>
    </row>
    <row r="237" ht="15.75" customHeight="1">
      <c r="W237" s="5"/>
      <c r="Y237" s="5"/>
    </row>
    <row r="238" ht="15.75" customHeight="1">
      <c r="W238" s="5"/>
      <c r="Y238" s="5"/>
    </row>
    <row r="239" ht="15.75" customHeight="1">
      <c r="W239" s="5"/>
      <c r="Y239" s="5"/>
    </row>
    <row r="240" ht="15.75" customHeight="1">
      <c r="W240" s="5"/>
      <c r="Y240" s="5"/>
    </row>
    <row r="241" ht="15.75" customHeight="1">
      <c r="W241" s="5"/>
      <c r="Y241" s="5"/>
    </row>
    <row r="242" ht="15.75" customHeight="1">
      <c r="W242" s="5"/>
      <c r="Y242" s="5"/>
    </row>
    <row r="243" ht="15.75" customHeight="1">
      <c r="W243" s="5"/>
      <c r="Y243" s="5"/>
    </row>
    <row r="244" ht="15.75" customHeight="1">
      <c r="W244" s="5"/>
      <c r="Y244" s="5"/>
    </row>
    <row r="245" ht="15.75" customHeight="1">
      <c r="W245" s="5"/>
      <c r="Y245" s="5"/>
    </row>
    <row r="246" ht="15.75" customHeight="1">
      <c r="W246" s="5"/>
      <c r="Y246" s="5"/>
    </row>
    <row r="247" ht="15.75" customHeight="1">
      <c r="W247" s="5"/>
      <c r="Y247" s="5"/>
    </row>
    <row r="248" ht="15.75" customHeight="1">
      <c r="W248" s="5"/>
      <c r="Y248" s="5"/>
    </row>
    <row r="249" ht="15.75" customHeight="1">
      <c r="W249" s="5"/>
      <c r="Y249" s="5"/>
    </row>
    <row r="250" ht="15.75" customHeight="1">
      <c r="W250" s="5"/>
      <c r="Y250" s="5"/>
    </row>
    <row r="251" ht="15.75" customHeight="1">
      <c r="W251" s="5"/>
      <c r="Y251" s="5"/>
    </row>
    <row r="252" ht="15.75" customHeight="1">
      <c r="W252" s="5"/>
      <c r="Y252" s="5"/>
    </row>
    <row r="253" ht="15.75" customHeight="1">
      <c r="W253" s="5"/>
      <c r="Y253" s="5"/>
    </row>
    <row r="254" ht="15.75" customHeight="1">
      <c r="W254" s="5"/>
      <c r="Y254" s="5"/>
    </row>
    <row r="255" ht="15.75" customHeight="1">
      <c r="W255" s="5"/>
      <c r="Y255" s="5"/>
    </row>
    <row r="256" ht="15.75" customHeight="1">
      <c r="W256" s="5"/>
      <c r="Y256" s="5"/>
    </row>
    <row r="257" ht="15.75" customHeight="1">
      <c r="W257" s="5"/>
      <c r="Y257" s="5"/>
    </row>
    <row r="258" ht="15.75" customHeight="1">
      <c r="W258" s="5"/>
      <c r="Y258" s="5"/>
    </row>
    <row r="259" ht="15.75" customHeight="1">
      <c r="W259" s="5"/>
      <c r="Y259" s="5"/>
    </row>
    <row r="260" ht="15.75" customHeight="1">
      <c r="W260" s="5"/>
      <c r="Y260" s="5"/>
    </row>
    <row r="261" ht="15.75" customHeight="1">
      <c r="W261" s="5"/>
      <c r="Y261" s="5"/>
    </row>
    <row r="262" ht="15.75" customHeight="1">
      <c r="W262" s="5"/>
      <c r="Y262" s="5"/>
    </row>
    <row r="263" ht="15.75" customHeight="1">
      <c r="W263" s="5"/>
      <c r="Y263" s="5"/>
    </row>
    <row r="264" ht="15.75" customHeight="1">
      <c r="W264" s="5"/>
      <c r="Y264" s="5"/>
    </row>
    <row r="265" ht="15.75" customHeight="1">
      <c r="W265" s="5"/>
      <c r="Y265" s="5"/>
    </row>
    <row r="266" ht="15.75" customHeight="1">
      <c r="W266" s="5"/>
      <c r="Y266" s="5"/>
    </row>
    <row r="267" ht="15.75" customHeight="1">
      <c r="W267" s="5"/>
      <c r="Y267" s="5"/>
    </row>
    <row r="268" ht="15.75" customHeight="1">
      <c r="W268" s="5"/>
      <c r="Y268" s="5"/>
    </row>
    <row r="269" ht="15.75" customHeight="1">
      <c r="W269" s="5"/>
      <c r="Y269" s="5"/>
    </row>
    <row r="270" ht="15.75" customHeight="1">
      <c r="W270" s="5"/>
      <c r="Y270" s="5"/>
    </row>
    <row r="271" ht="15.75" customHeight="1">
      <c r="W271" s="5"/>
      <c r="Y271" s="5"/>
    </row>
    <row r="272" ht="15.75" customHeight="1">
      <c r="W272" s="5"/>
      <c r="Y272" s="5"/>
    </row>
    <row r="273" ht="15.75" customHeight="1">
      <c r="W273" s="5"/>
      <c r="Y273" s="5"/>
    </row>
    <row r="274" ht="15.75" customHeight="1">
      <c r="W274" s="5"/>
      <c r="Y274" s="5"/>
    </row>
    <row r="275" ht="15.75" customHeight="1">
      <c r="W275" s="5"/>
      <c r="Y275" s="5"/>
    </row>
    <row r="276" ht="15.75" customHeight="1">
      <c r="W276" s="5"/>
      <c r="Y276" s="5"/>
    </row>
    <row r="277" ht="15.75" customHeight="1">
      <c r="W277" s="5"/>
      <c r="Y277" s="5"/>
    </row>
    <row r="278" ht="15.75" customHeight="1">
      <c r="W278" s="5"/>
      <c r="Y278" s="5"/>
    </row>
    <row r="279" ht="15.75" customHeight="1">
      <c r="W279" s="5"/>
      <c r="Y279" s="5"/>
    </row>
    <row r="280" ht="15.75" customHeight="1">
      <c r="W280" s="5"/>
      <c r="Y280" s="5"/>
    </row>
    <row r="281" ht="15.75" customHeight="1">
      <c r="W281" s="5"/>
      <c r="Y281" s="5"/>
    </row>
    <row r="282" ht="15.75" customHeight="1">
      <c r="W282" s="5"/>
      <c r="Y282" s="5"/>
    </row>
    <row r="283" ht="15.75" customHeight="1">
      <c r="W283" s="5"/>
      <c r="Y283" s="5"/>
    </row>
    <row r="284" ht="15.75" customHeight="1">
      <c r="W284" s="5"/>
      <c r="Y284" s="5"/>
    </row>
    <row r="285" ht="15.75" customHeight="1">
      <c r="W285" s="5"/>
      <c r="Y285" s="5"/>
    </row>
    <row r="286" ht="15.75" customHeight="1">
      <c r="W286" s="5"/>
      <c r="Y286" s="5"/>
    </row>
    <row r="287" ht="15.75" customHeight="1">
      <c r="W287" s="5"/>
      <c r="Y287" s="5"/>
    </row>
    <row r="288" ht="15.75" customHeight="1">
      <c r="W288" s="5"/>
      <c r="Y288" s="5"/>
    </row>
    <row r="289" ht="15.75" customHeight="1">
      <c r="W289" s="5"/>
      <c r="Y289" s="5"/>
    </row>
    <row r="290" ht="15.75" customHeight="1">
      <c r="W290" s="5"/>
      <c r="Y290" s="5"/>
    </row>
    <row r="291" ht="15.75" customHeight="1">
      <c r="W291" s="5"/>
      <c r="Y291" s="5"/>
    </row>
    <row r="292" ht="15.75" customHeight="1">
      <c r="W292" s="5"/>
      <c r="Y292" s="5"/>
    </row>
    <row r="293" ht="15.75" customHeight="1">
      <c r="W293" s="5"/>
      <c r="Y293" s="5"/>
    </row>
    <row r="294" ht="15.75" customHeight="1">
      <c r="W294" s="5"/>
      <c r="Y294" s="5"/>
    </row>
    <row r="295" ht="15.75" customHeight="1">
      <c r="W295" s="5"/>
      <c r="Y295" s="5"/>
    </row>
    <row r="296" ht="15.75" customHeight="1">
      <c r="W296" s="5"/>
      <c r="Y296" s="5"/>
    </row>
    <row r="297" ht="15.75" customHeight="1">
      <c r="W297" s="5"/>
      <c r="Y297" s="5"/>
    </row>
    <row r="298" ht="15.75" customHeight="1">
      <c r="W298" s="5"/>
      <c r="Y298" s="5"/>
    </row>
    <row r="299" ht="15.75" customHeight="1">
      <c r="W299" s="5"/>
      <c r="Y299" s="5"/>
    </row>
    <row r="300" ht="15.75" customHeight="1">
      <c r="W300" s="5"/>
      <c r="Y300" s="5"/>
    </row>
    <row r="301" ht="15.75" customHeight="1">
      <c r="W301" s="5"/>
      <c r="Y301" s="5"/>
    </row>
    <row r="302" ht="15.75" customHeight="1">
      <c r="W302" s="5"/>
      <c r="Y302" s="5"/>
    </row>
    <row r="303" ht="15.75" customHeight="1">
      <c r="W303" s="5"/>
      <c r="Y303" s="5"/>
    </row>
    <row r="304" ht="15.75" customHeight="1">
      <c r="W304" s="5"/>
      <c r="Y304" s="5"/>
    </row>
    <row r="305" ht="15.75" customHeight="1">
      <c r="W305" s="5"/>
      <c r="Y305" s="5"/>
    </row>
    <row r="306" ht="15.75" customHeight="1">
      <c r="W306" s="5"/>
      <c r="Y306" s="5"/>
    </row>
    <row r="307" ht="15.75" customHeight="1">
      <c r="W307" s="5"/>
      <c r="Y307" s="5"/>
    </row>
    <row r="308" ht="15.75" customHeight="1">
      <c r="W308" s="5"/>
      <c r="Y308" s="5"/>
    </row>
    <row r="309" ht="15.75" customHeight="1">
      <c r="W309" s="5"/>
      <c r="Y309" s="5"/>
    </row>
    <row r="310" ht="15.75" customHeight="1">
      <c r="W310" s="5"/>
      <c r="Y310" s="5"/>
    </row>
    <row r="311" ht="15.75" customHeight="1">
      <c r="W311" s="5"/>
      <c r="Y311" s="5"/>
    </row>
    <row r="312" ht="15.75" customHeight="1">
      <c r="W312" s="5"/>
      <c r="Y312" s="5"/>
    </row>
    <row r="313" ht="15.75" customHeight="1">
      <c r="W313" s="5"/>
      <c r="Y313" s="5"/>
    </row>
    <row r="314" ht="15.75" customHeight="1">
      <c r="W314" s="5"/>
      <c r="Y314" s="5"/>
    </row>
    <row r="315" ht="15.75" customHeight="1">
      <c r="W315" s="5"/>
      <c r="Y315" s="5"/>
    </row>
    <row r="316" ht="15.75" customHeight="1">
      <c r="W316" s="5"/>
      <c r="Y316" s="5"/>
    </row>
    <row r="317" ht="15.75" customHeight="1">
      <c r="W317" s="5"/>
      <c r="Y317" s="5"/>
    </row>
    <row r="318" ht="15.75" customHeight="1">
      <c r="W318" s="5"/>
      <c r="Y318" s="5"/>
    </row>
    <row r="319" ht="15.75" customHeight="1">
      <c r="W319" s="5"/>
      <c r="Y319" s="5"/>
    </row>
    <row r="320" ht="15.75" customHeight="1">
      <c r="W320" s="5"/>
      <c r="Y320" s="5"/>
    </row>
    <row r="321" ht="15.75" customHeight="1">
      <c r="W321" s="5"/>
      <c r="Y321" s="5"/>
    </row>
    <row r="322" ht="15.75" customHeight="1">
      <c r="W322" s="5"/>
      <c r="Y322" s="5"/>
    </row>
    <row r="323" ht="15.75" customHeight="1">
      <c r="W323" s="5"/>
      <c r="Y323" s="5"/>
    </row>
    <row r="324" ht="15.75" customHeight="1">
      <c r="W324" s="5"/>
      <c r="Y324" s="5"/>
    </row>
    <row r="325" ht="15.75" customHeight="1">
      <c r="W325" s="5"/>
      <c r="Y325" s="5"/>
    </row>
    <row r="326" ht="15.75" customHeight="1">
      <c r="W326" s="5"/>
      <c r="Y326" s="5"/>
    </row>
    <row r="327" ht="15.75" customHeight="1">
      <c r="W327" s="5"/>
      <c r="Y327" s="5"/>
    </row>
    <row r="328" ht="15.75" customHeight="1">
      <c r="W328" s="5"/>
      <c r="Y328" s="5"/>
    </row>
    <row r="329" ht="15.75" customHeight="1">
      <c r="W329" s="5"/>
      <c r="Y329" s="5"/>
    </row>
    <row r="330" ht="15.75" customHeight="1">
      <c r="W330" s="5"/>
      <c r="Y330" s="5"/>
    </row>
    <row r="331" ht="15.75" customHeight="1">
      <c r="W331" s="5"/>
      <c r="Y331" s="5"/>
    </row>
    <row r="332" ht="15.75" customHeight="1">
      <c r="W332" s="5"/>
      <c r="Y332" s="5"/>
    </row>
    <row r="333" ht="15.75" customHeight="1">
      <c r="W333" s="5"/>
      <c r="Y333" s="5"/>
    </row>
    <row r="334" ht="15.75" customHeight="1">
      <c r="W334" s="5"/>
      <c r="Y334" s="5"/>
    </row>
    <row r="335" ht="15.75" customHeight="1">
      <c r="W335" s="5"/>
      <c r="Y335" s="5"/>
    </row>
    <row r="336" ht="15.75" customHeight="1">
      <c r="W336" s="5"/>
      <c r="Y336" s="5"/>
    </row>
    <row r="337" ht="15.75" customHeight="1">
      <c r="W337" s="5"/>
      <c r="Y337" s="5"/>
    </row>
    <row r="338" ht="15.75" customHeight="1">
      <c r="W338" s="5"/>
      <c r="Y338" s="5"/>
    </row>
    <row r="339" ht="15.75" customHeight="1">
      <c r="W339" s="5"/>
      <c r="Y339" s="5"/>
    </row>
    <row r="340" ht="15.75" customHeight="1">
      <c r="W340" s="5"/>
      <c r="Y340" s="5"/>
    </row>
    <row r="341" ht="15.75" customHeight="1">
      <c r="W341" s="5"/>
      <c r="Y341" s="5"/>
    </row>
    <row r="342" ht="15.75" customHeight="1">
      <c r="W342" s="5"/>
      <c r="Y342" s="5"/>
    </row>
    <row r="343" ht="15.75" customHeight="1">
      <c r="W343" s="5"/>
      <c r="Y343" s="5"/>
    </row>
    <row r="344" ht="15.75" customHeight="1">
      <c r="W344" s="5"/>
      <c r="Y344" s="5"/>
    </row>
    <row r="345" ht="15.75" customHeight="1">
      <c r="W345" s="5"/>
      <c r="Y345" s="5"/>
    </row>
    <row r="346" ht="15.75" customHeight="1">
      <c r="W346" s="5"/>
      <c r="Y346" s="5"/>
    </row>
    <row r="347" ht="15.75" customHeight="1">
      <c r="W347" s="5"/>
      <c r="Y347" s="5"/>
    </row>
    <row r="348" ht="15.75" customHeight="1">
      <c r="W348" s="5"/>
      <c r="Y348" s="5"/>
    </row>
    <row r="349" ht="15.75" customHeight="1">
      <c r="W349" s="5"/>
      <c r="Y349" s="5"/>
    </row>
    <row r="350" ht="15.75" customHeight="1">
      <c r="W350" s="5"/>
      <c r="Y350" s="5"/>
    </row>
    <row r="351" ht="15.75" customHeight="1">
      <c r="W351" s="5"/>
      <c r="Y351" s="5"/>
    </row>
    <row r="352" ht="15.75" customHeight="1">
      <c r="W352" s="5"/>
      <c r="Y352" s="5"/>
    </row>
    <row r="353" ht="15.75" customHeight="1">
      <c r="W353" s="5"/>
      <c r="Y353" s="5"/>
    </row>
    <row r="354" ht="15.75" customHeight="1">
      <c r="W354" s="5"/>
      <c r="Y354" s="5"/>
    </row>
    <row r="355" ht="15.75" customHeight="1">
      <c r="W355" s="5"/>
      <c r="Y355" s="5"/>
    </row>
    <row r="356" ht="15.75" customHeight="1">
      <c r="W356" s="5"/>
      <c r="Y356" s="5"/>
    </row>
    <row r="357" ht="15.75" customHeight="1">
      <c r="W357" s="5"/>
      <c r="Y357" s="5"/>
    </row>
    <row r="358" ht="15.75" customHeight="1">
      <c r="W358" s="5"/>
      <c r="Y358" s="5"/>
    </row>
    <row r="359" ht="15.75" customHeight="1">
      <c r="W359" s="5"/>
      <c r="Y359" s="5"/>
    </row>
    <row r="360" ht="15.75" customHeight="1">
      <c r="W360" s="5"/>
      <c r="Y360" s="5"/>
    </row>
    <row r="361" ht="15.75" customHeight="1">
      <c r="W361" s="5"/>
      <c r="Y361" s="5"/>
    </row>
    <row r="362" ht="15.75" customHeight="1">
      <c r="W362" s="5"/>
      <c r="Y362" s="5"/>
    </row>
    <row r="363" ht="15.75" customHeight="1">
      <c r="W363" s="5"/>
      <c r="Y363" s="5"/>
    </row>
    <row r="364" ht="15.75" customHeight="1">
      <c r="W364" s="5"/>
      <c r="Y364" s="5"/>
    </row>
    <row r="365" ht="15.75" customHeight="1">
      <c r="W365" s="5"/>
      <c r="Y365" s="5"/>
    </row>
    <row r="366" ht="15.75" customHeight="1">
      <c r="W366" s="5"/>
      <c r="Y366" s="5"/>
    </row>
    <row r="367" ht="15.75" customHeight="1">
      <c r="W367" s="5"/>
      <c r="Y367" s="5"/>
    </row>
    <row r="368" ht="15.75" customHeight="1">
      <c r="W368" s="5"/>
      <c r="Y368" s="5"/>
    </row>
    <row r="369" ht="15.75" customHeight="1">
      <c r="W369" s="5"/>
      <c r="Y369" s="5"/>
    </row>
    <row r="370" ht="15.75" customHeight="1">
      <c r="W370" s="5"/>
      <c r="Y370" s="5"/>
    </row>
    <row r="371" ht="15.75" customHeight="1">
      <c r="W371" s="5"/>
      <c r="Y371" s="5"/>
    </row>
    <row r="372" ht="15.75" customHeight="1">
      <c r="W372" s="5"/>
      <c r="Y372" s="5"/>
    </row>
    <row r="373" ht="15.75" customHeight="1">
      <c r="W373" s="5"/>
      <c r="Y373" s="5"/>
    </row>
    <row r="374" ht="15.75" customHeight="1">
      <c r="W374" s="5"/>
      <c r="Y374" s="5"/>
    </row>
    <row r="375" ht="15.75" customHeight="1">
      <c r="W375" s="5"/>
      <c r="Y375" s="5"/>
    </row>
    <row r="376" ht="15.75" customHeight="1">
      <c r="W376" s="5"/>
      <c r="Y376" s="5"/>
    </row>
    <row r="377" ht="15.75" customHeight="1">
      <c r="W377" s="5"/>
      <c r="Y377" s="5"/>
    </row>
    <row r="378" ht="15.75" customHeight="1">
      <c r="W378" s="5"/>
      <c r="Y378" s="5"/>
    </row>
    <row r="379" ht="15.75" customHeight="1">
      <c r="W379" s="5"/>
      <c r="Y379" s="5"/>
    </row>
    <row r="380" ht="15.75" customHeight="1">
      <c r="W380" s="5"/>
      <c r="Y380" s="5"/>
    </row>
    <row r="381" ht="15.75" customHeight="1">
      <c r="W381" s="5"/>
      <c r="Y381" s="5"/>
    </row>
    <row r="382" ht="15.75" customHeight="1">
      <c r="W382" s="5"/>
      <c r="Y382" s="5"/>
    </row>
    <row r="383" ht="15.75" customHeight="1">
      <c r="W383" s="5"/>
      <c r="Y383" s="5"/>
    </row>
    <row r="384" ht="15.75" customHeight="1">
      <c r="W384" s="5"/>
      <c r="Y384" s="5"/>
    </row>
    <row r="385" ht="15.75" customHeight="1">
      <c r="W385" s="5"/>
      <c r="Y385" s="5"/>
    </row>
    <row r="386" ht="15.75" customHeight="1">
      <c r="W386" s="5"/>
      <c r="Y386" s="5"/>
    </row>
    <row r="387" ht="15.75" customHeight="1">
      <c r="W387" s="5"/>
      <c r="Y387" s="5"/>
    </row>
    <row r="388" ht="15.75" customHeight="1">
      <c r="W388" s="5"/>
      <c r="Y388" s="5"/>
    </row>
    <row r="389" ht="15.75" customHeight="1">
      <c r="W389" s="5"/>
      <c r="Y389" s="5"/>
    </row>
    <row r="390" ht="15.75" customHeight="1">
      <c r="W390" s="5"/>
      <c r="Y390" s="5"/>
    </row>
    <row r="391" ht="15.75" customHeight="1">
      <c r="W391" s="5"/>
      <c r="Y391" s="5"/>
    </row>
    <row r="392" ht="15.75" customHeight="1">
      <c r="W392" s="5"/>
      <c r="Y392" s="5"/>
    </row>
    <row r="393" ht="15.75" customHeight="1">
      <c r="W393" s="5"/>
      <c r="Y393" s="5"/>
    </row>
    <row r="394" ht="15.75" customHeight="1">
      <c r="W394" s="5"/>
      <c r="Y394" s="5"/>
    </row>
    <row r="395" ht="15.75" customHeight="1">
      <c r="W395" s="5"/>
      <c r="Y395" s="5"/>
    </row>
    <row r="396" ht="15.75" customHeight="1">
      <c r="W396" s="5"/>
      <c r="Y396" s="5"/>
    </row>
    <row r="397" ht="15.75" customHeight="1">
      <c r="W397" s="5"/>
      <c r="Y397" s="5"/>
    </row>
    <row r="398" ht="15.75" customHeight="1">
      <c r="W398" s="5"/>
      <c r="Y398" s="5"/>
    </row>
    <row r="399" ht="15.75" customHeight="1">
      <c r="W399" s="5"/>
      <c r="Y399" s="5"/>
    </row>
    <row r="400" ht="15.75" customHeight="1">
      <c r="W400" s="5"/>
      <c r="Y400" s="5"/>
    </row>
    <row r="401" ht="15.75" customHeight="1">
      <c r="W401" s="5"/>
      <c r="Y401" s="5"/>
    </row>
    <row r="402" ht="15.75" customHeight="1">
      <c r="W402" s="5"/>
      <c r="Y402" s="5"/>
    </row>
    <row r="403" ht="15.75" customHeight="1">
      <c r="W403" s="5"/>
      <c r="Y403" s="5"/>
    </row>
    <row r="404" ht="15.75" customHeight="1">
      <c r="W404" s="5"/>
      <c r="Y404" s="5"/>
    </row>
    <row r="405" ht="15.75" customHeight="1">
      <c r="W405" s="5"/>
      <c r="Y405" s="5"/>
    </row>
    <row r="406" ht="15.75" customHeight="1">
      <c r="W406" s="5"/>
      <c r="Y406" s="5"/>
    </row>
    <row r="407" ht="15.75" customHeight="1">
      <c r="W407" s="5"/>
      <c r="Y407" s="5"/>
    </row>
    <row r="408" ht="15.75" customHeight="1">
      <c r="W408" s="5"/>
      <c r="Y408" s="5"/>
    </row>
    <row r="409" ht="15.75" customHeight="1">
      <c r="W409" s="5"/>
      <c r="Y409" s="5"/>
    </row>
    <row r="410" ht="15.75" customHeight="1">
      <c r="W410" s="5"/>
      <c r="Y410" s="5"/>
    </row>
    <row r="411" ht="15.75" customHeight="1">
      <c r="W411" s="5"/>
      <c r="Y411" s="5"/>
    </row>
    <row r="412" ht="15.75" customHeight="1">
      <c r="W412" s="5"/>
      <c r="Y412" s="5"/>
    </row>
    <row r="413" ht="15.75" customHeight="1">
      <c r="W413" s="5"/>
      <c r="Y413" s="5"/>
    </row>
    <row r="414" ht="15.75" customHeight="1">
      <c r="W414" s="5"/>
      <c r="Y414" s="5"/>
    </row>
    <row r="415" ht="15.75" customHeight="1">
      <c r="W415" s="5"/>
      <c r="Y415" s="5"/>
    </row>
    <row r="416" ht="15.75" customHeight="1">
      <c r="W416" s="5"/>
      <c r="Y416" s="5"/>
    </row>
    <row r="417" ht="15.75" customHeight="1">
      <c r="W417" s="5"/>
      <c r="Y417" s="5"/>
    </row>
    <row r="418" ht="15.75" customHeight="1">
      <c r="W418" s="5"/>
      <c r="Y418" s="5"/>
    </row>
    <row r="419" ht="15.75" customHeight="1">
      <c r="W419" s="5"/>
      <c r="Y419" s="5"/>
    </row>
    <row r="420" ht="15.75" customHeight="1">
      <c r="W420" s="5"/>
      <c r="Y420" s="5"/>
    </row>
    <row r="421" ht="15.75" customHeight="1">
      <c r="W421" s="5"/>
      <c r="Y421" s="5"/>
    </row>
    <row r="422" ht="15.75" customHeight="1">
      <c r="W422" s="5"/>
      <c r="Y422" s="5"/>
    </row>
    <row r="423" ht="15.75" customHeight="1">
      <c r="W423" s="5"/>
      <c r="Y423" s="5"/>
    </row>
    <row r="424" ht="15.75" customHeight="1">
      <c r="W424" s="5"/>
      <c r="Y424" s="5"/>
    </row>
    <row r="425" ht="15.75" customHeight="1">
      <c r="W425" s="5"/>
      <c r="Y425" s="5"/>
    </row>
    <row r="426" ht="15.75" customHeight="1">
      <c r="W426" s="5"/>
      <c r="Y426" s="5"/>
    </row>
    <row r="427" ht="15.75" customHeight="1">
      <c r="W427" s="5"/>
      <c r="Y427" s="5"/>
    </row>
    <row r="428" ht="15.75" customHeight="1">
      <c r="W428" s="5"/>
      <c r="Y428" s="5"/>
    </row>
    <row r="429" ht="15.75" customHeight="1">
      <c r="W429" s="5"/>
      <c r="Y429" s="5"/>
    </row>
    <row r="430" ht="15.75" customHeight="1">
      <c r="W430" s="5"/>
      <c r="Y430" s="5"/>
    </row>
    <row r="431" ht="15.75" customHeight="1">
      <c r="W431" s="5"/>
      <c r="Y431" s="5"/>
    </row>
    <row r="432" ht="15.75" customHeight="1">
      <c r="W432" s="5"/>
      <c r="Y432" s="5"/>
    </row>
    <row r="433" ht="15.75" customHeight="1">
      <c r="W433" s="5"/>
      <c r="Y433" s="5"/>
    </row>
    <row r="434" ht="15.75" customHeight="1">
      <c r="W434" s="5"/>
      <c r="Y434" s="5"/>
    </row>
    <row r="435" ht="15.75" customHeight="1">
      <c r="W435" s="5"/>
      <c r="Y435" s="5"/>
    </row>
    <row r="436" ht="15.75" customHeight="1">
      <c r="W436" s="5"/>
      <c r="Y436" s="5"/>
    </row>
    <row r="437" ht="15.75" customHeight="1">
      <c r="W437" s="5"/>
      <c r="Y437" s="5"/>
    </row>
    <row r="438" ht="15.75" customHeight="1">
      <c r="W438" s="5"/>
      <c r="Y438" s="5"/>
    </row>
    <row r="439" ht="15.75" customHeight="1">
      <c r="W439" s="5"/>
      <c r="Y439" s="5"/>
    </row>
    <row r="440" ht="15.75" customHeight="1">
      <c r="W440" s="5"/>
      <c r="Y440" s="5"/>
    </row>
    <row r="441" ht="15.75" customHeight="1">
      <c r="W441" s="5"/>
      <c r="Y441" s="5"/>
    </row>
    <row r="442" ht="15.75" customHeight="1">
      <c r="W442" s="5"/>
      <c r="Y442" s="5"/>
    </row>
    <row r="443" ht="15.75" customHeight="1">
      <c r="W443" s="5"/>
      <c r="Y443" s="5"/>
    </row>
    <row r="444" ht="15.75" customHeight="1">
      <c r="W444" s="5"/>
      <c r="Y444" s="5"/>
    </row>
    <row r="445" ht="15.75" customHeight="1">
      <c r="W445" s="5"/>
      <c r="Y445" s="5"/>
    </row>
    <row r="446" ht="15.75" customHeight="1">
      <c r="W446" s="5"/>
      <c r="Y446" s="5"/>
    </row>
    <row r="447" ht="15.75" customHeight="1">
      <c r="W447" s="5"/>
      <c r="Y447" s="5"/>
    </row>
    <row r="448" ht="15.75" customHeight="1">
      <c r="W448" s="5"/>
      <c r="Y448" s="5"/>
    </row>
    <row r="449" ht="15.75" customHeight="1">
      <c r="W449" s="5"/>
      <c r="Y449" s="5"/>
    </row>
    <row r="450" ht="15.75" customHeight="1">
      <c r="W450" s="5"/>
      <c r="Y450" s="5"/>
    </row>
    <row r="451" ht="15.75" customHeight="1">
      <c r="W451" s="5"/>
      <c r="Y451" s="5"/>
    </row>
    <row r="452" ht="15.75" customHeight="1">
      <c r="W452" s="5"/>
      <c r="Y452" s="5"/>
    </row>
    <row r="453" ht="15.75" customHeight="1">
      <c r="W453" s="5"/>
      <c r="Y453" s="5"/>
    </row>
    <row r="454" ht="15.75" customHeight="1">
      <c r="W454" s="5"/>
      <c r="Y454" s="5"/>
    </row>
    <row r="455" ht="15.75" customHeight="1">
      <c r="W455" s="5"/>
      <c r="Y455" s="5"/>
    </row>
    <row r="456" ht="15.75" customHeight="1">
      <c r="W456" s="5"/>
      <c r="Y456" s="5"/>
    </row>
    <row r="457" ht="15.75" customHeight="1">
      <c r="W457" s="5"/>
      <c r="Y457" s="5"/>
    </row>
    <row r="458" ht="15.75" customHeight="1">
      <c r="W458" s="5"/>
      <c r="Y458" s="5"/>
    </row>
    <row r="459" ht="15.75" customHeight="1">
      <c r="W459" s="5"/>
      <c r="Y459" s="5"/>
    </row>
    <row r="460" ht="15.75" customHeight="1">
      <c r="W460" s="5"/>
      <c r="Y460" s="5"/>
    </row>
    <row r="461" ht="15.75" customHeight="1">
      <c r="W461" s="5"/>
      <c r="Y461" s="5"/>
    </row>
    <row r="462" ht="15.75" customHeight="1">
      <c r="W462" s="5"/>
      <c r="Y462" s="5"/>
    </row>
    <row r="463" ht="15.75" customHeight="1">
      <c r="W463" s="5"/>
      <c r="Y463" s="5"/>
    </row>
    <row r="464" ht="15.75" customHeight="1">
      <c r="W464" s="5"/>
      <c r="Y464" s="5"/>
    </row>
    <row r="465" ht="15.75" customHeight="1">
      <c r="W465" s="5"/>
      <c r="Y465" s="5"/>
    </row>
    <row r="466" ht="15.75" customHeight="1">
      <c r="W466" s="5"/>
      <c r="Y466" s="5"/>
    </row>
    <row r="467" ht="15.75" customHeight="1">
      <c r="W467" s="5"/>
      <c r="Y467" s="5"/>
    </row>
    <row r="468" ht="15.75" customHeight="1">
      <c r="W468" s="5"/>
      <c r="Y468" s="5"/>
    </row>
    <row r="469" ht="15.75" customHeight="1">
      <c r="W469" s="5"/>
      <c r="Y469" s="5"/>
    </row>
    <row r="470" ht="15.75" customHeight="1">
      <c r="W470" s="5"/>
      <c r="Y470" s="5"/>
    </row>
    <row r="471" ht="15.75" customHeight="1">
      <c r="W471" s="5"/>
      <c r="Y471" s="5"/>
    </row>
    <row r="472" ht="15.75" customHeight="1">
      <c r="W472" s="5"/>
      <c r="Y472" s="5"/>
    </row>
    <row r="473" ht="15.75" customHeight="1">
      <c r="W473" s="5"/>
      <c r="Y473" s="5"/>
    </row>
    <row r="474" ht="15.75" customHeight="1">
      <c r="W474" s="5"/>
      <c r="Y474" s="5"/>
    </row>
    <row r="475" ht="15.75" customHeight="1">
      <c r="W475" s="5"/>
      <c r="Y475" s="5"/>
    </row>
    <row r="476" ht="15.75" customHeight="1">
      <c r="W476" s="5"/>
      <c r="Y476" s="5"/>
    </row>
    <row r="477" ht="15.75" customHeight="1">
      <c r="W477" s="5"/>
      <c r="Y477" s="5"/>
    </row>
    <row r="478" ht="15.75" customHeight="1">
      <c r="W478" s="5"/>
      <c r="Y478" s="5"/>
    </row>
    <row r="479" ht="15.75" customHeight="1">
      <c r="W479" s="5"/>
      <c r="Y479" s="5"/>
    </row>
    <row r="480" ht="15.75" customHeight="1">
      <c r="W480" s="5"/>
      <c r="Y480" s="5"/>
    </row>
    <row r="481" ht="15.75" customHeight="1">
      <c r="W481" s="5"/>
      <c r="Y481" s="5"/>
    </row>
    <row r="482" ht="15.75" customHeight="1">
      <c r="W482" s="5"/>
      <c r="Y482" s="5"/>
    </row>
    <row r="483" ht="15.75" customHeight="1">
      <c r="W483" s="5"/>
      <c r="Y483" s="5"/>
    </row>
    <row r="484" ht="15.75" customHeight="1">
      <c r="W484" s="5"/>
      <c r="Y484" s="5"/>
    </row>
    <row r="485" ht="15.75" customHeight="1">
      <c r="W485" s="5"/>
      <c r="Y485" s="5"/>
    </row>
    <row r="486" ht="15.75" customHeight="1">
      <c r="W486" s="5"/>
      <c r="Y486" s="5"/>
    </row>
    <row r="487" ht="15.75" customHeight="1">
      <c r="W487" s="5"/>
      <c r="Y487" s="5"/>
    </row>
    <row r="488" ht="15.75" customHeight="1">
      <c r="W488" s="5"/>
      <c r="Y488" s="5"/>
    </row>
    <row r="489" ht="15.75" customHeight="1">
      <c r="W489" s="5"/>
      <c r="Y489" s="5"/>
    </row>
    <row r="490" ht="15.75" customHeight="1">
      <c r="W490" s="5"/>
      <c r="Y490" s="5"/>
    </row>
    <row r="491" ht="15.75" customHeight="1">
      <c r="W491" s="5"/>
      <c r="Y491" s="5"/>
    </row>
    <row r="492" ht="15.75" customHeight="1">
      <c r="W492" s="5"/>
      <c r="Y492" s="5"/>
    </row>
    <row r="493" ht="15.75" customHeight="1">
      <c r="W493" s="5"/>
      <c r="Y493" s="5"/>
    </row>
    <row r="494" ht="15.75" customHeight="1">
      <c r="W494" s="5"/>
      <c r="Y494" s="5"/>
    </row>
    <row r="495" ht="15.75" customHeight="1">
      <c r="W495" s="5"/>
      <c r="Y495" s="5"/>
    </row>
    <row r="496" ht="15.75" customHeight="1">
      <c r="W496" s="5"/>
      <c r="Y496" s="5"/>
    </row>
    <row r="497" ht="15.75" customHeight="1">
      <c r="W497" s="5"/>
      <c r="Y497" s="5"/>
    </row>
    <row r="498" ht="15.75" customHeight="1">
      <c r="W498" s="5"/>
      <c r="Y498" s="5"/>
    </row>
    <row r="499" ht="15.75" customHeight="1">
      <c r="W499" s="5"/>
      <c r="Y499" s="5"/>
    </row>
    <row r="500" ht="15.75" customHeight="1">
      <c r="W500" s="5"/>
      <c r="Y500" s="5"/>
    </row>
    <row r="501" ht="15.75" customHeight="1">
      <c r="W501" s="5"/>
      <c r="Y501" s="5"/>
    </row>
    <row r="502" ht="15.75" customHeight="1">
      <c r="W502" s="5"/>
      <c r="Y502" s="5"/>
    </row>
    <row r="503" ht="15.75" customHeight="1">
      <c r="W503" s="5"/>
      <c r="Y503" s="5"/>
    </row>
    <row r="504" ht="15.75" customHeight="1">
      <c r="W504" s="5"/>
      <c r="Y504" s="5"/>
    </row>
    <row r="505" ht="15.75" customHeight="1">
      <c r="W505" s="5"/>
      <c r="Y505" s="5"/>
    </row>
    <row r="506" ht="15.75" customHeight="1">
      <c r="W506" s="5"/>
      <c r="Y506" s="5"/>
    </row>
    <row r="507" ht="15.75" customHeight="1">
      <c r="W507" s="5"/>
      <c r="Y507" s="5"/>
    </row>
    <row r="508" ht="15.75" customHeight="1">
      <c r="W508" s="5"/>
      <c r="Y508" s="5"/>
    </row>
    <row r="509" ht="15.75" customHeight="1">
      <c r="W509" s="5"/>
      <c r="Y509" s="5"/>
    </row>
    <row r="510" ht="15.75" customHeight="1">
      <c r="W510" s="5"/>
      <c r="Y510" s="5"/>
    </row>
    <row r="511" ht="15.75" customHeight="1">
      <c r="W511" s="5"/>
      <c r="Y511" s="5"/>
    </row>
    <row r="512" ht="15.75" customHeight="1">
      <c r="W512" s="5"/>
      <c r="Y512" s="5"/>
    </row>
    <row r="513" ht="15.75" customHeight="1">
      <c r="W513" s="5"/>
      <c r="Y513" s="5"/>
    </row>
    <row r="514" ht="15.75" customHeight="1">
      <c r="W514" s="5"/>
      <c r="Y514" s="5"/>
    </row>
    <row r="515" ht="15.75" customHeight="1">
      <c r="W515" s="5"/>
      <c r="Y515" s="5"/>
    </row>
    <row r="516" ht="15.75" customHeight="1">
      <c r="W516" s="5"/>
      <c r="Y516" s="5"/>
    </row>
    <row r="517" ht="15.75" customHeight="1">
      <c r="W517" s="5"/>
      <c r="Y517" s="5"/>
    </row>
    <row r="518" ht="15.75" customHeight="1">
      <c r="W518" s="5"/>
      <c r="Y518" s="5"/>
    </row>
    <row r="519" ht="15.75" customHeight="1">
      <c r="W519" s="5"/>
      <c r="Y519" s="5"/>
    </row>
    <row r="520" ht="15.75" customHeight="1">
      <c r="W520" s="5"/>
      <c r="Y520" s="5"/>
    </row>
    <row r="521" ht="15.75" customHeight="1">
      <c r="W521" s="5"/>
      <c r="Y521" s="5"/>
    </row>
    <row r="522" ht="15.75" customHeight="1">
      <c r="W522" s="5"/>
      <c r="Y522" s="5"/>
    </row>
    <row r="523" ht="15.75" customHeight="1">
      <c r="W523" s="5"/>
      <c r="Y523" s="5"/>
    </row>
    <row r="524" ht="15.75" customHeight="1">
      <c r="W524" s="5"/>
      <c r="Y524" s="5"/>
    </row>
    <row r="525" ht="15.75" customHeight="1">
      <c r="W525" s="5"/>
      <c r="Y525" s="5"/>
    </row>
    <row r="526" ht="15.75" customHeight="1">
      <c r="W526" s="5"/>
      <c r="Y526" s="5"/>
    </row>
    <row r="527" ht="15.75" customHeight="1">
      <c r="W527" s="5"/>
      <c r="Y527" s="5"/>
    </row>
    <row r="528" ht="15.75" customHeight="1">
      <c r="W528" s="5"/>
      <c r="Y528" s="5"/>
    </row>
    <row r="529" ht="15.75" customHeight="1">
      <c r="W529" s="5"/>
      <c r="Y529" s="5"/>
    </row>
    <row r="530" ht="15.75" customHeight="1">
      <c r="W530" s="5"/>
      <c r="Y530" s="5"/>
    </row>
    <row r="531" ht="15.75" customHeight="1">
      <c r="W531" s="5"/>
      <c r="Y531" s="5"/>
    </row>
    <row r="532" ht="15.75" customHeight="1">
      <c r="W532" s="5"/>
      <c r="Y532" s="5"/>
    </row>
    <row r="533" ht="15.75" customHeight="1">
      <c r="W533" s="5"/>
      <c r="Y533" s="5"/>
    </row>
    <row r="534" ht="15.75" customHeight="1">
      <c r="W534" s="5"/>
      <c r="Y534" s="5"/>
    </row>
    <row r="535" ht="15.75" customHeight="1">
      <c r="W535" s="5"/>
      <c r="Y535" s="5"/>
    </row>
    <row r="536" ht="15.75" customHeight="1">
      <c r="W536" s="5"/>
      <c r="Y536" s="5"/>
    </row>
    <row r="537" ht="15.75" customHeight="1">
      <c r="W537" s="5"/>
      <c r="Y537" s="5"/>
    </row>
    <row r="538" ht="15.75" customHeight="1">
      <c r="W538" s="5"/>
      <c r="Y538" s="5"/>
    </row>
    <row r="539" ht="15.75" customHeight="1">
      <c r="W539" s="5"/>
      <c r="Y539" s="5"/>
    </row>
    <row r="540" ht="15.75" customHeight="1">
      <c r="W540" s="5"/>
      <c r="Y540" s="5"/>
    </row>
    <row r="541" ht="15.75" customHeight="1">
      <c r="W541" s="5"/>
      <c r="Y541" s="5"/>
    </row>
    <row r="542" ht="15.75" customHeight="1">
      <c r="W542" s="5"/>
      <c r="Y542" s="5"/>
    </row>
    <row r="543" ht="15.75" customHeight="1">
      <c r="W543" s="5"/>
      <c r="Y543" s="5"/>
    </row>
    <row r="544" ht="15.75" customHeight="1">
      <c r="W544" s="5"/>
      <c r="Y544" s="5"/>
    </row>
    <row r="545" ht="15.75" customHeight="1">
      <c r="W545" s="5"/>
      <c r="Y545" s="5"/>
    </row>
    <row r="546" ht="15.75" customHeight="1">
      <c r="W546" s="5"/>
      <c r="Y546" s="5"/>
    </row>
    <row r="547" ht="15.75" customHeight="1">
      <c r="W547" s="5"/>
      <c r="Y547" s="5"/>
    </row>
    <row r="548" ht="15.75" customHeight="1">
      <c r="W548" s="5"/>
      <c r="Y548" s="5"/>
    </row>
    <row r="549" ht="15.75" customHeight="1">
      <c r="W549" s="5"/>
      <c r="Y549" s="5"/>
    </row>
    <row r="550" ht="15.75" customHeight="1">
      <c r="W550" s="5"/>
      <c r="Y550" s="5"/>
    </row>
    <row r="551" ht="15.75" customHeight="1">
      <c r="W551" s="5"/>
      <c r="Y551" s="5"/>
    </row>
    <row r="552" ht="15.75" customHeight="1">
      <c r="W552" s="5"/>
      <c r="Y552" s="5"/>
    </row>
    <row r="553" ht="15.75" customHeight="1">
      <c r="W553" s="5"/>
      <c r="Y553" s="5"/>
    </row>
    <row r="554" ht="15.75" customHeight="1">
      <c r="W554" s="5"/>
      <c r="Y554" s="5"/>
    </row>
    <row r="555" ht="15.75" customHeight="1">
      <c r="W555" s="5"/>
      <c r="Y555" s="5"/>
    </row>
    <row r="556" ht="15.75" customHeight="1">
      <c r="W556" s="5"/>
      <c r="Y556" s="5"/>
    </row>
    <row r="557" ht="15.75" customHeight="1">
      <c r="W557" s="5"/>
      <c r="Y557" s="5"/>
    </row>
    <row r="558" ht="15.75" customHeight="1">
      <c r="W558" s="5"/>
      <c r="Y558" s="5"/>
    </row>
    <row r="559" ht="15.75" customHeight="1">
      <c r="W559" s="5"/>
      <c r="Y559" s="5"/>
    </row>
    <row r="560" ht="15.75" customHeight="1">
      <c r="W560" s="5"/>
      <c r="Y560" s="5"/>
    </row>
    <row r="561" ht="15.75" customHeight="1">
      <c r="W561" s="5"/>
      <c r="Y561" s="5"/>
    </row>
    <row r="562" ht="15.75" customHeight="1">
      <c r="W562" s="5"/>
      <c r="Y562" s="5"/>
    </row>
    <row r="563" ht="15.75" customHeight="1">
      <c r="W563" s="5"/>
      <c r="Y563" s="5"/>
    </row>
    <row r="564" ht="15.75" customHeight="1">
      <c r="W564" s="5"/>
      <c r="Y564" s="5"/>
    </row>
    <row r="565" ht="15.75" customHeight="1">
      <c r="W565" s="5"/>
      <c r="Y565" s="5"/>
    </row>
    <row r="566" ht="15.75" customHeight="1">
      <c r="W566" s="5"/>
      <c r="Y566" s="5"/>
    </row>
    <row r="567" ht="15.75" customHeight="1">
      <c r="W567" s="5"/>
      <c r="Y567" s="5"/>
    </row>
    <row r="568" ht="15.75" customHeight="1">
      <c r="W568" s="5"/>
      <c r="Y568" s="5"/>
    </row>
    <row r="569" ht="15.75" customHeight="1">
      <c r="W569" s="5"/>
      <c r="Y569" s="5"/>
    </row>
    <row r="570" ht="15.75" customHeight="1">
      <c r="W570" s="5"/>
      <c r="Y570" s="5"/>
    </row>
    <row r="571" ht="15.75" customHeight="1">
      <c r="W571" s="5"/>
      <c r="Y571" s="5"/>
    </row>
    <row r="572" ht="15.75" customHeight="1">
      <c r="W572" s="5"/>
      <c r="Y572" s="5"/>
    </row>
    <row r="573" ht="15.75" customHeight="1">
      <c r="W573" s="5"/>
      <c r="Y573" s="5"/>
    </row>
    <row r="574" ht="15.75" customHeight="1">
      <c r="W574" s="5"/>
      <c r="Y574" s="5"/>
    </row>
    <row r="575" ht="15.75" customHeight="1">
      <c r="W575" s="5"/>
      <c r="Y575" s="5"/>
    </row>
    <row r="576" ht="15.75" customHeight="1">
      <c r="W576" s="5"/>
      <c r="Y576" s="5"/>
    </row>
    <row r="577" ht="15.75" customHeight="1">
      <c r="W577" s="5"/>
      <c r="Y577" s="5"/>
    </row>
    <row r="578" ht="15.75" customHeight="1">
      <c r="W578" s="5"/>
      <c r="Y578" s="5"/>
    </row>
    <row r="579" ht="15.75" customHeight="1">
      <c r="W579" s="5"/>
      <c r="Y579" s="5"/>
    </row>
    <row r="580" ht="15.75" customHeight="1">
      <c r="W580" s="5"/>
      <c r="Y580" s="5"/>
    </row>
    <row r="581" ht="15.75" customHeight="1">
      <c r="W581" s="5"/>
      <c r="Y581" s="5"/>
    </row>
    <row r="582" ht="15.75" customHeight="1">
      <c r="W582" s="5"/>
      <c r="Y582" s="5"/>
    </row>
    <row r="583" ht="15.75" customHeight="1">
      <c r="W583" s="5"/>
      <c r="Y583" s="5"/>
    </row>
    <row r="584" ht="15.75" customHeight="1">
      <c r="W584" s="5"/>
      <c r="Y584" s="5"/>
    </row>
    <row r="585" ht="15.75" customHeight="1">
      <c r="W585" s="5"/>
      <c r="Y585" s="5"/>
    </row>
    <row r="586" ht="15.75" customHeight="1">
      <c r="W586" s="5"/>
      <c r="Y586" s="5"/>
    </row>
    <row r="587" ht="15.75" customHeight="1">
      <c r="W587" s="5"/>
      <c r="Y587" s="5"/>
    </row>
    <row r="588" ht="15.75" customHeight="1">
      <c r="W588" s="5"/>
      <c r="Y588" s="5"/>
    </row>
    <row r="589" ht="15.75" customHeight="1">
      <c r="W589" s="5"/>
      <c r="Y589" s="5"/>
    </row>
    <row r="590" ht="15.75" customHeight="1">
      <c r="W590" s="5"/>
      <c r="Y590" s="5"/>
    </row>
    <row r="591" ht="15.75" customHeight="1">
      <c r="W591" s="5"/>
      <c r="Y591" s="5"/>
    </row>
    <row r="592" ht="15.75" customHeight="1">
      <c r="W592" s="5"/>
      <c r="Y592" s="5"/>
    </row>
    <row r="593" ht="15.75" customHeight="1">
      <c r="W593" s="5"/>
      <c r="Y593" s="5"/>
    </row>
    <row r="594" ht="15.75" customHeight="1">
      <c r="W594" s="5"/>
      <c r="Y594" s="5"/>
    </row>
    <row r="595" ht="15.75" customHeight="1">
      <c r="W595" s="5"/>
      <c r="Y595" s="5"/>
    </row>
    <row r="596" ht="15.75" customHeight="1">
      <c r="W596" s="5"/>
      <c r="Y596" s="5"/>
    </row>
    <row r="597" ht="15.75" customHeight="1">
      <c r="W597" s="5"/>
      <c r="Y597" s="5"/>
    </row>
    <row r="598" ht="15.75" customHeight="1">
      <c r="W598" s="5"/>
      <c r="Y598" s="5"/>
    </row>
    <row r="599" ht="15.75" customHeight="1">
      <c r="W599" s="5"/>
      <c r="Y599" s="5"/>
    </row>
    <row r="600" ht="15.75" customHeight="1">
      <c r="W600" s="5"/>
      <c r="Y600" s="5"/>
    </row>
    <row r="601" ht="15.75" customHeight="1">
      <c r="W601" s="5"/>
      <c r="Y601" s="5"/>
    </row>
    <row r="602" ht="15.75" customHeight="1">
      <c r="W602" s="5"/>
      <c r="Y602" s="5"/>
    </row>
    <row r="603" ht="15.75" customHeight="1">
      <c r="W603" s="5"/>
      <c r="Y603" s="5"/>
    </row>
    <row r="604" ht="15.75" customHeight="1">
      <c r="W604" s="5"/>
      <c r="Y604" s="5"/>
    </row>
    <row r="605" ht="15.75" customHeight="1">
      <c r="W605" s="5"/>
      <c r="Y605" s="5"/>
    </row>
    <row r="606" ht="15.75" customHeight="1">
      <c r="W606" s="5"/>
      <c r="Y606" s="5"/>
    </row>
    <row r="607" ht="15.75" customHeight="1">
      <c r="W607" s="5"/>
      <c r="Y607" s="5"/>
    </row>
    <row r="608" ht="15.75" customHeight="1">
      <c r="W608" s="5"/>
      <c r="Y608" s="5"/>
    </row>
    <row r="609" ht="15.75" customHeight="1">
      <c r="W609" s="5"/>
      <c r="Y609" s="5"/>
    </row>
    <row r="610" ht="15.75" customHeight="1">
      <c r="W610" s="5"/>
      <c r="Y610" s="5"/>
    </row>
    <row r="611" ht="15.75" customHeight="1">
      <c r="W611" s="5"/>
      <c r="Y611" s="5"/>
    </row>
    <row r="612" ht="15.75" customHeight="1">
      <c r="W612" s="5"/>
      <c r="Y612" s="5"/>
    </row>
    <row r="613" ht="15.75" customHeight="1">
      <c r="W613" s="5"/>
      <c r="Y613" s="5"/>
    </row>
    <row r="614" ht="15.75" customHeight="1">
      <c r="W614" s="5"/>
      <c r="Y614" s="5"/>
    </row>
    <row r="615" ht="15.75" customHeight="1">
      <c r="W615" s="5"/>
      <c r="Y615" s="5"/>
    </row>
    <row r="616" ht="15.75" customHeight="1">
      <c r="W616" s="5"/>
      <c r="Y616" s="5"/>
    </row>
    <row r="617" ht="15.75" customHeight="1">
      <c r="W617" s="5"/>
      <c r="Y617" s="5"/>
    </row>
    <row r="618" ht="15.75" customHeight="1">
      <c r="W618" s="5"/>
      <c r="Y618" s="5"/>
    </row>
    <row r="619" ht="15.75" customHeight="1">
      <c r="W619" s="5"/>
      <c r="Y619" s="5"/>
    </row>
    <row r="620" ht="15.75" customHeight="1">
      <c r="W620" s="5"/>
      <c r="Y620" s="5"/>
    </row>
    <row r="621" ht="15.75" customHeight="1">
      <c r="W621" s="5"/>
      <c r="Y621" s="5"/>
    </row>
    <row r="622" ht="15.75" customHeight="1">
      <c r="W622" s="5"/>
      <c r="Y622" s="5"/>
    </row>
    <row r="623" ht="15.75" customHeight="1">
      <c r="W623" s="5"/>
      <c r="Y623" s="5"/>
    </row>
    <row r="624" ht="15.75" customHeight="1">
      <c r="W624" s="5"/>
      <c r="Y624" s="5"/>
    </row>
    <row r="625" ht="15.75" customHeight="1">
      <c r="W625" s="5"/>
      <c r="Y625" s="5"/>
    </row>
    <row r="626" ht="15.75" customHeight="1">
      <c r="W626" s="5"/>
      <c r="Y626" s="5"/>
    </row>
    <row r="627" ht="15.75" customHeight="1">
      <c r="W627" s="5"/>
      <c r="Y627" s="5"/>
    </row>
    <row r="628" ht="15.75" customHeight="1">
      <c r="W628" s="5"/>
      <c r="Y628" s="5"/>
    </row>
    <row r="629" ht="15.75" customHeight="1">
      <c r="W629" s="5"/>
      <c r="Y629" s="5"/>
    </row>
    <row r="630" ht="15.75" customHeight="1">
      <c r="W630" s="5"/>
      <c r="Y630" s="5"/>
    </row>
    <row r="631" ht="15.75" customHeight="1">
      <c r="W631" s="5"/>
      <c r="Y631" s="5"/>
    </row>
    <row r="632" ht="15.75" customHeight="1">
      <c r="W632" s="5"/>
      <c r="Y632" s="5"/>
    </row>
    <row r="633" ht="15.75" customHeight="1">
      <c r="W633" s="5"/>
      <c r="Y633" s="5"/>
    </row>
    <row r="634" ht="15.75" customHeight="1">
      <c r="W634" s="5"/>
      <c r="Y634" s="5"/>
    </row>
    <row r="635" ht="15.75" customHeight="1">
      <c r="W635" s="5"/>
      <c r="Y635" s="5"/>
    </row>
    <row r="636" ht="15.75" customHeight="1">
      <c r="W636" s="5"/>
      <c r="Y636" s="5"/>
    </row>
    <row r="637" ht="15.75" customHeight="1">
      <c r="W637" s="5"/>
      <c r="Y637" s="5"/>
    </row>
    <row r="638" ht="15.75" customHeight="1">
      <c r="W638" s="5"/>
      <c r="Y638" s="5"/>
    </row>
    <row r="639" ht="15.75" customHeight="1">
      <c r="W639" s="5"/>
      <c r="Y639" s="5"/>
    </row>
    <row r="640" ht="15.75" customHeight="1">
      <c r="W640" s="5"/>
      <c r="Y640" s="5"/>
    </row>
    <row r="641" ht="15.75" customHeight="1">
      <c r="W641" s="5"/>
      <c r="Y641" s="5"/>
    </row>
    <row r="642" ht="15.75" customHeight="1">
      <c r="W642" s="5"/>
      <c r="Y642" s="5"/>
    </row>
    <row r="643" ht="15.75" customHeight="1">
      <c r="W643" s="5"/>
      <c r="Y643" s="5"/>
    </row>
    <row r="644" ht="15.75" customHeight="1">
      <c r="W644" s="5"/>
      <c r="Y644" s="5"/>
    </row>
    <row r="645" ht="15.75" customHeight="1">
      <c r="W645" s="5"/>
      <c r="Y645" s="5"/>
    </row>
    <row r="646" ht="15.75" customHeight="1">
      <c r="W646" s="5"/>
      <c r="Y646" s="5"/>
    </row>
    <row r="647" ht="15.75" customHeight="1">
      <c r="W647" s="5"/>
      <c r="Y647" s="5"/>
    </row>
    <row r="648" ht="15.75" customHeight="1">
      <c r="W648" s="5"/>
      <c r="Y648" s="5"/>
    </row>
    <row r="649" ht="15.75" customHeight="1">
      <c r="W649" s="5"/>
      <c r="Y649" s="5"/>
    </row>
    <row r="650" ht="15.75" customHeight="1">
      <c r="W650" s="5"/>
      <c r="Y650" s="5"/>
    </row>
    <row r="651" ht="15.75" customHeight="1">
      <c r="W651" s="5"/>
      <c r="Y651" s="5"/>
    </row>
    <row r="652" ht="15.75" customHeight="1">
      <c r="W652" s="5"/>
      <c r="Y652" s="5"/>
    </row>
    <row r="653" ht="15.75" customHeight="1">
      <c r="W653" s="5"/>
      <c r="Y653" s="5"/>
    </row>
    <row r="654" ht="15.75" customHeight="1">
      <c r="W654" s="5"/>
      <c r="Y654" s="5"/>
    </row>
    <row r="655" ht="15.75" customHeight="1">
      <c r="W655" s="5"/>
      <c r="Y655" s="5"/>
    </row>
    <row r="656" ht="15.75" customHeight="1">
      <c r="W656" s="5"/>
      <c r="Y656" s="5"/>
    </row>
    <row r="657" ht="15.75" customHeight="1">
      <c r="W657" s="5"/>
      <c r="Y657" s="5"/>
    </row>
    <row r="658" ht="15.75" customHeight="1">
      <c r="W658" s="5"/>
      <c r="Y658" s="5"/>
    </row>
    <row r="659" ht="15.75" customHeight="1">
      <c r="W659" s="5"/>
      <c r="Y659" s="5"/>
    </row>
    <row r="660" ht="15.75" customHeight="1">
      <c r="W660" s="5"/>
      <c r="Y660" s="5"/>
    </row>
    <row r="661" ht="15.75" customHeight="1">
      <c r="W661" s="5"/>
      <c r="Y661" s="5"/>
    </row>
    <row r="662" ht="15.75" customHeight="1">
      <c r="W662" s="5"/>
      <c r="Y662" s="5"/>
    </row>
    <row r="663" ht="15.75" customHeight="1">
      <c r="W663" s="5"/>
      <c r="Y663" s="5"/>
    </row>
    <row r="664" ht="15.75" customHeight="1">
      <c r="W664" s="5"/>
      <c r="Y664" s="5"/>
    </row>
    <row r="665" ht="15.75" customHeight="1">
      <c r="W665" s="5"/>
      <c r="Y665" s="5"/>
    </row>
    <row r="666" ht="15.75" customHeight="1">
      <c r="W666" s="5"/>
      <c r="Y666" s="5"/>
    </row>
    <row r="667" ht="15.75" customHeight="1">
      <c r="W667" s="5"/>
      <c r="Y667" s="5"/>
    </row>
    <row r="668" ht="15.75" customHeight="1">
      <c r="W668" s="5"/>
      <c r="Y668" s="5"/>
    </row>
    <row r="669" ht="15.75" customHeight="1">
      <c r="W669" s="5"/>
      <c r="Y669" s="5"/>
    </row>
    <row r="670" ht="15.75" customHeight="1">
      <c r="W670" s="5"/>
      <c r="Y670" s="5"/>
    </row>
    <row r="671" ht="15.75" customHeight="1">
      <c r="W671" s="5"/>
      <c r="Y671" s="5"/>
    </row>
    <row r="672" ht="15.75" customHeight="1">
      <c r="W672" s="5"/>
      <c r="Y672" s="5"/>
    </row>
    <row r="673" ht="15.75" customHeight="1">
      <c r="W673" s="5"/>
      <c r="Y673" s="5"/>
    </row>
    <row r="674" ht="15.75" customHeight="1">
      <c r="W674" s="5"/>
      <c r="Y674" s="5"/>
    </row>
    <row r="675" ht="15.75" customHeight="1">
      <c r="W675" s="5"/>
      <c r="Y675" s="5"/>
    </row>
    <row r="676" ht="15.75" customHeight="1">
      <c r="W676" s="5"/>
      <c r="Y676" s="5"/>
    </row>
    <row r="677" ht="15.75" customHeight="1">
      <c r="W677" s="5"/>
      <c r="Y677" s="5"/>
    </row>
    <row r="678" ht="15.75" customHeight="1">
      <c r="W678" s="5"/>
      <c r="Y678" s="5"/>
    </row>
    <row r="679" ht="15.75" customHeight="1">
      <c r="W679" s="5"/>
      <c r="Y679" s="5"/>
    </row>
    <row r="680" ht="15.75" customHeight="1">
      <c r="W680" s="5"/>
      <c r="Y680" s="5"/>
    </row>
    <row r="681" ht="15.75" customHeight="1">
      <c r="W681" s="5"/>
      <c r="Y681" s="5"/>
    </row>
    <row r="682" ht="15.75" customHeight="1">
      <c r="W682" s="5"/>
      <c r="Y682" s="5"/>
    </row>
    <row r="683" ht="15.75" customHeight="1">
      <c r="W683" s="5"/>
      <c r="Y683" s="5"/>
    </row>
    <row r="684" ht="15.75" customHeight="1">
      <c r="W684" s="5"/>
      <c r="Y684" s="5"/>
    </row>
    <row r="685" ht="15.75" customHeight="1">
      <c r="W685" s="5"/>
      <c r="Y685" s="5"/>
    </row>
    <row r="686" ht="15.75" customHeight="1">
      <c r="W686" s="5"/>
      <c r="Y686" s="5"/>
    </row>
    <row r="687" ht="15.75" customHeight="1">
      <c r="W687" s="5"/>
      <c r="Y687" s="5"/>
    </row>
    <row r="688" ht="15.75" customHeight="1">
      <c r="W688" s="5"/>
      <c r="Y688" s="5"/>
    </row>
    <row r="689" ht="15.75" customHeight="1">
      <c r="W689" s="5"/>
      <c r="Y689" s="5"/>
    </row>
    <row r="690" ht="15.75" customHeight="1">
      <c r="W690" s="5"/>
      <c r="Y690" s="5"/>
    </row>
    <row r="691" ht="15.75" customHeight="1">
      <c r="W691" s="5"/>
      <c r="Y691" s="5"/>
    </row>
    <row r="692" ht="15.75" customHeight="1">
      <c r="W692" s="5"/>
      <c r="Y692" s="5"/>
    </row>
    <row r="693" ht="15.75" customHeight="1">
      <c r="W693" s="5"/>
      <c r="Y693" s="5"/>
    </row>
    <row r="694" ht="15.75" customHeight="1">
      <c r="W694" s="5"/>
      <c r="Y694" s="5"/>
    </row>
    <row r="695" ht="15.75" customHeight="1">
      <c r="W695" s="5"/>
      <c r="Y695" s="5"/>
    </row>
    <row r="696" ht="15.75" customHeight="1">
      <c r="W696" s="5"/>
      <c r="Y696" s="5"/>
    </row>
    <row r="697" ht="15.75" customHeight="1">
      <c r="W697" s="5"/>
      <c r="Y697" s="5"/>
    </row>
    <row r="698" ht="15.75" customHeight="1">
      <c r="W698" s="5"/>
      <c r="Y698" s="5"/>
    </row>
    <row r="699" ht="15.75" customHeight="1">
      <c r="W699" s="5"/>
      <c r="Y699" s="5"/>
    </row>
    <row r="700" ht="15.75" customHeight="1">
      <c r="W700" s="5"/>
      <c r="Y700" s="5"/>
    </row>
    <row r="701" ht="15.75" customHeight="1">
      <c r="W701" s="5"/>
      <c r="Y701" s="5"/>
    </row>
    <row r="702" ht="15.75" customHeight="1">
      <c r="W702" s="5"/>
      <c r="Y702" s="5"/>
    </row>
    <row r="703" ht="15.75" customHeight="1">
      <c r="W703" s="5"/>
      <c r="Y703" s="5"/>
    </row>
    <row r="704" ht="15.75" customHeight="1">
      <c r="W704" s="5"/>
      <c r="Y704" s="5"/>
    </row>
    <row r="705" ht="15.75" customHeight="1">
      <c r="W705" s="5"/>
      <c r="Y705" s="5"/>
    </row>
    <row r="706" ht="15.75" customHeight="1">
      <c r="W706" s="5"/>
      <c r="Y706" s="5"/>
    </row>
    <row r="707" ht="15.75" customHeight="1">
      <c r="W707" s="5"/>
      <c r="Y707" s="5"/>
    </row>
    <row r="708" ht="15.75" customHeight="1">
      <c r="W708" s="5"/>
      <c r="Y708" s="5"/>
    </row>
    <row r="709" ht="15.75" customHeight="1">
      <c r="W709" s="5"/>
      <c r="Y709" s="5"/>
    </row>
    <row r="710" ht="15.75" customHeight="1">
      <c r="W710" s="5"/>
      <c r="Y710" s="5"/>
    </row>
    <row r="711" ht="15.75" customHeight="1">
      <c r="W711" s="5"/>
      <c r="Y711" s="5"/>
    </row>
    <row r="712" ht="15.75" customHeight="1">
      <c r="W712" s="5"/>
      <c r="Y712" s="5"/>
    </row>
    <row r="713" ht="15.75" customHeight="1">
      <c r="W713" s="5"/>
      <c r="Y713" s="5"/>
    </row>
    <row r="714" ht="15.75" customHeight="1">
      <c r="W714" s="5"/>
      <c r="Y714" s="5"/>
    </row>
    <row r="715" ht="15.75" customHeight="1">
      <c r="W715" s="5"/>
      <c r="Y715" s="5"/>
    </row>
    <row r="716" ht="15.75" customHeight="1">
      <c r="W716" s="5"/>
      <c r="Y716" s="5"/>
    </row>
    <row r="717" ht="15.75" customHeight="1">
      <c r="W717" s="5"/>
      <c r="Y717" s="5"/>
    </row>
    <row r="718" ht="15.75" customHeight="1">
      <c r="W718" s="5"/>
      <c r="Y718" s="5"/>
    </row>
    <row r="719" ht="15.75" customHeight="1">
      <c r="W719" s="5"/>
      <c r="Y719" s="5"/>
    </row>
    <row r="720" ht="15.75" customHeight="1">
      <c r="W720" s="5"/>
      <c r="Y720" s="5"/>
    </row>
    <row r="721" ht="15.75" customHeight="1">
      <c r="W721" s="5"/>
      <c r="Y721" s="5"/>
    </row>
    <row r="722" ht="15.75" customHeight="1">
      <c r="W722" s="5"/>
      <c r="Y722" s="5"/>
    </row>
    <row r="723" ht="15.75" customHeight="1">
      <c r="W723" s="5"/>
      <c r="Y723" s="5"/>
    </row>
    <row r="724" ht="15.75" customHeight="1">
      <c r="W724" s="5"/>
      <c r="Y724" s="5"/>
    </row>
    <row r="725" ht="15.75" customHeight="1">
      <c r="W725" s="5"/>
      <c r="Y725" s="5"/>
    </row>
    <row r="726" ht="15.75" customHeight="1">
      <c r="W726" s="5"/>
      <c r="Y726" s="5"/>
    </row>
    <row r="727" ht="15.75" customHeight="1">
      <c r="W727" s="5"/>
      <c r="Y727" s="5"/>
    </row>
    <row r="728" ht="15.75" customHeight="1">
      <c r="W728" s="5"/>
      <c r="Y728" s="5"/>
    </row>
    <row r="729" ht="15.75" customHeight="1">
      <c r="W729" s="5"/>
      <c r="Y729" s="5"/>
    </row>
    <row r="730" ht="15.75" customHeight="1">
      <c r="W730" s="5"/>
      <c r="Y730" s="5"/>
    </row>
    <row r="731" ht="15.75" customHeight="1">
      <c r="W731" s="5"/>
      <c r="Y731" s="5"/>
    </row>
    <row r="732" ht="15.75" customHeight="1">
      <c r="W732" s="5"/>
      <c r="Y732" s="5"/>
    </row>
    <row r="733" ht="15.75" customHeight="1">
      <c r="W733" s="5"/>
      <c r="Y733" s="5"/>
    </row>
    <row r="734" ht="15.75" customHeight="1">
      <c r="W734" s="5"/>
      <c r="Y734" s="5"/>
    </row>
    <row r="735" ht="15.75" customHeight="1">
      <c r="W735" s="5"/>
      <c r="Y735" s="5"/>
    </row>
    <row r="736" ht="15.75" customHeight="1">
      <c r="W736" s="5"/>
      <c r="Y736" s="5"/>
    </row>
    <row r="737" ht="15.75" customHeight="1">
      <c r="W737" s="5"/>
      <c r="Y737" s="5"/>
    </row>
    <row r="738" ht="15.75" customHeight="1">
      <c r="W738" s="5"/>
      <c r="Y738" s="5"/>
    </row>
    <row r="739" ht="15.75" customHeight="1">
      <c r="W739" s="5"/>
      <c r="Y739" s="5"/>
    </row>
    <row r="740" ht="15.75" customHeight="1">
      <c r="W740" s="5"/>
      <c r="Y740" s="5"/>
    </row>
    <row r="741" ht="15.75" customHeight="1">
      <c r="W741" s="5"/>
      <c r="Y741" s="5"/>
    </row>
    <row r="742" ht="15.75" customHeight="1">
      <c r="W742" s="5"/>
      <c r="Y742" s="5"/>
    </row>
    <row r="743" ht="15.75" customHeight="1">
      <c r="W743" s="5"/>
      <c r="Y743" s="5"/>
    </row>
    <row r="744" ht="15.75" customHeight="1">
      <c r="W744" s="5"/>
      <c r="Y744" s="5"/>
    </row>
    <row r="745" ht="15.75" customHeight="1">
      <c r="W745" s="5"/>
      <c r="Y745" s="5"/>
    </row>
    <row r="746" ht="15.75" customHeight="1">
      <c r="W746" s="5"/>
      <c r="Y746" s="5"/>
    </row>
    <row r="747" ht="15.75" customHeight="1">
      <c r="W747" s="5"/>
      <c r="Y747" s="5"/>
    </row>
    <row r="748" ht="15.75" customHeight="1">
      <c r="W748" s="5"/>
      <c r="Y748" s="5"/>
    </row>
    <row r="749" ht="15.75" customHeight="1">
      <c r="W749" s="5"/>
      <c r="Y749" s="5"/>
    </row>
    <row r="750" ht="15.75" customHeight="1">
      <c r="W750" s="5"/>
      <c r="Y750" s="5"/>
    </row>
    <row r="751" ht="15.75" customHeight="1">
      <c r="W751" s="5"/>
      <c r="Y751" s="5"/>
    </row>
    <row r="752" ht="15.75" customHeight="1">
      <c r="W752" s="5"/>
      <c r="Y752" s="5"/>
    </row>
    <row r="753" ht="15.75" customHeight="1">
      <c r="W753" s="5"/>
      <c r="Y753" s="5"/>
    </row>
    <row r="754" ht="15.75" customHeight="1">
      <c r="W754" s="5"/>
      <c r="Y754" s="5"/>
    </row>
    <row r="755" ht="15.75" customHeight="1">
      <c r="W755" s="5"/>
      <c r="Y755" s="5"/>
    </row>
    <row r="756" ht="15.75" customHeight="1">
      <c r="W756" s="5"/>
      <c r="Y756" s="5"/>
    </row>
    <row r="757" ht="15.75" customHeight="1">
      <c r="W757" s="5"/>
      <c r="Y757" s="5"/>
    </row>
    <row r="758" ht="15.75" customHeight="1">
      <c r="W758" s="5"/>
      <c r="Y758" s="5"/>
    </row>
    <row r="759" ht="15.75" customHeight="1">
      <c r="W759" s="5"/>
      <c r="Y759" s="5"/>
    </row>
    <row r="760" ht="15.75" customHeight="1">
      <c r="W760" s="5"/>
      <c r="Y760" s="5"/>
    </row>
    <row r="761" ht="15.75" customHeight="1">
      <c r="W761" s="5"/>
      <c r="Y761" s="5"/>
    </row>
    <row r="762" ht="15.75" customHeight="1">
      <c r="W762" s="5"/>
      <c r="Y762" s="5"/>
    </row>
    <row r="763" ht="15.75" customHeight="1">
      <c r="W763" s="5"/>
      <c r="Y763" s="5"/>
    </row>
    <row r="764" ht="15.75" customHeight="1">
      <c r="W764" s="5"/>
      <c r="Y764" s="5"/>
    </row>
    <row r="765" ht="15.75" customHeight="1">
      <c r="W765" s="5"/>
      <c r="Y765" s="5"/>
    </row>
    <row r="766" ht="15.75" customHeight="1">
      <c r="W766" s="5"/>
      <c r="Y766" s="5"/>
    </row>
    <row r="767" ht="15.75" customHeight="1">
      <c r="W767" s="5"/>
      <c r="Y767" s="5"/>
    </row>
    <row r="768" ht="15.75" customHeight="1">
      <c r="W768" s="5"/>
      <c r="Y768" s="5"/>
    </row>
    <row r="769" ht="15.75" customHeight="1">
      <c r="W769" s="5"/>
      <c r="Y769" s="5"/>
    </row>
    <row r="770" ht="15.75" customHeight="1">
      <c r="W770" s="5"/>
      <c r="Y770" s="5"/>
    </row>
    <row r="771" ht="15.75" customHeight="1">
      <c r="W771" s="5"/>
      <c r="Y771" s="5"/>
    </row>
    <row r="772" ht="15.75" customHeight="1">
      <c r="W772" s="5"/>
      <c r="Y772" s="5"/>
    </row>
    <row r="773" ht="15.75" customHeight="1">
      <c r="W773" s="5"/>
      <c r="Y773" s="5"/>
    </row>
    <row r="774" ht="15.75" customHeight="1">
      <c r="W774" s="5"/>
      <c r="Y774" s="5"/>
    </row>
    <row r="775" ht="15.75" customHeight="1">
      <c r="W775" s="5"/>
      <c r="Y775" s="5"/>
    </row>
    <row r="776" ht="15.75" customHeight="1">
      <c r="W776" s="5"/>
      <c r="Y776" s="5"/>
    </row>
    <row r="777" ht="15.75" customHeight="1">
      <c r="W777" s="5"/>
      <c r="Y777" s="5"/>
    </row>
    <row r="778" ht="15.75" customHeight="1">
      <c r="W778" s="5"/>
      <c r="Y778" s="5"/>
    </row>
    <row r="779" ht="15.75" customHeight="1">
      <c r="W779" s="5"/>
      <c r="Y779" s="5"/>
    </row>
    <row r="780" ht="15.75" customHeight="1">
      <c r="W780" s="5"/>
      <c r="Y780" s="5"/>
    </row>
    <row r="781" ht="15.75" customHeight="1">
      <c r="W781" s="5"/>
      <c r="Y781" s="5"/>
    </row>
    <row r="782" ht="15.75" customHeight="1">
      <c r="W782" s="5"/>
      <c r="Y782" s="5"/>
    </row>
    <row r="783" ht="15.75" customHeight="1">
      <c r="W783" s="5"/>
      <c r="Y783" s="5"/>
    </row>
    <row r="784" ht="15.75" customHeight="1">
      <c r="W784" s="5"/>
      <c r="Y784" s="5"/>
    </row>
    <row r="785" ht="15.75" customHeight="1">
      <c r="W785" s="5"/>
      <c r="Y785" s="5"/>
    </row>
    <row r="786" ht="15.75" customHeight="1">
      <c r="W786" s="5"/>
      <c r="Y786" s="5"/>
    </row>
    <row r="787" ht="15.75" customHeight="1">
      <c r="W787" s="5"/>
      <c r="Y787" s="5"/>
    </row>
    <row r="788" ht="15.75" customHeight="1">
      <c r="W788" s="5"/>
      <c r="Y788" s="5"/>
    </row>
    <row r="789" ht="15.75" customHeight="1">
      <c r="W789" s="5"/>
      <c r="Y789" s="5"/>
    </row>
    <row r="790" ht="15.75" customHeight="1">
      <c r="W790" s="5"/>
      <c r="Y790" s="5"/>
    </row>
    <row r="791" ht="15.75" customHeight="1">
      <c r="W791" s="5"/>
      <c r="Y791" s="5"/>
    </row>
    <row r="792" ht="15.75" customHeight="1">
      <c r="W792" s="5"/>
      <c r="Y792" s="5"/>
    </row>
    <row r="793" ht="15.75" customHeight="1">
      <c r="W793" s="5"/>
      <c r="Y793" s="5"/>
    </row>
    <row r="794" ht="15.75" customHeight="1">
      <c r="W794" s="5"/>
      <c r="Y794" s="5"/>
    </row>
    <row r="795" ht="15.75" customHeight="1">
      <c r="W795" s="5"/>
      <c r="Y795" s="5"/>
    </row>
    <row r="796" ht="15.75" customHeight="1">
      <c r="W796" s="5"/>
      <c r="Y796" s="5"/>
    </row>
    <row r="797" ht="15.75" customHeight="1">
      <c r="W797" s="5"/>
      <c r="Y797" s="5"/>
    </row>
    <row r="798" ht="15.75" customHeight="1">
      <c r="W798" s="5"/>
      <c r="Y798" s="5"/>
    </row>
    <row r="799" ht="15.75" customHeight="1">
      <c r="W799" s="5"/>
      <c r="Y799" s="5"/>
    </row>
    <row r="800" ht="15.75" customHeight="1">
      <c r="W800" s="5"/>
      <c r="Y800" s="5"/>
    </row>
    <row r="801" ht="15.75" customHeight="1">
      <c r="W801" s="5"/>
      <c r="Y801" s="5"/>
    </row>
    <row r="802" ht="15.75" customHeight="1">
      <c r="W802" s="5"/>
      <c r="Y802" s="5"/>
    </row>
    <row r="803" ht="15.75" customHeight="1">
      <c r="W803" s="5"/>
      <c r="Y803" s="5"/>
    </row>
    <row r="804" ht="15.75" customHeight="1">
      <c r="W804" s="5"/>
      <c r="Y804" s="5"/>
    </row>
    <row r="805" ht="15.75" customHeight="1">
      <c r="W805" s="5"/>
      <c r="Y805" s="5"/>
    </row>
    <row r="806" ht="15.75" customHeight="1">
      <c r="W806" s="5"/>
      <c r="Y806" s="5"/>
    </row>
    <row r="807" ht="15.75" customHeight="1">
      <c r="W807" s="5"/>
      <c r="Y807" s="5"/>
    </row>
    <row r="808" ht="15.75" customHeight="1">
      <c r="W808" s="5"/>
      <c r="Y808" s="5"/>
    </row>
    <row r="809" ht="15.75" customHeight="1">
      <c r="W809" s="5"/>
      <c r="Y809" s="5"/>
    </row>
    <row r="810" ht="15.75" customHeight="1">
      <c r="W810" s="5"/>
      <c r="Y810" s="5"/>
    </row>
    <row r="811" ht="15.75" customHeight="1">
      <c r="W811" s="5"/>
      <c r="Y811" s="5"/>
    </row>
    <row r="812" ht="15.75" customHeight="1">
      <c r="W812" s="5"/>
      <c r="Y812" s="5"/>
    </row>
    <row r="813" ht="15.75" customHeight="1">
      <c r="W813" s="5"/>
      <c r="Y813" s="5"/>
    </row>
    <row r="814" ht="15.75" customHeight="1">
      <c r="W814" s="5"/>
      <c r="Y814" s="5"/>
    </row>
    <row r="815" ht="15.75" customHeight="1">
      <c r="W815" s="5"/>
      <c r="Y815" s="5"/>
    </row>
    <row r="816" ht="15.75" customHeight="1">
      <c r="W816" s="5"/>
      <c r="Y816" s="5"/>
    </row>
    <row r="817" ht="15.75" customHeight="1">
      <c r="W817" s="5"/>
      <c r="Y817" s="5"/>
    </row>
    <row r="818" ht="15.75" customHeight="1">
      <c r="W818" s="5"/>
      <c r="Y818" s="5"/>
    </row>
    <row r="819" ht="15.75" customHeight="1">
      <c r="W819" s="5"/>
      <c r="Y819" s="5"/>
    </row>
    <row r="820" ht="15.75" customHeight="1">
      <c r="W820" s="5"/>
      <c r="Y820" s="5"/>
    </row>
    <row r="821" ht="15.75" customHeight="1">
      <c r="W821" s="5"/>
      <c r="Y821" s="5"/>
    </row>
    <row r="822" ht="15.75" customHeight="1">
      <c r="W822" s="5"/>
      <c r="Y822" s="5"/>
    </row>
    <row r="823" ht="15.75" customHeight="1">
      <c r="W823" s="5"/>
      <c r="Y823" s="5"/>
    </row>
    <row r="824" ht="15.75" customHeight="1">
      <c r="W824" s="5"/>
      <c r="Y824" s="5"/>
    </row>
    <row r="825" ht="15.75" customHeight="1">
      <c r="W825" s="5"/>
      <c r="Y825" s="5"/>
    </row>
    <row r="826" ht="15.75" customHeight="1">
      <c r="W826" s="5"/>
      <c r="Y826" s="5"/>
    </row>
    <row r="827" ht="15.75" customHeight="1">
      <c r="W827" s="5"/>
      <c r="Y827" s="5"/>
    </row>
    <row r="828" ht="15.75" customHeight="1">
      <c r="W828" s="5"/>
      <c r="Y828" s="5"/>
    </row>
    <row r="829" ht="15.75" customHeight="1">
      <c r="W829" s="5"/>
      <c r="Y829" s="5"/>
    </row>
    <row r="830" ht="15.75" customHeight="1">
      <c r="W830" s="5"/>
      <c r="Y830" s="5"/>
    </row>
    <row r="831" ht="15.75" customHeight="1">
      <c r="W831" s="5"/>
      <c r="Y831" s="5"/>
    </row>
    <row r="832" ht="15.75" customHeight="1">
      <c r="W832" s="5"/>
      <c r="Y832" s="5"/>
    </row>
    <row r="833" ht="15.75" customHeight="1">
      <c r="W833" s="5"/>
      <c r="Y833" s="5"/>
    </row>
    <row r="834" ht="15.75" customHeight="1">
      <c r="W834" s="5"/>
      <c r="Y834" s="5"/>
    </row>
    <row r="835" ht="15.75" customHeight="1">
      <c r="W835" s="5"/>
      <c r="Y835" s="5"/>
    </row>
    <row r="836" ht="15.75" customHeight="1">
      <c r="W836" s="5"/>
      <c r="Y836" s="5"/>
    </row>
    <row r="837" ht="15.75" customHeight="1">
      <c r="W837" s="5"/>
      <c r="Y837" s="5"/>
    </row>
    <row r="838" ht="15.75" customHeight="1">
      <c r="W838" s="5"/>
      <c r="Y838" s="5"/>
    </row>
    <row r="839" ht="15.75" customHeight="1">
      <c r="W839" s="5"/>
      <c r="Y839" s="5"/>
    </row>
    <row r="840" ht="15.75" customHeight="1">
      <c r="W840" s="5"/>
      <c r="Y840" s="5"/>
    </row>
    <row r="841" ht="15.75" customHeight="1">
      <c r="W841" s="5"/>
      <c r="Y841" s="5"/>
    </row>
    <row r="842" ht="15.75" customHeight="1">
      <c r="W842" s="5"/>
      <c r="Y842" s="5"/>
    </row>
    <row r="843" ht="15.75" customHeight="1">
      <c r="W843" s="5"/>
      <c r="Y843" s="5"/>
    </row>
    <row r="844" ht="15.75" customHeight="1">
      <c r="W844" s="5"/>
      <c r="Y844" s="5"/>
    </row>
    <row r="845" ht="15.75" customHeight="1">
      <c r="W845" s="5"/>
      <c r="Y845" s="5"/>
    </row>
    <row r="846" ht="15.75" customHeight="1">
      <c r="W846" s="5"/>
      <c r="Y846" s="5"/>
    </row>
    <row r="847" ht="15.75" customHeight="1">
      <c r="W847" s="5"/>
      <c r="Y847" s="5"/>
    </row>
    <row r="848" ht="15.75" customHeight="1">
      <c r="W848" s="5"/>
      <c r="Y848" s="5"/>
    </row>
    <row r="849" ht="15.75" customHeight="1">
      <c r="W849" s="5"/>
      <c r="Y849" s="5"/>
    </row>
    <row r="850" ht="15.75" customHeight="1">
      <c r="W850" s="5"/>
      <c r="Y850" s="5"/>
    </row>
    <row r="851" ht="15.75" customHeight="1">
      <c r="W851" s="5"/>
      <c r="Y851" s="5"/>
    </row>
    <row r="852" ht="15.75" customHeight="1">
      <c r="W852" s="5"/>
      <c r="Y852" s="5"/>
    </row>
    <row r="853" ht="15.75" customHeight="1">
      <c r="W853" s="5"/>
      <c r="Y853" s="5"/>
    </row>
    <row r="854" ht="15.75" customHeight="1">
      <c r="W854" s="5"/>
      <c r="Y854" s="5"/>
    </row>
    <row r="855" ht="15.75" customHeight="1">
      <c r="W855" s="5"/>
      <c r="Y855" s="5"/>
    </row>
    <row r="856" ht="15.75" customHeight="1">
      <c r="W856" s="5"/>
      <c r="Y856" s="5"/>
    </row>
    <row r="857" ht="15.75" customHeight="1">
      <c r="W857" s="5"/>
      <c r="Y857" s="5"/>
    </row>
    <row r="858" ht="15.75" customHeight="1">
      <c r="W858" s="5"/>
      <c r="Y858" s="5"/>
    </row>
    <row r="859" ht="15.75" customHeight="1">
      <c r="W859" s="5"/>
      <c r="Y859" s="5"/>
    </row>
    <row r="860" ht="15.75" customHeight="1">
      <c r="W860" s="5"/>
      <c r="Y860" s="5"/>
    </row>
    <row r="861" ht="15.75" customHeight="1">
      <c r="W861" s="5"/>
      <c r="Y861" s="5"/>
    </row>
    <row r="862" ht="15.75" customHeight="1">
      <c r="W862" s="5"/>
      <c r="Y862" s="5"/>
    </row>
    <row r="863" ht="15.75" customHeight="1">
      <c r="W863" s="5"/>
      <c r="Y863" s="5"/>
    </row>
    <row r="864" ht="15.75" customHeight="1">
      <c r="W864" s="5"/>
      <c r="Y864" s="5"/>
    </row>
    <row r="865" ht="15.75" customHeight="1">
      <c r="W865" s="5"/>
      <c r="Y865" s="5"/>
    </row>
    <row r="866" ht="15.75" customHeight="1">
      <c r="W866" s="5"/>
      <c r="Y866" s="5"/>
    </row>
    <row r="867" ht="15.75" customHeight="1">
      <c r="W867" s="5"/>
      <c r="Y867" s="5"/>
    </row>
    <row r="868" ht="15.75" customHeight="1">
      <c r="W868" s="5"/>
      <c r="Y868" s="5"/>
    </row>
    <row r="869" ht="15.75" customHeight="1">
      <c r="W869" s="5"/>
      <c r="Y869" s="5"/>
    </row>
    <row r="870" ht="15.75" customHeight="1">
      <c r="W870" s="5"/>
      <c r="Y870" s="5"/>
    </row>
    <row r="871" ht="15.75" customHeight="1">
      <c r="W871" s="5"/>
      <c r="Y871" s="5"/>
    </row>
    <row r="872" ht="15.75" customHeight="1">
      <c r="W872" s="5"/>
      <c r="Y872" s="5"/>
    </row>
    <row r="873" ht="15.75" customHeight="1">
      <c r="W873" s="5"/>
      <c r="Y873" s="5"/>
    </row>
    <row r="874" ht="15.75" customHeight="1">
      <c r="W874" s="5"/>
      <c r="Y874" s="5"/>
    </row>
    <row r="875" ht="15.75" customHeight="1">
      <c r="W875" s="5"/>
      <c r="Y875" s="5"/>
    </row>
    <row r="876" ht="15.75" customHeight="1">
      <c r="W876" s="5"/>
      <c r="Y876" s="5"/>
    </row>
    <row r="877" ht="15.75" customHeight="1">
      <c r="W877" s="5"/>
      <c r="Y877" s="5"/>
    </row>
    <row r="878" ht="15.75" customHeight="1">
      <c r="W878" s="5"/>
      <c r="Y878" s="5"/>
    </row>
    <row r="879" ht="15.75" customHeight="1">
      <c r="W879" s="5"/>
      <c r="Y879" s="5"/>
    </row>
    <row r="880" ht="15.75" customHeight="1">
      <c r="W880" s="5"/>
      <c r="Y880" s="5"/>
    </row>
    <row r="881" ht="15.75" customHeight="1">
      <c r="W881" s="5"/>
      <c r="Y881" s="5"/>
    </row>
    <row r="882" ht="15.75" customHeight="1">
      <c r="W882" s="5"/>
      <c r="Y882" s="5"/>
    </row>
    <row r="883" ht="15.75" customHeight="1">
      <c r="W883" s="5"/>
      <c r="Y883" s="5"/>
    </row>
    <row r="884" ht="15.75" customHeight="1">
      <c r="W884" s="5"/>
      <c r="Y884" s="5"/>
    </row>
    <row r="885" ht="15.75" customHeight="1">
      <c r="W885" s="5"/>
      <c r="Y885" s="5"/>
    </row>
    <row r="886" ht="15.75" customHeight="1">
      <c r="W886" s="5"/>
      <c r="Y886" s="5"/>
    </row>
    <row r="887" ht="15.75" customHeight="1">
      <c r="W887" s="5"/>
      <c r="Y887" s="5"/>
    </row>
    <row r="888" ht="15.75" customHeight="1">
      <c r="W888" s="5"/>
      <c r="Y888" s="5"/>
    </row>
    <row r="889" ht="15.75" customHeight="1">
      <c r="W889" s="5"/>
      <c r="Y889" s="5"/>
    </row>
    <row r="890" ht="15.75" customHeight="1">
      <c r="W890" s="5"/>
      <c r="Y890" s="5"/>
    </row>
    <row r="891" ht="15.75" customHeight="1">
      <c r="W891" s="5"/>
      <c r="Y891" s="5"/>
    </row>
    <row r="892" ht="15.75" customHeight="1">
      <c r="W892" s="5"/>
      <c r="Y892" s="5"/>
    </row>
    <row r="893" ht="15.75" customHeight="1">
      <c r="W893" s="5"/>
      <c r="Y893" s="5"/>
    </row>
    <row r="894" ht="15.75" customHeight="1">
      <c r="W894" s="5"/>
      <c r="Y894" s="5"/>
    </row>
    <row r="895" ht="15.75" customHeight="1">
      <c r="W895" s="5"/>
      <c r="Y895" s="5"/>
    </row>
    <row r="896" ht="15.75" customHeight="1">
      <c r="W896" s="5"/>
      <c r="Y896" s="5"/>
    </row>
    <row r="897" ht="15.75" customHeight="1">
      <c r="W897" s="5"/>
      <c r="Y897" s="5"/>
    </row>
    <row r="898" ht="15.75" customHeight="1">
      <c r="W898" s="5"/>
      <c r="Y898" s="5"/>
    </row>
    <row r="899" ht="15.75" customHeight="1">
      <c r="W899" s="5"/>
      <c r="Y899" s="5"/>
    </row>
    <row r="900" ht="15.75" customHeight="1">
      <c r="W900" s="5"/>
      <c r="Y900" s="5"/>
    </row>
    <row r="901" ht="15.75" customHeight="1">
      <c r="W901" s="5"/>
      <c r="Y901" s="5"/>
    </row>
    <row r="902" ht="15.75" customHeight="1">
      <c r="W902" s="5"/>
      <c r="Y902" s="5"/>
    </row>
    <row r="903" ht="15.75" customHeight="1">
      <c r="W903" s="5"/>
      <c r="Y903" s="5"/>
    </row>
    <row r="904" ht="15.75" customHeight="1">
      <c r="W904" s="5"/>
      <c r="Y904" s="5"/>
    </row>
    <row r="905" ht="15.75" customHeight="1">
      <c r="W905" s="5"/>
      <c r="Y905" s="5"/>
    </row>
    <row r="906" ht="15.75" customHeight="1">
      <c r="W906" s="5"/>
      <c r="Y906" s="5"/>
    </row>
    <row r="907" ht="15.75" customHeight="1">
      <c r="W907" s="5"/>
      <c r="Y907" s="5"/>
    </row>
    <row r="908" ht="15.75" customHeight="1">
      <c r="W908" s="5"/>
      <c r="Y908" s="5"/>
    </row>
    <row r="909" ht="15.75" customHeight="1">
      <c r="W909" s="5"/>
      <c r="Y909" s="5"/>
    </row>
    <row r="910" ht="15.75" customHeight="1">
      <c r="W910" s="5"/>
      <c r="Y910" s="5"/>
    </row>
    <row r="911" ht="15.75" customHeight="1">
      <c r="W911" s="5"/>
      <c r="Y911" s="5"/>
    </row>
    <row r="912" ht="15.75" customHeight="1">
      <c r="W912" s="5"/>
      <c r="Y912" s="5"/>
    </row>
    <row r="913" ht="15.75" customHeight="1">
      <c r="W913" s="5"/>
      <c r="Y913" s="5"/>
    </row>
    <row r="914" ht="15.75" customHeight="1">
      <c r="W914" s="5"/>
      <c r="Y914" s="5"/>
    </row>
    <row r="915" ht="15.75" customHeight="1">
      <c r="W915" s="5"/>
      <c r="Y915" s="5"/>
    </row>
    <row r="916" ht="15.75" customHeight="1">
      <c r="W916" s="5"/>
      <c r="Y916" s="5"/>
    </row>
    <row r="917" ht="15.75" customHeight="1">
      <c r="W917" s="5"/>
      <c r="Y917" s="5"/>
    </row>
    <row r="918" ht="15.75" customHeight="1">
      <c r="W918" s="5"/>
      <c r="Y918" s="5"/>
    </row>
    <row r="919" ht="15.75" customHeight="1">
      <c r="W919" s="5"/>
      <c r="Y919" s="5"/>
    </row>
    <row r="920" ht="15.75" customHeight="1">
      <c r="W920" s="5"/>
      <c r="Y920" s="5"/>
    </row>
    <row r="921" ht="15.75" customHeight="1">
      <c r="W921" s="5"/>
      <c r="Y921" s="5"/>
    </row>
    <row r="922" ht="15.75" customHeight="1">
      <c r="W922" s="5"/>
      <c r="Y922" s="5"/>
    </row>
    <row r="923" ht="15.75" customHeight="1">
      <c r="W923" s="5"/>
      <c r="Y923" s="5"/>
    </row>
    <row r="924" ht="15.75" customHeight="1">
      <c r="W924" s="5"/>
      <c r="Y924" s="5"/>
    </row>
    <row r="925" ht="15.75" customHeight="1">
      <c r="W925" s="5"/>
      <c r="Y925" s="5"/>
    </row>
    <row r="926" ht="15.75" customHeight="1">
      <c r="W926" s="5"/>
      <c r="Y926" s="5"/>
    </row>
    <row r="927" ht="15.75" customHeight="1">
      <c r="W927" s="5"/>
      <c r="Y927" s="5"/>
    </row>
    <row r="928" ht="15.75" customHeight="1">
      <c r="W928" s="5"/>
      <c r="Y928" s="5"/>
    </row>
    <row r="929" ht="15.75" customHeight="1">
      <c r="W929" s="5"/>
      <c r="Y929" s="5"/>
    </row>
    <row r="930" ht="15.75" customHeight="1">
      <c r="W930" s="5"/>
      <c r="Y930" s="5"/>
    </row>
    <row r="931" ht="15.75" customHeight="1">
      <c r="W931" s="5"/>
      <c r="Y931" s="5"/>
    </row>
    <row r="932" ht="15.75" customHeight="1">
      <c r="W932" s="5"/>
      <c r="Y932" s="5"/>
    </row>
    <row r="933" ht="15.75" customHeight="1">
      <c r="W933" s="5"/>
      <c r="Y933" s="5"/>
    </row>
    <row r="934" ht="15.75" customHeight="1">
      <c r="W934" s="5"/>
      <c r="Y934" s="5"/>
    </row>
    <row r="935" ht="15.75" customHeight="1">
      <c r="W935" s="5"/>
      <c r="Y935" s="5"/>
    </row>
    <row r="936" ht="15.75" customHeight="1">
      <c r="W936" s="5"/>
      <c r="Y936" s="5"/>
    </row>
    <row r="937" ht="15.75" customHeight="1">
      <c r="W937" s="5"/>
      <c r="Y937" s="5"/>
    </row>
    <row r="938" ht="15.75" customHeight="1">
      <c r="W938" s="5"/>
      <c r="Y938" s="5"/>
    </row>
    <row r="939" ht="15.75" customHeight="1">
      <c r="W939" s="5"/>
      <c r="Y939" s="5"/>
    </row>
    <row r="940" ht="15.75" customHeight="1">
      <c r="W940" s="5"/>
      <c r="Y940" s="5"/>
    </row>
    <row r="941" ht="15.75" customHeight="1">
      <c r="W941" s="5"/>
      <c r="Y941" s="5"/>
    </row>
    <row r="942" ht="15.75" customHeight="1">
      <c r="W942" s="5"/>
      <c r="Y942" s="5"/>
    </row>
    <row r="943" ht="15.75" customHeight="1">
      <c r="W943" s="5"/>
      <c r="Y943" s="5"/>
    </row>
    <row r="944" ht="15.75" customHeight="1">
      <c r="W944" s="5"/>
      <c r="Y944" s="5"/>
    </row>
    <row r="945" ht="15.75" customHeight="1">
      <c r="W945" s="5"/>
      <c r="Y945" s="5"/>
    </row>
    <row r="946" ht="15.75" customHeight="1">
      <c r="W946" s="5"/>
      <c r="Y946" s="5"/>
    </row>
    <row r="947" ht="15.75" customHeight="1">
      <c r="W947" s="5"/>
      <c r="Y947" s="5"/>
    </row>
    <row r="948" ht="15.75" customHeight="1">
      <c r="W948" s="5"/>
      <c r="Y948" s="5"/>
    </row>
    <row r="949" ht="15.75" customHeight="1">
      <c r="W949" s="5"/>
      <c r="Y949" s="5"/>
    </row>
    <row r="950" ht="15.75" customHeight="1">
      <c r="W950" s="5"/>
      <c r="Y950" s="5"/>
    </row>
    <row r="951" ht="15.75" customHeight="1">
      <c r="W951" s="5"/>
      <c r="Y951" s="5"/>
    </row>
    <row r="952" ht="15.75" customHeight="1">
      <c r="W952" s="5"/>
      <c r="Y952" s="5"/>
    </row>
    <row r="953" ht="15.75" customHeight="1">
      <c r="W953" s="5"/>
      <c r="Y953" s="5"/>
    </row>
    <row r="954" ht="15.75" customHeight="1">
      <c r="W954" s="5"/>
      <c r="Y954" s="5"/>
    </row>
    <row r="955" ht="15.75" customHeight="1">
      <c r="W955" s="5"/>
      <c r="Y955" s="5"/>
    </row>
    <row r="956" ht="15.75" customHeight="1">
      <c r="W956" s="5"/>
      <c r="Y956" s="5"/>
    </row>
    <row r="957" ht="15.75" customHeight="1">
      <c r="W957" s="5"/>
      <c r="Y957" s="5"/>
    </row>
    <row r="958" ht="15.75" customHeight="1">
      <c r="W958" s="5"/>
      <c r="Y958" s="5"/>
    </row>
    <row r="959" ht="15.75" customHeight="1">
      <c r="W959" s="5"/>
      <c r="Y959" s="5"/>
    </row>
    <row r="960" ht="15.75" customHeight="1">
      <c r="W960" s="5"/>
      <c r="Y960" s="5"/>
    </row>
    <row r="961" ht="15.75" customHeight="1">
      <c r="W961" s="5"/>
      <c r="Y961" s="5"/>
    </row>
    <row r="962" ht="15.75" customHeight="1">
      <c r="W962" s="5"/>
      <c r="Y962" s="5"/>
    </row>
    <row r="963" ht="15.75" customHeight="1">
      <c r="W963" s="5"/>
      <c r="Y963" s="5"/>
    </row>
    <row r="964" ht="15.75" customHeight="1">
      <c r="W964" s="5"/>
      <c r="Y964" s="5"/>
    </row>
    <row r="965" ht="15.75" customHeight="1">
      <c r="W965" s="5"/>
      <c r="Y965" s="5"/>
    </row>
    <row r="966" ht="15.75" customHeight="1">
      <c r="W966" s="5"/>
      <c r="Y966" s="5"/>
    </row>
    <row r="967" ht="15.75" customHeight="1">
      <c r="W967" s="5"/>
      <c r="Y967" s="5"/>
    </row>
    <row r="968" ht="15.75" customHeight="1">
      <c r="W968" s="5"/>
      <c r="Y968" s="5"/>
    </row>
    <row r="969" ht="15.75" customHeight="1">
      <c r="W969" s="5"/>
      <c r="Y969" s="5"/>
    </row>
    <row r="970" ht="15.75" customHeight="1">
      <c r="W970" s="5"/>
      <c r="Y970" s="5"/>
    </row>
    <row r="971" ht="15.75" customHeight="1">
      <c r="W971" s="5"/>
      <c r="Y971" s="5"/>
    </row>
  </sheetData>
  <autoFilter ref="$W$9:$Y$44">
    <sortState ref="W9:Y44">
      <sortCondition ref="X9:X44"/>
    </sortState>
  </autoFilter>
  <mergeCells count="104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N16:N18"/>
    <mergeCell ref="S17:U17"/>
    <mergeCell ref="V6:X6"/>
    <mergeCell ref="Y6:Z6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37:C37"/>
    <mergeCell ref="A38:C38"/>
    <mergeCell ref="D38:F38"/>
    <mergeCell ref="G38:I38"/>
    <mergeCell ref="J38:L38"/>
    <mergeCell ref="M38:O38"/>
    <mergeCell ref="P38:R38"/>
    <mergeCell ref="S38:U38"/>
    <mergeCell ref="M37:O37"/>
    <mergeCell ref="P37:R37"/>
    <mergeCell ref="K39:K41"/>
    <mergeCell ref="S41:U41"/>
    <mergeCell ref="A45:C45"/>
    <mergeCell ref="D45:F45"/>
    <mergeCell ref="G45:I45"/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S25:U25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J30:L30"/>
    <mergeCell ref="P30:R30"/>
    <mergeCell ref="S30:U30"/>
    <mergeCell ref="M30:O30"/>
    <mergeCell ref="N32:N34"/>
    <mergeCell ref="S33:U33"/>
    <mergeCell ref="D37:F37"/>
    <mergeCell ref="G37:I37"/>
    <mergeCell ref="J37:L37"/>
    <mergeCell ref="S37:U37"/>
    <mergeCell ref="J45:L45"/>
    <mergeCell ref="M45:O45"/>
    <mergeCell ref="A46:C46"/>
    <mergeCell ref="D46:F46"/>
    <mergeCell ref="G46:I46"/>
    <mergeCell ref="J46:L46"/>
    <mergeCell ref="M46:O46"/>
    <mergeCell ref="B54:D54"/>
    <mergeCell ref="P45:R45"/>
    <mergeCell ref="S45:U45"/>
    <mergeCell ref="P46:R46"/>
    <mergeCell ref="S46:U46"/>
  </mergeCells>
  <printOptions horizontalCentered="1" verticalCentered="1"/>
  <pageMargins bottom="0.0" footer="0.0" header="0.0" left="0.0" right="0.0" top="0.0"/>
  <pageSetup fitToHeight="0" paperSize="1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43"/>
    <col customWidth="1" min="3" max="3" width="6.57"/>
    <col customWidth="1" min="4" max="4" width="21.57"/>
    <col customWidth="1" min="5" max="5" width="11.71"/>
    <col customWidth="1" min="6" max="6" width="7.57"/>
    <col customWidth="1" min="7" max="7" width="20.71"/>
    <col customWidth="1" min="8" max="8" width="11.71"/>
    <col customWidth="1" min="9" max="9" width="7.86"/>
    <col customWidth="1" min="10" max="10" width="18.29"/>
    <col customWidth="1" min="11" max="11" width="12.43"/>
    <col customWidth="1" min="12" max="12" width="5.57"/>
    <col customWidth="1" min="13" max="13" width="18.29"/>
    <col customWidth="1" min="14" max="14" width="12.29"/>
    <col customWidth="1" min="15" max="15" width="5.57"/>
    <col customWidth="1" min="16" max="16" width="19.86"/>
    <col customWidth="1" min="17" max="17" width="11.43"/>
    <col customWidth="1" min="18" max="18" width="7.71"/>
    <col customWidth="1" min="19" max="19" width="11.29"/>
    <col customWidth="1" min="20" max="20" width="11.57"/>
    <col customWidth="1" min="21" max="21" width="9.86"/>
    <col customWidth="1" min="22" max="23" width="8.71"/>
    <col customWidth="1" min="24" max="24" width="19.71"/>
    <col customWidth="1" min="25" max="25" width="14.29"/>
    <col customWidth="1" min="26" max="26" width="8.71"/>
  </cols>
  <sheetData>
    <row r="1" ht="15.0" customHeight="1">
      <c r="A1" s="1" t="s">
        <v>69</v>
      </c>
      <c r="C1" s="2" t="s">
        <v>77</v>
      </c>
      <c r="F1" s="3"/>
      <c r="G1" s="4" t="s">
        <v>2</v>
      </c>
      <c r="Q1" s="3"/>
    </row>
    <row r="2" ht="15.0" customHeight="1">
      <c r="A2" s="1" t="s">
        <v>3</v>
      </c>
      <c r="C2" s="6" t="s">
        <v>78</v>
      </c>
      <c r="F2" s="3"/>
      <c r="Q2" s="3"/>
    </row>
    <row r="3" ht="15.0" customHeight="1">
      <c r="A3" s="1" t="s">
        <v>5</v>
      </c>
      <c r="C3" s="2" t="s">
        <v>79</v>
      </c>
      <c r="F3" s="3"/>
      <c r="Q3" s="3"/>
    </row>
    <row r="4" ht="15.0" customHeight="1">
      <c r="A4" s="1" t="s">
        <v>6</v>
      </c>
      <c r="C4" s="2" t="s">
        <v>79</v>
      </c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 ht="19.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  <c r="W6" s="102">
        <f>COUNTA(#REF!,#REF!,M13:M35,#REF!,D23:D28,#REF!,#REF!,#REF!,#REF!,P13:P14,S23:S28,M33,M15:M20,#REF!,J15:J20,G15:G20,#REF!,A23:A28,D31:D36,#REF!,J24:J28,P13:P14,#REF!,#REF!,G21:G44,J39:J44,M29:M38)</f>
        <v>82</v>
      </c>
    </row>
    <row r="7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</row>
    <row r="8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</row>
    <row r="9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9" t="s">
        <v>14</v>
      </c>
      <c r="T9" s="12"/>
      <c r="U9" s="13"/>
    </row>
    <row r="10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W10" s="104" t="s">
        <v>80</v>
      </c>
    </row>
    <row r="11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</row>
    <row r="12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</row>
    <row r="13" ht="20.25" customHeight="1">
      <c r="A13" s="105" t="s">
        <v>7</v>
      </c>
      <c r="B13" s="12"/>
      <c r="C13" s="13"/>
      <c r="D13" s="105" t="s">
        <v>8</v>
      </c>
      <c r="E13" s="12"/>
      <c r="F13" s="13"/>
      <c r="G13" s="105" t="s">
        <v>9</v>
      </c>
      <c r="H13" s="12"/>
      <c r="I13" s="13"/>
      <c r="J13" s="105" t="s">
        <v>10</v>
      </c>
      <c r="K13" s="12"/>
      <c r="L13" s="13"/>
      <c r="M13" s="105" t="s">
        <v>81</v>
      </c>
      <c r="N13" s="12"/>
      <c r="O13" s="13"/>
      <c r="P13" s="105" t="s">
        <v>82</v>
      </c>
      <c r="Q13" s="12"/>
      <c r="R13" s="13"/>
      <c r="S13" s="106" t="s">
        <v>13</v>
      </c>
      <c r="T13" s="12"/>
      <c r="U13" s="13"/>
    </row>
    <row r="14">
      <c r="A14" s="107">
        <f>S6+1</f>
        <v>46055</v>
      </c>
      <c r="B14" s="12"/>
      <c r="C14" s="13"/>
      <c r="D14" s="107">
        <f>A14+1</f>
        <v>46056</v>
      </c>
      <c r="E14" s="12"/>
      <c r="F14" s="13"/>
      <c r="G14" s="107">
        <f>D14+1</f>
        <v>46057</v>
      </c>
      <c r="H14" s="12"/>
      <c r="I14" s="13"/>
      <c r="J14" s="107">
        <f>G14+1</f>
        <v>46058</v>
      </c>
      <c r="K14" s="12"/>
      <c r="L14" s="13"/>
      <c r="M14" s="108">
        <f>J14+1</f>
        <v>46059</v>
      </c>
      <c r="N14" s="12"/>
      <c r="O14" s="13"/>
      <c r="P14" s="107">
        <f>M14+1</f>
        <v>46060</v>
      </c>
      <c r="Q14" s="12"/>
      <c r="R14" s="13"/>
      <c r="S14" s="109">
        <f>P14+1</f>
        <v>46061</v>
      </c>
      <c r="T14" s="12"/>
      <c r="U14" s="13"/>
      <c r="W14" s="58" t="s">
        <v>15</v>
      </c>
      <c r="X14" s="58" t="s">
        <v>16</v>
      </c>
      <c r="Y14" s="58" t="s">
        <v>17</v>
      </c>
    </row>
    <row r="15">
      <c r="A15" s="110" t="s">
        <v>83</v>
      </c>
      <c r="B15" s="110" t="s">
        <v>84</v>
      </c>
      <c r="C15" s="110" t="s">
        <v>25</v>
      </c>
      <c r="D15" s="111" t="s">
        <v>85</v>
      </c>
      <c r="E15" s="111" t="s">
        <v>38</v>
      </c>
      <c r="F15" s="111" t="s">
        <v>34</v>
      </c>
      <c r="G15" s="112" t="s">
        <v>86</v>
      </c>
      <c r="H15" s="112" t="s">
        <v>28</v>
      </c>
      <c r="I15" s="112" t="s">
        <v>34</v>
      </c>
      <c r="J15" s="113"/>
      <c r="K15" s="113"/>
      <c r="L15" s="113"/>
      <c r="M15" s="114"/>
      <c r="N15" s="114"/>
      <c r="O15" s="114"/>
      <c r="P15" s="113" t="s">
        <v>87</v>
      </c>
      <c r="Q15" s="113" t="s">
        <v>62</v>
      </c>
      <c r="R15" s="113" t="s">
        <v>31</v>
      </c>
      <c r="S15" s="115"/>
      <c r="T15" s="116"/>
      <c r="U15" s="116"/>
      <c r="W15" s="117">
        <v>1.0</v>
      </c>
      <c r="X15" s="118" t="s">
        <v>88</v>
      </c>
      <c r="Y15" s="117">
        <f t="shared" ref="Y15:Y46" si="1">COUNTIF($A$5:$U$52,X15)</f>
        <v>3</v>
      </c>
    </row>
    <row r="16">
      <c r="A16" s="110" t="s">
        <v>89</v>
      </c>
      <c r="B16" s="110" t="s">
        <v>90</v>
      </c>
      <c r="C16" s="110" t="s">
        <v>25</v>
      </c>
      <c r="D16" s="119"/>
      <c r="E16" s="119"/>
      <c r="F16" s="119"/>
      <c r="G16" s="120" t="s">
        <v>91</v>
      </c>
      <c r="H16" s="44" t="s">
        <v>60</v>
      </c>
      <c r="I16" s="120" t="s">
        <v>34</v>
      </c>
      <c r="J16" s="113" t="s">
        <v>92</v>
      </c>
      <c r="K16" s="113" t="s">
        <v>63</v>
      </c>
      <c r="L16" s="113" t="s">
        <v>31</v>
      </c>
      <c r="M16" s="121" t="s">
        <v>93</v>
      </c>
      <c r="N16" s="121" t="s">
        <v>94</v>
      </c>
      <c r="O16" s="121" t="s">
        <v>25</v>
      </c>
      <c r="P16" s="122" t="s">
        <v>95</v>
      </c>
      <c r="Q16" s="71" t="s">
        <v>57</v>
      </c>
      <c r="R16" s="122" t="s">
        <v>34</v>
      </c>
      <c r="S16" s="115"/>
      <c r="T16" s="116"/>
      <c r="U16" s="116"/>
      <c r="W16" s="117">
        <v>2.0</v>
      </c>
      <c r="X16" s="123" t="s">
        <v>89</v>
      </c>
      <c r="Y16" s="117">
        <f t="shared" si="1"/>
        <v>4</v>
      </c>
    </row>
    <row r="17">
      <c r="A17" s="112" t="s">
        <v>96</v>
      </c>
      <c r="B17" s="112" t="s">
        <v>33</v>
      </c>
      <c r="C17" s="112" t="s">
        <v>34</v>
      </c>
      <c r="D17" s="44" t="s">
        <v>97</v>
      </c>
      <c r="E17" s="44" t="s">
        <v>24</v>
      </c>
      <c r="F17" s="112" t="s">
        <v>34</v>
      </c>
      <c r="G17" s="42"/>
      <c r="H17" s="36"/>
      <c r="I17" s="42"/>
      <c r="J17" s="24" t="s">
        <v>98</v>
      </c>
      <c r="K17" s="113" t="s">
        <v>57</v>
      </c>
      <c r="L17" s="124" t="s">
        <v>34</v>
      </c>
      <c r="M17" s="24" t="s">
        <v>99</v>
      </c>
      <c r="N17" s="24" t="s">
        <v>63</v>
      </c>
      <c r="O17" s="24" t="s">
        <v>34</v>
      </c>
      <c r="P17" s="41" t="s">
        <v>88</v>
      </c>
      <c r="Q17" s="41"/>
      <c r="R17" s="46" t="s">
        <v>48</v>
      </c>
      <c r="S17" s="19" t="s">
        <v>14</v>
      </c>
      <c r="T17" s="12"/>
      <c r="U17" s="13"/>
      <c r="W17" s="117">
        <v>3.0</v>
      </c>
      <c r="X17" s="125" t="s">
        <v>83</v>
      </c>
      <c r="Y17" s="117">
        <f t="shared" si="1"/>
        <v>4</v>
      </c>
    </row>
    <row r="18">
      <c r="A18" s="126"/>
      <c r="B18" s="126"/>
      <c r="C18" s="126"/>
      <c r="D18" s="41" t="s">
        <v>88</v>
      </c>
      <c r="E18" s="41" t="s">
        <v>100</v>
      </c>
      <c r="F18" s="46" t="s">
        <v>48</v>
      </c>
      <c r="G18" s="44" t="s">
        <v>101</v>
      </c>
      <c r="H18" s="41" t="s">
        <v>102</v>
      </c>
      <c r="I18" s="44" t="s">
        <v>34</v>
      </c>
      <c r="J18" s="24" t="s">
        <v>103</v>
      </c>
      <c r="K18" s="44" t="s">
        <v>104</v>
      </c>
      <c r="L18" s="44" t="s">
        <v>34</v>
      </c>
      <c r="M18" s="111" t="s">
        <v>105</v>
      </c>
      <c r="N18" s="111" t="s">
        <v>106</v>
      </c>
      <c r="O18" s="111" t="s">
        <v>31</v>
      </c>
      <c r="P18" s="112"/>
      <c r="Q18" s="41"/>
      <c r="R18" s="127" t="s">
        <v>107</v>
      </c>
      <c r="S18" s="115"/>
      <c r="T18" s="116"/>
      <c r="U18" s="116"/>
      <c r="W18" s="117">
        <v>4.0</v>
      </c>
      <c r="X18" s="123" t="s">
        <v>108</v>
      </c>
      <c r="Y18" s="117">
        <f t="shared" si="1"/>
        <v>2</v>
      </c>
    </row>
    <row r="19">
      <c r="A19" s="128"/>
      <c r="B19" s="128"/>
      <c r="C19" s="128"/>
      <c r="D19" s="129" t="s">
        <v>109</v>
      </c>
      <c r="E19" s="129" t="s">
        <v>110</v>
      </c>
      <c r="F19" s="129" t="s">
        <v>25</v>
      </c>
      <c r="G19" s="111" t="s">
        <v>111</v>
      </c>
      <c r="H19" s="111" t="s">
        <v>112</v>
      </c>
      <c r="I19" s="111" t="s">
        <v>31</v>
      </c>
      <c r="J19" s="130"/>
      <c r="K19" s="130"/>
      <c r="L19" s="130"/>
      <c r="M19" s="114"/>
      <c r="N19" s="114"/>
      <c r="O19" s="114"/>
      <c r="P19" s="128"/>
      <c r="Q19" s="81"/>
      <c r="R19" s="131"/>
      <c r="S19" s="115"/>
      <c r="T19" s="116"/>
      <c r="U19" s="116"/>
      <c r="W19" s="117">
        <v>5.0</v>
      </c>
      <c r="X19" s="132" t="s">
        <v>113</v>
      </c>
      <c r="Y19" s="117">
        <f t="shared" si="1"/>
        <v>2</v>
      </c>
      <c r="Z19" s="102" t="s">
        <v>114</v>
      </c>
    </row>
    <row r="20">
      <c r="A20" s="115"/>
      <c r="B20" s="116"/>
      <c r="C20" s="116"/>
      <c r="D20" s="115"/>
      <c r="E20" s="116"/>
      <c r="F20" s="116"/>
      <c r="G20" s="115"/>
      <c r="H20" s="116"/>
      <c r="I20" s="116"/>
      <c r="J20" s="115"/>
      <c r="K20" s="116"/>
      <c r="L20" s="116"/>
      <c r="M20" s="133"/>
      <c r="N20" s="133"/>
      <c r="O20" s="133"/>
      <c r="P20" s="114"/>
      <c r="Q20" s="114"/>
      <c r="R20" s="134"/>
      <c r="S20" s="115"/>
      <c r="T20" s="116"/>
      <c r="U20" s="116"/>
      <c r="W20" s="117">
        <v>7.0</v>
      </c>
      <c r="X20" s="135" t="s">
        <v>101</v>
      </c>
      <c r="Y20" s="117">
        <f t="shared" si="1"/>
        <v>2</v>
      </c>
    </row>
    <row r="21" ht="21.75" customHeight="1">
      <c r="A21" s="136" t="s">
        <v>115</v>
      </c>
      <c r="B21" s="12"/>
      <c r="C21" s="13"/>
      <c r="D21" s="136" t="s">
        <v>8</v>
      </c>
      <c r="E21" s="12"/>
      <c r="F21" s="13"/>
      <c r="G21" s="136" t="s">
        <v>116</v>
      </c>
      <c r="H21" s="12"/>
      <c r="I21" s="13"/>
      <c r="J21" s="136" t="s">
        <v>10</v>
      </c>
      <c r="K21" s="12"/>
      <c r="L21" s="13"/>
      <c r="M21" s="136" t="s">
        <v>11</v>
      </c>
      <c r="N21" s="12"/>
      <c r="O21" s="13"/>
      <c r="P21" s="136" t="s">
        <v>82</v>
      </c>
      <c r="Q21" s="12"/>
      <c r="R21" s="13"/>
      <c r="S21" s="137" t="s">
        <v>117</v>
      </c>
      <c r="T21" s="12"/>
      <c r="U21" s="13"/>
      <c r="W21" s="117">
        <v>21.0</v>
      </c>
      <c r="X21" s="135" t="s">
        <v>95</v>
      </c>
      <c r="Y21" s="117">
        <f t="shared" si="1"/>
        <v>4</v>
      </c>
    </row>
    <row r="22" ht="15.75" customHeight="1">
      <c r="A22" s="138">
        <f>S14+1</f>
        <v>46062</v>
      </c>
      <c r="B22" s="12"/>
      <c r="C22" s="13"/>
      <c r="D22" s="138">
        <f>A22+1</f>
        <v>46063</v>
      </c>
      <c r="E22" s="12"/>
      <c r="F22" s="13"/>
      <c r="G22" s="138">
        <f>D22+1</f>
        <v>46064</v>
      </c>
      <c r="H22" s="12"/>
      <c r="I22" s="13"/>
      <c r="J22" s="138">
        <f>G22+1</f>
        <v>46065</v>
      </c>
      <c r="K22" s="12"/>
      <c r="L22" s="13"/>
      <c r="M22" s="138">
        <f>J22+1</f>
        <v>46066</v>
      </c>
      <c r="N22" s="12"/>
      <c r="O22" s="13"/>
      <c r="P22" s="138">
        <f>M22+1</f>
        <v>46067</v>
      </c>
      <c r="Q22" s="12"/>
      <c r="R22" s="13"/>
      <c r="S22" s="139">
        <f>P22+1</f>
        <v>46068</v>
      </c>
      <c r="T22" s="12"/>
      <c r="U22" s="13"/>
      <c r="W22" s="117">
        <v>8.0</v>
      </c>
      <c r="X22" s="135" t="s">
        <v>91</v>
      </c>
      <c r="Y22" s="117">
        <f t="shared" si="1"/>
        <v>2</v>
      </c>
    </row>
    <row r="23" ht="15.75" customHeight="1">
      <c r="A23" s="41" t="s">
        <v>83</v>
      </c>
      <c r="B23" s="41" t="s">
        <v>84</v>
      </c>
      <c r="C23" s="41" t="s">
        <v>25</v>
      </c>
      <c r="D23" s="140"/>
      <c r="E23" s="140"/>
      <c r="F23" s="114"/>
      <c r="G23" s="141"/>
      <c r="H23" s="141"/>
      <c r="I23" s="141"/>
      <c r="J23" s="141"/>
      <c r="K23" s="141"/>
      <c r="L23" s="141"/>
      <c r="M23" s="131"/>
      <c r="N23" s="131"/>
      <c r="O23" s="133"/>
      <c r="P23" s="122" t="s">
        <v>95</v>
      </c>
      <c r="Q23" s="71" t="s">
        <v>57</v>
      </c>
      <c r="R23" s="122" t="s">
        <v>34</v>
      </c>
      <c r="S23" s="131"/>
      <c r="T23" s="131"/>
      <c r="U23" s="131"/>
      <c r="W23" s="117">
        <v>9.0</v>
      </c>
      <c r="X23" s="135" t="s">
        <v>86</v>
      </c>
      <c r="Y23" s="117">
        <f t="shared" si="1"/>
        <v>2</v>
      </c>
    </row>
    <row r="24" ht="15.75" customHeight="1">
      <c r="A24" s="41" t="s">
        <v>89</v>
      </c>
      <c r="B24" s="41" t="s">
        <v>90</v>
      </c>
      <c r="C24" s="41" t="s">
        <v>25</v>
      </c>
      <c r="D24" s="41" t="s">
        <v>113</v>
      </c>
      <c r="E24" s="112" t="s">
        <v>118</v>
      </c>
      <c r="F24" s="112" t="s">
        <v>34</v>
      </c>
      <c r="G24" s="142" t="s">
        <v>119</v>
      </c>
      <c r="H24" s="122" t="s">
        <v>24</v>
      </c>
      <c r="I24" s="122" t="s">
        <v>34</v>
      </c>
      <c r="J24" s="112" t="s">
        <v>120</v>
      </c>
      <c r="K24" s="112" t="s">
        <v>121</v>
      </c>
      <c r="L24" s="41" t="s">
        <v>34</v>
      </c>
      <c r="M24" s="131"/>
      <c r="N24" s="131"/>
      <c r="O24" s="133"/>
      <c r="P24" s="112" t="s">
        <v>122</v>
      </c>
      <c r="Q24" s="41"/>
      <c r="R24" s="41" t="s">
        <v>31</v>
      </c>
      <c r="S24" s="133"/>
      <c r="T24" s="133"/>
      <c r="U24" s="133"/>
      <c r="W24" s="117">
        <v>10.0</v>
      </c>
      <c r="X24" s="123" t="s">
        <v>123</v>
      </c>
      <c r="Y24" s="117">
        <f t="shared" si="1"/>
        <v>2</v>
      </c>
    </row>
    <row r="25">
      <c r="A25" s="119"/>
      <c r="B25" s="119"/>
      <c r="C25" s="119"/>
      <c r="D25" s="119"/>
      <c r="E25" s="119"/>
      <c r="F25" s="119"/>
      <c r="G25" s="36"/>
      <c r="H25" s="36"/>
      <c r="I25" s="36"/>
      <c r="J25" s="112" t="s">
        <v>124</v>
      </c>
      <c r="K25" s="112" t="s">
        <v>70</v>
      </c>
      <c r="L25" s="112" t="s">
        <v>25</v>
      </c>
      <c r="M25" s="71" t="s">
        <v>99</v>
      </c>
      <c r="N25" s="71" t="s">
        <v>63</v>
      </c>
      <c r="O25" s="71" t="s">
        <v>34</v>
      </c>
      <c r="P25" s="112"/>
      <c r="Q25" s="41"/>
      <c r="R25" s="143" t="s">
        <v>48</v>
      </c>
      <c r="S25" s="144" t="s">
        <v>14</v>
      </c>
      <c r="T25" s="12"/>
      <c r="U25" s="13"/>
      <c r="W25" s="117">
        <v>31.0</v>
      </c>
      <c r="X25" s="129" t="s">
        <v>105</v>
      </c>
      <c r="Y25" s="117">
        <f t="shared" si="1"/>
        <v>2</v>
      </c>
    </row>
    <row r="26">
      <c r="A26" s="41" t="s">
        <v>125</v>
      </c>
      <c r="B26" s="41" t="s">
        <v>110</v>
      </c>
      <c r="C26" s="41" t="s">
        <v>25</v>
      </c>
      <c r="D26" s="110" t="s">
        <v>126</v>
      </c>
      <c r="E26" s="110" t="s">
        <v>68</v>
      </c>
      <c r="F26" s="110" t="s">
        <v>31</v>
      </c>
      <c r="G26" s="112" t="s">
        <v>127</v>
      </c>
      <c r="H26" s="112" t="s">
        <v>128</v>
      </c>
      <c r="I26" s="112" t="s">
        <v>25</v>
      </c>
      <c r="J26" s="110" t="s">
        <v>123</v>
      </c>
      <c r="K26" s="110" t="s">
        <v>129</v>
      </c>
      <c r="L26" s="110" t="s">
        <v>25</v>
      </c>
      <c r="M26" s="112"/>
      <c r="N26" s="112"/>
      <c r="O26" s="112"/>
      <c r="P26" s="121" t="s">
        <v>93</v>
      </c>
      <c r="Q26" s="145" t="s">
        <v>51</v>
      </c>
      <c r="R26" s="121" t="s">
        <v>31</v>
      </c>
      <c r="S26" s="131"/>
      <c r="T26" s="131"/>
      <c r="U26" s="131"/>
      <c r="W26" s="117">
        <v>28.0</v>
      </c>
      <c r="X26" s="41" t="s">
        <v>99</v>
      </c>
      <c r="Y26" s="117">
        <f t="shared" si="1"/>
        <v>4</v>
      </c>
    </row>
    <row r="27" ht="15.75" customHeight="1">
      <c r="A27" s="119"/>
      <c r="B27" s="119"/>
      <c r="C27" s="119"/>
      <c r="D27" s="134"/>
      <c r="E27" s="134"/>
      <c r="F27" s="134"/>
      <c r="G27" s="110" t="s">
        <v>108</v>
      </c>
      <c r="H27" s="110" t="s">
        <v>130</v>
      </c>
      <c r="I27" s="110" t="s">
        <v>31</v>
      </c>
      <c r="J27" s="140"/>
      <c r="K27" s="114"/>
      <c r="L27" s="140"/>
      <c r="M27" s="146" t="s">
        <v>131</v>
      </c>
      <c r="N27" s="146" t="s">
        <v>110</v>
      </c>
      <c r="O27" s="146" t="s">
        <v>25</v>
      </c>
      <c r="P27" s="147"/>
      <c r="Q27" s="148"/>
      <c r="R27" s="46" t="s">
        <v>48</v>
      </c>
      <c r="S27" s="131"/>
      <c r="T27" s="131"/>
      <c r="U27" s="131"/>
      <c r="W27" s="149">
        <v>6.0</v>
      </c>
      <c r="X27" s="150" t="s">
        <v>87</v>
      </c>
      <c r="Y27" s="149">
        <f t="shared" si="1"/>
        <v>3</v>
      </c>
    </row>
    <row r="28" ht="15.75" customHeight="1">
      <c r="A28" s="131"/>
      <c r="B28" s="131"/>
      <c r="C28" s="131"/>
      <c r="D28" s="131"/>
      <c r="E28" s="131"/>
      <c r="F28" s="131"/>
      <c r="G28" s="134"/>
      <c r="H28" s="134"/>
      <c r="I28" s="151"/>
      <c r="J28" s="130"/>
      <c r="K28" s="130"/>
      <c r="L28" s="130"/>
      <c r="M28" s="147"/>
      <c r="N28" s="148"/>
      <c r="O28" s="152"/>
      <c r="P28" s="153"/>
      <c r="Q28" s="154"/>
      <c r="R28" s="114"/>
      <c r="S28" s="133"/>
      <c r="T28" s="133"/>
      <c r="U28" s="133"/>
      <c r="W28" s="117">
        <v>11.0</v>
      </c>
      <c r="X28" s="135" t="s">
        <v>103</v>
      </c>
      <c r="Y28" s="117">
        <f t="shared" si="1"/>
        <v>2</v>
      </c>
    </row>
    <row r="29" ht="20.25" customHeight="1">
      <c r="A29" s="105" t="s">
        <v>115</v>
      </c>
      <c r="B29" s="12"/>
      <c r="C29" s="13"/>
      <c r="D29" s="155" t="s">
        <v>8</v>
      </c>
      <c r="E29" s="12"/>
      <c r="F29" s="13"/>
      <c r="G29" s="105" t="s">
        <v>116</v>
      </c>
      <c r="H29" s="12"/>
      <c r="I29" s="13"/>
      <c r="J29" s="156" t="s">
        <v>10</v>
      </c>
      <c r="K29" s="12"/>
      <c r="L29" s="13"/>
      <c r="M29" s="105" t="s">
        <v>11</v>
      </c>
      <c r="N29" s="12"/>
      <c r="O29" s="13"/>
      <c r="P29" s="105" t="s">
        <v>82</v>
      </c>
      <c r="Q29" s="12"/>
      <c r="R29" s="13"/>
      <c r="S29" s="106" t="s">
        <v>117</v>
      </c>
      <c r="T29" s="12"/>
      <c r="U29" s="13"/>
      <c r="W29" s="117">
        <v>12.0</v>
      </c>
      <c r="X29" s="118" t="s">
        <v>126</v>
      </c>
      <c r="Y29" s="117">
        <f t="shared" si="1"/>
        <v>2</v>
      </c>
    </row>
    <row r="30" ht="15.75" customHeight="1">
      <c r="A30" s="108">
        <f>S22+1</f>
        <v>46069</v>
      </c>
      <c r="B30" s="12"/>
      <c r="C30" s="13"/>
      <c r="D30" s="109">
        <f>A30+1</f>
        <v>46070</v>
      </c>
      <c r="E30" s="12"/>
      <c r="F30" s="13"/>
      <c r="G30" s="107">
        <f>D30+1</f>
        <v>46071</v>
      </c>
      <c r="H30" s="12"/>
      <c r="I30" s="13"/>
      <c r="J30" s="107">
        <f>G30+1</f>
        <v>46072</v>
      </c>
      <c r="K30" s="12"/>
      <c r="L30" s="13"/>
      <c r="M30" s="107">
        <f>J30+1</f>
        <v>46073</v>
      </c>
      <c r="N30" s="12"/>
      <c r="O30" s="13"/>
      <c r="P30" s="108">
        <f>M30+1</f>
        <v>46074</v>
      </c>
      <c r="Q30" s="12"/>
      <c r="R30" s="13"/>
      <c r="S30" s="109">
        <f>P30+1</f>
        <v>46075</v>
      </c>
      <c r="T30" s="12"/>
      <c r="U30" s="13"/>
      <c r="W30" s="117">
        <v>13.0</v>
      </c>
      <c r="X30" s="129" t="s">
        <v>92</v>
      </c>
      <c r="Y30" s="117">
        <f t="shared" si="1"/>
        <v>2</v>
      </c>
    </row>
    <row r="31" ht="15.75" customHeight="1">
      <c r="A31" s="41" t="s">
        <v>83</v>
      </c>
      <c r="B31" s="41" t="s">
        <v>84</v>
      </c>
      <c r="C31" s="41" t="s">
        <v>25</v>
      </c>
      <c r="D31" s="112" t="s">
        <v>85</v>
      </c>
      <c r="E31" s="112" t="s">
        <v>38</v>
      </c>
      <c r="F31" s="112" t="s">
        <v>34</v>
      </c>
      <c r="G31" s="112" t="s">
        <v>86</v>
      </c>
      <c r="H31" s="112" t="s">
        <v>28</v>
      </c>
      <c r="I31" s="112" t="s">
        <v>34</v>
      </c>
      <c r="J31" s="157" t="s">
        <v>87</v>
      </c>
      <c r="K31" s="157" t="s">
        <v>62</v>
      </c>
      <c r="L31" s="157" t="s">
        <v>31</v>
      </c>
      <c r="M31" s="158" t="s">
        <v>87</v>
      </c>
      <c r="N31" s="158" t="s">
        <v>62</v>
      </c>
      <c r="O31" s="158" t="s">
        <v>31</v>
      </c>
      <c r="P31" s="114"/>
      <c r="Q31" s="114"/>
      <c r="R31" s="114"/>
      <c r="S31" s="115"/>
      <c r="T31" s="116"/>
      <c r="U31" s="116"/>
      <c r="W31" s="117">
        <v>14.0</v>
      </c>
      <c r="X31" s="159" t="s">
        <v>122</v>
      </c>
      <c r="Y31" s="117">
        <f t="shared" si="1"/>
        <v>2</v>
      </c>
    </row>
    <row r="32" ht="15.75" customHeight="1">
      <c r="A32" s="41" t="s">
        <v>89</v>
      </c>
      <c r="B32" s="41" t="s">
        <v>90</v>
      </c>
      <c r="C32" s="41" t="s">
        <v>25</v>
      </c>
      <c r="D32" s="119"/>
      <c r="E32" s="119"/>
      <c r="F32" s="119"/>
      <c r="G32" s="112" t="s">
        <v>91</v>
      </c>
      <c r="H32" s="24" t="s">
        <v>60</v>
      </c>
      <c r="I32" s="112" t="s">
        <v>34</v>
      </c>
      <c r="J32" s="113" t="s">
        <v>92</v>
      </c>
      <c r="K32" s="113" t="s">
        <v>63</v>
      </c>
      <c r="L32" s="160" t="s">
        <v>25</v>
      </c>
      <c r="M32" s="121" t="s">
        <v>93</v>
      </c>
      <c r="N32" s="121" t="s">
        <v>94</v>
      </c>
      <c r="O32" s="121" t="s">
        <v>25</v>
      </c>
      <c r="P32" s="60"/>
      <c r="Q32" s="60"/>
      <c r="R32" s="60"/>
      <c r="S32" s="115"/>
      <c r="T32" s="116"/>
      <c r="U32" s="116"/>
      <c r="W32" s="117">
        <v>15.0</v>
      </c>
      <c r="X32" s="135" t="s">
        <v>93</v>
      </c>
      <c r="Y32" s="117">
        <f t="shared" si="1"/>
        <v>4</v>
      </c>
    </row>
    <row r="33" ht="15.75" customHeight="1">
      <c r="A33" s="112" t="s">
        <v>96</v>
      </c>
      <c r="B33" s="112" t="s">
        <v>33</v>
      </c>
      <c r="C33" s="112" t="s">
        <v>34</v>
      </c>
      <c r="D33" s="24" t="s">
        <v>97</v>
      </c>
      <c r="E33" s="24"/>
      <c r="F33" s="112" t="s">
        <v>34</v>
      </c>
      <c r="G33" s="36"/>
      <c r="H33" s="36"/>
      <c r="I33" s="36"/>
      <c r="J33" s="62" t="s">
        <v>97</v>
      </c>
      <c r="K33" s="62" t="s">
        <v>24</v>
      </c>
      <c r="L33" s="161" t="s">
        <v>34</v>
      </c>
      <c r="M33" s="71" t="s">
        <v>99</v>
      </c>
      <c r="N33" s="71" t="s">
        <v>63</v>
      </c>
      <c r="O33" s="71" t="s">
        <v>34</v>
      </c>
      <c r="P33" s="44" t="s">
        <v>95</v>
      </c>
      <c r="Q33" s="44" t="s">
        <v>63</v>
      </c>
      <c r="R33" s="44" t="s">
        <v>34</v>
      </c>
      <c r="S33" s="19" t="s">
        <v>14</v>
      </c>
      <c r="T33" s="12"/>
      <c r="U33" s="13"/>
      <c r="W33" s="117">
        <v>16.0</v>
      </c>
      <c r="X33" s="129" t="s">
        <v>120</v>
      </c>
      <c r="Y33" s="117">
        <f t="shared" si="1"/>
        <v>3</v>
      </c>
    </row>
    <row r="34" ht="15.75" customHeight="1">
      <c r="A34" s="130"/>
      <c r="B34" s="130"/>
      <c r="C34" s="130"/>
      <c r="D34" s="129" t="s">
        <v>109</v>
      </c>
      <c r="E34" s="129" t="s">
        <v>110</v>
      </c>
      <c r="F34" s="129" t="s">
        <v>25</v>
      </c>
      <c r="G34" s="24" t="s">
        <v>101</v>
      </c>
      <c r="H34" s="41" t="s">
        <v>102</v>
      </c>
      <c r="I34" s="24" t="s">
        <v>34</v>
      </c>
      <c r="J34" s="41" t="s">
        <v>103</v>
      </c>
      <c r="K34" s="41" t="s">
        <v>24</v>
      </c>
      <c r="L34" s="41" t="s">
        <v>34</v>
      </c>
      <c r="M34" s="112" t="s">
        <v>105</v>
      </c>
      <c r="N34" s="112" t="s">
        <v>106</v>
      </c>
      <c r="O34" s="112" t="s">
        <v>31</v>
      </c>
      <c r="P34" s="41" t="s">
        <v>88</v>
      </c>
      <c r="Q34" s="41" t="s">
        <v>60</v>
      </c>
      <c r="R34" s="112" t="s">
        <v>34</v>
      </c>
      <c r="S34" s="115"/>
      <c r="T34" s="116"/>
      <c r="U34" s="116"/>
      <c r="W34" s="117">
        <v>17.0</v>
      </c>
      <c r="X34" s="129" t="s">
        <v>96</v>
      </c>
      <c r="Y34" s="117">
        <f t="shared" si="1"/>
        <v>2</v>
      </c>
    </row>
    <row r="35" ht="15.75" customHeight="1">
      <c r="A35" s="130"/>
      <c r="B35" s="130"/>
      <c r="C35" s="130"/>
      <c r="D35" s="130"/>
      <c r="E35" s="130"/>
      <c r="F35" s="130"/>
      <c r="G35" s="112" t="s">
        <v>111</v>
      </c>
      <c r="H35" s="112" t="s">
        <v>112</v>
      </c>
      <c r="I35" s="112" t="s">
        <v>31</v>
      </c>
      <c r="J35" s="41" t="s">
        <v>98</v>
      </c>
      <c r="K35" s="41" t="s">
        <v>132</v>
      </c>
      <c r="L35" s="112" t="s">
        <v>25</v>
      </c>
      <c r="M35" s="112"/>
      <c r="N35" s="112"/>
      <c r="O35" s="112"/>
      <c r="P35" s="161" t="s">
        <v>122</v>
      </c>
      <c r="Q35" s="162" t="s">
        <v>133</v>
      </c>
      <c r="R35" s="162" t="s">
        <v>31</v>
      </c>
      <c r="S35" s="115"/>
      <c r="T35" s="116"/>
      <c r="U35" s="116"/>
      <c r="W35" s="117">
        <v>27.0</v>
      </c>
      <c r="X35" s="129" t="s">
        <v>134</v>
      </c>
      <c r="Y35" s="117">
        <f t="shared" si="1"/>
        <v>0</v>
      </c>
    </row>
    <row r="36" ht="15.75" customHeight="1">
      <c r="A36" s="130"/>
      <c r="B36" s="130"/>
      <c r="C36" s="130"/>
      <c r="D36" s="130"/>
      <c r="E36" s="130"/>
      <c r="F36" s="130"/>
      <c r="G36" s="133"/>
      <c r="H36" s="133"/>
      <c r="I36" s="81"/>
      <c r="J36" s="130"/>
      <c r="K36" s="130"/>
      <c r="L36" s="130"/>
      <c r="M36" s="115"/>
      <c r="N36" s="116"/>
      <c r="O36" s="116"/>
      <c r="P36" s="153"/>
      <c r="Q36" s="154"/>
      <c r="R36" s="114"/>
      <c r="S36" s="115"/>
      <c r="T36" s="116"/>
      <c r="U36" s="116"/>
      <c r="W36" s="117">
        <v>26.0</v>
      </c>
      <c r="X36" s="135" t="s">
        <v>135</v>
      </c>
      <c r="Y36" s="163">
        <f t="shared" si="1"/>
        <v>0</v>
      </c>
    </row>
    <row r="37" ht="21.0" customHeight="1">
      <c r="A37" s="136" t="s">
        <v>115</v>
      </c>
      <c r="B37" s="12"/>
      <c r="C37" s="13"/>
      <c r="D37" s="136" t="s">
        <v>8</v>
      </c>
      <c r="E37" s="12"/>
      <c r="F37" s="13"/>
      <c r="G37" s="136" t="s">
        <v>116</v>
      </c>
      <c r="H37" s="12"/>
      <c r="I37" s="13"/>
      <c r="J37" s="136" t="s">
        <v>10</v>
      </c>
      <c r="K37" s="12"/>
      <c r="L37" s="13"/>
      <c r="M37" s="136" t="s">
        <v>136</v>
      </c>
      <c r="N37" s="12"/>
      <c r="O37" s="13"/>
      <c r="P37" s="136" t="s">
        <v>12</v>
      </c>
      <c r="Q37" s="12"/>
      <c r="R37" s="13"/>
      <c r="S37" s="137" t="s">
        <v>117</v>
      </c>
      <c r="T37" s="12"/>
      <c r="U37" s="13"/>
      <c r="W37" s="117">
        <v>19.0</v>
      </c>
      <c r="X37" s="123" t="s">
        <v>98</v>
      </c>
      <c r="Y37" s="117">
        <f t="shared" si="1"/>
        <v>2</v>
      </c>
    </row>
    <row r="38" ht="15.75" customHeight="1">
      <c r="A38" s="138">
        <f>S30+1</f>
        <v>46076</v>
      </c>
      <c r="B38" s="12"/>
      <c r="C38" s="13"/>
      <c r="D38" s="138">
        <f>A38+1</f>
        <v>46077</v>
      </c>
      <c r="E38" s="12"/>
      <c r="F38" s="13"/>
      <c r="G38" s="138">
        <f>D38+1</f>
        <v>46078</v>
      </c>
      <c r="H38" s="12"/>
      <c r="I38" s="13"/>
      <c r="J38" s="138">
        <f>G38+1</f>
        <v>46079</v>
      </c>
      <c r="K38" s="12"/>
      <c r="L38" s="13"/>
      <c r="M38" s="138">
        <f>J38+1</f>
        <v>46080</v>
      </c>
      <c r="N38" s="12"/>
      <c r="O38" s="13"/>
      <c r="P38" s="138">
        <f>M38+1</f>
        <v>46081</v>
      </c>
      <c r="Q38" s="12"/>
      <c r="R38" s="13"/>
      <c r="S38" s="139">
        <f>P38+1</f>
        <v>46082</v>
      </c>
      <c r="T38" s="12"/>
      <c r="U38" s="13"/>
      <c r="W38" s="117">
        <v>20.0</v>
      </c>
      <c r="X38" s="135" t="s">
        <v>127</v>
      </c>
      <c r="Y38" s="117">
        <f t="shared" si="1"/>
        <v>2</v>
      </c>
    </row>
    <row r="39" ht="15.75" customHeight="1">
      <c r="A39" s="41" t="s">
        <v>83</v>
      </c>
      <c r="B39" s="41" t="s">
        <v>84</v>
      </c>
      <c r="C39" s="41" t="s">
        <v>25</v>
      </c>
      <c r="D39" s="130"/>
      <c r="E39" s="130"/>
      <c r="F39" s="130"/>
      <c r="G39" s="130"/>
      <c r="H39" s="130"/>
      <c r="I39" s="130"/>
      <c r="J39" s="130"/>
      <c r="K39" s="130"/>
      <c r="L39" s="130"/>
      <c r="M39" s="71" t="s">
        <v>99</v>
      </c>
      <c r="N39" s="71" t="s">
        <v>63</v>
      </c>
      <c r="O39" s="71" t="s">
        <v>34</v>
      </c>
      <c r="P39" s="44"/>
      <c r="Q39" s="44"/>
      <c r="R39" s="44"/>
      <c r="S39" s="164"/>
      <c r="T39" s="164"/>
      <c r="U39" s="164"/>
      <c r="W39" s="117">
        <v>22.0</v>
      </c>
      <c r="X39" s="135" t="s">
        <v>97</v>
      </c>
      <c r="Y39" s="117">
        <f t="shared" si="1"/>
        <v>3</v>
      </c>
    </row>
    <row r="40" ht="15.75" customHeight="1">
      <c r="A40" s="41" t="s">
        <v>89</v>
      </c>
      <c r="B40" s="41" t="s">
        <v>90</v>
      </c>
      <c r="C40" s="41" t="s">
        <v>25</v>
      </c>
      <c r="D40" s="41" t="s">
        <v>113</v>
      </c>
      <c r="E40" s="112" t="s">
        <v>118</v>
      </c>
      <c r="F40" s="112" t="s">
        <v>34</v>
      </c>
      <c r="G40" s="142" t="s">
        <v>119</v>
      </c>
      <c r="H40" s="122"/>
      <c r="I40" s="122" t="s">
        <v>34</v>
      </c>
      <c r="J40" s="158" t="s">
        <v>119</v>
      </c>
      <c r="K40" s="162" t="s">
        <v>24</v>
      </c>
      <c r="L40" s="162" t="s">
        <v>34</v>
      </c>
      <c r="M40" s="112"/>
      <c r="N40" s="112"/>
      <c r="O40" s="112"/>
      <c r="P40" s="121" t="s">
        <v>93</v>
      </c>
      <c r="Q40" s="145" t="s">
        <v>51</v>
      </c>
      <c r="R40" s="121" t="s">
        <v>31</v>
      </c>
      <c r="S40" s="164"/>
      <c r="T40" s="164"/>
      <c r="U40" s="164"/>
      <c r="W40" s="117">
        <v>23.0</v>
      </c>
      <c r="X40" s="129" t="s">
        <v>111</v>
      </c>
      <c r="Y40" s="117">
        <f t="shared" si="1"/>
        <v>2</v>
      </c>
    </row>
    <row r="41" ht="15.75" customHeight="1">
      <c r="A41" s="119"/>
      <c r="B41" s="119"/>
      <c r="C41" s="119"/>
      <c r="D41" s="119"/>
      <c r="E41" s="119"/>
      <c r="F41" s="119"/>
      <c r="G41" s="48"/>
      <c r="H41" s="48"/>
      <c r="I41" s="48"/>
      <c r="J41" s="112" t="s">
        <v>120</v>
      </c>
      <c r="K41" s="112"/>
      <c r="L41" s="41" t="s">
        <v>34</v>
      </c>
      <c r="M41" s="130"/>
      <c r="N41" s="130"/>
      <c r="O41" s="130"/>
      <c r="P41" s="147"/>
      <c r="Q41" s="148"/>
      <c r="R41" s="46" t="s">
        <v>48</v>
      </c>
      <c r="S41" s="19" t="s">
        <v>14</v>
      </c>
      <c r="T41" s="12"/>
      <c r="U41" s="13"/>
      <c r="W41" s="117">
        <v>24.0</v>
      </c>
      <c r="X41" s="135" t="s">
        <v>125</v>
      </c>
      <c r="Y41" s="117">
        <f t="shared" si="1"/>
        <v>2</v>
      </c>
    </row>
    <row r="42" ht="15.75" customHeight="1">
      <c r="A42" s="41" t="s">
        <v>125</v>
      </c>
      <c r="B42" s="41" t="s">
        <v>110</v>
      </c>
      <c r="C42" s="41" t="s">
        <v>25</v>
      </c>
      <c r="D42" s="110" t="s">
        <v>126</v>
      </c>
      <c r="E42" s="110" t="s">
        <v>68</v>
      </c>
      <c r="F42" s="110" t="s">
        <v>31</v>
      </c>
      <c r="G42" s="111" t="s">
        <v>127</v>
      </c>
      <c r="H42" s="111" t="s">
        <v>128</v>
      </c>
      <c r="I42" s="111" t="s">
        <v>25</v>
      </c>
      <c r="J42" s="112" t="s">
        <v>124</v>
      </c>
      <c r="K42" s="112" t="s">
        <v>70</v>
      </c>
      <c r="L42" s="112" t="s">
        <v>25</v>
      </c>
      <c r="M42" s="146" t="s">
        <v>131</v>
      </c>
      <c r="N42" s="146" t="s">
        <v>110</v>
      </c>
      <c r="O42" s="146" t="s">
        <v>25</v>
      </c>
      <c r="P42" s="161" t="s">
        <v>120</v>
      </c>
      <c r="Q42" s="161" t="s">
        <v>121</v>
      </c>
      <c r="R42" s="162" t="s">
        <v>34</v>
      </c>
      <c r="S42" s="128"/>
      <c r="T42" s="128"/>
      <c r="U42" s="128"/>
      <c r="W42" s="117">
        <v>29.0</v>
      </c>
      <c r="X42" s="165" t="s">
        <v>109</v>
      </c>
      <c r="Y42" s="117">
        <f t="shared" si="1"/>
        <v>2</v>
      </c>
    </row>
    <row r="43" ht="15.75" customHeight="1">
      <c r="A43" s="119"/>
      <c r="B43" s="119"/>
      <c r="C43" s="119"/>
      <c r="D43" s="130"/>
      <c r="E43" s="130"/>
      <c r="F43" s="130"/>
      <c r="G43" s="122" t="s">
        <v>108</v>
      </c>
      <c r="H43" s="122" t="s">
        <v>130</v>
      </c>
      <c r="I43" s="122" t="s">
        <v>31</v>
      </c>
      <c r="J43" s="110" t="s">
        <v>123</v>
      </c>
      <c r="K43" s="110" t="s">
        <v>129</v>
      </c>
      <c r="L43" s="110" t="s">
        <v>25</v>
      </c>
      <c r="M43" s="147"/>
      <c r="N43" s="147"/>
      <c r="O43" s="147"/>
      <c r="P43" s="44" t="s">
        <v>95</v>
      </c>
      <c r="Q43" s="44" t="s">
        <v>57</v>
      </c>
      <c r="R43" s="44" t="s">
        <v>34</v>
      </c>
      <c r="S43" s="134"/>
      <c r="T43" s="134"/>
      <c r="U43" s="134"/>
      <c r="W43" s="117">
        <v>25.0</v>
      </c>
      <c r="X43" s="132" t="s">
        <v>137</v>
      </c>
      <c r="Y43" s="117">
        <f t="shared" si="1"/>
        <v>0</v>
      </c>
    </row>
    <row r="44" ht="15.7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47"/>
      <c r="N44" s="147"/>
      <c r="O44" s="147"/>
      <c r="P44" s="147"/>
      <c r="Q44" s="147"/>
      <c r="R44" s="147"/>
      <c r="S44" s="130"/>
      <c r="T44" s="130"/>
      <c r="U44" s="130"/>
      <c r="W44" s="117">
        <v>18.0</v>
      </c>
      <c r="X44" s="135" t="s">
        <v>124</v>
      </c>
      <c r="Y44" s="117">
        <f t="shared" si="1"/>
        <v>2</v>
      </c>
    </row>
    <row r="45" ht="15.75" customHeight="1">
      <c r="A45" s="105"/>
      <c r="B45" s="12"/>
      <c r="C45" s="13"/>
      <c r="D45" s="105"/>
      <c r="E45" s="12"/>
      <c r="F45" s="13"/>
      <c r="G45" s="105"/>
      <c r="H45" s="12"/>
      <c r="I45" s="13"/>
      <c r="J45" s="105"/>
      <c r="K45" s="12"/>
      <c r="L45" s="13"/>
      <c r="M45" s="105"/>
      <c r="N45" s="12"/>
      <c r="O45" s="13"/>
      <c r="P45" s="105"/>
      <c r="Q45" s="12"/>
      <c r="R45" s="13"/>
      <c r="S45" s="106"/>
      <c r="T45" s="12"/>
      <c r="U45" s="13"/>
      <c r="W45" s="117">
        <v>30.0</v>
      </c>
      <c r="X45" s="135" t="s">
        <v>85</v>
      </c>
      <c r="Y45" s="117">
        <f t="shared" si="1"/>
        <v>2</v>
      </c>
    </row>
    <row r="46" ht="15.75" customHeight="1">
      <c r="A46" s="108"/>
      <c r="B46" s="12"/>
      <c r="C46" s="13"/>
      <c r="D46" s="107"/>
      <c r="E46" s="12"/>
      <c r="F46" s="13"/>
      <c r="G46" s="107"/>
      <c r="H46" s="12"/>
      <c r="I46" s="13"/>
      <c r="J46" s="107"/>
      <c r="K46" s="12"/>
      <c r="L46" s="13"/>
      <c r="M46" s="107"/>
      <c r="N46" s="12"/>
      <c r="O46" s="13"/>
      <c r="P46" s="107"/>
      <c r="Q46" s="12"/>
      <c r="R46" s="13"/>
      <c r="S46" s="107"/>
      <c r="T46" s="12"/>
      <c r="U46" s="13"/>
      <c r="W46" s="117">
        <v>32.0</v>
      </c>
      <c r="X46" s="166" t="s">
        <v>131</v>
      </c>
      <c r="Y46" s="117">
        <f t="shared" si="1"/>
        <v>2</v>
      </c>
    </row>
    <row r="47" ht="15.75" customHeight="1">
      <c r="A47" s="131"/>
      <c r="B47" s="131"/>
      <c r="C47" s="131"/>
      <c r="D47" s="131"/>
      <c r="E47" s="131"/>
      <c r="F47" s="133"/>
      <c r="G47" s="131"/>
      <c r="H47" s="131"/>
      <c r="I47" s="131"/>
      <c r="J47" s="114"/>
      <c r="K47" s="114"/>
      <c r="L47" s="114"/>
      <c r="M47" s="131"/>
      <c r="N47" s="131"/>
      <c r="O47" s="131"/>
      <c r="P47" s="131"/>
      <c r="Q47" s="131"/>
      <c r="R47" s="131"/>
      <c r="S47" s="167"/>
      <c r="T47" s="167"/>
      <c r="U47" s="167"/>
      <c r="W47" s="117">
        <v>33.0</v>
      </c>
      <c r="X47" s="129"/>
      <c r="Y47" s="117"/>
    </row>
    <row r="48" ht="15.75" customHeight="1">
      <c r="A48" s="133"/>
      <c r="B48" s="133"/>
      <c r="C48" s="133"/>
      <c r="D48" s="60"/>
      <c r="E48" s="60"/>
      <c r="F48" s="60"/>
      <c r="G48" s="133"/>
      <c r="H48" s="133"/>
      <c r="I48" s="131"/>
      <c r="J48" s="60"/>
      <c r="K48" s="60"/>
      <c r="L48" s="60"/>
      <c r="M48" s="131"/>
      <c r="N48" s="131"/>
      <c r="O48" s="131"/>
      <c r="P48" s="133"/>
      <c r="Q48" s="133"/>
      <c r="R48" s="131"/>
      <c r="S48" s="168"/>
      <c r="T48" s="168"/>
      <c r="U48" s="168"/>
      <c r="X48" s="74"/>
    </row>
    <row r="49" ht="15.75" customHeight="1">
      <c r="A49" s="133"/>
      <c r="B49" s="133"/>
      <c r="C49" s="133"/>
      <c r="D49" s="169"/>
      <c r="E49" s="169"/>
      <c r="F49" s="169"/>
      <c r="G49" s="134"/>
      <c r="H49" s="134"/>
      <c r="I49" s="151"/>
      <c r="J49" s="128"/>
      <c r="K49" s="128"/>
      <c r="L49" s="128"/>
      <c r="M49" s="60"/>
      <c r="N49" s="60"/>
      <c r="O49" s="60"/>
      <c r="P49" s="133"/>
      <c r="Q49" s="133"/>
      <c r="R49" s="81"/>
      <c r="S49" s="115"/>
      <c r="T49" s="115"/>
      <c r="U49" s="115"/>
      <c r="Y49" s="5">
        <f>SUM(Y15:Y48)</f>
        <v>72</v>
      </c>
    </row>
    <row r="50" ht="15.75" customHeight="1">
      <c r="A50" s="131"/>
      <c r="B50" s="131"/>
      <c r="C50" s="131"/>
      <c r="D50" s="60"/>
      <c r="E50" s="60"/>
      <c r="F50" s="60"/>
      <c r="G50" s="131"/>
      <c r="H50" s="131"/>
      <c r="I50" s="131"/>
      <c r="J50" s="131"/>
      <c r="K50" s="131"/>
      <c r="L50" s="131"/>
      <c r="M50" s="152"/>
      <c r="N50" s="152"/>
      <c r="O50" s="152"/>
      <c r="P50" s="133"/>
      <c r="Q50" s="133"/>
      <c r="R50" s="81"/>
      <c r="S50" s="168"/>
      <c r="T50" s="168"/>
      <c r="U50" s="168"/>
    </row>
    <row r="51" ht="15.75" customHeight="1">
      <c r="A51" s="131"/>
      <c r="B51" s="131"/>
      <c r="C51" s="131"/>
      <c r="D51" s="126"/>
      <c r="E51" s="126"/>
      <c r="F51" s="126"/>
      <c r="G51" s="134"/>
      <c r="H51" s="134"/>
      <c r="I51" s="151"/>
      <c r="J51" s="134"/>
      <c r="K51" s="134"/>
      <c r="L51" s="134"/>
      <c r="M51" s="131"/>
      <c r="N51" s="131"/>
      <c r="O51" s="131"/>
      <c r="P51" s="133"/>
      <c r="Q51" s="133"/>
      <c r="R51" s="81"/>
      <c r="S51" s="115"/>
      <c r="T51" s="115"/>
      <c r="U51" s="115"/>
    </row>
    <row r="52" ht="15.75" customHeight="1">
      <c r="A52" s="133"/>
      <c r="B52" s="133"/>
      <c r="C52" s="133"/>
      <c r="D52" s="130"/>
      <c r="E52" s="130"/>
      <c r="F52" s="132"/>
      <c r="G52" s="134"/>
      <c r="H52" s="134"/>
      <c r="I52" s="151"/>
      <c r="J52" s="134"/>
      <c r="K52" s="134"/>
      <c r="L52" s="134"/>
      <c r="M52" s="131"/>
      <c r="N52" s="131"/>
      <c r="O52" s="131"/>
      <c r="P52" s="128"/>
      <c r="Q52" s="133"/>
      <c r="R52" s="131"/>
      <c r="S52" s="168"/>
      <c r="T52" s="168"/>
      <c r="U52" s="168"/>
    </row>
    <row r="53" ht="15.75" customHeight="1"/>
    <row r="54" ht="15.75" customHeight="1"/>
    <row r="55" ht="15.75" customHeight="1">
      <c r="A55" s="82" t="s">
        <v>72</v>
      </c>
      <c r="B55" s="83"/>
    </row>
    <row r="56" ht="15.75" customHeight="1">
      <c r="A56" s="84"/>
      <c r="B56" s="85" t="s">
        <v>73</v>
      </c>
      <c r="C56" s="86"/>
      <c r="D56" s="87"/>
    </row>
    <row r="57" ht="15.75" customHeight="1">
      <c r="A57" s="91"/>
      <c r="B57" s="85" t="s">
        <v>74</v>
      </c>
      <c r="C57" s="86"/>
    </row>
    <row r="58" ht="15.75" customHeight="1">
      <c r="A58" s="94"/>
      <c r="B58" s="85" t="s">
        <v>75</v>
      </c>
      <c r="C58" s="86"/>
    </row>
    <row r="59" ht="15.75" customHeight="1">
      <c r="A59" s="95"/>
      <c r="B59" s="85" t="s">
        <v>76</v>
      </c>
      <c r="C59" s="86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4:$Y$45">
    <sortState ref="W14:Y45">
      <sortCondition ref="X14:X45"/>
    </sortState>
  </autoFilter>
  <mergeCells count="99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S25:U25"/>
    <mergeCell ref="S33:U33"/>
    <mergeCell ref="S41:U41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 horizontalCentered="1" verticalCentered="1"/>
  <pageMargins bottom="0.0" footer="0.0" header="0.0" left="0.0" right="0.0" top="0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8.14"/>
    <col customWidth="1" min="4" max="4" width="19.86"/>
    <col customWidth="1" min="5" max="5" width="11.57"/>
    <col customWidth="1" min="6" max="6" width="6.14"/>
    <col customWidth="1" min="7" max="7" width="19.29"/>
    <col customWidth="1" min="8" max="8" width="11.57"/>
    <col customWidth="1" min="9" max="9" width="7.43"/>
    <col customWidth="1" min="10" max="10" width="18.86"/>
    <col customWidth="1" min="11" max="11" width="11.57"/>
    <col customWidth="1" min="12" max="12" width="7.57"/>
    <col customWidth="1" min="13" max="13" width="16.71"/>
    <col customWidth="1" min="14" max="14" width="11.43"/>
    <col customWidth="1" min="15" max="15" width="7.71"/>
    <col customWidth="1" min="16" max="16" width="10.0"/>
    <col customWidth="1" min="17" max="17" width="8.14"/>
    <col customWidth="1" min="18" max="18" width="7.43"/>
    <col customWidth="1" min="19" max="19" width="19.0"/>
    <col customWidth="1" min="20" max="20" width="11.57"/>
    <col customWidth="1" min="21" max="21" width="8.43"/>
    <col customWidth="1" min="22" max="22" width="8.71"/>
    <col customWidth="1" min="23" max="23" width="4.0"/>
    <col customWidth="1" min="24" max="24" width="18.86"/>
    <col customWidth="1" min="25" max="25" width="12.29"/>
    <col customWidth="1" min="26" max="26" width="8.71"/>
  </cols>
  <sheetData>
    <row r="1" ht="22.5" customHeight="1">
      <c r="A1" s="1" t="s">
        <v>138</v>
      </c>
      <c r="C1" s="170" t="s">
        <v>139</v>
      </c>
      <c r="F1" s="3"/>
      <c r="G1" s="4" t="s">
        <v>2</v>
      </c>
      <c r="Q1" s="3"/>
    </row>
    <row r="2">
      <c r="A2" s="1" t="s">
        <v>3</v>
      </c>
      <c r="C2" s="6" t="s">
        <v>140</v>
      </c>
      <c r="F2" s="3"/>
      <c r="Q2" s="3"/>
    </row>
    <row r="3">
      <c r="A3" s="1" t="s">
        <v>5</v>
      </c>
      <c r="C3" s="171" t="s">
        <v>79</v>
      </c>
      <c r="F3" s="3"/>
      <c r="Q3" s="3"/>
    </row>
    <row r="4">
      <c r="A4" s="1" t="s">
        <v>6</v>
      </c>
      <c r="C4" s="171" t="s">
        <v>79</v>
      </c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 ht="21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4" t="s">
        <v>12</v>
      </c>
      <c r="Q5" s="12"/>
      <c r="R5" s="13"/>
      <c r="S5" s="172" t="s">
        <v>13</v>
      </c>
      <c r="T5" s="12"/>
      <c r="U5" s="13"/>
      <c r="W5" s="173" t="s">
        <v>15</v>
      </c>
      <c r="X5" s="174" t="s">
        <v>141</v>
      </c>
      <c r="Y5" s="175" t="s">
        <v>17</v>
      </c>
    </row>
    <row r="6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6"/>
      <c r="N6" s="12"/>
      <c r="O6" s="13"/>
      <c r="P6" s="176"/>
      <c r="Q6" s="12"/>
      <c r="R6" s="13"/>
      <c r="S6" s="177">
        <v>46054.0</v>
      </c>
      <c r="T6" s="12"/>
      <c r="U6" s="13"/>
      <c r="W6" s="178">
        <v>1.0</v>
      </c>
      <c r="X6" s="179" t="s">
        <v>142</v>
      </c>
      <c r="Y6" s="180">
        <f t="shared" ref="Y6:Y12" si="1">COUNTIF($A$5:$U$51,X6)</f>
        <v>1</v>
      </c>
    </row>
    <row r="7">
      <c r="A7" s="36"/>
      <c r="B7" s="36"/>
      <c r="C7" s="36"/>
      <c r="D7" s="112"/>
      <c r="E7" s="112"/>
      <c r="F7" s="112"/>
      <c r="G7" s="119"/>
      <c r="H7" s="119"/>
      <c r="I7" s="119"/>
      <c r="J7" s="119"/>
      <c r="K7" s="119"/>
      <c r="L7" s="119"/>
      <c r="M7" s="119"/>
      <c r="N7" s="119"/>
      <c r="O7" s="36"/>
      <c r="P7" s="181"/>
      <c r="Q7" s="116"/>
      <c r="R7" s="116"/>
      <c r="S7" s="179"/>
      <c r="T7" s="119"/>
      <c r="U7" s="119"/>
      <c r="W7" s="178">
        <v>2.0</v>
      </c>
      <c r="X7" s="24" t="s">
        <v>143</v>
      </c>
      <c r="Y7" s="180">
        <f t="shared" si="1"/>
        <v>0</v>
      </c>
    </row>
    <row r="8">
      <c r="A8" s="36"/>
      <c r="B8" s="36"/>
      <c r="C8" s="36"/>
      <c r="D8" s="119"/>
      <c r="E8" s="119"/>
      <c r="F8" s="36"/>
      <c r="G8" s="112"/>
      <c r="H8" s="112"/>
      <c r="I8" s="112"/>
      <c r="J8" s="119"/>
      <c r="K8" s="119"/>
      <c r="L8" s="119"/>
      <c r="M8" s="119"/>
      <c r="N8" s="119"/>
      <c r="O8" s="36"/>
      <c r="P8" s="181"/>
      <c r="Q8" s="116"/>
      <c r="R8" s="116"/>
      <c r="S8" s="182" t="s">
        <v>144</v>
      </c>
      <c r="T8" s="182" t="s">
        <v>145</v>
      </c>
      <c r="U8" s="182" t="s">
        <v>25</v>
      </c>
      <c r="W8" s="178">
        <v>3.0</v>
      </c>
      <c r="X8" s="179" t="s">
        <v>146</v>
      </c>
      <c r="Y8" s="180">
        <f t="shared" si="1"/>
        <v>2</v>
      </c>
    </row>
    <row r="9">
      <c r="A9" s="112"/>
      <c r="B9" s="112"/>
      <c r="C9" s="112"/>
      <c r="D9" s="24"/>
      <c r="E9" s="24"/>
      <c r="F9" s="24"/>
      <c r="G9" s="36"/>
      <c r="H9" s="36"/>
      <c r="I9" s="112"/>
      <c r="J9" s="112"/>
      <c r="K9" s="112"/>
      <c r="L9" s="112"/>
      <c r="M9" s="112"/>
      <c r="N9" s="112"/>
      <c r="O9" s="112"/>
      <c r="P9" s="19" t="s">
        <v>14</v>
      </c>
      <c r="Q9" s="12"/>
      <c r="R9" s="13"/>
      <c r="S9" s="183"/>
      <c r="T9" s="183"/>
      <c r="U9" s="183"/>
      <c r="W9" s="178">
        <v>4.0</v>
      </c>
      <c r="X9" s="179" t="s">
        <v>147</v>
      </c>
      <c r="Y9" s="180">
        <f t="shared" si="1"/>
        <v>2</v>
      </c>
    </row>
    <row r="10">
      <c r="A10" s="24"/>
      <c r="B10" s="24"/>
      <c r="C10" s="24"/>
      <c r="D10" s="24"/>
      <c r="E10" s="24"/>
      <c r="F10" s="24"/>
      <c r="G10" s="24"/>
      <c r="H10" s="24"/>
      <c r="I10" s="113"/>
      <c r="J10" s="119"/>
      <c r="K10" s="119"/>
      <c r="L10" s="112"/>
      <c r="M10" s="119"/>
      <c r="N10" s="119"/>
      <c r="O10" s="119"/>
      <c r="P10" s="181"/>
      <c r="Q10" s="116"/>
      <c r="R10" s="116"/>
      <c r="S10" s="161" t="s">
        <v>148</v>
      </c>
      <c r="T10" s="161" t="s">
        <v>149</v>
      </c>
      <c r="U10" s="161" t="s">
        <v>25</v>
      </c>
      <c r="W10" s="178">
        <v>5.0</v>
      </c>
      <c r="X10" s="179" t="s">
        <v>148</v>
      </c>
      <c r="Y10" s="180">
        <f t="shared" si="1"/>
        <v>16</v>
      </c>
    </row>
    <row r="11">
      <c r="A11" s="24"/>
      <c r="B11" s="24"/>
      <c r="C11" s="24"/>
      <c r="D11" s="131"/>
      <c r="E11" s="131"/>
      <c r="F11" s="131"/>
      <c r="G11" s="36"/>
      <c r="H11" s="36"/>
      <c r="I11" s="36"/>
      <c r="J11" s="119"/>
      <c r="K11" s="119"/>
      <c r="L11" s="119"/>
      <c r="M11" s="112"/>
      <c r="N11" s="112"/>
      <c r="O11" s="112"/>
      <c r="P11" s="181"/>
      <c r="Q11" s="116"/>
      <c r="R11" s="116"/>
      <c r="S11" s="183"/>
      <c r="T11" s="183"/>
      <c r="U11" s="43" t="s">
        <v>40</v>
      </c>
      <c r="W11" s="178">
        <v>6.0</v>
      </c>
      <c r="X11" s="179" t="s">
        <v>144</v>
      </c>
      <c r="Y11" s="180">
        <f t="shared" si="1"/>
        <v>16</v>
      </c>
    </row>
    <row r="12">
      <c r="A12" s="119"/>
      <c r="B12" s="119"/>
      <c r="C12" s="119"/>
      <c r="D12" s="131"/>
      <c r="E12" s="131"/>
      <c r="F12" s="131"/>
      <c r="G12" s="36"/>
      <c r="H12" s="36"/>
      <c r="I12" s="36"/>
      <c r="J12" s="24"/>
      <c r="K12" s="24"/>
      <c r="L12" s="24"/>
      <c r="M12" s="119"/>
      <c r="N12" s="119"/>
      <c r="O12" s="184"/>
      <c r="P12" s="181"/>
      <c r="Q12" s="116"/>
      <c r="R12" s="116"/>
      <c r="S12" s="131"/>
      <c r="T12" s="131"/>
      <c r="U12" s="185"/>
      <c r="W12" s="178">
        <v>7.0</v>
      </c>
      <c r="X12" s="179" t="s">
        <v>150</v>
      </c>
      <c r="Y12" s="180">
        <f t="shared" si="1"/>
        <v>2</v>
      </c>
    </row>
    <row r="13" ht="21.75" customHeight="1">
      <c r="A13" s="105" t="s">
        <v>7</v>
      </c>
      <c r="B13" s="12"/>
      <c r="C13" s="13"/>
      <c r="D13" s="105" t="s">
        <v>8</v>
      </c>
      <c r="E13" s="12"/>
      <c r="F13" s="13"/>
      <c r="G13" s="105" t="s">
        <v>9</v>
      </c>
      <c r="H13" s="12"/>
      <c r="I13" s="13"/>
      <c r="J13" s="105" t="s">
        <v>10</v>
      </c>
      <c r="K13" s="12"/>
      <c r="L13" s="13"/>
      <c r="M13" s="105" t="s">
        <v>81</v>
      </c>
      <c r="N13" s="12"/>
      <c r="O13" s="13"/>
      <c r="P13" s="155" t="s">
        <v>82</v>
      </c>
      <c r="Q13" s="12"/>
      <c r="R13" s="13"/>
      <c r="S13" s="186" t="s">
        <v>13</v>
      </c>
      <c r="T13" s="12"/>
      <c r="U13" s="13"/>
      <c r="W13" s="178">
        <v>8.0</v>
      </c>
      <c r="X13" s="187"/>
      <c r="Y13" s="180"/>
    </row>
    <row r="14">
      <c r="A14" s="107">
        <f>S6+1</f>
        <v>46055</v>
      </c>
      <c r="B14" s="12"/>
      <c r="C14" s="13"/>
      <c r="D14" s="107">
        <f>A14+1</f>
        <v>46056</v>
      </c>
      <c r="E14" s="12"/>
      <c r="F14" s="13"/>
      <c r="G14" s="107">
        <f>D14+1</f>
        <v>46057</v>
      </c>
      <c r="H14" s="12"/>
      <c r="I14" s="13"/>
      <c r="J14" s="107">
        <f>G14+1</f>
        <v>46058</v>
      </c>
      <c r="K14" s="12"/>
      <c r="L14" s="13"/>
      <c r="M14" s="108">
        <f>J14+1</f>
        <v>46059</v>
      </c>
      <c r="N14" s="12"/>
      <c r="O14" s="13"/>
      <c r="P14" s="109">
        <f>M14+1</f>
        <v>46060</v>
      </c>
      <c r="Q14" s="12"/>
      <c r="R14" s="13"/>
      <c r="S14" s="107">
        <f>P14+1</f>
        <v>46061</v>
      </c>
      <c r="T14" s="12"/>
      <c r="U14" s="13"/>
      <c r="W14" s="178">
        <v>9.0</v>
      </c>
      <c r="X14" s="179" t="s">
        <v>151</v>
      </c>
      <c r="Y14" s="180">
        <f t="shared" ref="Y14:Y34" si="2">COUNTIF($A$5:$U$51,X14)</f>
        <v>2</v>
      </c>
    </row>
    <row r="15">
      <c r="A15" s="36"/>
      <c r="B15" s="36"/>
      <c r="C15" s="36"/>
      <c r="D15" s="182" t="s">
        <v>144</v>
      </c>
      <c r="E15" s="182" t="s">
        <v>152</v>
      </c>
      <c r="F15" s="182" t="s">
        <v>25</v>
      </c>
      <c r="G15" s="183"/>
      <c r="H15" s="183"/>
      <c r="I15" s="183"/>
      <c r="J15" s="183"/>
      <c r="K15" s="183"/>
      <c r="L15" s="183"/>
      <c r="M15" s="183"/>
      <c r="N15" s="183"/>
      <c r="O15" s="42"/>
      <c r="P15" s="115"/>
      <c r="Q15" s="116"/>
      <c r="R15" s="116"/>
      <c r="S15" s="179" t="s">
        <v>142</v>
      </c>
      <c r="T15" s="183" t="s">
        <v>38</v>
      </c>
      <c r="U15" s="183" t="s">
        <v>25</v>
      </c>
      <c r="W15" s="178">
        <v>10.0</v>
      </c>
      <c r="X15" s="179" t="s">
        <v>153</v>
      </c>
      <c r="Y15" s="180">
        <f t="shared" si="2"/>
        <v>2</v>
      </c>
    </row>
    <row r="16">
      <c r="A16" s="187" t="s">
        <v>154</v>
      </c>
      <c r="B16" s="187" t="s">
        <v>28</v>
      </c>
      <c r="C16" s="188" t="s">
        <v>34</v>
      </c>
      <c r="D16" s="183"/>
      <c r="E16" s="183"/>
      <c r="F16" s="42"/>
      <c r="G16" s="161" t="s">
        <v>148</v>
      </c>
      <c r="H16" s="161" t="s">
        <v>152</v>
      </c>
      <c r="I16" s="161" t="s">
        <v>25</v>
      </c>
      <c r="J16" s="183"/>
      <c r="K16" s="183"/>
      <c r="L16" s="183"/>
      <c r="M16" s="183"/>
      <c r="N16" s="183"/>
      <c r="O16" s="42"/>
      <c r="P16" s="115"/>
      <c r="Q16" s="116"/>
      <c r="R16" s="116"/>
      <c r="S16" s="182" t="s">
        <v>144</v>
      </c>
      <c r="T16" s="182" t="s">
        <v>145</v>
      </c>
      <c r="U16" s="182" t="s">
        <v>25</v>
      </c>
      <c r="W16" s="178">
        <v>11.0</v>
      </c>
      <c r="X16" s="179" t="s">
        <v>155</v>
      </c>
      <c r="Y16" s="180">
        <f t="shared" si="2"/>
        <v>0</v>
      </c>
    </row>
    <row r="17">
      <c r="A17" s="161" t="s">
        <v>148</v>
      </c>
      <c r="B17" s="189" t="s">
        <v>156</v>
      </c>
      <c r="C17" s="161" t="s">
        <v>25</v>
      </c>
      <c r="D17" s="24" t="s">
        <v>153</v>
      </c>
      <c r="E17" s="24" t="s">
        <v>30</v>
      </c>
      <c r="F17" s="24" t="s">
        <v>31</v>
      </c>
      <c r="G17" s="48"/>
      <c r="H17" s="48"/>
      <c r="I17" s="24"/>
      <c r="J17" s="182" t="s">
        <v>144</v>
      </c>
      <c r="K17" s="182" t="s">
        <v>152</v>
      </c>
      <c r="L17" s="182" t="s">
        <v>25</v>
      </c>
      <c r="M17" s="161" t="s">
        <v>148</v>
      </c>
      <c r="N17" s="161" t="s">
        <v>152</v>
      </c>
      <c r="O17" s="161" t="s">
        <v>25</v>
      </c>
      <c r="P17" s="19" t="s">
        <v>14</v>
      </c>
      <c r="Q17" s="12"/>
      <c r="R17" s="13"/>
      <c r="S17" s="183"/>
      <c r="T17" s="183"/>
      <c r="U17" s="42"/>
      <c r="W17" s="178">
        <v>12.0</v>
      </c>
      <c r="X17" s="179" t="s">
        <v>157</v>
      </c>
      <c r="Y17" s="180">
        <f t="shared" si="2"/>
        <v>0</v>
      </c>
    </row>
    <row r="18">
      <c r="A18" s="44"/>
      <c r="B18" s="44"/>
      <c r="C18" s="184"/>
      <c r="D18" s="24" t="s">
        <v>158</v>
      </c>
      <c r="E18" s="24" t="s">
        <v>110</v>
      </c>
      <c r="F18" s="24" t="s">
        <v>31</v>
      </c>
      <c r="J18" s="183"/>
      <c r="K18" s="183"/>
      <c r="M18" s="183"/>
      <c r="N18" s="183"/>
      <c r="O18" s="183"/>
      <c r="P18" s="115"/>
      <c r="Q18" s="116"/>
      <c r="R18" s="116"/>
      <c r="S18" s="161" t="s">
        <v>148</v>
      </c>
      <c r="T18" s="161" t="s">
        <v>149</v>
      </c>
      <c r="U18" s="121" t="s">
        <v>48</v>
      </c>
      <c r="W18" s="178">
        <v>13.0</v>
      </c>
      <c r="X18" s="179" t="s">
        <v>159</v>
      </c>
      <c r="Y18" s="180">
        <f t="shared" si="2"/>
        <v>4</v>
      </c>
    </row>
    <row r="19" ht="15.0" customHeight="1">
      <c r="A19" s="183"/>
      <c r="B19" s="183"/>
      <c r="C19" s="183"/>
      <c r="D19" s="190" t="s">
        <v>69</v>
      </c>
      <c r="E19" s="114"/>
      <c r="F19" s="114"/>
      <c r="G19" s="71" t="s">
        <v>159</v>
      </c>
      <c r="H19" s="71" t="s">
        <v>160</v>
      </c>
      <c r="I19" s="142" t="s">
        <v>31</v>
      </c>
      <c r="J19" s="183"/>
      <c r="K19" s="183"/>
      <c r="L19" s="183"/>
      <c r="M19" s="182" t="s">
        <v>144</v>
      </c>
      <c r="N19" s="182" t="s">
        <v>149</v>
      </c>
      <c r="O19" s="121" t="s">
        <v>48</v>
      </c>
      <c r="P19" s="115"/>
      <c r="Q19" s="116"/>
      <c r="R19" s="116"/>
      <c r="S19" s="140"/>
      <c r="T19" s="140"/>
      <c r="U19" s="140"/>
      <c r="W19" s="178">
        <v>14.0</v>
      </c>
      <c r="X19" s="24" t="s">
        <v>161</v>
      </c>
      <c r="Y19" s="180">
        <f t="shared" si="2"/>
        <v>2</v>
      </c>
    </row>
    <row r="20" ht="15.0" customHeight="1">
      <c r="A20" s="183"/>
      <c r="B20" s="183"/>
      <c r="C20" s="183"/>
      <c r="D20" s="114"/>
      <c r="E20" s="114"/>
      <c r="F20" s="114"/>
      <c r="G20" s="42"/>
      <c r="H20" s="42"/>
      <c r="I20" s="42"/>
      <c r="J20" s="44" t="s">
        <v>146</v>
      </c>
      <c r="K20" s="44" t="s">
        <v>129</v>
      </c>
      <c r="L20" s="191" t="s">
        <v>25</v>
      </c>
      <c r="M20" s="183"/>
      <c r="N20" s="183"/>
      <c r="O20" s="43" t="s">
        <v>40</v>
      </c>
      <c r="P20" s="115"/>
      <c r="Q20" s="116"/>
      <c r="R20" s="116"/>
      <c r="S20" s="114"/>
      <c r="T20" s="114"/>
      <c r="U20" s="192"/>
      <c r="W20" s="178">
        <v>15.0</v>
      </c>
      <c r="X20" s="187" t="s">
        <v>154</v>
      </c>
      <c r="Y20" s="180">
        <f t="shared" si="2"/>
        <v>4</v>
      </c>
    </row>
    <row r="21" ht="21.0" customHeight="1">
      <c r="A21" s="136" t="s">
        <v>115</v>
      </c>
      <c r="B21" s="12"/>
      <c r="C21" s="13"/>
      <c r="D21" s="136" t="s">
        <v>8</v>
      </c>
      <c r="E21" s="12"/>
      <c r="F21" s="13"/>
      <c r="G21" s="136" t="s">
        <v>116</v>
      </c>
      <c r="H21" s="12"/>
      <c r="I21" s="13"/>
      <c r="J21" s="136" t="s">
        <v>10</v>
      </c>
      <c r="K21" s="12"/>
      <c r="L21" s="13"/>
      <c r="M21" s="136" t="s">
        <v>11</v>
      </c>
      <c r="N21" s="12"/>
      <c r="O21" s="13"/>
      <c r="P21" s="137" t="s">
        <v>82</v>
      </c>
      <c r="Q21" s="12"/>
      <c r="R21" s="13"/>
      <c r="S21" s="193" t="s">
        <v>117</v>
      </c>
      <c r="T21" s="12"/>
      <c r="U21" s="13"/>
      <c r="W21" s="178">
        <v>16.0</v>
      </c>
      <c r="X21" s="179"/>
      <c r="Y21" s="180">
        <f t="shared" si="2"/>
        <v>0</v>
      </c>
    </row>
    <row r="22" ht="15.75" customHeight="1">
      <c r="A22" s="138">
        <f>S14+1</f>
        <v>46062</v>
      </c>
      <c r="B22" s="12"/>
      <c r="C22" s="13"/>
      <c r="D22" s="138">
        <f>A22+1</f>
        <v>46063</v>
      </c>
      <c r="E22" s="12"/>
      <c r="F22" s="13"/>
      <c r="G22" s="138">
        <f>D22+1</f>
        <v>46064</v>
      </c>
      <c r="H22" s="12"/>
      <c r="I22" s="13"/>
      <c r="J22" s="138">
        <f>G22+1</f>
        <v>46065</v>
      </c>
      <c r="K22" s="12"/>
      <c r="L22" s="13"/>
      <c r="M22" s="138">
        <f>J22+1</f>
        <v>46066</v>
      </c>
      <c r="N22" s="12"/>
      <c r="O22" s="13"/>
      <c r="P22" s="139">
        <f>M22+1</f>
        <v>46067</v>
      </c>
      <c r="Q22" s="12"/>
      <c r="R22" s="13"/>
      <c r="S22" s="194">
        <f>P22+1</f>
        <v>46068</v>
      </c>
      <c r="T22" s="12"/>
      <c r="U22" s="13"/>
      <c r="W22" s="178">
        <v>17.0</v>
      </c>
      <c r="X22" s="179"/>
      <c r="Y22" s="180">
        <f t="shared" si="2"/>
        <v>0</v>
      </c>
    </row>
    <row r="23" ht="15.75" customHeight="1">
      <c r="A23" s="112" t="s">
        <v>150</v>
      </c>
      <c r="B23" s="112" t="s">
        <v>63</v>
      </c>
      <c r="C23" s="112" t="s">
        <v>25</v>
      </c>
      <c r="D23" s="183"/>
      <c r="E23" s="183"/>
      <c r="F23" s="183"/>
      <c r="G23" s="120"/>
      <c r="H23" s="120"/>
      <c r="I23" s="120"/>
      <c r="J23" s="183"/>
      <c r="K23" s="183"/>
      <c r="L23" s="42"/>
      <c r="M23" s="119"/>
      <c r="N23" s="119"/>
      <c r="O23" s="36"/>
      <c r="P23" s="115"/>
      <c r="Q23" s="116"/>
      <c r="R23" s="116"/>
      <c r="S23" s="114"/>
      <c r="T23" s="114"/>
      <c r="U23" s="114"/>
      <c r="W23" s="178">
        <v>18.0</v>
      </c>
      <c r="X23" s="179"/>
      <c r="Y23" s="180">
        <f t="shared" si="2"/>
        <v>0</v>
      </c>
    </row>
    <row r="24" ht="15.75" customHeight="1">
      <c r="A24" s="161" t="s">
        <v>148</v>
      </c>
      <c r="B24" s="161" t="s">
        <v>145</v>
      </c>
      <c r="C24" s="161" t="s">
        <v>25</v>
      </c>
      <c r="D24" s="183"/>
      <c r="E24" s="183"/>
      <c r="F24" s="183"/>
      <c r="G24" s="161" t="s">
        <v>148</v>
      </c>
      <c r="H24" s="161" t="s">
        <v>152</v>
      </c>
      <c r="I24" s="161" t="s">
        <v>25</v>
      </c>
      <c r="J24" s="119"/>
      <c r="K24" s="119"/>
      <c r="L24" s="119"/>
      <c r="M24" s="161" t="s">
        <v>148</v>
      </c>
      <c r="N24" s="161" t="s">
        <v>152</v>
      </c>
      <c r="O24" s="161" t="s">
        <v>25</v>
      </c>
      <c r="P24" s="115"/>
      <c r="Q24" s="116"/>
      <c r="R24" s="116"/>
      <c r="S24" s="182" t="s">
        <v>144</v>
      </c>
      <c r="T24" s="182" t="s">
        <v>145</v>
      </c>
      <c r="U24" s="182" t="s">
        <v>25</v>
      </c>
      <c r="W24" s="178">
        <v>19.0</v>
      </c>
      <c r="X24" s="179"/>
      <c r="Y24" s="180">
        <f t="shared" si="2"/>
        <v>0</v>
      </c>
    </row>
    <row r="25" ht="15.75" customHeight="1">
      <c r="A25" s="183"/>
      <c r="B25" s="183"/>
      <c r="D25" s="183"/>
      <c r="E25" s="183"/>
      <c r="F25" s="183"/>
      <c r="G25" s="71"/>
      <c r="H25" s="71"/>
      <c r="I25" s="24"/>
      <c r="J25" s="195" t="s">
        <v>162</v>
      </c>
      <c r="K25" s="12"/>
      <c r="L25" s="13"/>
      <c r="M25" s="183"/>
      <c r="N25" s="183"/>
      <c r="O25" s="183"/>
      <c r="P25" s="19" t="s">
        <v>14</v>
      </c>
      <c r="Q25" s="12"/>
      <c r="R25" s="13"/>
      <c r="S25" s="183"/>
      <c r="T25" s="183"/>
      <c r="U25" s="183"/>
      <c r="W25" s="178">
        <v>20.0</v>
      </c>
      <c r="X25" s="179"/>
      <c r="Y25" s="180">
        <f t="shared" si="2"/>
        <v>0</v>
      </c>
    </row>
    <row r="26" ht="15.75" customHeight="1">
      <c r="A26" s="71" t="s">
        <v>159</v>
      </c>
      <c r="B26" s="71" t="s">
        <v>160</v>
      </c>
      <c r="C26" s="142" t="s">
        <v>31</v>
      </c>
      <c r="D26" s="182" t="s">
        <v>144</v>
      </c>
      <c r="E26" s="182" t="s">
        <v>152</v>
      </c>
      <c r="F26" s="182" t="s">
        <v>25</v>
      </c>
      <c r="G26" s="187" t="s">
        <v>154</v>
      </c>
      <c r="H26" s="187" t="s">
        <v>102</v>
      </c>
      <c r="I26" s="188" t="s">
        <v>34</v>
      </c>
      <c r="J26" s="112" t="s">
        <v>144</v>
      </c>
      <c r="K26" s="112"/>
      <c r="L26" s="112" t="s">
        <v>25</v>
      </c>
      <c r="M26" s="182" t="s">
        <v>144</v>
      </c>
      <c r="N26" s="182" t="s">
        <v>149</v>
      </c>
      <c r="O26" s="182" t="s">
        <v>25</v>
      </c>
      <c r="P26" s="115"/>
      <c r="Q26" s="116"/>
      <c r="R26" s="116"/>
      <c r="S26" s="161" t="s">
        <v>148</v>
      </c>
      <c r="T26" s="161" t="s">
        <v>149</v>
      </c>
      <c r="U26" s="161" t="s">
        <v>25</v>
      </c>
      <c r="W26" s="178">
        <v>21.0</v>
      </c>
      <c r="X26" s="179"/>
      <c r="Y26" s="180">
        <f t="shared" si="2"/>
        <v>0</v>
      </c>
    </row>
    <row r="27" ht="15.75" customHeight="1">
      <c r="A27" s="183"/>
      <c r="B27" s="183"/>
      <c r="C27" s="36"/>
      <c r="D27" s="112" t="s">
        <v>151</v>
      </c>
      <c r="E27" s="112" t="s">
        <v>102</v>
      </c>
      <c r="F27" s="112" t="s">
        <v>34</v>
      </c>
      <c r="G27" s="44" t="s">
        <v>161</v>
      </c>
      <c r="H27" s="44" t="s">
        <v>129</v>
      </c>
      <c r="I27" s="124" t="s">
        <v>25</v>
      </c>
      <c r="J27" s="24" t="s">
        <v>147</v>
      </c>
      <c r="K27" s="24" t="s">
        <v>129</v>
      </c>
      <c r="L27" s="24" t="s">
        <v>25</v>
      </c>
      <c r="M27" s="183"/>
      <c r="N27" s="183"/>
      <c r="O27" s="196"/>
      <c r="P27" s="115"/>
      <c r="Q27" s="116"/>
      <c r="R27" s="116"/>
      <c r="S27" s="183"/>
      <c r="T27" s="183"/>
      <c r="U27" s="43" t="s">
        <v>40</v>
      </c>
      <c r="W27" s="178">
        <v>22.0</v>
      </c>
      <c r="X27" s="179"/>
      <c r="Y27" s="180">
        <f t="shared" si="2"/>
        <v>0</v>
      </c>
    </row>
    <row r="28" ht="15.75" customHeight="1">
      <c r="A28" s="154"/>
      <c r="B28" s="154"/>
      <c r="C28" s="154"/>
      <c r="D28" s="183"/>
      <c r="E28" s="183"/>
      <c r="F28" s="183"/>
      <c r="G28" s="71"/>
      <c r="H28" s="71"/>
      <c r="I28" s="111"/>
      <c r="J28" s="24"/>
      <c r="K28" s="24"/>
      <c r="L28" s="24"/>
      <c r="M28" s="119"/>
      <c r="N28" s="119"/>
      <c r="O28" s="119"/>
      <c r="P28" s="115"/>
      <c r="Q28" s="116"/>
      <c r="R28" s="116"/>
      <c r="S28" s="112"/>
      <c r="T28" s="112"/>
      <c r="U28" s="112"/>
      <c r="W28" s="178">
        <v>23.0</v>
      </c>
      <c r="X28" s="179"/>
      <c r="Y28" s="180">
        <f t="shared" si="2"/>
        <v>0</v>
      </c>
    </row>
    <row r="29" ht="20.25" customHeight="1">
      <c r="A29" s="105" t="s">
        <v>115</v>
      </c>
      <c r="B29" s="12"/>
      <c r="C29" s="13"/>
      <c r="D29" s="155" t="s">
        <v>8</v>
      </c>
      <c r="E29" s="12"/>
      <c r="F29" s="13"/>
      <c r="G29" s="105" t="s">
        <v>116</v>
      </c>
      <c r="H29" s="12"/>
      <c r="I29" s="13"/>
      <c r="J29" s="156" t="s">
        <v>10</v>
      </c>
      <c r="K29" s="12"/>
      <c r="L29" s="13"/>
      <c r="M29" s="105" t="s">
        <v>81</v>
      </c>
      <c r="N29" s="12"/>
      <c r="O29" s="13"/>
      <c r="P29" s="155" t="s">
        <v>82</v>
      </c>
      <c r="Q29" s="12"/>
      <c r="R29" s="13"/>
      <c r="S29" s="186" t="s">
        <v>13</v>
      </c>
      <c r="T29" s="12"/>
      <c r="U29" s="13"/>
      <c r="W29" s="178">
        <v>24.0</v>
      </c>
      <c r="X29" s="179"/>
      <c r="Y29" s="180">
        <f t="shared" si="2"/>
        <v>0</v>
      </c>
    </row>
    <row r="30" ht="15.75" customHeight="1">
      <c r="A30" s="108">
        <f>S22+1</f>
        <v>46069</v>
      </c>
      <c r="B30" s="12"/>
      <c r="C30" s="13"/>
      <c r="D30" s="109">
        <f>A30+1</f>
        <v>46070</v>
      </c>
      <c r="E30" s="12"/>
      <c r="F30" s="13"/>
      <c r="G30" s="107">
        <f>D30+1</f>
        <v>46071</v>
      </c>
      <c r="H30" s="12"/>
      <c r="I30" s="13"/>
      <c r="J30" s="107">
        <f>G30+1</f>
        <v>46072</v>
      </c>
      <c r="K30" s="12"/>
      <c r="L30" s="13"/>
      <c r="M30" s="107">
        <f>J30+1</f>
        <v>46073</v>
      </c>
      <c r="N30" s="12"/>
      <c r="O30" s="13"/>
      <c r="P30" s="109">
        <f>M30+1</f>
        <v>46074</v>
      </c>
      <c r="Q30" s="12"/>
      <c r="R30" s="13"/>
      <c r="S30" s="107">
        <f>P30+1</f>
        <v>46075</v>
      </c>
      <c r="T30" s="12"/>
      <c r="U30" s="13"/>
      <c r="W30" s="178">
        <v>25.0</v>
      </c>
      <c r="X30" s="179"/>
      <c r="Y30" s="180">
        <f t="shared" si="2"/>
        <v>0</v>
      </c>
    </row>
    <row r="31" ht="15.75" customHeight="1">
      <c r="A31" s="36"/>
      <c r="B31" s="36"/>
      <c r="C31" s="36"/>
      <c r="D31" s="182" t="s">
        <v>144</v>
      </c>
      <c r="E31" s="182" t="s">
        <v>152</v>
      </c>
      <c r="F31" s="182" t="s">
        <v>25</v>
      </c>
      <c r="G31" s="183"/>
      <c r="H31" s="183"/>
      <c r="I31" s="183"/>
      <c r="J31" s="183"/>
      <c r="K31" s="183"/>
      <c r="L31" s="183"/>
      <c r="M31" s="115"/>
      <c r="N31" s="116"/>
      <c r="O31" s="116"/>
      <c r="P31" s="115"/>
      <c r="Q31" s="116"/>
      <c r="R31" s="116"/>
      <c r="S31" s="114"/>
      <c r="T31" s="114"/>
      <c r="U31" s="114"/>
      <c r="W31" s="178">
        <v>26.0</v>
      </c>
      <c r="X31" s="179"/>
      <c r="Y31" s="180">
        <f t="shared" si="2"/>
        <v>0</v>
      </c>
    </row>
    <row r="32" ht="15.75" customHeight="1">
      <c r="A32" s="161" t="s">
        <v>148</v>
      </c>
      <c r="B32" s="161" t="s">
        <v>145</v>
      </c>
      <c r="C32" s="161" t="s">
        <v>25</v>
      </c>
      <c r="D32" s="183"/>
      <c r="E32" s="183"/>
      <c r="F32" s="42"/>
      <c r="G32" s="161" t="s">
        <v>148</v>
      </c>
      <c r="H32" s="161" t="s">
        <v>152</v>
      </c>
      <c r="I32" s="161" t="s">
        <v>25</v>
      </c>
      <c r="J32" s="183"/>
      <c r="K32" s="183"/>
      <c r="L32" s="183"/>
      <c r="M32" s="161" t="s">
        <v>148</v>
      </c>
      <c r="N32" s="161" t="s">
        <v>152</v>
      </c>
      <c r="O32" s="161" t="s">
        <v>25</v>
      </c>
      <c r="P32" s="115"/>
      <c r="Q32" s="116"/>
      <c r="R32" s="116"/>
      <c r="S32" s="179"/>
      <c r="T32" s="183"/>
      <c r="U32" s="183"/>
      <c r="W32" s="178">
        <v>27.0</v>
      </c>
      <c r="X32" s="179"/>
      <c r="Y32" s="180">
        <f t="shared" si="2"/>
        <v>0</v>
      </c>
    </row>
    <row r="33" ht="15.75" customHeight="1">
      <c r="A33" s="120"/>
      <c r="B33" s="120"/>
      <c r="C33" s="43" t="s">
        <v>40</v>
      </c>
      <c r="D33" s="24" t="s">
        <v>153</v>
      </c>
      <c r="E33" s="24" t="s">
        <v>30</v>
      </c>
      <c r="F33" s="24" t="s">
        <v>31</v>
      </c>
      <c r="G33" s="48"/>
      <c r="H33" s="48"/>
      <c r="I33" s="197" t="s">
        <v>163</v>
      </c>
      <c r="J33" s="182" t="s">
        <v>144</v>
      </c>
      <c r="K33" s="182" t="s">
        <v>152</v>
      </c>
      <c r="L33" s="182" t="s">
        <v>25</v>
      </c>
      <c r="M33" s="183"/>
      <c r="N33" s="183"/>
      <c r="O33" s="183"/>
      <c r="P33" s="19" t="s">
        <v>14</v>
      </c>
      <c r="Q33" s="12"/>
      <c r="R33" s="13"/>
      <c r="S33" s="182" t="s">
        <v>144</v>
      </c>
      <c r="T33" s="182" t="s">
        <v>145</v>
      </c>
      <c r="U33" s="182" t="s">
        <v>25</v>
      </c>
      <c r="W33" s="178">
        <v>28.0</v>
      </c>
      <c r="X33" s="179"/>
      <c r="Y33" s="180">
        <f t="shared" si="2"/>
        <v>0</v>
      </c>
    </row>
    <row r="34" ht="15.0" customHeight="1">
      <c r="A34" s="71" t="s">
        <v>159</v>
      </c>
      <c r="B34" s="71" t="s">
        <v>160</v>
      </c>
      <c r="C34" s="142" t="s">
        <v>31</v>
      </c>
      <c r="D34" s="24" t="s">
        <v>158</v>
      </c>
      <c r="E34" s="24" t="s">
        <v>110</v>
      </c>
      <c r="F34" s="24" t="s">
        <v>31</v>
      </c>
      <c r="G34" s="187" t="s">
        <v>154</v>
      </c>
      <c r="H34" s="187" t="s">
        <v>102</v>
      </c>
      <c r="I34" s="188" t="s">
        <v>34</v>
      </c>
      <c r="J34" s="183"/>
      <c r="K34" s="183"/>
      <c r="L34" s="197" t="s">
        <v>163</v>
      </c>
      <c r="M34" s="182" t="s">
        <v>144</v>
      </c>
      <c r="N34" s="182" t="s">
        <v>149</v>
      </c>
      <c r="O34" s="121" t="s">
        <v>48</v>
      </c>
      <c r="P34" s="115"/>
      <c r="Q34" s="116"/>
      <c r="R34" s="116"/>
      <c r="S34" s="183"/>
      <c r="T34" s="183"/>
      <c r="U34" s="42"/>
      <c r="W34" s="178">
        <v>29.0</v>
      </c>
      <c r="X34" s="179"/>
      <c r="Y34" s="180">
        <f t="shared" si="2"/>
        <v>0</v>
      </c>
    </row>
    <row r="35" ht="15.75" customHeight="1">
      <c r="A35" s="183"/>
      <c r="B35" s="183"/>
      <c r="C35" s="183"/>
      <c r="D35" s="114"/>
      <c r="E35" s="114"/>
      <c r="F35" s="114"/>
      <c r="G35" s="42"/>
      <c r="H35" s="42"/>
      <c r="I35" s="42"/>
      <c r="J35" s="183"/>
      <c r="K35" s="183"/>
      <c r="L35" s="183"/>
      <c r="M35" s="183"/>
      <c r="N35" s="183"/>
      <c r="O35" s="24"/>
      <c r="P35" s="115"/>
      <c r="Q35" s="116"/>
      <c r="R35" s="116"/>
      <c r="S35" s="161" t="s">
        <v>148</v>
      </c>
      <c r="T35" s="161" t="s">
        <v>149</v>
      </c>
      <c r="U35" s="121" t="s">
        <v>48</v>
      </c>
      <c r="X35" s="103"/>
      <c r="Y35" s="75">
        <f>SUM(Y1:Y34)</f>
        <v>53</v>
      </c>
    </row>
    <row r="36" ht="14.25" customHeight="1">
      <c r="A36" s="183"/>
      <c r="B36" s="183"/>
      <c r="C36" s="183"/>
      <c r="D36" s="154"/>
      <c r="E36" s="154"/>
      <c r="F36" s="154"/>
      <c r="G36" s="42"/>
      <c r="H36" s="42"/>
      <c r="I36" s="42"/>
      <c r="J36" s="44" t="s">
        <v>146</v>
      </c>
      <c r="K36" s="44" t="s">
        <v>129</v>
      </c>
      <c r="L36" s="191" t="s">
        <v>25</v>
      </c>
      <c r="M36" s="115"/>
      <c r="N36" s="116"/>
      <c r="O36" s="116"/>
      <c r="P36" s="115"/>
      <c r="Q36" s="116"/>
      <c r="R36" s="116"/>
      <c r="S36" s="140"/>
      <c r="T36" s="140"/>
      <c r="U36" s="140"/>
    </row>
    <row r="37" ht="22.5" customHeight="1">
      <c r="A37" s="136" t="s">
        <v>115</v>
      </c>
      <c r="B37" s="12"/>
      <c r="C37" s="13"/>
      <c r="D37" s="136" t="s">
        <v>8</v>
      </c>
      <c r="E37" s="12"/>
      <c r="F37" s="13"/>
      <c r="G37" s="136" t="s">
        <v>116</v>
      </c>
      <c r="H37" s="12"/>
      <c r="I37" s="13"/>
      <c r="J37" s="136" t="s">
        <v>10</v>
      </c>
      <c r="K37" s="12"/>
      <c r="L37" s="13"/>
      <c r="M37" s="136" t="s">
        <v>136</v>
      </c>
      <c r="N37" s="12"/>
      <c r="O37" s="13"/>
      <c r="P37" s="137" t="s">
        <v>12</v>
      </c>
      <c r="Q37" s="12"/>
      <c r="R37" s="13"/>
      <c r="S37" s="193" t="s">
        <v>13</v>
      </c>
      <c r="T37" s="12"/>
      <c r="U37" s="13"/>
    </row>
    <row r="38" ht="15.75" customHeight="1">
      <c r="A38" s="138">
        <f>S30+1</f>
        <v>46076</v>
      </c>
      <c r="B38" s="12"/>
      <c r="C38" s="13"/>
      <c r="D38" s="138">
        <f>A38+1</f>
        <v>46077</v>
      </c>
      <c r="E38" s="12"/>
      <c r="F38" s="13"/>
      <c r="G38" s="138">
        <f>D38+1</f>
        <v>46078</v>
      </c>
      <c r="H38" s="12"/>
      <c r="I38" s="13"/>
      <c r="J38" s="138">
        <f>G38+1</f>
        <v>46079</v>
      </c>
      <c r="K38" s="12"/>
      <c r="L38" s="13"/>
      <c r="M38" s="138">
        <f>J38+1</f>
        <v>46080</v>
      </c>
      <c r="N38" s="12"/>
      <c r="O38" s="13"/>
      <c r="P38" s="139">
        <f>M38+1</f>
        <v>46081</v>
      </c>
      <c r="Q38" s="12"/>
      <c r="R38" s="13"/>
      <c r="S38" s="194">
        <f>P38+1</f>
        <v>46082</v>
      </c>
      <c r="T38" s="12"/>
      <c r="U38" s="13"/>
    </row>
    <row r="39" ht="15.75" customHeight="1">
      <c r="A39" s="120" t="s">
        <v>150</v>
      </c>
      <c r="B39" s="120" t="s">
        <v>63</v>
      </c>
      <c r="C39" s="120" t="s">
        <v>25</v>
      </c>
      <c r="D39" s="183"/>
      <c r="E39" s="183"/>
      <c r="F39" s="183"/>
      <c r="G39" s="71"/>
      <c r="H39" s="71"/>
      <c r="I39" s="142"/>
      <c r="J39" s="183"/>
      <c r="K39" s="183"/>
      <c r="L39" s="42"/>
      <c r="M39" s="183"/>
      <c r="N39" s="183"/>
      <c r="O39" s="42"/>
      <c r="P39" s="115"/>
      <c r="Q39" s="116"/>
      <c r="R39" s="116"/>
      <c r="S39" s="198"/>
      <c r="T39" s="198"/>
      <c r="U39" s="198"/>
    </row>
    <row r="40" ht="15.75" customHeight="1">
      <c r="A40" s="161" t="s">
        <v>148</v>
      </c>
      <c r="B40" s="161" t="s">
        <v>145</v>
      </c>
      <c r="C40" s="161" t="s">
        <v>25</v>
      </c>
      <c r="D40" s="183"/>
      <c r="E40" s="183"/>
      <c r="F40" s="183"/>
      <c r="G40" s="161" t="s">
        <v>148</v>
      </c>
      <c r="H40" s="161" t="s">
        <v>152</v>
      </c>
      <c r="I40" s="161" t="s">
        <v>25</v>
      </c>
      <c r="J40" s="183"/>
      <c r="K40" s="183"/>
      <c r="L40" s="183"/>
      <c r="M40" s="179"/>
      <c r="N40" s="183"/>
      <c r="O40" s="183"/>
      <c r="P40" s="115"/>
      <c r="Q40" s="116"/>
      <c r="R40" s="116"/>
      <c r="S40" s="198"/>
      <c r="T40" s="198"/>
      <c r="U40" s="198"/>
    </row>
    <row r="41" ht="15.75" customHeight="1">
      <c r="A41" s="183"/>
      <c r="B41" s="183"/>
      <c r="C41" s="24"/>
      <c r="D41" s="183"/>
      <c r="E41" s="183"/>
      <c r="F41" s="183"/>
      <c r="G41" s="71"/>
      <c r="H41" s="71"/>
      <c r="I41" s="71"/>
      <c r="J41" s="182" t="s">
        <v>144</v>
      </c>
      <c r="K41" s="182" t="s">
        <v>152</v>
      </c>
      <c r="L41" s="182" t="s">
        <v>25</v>
      </c>
      <c r="M41" s="182" t="s">
        <v>144</v>
      </c>
      <c r="N41" s="182" t="s">
        <v>145</v>
      </c>
      <c r="O41" s="182" t="s">
        <v>25</v>
      </c>
      <c r="P41" s="19" t="s">
        <v>14</v>
      </c>
      <c r="Q41" s="12"/>
      <c r="R41" s="13"/>
      <c r="S41" s="198"/>
      <c r="T41" s="198"/>
      <c r="U41" s="198"/>
    </row>
    <row r="42" ht="15.75" customHeight="1">
      <c r="A42" s="71" t="s">
        <v>159</v>
      </c>
      <c r="B42" s="71" t="s">
        <v>160</v>
      </c>
      <c r="C42" s="142" t="s">
        <v>31</v>
      </c>
      <c r="D42" s="182" t="s">
        <v>144</v>
      </c>
      <c r="E42" s="182" t="s">
        <v>152</v>
      </c>
      <c r="F42" s="182" t="s">
        <v>25</v>
      </c>
      <c r="G42" s="187" t="s">
        <v>154</v>
      </c>
      <c r="H42" s="187" t="s">
        <v>102</v>
      </c>
      <c r="I42" s="188" t="s">
        <v>34</v>
      </c>
      <c r="J42" s="42"/>
      <c r="K42" s="42"/>
      <c r="L42" s="36"/>
      <c r="M42" s="183"/>
      <c r="N42" s="183"/>
      <c r="O42" s="42"/>
      <c r="P42" s="115"/>
      <c r="Q42" s="116"/>
      <c r="R42" s="116"/>
      <c r="S42" s="198"/>
      <c r="T42" s="198"/>
      <c r="U42" s="198"/>
    </row>
    <row r="43" ht="15.75" customHeight="1">
      <c r="A43" s="199"/>
      <c r="B43" s="199"/>
      <c r="C43" s="199"/>
      <c r="D43" s="112" t="s">
        <v>151</v>
      </c>
      <c r="E43" s="112" t="s">
        <v>102</v>
      </c>
      <c r="F43" s="112" t="s">
        <v>34</v>
      </c>
      <c r="G43" s="71" t="s">
        <v>161</v>
      </c>
      <c r="H43" s="71" t="s">
        <v>129</v>
      </c>
      <c r="I43" s="111" t="s">
        <v>25</v>
      </c>
      <c r="J43" s="183"/>
      <c r="K43" s="183"/>
      <c r="L43" s="183"/>
      <c r="M43" s="161" t="s">
        <v>148</v>
      </c>
      <c r="N43" s="161" t="s">
        <v>149</v>
      </c>
      <c r="O43" s="189" t="s">
        <v>25</v>
      </c>
      <c r="P43" s="115"/>
      <c r="Q43" s="116"/>
      <c r="R43" s="116"/>
      <c r="S43" s="200"/>
      <c r="T43" s="200"/>
      <c r="U43" s="201"/>
    </row>
    <row r="44" ht="15.75" customHeight="1">
      <c r="A44" s="114"/>
      <c r="B44" s="114"/>
      <c r="C44" s="114"/>
      <c r="D44" s="183"/>
      <c r="E44" s="183"/>
      <c r="F44" s="183"/>
      <c r="G44" s="183"/>
      <c r="H44" s="183"/>
      <c r="I44" s="183"/>
      <c r="J44" s="24" t="s">
        <v>147</v>
      </c>
      <c r="K44" s="24" t="s">
        <v>129</v>
      </c>
      <c r="L44" s="24" t="s">
        <v>25</v>
      </c>
      <c r="M44" s="140"/>
      <c r="N44" s="140"/>
      <c r="O44" s="140"/>
      <c r="P44" s="115"/>
      <c r="Q44" s="116"/>
      <c r="R44" s="116"/>
      <c r="S44" s="198"/>
      <c r="T44" s="198"/>
      <c r="U44" s="198"/>
    </row>
    <row r="45" ht="15.75" customHeight="1">
      <c r="A45" s="105"/>
      <c r="B45" s="12"/>
      <c r="C45" s="13"/>
      <c r="D45" s="105"/>
      <c r="E45" s="12"/>
      <c r="F45" s="13"/>
      <c r="G45" s="105"/>
      <c r="H45" s="12"/>
      <c r="I45" s="13"/>
      <c r="J45" s="105"/>
      <c r="K45" s="12"/>
      <c r="L45" s="13"/>
      <c r="M45" s="105"/>
      <c r="N45" s="12"/>
      <c r="O45" s="13"/>
      <c r="P45" s="105"/>
      <c r="Q45" s="12"/>
      <c r="R45" s="13"/>
      <c r="S45" s="106"/>
      <c r="T45" s="12"/>
      <c r="U45" s="13"/>
    </row>
    <row r="46" ht="15.75" customHeight="1">
      <c r="A46" s="108"/>
      <c r="B46" s="12"/>
      <c r="C46" s="13"/>
      <c r="D46" s="107"/>
      <c r="E46" s="12"/>
      <c r="F46" s="13"/>
      <c r="G46" s="107"/>
      <c r="H46" s="12"/>
      <c r="I46" s="13"/>
      <c r="J46" s="107"/>
      <c r="K46" s="12"/>
      <c r="L46" s="13"/>
      <c r="M46" s="107"/>
      <c r="N46" s="12"/>
      <c r="O46" s="13"/>
      <c r="P46" s="108"/>
      <c r="Q46" s="12"/>
      <c r="R46" s="13"/>
      <c r="S46" s="109"/>
      <c r="T46" s="12"/>
      <c r="U46" s="13"/>
    </row>
    <row r="47" ht="15.75" customHeight="1">
      <c r="A47" s="202"/>
      <c r="B47" s="202"/>
      <c r="C47" s="202"/>
      <c r="D47" s="140"/>
      <c r="E47" s="140"/>
      <c r="F47" s="114"/>
      <c r="G47" s="202"/>
      <c r="H47" s="202"/>
      <c r="I47" s="202"/>
      <c r="J47" s="190" t="s">
        <v>164</v>
      </c>
      <c r="K47" s="114"/>
      <c r="L47" s="152"/>
      <c r="M47" s="114"/>
      <c r="N47" s="114"/>
      <c r="O47" s="152"/>
      <c r="P47" s="202"/>
      <c r="Q47" s="202"/>
      <c r="R47" s="202"/>
      <c r="S47" s="198"/>
      <c r="T47" s="198"/>
      <c r="U47" s="198"/>
    </row>
    <row r="48" ht="15.75" customHeight="1">
      <c r="A48" s="114"/>
      <c r="B48" s="114"/>
      <c r="C48" s="114"/>
      <c r="D48" s="60"/>
      <c r="E48" s="60"/>
      <c r="F48" s="60"/>
      <c r="G48" s="203"/>
      <c r="H48" s="203"/>
      <c r="I48" s="203"/>
      <c r="J48" s="114"/>
      <c r="K48" s="114"/>
      <c r="L48" s="114"/>
      <c r="M48" s="140"/>
      <c r="N48" s="140"/>
      <c r="O48" s="140"/>
      <c r="P48" s="202"/>
      <c r="Q48" s="202"/>
      <c r="R48" s="202"/>
      <c r="S48" s="198"/>
      <c r="T48" s="198"/>
      <c r="U48" s="198"/>
    </row>
    <row r="49" ht="15.75" customHeight="1">
      <c r="A49" s="114"/>
      <c r="B49" s="114"/>
      <c r="C49" s="114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202"/>
      <c r="Q49" s="202"/>
      <c r="R49" s="202"/>
      <c r="S49" s="200"/>
      <c r="T49" s="200"/>
      <c r="U49" s="200"/>
    </row>
    <row r="50" ht="15.75" customHeight="1">
      <c r="A50" s="114"/>
      <c r="B50" s="114"/>
      <c r="C50" s="114"/>
      <c r="D50" s="148"/>
      <c r="E50" s="148"/>
      <c r="F50" s="148"/>
      <c r="G50" s="148"/>
      <c r="H50" s="148"/>
      <c r="I50" s="148"/>
      <c r="J50" s="148"/>
      <c r="K50" s="148"/>
      <c r="L50" s="148"/>
      <c r="M50" s="140"/>
      <c r="N50" s="140"/>
      <c r="O50" s="140"/>
      <c r="P50" s="114"/>
      <c r="Q50" s="114"/>
      <c r="R50" s="114"/>
      <c r="S50" s="198"/>
      <c r="T50" s="198"/>
      <c r="U50" s="198"/>
    </row>
    <row r="51" ht="15.75" customHeight="1">
      <c r="A51" s="128"/>
      <c r="B51" s="128"/>
      <c r="C51" s="128"/>
      <c r="D51" s="60"/>
      <c r="E51" s="60"/>
      <c r="F51" s="60"/>
      <c r="G51" s="169"/>
      <c r="H51" s="169"/>
      <c r="I51" s="169"/>
      <c r="J51" s="131"/>
      <c r="K51" s="131"/>
      <c r="L51" s="131"/>
      <c r="M51" s="114"/>
      <c r="N51" s="114"/>
      <c r="O51" s="114"/>
      <c r="P51" s="114"/>
      <c r="Q51" s="114"/>
      <c r="R51" s="114"/>
      <c r="S51" s="200"/>
      <c r="T51" s="200"/>
      <c r="U51" s="201"/>
    </row>
    <row r="52" ht="15.75" customHeight="1">
      <c r="A52" s="114"/>
      <c r="B52" s="114"/>
      <c r="C52" s="114"/>
      <c r="D52" s="140"/>
      <c r="E52" s="140"/>
      <c r="F52" s="140"/>
      <c r="G52" s="114"/>
      <c r="H52" s="114"/>
      <c r="I52" s="114"/>
      <c r="J52" s="148"/>
      <c r="K52" s="148"/>
      <c r="L52" s="148"/>
      <c r="M52" s="140"/>
      <c r="N52" s="140"/>
      <c r="O52" s="123"/>
      <c r="P52" s="114"/>
      <c r="Q52" s="114"/>
      <c r="R52" s="114"/>
      <c r="S52" s="198"/>
      <c r="T52" s="198"/>
      <c r="U52" s="198"/>
    </row>
    <row r="53" ht="15.75" customHeight="1"/>
    <row r="54" ht="15.75" customHeight="1"/>
    <row r="55" ht="15.75" customHeight="1">
      <c r="A55" s="82" t="s">
        <v>72</v>
      </c>
      <c r="B55" s="83"/>
    </row>
    <row r="56" ht="15.75" customHeight="1">
      <c r="A56" s="84"/>
      <c r="B56" s="85" t="s">
        <v>73</v>
      </c>
      <c r="C56" s="86"/>
      <c r="D56" s="87"/>
    </row>
    <row r="57" ht="15.75" customHeight="1">
      <c r="A57" s="91"/>
      <c r="B57" s="85" t="s">
        <v>74</v>
      </c>
      <c r="C57" s="86"/>
    </row>
    <row r="58" ht="15.75" customHeight="1">
      <c r="A58" s="94"/>
      <c r="B58" s="85" t="s">
        <v>75</v>
      </c>
      <c r="C58" s="86"/>
    </row>
    <row r="59" ht="15.75" customHeight="1">
      <c r="A59" s="95"/>
      <c r="B59" s="85" t="s">
        <v>76</v>
      </c>
      <c r="C59" s="86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5:$Y$35">
    <sortState ref="W5:Y35">
      <sortCondition ref="W5:W35"/>
      <sortCondition ref="X5:X35"/>
    </sortState>
  </autoFilter>
  <mergeCells count="102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P29:R29"/>
    <mergeCell ref="S29:U29"/>
    <mergeCell ref="J25:L25"/>
    <mergeCell ref="P25:R25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P33:R33"/>
    <mergeCell ref="V38:X38"/>
    <mergeCell ref="Y38:Z38"/>
    <mergeCell ref="A30:C30"/>
    <mergeCell ref="D37:F37"/>
    <mergeCell ref="G37:I37"/>
    <mergeCell ref="J37:L37"/>
    <mergeCell ref="M37:O37"/>
    <mergeCell ref="P37:R37"/>
    <mergeCell ref="S37:U37"/>
    <mergeCell ref="A37:C37"/>
    <mergeCell ref="A38:C38"/>
    <mergeCell ref="D38:F38"/>
    <mergeCell ref="G38:I38"/>
    <mergeCell ref="J38:L38"/>
    <mergeCell ref="M38:O38"/>
    <mergeCell ref="S38:U38"/>
    <mergeCell ref="P38:R38"/>
    <mergeCell ref="P41:R41"/>
    <mergeCell ref="A45:C45"/>
    <mergeCell ref="D45:F45"/>
    <mergeCell ref="G45:I45"/>
    <mergeCell ref="J45:L45"/>
    <mergeCell ref="M45:O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9:R9"/>
    <mergeCell ref="P17:R17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46:R46"/>
    <mergeCell ref="S46:U46"/>
    <mergeCell ref="P45:R45"/>
    <mergeCell ref="S45:U45"/>
    <mergeCell ref="A46:C46"/>
    <mergeCell ref="D46:F46"/>
    <mergeCell ref="G46:I46"/>
    <mergeCell ref="J46:L46"/>
    <mergeCell ref="M46:O46"/>
    <mergeCell ref="B55:D55"/>
  </mergeCells>
  <printOptions/>
  <pageMargins bottom="0.15" footer="0.0" header="0.0" left="0.46" right="0.34" top="0.28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57"/>
    <col customWidth="1" min="3" max="3" width="7.86"/>
    <col customWidth="1" min="4" max="4" width="19.29"/>
    <col customWidth="1" min="5" max="5" width="11.43"/>
    <col customWidth="1" min="6" max="6" width="7.43"/>
    <col customWidth="1" min="7" max="7" width="22.43"/>
    <col customWidth="1" min="8" max="8" width="11.43"/>
    <col customWidth="1" min="9" max="9" width="7.14"/>
    <col customWidth="1" min="10" max="10" width="17.0"/>
    <col customWidth="1" min="11" max="11" width="11.43"/>
    <col customWidth="1" min="12" max="12" width="7.71"/>
    <col customWidth="1" min="13" max="13" width="20.86"/>
    <col customWidth="1" min="14" max="14" width="11.43"/>
    <col customWidth="1" min="15" max="15" width="7.71"/>
    <col customWidth="1" min="16" max="16" width="17.29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1"/>
      <c r="C1" s="2" t="s">
        <v>165</v>
      </c>
      <c r="F1" s="3"/>
      <c r="G1" s="4" t="s">
        <v>2</v>
      </c>
      <c r="Q1" s="3"/>
    </row>
    <row r="2">
      <c r="A2" s="1" t="s">
        <v>3</v>
      </c>
      <c r="C2" s="6" t="s">
        <v>78</v>
      </c>
      <c r="F2" s="3"/>
      <c r="Q2" s="3"/>
    </row>
    <row r="3">
      <c r="A3" s="1" t="s">
        <v>5</v>
      </c>
      <c r="C3" s="2" t="s">
        <v>79</v>
      </c>
      <c r="F3" s="3"/>
      <c r="Q3" s="3"/>
    </row>
    <row r="4">
      <c r="A4" s="1" t="s">
        <v>6</v>
      </c>
      <c r="C4" s="2" t="s">
        <v>79</v>
      </c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>
        <v>46055.0</v>
      </c>
      <c r="B6" s="12"/>
      <c r="C6" s="13"/>
      <c r="D6" s="15">
        <v>46056.0</v>
      </c>
      <c r="E6" s="12"/>
      <c r="F6" s="13"/>
      <c r="G6" s="16">
        <f>D6+1</f>
        <v>46057</v>
      </c>
      <c r="H6" s="12"/>
      <c r="I6" s="13"/>
      <c r="J6" s="16">
        <f>G6+1</f>
        <v>46058</v>
      </c>
      <c r="K6" s="12"/>
      <c r="L6" s="13"/>
      <c r="M6" s="16">
        <f>J6+1</f>
        <v>46059</v>
      </c>
      <c r="N6" s="12"/>
      <c r="O6" s="13"/>
      <c r="P6" s="16">
        <f>M6+1</f>
        <v>46060</v>
      </c>
      <c r="Q6" s="12"/>
      <c r="R6" s="13"/>
      <c r="S6" s="17">
        <v>46054.0</v>
      </c>
      <c r="T6" s="12"/>
      <c r="U6" s="13"/>
    </row>
    <row r="7">
      <c r="A7" s="71"/>
      <c r="B7" s="204"/>
      <c r="C7" s="71"/>
      <c r="D7" s="111"/>
      <c r="E7" s="142"/>
      <c r="F7" s="142"/>
      <c r="G7" s="71"/>
      <c r="H7" s="71"/>
      <c r="I7" s="71"/>
      <c r="J7" s="35"/>
      <c r="K7" s="35"/>
      <c r="L7" s="35"/>
      <c r="M7" s="35"/>
      <c r="N7" s="205"/>
      <c r="O7" s="35"/>
      <c r="P7" s="24"/>
      <c r="Q7" s="24"/>
      <c r="R7" s="24"/>
      <c r="S7" s="206"/>
      <c r="T7" s="206"/>
      <c r="U7" s="206"/>
    </row>
    <row r="8">
      <c r="A8" s="48"/>
      <c r="B8" s="48"/>
      <c r="C8" s="48"/>
      <c r="D8" s="71"/>
      <c r="E8" s="204"/>
      <c r="F8" s="71"/>
      <c r="G8" s="111"/>
      <c r="H8" s="111"/>
      <c r="I8" s="111"/>
      <c r="J8" s="35"/>
      <c r="K8" s="35"/>
      <c r="L8" s="35"/>
      <c r="M8" s="35"/>
      <c r="N8" s="205"/>
      <c r="O8" s="35"/>
      <c r="P8" s="24"/>
      <c r="Q8" s="24"/>
      <c r="R8" s="24"/>
      <c r="S8" s="206"/>
      <c r="T8" s="206"/>
      <c r="U8" s="206"/>
    </row>
    <row r="9">
      <c r="A9" s="71"/>
      <c r="B9" s="71"/>
      <c r="C9" s="71"/>
      <c r="D9" s="48"/>
      <c r="E9" s="48"/>
      <c r="F9" s="48"/>
      <c r="G9" s="71"/>
      <c r="H9" s="204"/>
      <c r="I9" s="71"/>
      <c r="J9" s="207"/>
      <c r="K9" s="208"/>
      <c r="L9" s="209"/>
      <c r="M9" s="210"/>
      <c r="N9" s="211"/>
      <c r="O9" s="147"/>
      <c r="P9" s="24"/>
      <c r="Q9" s="24"/>
      <c r="R9" s="24"/>
      <c r="S9" s="212" t="s">
        <v>14</v>
      </c>
      <c r="T9" s="12"/>
      <c r="U9" s="13"/>
      <c r="W9" s="173" t="s">
        <v>15</v>
      </c>
      <c r="X9" s="174" t="s">
        <v>141</v>
      </c>
      <c r="Y9" s="213" t="s">
        <v>17</v>
      </c>
    </row>
    <row r="10">
      <c r="A10" s="71"/>
      <c r="B10" s="71"/>
      <c r="C10" s="71"/>
      <c r="D10" s="48"/>
      <c r="E10" s="48"/>
      <c r="F10" s="48"/>
      <c r="G10" s="140"/>
      <c r="H10" s="140"/>
      <c r="I10" s="140"/>
      <c r="J10" s="210"/>
      <c r="K10" s="214"/>
      <c r="L10" s="210"/>
      <c r="M10" s="35"/>
      <c r="N10" s="205"/>
      <c r="O10" s="35"/>
      <c r="P10" s="141"/>
      <c r="Q10" s="141"/>
      <c r="R10" s="141"/>
      <c r="S10" s="198"/>
      <c r="T10" s="198"/>
      <c r="U10" s="200"/>
      <c r="W10" s="178">
        <v>1.0</v>
      </c>
      <c r="X10" s="135" t="s">
        <v>166</v>
      </c>
      <c r="Y10" s="215">
        <f t="shared" ref="Y10:Y11" si="1">COUNTIF($A$5:$U$51,X10)</f>
        <v>3</v>
      </c>
    </row>
    <row r="11">
      <c r="A11" s="71"/>
      <c r="B11" s="71"/>
      <c r="C11" s="71"/>
      <c r="D11" s="71"/>
      <c r="E11" s="48"/>
      <c r="F11" s="71"/>
      <c r="G11" s="210"/>
      <c r="H11" s="214"/>
      <c r="I11" s="210"/>
      <c r="J11" s="154"/>
      <c r="K11" s="216"/>
      <c r="L11" s="154"/>
      <c r="M11" s="210"/>
      <c r="N11" s="214"/>
      <c r="O11" s="210"/>
      <c r="P11" s="140"/>
      <c r="Q11" s="140"/>
      <c r="R11" s="140"/>
      <c r="S11" s="140"/>
      <c r="T11" s="140"/>
      <c r="U11" s="114"/>
      <c r="W11" s="178">
        <v>2.0</v>
      </c>
      <c r="X11" s="146" t="s">
        <v>167</v>
      </c>
      <c r="Y11" s="215">
        <f t="shared" si="1"/>
        <v>5</v>
      </c>
    </row>
    <row r="12">
      <c r="A12" s="210"/>
      <c r="B12" s="210"/>
      <c r="C12" s="210"/>
      <c r="D12" s="71"/>
      <c r="E12" s="48"/>
      <c r="F12" s="71"/>
      <c r="G12" s="210"/>
      <c r="H12" s="214"/>
      <c r="I12" s="214"/>
      <c r="J12" s="141"/>
      <c r="K12" s="210"/>
      <c r="L12" s="210"/>
      <c r="M12" s="141"/>
      <c r="N12" s="211"/>
      <c r="O12" s="210"/>
      <c r="P12" s="140"/>
      <c r="Q12" s="151"/>
      <c r="R12" s="114"/>
      <c r="S12" s="200"/>
      <c r="T12" s="200"/>
      <c r="U12" s="200"/>
      <c r="W12" s="178">
        <v>3.0</v>
      </c>
      <c r="X12" s="179"/>
      <c r="Y12" s="215"/>
    </row>
    <row r="13">
      <c r="A13" s="105" t="s">
        <v>7</v>
      </c>
      <c r="B13" s="12"/>
      <c r="C13" s="13"/>
      <c r="D13" s="105" t="s">
        <v>8</v>
      </c>
      <c r="E13" s="12"/>
      <c r="F13" s="13"/>
      <c r="G13" s="105" t="s">
        <v>9</v>
      </c>
      <c r="H13" s="12"/>
      <c r="I13" s="13"/>
      <c r="J13" s="105" t="s">
        <v>10</v>
      </c>
      <c r="K13" s="12"/>
      <c r="L13" s="13"/>
      <c r="M13" s="105" t="s">
        <v>81</v>
      </c>
      <c r="N13" s="12"/>
      <c r="O13" s="13"/>
      <c r="P13" s="105" t="s">
        <v>82</v>
      </c>
      <c r="Q13" s="12"/>
      <c r="R13" s="13"/>
      <c r="S13" s="106" t="s">
        <v>13</v>
      </c>
      <c r="T13" s="12"/>
      <c r="U13" s="13"/>
      <c r="W13" s="178">
        <v>4.0</v>
      </c>
      <c r="X13" s="179" t="s">
        <v>168</v>
      </c>
      <c r="Y13" s="215">
        <f t="shared" ref="Y13:Y39" si="2">COUNTIF($A$5:$U$51,X13)</f>
        <v>4</v>
      </c>
    </row>
    <row r="14">
      <c r="A14" s="107">
        <f>S6+1</f>
        <v>46055</v>
      </c>
      <c r="B14" s="12"/>
      <c r="C14" s="13"/>
      <c r="D14" s="107">
        <f>A14+1</f>
        <v>46056</v>
      </c>
      <c r="E14" s="12"/>
      <c r="F14" s="13"/>
      <c r="G14" s="107">
        <f>D14+1</f>
        <v>46057</v>
      </c>
      <c r="H14" s="12"/>
      <c r="I14" s="13"/>
      <c r="J14" s="107">
        <f>G14+1</f>
        <v>46058</v>
      </c>
      <c r="K14" s="12"/>
      <c r="L14" s="13"/>
      <c r="M14" s="108">
        <f>J14+1</f>
        <v>46059</v>
      </c>
      <c r="N14" s="12"/>
      <c r="O14" s="13"/>
      <c r="P14" s="107">
        <f>M14+1</f>
        <v>46060</v>
      </c>
      <c r="Q14" s="12"/>
      <c r="R14" s="13"/>
      <c r="S14" s="109">
        <f>P14+1</f>
        <v>46061</v>
      </c>
      <c r="T14" s="12"/>
      <c r="U14" s="13"/>
      <c r="W14" s="178">
        <v>5.0</v>
      </c>
      <c r="X14" s="179" t="s">
        <v>169</v>
      </c>
      <c r="Y14" s="215">
        <f t="shared" si="2"/>
        <v>0</v>
      </c>
    </row>
    <row r="15">
      <c r="A15" s="24" t="s">
        <v>170</v>
      </c>
      <c r="B15" s="217" t="s">
        <v>62</v>
      </c>
      <c r="C15" s="24" t="s">
        <v>171</v>
      </c>
      <c r="D15" s="103"/>
      <c r="E15" s="103"/>
      <c r="F15" s="103"/>
      <c r="G15" s="24" t="s">
        <v>172</v>
      </c>
      <c r="H15" s="24" t="s">
        <v>33</v>
      </c>
      <c r="I15" s="24" t="s">
        <v>34</v>
      </c>
      <c r="J15" s="128"/>
      <c r="K15" s="128"/>
      <c r="L15" s="128"/>
      <c r="M15" s="146" t="s">
        <v>173</v>
      </c>
      <c r="N15" s="24" t="s">
        <v>60</v>
      </c>
      <c r="O15" s="146" t="s">
        <v>31</v>
      </c>
      <c r="P15" s="24"/>
      <c r="Q15" s="24"/>
      <c r="R15" s="24"/>
      <c r="S15" s="206"/>
      <c r="T15" s="206"/>
      <c r="U15" s="206"/>
      <c r="W15" s="178">
        <v>6.0</v>
      </c>
      <c r="X15" s="218" t="s">
        <v>174</v>
      </c>
      <c r="Y15" s="215">
        <f t="shared" si="2"/>
        <v>2</v>
      </c>
    </row>
    <row r="16">
      <c r="A16" s="36"/>
      <c r="B16" s="36"/>
      <c r="C16" s="36"/>
      <c r="D16" s="112" t="s">
        <v>168</v>
      </c>
      <c r="E16" s="113" t="s">
        <v>175</v>
      </c>
      <c r="F16" s="113" t="s">
        <v>25</v>
      </c>
      <c r="G16" s="199"/>
      <c r="H16" s="199"/>
      <c r="I16" s="199"/>
      <c r="J16" s="112" t="s">
        <v>176</v>
      </c>
      <c r="K16" s="112" t="s">
        <v>57</v>
      </c>
      <c r="L16" s="112" t="s">
        <v>25</v>
      </c>
      <c r="M16" s="24" t="s">
        <v>177</v>
      </c>
      <c r="N16" s="219" t="s">
        <v>100</v>
      </c>
      <c r="O16" s="41" t="s">
        <v>25</v>
      </c>
      <c r="P16" s="146" t="s">
        <v>173</v>
      </c>
      <c r="Q16" s="24"/>
      <c r="R16" s="146" t="s">
        <v>31</v>
      </c>
      <c r="S16" s="212" t="s">
        <v>14</v>
      </c>
      <c r="T16" s="12"/>
      <c r="U16" s="13"/>
      <c r="W16" s="178">
        <v>7.0</v>
      </c>
      <c r="X16" s="135" t="s">
        <v>178</v>
      </c>
      <c r="Y16" s="215">
        <f t="shared" si="2"/>
        <v>3</v>
      </c>
    </row>
    <row r="17">
      <c r="A17" s="24" t="s">
        <v>179</v>
      </c>
      <c r="B17" s="24" t="s">
        <v>29</v>
      </c>
      <c r="C17" s="24" t="s">
        <v>25</v>
      </c>
      <c r="D17" s="24" t="s">
        <v>174</v>
      </c>
      <c r="E17" s="217" t="s">
        <v>63</v>
      </c>
      <c r="F17" s="24" t="s">
        <v>31</v>
      </c>
      <c r="G17" s="199"/>
      <c r="H17" s="199"/>
      <c r="I17" s="199"/>
      <c r="J17" s="24" t="s">
        <v>180</v>
      </c>
      <c r="K17" s="217" t="s">
        <v>181</v>
      </c>
      <c r="L17" s="24" t="s">
        <v>25</v>
      </c>
      <c r="M17" s="113" t="s">
        <v>182</v>
      </c>
      <c r="N17" s="113" t="s">
        <v>181</v>
      </c>
      <c r="O17" s="113" t="s">
        <v>25</v>
      </c>
      <c r="P17" s="24" t="s">
        <v>167</v>
      </c>
      <c r="Q17" s="24"/>
      <c r="R17" s="24" t="s">
        <v>25</v>
      </c>
      <c r="S17" s="24" t="s">
        <v>167</v>
      </c>
      <c r="T17" s="67" t="s">
        <v>183</v>
      </c>
      <c r="U17" s="24" t="s">
        <v>25</v>
      </c>
      <c r="W17" s="178">
        <v>8.0</v>
      </c>
      <c r="X17" s="24" t="s">
        <v>184</v>
      </c>
      <c r="Y17" s="215">
        <f t="shared" si="2"/>
        <v>2</v>
      </c>
    </row>
    <row r="18">
      <c r="A18" s="24" t="s">
        <v>185</v>
      </c>
      <c r="B18" s="24" t="s">
        <v>186</v>
      </c>
      <c r="C18" s="24" t="s">
        <v>25</v>
      </c>
      <c r="D18" s="36"/>
      <c r="E18" s="36"/>
      <c r="F18" s="36"/>
      <c r="G18" s="24" t="s">
        <v>184</v>
      </c>
      <c r="H18" s="217" t="s">
        <v>30</v>
      </c>
      <c r="I18" s="24" t="s">
        <v>25</v>
      </c>
      <c r="J18" s="46" t="s">
        <v>187</v>
      </c>
      <c r="K18" s="46" t="s">
        <v>51</v>
      </c>
      <c r="L18" s="46" t="s">
        <v>25</v>
      </c>
      <c r="M18" s="24"/>
      <c r="N18" s="217"/>
      <c r="O18" s="24"/>
      <c r="P18" s="199"/>
      <c r="Q18" s="141"/>
      <c r="R18" s="46" t="s">
        <v>48</v>
      </c>
      <c r="S18" s="199"/>
      <c r="T18" s="141"/>
      <c r="U18" s="46" t="s">
        <v>48</v>
      </c>
      <c r="W18" s="178">
        <v>9.0</v>
      </c>
      <c r="X18" s="146" t="s">
        <v>188</v>
      </c>
      <c r="Y18" s="215">
        <f t="shared" si="2"/>
        <v>2</v>
      </c>
    </row>
    <row r="19" ht="15.0" customHeight="1">
      <c r="A19" s="24"/>
      <c r="B19" s="24"/>
      <c r="C19" s="24"/>
      <c r="D19" s="24" t="s">
        <v>189</v>
      </c>
      <c r="E19" s="59" t="s">
        <v>190</v>
      </c>
      <c r="F19" s="24" t="s">
        <v>25</v>
      </c>
      <c r="G19" s="24" t="s">
        <v>179</v>
      </c>
      <c r="H19" s="217" t="s">
        <v>191</v>
      </c>
      <c r="I19" s="24" t="s">
        <v>25</v>
      </c>
      <c r="J19" s="24"/>
      <c r="K19" s="24"/>
      <c r="L19" s="24"/>
      <c r="M19" s="116"/>
      <c r="N19" s="116"/>
      <c r="O19" s="116"/>
      <c r="P19" s="112" t="s">
        <v>166</v>
      </c>
      <c r="Q19" s="112"/>
      <c r="R19" s="112" t="s">
        <v>25</v>
      </c>
      <c r="S19" s="112" t="s">
        <v>166</v>
      </c>
      <c r="T19" s="112" t="s">
        <v>129</v>
      </c>
      <c r="U19" s="112" t="s">
        <v>25</v>
      </c>
      <c r="W19" s="178">
        <v>10.0</v>
      </c>
      <c r="X19" s="220" t="s">
        <v>179</v>
      </c>
      <c r="Y19" s="215">
        <f t="shared" si="2"/>
        <v>8</v>
      </c>
    </row>
    <row r="20" ht="15.0" customHeight="1">
      <c r="A20" s="221" t="s">
        <v>176</v>
      </c>
      <c r="B20" s="203"/>
      <c r="C20" s="185"/>
      <c r="D20" s="24" t="s">
        <v>192</v>
      </c>
      <c r="E20" s="47"/>
      <c r="F20" s="24" t="s">
        <v>31</v>
      </c>
      <c r="G20" s="199"/>
      <c r="H20" s="199"/>
      <c r="I20" s="199"/>
      <c r="J20" s="199"/>
      <c r="K20" s="203"/>
      <c r="L20" s="203"/>
      <c r="M20" s="116"/>
      <c r="N20" s="116"/>
      <c r="O20" s="116"/>
      <c r="P20" s="212" t="s">
        <v>14</v>
      </c>
      <c r="Q20" s="12"/>
      <c r="R20" s="13"/>
      <c r="S20" s="200"/>
      <c r="T20" s="200"/>
      <c r="U20" s="200"/>
      <c r="W20" s="178">
        <v>11.0</v>
      </c>
      <c r="X20" s="24" t="s">
        <v>193</v>
      </c>
      <c r="Y20" s="215">
        <f t="shared" si="2"/>
        <v>2</v>
      </c>
    </row>
    <row r="21" ht="15.75" customHeight="1">
      <c r="A21" s="136" t="s">
        <v>115</v>
      </c>
      <c r="B21" s="12"/>
      <c r="C21" s="13"/>
      <c r="D21" s="193" t="s">
        <v>8</v>
      </c>
      <c r="E21" s="12"/>
      <c r="F21" s="13"/>
      <c r="G21" s="136" t="s">
        <v>116</v>
      </c>
      <c r="H21" s="12"/>
      <c r="I21" s="13"/>
      <c r="J21" s="136" t="s">
        <v>10</v>
      </c>
      <c r="K21" s="12"/>
      <c r="L21" s="13"/>
      <c r="M21" s="136" t="s">
        <v>11</v>
      </c>
      <c r="N21" s="12"/>
      <c r="O21" s="13"/>
      <c r="P21" s="136" t="s">
        <v>82</v>
      </c>
      <c r="Q21" s="12"/>
      <c r="R21" s="13"/>
      <c r="S21" s="137" t="s">
        <v>117</v>
      </c>
      <c r="T21" s="12"/>
      <c r="U21" s="13"/>
      <c r="W21" s="178">
        <v>12.0</v>
      </c>
      <c r="X21" s="220" t="s">
        <v>185</v>
      </c>
      <c r="Y21" s="215">
        <f t="shared" si="2"/>
        <v>4</v>
      </c>
    </row>
    <row r="22" ht="15.75" customHeight="1">
      <c r="A22" s="138">
        <f>S14+1</f>
        <v>46062</v>
      </c>
      <c r="B22" s="12"/>
      <c r="C22" s="13"/>
      <c r="D22" s="194">
        <f>A22+1</f>
        <v>46063</v>
      </c>
      <c r="E22" s="12"/>
      <c r="F22" s="13"/>
      <c r="G22" s="138">
        <f>D22+1</f>
        <v>46064</v>
      </c>
      <c r="H22" s="12"/>
      <c r="I22" s="13"/>
      <c r="J22" s="138">
        <f>G22+1</f>
        <v>46065</v>
      </c>
      <c r="K22" s="12"/>
      <c r="L22" s="13"/>
      <c r="M22" s="138">
        <f>J22+1</f>
        <v>46066</v>
      </c>
      <c r="N22" s="12"/>
      <c r="O22" s="13"/>
      <c r="P22" s="138">
        <f>M22+1</f>
        <v>46067</v>
      </c>
      <c r="Q22" s="12"/>
      <c r="R22" s="13"/>
      <c r="S22" s="139">
        <f>P22+1</f>
        <v>46068</v>
      </c>
      <c r="T22" s="12"/>
      <c r="U22" s="13"/>
      <c r="W22" s="178">
        <v>13.0</v>
      </c>
      <c r="X22" s="179" t="s">
        <v>192</v>
      </c>
      <c r="Y22" s="215">
        <f t="shared" si="2"/>
        <v>2</v>
      </c>
    </row>
    <row r="23" ht="15.75" customHeight="1">
      <c r="A23" s="24" t="s">
        <v>170</v>
      </c>
      <c r="B23" s="217" t="s">
        <v>62</v>
      </c>
      <c r="C23" s="24" t="s">
        <v>171</v>
      </c>
      <c r="D23" s="222"/>
      <c r="E23" s="222"/>
      <c r="F23" s="222"/>
      <c r="G23" s="24"/>
      <c r="H23" s="24"/>
      <c r="I23" s="24"/>
      <c r="J23" s="112"/>
      <c r="K23" s="112"/>
      <c r="L23" s="112"/>
      <c r="M23" s="103"/>
      <c r="N23" s="103"/>
      <c r="O23" s="103"/>
      <c r="P23" s="146" t="s">
        <v>173</v>
      </c>
      <c r="Q23" s="24" t="s">
        <v>60</v>
      </c>
      <c r="R23" s="146" t="s">
        <v>31</v>
      </c>
      <c r="S23" s="223"/>
      <c r="T23" s="223"/>
      <c r="U23" s="223"/>
      <c r="W23" s="178">
        <v>14.0</v>
      </c>
      <c r="X23" s="220" t="s">
        <v>182</v>
      </c>
      <c r="Y23" s="215">
        <f t="shared" si="2"/>
        <v>2</v>
      </c>
    </row>
    <row r="24" ht="15.75" customHeight="1">
      <c r="A24" s="36"/>
      <c r="B24" s="36"/>
      <c r="C24" s="36"/>
      <c r="D24" s="46" t="s">
        <v>188</v>
      </c>
      <c r="E24" s="46" t="s">
        <v>38</v>
      </c>
      <c r="F24" s="46" t="s">
        <v>31</v>
      </c>
      <c r="G24" s="24" t="s">
        <v>179</v>
      </c>
      <c r="H24" s="24" t="s">
        <v>29</v>
      </c>
      <c r="I24" s="24" t="s">
        <v>194</v>
      </c>
      <c r="J24" s="24" t="s">
        <v>180</v>
      </c>
      <c r="K24" s="217" t="s">
        <v>195</v>
      </c>
      <c r="L24" s="24" t="s">
        <v>25</v>
      </c>
      <c r="M24" s="224" t="s">
        <v>162</v>
      </c>
      <c r="N24" s="12"/>
      <c r="O24" s="13"/>
      <c r="P24" s="24" t="s">
        <v>196</v>
      </c>
      <c r="Q24" s="24" t="s">
        <v>63</v>
      </c>
      <c r="R24" s="24" t="s">
        <v>34</v>
      </c>
      <c r="S24" s="223"/>
      <c r="T24" s="223"/>
      <c r="U24" s="223"/>
      <c r="W24" s="178">
        <v>15.0</v>
      </c>
      <c r="X24" s="220" t="s">
        <v>197</v>
      </c>
      <c r="Y24" s="215">
        <f t="shared" si="2"/>
        <v>2</v>
      </c>
    </row>
    <row r="25" ht="15.75" customHeight="1">
      <c r="A25" s="24" t="s">
        <v>179</v>
      </c>
      <c r="B25" s="24" t="s">
        <v>29</v>
      </c>
      <c r="C25" s="24" t="s">
        <v>25</v>
      </c>
      <c r="D25" s="189" t="s">
        <v>198</v>
      </c>
      <c r="E25" s="189" t="s">
        <v>63</v>
      </c>
      <c r="F25" s="189" t="s">
        <v>31</v>
      </c>
      <c r="G25" s="24"/>
      <c r="H25" s="24"/>
      <c r="I25" s="43" t="s">
        <v>40</v>
      </c>
      <c r="J25" s="24" t="s">
        <v>199</v>
      </c>
      <c r="K25" s="24" t="s">
        <v>57</v>
      </c>
      <c r="L25" s="24" t="s">
        <v>34</v>
      </c>
      <c r="M25" s="24"/>
      <c r="N25" s="24"/>
      <c r="O25" s="24"/>
      <c r="P25" s="225" t="s">
        <v>200</v>
      </c>
      <c r="Q25" s="225" t="s">
        <v>60</v>
      </c>
      <c r="R25" s="225" t="s">
        <v>34</v>
      </c>
      <c r="S25" s="226"/>
      <c r="T25" s="12"/>
      <c r="U25" s="13"/>
      <c r="W25" s="178">
        <v>16.0</v>
      </c>
      <c r="X25" s="220" t="s">
        <v>167</v>
      </c>
      <c r="Y25" s="215">
        <f t="shared" si="2"/>
        <v>5</v>
      </c>
    </row>
    <row r="26" ht="15.75" customHeight="1">
      <c r="A26" s="24" t="s">
        <v>185</v>
      </c>
      <c r="B26" s="24" t="s">
        <v>186</v>
      </c>
      <c r="C26" s="24" t="s">
        <v>25</v>
      </c>
      <c r="D26" s="24" t="s">
        <v>193</v>
      </c>
      <c r="E26" s="227" t="s">
        <v>57</v>
      </c>
      <c r="F26" s="24" t="s">
        <v>25</v>
      </c>
      <c r="G26" s="24" t="s">
        <v>197</v>
      </c>
      <c r="H26" s="24" t="s">
        <v>33</v>
      </c>
      <c r="I26" s="24" t="s">
        <v>25</v>
      </c>
      <c r="J26" s="24" t="s">
        <v>201</v>
      </c>
      <c r="K26" s="24" t="s">
        <v>63</v>
      </c>
      <c r="L26" s="24" t="s">
        <v>34</v>
      </c>
      <c r="M26" s="112" t="s">
        <v>178</v>
      </c>
      <c r="N26" s="112"/>
      <c r="O26" s="112" t="s">
        <v>25</v>
      </c>
      <c r="P26" s="24" t="s">
        <v>167</v>
      </c>
      <c r="Q26" s="24" t="s">
        <v>202</v>
      </c>
      <c r="R26" s="24" t="s">
        <v>25</v>
      </c>
      <c r="S26" s="228"/>
      <c r="T26" s="228"/>
      <c r="U26" s="228"/>
      <c r="W26" s="178">
        <v>17.0</v>
      </c>
      <c r="X26" s="220" t="s">
        <v>180</v>
      </c>
      <c r="Y26" s="215">
        <f t="shared" si="2"/>
        <v>4</v>
      </c>
    </row>
    <row r="27" ht="15.75" customHeight="1">
      <c r="A27" s="24" t="s">
        <v>203</v>
      </c>
      <c r="B27" s="24" t="s">
        <v>110</v>
      </c>
      <c r="C27" s="24" t="s">
        <v>31</v>
      </c>
      <c r="D27" s="161" t="s">
        <v>176</v>
      </c>
      <c r="E27" s="189" t="s">
        <v>33</v>
      </c>
      <c r="F27" s="161" t="s">
        <v>25</v>
      </c>
      <c r="G27" s="112" t="s">
        <v>178</v>
      </c>
      <c r="H27" s="112" t="s">
        <v>129</v>
      </c>
      <c r="I27" s="112" t="s">
        <v>25</v>
      </c>
      <c r="J27" s="24" t="s">
        <v>204</v>
      </c>
      <c r="K27" s="217" t="s">
        <v>110</v>
      </c>
      <c r="L27" s="24" t="s">
        <v>31</v>
      </c>
      <c r="M27" s="128"/>
      <c r="N27" s="81"/>
      <c r="O27" s="114"/>
      <c r="P27" s="128"/>
      <c r="Q27" s="81"/>
      <c r="R27" s="114"/>
      <c r="S27" s="200"/>
      <c r="T27" s="200"/>
      <c r="U27" s="200"/>
      <c r="W27" s="178">
        <v>18.0</v>
      </c>
      <c r="X27" s="220" t="s">
        <v>177</v>
      </c>
      <c r="Y27" s="215">
        <f t="shared" si="2"/>
        <v>2</v>
      </c>
    </row>
    <row r="28" ht="15.75" customHeight="1">
      <c r="A28" s="203"/>
      <c r="B28" s="203"/>
      <c r="C28" s="203"/>
      <c r="D28" s="112" t="s">
        <v>168</v>
      </c>
      <c r="E28" s="112" t="s">
        <v>205</v>
      </c>
      <c r="F28" s="112" t="s">
        <v>25</v>
      </c>
      <c r="G28" s="199"/>
      <c r="H28" s="199"/>
      <c r="I28" s="199"/>
      <c r="J28" s="36"/>
      <c r="K28" s="36"/>
      <c r="L28" s="36"/>
      <c r="M28" s="199"/>
      <c r="N28" s="229"/>
      <c r="O28" s="203"/>
      <c r="P28" s="128"/>
      <c r="Q28" s="81"/>
      <c r="R28" s="114"/>
      <c r="S28" s="200"/>
      <c r="T28" s="200"/>
      <c r="U28" s="200"/>
      <c r="W28" s="178">
        <v>19.0</v>
      </c>
      <c r="X28" s="220" t="s">
        <v>203</v>
      </c>
      <c r="Y28" s="215">
        <f t="shared" si="2"/>
        <v>2</v>
      </c>
    </row>
    <row r="29" ht="15.75" customHeight="1">
      <c r="A29" s="105" t="s">
        <v>115</v>
      </c>
      <c r="B29" s="12"/>
      <c r="C29" s="13"/>
      <c r="D29" s="155" t="s">
        <v>8</v>
      </c>
      <c r="E29" s="12"/>
      <c r="F29" s="13"/>
      <c r="G29" s="105" t="s">
        <v>116</v>
      </c>
      <c r="H29" s="12"/>
      <c r="I29" s="13"/>
      <c r="J29" s="156" t="s">
        <v>10</v>
      </c>
      <c r="K29" s="12"/>
      <c r="L29" s="13"/>
      <c r="M29" s="105" t="s">
        <v>81</v>
      </c>
      <c r="N29" s="12"/>
      <c r="O29" s="13"/>
      <c r="P29" s="230" t="s">
        <v>82</v>
      </c>
      <c r="Q29" s="12"/>
      <c r="R29" s="13"/>
      <c r="S29" s="106" t="s">
        <v>13</v>
      </c>
      <c r="T29" s="12"/>
      <c r="U29" s="13"/>
      <c r="W29" s="178">
        <v>20.0</v>
      </c>
      <c r="X29" s="146" t="s">
        <v>206</v>
      </c>
      <c r="Y29" s="215">
        <f t="shared" si="2"/>
        <v>0</v>
      </c>
    </row>
    <row r="30" ht="15.75" customHeight="1">
      <c r="A30" s="108">
        <f>S22+1</f>
        <v>46069</v>
      </c>
      <c r="B30" s="12"/>
      <c r="C30" s="13"/>
      <c r="D30" s="109">
        <f>A30+1</f>
        <v>46070</v>
      </c>
      <c r="E30" s="12"/>
      <c r="F30" s="13"/>
      <c r="G30" s="107">
        <f>D30+1</f>
        <v>46071</v>
      </c>
      <c r="H30" s="12"/>
      <c r="I30" s="13"/>
      <c r="J30" s="107">
        <f>G30+1</f>
        <v>46072</v>
      </c>
      <c r="K30" s="12"/>
      <c r="L30" s="13"/>
      <c r="M30" s="107">
        <f>J30+1</f>
        <v>46073</v>
      </c>
      <c r="N30" s="12"/>
      <c r="O30" s="13"/>
      <c r="P30" s="231">
        <f>M30+1</f>
        <v>46074</v>
      </c>
      <c r="Q30" s="12"/>
      <c r="R30" s="13"/>
      <c r="S30" s="109">
        <f>P30+1</f>
        <v>46075</v>
      </c>
      <c r="T30" s="12"/>
      <c r="U30" s="13"/>
      <c r="W30" s="178">
        <v>21.0</v>
      </c>
      <c r="X30" s="179" t="s">
        <v>196</v>
      </c>
      <c r="Y30" s="215">
        <f t="shared" si="2"/>
        <v>2</v>
      </c>
    </row>
    <row r="31" ht="15.75" customHeight="1">
      <c r="A31" s="24" t="s">
        <v>170</v>
      </c>
      <c r="B31" s="217" t="s">
        <v>62</v>
      </c>
      <c r="C31" s="24" t="s">
        <v>171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24" t="s">
        <v>200</v>
      </c>
      <c r="Q31" s="24" t="s">
        <v>60</v>
      </c>
      <c r="R31" s="24" t="s">
        <v>34</v>
      </c>
      <c r="S31" s="199"/>
      <c r="T31" s="199"/>
      <c r="U31" s="199"/>
      <c r="W31" s="178">
        <v>22.0</v>
      </c>
      <c r="X31" s="24" t="s">
        <v>200</v>
      </c>
      <c r="Y31" s="215">
        <f t="shared" si="2"/>
        <v>4</v>
      </c>
    </row>
    <row r="32" ht="15.75" customHeight="1">
      <c r="A32" s="36"/>
      <c r="B32" s="36"/>
      <c r="C32" s="36"/>
      <c r="D32" s="112" t="s">
        <v>168</v>
      </c>
      <c r="E32" s="113" t="s">
        <v>175</v>
      </c>
      <c r="F32" s="113" t="s">
        <v>25</v>
      </c>
      <c r="G32" s="24" t="s">
        <v>172</v>
      </c>
      <c r="H32" s="24" t="s">
        <v>33</v>
      </c>
      <c r="I32" s="24" t="s">
        <v>34</v>
      </c>
      <c r="J32" s="112" t="s">
        <v>176</v>
      </c>
      <c r="K32" s="112" t="s">
        <v>57</v>
      </c>
      <c r="L32" s="112" t="s">
        <v>25</v>
      </c>
      <c r="M32" s="24" t="s">
        <v>177</v>
      </c>
      <c r="N32" s="219" t="s">
        <v>100</v>
      </c>
      <c r="O32" s="41" t="s">
        <v>25</v>
      </c>
      <c r="S32" s="226" t="s">
        <v>14</v>
      </c>
      <c r="T32" s="12"/>
      <c r="U32" s="13"/>
      <c r="W32" s="178">
        <v>23.0</v>
      </c>
      <c r="X32" s="220" t="s">
        <v>189</v>
      </c>
      <c r="Y32" s="215">
        <f t="shared" si="2"/>
        <v>2</v>
      </c>
    </row>
    <row r="33" ht="15.75" customHeight="1">
      <c r="A33" s="24" t="s">
        <v>179</v>
      </c>
      <c r="B33" s="24" t="s">
        <v>29</v>
      </c>
      <c r="C33" s="24" t="s">
        <v>25</v>
      </c>
      <c r="D33" s="24" t="s">
        <v>174</v>
      </c>
      <c r="E33" s="217" t="s">
        <v>63</v>
      </c>
      <c r="F33" s="24" t="s">
        <v>31</v>
      </c>
      <c r="G33" s="24" t="s">
        <v>184</v>
      </c>
      <c r="H33" s="217" t="s">
        <v>30</v>
      </c>
      <c r="I33" s="24" t="s">
        <v>25</v>
      </c>
      <c r="J33" s="24" t="s">
        <v>180</v>
      </c>
      <c r="K33" s="217" t="s">
        <v>181</v>
      </c>
      <c r="L33" s="24" t="s">
        <v>25</v>
      </c>
      <c r="M33" s="113" t="s">
        <v>182</v>
      </c>
      <c r="N33" s="113" t="s">
        <v>181</v>
      </c>
      <c r="O33" s="113" t="s">
        <v>25</v>
      </c>
      <c r="P33" s="24" t="s">
        <v>167</v>
      </c>
      <c r="Q33" s="24" t="s">
        <v>202</v>
      </c>
      <c r="R33" s="24" t="s">
        <v>25</v>
      </c>
      <c r="S33" s="232"/>
      <c r="T33" s="232"/>
      <c r="U33" s="232"/>
      <c r="W33" s="178">
        <v>24.0</v>
      </c>
      <c r="X33" s="220" t="s">
        <v>204</v>
      </c>
      <c r="Y33" s="215">
        <f t="shared" si="2"/>
        <v>2</v>
      </c>
    </row>
    <row r="34" ht="15.0" customHeight="1">
      <c r="A34" s="24" t="s">
        <v>185</v>
      </c>
      <c r="B34" s="24" t="s">
        <v>186</v>
      </c>
      <c r="C34" s="24" t="s">
        <v>25</v>
      </c>
      <c r="D34" s="36"/>
      <c r="E34" s="36"/>
      <c r="F34" s="36"/>
      <c r="G34" s="24" t="s">
        <v>179</v>
      </c>
      <c r="H34" s="217" t="s">
        <v>191</v>
      </c>
      <c r="I34" s="24" t="s">
        <v>25</v>
      </c>
      <c r="J34" s="24" t="s">
        <v>187</v>
      </c>
      <c r="K34" s="24" t="s">
        <v>51</v>
      </c>
      <c r="L34" s="24" t="s">
        <v>25</v>
      </c>
      <c r="M34" s="24"/>
      <c r="N34" s="217"/>
      <c r="O34" s="24"/>
      <c r="P34" s="199"/>
      <c r="Q34" s="141"/>
      <c r="R34" s="46" t="s">
        <v>48</v>
      </c>
      <c r="S34" s="198"/>
      <c r="T34" s="198"/>
      <c r="U34" s="198"/>
      <c r="W34" s="178">
        <v>25.0</v>
      </c>
      <c r="X34" s="146" t="s">
        <v>187</v>
      </c>
      <c r="Y34" s="215">
        <f t="shared" si="2"/>
        <v>2</v>
      </c>
    </row>
    <row r="35" ht="15.75" customHeight="1">
      <c r="A35" s="221" t="s">
        <v>176</v>
      </c>
      <c r="B35" s="24"/>
      <c r="C35" s="24"/>
      <c r="D35" s="24" t="s">
        <v>189</v>
      </c>
      <c r="E35" s="59" t="s">
        <v>190</v>
      </c>
      <c r="F35" s="24" t="s">
        <v>25</v>
      </c>
      <c r="G35" s="60"/>
      <c r="H35" s="233"/>
      <c r="I35" s="43" t="s">
        <v>40</v>
      </c>
      <c r="J35" s="199"/>
      <c r="K35" s="203"/>
      <c r="L35" s="199"/>
      <c r="M35" s="113"/>
      <c r="N35" s="113"/>
      <c r="O35" s="113"/>
      <c r="P35" s="112" t="s">
        <v>166</v>
      </c>
      <c r="Q35" s="112" t="s">
        <v>129</v>
      </c>
      <c r="R35" s="112" t="s">
        <v>25</v>
      </c>
      <c r="S35" s="198"/>
      <c r="T35" s="198"/>
      <c r="U35" s="198"/>
      <c r="W35" s="178">
        <v>26.0</v>
      </c>
      <c r="X35" s="93" t="s">
        <v>170</v>
      </c>
      <c r="Y35" s="215">
        <f t="shared" si="2"/>
        <v>5</v>
      </c>
    </row>
    <row r="36" ht="14.25" customHeight="1">
      <c r="A36" s="203"/>
      <c r="B36" s="203"/>
      <c r="C36" s="185"/>
      <c r="D36" s="24" t="s">
        <v>192</v>
      </c>
      <c r="E36" s="47"/>
      <c r="F36" s="24" t="s">
        <v>31</v>
      </c>
      <c r="G36" s="199"/>
      <c r="H36" s="203"/>
      <c r="I36" s="199"/>
      <c r="J36" s="199"/>
      <c r="K36" s="203"/>
      <c r="L36" s="199"/>
      <c r="M36" s="199"/>
      <c r="N36" s="203"/>
      <c r="O36" s="199"/>
      <c r="P36" s="234"/>
      <c r="Q36" s="234"/>
      <c r="R36" s="234"/>
      <c r="S36" s="200"/>
      <c r="T36" s="200"/>
      <c r="U36" s="200"/>
      <c r="W36" s="178">
        <v>27.0</v>
      </c>
      <c r="X36" s="24" t="s">
        <v>199</v>
      </c>
      <c r="Y36" s="215">
        <f t="shared" si="2"/>
        <v>2</v>
      </c>
    </row>
    <row r="37" ht="15.75" customHeight="1">
      <c r="A37" s="136" t="s">
        <v>115</v>
      </c>
      <c r="B37" s="12"/>
      <c r="C37" s="13"/>
      <c r="D37" s="136" t="s">
        <v>8</v>
      </c>
      <c r="E37" s="12"/>
      <c r="F37" s="13"/>
      <c r="G37" s="136" t="s">
        <v>116</v>
      </c>
      <c r="H37" s="12"/>
      <c r="I37" s="13"/>
      <c r="J37" s="136" t="s">
        <v>10</v>
      </c>
      <c r="K37" s="12"/>
      <c r="L37" s="13"/>
      <c r="M37" s="136" t="s">
        <v>11</v>
      </c>
      <c r="N37" s="12"/>
      <c r="O37" s="13"/>
      <c r="P37" s="136" t="s">
        <v>82</v>
      </c>
      <c r="Q37" s="12"/>
      <c r="R37" s="13"/>
      <c r="S37" s="137" t="s">
        <v>117</v>
      </c>
      <c r="T37" s="12"/>
      <c r="U37" s="13"/>
      <c r="W37" s="178">
        <v>28.0</v>
      </c>
      <c r="X37" s="146" t="s">
        <v>173</v>
      </c>
      <c r="Y37" s="215">
        <f t="shared" si="2"/>
        <v>4</v>
      </c>
    </row>
    <row r="38" ht="15.75" customHeight="1">
      <c r="A38" s="138">
        <f>S30+1</f>
        <v>46076</v>
      </c>
      <c r="B38" s="12"/>
      <c r="C38" s="13"/>
      <c r="D38" s="138">
        <f>A38+1</f>
        <v>46077</v>
      </c>
      <c r="E38" s="12"/>
      <c r="F38" s="13"/>
      <c r="G38" s="138">
        <f>D38+1</f>
        <v>46078</v>
      </c>
      <c r="H38" s="12"/>
      <c r="I38" s="13"/>
      <c r="J38" s="138">
        <f>G38+1</f>
        <v>46079</v>
      </c>
      <c r="K38" s="12"/>
      <c r="L38" s="13"/>
      <c r="M38" s="138">
        <f>J38+1</f>
        <v>46080</v>
      </c>
      <c r="N38" s="12"/>
      <c r="O38" s="13"/>
      <c r="P38" s="138">
        <f>M38+1</f>
        <v>46081</v>
      </c>
      <c r="Q38" s="12"/>
      <c r="R38" s="13"/>
      <c r="S38" s="139">
        <f>P38+1</f>
        <v>46082</v>
      </c>
      <c r="T38" s="12"/>
      <c r="U38" s="13"/>
      <c r="W38" s="178">
        <v>29.0</v>
      </c>
      <c r="X38" s="24" t="s">
        <v>201</v>
      </c>
      <c r="Y38" s="215">
        <f t="shared" si="2"/>
        <v>2</v>
      </c>
    </row>
    <row r="39" ht="15.75" customHeight="1">
      <c r="A39" s="62" t="s">
        <v>170</v>
      </c>
      <c r="B39" s="235"/>
      <c r="C39" s="62" t="s">
        <v>171</v>
      </c>
      <c r="D39" s="236"/>
      <c r="E39" s="236"/>
      <c r="F39" s="236"/>
      <c r="G39" s="236"/>
      <c r="H39" s="236"/>
      <c r="I39" s="236"/>
      <c r="J39" s="112"/>
      <c r="K39" s="112"/>
      <c r="L39" s="112"/>
      <c r="M39" s="112"/>
      <c r="N39" s="112"/>
      <c r="O39" s="112"/>
      <c r="P39" s="237" t="s">
        <v>173</v>
      </c>
      <c r="Q39" s="238" t="s">
        <v>28</v>
      </c>
      <c r="R39" s="237" t="s">
        <v>31</v>
      </c>
      <c r="S39" s="206"/>
      <c r="T39" s="206"/>
      <c r="U39" s="206"/>
      <c r="Y39" s="215">
        <f t="shared" si="2"/>
        <v>0</v>
      </c>
    </row>
    <row r="40" ht="15.75" customHeight="1">
      <c r="A40" s="36"/>
      <c r="B40" s="36"/>
      <c r="C40" s="36"/>
      <c r="D40" s="46" t="s">
        <v>188</v>
      </c>
      <c r="E40" s="46" t="s">
        <v>38</v>
      </c>
      <c r="F40" s="46" t="s">
        <v>31</v>
      </c>
      <c r="G40" s="24" t="s">
        <v>179</v>
      </c>
      <c r="H40" s="24" t="s">
        <v>29</v>
      </c>
      <c r="I40" s="24" t="s">
        <v>25</v>
      </c>
      <c r="J40" s="24" t="s">
        <v>180</v>
      </c>
      <c r="K40" s="217" t="s">
        <v>195</v>
      </c>
      <c r="L40" s="24" t="s">
        <v>25</v>
      </c>
      <c r="M40" s="24" t="s">
        <v>193</v>
      </c>
      <c r="N40" s="146" t="s">
        <v>28</v>
      </c>
      <c r="O40" s="24" t="s">
        <v>25</v>
      </c>
      <c r="P40" s="24" t="s">
        <v>196</v>
      </c>
      <c r="Q40" s="24" t="s">
        <v>63</v>
      </c>
      <c r="R40" s="24" t="s">
        <v>34</v>
      </c>
      <c r="S40" s="226" t="s">
        <v>14</v>
      </c>
      <c r="T40" s="12"/>
      <c r="U40" s="13"/>
      <c r="Y40" s="102">
        <f>SUM(Y10:Y38)</f>
        <v>79</v>
      </c>
    </row>
    <row r="41" ht="15.75" customHeight="1">
      <c r="A41" s="24" t="s">
        <v>179</v>
      </c>
      <c r="B41" s="24" t="s">
        <v>29</v>
      </c>
      <c r="C41" s="24" t="s">
        <v>25</v>
      </c>
      <c r="D41" s="24" t="s">
        <v>170</v>
      </c>
      <c r="E41" s="239" t="s">
        <v>102</v>
      </c>
      <c r="F41" s="24" t="s">
        <v>171</v>
      </c>
      <c r="G41" s="24" t="s">
        <v>197</v>
      </c>
      <c r="H41" s="24" t="s">
        <v>33</v>
      </c>
      <c r="I41" s="24" t="s">
        <v>25</v>
      </c>
      <c r="J41" s="24" t="s">
        <v>199</v>
      </c>
      <c r="K41" s="24" t="s">
        <v>57</v>
      </c>
      <c r="L41" s="24" t="s">
        <v>34</v>
      </c>
      <c r="M41" s="24" t="s">
        <v>200</v>
      </c>
      <c r="N41" s="24" t="s">
        <v>60</v>
      </c>
      <c r="O41" s="24" t="s">
        <v>34</v>
      </c>
      <c r="P41" s="24" t="s">
        <v>200</v>
      </c>
      <c r="Q41" s="24"/>
      <c r="R41" s="24" t="s">
        <v>34</v>
      </c>
      <c r="S41" s="232"/>
      <c r="T41" s="232"/>
      <c r="U41" s="232"/>
      <c r="X41" s="102" t="s">
        <v>69</v>
      </c>
    </row>
    <row r="42" ht="15.75" customHeight="1">
      <c r="A42" s="24" t="s">
        <v>185</v>
      </c>
      <c r="B42" s="24" t="s">
        <v>186</v>
      </c>
      <c r="C42" s="24" t="s">
        <v>25</v>
      </c>
      <c r="D42" s="112" t="s">
        <v>168</v>
      </c>
      <c r="E42" s="112" t="s">
        <v>205</v>
      </c>
      <c r="F42" s="112" t="s">
        <v>25</v>
      </c>
      <c r="G42" s="113"/>
      <c r="H42" s="113"/>
      <c r="I42" s="113"/>
      <c r="J42" s="24" t="s">
        <v>201</v>
      </c>
      <c r="K42" s="24" t="s">
        <v>63</v>
      </c>
      <c r="L42" s="24" t="s">
        <v>34</v>
      </c>
      <c r="M42" s="112" t="s">
        <v>178</v>
      </c>
      <c r="N42" s="112" t="s">
        <v>129</v>
      </c>
      <c r="O42" s="112" t="s">
        <v>25</v>
      </c>
      <c r="P42" s="24" t="s">
        <v>167</v>
      </c>
      <c r="Q42" s="24" t="s">
        <v>202</v>
      </c>
      <c r="R42" s="24" t="s">
        <v>25</v>
      </c>
      <c r="S42" s="198"/>
      <c r="T42" s="198"/>
      <c r="U42" s="200"/>
    </row>
    <row r="43" ht="15.75" customHeight="1">
      <c r="A43" s="24" t="s">
        <v>203</v>
      </c>
      <c r="B43" s="24" t="s">
        <v>110</v>
      </c>
      <c r="C43" s="24" t="s">
        <v>31</v>
      </c>
      <c r="D43" s="236"/>
      <c r="E43" s="236"/>
      <c r="F43" s="236"/>
      <c r="G43" s="236"/>
      <c r="H43" s="236"/>
      <c r="I43" s="236"/>
      <c r="J43" s="24" t="s">
        <v>204</v>
      </c>
      <c r="K43" s="217" t="s">
        <v>110</v>
      </c>
      <c r="L43" s="24" t="s">
        <v>31</v>
      </c>
      <c r="M43" s="240"/>
      <c r="N43" s="240"/>
      <c r="O43" s="240"/>
      <c r="P43" s="80"/>
      <c r="Q43" s="80"/>
      <c r="R43" s="80"/>
      <c r="S43" s="140"/>
      <c r="T43" s="140"/>
      <c r="U43" s="114"/>
    </row>
    <row r="44" ht="15.75" customHeight="1">
      <c r="A44" s="236"/>
      <c r="B44" s="236"/>
      <c r="C44" s="236"/>
      <c r="D44" s="236"/>
      <c r="E44" s="236"/>
      <c r="F44" s="236"/>
      <c r="G44" s="236"/>
      <c r="H44" s="236"/>
      <c r="I44" s="236"/>
      <c r="J44" s="36"/>
      <c r="K44" s="36"/>
      <c r="L44" s="36"/>
      <c r="M44" s="240"/>
      <c r="N44" s="240"/>
      <c r="O44" s="240"/>
      <c r="P44" s="116"/>
      <c r="Q44" s="116"/>
      <c r="R44" s="116"/>
      <c r="S44" s="200"/>
      <c r="T44" s="200"/>
      <c r="U44" s="200"/>
    </row>
    <row r="45" ht="15.75" customHeight="1">
      <c r="A45" s="105"/>
      <c r="B45" s="12"/>
      <c r="C45" s="13"/>
      <c r="D45" s="105"/>
      <c r="E45" s="12"/>
      <c r="F45" s="13"/>
      <c r="G45" s="105"/>
      <c r="H45" s="12"/>
      <c r="I45" s="13"/>
      <c r="J45" s="105"/>
      <c r="K45" s="12"/>
      <c r="L45" s="13"/>
      <c r="M45" s="105"/>
      <c r="N45" s="12"/>
      <c r="O45" s="13"/>
      <c r="P45" s="105"/>
      <c r="Q45" s="12"/>
      <c r="R45" s="13"/>
      <c r="S45" s="106"/>
      <c r="T45" s="12"/>
      <c r="U45" s="13"/>
    </row>
    <row r="46" ht="15.75" customHeight="1">
      <c r="A46" s="108"/>
      <c r="B46" s="12"/>
      <c r="C46" s="13"/>
      <c r="D46" s="107"/>
      <c r="E46" s="12"/>
      <c r="F46" s="13"/>
      <c r="G46" s="107"/>
      <c r="H46" s="12"/>
      <c r="I46" s="13"/>
      <c r="J46" s="107"/>
      <c r="K46" s="12"/>
      <c r="L46" s="13"/>
      <c r="M46" s="107"/>
      <c r="N46" s="12"/>
      <c r="O46" s="13"/>
      <c r="P46" s="107"/>
      <c r="Q46" s="12"/>
      <c r="R46" s="13"/>
      <c r="S46" s="108"/>
      <c r="T46" s="12"/>
      <c r="U46" s="13"/>
    </row>
    <row r="47" ht="15.75" customHeight="1">
      <c r="A47" s="206"/>
      <c r="B47" s="206"/>
      <c r="C47" s="206"/>
      <c r="D47" s="198"/>
      <c r="E47" s="198"/>
      <c r="F47" s="198"/>
      <c r="G47" s="198"/>
      <c r="H47" s="198"/>
      <c r="I47" s="200"/>
      <c r="J47" s="198"/>
      <c r="K47" s="198"/>
      <c r="L47" s="198"/>
      <c r="M47" s="198"/>
      <c r="N47" s="198"/>
      <c r="O47" s="198"/>
      <c r="P47" s="206"/>
      <c r="Q47" s="206"/>
      <c r="R47" s="206"/>
      <c r="S47" s="198"/>
      <c r="T47" s="198"/>
      <c r="U47" s="198"/>
    </row>
    <row r="48" ht="15.75" customHeight="1">
      <c r="A48" s="198"/>
      <c r="B48" s="198"/>
      <c r="C48" s="198"/>
      <c r="D48" s="198"/>
      <c r="E48" s="198"/>
      <c r="F48" s="198"/>
      <c r="G48" s="198"/>
      <c r="H48" s="198"/>
      <c r="I48" s="200"/>
      <c r="J48" s="198"/>
      <c r="K48" s="198"/>
      <c r="L48" s="198"/>
      <c r="M48" s="198"/>
      <c r="N48" s="198"/>
      <c r="O48" s="198"/>
      <c r="P48" s="206"/>
      <c r="Q48" s="206"/>
      <c r="R48" s="206"/>
      <c r="S48" s="198"/>
      <c r="T48" s="198"/>
      <c r="U48" s="198"/>
    </row>
    <row r="49" ht="15.75" customHeight="1">
      <c r="A49" s="169"/>
      <c r="B49" s="169"/>
      <c r="C49" s="169"/>
      <c r="D49" s="198"/>
      <c r="E49" s="198"/>
      <c r="F49" s="198"/>
      <c r="G49" s="198"/>
      <c r="H49" s="198"/>
      <c r="I49" s="198"/>
      <c r="J49" s="199"/>
      <c r="K49" s="203"/>
      <c r="L49" s="198"/>
      <c r="M49" s="200"/>
      <c r="N49" s="200"/>
      <c r="O49" s="200"/>
      <c r="P49" s="206"/>
      <c r="Q49" s="206"/>
      <c r="R49" s="206"/>
      <c r="S49" s="200"/>
      <c r="T49" s="200"/>
      <c r="U49" s="200"/>
    </row>
    <row r="50" ht="15.75" customHeight="1">
      <c r="A50" s="114"/>
      <c r="B50" s="114"/>
      <c r="C50" s="114"/>
      <c r="D50" s="148"/>
      <c r="E50" s="148"/>
      <c r="F50" s="148"/>
      <c r="G50" s="241"/>
      <c r="H50" s="241"/>
      <c r="I50" s="241"/>
      <c r="J50" s="198"/>
      <c r="K50" s="198"/>
      <c r="L50" s="198"/>
      <c r="M50" s="198"/>
      <c r="N50" s="198"/>
      <c r="O50" s="198"/>
      <c r="P50" s="241"/>
      <c r="Q50" s="232"/>
      <c r="R50" s="200"/>
      <c r="S50" s="198"/>
      <c r="T50" s="198"/>
      <c r="U50" s="198"/>
    </row>
    <row r="51" ht="15.75" customHeight="1">
      <c r="A51" s="200"/>
      <c r="B51" s="200"/>
      <c r="C51" s="200"/>
      <c r="D51" s="60"/>
      <c r="E51" s="60"/>
      <c r="F51" s="60"/>
      <c r="G51" s="200"/>
      <c r="H51" s="200"/>
      <c r="I51" s="200"/>
      <c r="J51" s="200"/>
      <c r="K51" s="200"/>
      <c r="L51" s="201"/>
      <c r="M51" s="200"/>
      <c r="N51" s="200"/>
      <c r="O51" s="201"/>
      <c r="P51" s="148"/>
      <c r="Q51" s="148"/>
      <c r="R51" s="148"/>
      <c r="S51" s="200"/>
      <c r="T51" s="200"/>
      <c r="U51" s="201"/>
    </row>
    <row r="52" ht="15.75" customHeight="1">
      <c r="A52" s="200"/>
      <c r="B52" s="200"/>
      <c r="C52" s="200"/>
      <c r="D52" s="198"/>
      <c r="E52" s="198"/>
      <c r="F52" s="198"/>
      <c r="G52" s="198"/>
      <c r="H52" s="198"/>
      <c r="I52" s="242"/>
      <c r="J52" s="198"/>
      <c r="K52" s="198"/>
      <c r="L52" s="198"/>
      <c r="M52" s="198"/>
      <c r="N52" s="198"/>
      <c r="O52" s="198"/>
      <c r="P52" s="200"/>
      <c r="Q52" s="200"/>
      <c r="R52" s="200"/>
      <c r="S52" s="198"/>
      <c r="T52" s="198"/>
      <c r="U52" s="198"/>
    </row>
    <row r="53" ht="15.75" customHeight="1"/>
    <row r="54" ht="15.75" customHeight="1"/>
    <row r="55" ht="15.75" customHeight="1">
      <c r="A55" s="82" t="s">
        <v>72</v>
      </c>
      <c r="B55" s="83"/>
    </row>
    <row r="56" ht="15.75" customHeight="1">
      <c r="A56" s="84"/>
      <c r="B56" s="85" t="s">
        <v>73</v>
      </c>
      <c r="C56" s="86"/>
      <c r="D56" s="87"/>
    </row>
    <row r="57" ht="15.75" customHeight="1">
      <c r="A57" s="91"/>
      <c r="B57" s="85" t="s">
        <v>74</v>
      </c>
      <c r="C57" s="86"/>
    </row>
    <row r="58" ht="15.75" customHeight="1">
      <c r="A58" s="94"/>
      <c r="B58" s="85" t="s">
        <v>75</v>
      </c>
      <c r="C58" s="86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S22:U22"/>
    <mergeCell ref="S25:U25"/>
    <mergeCell ref="S32:U32"/>
    <mergeCell ref="S40:U40"/>
    <mergeCell ref="S45:U45"/>
    <mergeCell ref="A22:C22"/>
    <mergeCell ref="D22:F22"/>
    <mergeCell ref="G22:I22"/>
    <mergeCell ref="J22:L22"/>
    <mergeCell ref="M22:O22"/>
    <mergeCell ref="P22:R22"/>
    <mergeCell ref="M24:O24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E35:E36"/>
    <mergeCell ref="D37:F37"/>
    <mergeCell ref="G37:I37"/>
    <mergeCell ref="J37:L37"/>
    <mergeCell ref="M37:O37"/>
    <mergeCell ref="P37:R37"/>
    <mergeCell ref="S37:U37"/>
    <mergeCell ref="A37:C37"/>
    <mergeCell ref="D38:F38"/>
    <mergeCell ref="G38:I38"/>
    <mergeCell ref="J38:L38"/>
    <mergeCell ref="M38:O38"/>
    <mergeCell ref="P38:R38"/>
    <mergeCell ref="S38:U38"/>
    <mergeCell ref="A46:C46"/>
    <mergeCell ref="D46:F46"/>
    <mergeCell ref="G46:I46"/>
    <mergeCell ref="J46:L46"/>
    <mergeCell ref="M46:O46"/>
    <mergeCell ref="P46:R46"/>
    <mergeCell ref="S46:U46"/>
    <mergeCell ref="A38:C38"/>
    <mergeCell ref="A45:C45"/>
    <mergeCell ref="D45:F45"/>
    <mergeCell ref="G45:I45"/>
    <mergeCell ref="J45:L45"/>
    <mergeCell ref="M45:O45"/>
    <mergeCell ref="P45:R45"/>
    <mergeCell ref="B55:D5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P20:R20"/>
    <mergeCell ref="P21:R21"/>
    <mergeCell ref="S21:U21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G14:I14"/>
    <mergeCell ref="J14:L14"/>
    <mergeCell ref="M14:O14"/>
    <mergeCell ref="P14:R14"/>
    <mergeCell ref="S14:U14"/>
    <mergeCell ref="S16:U16"/>
    <mergeCell ref="D14:F14"/>
    <mergeCell ref="E19:E20"/>
    <mergeCell ref="A21:C21"/>
    <mergeCell ref="D21:F21"/>
    <mergeCell ref="G21:I21"/>
    <mergeCell ref="J21:L21"/>
    <mergeCell ref="M21:O21"/>
  </mergeCells>
  <printOptions/>
  <pageMargins bottom="0.15" footer="0.0" header="0.0" left="0.46" right="0.34" top="0.28"/>
  <pageSetup fitToHeight="0" paperSize="11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9.29"/>
    <col customWidth="1" min="4" max="4" width="17.57"/>
    <col customWidth="1" min="5" max="5" width="13.14"/>
    <col customWidth="1" min="6" max="6" width="7.71"/>
    <col customWidth="1" min="7" max="7" width="18.57"/>
    <col customWidth="1" min="8" max="8" width="11.14"/>
    <col customWidth="1" min="9" max="9" width="7.71"/>
    <col customWidth="1" min="10" max="10" width="16.43"/>
    <col customWidth="1" min="11" max="11" width="11.71"/>
    <col customWidth="1" min="12" max="12" width="7.71"/>
    <col customWidth="1" min="13" max="13" width="17.71"/>
    <col customWidth="1" min="14" max="14" width="11.43"/>
    <col customWidth="1" min="15" max="15" width="7.71"/>
    <col customWidth="1" min="16" max="16" width="15.0"/>
    <col customWidth="1" min="17" max="17" width="11.43"/>
    <col customWidth="1" min="18" max="19" width="7.71"/>
    <col customWidth="1" min="20" max="20" width="7.57"/>
    <col customWidth="1" min="21" max="21" width="7.43"/>
    <col customWidth="1" min="22" max="23" width="8.71"/>
    <col customWidth="1" min="24" max="24" width="19.0"/>
    <col customWidth="1" min="25" max="25" width="15.14"/>
    <col customWidth="1" min="26" max="29" width="8.71"/>
  </cols>
  <sheetData>
    <row r="1">
      <c r="A1" s="1" t="s">
        <v>207</v>
      </c>
      <c r="C1" s="170" t="s">
        <v>208</v>
      </c>
      <c r="F1" s="3"/>
      <c r="G1" s="4" t="s">
        <v>2</v>
      </c>
      <c r="Q1" s="9"/>
    </row>
    <row r="2">
      <c r="A2" s="1" t="s">
        <v>3</v>
      </c>
      <c r="C2" s="6" t="s">
        <v>78</v>
      </c>
      <c r="F2" s="3"/>
      <c r="Q2" s="9"/>
    </row>
    <row r="3">
      <c r="A3" s="1" t="s">
        <v>5</v>
      </c>
      <c r="C3" s="243"/>
      <c r="D3" s="244"/>
      <c r="E3" s="244"/>
      <c r="F3" s="3"/>
      <c r="Q3" s="9"/>
    </row>
    <row r="4">
      <c r="A4" s="1" t="s">
        <v>6</v>
      </c>
      <c r="C4" s="171"/>
      <c r="E4" s="3"/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0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  <c r="W5" s="102" t="s">
        <v>209</v>
      </c>
    </row>
    <row r="6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  <c r="W6" s="102">
        <f>COUNTA(#REF!,#REF!,#REF!,#REF!,#REF!,#REF!,#REF!,P33:P36,D23:D28,#REF!,G15:G20,#REF!,M24:M28,P39:P44,A23:A28,D31:D36,G23:G28,#REF!,P15:P16,A31:A36,D39:D44,J42:J44,J32:J36)</f>
        <v>45</v>
      </c>
    </row>
    <row r="7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</row>
    <row r="8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</row>
    <row r="9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9" t="s">
        <v>14</v>
      </c>
      <c r="T9" s="12"/>
      <c r="U9" s="13"/>
      <c r="W9" s="245" t="s">
        <v>15</v>
      </c>
      <c r="X9" s="245" t="s">
        <v>16</v>
      </c>
      <c r="Y9" s="246" t="s">
        <v>17</v>
      </c>
      <c r="Z9" s="247" t="s">
        <v>210</v>
      </c>
    </row>
    <row r="10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W10" s="246">
        <v>2.0</v>
      </c>
      <c r="X10" s="248" t="s">
        <v>185</v>
      </c>
      <c r="Y10" s="249">
        <f t="shared" ref="Y10:Y27" si="1">countif($A$5:$U$52,X10)</f>
        <v>4</v>
      </c>
      <c r="Z10" s="75">
        <f t="shared" ref="Z10:Z27" si="2">COUNTIF($A$5:$U$51,X10)</f>
        <v>4</v>
      </c>
    </row>
    <row r="11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W11" s="246">
        <v>3.0</v>
      </c>
      <c r="X11" s="248" t="s">
        <v>211</v>
      </c>
      <c r="Y11" s="249">
        <f t="shared" si="1"/>
        <v>8</v>
      </c>
      <c r="Z11" s="75">
        <f t="shared" si="2"/>
        <v>8</v>
      </c>
    </row>
    <row r="12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W12" s="246">
        <v>4.0</v>
      </c>
      <c r="X12" s="248" t="s">
        <v>212</v>
      </c>
      <c r="Y12" s="249">
        <f t="shared" si="1"/>
        <v>3</v>
      </c>
      <c r="Z12" s="75">
        <f t="shared" si="2"/>
        <v>3</v>
      </c>
    </row>
    <row r="13" ht="15.75" customHeight="1">
      <c r="A13" s="105" t="s">
        <v>7</v>
      </c>
      <c r="B13" s="12"/>
      <c r="C13" s="13"/>
      <c r="D13" s="105" t="s">
        <v>8</v>
      </c>
      <c r="E13" s="12"/>
      <c r="F13" s="13"/>
      <c r="G13" s="105" t="s">
        <v>9</v>
      </c>
      <c r="H13" s="12"/>
      <c r="I13" s="13"/>
      <c r="J13" s="105" t="s">
        <v>10</v>
      </c>
      <c r="K13" s="12"/>
      <c r="L13" s="13"/>
      <c r="M13" s="105" t="s">
        <v>81</v>
      </c>
      <c r="N13" s="12"/>
      <c r="O13" s="13"/>
      <c r="P13" s="105" t="s">
        <v>82</v>
      </c>
      <c r="Q13" s="12"/>
      <c r="R13" s="13"/>
      <c r="S13" s="106" t="s">
        <v>13</v>
      </c>
      <c r="T13" s="12"/>
      <c r="U13" s="13"/>
      <c r="W13" s="246">
        <v>5.0</v>
      </c>
      <c r="X13" s="248" t="s">
        <v>213</v>
      </c>
      <c r="Y13" s="249">
        <f t="shared" si="1"/>
        <v>2</v>
      </c>
      <c r="Z13" s="75">
        <f t="shared" si="2"/>
        <v>2</v>
      </c>
    </row>
    <row r="14">
      <c r="A14" s="107">
        <f>S6+1</f>
        <v>46055</v>
      </c>
      <c r="B14" s="12"/>
      <c r="C14" s="13"/>
      <c r="D14" s="107">
        <f>A14+1</f>
        <v>46056</v>
      </c>
      <c r="E14" s="12"/>
      <c r="F14" s="13"/>
      <c r="G14" s="107">
        <f>D14+1</f>
        <v>46057</v>
      </c>
      <c r="H14" s="12"/>
      <c r="I14" s="13"/>
      <c r="J14" s="107">
        <f>G14+1</f>
        <v>46058</v>
      </c>
      <c r="K14" s="12"/>
      <c r="L14" s="13"/>
      <c r="M14" s="108">
        <f>J14+1</f>
        <v>46059</v>
      </c>
      <c r="N14" s="12"/>
      <c r="O14" s="13"/>
      <c r="P14" s="107">
        <f>M14+1</f>
        <v>46060</v>
      </c>
      <c r="Q14" s="12"/>
      <c r="R14" s="13"/>
      <c r="S14" s="109">
        <f>P14+1</f>
        <v>46061</v>
      </c>
      <c r="T14" s="12"/>
      <c r="U14" s="13"/>
      <c r="W14" s="246">
        <v>6.0</v>
      </c>
      <c r="X14" s="250" t="s">
        <v>214</v>
      </c>
      <c r="Y14" s="249">
        <f t="shared" si="1"/>
        <v>2</v>
      </c>
      <c r="Z14" s="75">
        <f t="shared" si="2"/>
        <v>2</v>
      </c>
    </row>
    <row r="15">
      <c r="A15" s="24" t="s">
        <v>215</v>
      </c>
      <c r="B15" s="24" t="s">
        <v>28</v>
      </c>
      <c r="C15" s="24" t="s">
        <v>34</v>
      </c>
      <c r="D15" s="199"/>
      <c r="E15" s="199"/>
      <c r="F15" s="199"/>
      <c r="G15" s="36"/>
      <c r="H15" s="36"/>
      <c r="I15" s="36"/>
      <c r="J15" s="203"/>
      <c r="K15" s="203"/>
      <c r="L15" s="203"/>
      <c r="M15" s="199"/>
      <c r="N15" s="199"/>
      <c r="O15" s="199"/>
      <c r="P15" s="199"/>
      <c r="Q15" s="251"/>
      <c r="R15" s="141"/>
      <c r="S15" s="252"/>
      <c r="T15" s="252"/>
      <c r="U15" s="253"/>
      <c r="W15" s="246">
        <v>7.0</v>
      </c>
      <c r="X15" s="248" t="s">
        <v>216</v>
      </c>
      <c r="Y15" s="249">
        <f t="shared" si="1"/>
        <v>2</v>
      </c>
      <c r="Z15" s="75">
        <f t="shared" si="2"/>
        <v>2</v>
      </c>
    </row>
    <row r="16">
      <c r="A16" s="210"/>
      <c r="B16" s="210"/>
      <c r="C16" s="210"/>
      <c r="D16" s="24" t="s">
        <v>211</v>
      </c>
      <c r="E16" s="24" t="s">
        <v>29</v>
      </c>
      <c r="F16" s="24" t="s">
        <v>25</v>
      </c>
      <c r="G16" s="24" t="s">
        <v>213</v>
      </c>
      <c r="H16" s="24" t="s">
        <v>38</v>
      </c>
      <c r="I16" s="24" t="s">
        <v>31</v>
      </c>
      <c r="J16" s="24" t="s">
        <v>211</v>
      </c>
      <c r="K16" s="24" t="s">
        <v>29</v>
      </c>
      <c r="L16" s="24" t="s">
        <v>25</v>
      </c>
      <c r="M16" s="24" t="s">
        <v>217</v>
      </c>
      <c r="N16" s="24" t="s">
        <v>28</v>
      </c>
      <c r="O16" s="24" t="s">
        <v>25</v>
      </c>
      <c r="P16" s="24" t="s">
        <v>218</v>
      </c>
      <c r="Q16" s="217" t="s">
        <v>219</v>
      </c>
      <c r="R16" s="71" t="s">
        <v>34</v>
      </c>
      <c r="S16" s="252"/>
      <c r="T16" s="252"/>
      <c r="U16" s="252"/>
      <c r="W16" s="246">
        <v>8.0</v>
      </c>
      <c r="X16" s="179" t="s">
        <v>215</v>
      </c>
      <c r="Y16" s="249">
        <f t="shared" si="1"/>
        <v>2</v>
      </c>
      <c r="Z16" s="75">
        <f t="shared" si="2"/>
        <v>2</v>
      </c>
    </row>
    <row r="17">
      <c r="A17" s="24" t="s">
        <v>185</v>
      </c>
      <c r="B17" s="24" t="s">
        <v>186</v>
      </c>
      <c r="C17" s="24" t="s">
        <v>25</v>
      </c>
      <c r="D17" s="24" t="s">
        <v>220</v>
      </c>
      <c r="E17" s="24" t="s">
        <v>102</v>
      </c>
      <c r="F17" s="24" t="s">
        <v>34</v>
      </c>
      <c r="G17" s="24" t="s">
        <v>214</v>
      </c>
      <c r="H17" s="24" t="s">
        <v>28</v>
      </c>
      <c r="I17" s="24" t="s">
        <v>31</v>
      </c>
      <c r="J17" s="24" t="s">
        <v>221</v>
      </c>
      <c r="K17" s="24" t="s">
        <v>60</v>
      </c>
      <c r="L17" s="24" t="s">
        <v>34</v>
      </c>
      <c r="M17" s="121" t="s">
        <v>222</v>
      </c>
      <c r="N17" s="121" t="s">
        <v>129</v>
      </c>
      <c r="O17" s="121" t="s">
        <v>25</v>
      </c>
      <c r="P17" s="38" t="s">
        <v>223</v>
      </c>
      <c r="Q17" s="254" t="s">
        <v>102</v>
      </c>
      <c r="R17" s="38" t="s">
        <v>34</v>
      </c>
      <c r="S17" s="19" t="s">
        <v>14</v>
      </c>
      <c r="T17" s="12"/>
      <c r="U17" s="13"/>
      <c r="W17" s="246">
        <v>24.0</v>
      </c>
      <c r="X17" s="248" t="s">
        <v>224</v>
      </c>
      <c r="Y17" s="249">
        <f t="shared" si="1"/>
        <v>2</v>
      </c>
      <c r="Z17" s="75">
        <f t="shared" si="2"/>
        <v>2</v>
      </c>
    </row>
    <row r="18">
      <c r="A18" s="44" t="s">
        <v>225</v>
      </c>
      <c r="B18" s="44" t="s">
        <v>226</v>
      </c>
      <c r="C18" s="44" t="s">
        <v>25</v>
      </c>
      <c r="D18" s="24" t="s">
        <v>227</v>
      </c>
      <c r="E18" s="24" t="s">
        <v>68</v>
      </c>
      <c r="F18" s="67" t="s">
        <v>31</v>
      </c>
      <c r="G18" s="24" t="s">
        <v>212</v>
      </c>
      <c r="H18" s="24" t="s">
        <v>60</v>
      </c>
      <c r="I18" s="24" t="s">
        <v>25</v>
      </c>
      <c r="J18" s="24" t="s">
        <v>228</v>
      </c>
      <c r="K18" s="24" t="s">
        <v>102</v>
      </c>
      <c r="L18" s="24" t="s">
        <v>34</v>
      </c>
      <c r="M18" s="67" t="s">
        <v>229</v>
      </c>
      <c r="N18" s="67" t="s">
        <v>30</v>
      </c>
      <c r="O18" s="67" t="s">
        <v>31</v>
      </c>
      <c r="P18" s="62" t="s">
        <v>221</v>
      </c>
      <c r="Q18" s="62" t="s">
        <v>60</v>
      </c>
      <c r="R18" s="62" t="s">
        <v>34</v>
      </c>
      <c r="S18" s="252"/>
      <c r="T18" s="252"/>
      <c r="U18" s="252"/>
      <c r="W18" s="246">
        <v>9.0</v>
      </c>
      <c r="X18" s="248" t="s">
        <v>218</v>
      </c>
      <c r="Y18" s="249">
        <f t="shared" si="1"/>
        <v>2</v>
      </c>
      <c r="Z18" s="75">
        <f t="shared" si="2"/>
        <v>2</v>
      </c>
    </row>
    <row r="19">
      <c r="A19" s="141"/>
      <c r="B19" s="214"/>
      <c r="C19" s="210"/>
      <c r="D19" s="199"/>
      <c r="E19" s="199"/>
      <c r="F19" s="199"/>
      <c r="G19" s="24" t="s">
        <v>230</v>
      </c>
      <c r="H19" s="24" t="s">
        <v>231</v>
      </c>
      <c r="I19" s="46" t="s">
        <v>48</v>
      </c>
      <c r="J19" s="24" t="s">
        <v>232</v>
      </c>
      <c r="K19" s="24" t="s">
        <v>233</v>
      </c>
      <c r="L19" s="24" t="s">
        <v>25</v>
      </c>
      <c r="M19" s="24" t="s">
        <v>211</v>
      </c>
      <c r="N19" s="24" t="s">
        <v>234</v>
      </c>
      <c r="O19" s="46" t="s">
        <v>48</v>
      </c>
      <c r="P19" s="24" t="s">
        <v>235</v>
      </c>
      <c r="Q19" s="217" t="s">
        <v>236</v>
      </c>
      <c r="R19" s="44" t="s">
        <v>25</v>
      </c>
      <c r="S19" s="252"/>
      <c r="T19" s="252"/>
      <c r="U19" s="252"/>
      <c r="W19" s="246">
        <v>10.0</v>
      </c>
      <c r="X19" s="250" t="s">
        <v>222</v>
      </c>
      <c r="Y19" s="249">
        <f t="shared" si="1"/>
        <v>2</v>
      </c>
      <c r="Z19" s="75">
        <f t="shared" si="2"/>
        <v>2</v>
      </c>
    </row>
    <row r="20">
      <c r="A20" s="114"/>
      <c r="B20" s="114"/>
      <c r="C20" s="114"/>
      <c r="D20" s="141"/>
      <c r="E20" s="141"/>
      <c r="F20" s="141"/>
      <c r="G20" s="141"/>
      <c r="H20" s="141"/>
      <c r="I20" s="141"/>
      <c r="J20" s="210"/>
      <c r="K20" s="210"/>
      <c r="L20" s="210"/>
      <c r="M20" s="199"/>
      <c r="N20" s="199"/>
      <c r="O20" s="199"/>
      <c r="P20" s="255"/>
      <c r="Q20" s="256"/>
      <c r="R20" s="255"/>
      <c r="S20" s="252"/>
      <c r="T20" s="252"/>
      <c r="U20" s="252"/>
      <c r="W20" s="246">
        <v>11.0</v>
      </c>
      <c r="X20" s="248" t="s">
        <v>227</v>
      </c>
      <c r="Y20" s="249">
        <f t="shared" si="1"/>
        <v>2</v>
      </c>
      <c r="Z20" s="75">
        <f t="shared" si="2"/>
        <v>2</v>
      </c>
    </row>
    <row r="21" ht="15.75" customHeight="1">
      <c r="A21" s="136" t="s">
        <v>115</v>
      </c>
      <c r="B21" s="12"/>
      <c r="C21" s="13"/>
      <c r="D21" s="136" t="s">
        <v>8</v>
      </c>
      <c r="E21" s="12"/>
      <c r="F21" s="13"/>
      <c r="G21" s="136" t="s">
        <v>116</v>
      </c>
      <c r="H21" s="12"/>
      <c r="I21" s="13"/>
      <c r="J21" s="136" t="s">
        <v>10</v>
      </c>
      <c r="K21" s="12"/>
      <c r="L21" s="13"/>
      <c r="M21" s="136" t="s">
        <v>81</v>
      </c>
      <c r="N21" s="12"/>
      <c r="O21" s="13"/>
      <c r="P21" s="136" t="s">
        <v>82</v>
      </c>
      <c r="Q21" s="12"/>
      <c r="R21" s="13"/>
      <c r="S21" s="137" t="s">
        <v>13</v>
      </c>
      <c r="T21" s="12"/>
      <c r="U21" s="13"/>
      <c r="W21" s="246">
        <v>12.0</v>
      </c>
      <c r="X21" s="248" t="s">
        <v>237</v>
      </c>
      <c r="Y21" s="249">
        <f t="shared" si="1"/>
        <v>2</v>
      </c>
      <c r="Z21" s="75">
        <f t="shared" si="2"/>
        <v>2</v>
      </c>
    </row>
    <row r="22" ht="15.75" customHeight="1">
      <c r="A22" s="138">
        <f>S14+1</f>
        <v>46062</v>
      </c>
      <c r="B22" s="12"/>
      <c r="C22" s="13"/>
      <c r="D22" s="138">
        <f>A22+1</f>
        <v>46063</v>
      </c>
      <c r="E22" s="12"/>
      <c r="F22" s="13"/>
      <c r="G22" s="138">
        <f>D22+1</f>
        <v>46064</v>
      </c>
      <c r="H22" s="12"/>
      <c r="I22" s="13"/>
      <c r="J22" s="138">
        <f>G22+1</f>
        <v>46065</v>
      </c>
      <c r="K22" s="12"/>
      <c r="L22" s="13"/>
      <c r="M22" s="138">
        <f>J22+1</f>
        <v>46066</v>
      </c>
      <c r="N22" s="12"/>
      <c r="O22" s="13"/>
      <c r="P22" s="138">
        <f>M22+1</f>
        <v>46067</v>
      </c>
      <c r="Q22" s="12"/>
      <c r="R22" s="13"/>
      <c r="S22" s="139">
        <f>P22+1</f>
        <v>46068</v>
      </c>
      <c r="T22" s="12"/>
      <c r="U22" s="13"/>
      <c r="W22" s="246">
        <v>13.0</v>
      </c>
      <c r="X22" s="248" t="s">
        <v>238</v>
      </c>
      <c r="Y22" s="249">
        <f t="shared" si="1"/>
        <v>2</v>
      </c>
      <c r="Z22" s="75">
        <f t="shared" si="2"/>
        <v>2</v>
      </c>
    </row>
    <row r="23" ht="15.75" customHeight="1">
      <c r="A23" s="44" t="s">
        <v>225</v>
      </c>
      <c r="B23" s="44" t="s">
        <v>24</v>
      </c>
      <c r="C23" s="44" t="s">
        <v>25</v>
      </c>
      <c r="D23" s="131"/>
      <c r="E23" s="131"/>
      <c r="F23" s="131"/>
      <c r="G23" s="36"/>
      <c r="H23" s="36"/>
      <c r="I23" s="36"/>
      <c r="J23" s="199"/>
      <c r="K23" s="199"/>
      <c r="L23" s="199"/>
      <c r="M23" s="199"/>
      <c r="N23" s="199"/>
      <c r="O23" s="199"/>
      <c r="P23" s="103"/>
      <c r="Q23" s="103"/>
      <c r="R23" s="103"/>
      <c r="S23" s="252"/>
      <c r="T23" s="252"/>
      <c r="U23" s="253"/>
      <c r="W23" s="246">
        <v>14.0</v>
      </c>
      <c r="X23" s="248" t="s">
        <v>221</v>
      </c>
      <c r="Y23" s="249">
        <f t="shared" si="1"/>
        <v>3</v>
      </c>
      <c r="Z23" s="75">
        <f t="shared" si="2"/>
        <v>3</v>
      </c>
    </row>
    <row r="24" ht="15.75" customHeight="1">
      <c r="A24" s="42"/>
      <c r="B24" s="42"/>
      <c r="C24" s="42"/>
      <c r="D24" s="24" t="s">
        <v>211</v>
      </c>
      <c r="E24" s="24" t="s">
        <v>29</v>
      </c>
      <c r="F24" s="24" t="s">
        <v>25</v>
      </c>
      <c r="G24" s="24" t="s">
        <v>239</v>
      </c>
      <c r="H24" s="24" t="s">
        <v>175</v>
      </c>
      <c r="I24" s="24" t="s">
        <v>31</v>
      </c>
      <c r="J24" s="199"/>
      <c r="K24" s="199"/>
      <c r="L24" s="199"/>
      <c r="M24" s="24" t="s">
        <v>237</v>
      </c>
      <c r="N24" s="59" t="s">
        <v>240</v>
      </c>
      <c r="O24" s="59" t="s">
        <v>34</v>
      </c>
      <c r="P24" s="103"/>
      <c r="Q24" s="103"/>
      <c r="R24" s="103"/>
      <c r="S24" s="252"/>
      <c r="T24" s="252"/>
      <c r="U24" s="252"/>
      <c r="W24" s="246">
        <v>15.0</v>
      </c>
      <c r="X24" s="250" t="s">
        <v>241</v>
      </c>
      <c r="Y24" s="249">
        <f t="shared" si="1"/>
        <v>2</v>
      </c>
      <c r="Z24" s="75">
        <f t="shared" si="2"/>
        <v>2</v>
      </c>
    </row>
    <row r="25" ht="15.75" customHeight="1">
      <c r="A25" s="24" t="s">
        <v>185</v>
      </c>
      <c r="B25" s="24" t="s">
        <v>186</v>
      </c>
      <c r="C25" s="24" t="s">
        <v>25</v>
      </c>
      <c r="D25" s="24" t="s">
        <v>220</v>
      </c>
      <c r="E25" s="24" t="s">
        <v>102</v>
      </c>
      <c r="F25" s="24" t="s">
        <v>34</v>
      </c>
      <c r="G25" s="24" t="s">
        <v>232</v>
      </c>
      <c r="H25" s="41" t="s">
        <v>38</v>
      </c>
      <c r="I25" s="41" t="s">
        <v>25</v>
      </c>
      <c r="J25" s="24" t="s">
        <v>216</v>
      </c>
      <c r="K25" s="24" t="s">
        <v>33</v>
      </c>
      <c r="L25" s="24" t="s">
        <v>25</v>
      </c>
      <c r="M25" s="24" t="s">
        <v>238</v>
      </c>
      <c r="N25" s="47"/>
      <c r="O25" s="47"/>
      <c r="P25" s="24" t="s">
        <v>242</v>
      </c>
      <c r="Q25" s="217" t="s">
        <v>243</v>
      </c>
      <c r="R25" s="24" t="s">
        <v>31</v>
      </c>
      <c r="S25" s="19" t="s">
        <v>14</v>
      </c>
      <c r="T25" s="12"/>
      <c r="U25" s="13"/>
      <c r="W25" s="246">
        <v>16.0</v>
      </c>
      <c r="X25" s="248" t="s">
        <v>235</v>
      </c>
      <c r="Y25" s="249">
        <f t="shared" si="1"/>
        <v>4</v>
      </c>
      <c r="Z25" s="75">
        <f t="shared" si="2"/>
        <v>4</v>
      </c>
    </row>
    <row r="26" ht="15.75" customHeight="1">
      <c r="A26" s="112"/>
      <c r="B26" s="112"/>
      <c r="C26" s="112"/>
      <c r="D26" s="24" t="s">
        <v>241</v>
      </c>
      <c r="E26" s="24" t="s">
        <v>244</v>
      </c>
      <c r="F26" s="24" t="s">
        <v>25</v>
      </c>
      <c r="G26" s="24" t="s">
        <v>228</v>
      </c>
      <c r="H26" s="24" t="s">
        <v>28</v>
      </c>
      <c r="I26" s="24" t="s">
        <v>34</v>
      </c>
      <c r="J26" s="24" t="s">
        <v>245</v>
      </c>
      <c r="K26" s="24" t="s">
        <v>70</v>
      </c>
      <c r="L26" s="24" t="s">
        <v>25</v>
      </c>
      <c r="M26" s="36"/>
      <c r="N26" s="36"/>
      <c r="O26" s="257" t="s">
        <v>246</v>
      </c>
      <c r="P26" s="24" t="s">
        <v>235</v>
      </c>
      <c r="Q26" s="217" t="s">
        <v>247</v>
      </c>
      <c r="R26" s="24" t="s">
        <v>25</v>
      </c>
      <c r="S26" s="252"/>
      <c r="T26" s="252"/>
      <c r="U26" s="252"/>
      <c r="W26" s="246">
        <v>25.0</v>
      </c>
      <c r="X26" s="41" t="s">
        <v>248</v>
      </c>
      <c r="Y26" s="249">
        <f t="shared" si="1"/>
        <v>0</v>
      </c>
      <c r="Z26" s="75">
        <f t="shared" si="2"/>
        <v>0</v>
      </c>
    </row>
    <row r="27" ht="15.75" customHeight="1">
      <c r="A27" s="71" t="s">
        <v>224</v>
      </c>
      <c r="B27" s="204" t="s">
        <v>249</v>
      </c>
      <c r="C27" s="71" t="s">
        <v>31</v>
      </c>
      <c r="D27" s="141"/>
      <c r="E27" s="141"/>
      <c r="F27" s="141"/>
      <c r="G27" s="44" t="s">
        <v>230</v>
      </c>
      <c r="H27" s="44" t="s">
        <v>231</v>
      </c>
      <c r="I27" s="44" t="s">
        <v>25</v>
      </c>
      <c r="J27" s="24"/>
      <c r="K27" s="24"/>
      <c r="L27" s="24"/>
      <c r="M27" s="71"/>
      <c r="N27" s="71"/>
      <c r="O27" s="71"/>
      <c r="P27" s="199"/>
      <c r="Q27" s="199"/>
      <c r="R27" s="199"/>
      <c r="S27" s="252"/>
      <c r="T27" s="252"/>
      <c r="U27" s="252"/>
      <c r="W27" s="246">
        <v>18.0</v>
      </c>
      <c r="X27" s="248" t="s">
        <v>225</v>
      </c>
      <c r="Y27" s="249">
        <f t="shared" si="1"/>
        <v>4</v>
      </c>
      <c r="Z27" s="75">
        <f t="shared" si="2"/>
        <v>4</v>
      </c>
    </row>
    <row r="28" ht="15.75" customHeight="1">
      <c r="A28" s="169"/>
      <c r="B28" s="169"/>
      <c r="C28" s="169"/>
      <c r="D28" s="169"/>
      <c r="E28" s="169"/>
      <c r="F28" s="169"/>
      <c r="G28" s="148"/>
      <c r="H28" s="148"/>
      <c r="I28" s="148"/>
      <c r="J28" s="131"/>
      <c r="K28" s="131"/>
      <c r="L28" s="131"/>
      <c r="M28" s="141"/>
      <c r="N28" s="141"/>
      <c r="O28" s="141"/>
      <c r="P28" s="199"/>
      <c r="Q28" s="199"/>
      <c r="R28" s="199"/>
      <c r="S28" s="252"/>
      <c r="T28" s="252"/>
      <c r="U28" s="252"/>
      <c r="W28" s="246">
        <v>19.0</v>
      </c>
      <c r="X28" s="258"/>
      <c r="Y28" s="249"/>
      <c r="Z28" s="75"/>
    </row>
    <row r="29" ht="15.75" customHeight="1">
      <c r="A29" s="105" t="s">
        <v>115</v>
      </c>
      <c r="B29" s="12"/>
      <c r="C29" s="13"/>
      <c r="D29" s="155" t="s">
        <v>8</v>
      </c>
      <c r="E29" s="12"/>
      <c r="F29" s="13"/>
      <c r="G29" s="105" t="s">
        <v>116</v>
      </c>
      <c r="H29" s="12"/>
      <c r="I29" s="13"/>
      <c r="J29" s="156" t="s">
        <v>10</v>
      </c>
      <c r="K29" s="12"/>
      <c r="L29" s="13"/>
      <c r="M29" s="105" t="s">
        <v>81</v>
      </c>
      <c r="N29" s="12"/>
      <c r="O29" s="13"/>
      <c r="P29" s="105" t="s">
        <v>82</v>
      </c>
      <c r="Q29" s="12"/>
      <c r="R29" s="13"/>
      <c r="S29" s="155" t="s">
        <v>13</v>
      </c>
      <c r="T29" s="12"/>
      <c r="U29" s="13"/>
      <c r="W29" s="246">
        <v>20.0</v>
      </c>
      <c r="X29" s="179" t="s">
        <v>242</v>
      </c>
      <c r="Y29" s="249">
        <f t="shared" ref="Y29:Y40" si="3">countif($A$5:$U$52,X29)</f>
        <v>2</v>
      </c>
      <c r="Z29" s="75">
        <f t="shared" ref="Z29:Z36" si="4">COUNTIF($A$5:$U$51,X29)</f>
        <v>2</v>
      </c>
    </row>
    <row r="30" ht="15.75" customHeight="1">
      <c r="A30" s="108">
        <f>S22+1</f>
        <v>46069</v>
      </c>
      <c r="B30" s="12"/>
      <c r="C30" s="13"/>
      <c r="D30" s="109">
        <f>A30+1</f>
        <v>46070</v>
      </c>
      <c r="E30" s="12"/>
      <c r="F30" s="13"/>
      <c r="G30" s="107">
        <f>D30+1</f>
        <v>46071</v>
      </c>
      <c r="H30" s="12"/>
      <c r="I30" s="13"/>
      <c r="J30" s="107">
        <f>G30+1</f>
        <v>46072</v>
      </c>
      <c r="K30" s="12"/>
      <c r="L30" s="13"/>
      <c r="M30" s="107">
        <f>J30+1</f>
        <v>46073</v>
      </c>
      <c r="N30" s="12"/>
      <c r="O30" s="13"/>
      <c r="P30" s="107">
        <f>M30+1</f>
        <v>46074</v>
      </c>
      <c r="Q30" s="12"/>
      <c r="R30" s="13"/>
      <c r="S30" s="109">
        <f>P30+1</f>
        <v>46075</v>
      </c>
      <c r="T30" s="12"/>
      <c r="U30" s="13"/>
      <c r="W30" s="246">
        <v>21.0</v>
      </c>
      <c r="X30" s="258" t="s">
        <v>230</v>
      </c>
      <c r="Y30" s="249">
        <f t="shared" si="3"/>
        <v>4</v>
      </c>
      <c r="Z30" s="75">
        <f t="shared" si="4"/>
        <v>4</v>
      </c>
    </row>
    <row r="31" ht="15.75" customHeight="1">
      <c r="A31" s="24" t="s">
        <v>215</v>
      </c>
      <c r="B31" s="24" t="s">
        <v>28</v>
      </c>
      <c r="C31" s="24" t="s">
        <v>34</v>
      </c>
      <c r="D31" s="199"/>
      <c r="E31" s="259"/>
      <c r="F31" s="259"/>
      <c r="G31" s="36"/>
      <c r="H31" s="36"/>
      <c r="I31" s="36"/>
      <c r="J31" s="36"/>
      <c r="K31" s="36"/>
      <c r="L31" s="36"/>
      <c r="M31" s="62" t="s">
        <v>212</v>
      </c>
      <c r="N31" s="238" t="s">
        <v>63</v>
      </c>
      <c r="O31" s="62" t="s">
        <v>25</v>
      </c>
      <c r="P31" s="199"/>
      <c r="Q31" s="251"/>
      <c r="R31" s="141"/>
      <c r="S31" s="252"/>
      <c r="T31" s="252"/>
      <c r="U31" s="253"/>
      <c r="W31" s="246">
        <v>26.0</v>
      </c>
      <c r="X31" s="218" t="s">
        <v>239</v>
      </c>
      <c r="Y31" s="249">
        <f t="shared" si="3"/>
        <v>2</v>
      </c>
      <c r="Z31" s="75">
        <f t="shared" si="4"/>
        <v>2</v>
      </c>
    </row>
    <row r="32" ht="15.75" customHeight="1">
      <c r="A32" s="71"/>
      <c r="B32" s="71"/>
      <c r="C32" s="71"/>
      <c r="D32" s="24" t="s">
        <v>211</v>
      </c>
      <c r="E32" s="24" t="s">
        <v>29</v>
      </c>
      <c r="F32" s="24" t="s">
        <v>25</v>
      </c>
      <c r="G32" s="24" t="s">
        <v>213</v>
      </c>
      <c r="H32" s="24" t="s">
        <v>38</v>
      </c>
      <c r="I32" s="24" t="s">
        <v>31</v>
      </c>
      <c r="J32" s="24" t="s">
        <v>211</v>
      </c>
      <c r="K32" s="24" t="s">
        <v>29</v>
      </c>
      <c r="L32" s="24" t="s">
        <v>25</v>
      </c>
      <c r="M32" s="24" t="s">
        <v>217</v>
      </c>
      <c r="N32" s="67" t="s">
        <v>60</v>
      </c>
      <c r="O32" s="24" t="s">
        <v>25</v>
      </c>
      <c r="P32" s="24" t="s">
        <v>218</v>
      </c>
      <c r="Q32" s="217" t="s">
        <v>219</v>
      </c>
      <c r="R32" s="71" t="s">
        <v>34</v>
      </c>
      <c r="S32" s="252"/>
      <c r="T32" s="252"/>
      <c r="U32" s="252"/>
      <c r="W32" s="246">
        <v>22.0</v>
      </c>
      <c r="X32" s="248" t="s">
        <v>232</v>
      </c>
      <c r="Y32" s="249">
        <f t="shared" si="3"/>
        <v>4</v>
      </c>
      <c r="Z32" s="75">
        <f t="shared" si="4"/>
        <v>4</v>
      </c>
    </row>
    <row r="33" ht="15.0" customHeight="1">
      <c r="A33" s="24" t="s">
        <v>185</v>
      </c>
      <c r="B33" s="24" t="s">
        <v>186</v>
      </c>
      <c r="C33" s="24" t="s">
        <v>25</v>
      </c>
      <c r="D33" s="46" t="s">
        <v>220</v>
      </c>
      <c r="E33" s="46" t="s">
        <v>102</v>
      </c>
      <c r="F33" s="46" t="s">
        <v>34</v>
      </c>
      <c r="G33" s="24" t="s">
        <v>214</v>
      </c>
      <c r="H33" s="24" t="s">
        <v>28</v>
      </c>
      <c r="I33" s="24" t="s">
        <v>31</v>
      </c>
      <c r="J33" s="24" t="s">
        <v>221</v>
      </c>
      <c r="K33" s="24" t="s">
        <v>60</v>
      </c>
      <c r="L33" s="24" t="s">
        <v>34</v>
      </c>
      <c r="M33" s="121" t="s">
        <v>222</v>
      </c>
      <c r="N33" s="121" t="s">
        <v>129</v>
      </c>
      <c r="O33" s="121" t="s">
        <v>25</v>
      </c>
      <c r="P33" s="38" t="s">
        <v>223</v>
      </c>
      <c r="Q33" s="254" t="s">
        <v>102</v>
      </c>
      <c r="R33" s="38" t="s">
        <v>34</v>
      </c>
      <c r="S33" s="19" t="s">
        <v>14</v>
      </c>
      <c r="T33" s="12"/>
      <c r="U33" s="13"/>
      <c r="W33" s="246">
        <v>23.0</v>
      </c>
      <c r="X33" s="248" t="s">
        <v>217</v>
      </c>
      <c r="Y33" s="249">
        <f t="shared" si="3"/>
        <v>2</v>
      </c>
      <c r="Z33" s="75">
        <f t="shared" si="4"/>
        <v>2</v>
      </c>
    </row>
    <row r="34" ht="15.75" customHeight="1">
      <c r="A34" s="44" t="s">
        <v>225</v>
      </c>
      <c r="B34" s="44" t="s">
        <v>226</v>
      </c>
      <c r="C34" s="44" t="s">
        <v>25</v>
      </c>
      <c r="D34" s="46" t="s">
        <v>227</v>
      </c>
      <c r="E34" s="46" t="s">
        <v>68</v>
      </c>
      <c r="F34" s="260" t="s">
        <v>31</v>
      </c>
      <c r="G34" s="24" t="s">
        <v>212</v>
      </c>
      <c r="H34" s="24"/>
      <c r="I34" s="24" t="s">
        <v>25</v>
      </c>
      <c r="J34" s="24" t="s">
        <v>228</v>
      </c>
      <c r="K34" s="24" t="s">
        <v>102</v>
      </c>
      <c r="L34" s="24" t="s">
        <v>34</v>
      </c>
      <c r="M34" s="24" t="s">
        <v>211</v>
      </c>
      <c r="N34" s="24" t="s">
        <v>234</v>
      </c>
      <c r="O34" s="24" t="s">
        <v>48</v>
      </c>
      <c r="P34" s="24" t="s">
        <v>235</v>
      </c>
      <c r="Q34" s="217" t="s">
        <v>236</v>
      </c>
      <c r="R34" s="44" t="s">
        <v>25</v>
      </c>
      <c r="S34" s="252"/>
      <c r="T34" s="252"/>
      <c r="U34" s="252"/>
      <c r="W34" s="246">
        <v>17.0</v>
      </c>
      <c r="X34" s="261" t="s">
        <v>245</v>
      </c>
      <c r="Y34" s="249">
        <f t="shared" si="3"/>
        <v>2</v>
      </c>
      <c r="Z34" s="75">
        <f t="shared" si="4"/>
        <v>2</v>
      </c>
    </row>
    <row r="35" ht="15.75" customHeight="1">
      <c r="A35" s="35"/>
      <c r="B35" s="35"/>
      <c r="C35" s="35"/>
      <c r="D35" s="199"/>
      <c r="E35" s="199"/>
      <c r="F35" s="199"/>
      <c r="G35" s="24" t="s">
        <v>230</v>
      </c>
      <c r="H35" s="24" t="s">
        <v>231</v>
      </c>
      <c r="I35" s="46" t="s">
        <v>48</v>
      </c>
      <c r="J35" s="24" t="s">
        <v>232</v>
      </c>
      <c r="K35" s="24" t="s">
        <v>233</v>
      </c>
      <c r="L35" s="24" t="s">
        <v>25</v>
      </c>
      <c r="M35" s="199"/>
      <c r="N35" s="199"/>
      <c r="O35" s="199"/>
      <c r="P35" s="141"/>
      <c r="Q35" s="214"/>
      <c r="R35" s="210"/>
      <c r="S35" s="252"/>
      <c r="T35" s="252"/>
      <c r="U35" s="252"/>
      <c r="W35" s="246">
        <v>1.0</v>
      </c>
      <c r="X35" s="261" t="s">
        <v>220</v>
      </c>
      <c r="Y35" s="249">
        <f t="shared" si="3"/>
        <v>4</v>
      </c>
      <c r="Z35" s="75">
        <f t="shared" si="4"/>
        <v>4</v>
      </c>
    </row>
    <row r="36" ht="15.75" customHeight="1">
      <c r="A36" s="141"/>
      <c r="B36" s="214"/>
      <c r="C36" s="210"/>
      <c r="D36" s="141"/>
      <c r="E36" s="141"/>
      <c r="F36" s="141"/>
      <c r="G36" s="141"/>
      <c r="H36" s="141"/>
      <c r="I36" s="141"/>
      <c r="J36" s="210"/>
      <c r="K36" s="210"/>
      <c r="L36" s="210"/>
      <c r="M36" s="169"/>
      <c r="N36" s="169"/>
      <c r="O36" s="169"/>
      <c r="P36" s="255"/>
      <c r="Q36" s="256"/>
      <c r="R36" s="255"/>
      <c r="S36" s="252"/>
      <c r="T36" s="252"/>
      <c r="U36" s="252"/>
      <c r="W36" s="246">
        <v>27.0</v>
      </c>
      <c r="X36" s="262" t="s">
        <v>228</v>
      </c>
      <c r="Y36" s="249">
        <f t="shared" si="3"/>
        <v>4</v>
      </c>
      <c r="Z36" s="75">
        <f t="shared" si="4"/>
        <v>4</v>
      </c>
    </row>
    <row r="37" ht="15.75" customHeight="1">
      <c r="A37" s="136" t="s">
        <v>115</v>
      </c>
      <c r="B37" s="12"/>
      <c r="C37" s="13"/>
      <c r="D37" s="136" t="s">
        <v>8</v>
      </c>
      <c r="E37" s="12"/>
      <c r="F37" s="13"/>
      <c r="G37" s="136" t="s">
        <v>116</v>
      </c>
      <c r="H37" s="12"/>
      <c r="I37" s="13"/>
      <c r="J37" s="136" t="s">
        <v>10</v>
      </c>
      <c r="K37" s="12"/>
      <c r="L37" s="13"/>
      <c r="M37" s="136" t="s">
        <v>136</v>
      </c>
      <c r="N37" s="12"/>
      <c r="O37" s="13"/>
      <c r="P37" s="136" t="s">
        <v>12</v>
      </c>
      <c r="Q37" s="12"/>
      <c r="R37" s="13"/>
      <c r="S37" s="137" t="s">
        <v>13</v>
      </c>
      <c r="T37" s="12"/>
      <c r="U37" s="13"/>
      <c r="W37" s="263">
        <v>28.0</v>
      </c>
      <c r="X37" s="146"/>
      <c r="Y37" s="264">
        <f t="shared" si="3"/>
        <v>0</v>
      </c>
      <c r="Z37" s="75"/>
    </row>
    <row r="38" ht="15.75" customHeight="1">
      <c r="A38" s="138">
        <f>S30+1</f>
        <v>46076</v>
      </c>
      <c r="B38" s="12"/>
      <c r="C38" s="13"/>
      <c r="D38" s="138">
        <f>A38+1</f>
        <v>46077</v>
      </c>
      <c r="E38" s="12"/>
      <c r="F38" s="13"/>
      <c r="G38" s="138">
        <f>D38+1</f>
        <v>46078</v>
      </c>
      <c r="H38" s="12"/>
      <c r="I38" s="13"/>
      <c r="J38" s="138">
        <f>G38+1</f>
        <v>46079</v>
      </c>
      <c r="K38" s="12"/>
      <c r="L38" s="13"/>
      <c r="M38" s="138">
        <f>J38+1</f>
        <v>46080</v>
      </c>
      <c r="N38" s="12"/>
      <c r="O38" s="13"/>
      <c r="P38" s="138">
        <f>M38+1</f>
        <v>46081</v>
      </c>
      <c r="Q38" s="12"/>
      <c r="R38" s="13"/>
      <c r="S38" s="139">
        <f>P38+1</f>
        <v>46082</v>
      </c>
      <c r="T38" s="12"/>
      <c r="U38" s="13"/>
      <c r="W38" s="246">
        <v>29.0</v>
      </c>
      <c r="X38" s="265"/>
      <c r="Y38" s="249">
        <f t="shared" si="3"/>
        <v>0</v>
      </c>
      <c r="Z38" s="75"/>
    </row>
    <row r="39" ht="15.75" customHeight="1">
      <c r="A39" s="44" t="s">
        <v>225</v>
      </c>
      <c r="B39" s="44" t="s">
        <v>24</v>
      </c>
      <c r="C39" s="44" t="s">
        <v>25</v>
      </c>
      <c r="D39" s="210"/>
      <c r="E39" s="210"/>
      <c r="F39" s="210"/>
      <c r="G39" s="36"/>
      <c r="H39" s="36"/>
      <c r="I39" s="36"/>
      <c r="J39" s="203"/>
      <c r="K39" s="203"/>
      <c r="L39" s="203"/>
      <c r="M39" s="141"/>
      <c r="N39" s="141"/>
      <c r="O39" s="141"/>
      <c r="P39" s="103"/>
      <c r="Q39" s="103"/>
      <c r="R39" s="103"/>
      <c r="S39" s="252"/>
      <c r="T39" s="252"/>
      <c r="U39" s="253"/>
      <c r="W39" s="246">
        <v>30.0</v>
      </c>
      <c r="X39" s="250"/>
      <c r="Y39" s="249">
        <f t="shared" si="3"/>
        <v>0</v>
      </c>
      <c r="Z39" s="75"/>
    </row>
    <row r="40" ht="15.75" customHeight="1">
      <c r="A40" s="42"/>
      <c r="B40" s="42"/>
      <c r="C40" s="42"/>
      <c r="D40" s="24" t="s">
        <v>211</v>
      </c>
      <c r="E40" s="24" t="s">
        <v>29</v>
      </c>
      <c r="F40" s="24" t="s">
        <v>25</v>
      </c>
      <c r="G40" s="24" t="s">
        <v>239</v>
      </c>
      <c r="H40" s="24" t="s">
        <v>175</v>
      </c>
      <c r="I40" s="24" t="s">
        <v>31</v>
      </c>
      <c r="J40" s="24"/>
      <c r="K40" s="24"/>
      <c r="L40" s="24"/>
      <c r="M40" s="24" t="s">
        <v>237</v>
      </c>
      <c r="N40" s="59" t="s">
        <v>240</v>
      </c>
      <c r="O40" s="59" t="s">
        <v>34</v>
      </c>
      <c r="P40" s="103"/>
      <c r="Q40" s="103"/>
      <c r="R40" s="103"/>
      <c r="S40" s="252"/>
      <c r="T40" s="252"/>
      <c r="U40" s="252"/>
      <c r="W40" s="246">
        <v>31.0</v>
      </c>
      <c r="X40" s="250"/>
      <c r="Y40" s="249">
        <f t="shared" si="3"/>
        <v>0</v>
      </c>
      <c r="Z40" s="75"/>
    </row>
    <row r="41" ht="15.75" customHeight="1">
      <c r="A41" s="24" t="s">
        <v>185</v>
      </c>
      <c r="B41" s="24" t="s">
        <v>186</v>
      </c>
      <c r="C41" s="24" t="s">
        <v>25</v>
      </c>
      <c r="D41" s="24" t="s">
        <v>220</v>
      </c>
      <c r="E41" s="24" t="s">
        <v>102</v>
      </c>
      <c r="F41" s="24" t="s">
        <v>34</v>
      </c>
      <c r="G41" s="24" t="s">
        <v>232</v>
      </c>
      <c r="H41" s="41" t="s">
        <v>38</v>
      </c>
      <c r="I41" s="41" t="s">
        <v>25</v>
      </c>
      <c r="J41" s="24" t="s">
        <v>216</v>
      </c>
      <c r="K41" s="24" t="s">
        <v>33</v>
      </c>
      <c r="L41" s="24" t="s">
        <v>25</v>
      </c>
      <c r="M41" s="24" t="s">
        <v>238</v>
      </c>
      <c r="N41" s="47"/>
      <c r="O41" s="47"/>
      <c r="P41" s="24" t="s">
        <v>242</v>
      </c>
      <c r="Q41" s="217" t="s">
        <v>243</v>
      </c>
      <c r="R41" s="24" t="s">
        <v>31</v>
      </c>
      <c r="S41" s="19" t="s">
        <v>14</v>
      </c>
      <c r="T41" s="12"/>
      <c r="U41" s="13"/>
    </row>
    <row r="42" ht="15.75" customHeight="1">
      <c r="A42" s="71" t="s">
        <v>224</v>
      </c>
      <c r="B42" s="204" t="s">
        <v>249</v>
      </c>
      <c r="C42" s="71" t="s">
        <v>31</v>
      </c>
      <c r="D42" s="24" t="s">
        <v>241</v>
      </c>
      <c r="E42" s="24" t="s">
        <v>244</v>
      </c>
      <c r="F42" s="24" t="s">
        <v>25</v>
      </c>
      <c r="G42" s="24" t="s">
        <v>228</v>
      </c>
      <c r="H42" s="24" t="s">
        <v>28</v>
      </c>
      <c r="I42" s="24" t="s">
        <v>34</v>
      </c>
      <c r="J42" s="24" t="s">
        <v>245</v>
      </c>
      <c r="K42" s="24" t="s">
        <v>70</v>
      </c>
      <c r="L42" s="24" t="s">
        <v>25</v>
      </c>
      <c r="M42" s="36"/>
      <c r="N42" s="36"/>
      <c r="O42" s="36"/>
      <c r="P42" s="24" t="s">
        <v>235</v>
      </c>
      <c r="Q42" s="217" t="s">
        <v>247</v>
      </c>
      <c r="R42" s="24" t="s">
        <v>25</v>
      </c>
      <c r="S42" s="252"/>
      <c r="T42" s="252"/>
      <c r="U42" s="252"/>
    </row>
    <row r="43" ht="15.75" customHeight="1">
      <c r="A43" s="154"/>
      <c r="B43" s="154"/>
      <c r="C43" s="154"/>
      <c r="D43" s="80"/>
      <c r="E43" s="80"/>
      <c r="F43" s="80"/>
      <c r="G43" s="44" t="s">
        <v>230</v>
      </c>
      <c r="H43" s="44" t="s">
        <v>231</v>
      </c>
      <c r="I43" s="44" t="s">
        <v>25</v>
      </c>
      <c r="J43" s="199"/>
      <c r="K43" s="199"/>
      <c r="L43" s="199"/>
      <c r="M43" s="24"/>
      <c r="N43" s="24"/>
      <c r="O43" s="24"/>
      <c r="P43" s="199"/>
      <c r="Q43" s="199"/>
      <c r="R43" s="199"/>
      <c r="S43" s="252"/>
      <c r="T43" s="252"/>
      <c r="U43" s="252"/>
      <c r="Y43" s="102">
        <f t="shared" ref="Y43:Z43" si="5">SUM(Y10:Y42)</f>
        <v>72</v>
      </c>
      <c r="Z43" s="102">
        <f t="shared" si="5"/>
        <v>72</v>
      </c>
    </row>
    <row r="44" ht="15.75" customHeight="1">
      <c r="A44" s="199"/>
      <c r="B44" s="199"/>
      <c r="C44" s="199"/>
      <c r="D44" s="199"/>
      <c r="E44" s="199"/>
      <c r="F44" s="199"/>
      <c r="G44" s="148"/>
      <c r="H44" s="148"/>
      <c r="I44" s="148"/>
      <c r="J44" s="203"/>
      <c r="K44" s="203"/>
      <c r="L44" s="203"/>
      <c r="M44" s="141"/>
      <c r="N44" s="141"/>
      <c r="O44" s="141"/>
      <c r="P44" s="199"/>
      <c r="Q44" s="199"/>
      <c r="R44" s="199"/>
      <c r="S44" s="252"/>
      <c r="T44" s="252"/>
      <c r="U44" s="252"/>
    </row>
    <row r="45" ht="15.75" customHeight="1">
      <c r="A45" s="105"/>
      <c r="B45" s="12"/>
      <c r="C45" s="13"/>
      <c r="D45" s="105"/>
      <c r="E45" s="12"/>
      <c r="F45" s="13"/>
      <c r="G45" s="105"/>
      <c r="H45" s="12"/>
      <c r="I45" s="13"/>
      <c r="J45" s="105"/>
      <c r="K45" s="12"/>
      <c r="L45" s="13"/>
      <c r="M45" s="105"/>
      <c r="N45" s="12"/>
      <c r="O45" s="13"/>
      <c r="P45" s="105"/>
      <c r="Q45" s="12"/>
      <c r="R45" s="13"/>
      <c r="S45" s="105"/>
      <c r="T45" s="12"/>
      <c r="U45" s="13"/>
    </row>
    <row r="46" ht="15.75" customHeight="1">
      <c r="A46" s="108"/>
      <c r="B46" s="12"/>
      <c r="C46" s="13"/>
      <c r="D46" s="107"/>
      <c r="E46" s="12"/>
      <c r="F46" s="13"/>
      <c r="G46" s="107"/>
      <c r="H46" s="12"/>
      <c r="I46" s="13"/>
      <c r="J46" s="107"/>
      <c r="K46" s="12"/>
      <c r="L46" s="13"/>
      <c r="M46" s="107"/>
      <c r="N46" s="12"/>
      <c r="O46" s="13"/>
      <c r="P46" s="107"/>
      <c r="Q46" s="12"/>
      <c r="R46" s="13"/>
      <c r="S46" s="108"/>
      <c r="T46" s="12"/>
      <c r="U46" s="13"/>
    </row>
    <row r="47" ht="15.75" customHeight="1">
      <c r="A47" s="252"/>
      <c r="B47" s="252"/>
      <c r="C47" s="253"/>
      <c r="D47" s="148"/>
      <c r="E47" s="148"/>
      <c r="F47" s="148"/>
      <c r="G47" s="148"/>
      <c r="H47" s="148"/>
      <c r="I47" s="148"/>
      <c r="J47" s="169"/>
      <c r="K47" s="169"/>
      <c r="L47" s="169"/>
      <c r="M47" s="169"/>
      <c r="N47" s="169"/>
      <c r="O47" s="169"/>
      <c r="P47" s="169"/>
      <c r="Q47" s="169"/>
      <c r="R47" s="169"/>
      <c r="S47" s="200"/>
      <c r="T47" s="200"/>
      <c r="U47" s="198"/>
    </row>
    <row r="48" ht="15.75" customHeight="1">
      <c r="A48" s="252"/>
      <c r="B48" s="252"/>
      <c r="C48" s="252"/>
      <c r="D48" s="148" t="s">
        <v>250</v>
      </c>
      <c r="E48" s="148"/>
      <c r="F48" s="148"/>
      <c r="G48" s="148"/>
      <c r="H48" s="148"/>
      <c r="I48" s="148"/>
      <c r="J48" s="169"/>
      <c r="K48" s="169"/>
      <c r="L48" s="169"/>
      <c r="M48" s="169"/>
      <c r="N48" s="169"/>
      <c r="O48" s="169"/>
      <c r="P48" s="169"/>
      <c r="Q48" s="169"/>
      <c r="R48" s="169"/>
      <c r="S48" s="198"/>
      <c r="T48" s="198"/>
      <c r="U48" s="198"/>
    </row>
    <row r="49" ht="15.75" customHeight="1">
      <c r="A49" s="169"/>
      <c r="B49" s="148"/>
      <c r="C49" s="169"/>
      <c r="D49" s="266" t="s">
        <v>251</v>
      </c>
      <c r="E49" s="266"/>
      <c r="F49" s="148"/>
      <c r="G49" s="148"/>
      <c r="H49" s="148"/>
      <c r="I49" s="148"/>
      <c r="J49" s="169"/>
      <c r="K49" s="169"/>
      <c r="L49" s="169"/>
      <c r="M49" s="169"/>
      <c r="N49" s="169"/>
      <c r="O49" s="169"/>
      <c r="P49" s="199"/>
      <c r="Q49" s="199"/>
      <c r="R49" s="203"/>
      <c r="S49" s="198"/>
      <c r="T49" s="198"/>
      <c r="U49" s="198"/>
    </row>
    <row r="50" ht="15.75" customHeight="1">
      <c r="A50" s="252"/>
      <c r="B50" s="252"/>
      <c r="C50" s="252"/>
      <c r="D50" s="267" t="s">
        <v>252</v>
      </c>
      <c r="E50" s="268"/>
      <c r="F50" s="148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200"/>
      <c r="T50" s="200"/>
      <c r="U50" s="198"/>
    </row>
    <row r="51" ht="15.75" customHeight="1">
      <c r="A51" s="252"/>
      <c r="B51" s="252"/>
      <c r="C51" s="252"/>
      <c r="D51" s="198"/>
      <c r="E51" s="198"/>
      <c r="F51" s="198"/>
      <c r="G51" s="148"/>
      <c r="H51" s="148"/>
      <c r="I51" s="148"/>
      <c r="J51" s="169"/>
      <c r="K51" s="169"/>
      <c r="L51" s="169"/>
      <c r="M51" s="169"/>
      <c r="N51" s="169"/>
      <c r="O51" s="169"/>
      <c r="P51" s="169"/>
      <c r="Q51" s="169"/>
      <c r="R51" s="169"/>
      <c r="S51" s="198"/>
      <c r="T51" s="198"/>
      <c r="U51" s="198"/>
    </row>
    <row r="52" ht="15.75" customHeight="1">
      <c r="A52" s="252"/>
      <c r="B52" s="252"/>
      <c r="C52" s="252"/>
      <c r="D52" s="240"/>
      <c r="E52" s="240"/>
      <c r="F52" s="240"/>
      <c r="G52" s="169"/>
      <c r="H52" s="169"/>
      <c r="I52" s="169"/>
      <c r="J52" s="252"/>
      <c r="K52" s="252"/>
      <c r="L52" s="252"/>
      <c r="M52" s="169"/>
      <c r="N52" s="169"/>
      <c r="O52" s="169"/>
      <c r="P52" s="252"/>
      <c r="Q52" s="252"/>
      <c r="R52" s="252"/>
      <c r="S52" s="240"/>
      <c r="T52" s="240"/>
      <c r="U52" s="240"/>
    </row>
    <row r="53" ht="15.75" customHeight="1"/>
    <row r="54" ht="15.75" customHeight="1"/>
    <row r="55" ht="15.75" customHeight="1">
      <c r="A55" s="82" t="s">
        <v>72</v>
      </c>
      <c r="B55" s="83"/>
    </row>
    <row r="56" ht="15.75" customHeight="1">
      <c r="A56" s="84"/>
      <c r="B56" s="85" t="s">
        <v>73</v>
      </c>
      <c r="C56" s="86"/>
      <c r="D56" s="87"/>
      <c r="I56" s="104"/>
    </row>
    <row r="57" ht="15.75" customHeight="1">
      <c r="A57" s="91"/>
      <c r="B57" s="85" t="s">
        <v>74</v>
      </c>
      <c r="C57" s="86"/>
    </row>
    <row r="58" ht="15.75" customHeight="1">
      <c r="A58" s="94"/>
      <c r="B58" s="85" t="s">
        <v>75</v>
      </c>
      <c r="C58" s="86"/>
    </row>
    <row r="59" ht="15.75" customHeight="1">
      <c r="A59" s="95"/>
      <c r="B59" s="85" t="s">
        <v>76</v>
      </c>
      <c r="C59" s="86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5">
    <sortState ref="W9:Y35">
      <sortCondition ref="X9:X35"/>
    </sortState>
  </autoFilter>
  <mergeCells count="103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M29:O29"/>
    <mergeCell ref="P29:R29"/>
    <mergeCell ref="N24:N25"/>
    <mergeCell ref="O24:O25"/>
    <mergeCell ref="S25:U25"/>
    <mergeCell ref="D29:F29"/>
    <mergeCell ref="G29:I29"/>
    <mergeCell ref="J29:L29"/>
    <mergeCell ref="S29:U29"/>
    <mergeCell ref="S30:U30"/>
    <mergeCell ref="S33:U33"/>
    <mergeCell ref="A29:C29"/>
    <mergeCell ref="A30:C30"/>
    <mergeCell ref="D30:F30"/>
    <mergeCell ref="G30:I30"/>
    <mergeCell ref="J30:L30"/>
    <mergeCell ref="M30:O30"/>
    <mergeCell ref="P30:R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M45:O45"/>
    <mergeCell ref="P45:R45"/>
    <mergeCell ref="N40:N41"/>
    <mergeCell ref="O40:O41"/>
    <mergeCell ref="S41:U41"/>
    <mergeCell ref="D45:F45"/>
    <mergeCell ref="G45:I45"/>
    <mergeCell ref="J45:L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B55:D55"/>
    <mergeCell ref="A45:C45"/>
    <mergeCell ref="D46:F46"/>
    <mergeCell ref="G46:I46"/>
    <mergeCell ref="J46:L46"/>
    <mergeCell ref="M46:O46"/>
    <mergeCell ref="P46:R46"/>
    <mergeCell ref="S46:U46"/>
  </mergeCells>
  <printOptions/>
  <pageMargins bottom="0.3167068834137669" footer="0.0" header="0.0" left="0.20002540005080013" right="0.25003175006350015" top="0.21669418338836682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57"/>
    <col customWidth="1" min="3" max="3" width="7.29"/>
    <col customWidth="1" min="4" max="4" width="16.86"/>
    <col customWidth="1" min="5" max="5" width="11.71"/>
    <col customWidth="1" min="6" max="6" width="6.86"/>
    <col customWidth="1" min="7" max="7" width="18.71"/>
    <col customWidth="1" min="8" max="8" width="11.43"/>
    <col customWidth="1" min="9" max="9" width="7.71"/>
    <col customWidth="1" min="10" max="10" width="25.43"/>
    <col customWidth="1" min="11" max="11" width="11.43"/>
    <col customWidth="1" min="12" max="12" width="7.0"/>
    <col customWidth="1" min="13" max="13" width="25.43"/>
    <col customWidth="1" min="14" max="14" width="11.43"/>
    <col customWidth="1" min="15" max="15" width="7.71"/>
    <col customWidth="1" min="16" max="16" width="17.0"/>
    <col customWidth="1" min="17" max="17" width="13.57"/>
    <col customWidth="1" min="18" max="18" width="9.29"/>
    <col customWidth="1" min="19" max="19" width="13.43"/>
    <col customWidth="1" min="20" max="20" width="10.86"/>
    <col customWidth="1" min="21" max="21" width="9.0"/>
    <col customWidth="1" min="22" max="23" width="8.71"/>
    <col customWidth="1" min="24" max="24" width="27.43"/>
    <col customWidth="1" min="25" max="25" width="12.29"/>
    <col customWidth="1" min="26" max="26" width="8.71"/>
  </cols>
  <sheetData>
    <row r="1" ht="15.75" customHeight="1">
      <c r="A1" s="1" t="s">
        <v>69</v>
      </c>
      <c r="C1" s="2" t="s">
        <v>253</v>
      </c>
      <c r="F1" s="3"/>
      <c r="G1" s="4" t="s">
        <v>2</v>
      </c>
      <c r="Q1" s="3"/>
    </row>
    <row r="2" ht="15.75" customHeight="1">
      <c r="A2" s="1" t="s">
        <v>3</v>
      </c>
      <c r="C2" s="6" t="s">
        <v>78</v>
      </c>
      <c r="F2" s="3"/>
      <c r="Q2" s="3"/>
    </row>
    <row r="3" ht="15.75" customHeight="1">
      <c r="A3" s="1" t="s">
        <v>5</v>
      </c>
      <c r="C3" s="269"/>
      <c r="D3" s="270"/>
      <c r="E3" s="270"/>
      <c r="F3" s="3"/>
      <c r="Q3" s="3"/>
    </row>
    <row r="4" ht="15.75" customHeight="1">
      <c r="A4" s="1" t="s">
        <v>6</v>
      </c>
      <c r="C4" s="171" t="s">
        <v>254</v>
      </c>
      <c r="E4" s="3"/>
      <c r="F4" s="3"/>
      <c r="G4" s="9"/>
      <c r="H4" s="9"/>
      <c r="I4" s="9"/>
      <c r="J4" s="9"/>
      <c r="K4" s="9"/>
      <c r="L4" s="9"/>
      <c r="M4" s="9"/>
      <c r="N4" s="9"/>
      <c r="O4" s="9"/>
      <c r="P4" s="9"/>
      <c r="Q4" s="3"/>
    </row>
    <row r="5" ht="15.75" customHeight="1">
      <c r="A5" s="171"/>
      <c r="B5" s="171"/>
      <c r="C5" s="171"/>
      <c r="D5" s="171"/>
      <c r="E5" s="171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3"/>
    </row>
    <row r="6" ht="15.75" customHeight="1">
      <c r="A6" s="271" t="s">
        <v>7</v>
      </c>
      <c r="B6" s="12"/>
      <c r="C6" s="13"/>
      <c r="D6" s="271" t="s">
        <v>8</v>
      </c>
      <c r="E6" s="12"/>
      <c r="F6" s="13"/>
      <c r="G6" s="11" t="s">
        <v>9</v>
      </c>
      <c r="H6" s="12"/>
      <c r="I6" s="13"/>
      <c r="J6" s="11" t="s">
        <v>10</v>
      </c>
      <c r="K6" s="12"/>
      <c r="L6" s="13"/>
      <c r="M6" s="11" t="s">
        <v>11</v>
      </c>
      <c r="N6" s="12"/>
      <c r="O6" s="13"/>
      <c r="P6" s="11" t="s">
        <v>12</v>
      </c>
      <c r="Q6" s="12"/>
      <c r="R6" s="13"/>
      <c r="S6" s="14" t="s">
        <v>13</v>
      </c>
      <c r="T6" s="12"/>
      <c r="U6" s="13"/>
      <c r="W6" s="173" t="s">
        <v>15</v>
      </c>
      <c r="X6" s="174" t="s">
        <v>141</v>
      </c>
      <c r="Y6" s="175" t="s">
        <v>17</v>
      </c>
    </row>
    <row r="7" ht="15.75" customHeight="1">
      <c r="A7" s="15"/>
      <c r="B7" s="12"/>
      <c r="C7" s="13"/>
      <c r="D7" s="15"/>
      <c r="E7" s="12"/>
      <c r="F7" s="13"/>
      <c r="G7" s="16"/>
      <c r="H7" s="12"/>
      <c r="I7" s="13"/>
      <c r="J7" s="16"/>
      <c r="K7" s="12"/>
      <c r="L7" s="13"/>
      <c r="M7" s="16"/>
      <c r="N7" s="12"/>
      <c r="O7" s="13"/>
      <c r="P7" s="16"/>
      <c r="Q7" s="12"/>
      <c r="R7" s="13"/>
      <c r="S7" s="17">
        <v>46054.0</v>
      </c>
      <c r="T7" s="12"/>
      <c r="U7" s="13"/>
      <c r="W7" s="178">
        <v>1.0</v>
      </c>
      <c r="X7" s="60" t="s">
        <v>255</v>
      </c>
      <c r="Y7" s="272">
        <f t="shared" ref="Y7:Y31" si="1">COUNTIF($A$5:$U$50,X7)</f>
        <v>2</v>
      </c>
    </row>
    <row r="8" ht="15.75" customHeight="1">
      <c r="A8" s="24"/>
      <c r="B8" s="24"/>
      <c r="C8" s="36"/>
      <c r="D8" s="129"/>
      <c r="E8" s="129"/>
      <c r="F8" s="129"/>
      <c r="G8" s="41"/>
      <c r="H8" s="41"/>
      <c r="I8" s="41"/>
      <c r="J8" s="112"/>
      <c r="K8" s="112"/>
      <c r="L8" s="112"/>
      <c r="M8" s="273"/>
      <c r="N8" s="273"/>
      <c r="O8" s="273"/>
      <c r="P8" s="35"/>
      <c r="Q8" s="141"/>
      <c r="R8" s="141"/>
      <c r="S8" s="114"/>
      <c r="T8" s="114"/>
      <c r="U8" s="114"/>
      <c r="W8" s="178">
        <v>2.0</v>
      </c>
      <c r="X8" s="60" t="s">
        <v>256</v>
      </c>
      <c r="Y8" s="272">
        <f t="shared" si="1"/>
        <v>2</v>
      </c>
    </row>
    <row r="9" ht="15.75" customHeight="1">
      <c r="A9" s="24"/>
      <c r="B9" s="24"/>
      <c r="C9" s="24"/>
      <c r="D9" s="24"/>
      <c r="E9" s="24"/>
      <c r="F9" s="24"/>
      <c r="G9" s="183"/>
      <c r="H9" s="183"/>
      <c r="I9" s="183"/>
      <c r="J9" s="44"/>
      <c r="K9" s="113"/>
      <c r="L9" s="113"/>
      <c r="M9" s="112"/>
      <c r="N9" s="112"/>
      <c r="O9" s="112"/>
      <c r="P9" s="110"/>
      <c r="Q9" s="44"/>
      <c r="R9" s="110"/>
      <c r="S9" s="114"/>
      <c r="T9" s="114"/>
      <c r="U9" s="114"/>
      <c r="W9" s="178">
        <v>3.0</v>
      </c>
      <c r="X9" s="131" t="s">
        <v>257</v>
      </c>
      <c r="Y9" s="272">
        <f t="shared" si="1"/>
        <v>2</v>
      </c>
    </row>
    <row r="10" ht="15.75" customHeight="1">
      <c r="A10" s="24"/>
      <c r="B10" s="24"/>
      <c r="C10" s="24"/>
      <c r="D10" s="41"/>
      <c r="E10" s="24"/>
      <c r="F10" s="113"/>
      <c r="G10" s="183"/>
      <c r="H10" s="183"/>
      <c r="I10" s="183"/>
      <c r="J10" s="112"/>
      <c r="K10" s="112"/>
      <c r="L10" s="112"/>
      <c r="M10" s="41"/>
      <c r="N10" s="41"/>
      <c r="O10" s="41"/>
      <c r="P10" s="112"/>
      <c r="Q10" s="112"/>
      <c r="R10" s="112"/>
      <c r="S10" s="19" t="s">
        <v>14</v>
      </c>
      <c r="T10" s="12"/>
      <c r="U10" s="13"/>
      <c r="W10" s="178">
        <v>4.0</v>
      </c>
      <c r="X10" s="80" t="s">
        <v>258</v>
      </c>
      <c r="Y10" s="272">
        <f t="shared" si="1"/>
        <v>2</v>
      </c>
    </row>
    <row r="11" ht="15.75" customHeight="1">
      <c r="A11" s="112"/>
      <c r="B11" s="112"/>
      <c r="C11" s="112"/>
      <c r="D11" s="103"/>
      <c r="E11" s="103"/>
      <c r="F11" s="103"/>
      <c r="G11" s="120"/>
      <c r="H11" s="120"/>
      <c r="I11" s="120"/>
      <c r="J11" s="24"/>
      <c r="K11" s="113"/>
      <c r="L11" s="113"/>
      <c r="M11" s="112"/>
      <c r="N11" s="112"/>
      <c r="O11" s="112"/>
      <c r="P11" s="35"/>
      <c r="Q11" s="35"/>
      <c r="R11" s="114"/>
      <c r="S11" s="114"/>
      <c r="T11" s="114"/>
      <c r="U11" s="114"/>
      <c r="W11" s="178">
        <v>5.0</v>
      </c>
      <c r="X11" s="274" t="s">
        <v>259</v>
      </c>
      <c r="Y11" s="272">
        <f t="shared" si="1"/>
        <v>5</v>
      </c>
    </row>
    <row r="12" ht="15.75" customHeight="1">
      <c r="A12" s="114"/>
      <c r="B12" s="140"/>
      <c r="C12" s="140"/>
      <c r="D12" s="103"/>
      <c r="E12" s="103"/>
      <c r="F12" s="103"/>
      <c r="G12" s="140"/>
      <c r="H12" s="140"/>
      <c r="I12" s="140"/>
      <c r="J12" s="24"/>
      <c r="K12" s="113"/>
      <c r="L12" s="113"/>
      <c r="M12" s="154"/>
      <c r="N12" s="154"/>
      <c r="O12" s="154"/>
      <c r="P12" s="140"/>
      <c r="Q12" s="140"/>
      <c r="R12" s="140"/>
      <c r="S12" s="114"/>
      <c r="T12" s="114"/>
      <c r="U12" s="114"/>
      <c r="W12" s="178">
        <v>6.0</v>
      </c>
      <c r="X12" s="274" t="s">
        <v>260</v>
      </c>
      <c r="Y12" s="272">
        <f t="shared" si="1"/>
        <v>2</v>
      </c>
    </row>
    <row r="13" ht="15.75" customHeight="1">
      <c r="A13" s="131"/>
      <c r="B13" s="114"/>
      <c r="C13" s="140"/>
      <c r="D13" s="120"/>
      <c r="E13" s="120"/>
      <c r="F13" s="120"/>
      <c r="G13" s="103"/>
      <c r="H13" s="103"/>
      <c r="I13" s="103"/>
      <c r="J13" s="103"/>
      <c r="K13" s="103"/>
      <c r="L13" s="103"/>
      <c r="M13" s="114"/>
      <c r="N13" s="114"/>
      <c r="O13" s="114"/>
      <c r="P13" s="140"/>
      <c r="Q13" s="140"/>
      <c r="R13" s="140"/>
      <c r="S13" s="114"/>
      <c r="T13" s="114"/>
      <c r="U13" s="114"/>
      <c r="W13" s="178">
        <v>7.0</v>
      </c>
      <c r="X13" s="274" t="s">
        <v>261</v>
      </c>
      <c r="Y13" s="272">
        <f t="shared" si="1"/>
        <v>4</v>
      </c>
    </row>
    <row r="14" ht="15.75" customHeight="1">
      <c r="A14" s="128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14"/>
      <c r="T14" s="114"/>
      <c r="U14" s="114"/>
      <c r="W14" s="178">
        <v>8.0</v>
      </c>
      <c r="X14" s="274" t="s">
        <v>262</v>
      </c>
      <c r="Y14" s="272">
        <f t="shared" si="1"/>
        <v>2</v>
      </c>
    </row>
    <row r="15" ht="15.75" customHeight="1">
      <c r="A15" s="105" t="s">
        <v>115</v>
      </c>
      <c r="B15" s="12"/>
      <c r="C15" s="13"/>
      <c r="D15" s="105" t="s">
        <v>8</v>
      </c>
      <c r="E15" s="12"/>
      <c r="F15" s="13"/>
      <c r="G15" s="105" t="s">
        <v>116</v>
      </c>
      <c r="H15" s="12"/>
      <c r="I15" s="13"/>
      <c r="J15" s="105" t="s">
        <v>10</v>
      </c>
      <c r="K15" s="12"/>
      <c r="L15" s="13"/>
      <c r="M15" s="105" t="s">
        <v>81</v>
      </c>
      <c r="N15" s="12"/>
      <c r="O15" s="13"/>
      <c r="P15" s="105" t="s">
        <v>82</v>
      </c>
      <c r="Q15" s="12"/>
      <c r="R15" s="13"/>
      <c r="S15" s="155" t="s">
        <v>13</v>
      </c>
      <c r="T15" s="12"/>
      <c r="U15" s="13"/>
      <c r="W15" s="178">
        <v>9.0</v>
      </c>
      <c r="X15" s="60" t="s">
        <v>263</v>
      </c>
      <c r="Y15" s="272">
        <f t="shared" si="1"/>
        <v>2</v>
      </c>
    </row>
    <row r="16" ht="15.75" customHeight="1">
      <c r="A16" s="107">
        <f>S7+1</f>
        <v>46055</v>
      </c>
      <c r="B16" s="12"/>
      <c r="C16" s="13"/>
      <c r="D16" s="107">
        <f>A16+1</f>
        <v>46056</v>
      </c>
      <c r="E16" s="12"/>
      <c r="F16" s="13"/>
      <c r="G16" s="107">
        <f>D16+1</f>
        <v>46057</v>
      </c>
      <c r="H16" s="12"/>
      <c r="I16" s="13"/>
      <c r="J16" s="107">
        <f>G16+1</f>
        <v>46058</v>
      </c>
      <c r="K16" s="12"/>
      <c r="L16" s="13"/>
      <c r="M16" s="108">
        <f>J16+1</f>
        <v>46059</v>
      </c>
      <c r="N16" s="12"/>
      <c r="O16" s="13"/>
      <c r="P16" s="107">
        <f>M16+1</f>
        <v>46060</v>
      </c>
      <c r="Q16" s="12"/>
      <c r="R16" s="13"/>
      <c r="S16" s="109">
        <f>P16+1</f>
        <v>46061</v>
      </c>
      <c r="T16" s="12"/>
      <c r="U16" s="13"/>
      <c r="W16" s="178">
        <v>10.0</v>
      </c>
      <c r="X16" s="274" t="s">
        <v>264</v>
      </c>
      <c r="Y16" s="272">
        <f t="shared" si="1"/>
        <v>6</v>
      </c>
    </row>
    <row r="17" ht="15.75" customHeight="1">
      <c r="A17" s="24" t="s">
        <v>265</v>
      </c>
      <c r="B17" s="24" t="s">
        <v>266</v>
      </c>
      <c r="C17" s="36"/>
      <c r="G17" s="41" t="s">
        <v>264</v>
      </c>
      <c r="H17" s="41" t="s">
        <v>24</v>
      </c>
      <c r="I17" s="41" t="s">
        <v>34</v>
      </c>
      <c r="J17" s="112" t="s">
        <v>267</v>
      </c>
      <c r="K17" s="112" t="s">
        <v>63</v>
      </c>
      <c r="L17" s="112" t="s">
        <v>34</v>
      </c>
      <c r="M17" s="273"/>
      <c r="N17" s="273"/>
      <c r="O17" s="273"/>
      <c r="P17" s="35"/>
      <c r="Q17" s="141"/>
      <c r="R17" s="141"/>
      <c r="S17" s="74"/>
      <c r="T17" s="74"/>
      <c r="U17" s="74"/>
      <c r="W17" s="178">
        <v>11.0</v>
      </c>
      <c r="X17" s="274" t="s">
        <v>265</v>
      </c>
      <c r="Y17" s="272">
        <f t="shared" si="1"/>
        <v>4</v>
      </c>
    </row>
    <row r="18" ht="15.75" customHeight="1">
      <c r="A18" s="24" t="s">
        <v>268</v>
      </c>
      <c r="B18" s="24" t="s">
        <v>33</v>
      </c>
      <c r="C18" s="24" t="s">
        <v>31</v>
      </c>
      <c r="D18" s="129" t="s">
        <v>269</v>
      </c>
      <c r="E18" s="129" t="s">
        <v>270</v>
      </c>
      <c r="F18" s="129" t="s">
        <v>25</v>
      </c>
      <c r="G18" s="183"/>
      <c r="H18" s="183"/>
      <c r="I18" s="183"/>
      <c r="J18" s="44" t="s">
        <v>271</v>
      </c>
      <c r="K18" s="113" t="s">
        <v>28</v>
      </c>
      <c r="L18" s="113" t="s">
        <v>34</v>
      </c>
      <c r="M18" s="112"/>
      <c r="N18" s="112"/>
      <c r="O18" s="112"/>
      <c r="P18" s="110" t="s">
        <v>272</v>
      </c>
      <c r="Q18" s="44" t="s">
        <v>273</v>
      </c>
      <c r="R18" s="110" t="s">
        <v>34</v>
      </c>
      <c r="S18" s="114"/>
      <c r="T18" s="114"/>
      <c r="U18" s="114"/>
      <c r="W18" s="178">
        <v>12.0</v>
      </c>
      <c r="X18" s="274" t="s">
        <v>271</v>
      </c>
      <c r="Y18" s="272">
        <f t="shared" si="1"/>
        <v>4</v>
      </c>
    </row>
    <row r="19" ht="15.75" customHeight="1">
      <c r="A19" s="38" t="s">
        <v>257</v>
      </c>
      <c r="B19" s="38" t="s">
        <v>52</v>
      </c>
      <c r="C19" s="38" t="s">
        <v>25</v>
      </c>
      <c r="D19" s="24" t="s">
        <v>259</v>
      </c>
      <c r="E19" s="24" t="s">
        <v>132</v>
      </c>
      <c r="F19" s="24" t="s">
        <v>31</v>
      </c>
      <c r="G19" s="183"/>
      <c r="H19" s="183"/>
      <c r="I19" s="183"/>
      <c r="J19" s="112" t="s">
        <v>274</v>
      </c>
      <c r="K19" s="112" t="s">
        <v>57</v>
      </c>
      <c r="L19" s="112" t="s">
        <v>34</v>
      </c>
      <c r="M19" s="41" t="s">
        <v>264</v>
      </c>
      <c r="N19" s="41" t="s">
        <v>28</v>
      </c>
      <c r="O19" s="41" t="s">
        <v>34</v>
      </c>
      <c r="P19" s="112" t="s">
        <v>275</v>
      </c>
      <c r="Q19" s="112" t="s">
        <v>30</v>
      </c>
      <c r="R19" s="112" t="s">
        <v>31</v>
      </c>
      <c r="S19" s="275"/>
      <c r="T19" s="12"/>
      <c r="U19" s="13"/>
      <c r="W19" s="178">
        <v>13.0</v>
      </c>
      <c r="X19" s="274" t="s">
        <v>67</v>
      </c>
      <c r="Y19" s="272">
        <f t="shared" si="1"/>
        <v>2</v>
      </c>
    </row>
    <row r="20" ht="15.75" customHeight="1">
      <c r="A20" s="112" t="s">
        <v>276</v>
      </c>
      <c r="B20" s="112" t="s">
        <v>129</v>
      </c>
      <c r="C20" s="112" t="s">
        <v>31</v>
      </c>
      <c r="D20" s="145" t="s">
        <v>262</v>
      </c>
      <c r="E20" s="46" t="s">
        <v>42</v>
      </c>
      <c r="F20" s="276" t="s">
        <v>25</v>
      </c>
      <c r="G20" s="120" t="s">
        <v>261</v>
      </c>
      <c r="H20" s="120" t="s">
        <v>277</v>
      </c>
      <c r="I20" s="120" t="s">
        <v>25</v>
      </c>
      <c r="J20" s="24" t="s">
        <v>278</v>
      </c>
      <c r="K20" s="113" t="s">
        <v>60</v>
      </c>
      <c r="L20" s="113" t="s">
        <v>34</v>
      </c>
      <c r="M20" s="112" t="s">
        <v>279</v>
      </c>
      <c r="N20" s="277" t="s">
        <v>280</v>
      </c>
      <c r="O20" s="112" t="s">
        <v>25</v>
      </c>
      <c r="P20" s="35"/>
      <c r="Q20" s="35"/>
      <c r="R20" s="114"/>
      <c r="S20" s="114"/>
      <c r="T20" s="114"/>
      <c r="U20" s="114"/>
      <c r="W20" s="178">
        <v>14.0</v>
      </c>
      <c r="X20" s="131" t="s">
        <v>267</v>
      </c>
      <c r="Y20" s="272">
        <f t="shared" si="1"/>
        <v>2</v>
      </c>
    </row>
    <row r="21" ht="15.75" customHeight="1">
      <c r="A21" s="114"/>
      <c r="B21" s="140"/>
      <c r="C21" s="140"/>
      <c r="D21" s="103"/>
      <c r="E21" s="103"/>
      <c r="F21" s="103"/>
      <c r="G21" s="140"/>
      <c r="H21" s="140"/>
      <c r="I21" s="140"/>
      <c r="J21" s="24" t="s">
        <v>263</v>
      </c>
      <c r="K21" s="113" t="s">
        <v>102</v>
      </c>
      <c r="L21" s="113" t="s">
        <v>34</v>
      </c>
      <c r="M21" s="120" t="s">
        <v>281</v>
      </c>
      <c r="N21" s="120" t="s">
        <v>42</v>
      </c>
      <c r="O21" s="120" t="s">
        <v>31</v>
      </c>
      <c r="P21" s="140"/>
      <c r="Q21" s="140"/>
      <c r="R21" s="140"/>
      <c r="S21" s="140"/>
      <c r="T21" s="140"/>
      <c r="U21" s="140"/>
      <c r="W21" s="178">
        <v>15.0</v>
      </c>
      <c r="X21" s="131" t="s">
        <v>274</v>
      </c>
      <c r="Y21" s="272">
        <f t="shared" si="1"/>
        <v>2</v>
      </c>
    </row>
    <row r="22" ht="15.75" customHeight="1">
      <c r="A22" s="114"/>
      <c r="B22" s="140"/>
      <c r="C22" s="140"/>
      <c r="D22" s="114"/>
      <c r="E22" s="140"/>
      <c r="F22" s="140"/>
      <c r="G22" s="114"/>
      <c r="H22" s="140"/>
      <c r="I22" s="140"/>
      <c r="J22" s="114"/>
      <c r="K22" s="140"/>
      <c r="L22" s="140"/>
      <c r="M22" s="114"/>
      <c r="N22" s="140"/>
      <c r="O22" s="140"/>
      <c r="P22" s="114"/>
      <c r="Q22" s="140"/>
      <c r="R22" s="140"/>
      <c r="S22" s="140"/>
      <c r="T22" s="140"/>
      <c r="U22" s="140"/>
      <c r="W22" s="178"/>
      <c r="X22" s="274" t="s">
        <v>269</v>
      </c>
      <c r="Y22" s="272">
        <f t="shared" si="1"/>
        <v>4</v>
      </c>
    </row>
    <row r="23" ht="15.75" customHeight="1">
      <c r="A23" s="271" t="s">
        <v>7</v>
      </c>
      <c r="B23" s="12"/>
      <c r="C23" s="13"/>
      <c r="D23" s="271" t="s">
        <v>8</v>
      </c>
      <c r="E23" s="12"/>
      <c r="F23" s="13"/>
      <c r="G23" s="11" t="s">
        <v>9</v>
      </c>
      <c r="H23" s="12"/>
      <c r="I23" s="13"/>
      <c r="J23" s="11" t="s">
        <v>10</v>
      </c>
      <c r="K23" s="12"/>
      <c r="L23" s="13"/>
      <c r="M23" s="136" t="s">
        <v>11</v>
      </c>
      <c r="N23" s="12"/>
      <c r="O23" s="13"/>
      <c r="P23" s="136" t="s">
        <v>82</v>
      </c>
      <c r="Q23" s="12"/>
      <c r="R23" s="13"/>
      <c r="S23" s="137" t="s">
        <v>117</v>
      </c>
      <c r="T23" s="12"/>
      <c r="U23" s="13"/>
      <c r="W23" s="178">
        <v>16.0</v>
      </c>
      <c r="X23" s="274" t="s">
        <v>282</v>
      </c>
      <c r="Y23" s="272">
        <f t="shared" si="1"/>
        <v>2</v>
      </c>
    </row>
    <row r="24" ht="15.75" customHeight="1">
      <c r="A24" s="138">
        <f>S16+1</f>
        <v>46062</v>
      </c>
      <c r="B24" s="12"/>
      <c r="C24" s="13"/>
      <c r="D24" s="138">
        <f>A24+1</f>
        <v>46063</v>
      </c>
      <c r="E24" s="12"/>
      <c r="F24" s="13"/>
      <c r="G24" s="138">
        <f>D24+1</f>
        <v>46064</v>
      </c>
      <c r="H24" s="12"/>
      <c r="I24" s="13"/>
      <c r="J24" s="138">
        <f>G24+1</f>
        <v>46065</v>
      </c>
      <c r="K24" s="12"/>
      <c r="L24" s="13"/>
      <c r="M24" s="138">
        <f>J24+1</f>
        <v>46066</v>
      </c>
      <c r="N24" s="12"/>
      <c r="O24" s="13"/>
      <c r="P24" s="138">
        <f>M24+1</f>
        <v>46067</v>
      </c>
      <c r="Q24" s="12"/>
      <c r="R24" s="13"/>
      <c r="S24" s="139">
        <f>P24+1</f>
        <v>46068</v>
      </c>
      <c r="T24" s="12"/>
      <c r="U24" s="13"/>
      <c r="W24" s="178">
        <v>17.0</v>
      </c>
      <c r="X24" s="24" t="s">
        <v>268</v>
      </c>
      <c r="Y24" s="272">
        <f t="shared" si="1"/>
        <v>4</v>
      </c>
    </row>
    <row r="25" ht="15.75" customHeight="1">
      <c r="A25" s="24" t="s">
        <v>265</v>
      </c>
      <c r="B25" s="24" t="s">
        <v>266</v>
      </c>
      <c r="C25" s="36"/>
      <c r="D25" s="112" t="s">
        <v>261</v>
      </c>
      <c r="E25" s="112" t="s">
        <v>283</v>
      </c>
      <c r="F25" s="112" t="s">
        <v>25</v>
      </c>
      <c r="G25" s="114"/>
      <c r="H25" s="114"/>
      <c r="I25" s="114"/>
      <c r="J25" s="114"/>
      <c r="K25" s="114"/>
      <c r="L25" s="114"/>
      <c r="M25" s="112" t="s">
        <v>279</v>
      </c>
      <c r="N25" s="277" t="s">
        <v>280</v>
      </c>
      <c r="O25" s="112" t="s">
        <v>25</v>
      </c>
      <c r="P25" s="110" t="s">
        <v>272</v>
      </c>
      <c r="Q25" s="44" t="s">
        <v>273</v>
      </c>
      <c r="R25" s="110" t="s">
        <v>25</v>
      </c>
      <c r="S25" s="114"/>
      <c r="T25" s="114"/>
      <c r="U25" s="114"/>
      <c r="W25" s="178">
        <v>18.0</v>
      </c>
      <c r="X25" s="274" t="s">
        <v>279</v>
      </c>
      <c r="Y25" s="272">
        <f t="shared" si="1"/>
        <v>4</v>
      </c>
    </row>
    <row r="26" ht="15.75" customHeight="1">
      <c r="A26" s="112"/>
      <c r="B26" s="112"/>
      <c r="C26" s="112"/>
      <c r="D26" s="129" t="s">
        <v>269</v>
      </c>
      <c r="E26" s="129" t="s">
        <v>270</v>
      </c>
      <c r="F26" s="129" t="s">
        <v>25</v>
      </c>
      <c r="G26" s="41" t="s">
        <v>264</v>
      </c>
      <c r="H26" s="41" t="s">
        <v>24</v>
      </c>
      <c r="I26" s="41" t="s">
        <v>34</v>
      </c>
      <c r="J26" s="44" t="s">
        <v>271</v>
      </c>
      <c r="K26" s="113" t="s">
        <v>102</v>
      </c>
      <c r="L26" s="113" t="s">
        <v>34</v>
      </c>
      <c r="M26" s="41" t="s">
        <v>260</v>
      </c>
      <c r="N26" s="41" t="s">
        <v>30</v>
      </c>
      <c r="O26" s="41" t="s">
        <v>31</v>
      </c>
      <c r="P26" s="42"/>
      <c r="Q26" s="36"/>
      <c r="R26" s="183"/>
      <c r="S26" s="114"/>
      <c r="T26" s="114"/>
      <c r="U26" s="114"/>
      <c r="W26" s="178">
        <v>19.0</v>
      </c>
      <c r="X26" s="128" t="s">
        <v>281</v>
      </c>
      <c r="Y26" s="272">
        <f t="shared" si="1"/>
        <v>2</v>
      </c>
    </row>
    <row r="27" ht="15.75" customHeight="1">
      <c r="A27" s="24" t="s">
        <v>268</v>
      </c>
      <c r="B27" s="24" t="s">
        <v>33</v>
      </c>
      <c r="C27" s="24" t="s">
        <v>31</v>
      </c>
      <c r="D27" s="24" t="s">
        <v>259</v>
      </c>
      <c r="E27" s="24" t="s">
        <v>132</v>
      </c>
      <c r="F27" s="24" t="s">
        <v>31</v>
      </c>
      <c r="G27" s="24" t="s">
        <v>282</v>
      </c>
      <c r="H27" s="24" t="s">
        <v>70</v>
      </c>
      <c r="I27" s="120" t="s">
        <v>34</v>
      </c>
      <c r="J27" s="44" t="s">
        <v>67</v>
      </c>
      <c r="K27" s="113" t="s">
        <v>68</v>
      </c>
      <c r="L27" s="113" t="s">
        <v>31</v>
      </c>
      <c r="M27" s="119"/>
      <c r="N27" s="183"/>
      <c r="O27" s="183"/>
      <c r="P27" s="42"/>
      <c r="Q27" s="36"/>
      <c r="R27" s="183"/>
      <c r="S27" s="275"/>
      <c r="T27" s="12"/>
      <c r="U27" s="13"/>
      <c r="W27" s="178">
        <v>20.0</v>
      </c>
      <c r="X27" s="274" t="s">
        <v>278</v>
      </c>
      <c r="Y27" s="272">
        <f t="shared" si="1"/>
        <v>2</v>
      </c>
    </row>
    <row r="28" ht="15.75" customHeight="1">
      <c r="A28" s="113" t="s">
        <v>284</v>
      </c>
      <c r="B28" s="113" t="s">
        <v>205</v>
      </c>
      <c r="C28" s="113" t="s">
        <v>25</v>
      </c>
      <c r="D28" s="103"/>
      <c r="E28" s="103"/>
      <c r="F28" s="103"/>
      <c r="G28" s="44" t="s">
        <v>255</v>
      </c>
      <c r="H28" s="44" t="s">
        <v>110</v>
      </c>
      <c r="I28" s="44" t="s">
        <v>31</v>
      </c>
      <c r="J28" s="114"/>
      <c r="K28" s="114"/>
      <c r="L28" s="114"/>
      <c r="M28" s="119"/>
      <c r="N28" s="183"/>
      <c r="O28" s="183"/>
      <c r="P28" s="112" t="s">
        <v>256</v>
      </c>
      <c r="Q28" s="112" t="s">
        <v>205</v>
      </c>
      <c r="R28" s="112" t="s">
        <v>25</v>
      </c>
      <c r="S28" s="114"/>
      <c r="T28" s="114"/>
      <c r="U28" s="114"/>
      <c r="W28" s="178">
        <v>21.0</v>
      </c>
      <c r="X28" s="274" t="s">
        <v>276</v>
      </c>
      <c r="Y28" s="272">
        <f t="shared" si="1"/>
        <v>2</v>
      </c>
    </row>
    <row r="29" ht="15.75" customHeight="1">
      <c r="A29" s="113"/>
      <c r="B29" s="113"/>
      <c r="C29" s="113"/>
      <c r="D29" s="103"/>
      <c r="E29" s="103"/>
      <c r="F29" s="103"/>
      <c r="G29" s="35"/>
      <c r="H29" s="278"/>
      <c r="I29" s="278"/>
      <c r="J29" s="35"/>
      <c r="K29" s="278"/>
      <c r="L29" s="278"/>
      <c r="M29" s="273"/>
      <c r="N29" s="273"/>
      <c r="O29" s="273"/>
      <c r="P29" s="24" t="s">
        <v>258</v>
      </c>
      <c r="Q29" s="24" t="s">
        <v>285</v>
      </c>
      <c r="R29" s="44" t="s">
        <v>25</v>
      </c>
      <c r="S29" s="140"/>
      <c r="T29" s="140"/>
      <c r="U29" s="140"/>
      <c r="W29" s="178">
        <v>22.0</v>
      </c>
      <c r="X29" s="131" t="s">
        <v>284</v>
      </c>
      <c r="Y29" s="272">
        <f t="shared" si="1"/>
        <v>2</v>
      </c>
    </row>
    <row r="30" ht="15.75" customHeight="1">
      <c r="A30" s="114"/>
      <c r="B30" s="140"/>
      <c r="C30" s="140"/>
      <c r="D30" s="120"/>
      <c r="E30" s="120"/>
      <c r="F30" s="120"/>
      <c r="G30" s="112"/>
      <c r="H30" s="120"/>
      <c r="I30" s="120"/>
      <c r="J30" s="35"/>
      <c r="K30" s="278"/>
      <c r="L30" s="278"/>
      <c r="M30" s="154"/>
      <c r="N30" s="154"/>
      <c r="O30" s="154"/>
      <c r="P30" s="114"/>
      <c r="Q30" s="114"/>
      <c r="R30" s="114"/>
      <c r="S30" s="114"/>
      <c r="T30" s="114"/>
      <c r="U30" s="114"/>
      <c r="W30" s="178">
        <v>23.0</v>
      </c>
      <c r="X30" s="274" t="s">
        <v>275</v>
      </c>
      <c r="Y30" s="272">
        <f t="shared" si="1"/>
        <v>2</v>
      </c>
    </row>
    <row r="31" ht="15.75" customHeight="1">
      <c r="A31" s="114"/>
      <c r="B31" s="140"/>
      <c r="C31" s="140"/>
      <c r="D31" s="120"/>
      <c r="E31" s="120"/>
      <c r="F31" s="120"/>
      <c r="G31" s="112"/>
      <c r="H31" s="120"/>
      <c r="I31" s="120"/>
      <c r="J31" s="35"/>
      <c r="K31" s="278"/>
      <c r="L31" s="278"/>
      <c r="M31" s="154"/>
      <c r="N31" s="154"/>
      <c r="O31" s="154"/>
      <c r="P31" s="114"/>
      <c r="Q31" s="114"/>
      <c r="R31" s="114"/>
      <c r="S31" s="140"/>
      <c r="T31" s="140"/>
      <c r="U31" s="140"/>
      <c r="W31" s="178">
        <v>24.0</v>
      </c>
      <c r="X31" s="128" t="s">
        <v>281</v>
      </c>
      <c r="Y31" s="272">
        <f t="shared" si="1"/>
        <v>2</v>
      </c>
    </row>
    <row r="32" ht="15.75" customHeight="1">
      <c r="A32" s="105" t="s">
        <v>115</v>
      </c>
      <c r="B32" s="12"/>
      <c r="C32" s="13"/>
      <c r="D32" s="155" t="s">
        <v>8</v>
      </c>
      <c r="E32" s="12"/>
      <c r="F32" s="13"/>
      <c r="G32" s="105" t="s">
        <v>116</v>
      </c>
      <c r="H32" s="12"/>
      <c r="I32" s="13"/>
      <c r="J32" s="156" t="s">
        <v>10</v>
      </c>
      <c r="K32" s="12"/>
      <c r="L32" s="13"/>
      <c r="M32" s="105" t="s">
        <v>11</v>
      </c>
      <c r="N32" s="12"/>
      <c r="O32" s="13"/>
      <c r="P32" s="105" t="s">
        <v>82</v>
      </c>
      <c r="Q32" s="12"/>
      <c r="R32" s="13"/>
      <c r="S32" s="106" t="s">
        <v>117</v>
      </c>
      <c r="T32" s="12"/>
      <c r="U32" s="13"/>
      <c r="W32" s="178">
        <v>25.0</v>
      </c>
    </row>
    <row r="33" ht="15.75" customHeight="1">
      <c r="A33" s="108">
        <f>S24+1</f>
        <v>46069</v>
      </c>
      <c r="B33" s="12"/>
      <c r="C33" s="13"/>
      <c r="D33" s="109">
        <f>A33+1</f>
        <v>46070</v>
      </c>
      <c r="E33" s="12"/>
      <c r="F33" s="13"/>
      <c r="G33" s="107">
        <f>D33+1</f>
        <v>46071</v>
      </c>
      <c r="H33" s="12"/>
      <c r="I33" s="13"/>
      <c r="J33" s="107">
        <f>G33+1</f>
        <v>46072</v>
      </c>
      <c r="K33" s="12"/>
      <c r="L33" s="13"/>
      <c r="M33" s="107">
        <f>J33+1</f>
        <v>46073</v>
      </c>
      <c r="N33" s="12"/>
      <c r="O33" s="13"/>
      <c r="P33" s="107">
        <f>M33+1</f>
        <v>46074</v>
      </c>
      <c r="Q33" s="12"/>
      <c r="R33" s="13"/>
      <c r="S33" s="109">
        <f>P33+1</f>
        <v>46075</v>
      </c>
      <c r="T33" s="12"/>
      <c r="U33" s="13"/>
      <c r="W33" s="178">
        <v>26.0</v>
      </c>
      <c r="X33" s="128"/>
      <c r="Y33" s="272"/>
    </row>
    <row r="34" ht="15.75" customHeight="1">
      <c r="A34" s="24" t="s">
        <v>265</v>
      </c>
      <c r="B34" s="24" t="s">
        <v>266</v>
      </c>
      <c r="C34" s="36"/>
      <c r="D34" s="129" t="s">
        <v>269</v>
      </c>
      <c r="E34" s="129" t="s">
        <v>270</v>
      </c>
      <c r="F34" s="129" t="s">
        <v>25</v>
      </c>
      <c r="G34" s="147"/>
      <c r="H34" s="147"/>
      <c r="I34" s="147"/>
      <c r="J34" s="112" t="s">
        <v>267</v>
      </c>
      <c r="K34" s="112" t="s">
        <v>63</v>
      </c>
      <c r="L34" s="112" t="s">
        <v>34</v>
      </c>
      <c r="M34" s="140"/>
      <c r="N34" s="140"/>
      <c r="O34" s="140"/>
      <c r="P34" s="140"/>
      <c r="Q34" s="140"/>
      <c r="R34" s="140"/>
      <c r="S34" s="114"/>
      <c r="T34" s="114"/>
      <c r="U34" s="114"/>
      <c r="W34" s="178"/>
      <c r="X34" s="128"/>
      <c r="Y34" s="272"/>
    </row>
    <row r="35" ht="15.75" customHeight="1">
      <c r="A35" s="24" t="s">
        <v>268</v>
      </c>
      <c r="B35" s="24" t="s">
        <v>33</v>
      </c>
      <c r="C35" s="24" t="s">
        <v>31</v>
      </c>
      <c r="D35" s="24" t="s">
        <v>259</v>
      </c>
      <c r="E35" s="24" t="s">
        <v>132</v>
      </c>
      <c r="F35" s="24" t="s">
        <v>31</v>
      </c>
      <c r="G35" s="119"/>
      <c r="H35" s="119"/>
      <c r="I35" s="119"/>
      <c r="J35" s="44" t="s">
        <v>271</v>
      </c>
      <c r="K35" s="113" t="s">
        <v>28</v>
      </c>
      <c r="L35" s="113" t="s">
        <v>34</v>
      </c>
      <c r="M35" s="41" t="s">
        <v>264</v>
      </c>
      <c r="N35" s="41" t="s">
        <v>28</v>
      </c>
      <c r="O35" s="41" t="s">
        <v>34</v>
      </c>
      <c r="P35" s="110" t="s">
        <v>272</v>
      </c>
      <c r="Q35" s="44" t="s">
        <v>273</v>
      </c>
      <c r="R35" s="110" t="s">
        <v>34</v>
      </c>
      <c r="S35" s="275"/>
      <c r="T35" s="12"/>
      <c r="U35" s="13"/>
      <c r="W35" s="178"/>
      <c r="X35" s="131"/>
      <c r="Y35" s="272"/>
    </row>
    <row r="36" ht="15.75" customHeight="1">
      <c r="A36" s="38" t="s">
        <v>257</v>
      </c>
      <c r="B36" s="38" t="s">
        <v>52</v>
      </c>
      <c r="C36" s="38" t="s">
        <v>25</v>
      </c>
      <c r="D36" s="145" t="s">
        <v>262</v>
      </c>
      <c r="E36" s="46" t="s">
        <v>42</v>
      </c>
      <c r="F36" s="276" t="s">
        <v>25</v>
      </c>
      <c r="G36" s="41" t="s">
        <v>264</v>
      </c>
      <c r="H36" s="41" t="s">
        <v>24</v>
      </c>
      <c r="I36" s="41" t="s">
        <v>34</v>
      </c>
      <c r="J36" s="112" t="s">
        <v>274</v>
      </c>
      <c r="K36" s="112" t="s">
        <v>57</v>
      </c>
      <c r="L36" s="112" t="s">
        <v>34</v>
      </c>
      <c r="M36" s="112" t="s">
        <v>279</v>
      </c>
      <c r="N36" s="277" t="s">
        <v>280</v>
      </c>
      <c r="O36" s="112" t="s">
        <v>25</v>
      </c>
      <c r="P36" s="41"/>
      <c r="Q36" s="41"/>
      <c r="R36" s="41"/>
      <c r="S36" s="114"/>
      <c r="T36" s="114"/>
      <c r="U36" s="114"/>
      <c r="W36" s="178"/>
      <c r="X36" s="131"/>
      <c r="Y36" s="272"/>
    </row>
    <row r="37" ht="15.75" customHeight="1">
      <c r="A37" s="112" t="s">
        <v>276</v>
      </c>
      <c r="B37" s="112" t="s">
        <v>129</v>
      </c>
      <c r="C37" s="112" t="s">
        <v>31</v>
      </c>
      <c r="D37" s="103"/>
      <c r="E37" s="103"/>
      <c r="F37" s="103"/>
      <c r="G37" s="183"/>
      <c r="H37" s="183"/>
      <c r="I37" s="183"/>
      <c r="J37" s="24" t="s">
        <v>278</v>
      </c>
      <c r="K37" s="113" t="s">
        <v>60</v>
      </c>
      <c r="L37" s="113" t="s">
        <v>34</v>
      </c>
      <c r="M37" s="120" t="s">
        <v>281</v>
      </c>
      <c r="N37" s="120" t="s">
        <v>42</v>
      </c>
      <c r="O37" s="120" t="s">
        <v>31</v>
      </c>
      <c r="P37" s="120" t="s">
        <v>275</v>
      </c>
      <c r="Q37" s="120" t="s">
        <v>30</v>
      </c>
      <c r="R37" s="120" t="s">
        <v>31</v>
      </c>
      <c r="S37" s="114"/>
      <c r="T37" s="114"/>
      <c r="U37" s="114"/>
      <c r="Y37" s="102">
        <f>SUM(Y7:Y36)</f>
        <v>69</v>
      </c>
    </row>
    <row r="38" ht="15.75" customHeight="1">
      <c r="A38" s="131"/>
      <c r="B38" s="114"/>
      <c r="C38" s="114"/>
      <c r="D38" s="103"/>
      <c r="E38" s="103"/>
      <c r="F38" s="103"/>
      <c r="G38" s="183"/>
      <c r="H38" s="183"/>
      <c r="I38" s="183"/>
      <c r="J38" s="24" t="s">
        <v>263</v>
      </c>
      <c r="K38" s="113" t="s">
        <v>102</v>
      </c>
      <c r="L38" s="113" t="s">
        <v>34</v>
      </c>
      <c r="M38" s="154"/>
      <c r="N38" s="154"/>
      <c r="O38" s="154"/>
      <c r="P38" s="140"/>
      <c r="Q38" s="140"/>
      <c r="R38" s="140"/>
      <c r="S38" s="114"/>
      <c r="T38" s="114"/>
      <c r="U38" s="114"/>
    </row>
    <row r="39" ht="15.75" customHeight="1">
      <c r="A39" s="131"/>
      <c r="B39" s="114"/>
      <c r="C39" s="140"/>
      <c r="D39" s="120"/>
      <c r="E39" s="120"/>
      <c r="F39" s="120"/>
      <c r="G39" s="120" t="s">
        <v>261</v>
      </c>
      <c r="H39" s="120" t="s">
        <v>277</v>
      </c>
      <c r="I39" s="120" t="s">
        <v>25</v>
      </c>
      <c r="J39" s="60"/>
      <c r="K39" s="279"/>
      <c r="L39" s="279"/>
      <c r="M39" s="273"/>
      <c r="N39" s="273"/>
      <c r="O39" s="273"/>
      <c r="P39" s="140"/>
      <c r="Q39" s="140"/>
      <c r="R39" s="140"/>
      <c r="S39" s="280"/>
      <c r="T39" s="280"/>
      <c r="U39" s="280"/>
    </row>
    <row r="40" ht="15.75" customHeight="1">
      <c r="A40" s="281"/>
      <c r="B40" s="282"/>
      <c r="C40" s="282"/>
      <c r="D40" s="153"/>
      <c r="E40" s="153"/>
      <c r="F40" s="153"/>
      <c r="G40" s="282"/>
      <c r="H40" s="282"/>
      <c r="I40" s="282"/>
      <c r="J40" s="281"/>
      <c r="K40" s="281"/>
      <c r="L40" s="281"/>
      <c r="M40" s="131"/>
      <c r="N40" s="131"/>
      <c r="O40" s="131"/>
      <c r="P40" s="183"/>
      <c r="Q40" s="183"/>
      <c r="R40" s="183"/>
      <c r="S40" s="280"/>
      <c r="T40" s="280"/>
      <c r="U40" s="280"/>
    </row>
    <row r="41" ht="15.75" customHeight="1">
      <c r="A41" s="136" t="s">
        <v>115</v>
      </c>
      <c r="B41" s="12"/>
      <c r="C41" s="13"/>
      <c r="D41" s="136" t="s">
        <v>8</v>
      </c>
      <c r="E41" s="12"/>
      <c r="F41" s="13"/>
      <c r="G41" s="136" t="s">
        <v>116</v>
      </c>
      <c r="H41" s="12"/>
      <c r="I41" s="13"/>
      <c r="J41" s="136" t="s">
        <v>10</v>
      </c>
      <c r="K41" s="12"/>
      <c r="L41" s="13"/>
      <c r="M41" s="136" t="s">
        <v>136</v>
      </c>
      <c r="N41" s="12"/>
      <c r="O41" s="13"/>
      <c r="P41" s="136" t="s">
        <v>12</v>
      </c>
      <c r="Q41" s="12"/>
      <c r="R41" s="13"/>
      <c r="S41" s="137" t="s">
        <v>117</v>
      </c>
      <c r="T41" s="12"/>
      <c r="U41" s="13"/>
    </row>
    <row r="42" ht="15.75" customHeight="1">
      <c r="A42" s="138">
        <f>S33+1</f>
        <v>46076</v>
      </c>
      <c r="B42" s="12"/>
      <c r="C42" s="13"/>
      <c r="D42" s="138">
        <f>A42+1</f>
        <v>46077</v>
      </c>
      <c r="E42" s="12"/>
      <c r="F42" s="13"/>
      <c r="G42" s="138">
        <f>D42+1</f>
        <v>46078</v>
      </c>
      <c r="H42" s="12"/>
      <c r="I42" s="13"/>
      <c r="J42" s="138">
        <f>G42+1</f>
        <v>46079</v>
      </c>
      <c r="K42" s="12"/>
      <c r="L42" s="13"/>
      <c r="M42" s="138">
        <f>J42+1</f>
        <v>46080</v>
      </c>
      <c r="N42" s="12"/>
      <c r="O42" s="13"/>
      <c r="P42" s="138">
        <f>M42+1</f>
        <v>46081</v>
      </c>
      <c r="Q42" s="12"/>
      <c r="R42" s="13"/>
      <c r="S42" s="139">
        <f>P42+1</f>
        <v>46082</v>
      </c>
      <c r="T42" s="12"/>
      <c r="U42" s="13"/>
    </row>
    <row r="43" ht="15.75" customHeight="1">
      <c r="A43" s="24" t="s">
        <v>265</v>
      </c>
      <c r="B43" s="24" t="s">
        <v>266</v>
      </c>
      <c r="C43" s="36"/>
      <c r="D43" s="124" t="s">
        <v>261</v>
      </c>
      <c r="E43" s="124" t="s">
        <v>283</v>
      </c>
      <c r="F43" s="124" t="s">
        <v>25</v>
      </c>
      <c r="G43" s="131"/>
      <c r="H43" s="131"/>
      <c r="I43" s="131"/>
      <c r="J43" s="131"/>
      <c r="K43" s="131"/>
      <c r="L43" s="131"/>
      <c r="M43" s="112" t="s">
        <v>279</v>
      </c>
      <c r="N43" s="277" t="s">
        <v>280</v>
      </c>
      <c r="O43" s="112" t="s">
        <v>25</v>
      </c>
      <c r="P43" s="110" t="s">
        <v>272</v>
      </c>
      <c r="Q43" s="44" t="s">
        <v>273</v>
      </c>
      <c r="R43" s="110" t="s">
        <v>25</v>
      </c>
      <c r="S43" s="114"/>
      <c r="T43" s="114"/>
      <c r="U43" s="114"/>
    </row>
    <row r="44" ht="15.75" customHeight="1">
      <c r="A44" s="112"/>
      <c r="B44" s="112"/>
      <c r="C44" s="112"/>
      <c r="D44" s="112" t="s">
        <v>269</v>
      </c>
      <c r="E44" s="112" t="s">
        <v>270</v>
      </c>
      <c r="F44" s="112" t="s">
        <v>25</v>
      </c>
      <c r="G44" s="41" t="s">
        <v>264</v>
      </c>
      <c r="H44" s="41" t="s">
        <v>24</v>
      </c>
      <c r="I44" s="41" t="s">
        <v>34</v>
      </c>
      <c r="J44" s="44" t="s">
        <v>271</v>
      </c>
      <c r="K44" s="113" t="s">
        <v>102</v>
      </c>
      <c r="L44" s="113" t="s">
        <v>34</v>
      </c>
      <c r="M44" s="41" t="s">
        <v>260</v>
      </c>
      <c r="N44" s="41" t="s">
        <v>30</v>
      </c>
      <c r="O44" s="41" t="s">
        <v>31</v>
      </c>
      <c r="P44" s="42"/>
      <c r="Q44" s="36"/>
      <c r="R44" s="183"/>
      <c r="S44" s="114"/>
      <c r="T44" s="114"/>
      <c r="U44" s="114"/>
    </row>
    <row r="45" ht="15.75" customHeight="1">
      <c r="A45" s="24" t="s">
        <v>268</v>
      </c>
      <c r="B45" s="24" t="s">
        <v>33</v>
      </c>
      <c r="C45" s="24" t="s">
        <v>31</v>
      </c>
      <c r="D45" s="44" t="s">
        <v>259</v>
      </c>
      <c r="E45" s="44" t="s">
        <v>132</v>
      </c>
      <c r="F45" s="44" t="s">
        <v>31</v>
      </c>
      <c r="G45" s="24" t="s">
        <v>282</v>
      </c>
      <c r="H45" s="24" t="s">
        <v>70</v>
      </c>
      <c r="I45" s="120" t="s">
        <v>34</v>
      </c>
      <c r="J45" s="44" t="s">
        <v>67</v>
      </c>
      <c r="K45" s="113" t="s">
        <v>68</v>
      </c>
      <c r="L45" s="113" t="s">
        <v>31</v>
      </c>
      <c r="M45" s="62" t="s">
        <v>259</v>
      </c>
      <c r="N45" s="62" t="s">
        <v>132</v>
      </c>
      <c r="O45" s="62" t="s">
        <v>31</v>
      </c>
      <c r="P45" s="42"/>
      <c r="Q45" s="36"/>
      <c r="R45" s="183"/>
      <c r="S45" s="60"/>
      <c r="T45" s="279"/>
      <c r="U45" s="279"/>
    </row>
    <row r="46" ht="15.75" customHeight="1">
      <c r="A46" s="113" t="s">
        <v>284</v>
      </c>
      <c r="B46" s="113" t="s">
        <v>205</v>
      </c>
      <c r="C46" s="113" t="s">
        <v>25</v>
      </c>
      <c r="D46" s="103"/>
      <c r="E46" s="103"/>
      <c r="F46" s="103"/>
      <c r="G46" s="44" t="s">
        <v>255</v>
      </c>
      <c r="H46" s="44" t="s">
        <v>110</v>
      </c>
      <c r="I46" s="44" t="s">
        <v>31</v>
      </c>
      <c r="J46" s="131"/>
      <c r="K46" s="131"/>
      <c r="L46" s="131"/>
      <c r="M46" s="24" t="s">
        <v>258</v>
      </c>
      <c r="N46" s="24" t="s">
        <v>285</v>
      </c>
      <c r="O46" s="44" t="s">
        <v>25</v>
      </c>
      <c r="P46" s="112" t="s">
        <v>256</v>
      </c>
      <c r="Q46" s="112" t="s">
        <v>205</v>
      </c>
      <c r="R46" s="112" t="s">
        <v>25</v>
      </c>
      <c r="S46" s="275" t="s">
        <v>14</v>
      </c>
      <c r="T46" s="12"/>
      <c r="U46" s="13"/>
    </row>
    <row r="47" ht="15.75" customHeight="1">
      <c r="A47" s="113"/>
      <c r="B47" s="113"/>
      <c r="C47" s="113"/>
      <c r="D47" s="103"/>
      <c r="E47" s="103"/>
      <c r="F47" s="103"/>
      <c r="G47" s="119"/>
      <c r="H47" s="119"/>
      <c r="I47" s="119"/>
      <c r="J47" s="131"/>
      <c r="K47" s="131"/>
      <c r="L47" s="131"/>
      <c r="M47" s="283"/>
      <c r="N47" s="283"/>
      <c r="O47" s="283"/>
      <c r="P47" s="120"/>
      <c r="Q47" s="120"/>
      <c r="R47" s="120"/>
      <c r="S47" s="114"/>
      <c r="T47" s="114"/>
      <c r="U47" s="114"/>
    </row>
    <row r="48" ht="15.75" customHeight="1">
      <c r="A48" s="128"/>
      <c r="B48" s="128"/>
      <c r="C48" s="128"/>
      <c r="D48" s="112"/>
      <c r="E48" s="112"/>
      <c r="F48" s="112"/>
      <c r="G48" s="112"/>
      <c r="H48" s="112"/>
      <c r="I48" s="112"/>
      <c r="J48" s="131"/>
      <c r="K48" s="131"/>
      <c r="L48" s="131"/>
      <c r="M48" s="283"/>
      <c r="N48" s="283"/>
      <c r="O48" s="283"/>
      <c r="P48" s="283"/>
      <c r="Q48" s="283"/>
      <c r="R48" s="283"/>
      <c r="S48" s="114"/>
      <c r="T48" s="114"/>
      <c r="U48" s="114"/>
    </row>
    <row r="49" ht="15.75" customHeight="1">
      <c r="A49" s="128"/>
      <c r="B49" s="128"/>
      <c r="C49" s="128"/>
      <c r="D49" s="131"/>
      <c r="E49" s="131"/>
      <c r="F49" s="131"/>
      <c r="G49" s="131"/>
      <c r="H49" s="131"/>
      <c r="I49" s="131"/>
      <c r="J49" s="131"/>
      <c r="K49" s="131"/>
      <c r="L49" s="131"/>
      <c r="M49" s="283"/>
      <c r="N49" s="283"/>
      <c r="O49" s="283"/>
      <c r="P49" s="283"/>
      <c r="Q49" s="283"/>
      <c r="R49" s="283"/>
      <c r="S49" s="114"/>
      <c r="T49" s="114"/>
      <c r="U49" s="114"/>
    </row>
    <row r="50" ht="15.75" customHeight="1">
      <c r="A50" s="105"/>
      <c r="B50" s="12"/>
      <c r="C50" s="13"/>
      <c r="D50" s="105"/>
      <c r="E50" s="12"/>
      <c r="F50" s="13"/>
      <c r="G50" s="105"/>
      <c r="H50" s="12"/>
      <c r="I50" s="13"/>
      <c r="J50" s="105"/>
      <c r="K50" s="12"/>
      <c r="L50" s="13"/>
      <c r="M50" s="105"/>
      <c r="N50" s="12"/>
      <c r="O50" s="13"/>
      <c r="P50" s="105"/>
      <c r="Q50" s="12"/>
      <c r="R50" s="13"/>
      <c r="S50" s="106"/>
      <c r="T50" s="12"/>
      <c r="U50" s="13"/>
    </row>
    <row r="51" ht="15.75" customHeight="1">
      <c r="A51" s="108"/>
      <c r="B51" s="12"/>
      <c r="C51" s="13"/>
      <c r="D51" s="107"/>
      <c r="E51" s="12"/>
      <c r="F51" s="13"/>
      <c r="G51" s="108"/>
      <c r="H51" s="12"/>
      <c r="I51" s="13"/>
      <c r="J51" s="108"/>
      <c r="K51" s="12"/>
      <c r="L51" s="13"/>
      <c r="M51" s="108"/>
      <c r="N51" s="12"/>
      <c r="O51" s="13"/>
      <c r="P51" s="108"/>
      <c r="Q51" s="12"/>
      <c r="R51" s="13"/>
      <c r="S51" s="108"/>
      <c r="T51" s="12"/>
      <c r="U51" s="13"/>
    </row>
    <row r="52" ht="15.75" customHeight="1">
      <c r="A52" s="131"/>
      <c r="B52" s="131"/>
      <c r="C52" s="131"/>
      <c r="D52" s="140"/>
      <c r="E52" s="140"/>
      <c r="F52" s="140"/>
      <c r="G52" s="131"/>
      <c r="H52" s="131"/>
      <c r="I52" s="131"/>
      <c r="J52" s="140"/>
      <c r="K52" s="140"/>
      <c r="L52" s="140"/>
      <c r="M52" s="140"/>
      <c r="N52" s="140"/>
      <c r="O52" s="140"/>
      <c r="P52" s="140"/>
      <c r="Q52" s="131"/>
      <c r="R52" s="131"/>
      <c r="S52" s="140"/>
      <c r="T52" s="131"/>
      <c r="U52" s="131"/>
    </row>
    <row r="53" ht="15.75" customHeight="1">
      <c r="A53" s="128"/>
      <c r="B53" s="128"/>
      <c r="C53" s="128"/>
      <c r="D53" s="140"/>
      <c r="E53" s="140"/>
      <c r="F53" s="140"/>
      <c r="G53" s="128"/>
      <c r="H53" s="128"/>
      <c r="I53" s="128"/>
      <c r="J53" s="140"/>
      <c r="K53" s="140"/>
      <c r="L53" s="140"/>
      <c r="M53" s="140"/>
      <c r="N53" s="140"/>
      <c r="O53" s="140"/>
      <c r="P53" s="140"/>
      <c r="Q53" s="128"/>
      <c r="R53" s="132"/>
      <c r="S53" s="140"/>
      <c r="T53" s="128"/>
      <c r="U53" s="132"/>
    </row>
    <row r="54" ht="15.75" customHeight="1">
      <c r="A54" s="140"/>
      <c r="B54" s="140"/>
      <c r="C54" s="140"/>
      <c r="D54" s="114"/>
      <c r="E54" s="114"/>
      <c r="F54" s="114"/>
      <c r="G54" s="131"/>
      <c r="H54" s="131"/>
      <c r="I54" s="131"/>
      <c r="J54" s="114"/>
      <c r="K54" s="114"/>
      <c r="L54" s="114"/>
      <c r="M54" s="114"/>
      <c r="N54" s="114"/>
      <c r="O54" s="114"/>
      <c r="P54" s="114"/>
      <c r="Q54" s="128"/>
      <c r="R54" s="133"/>
      <c r="S54" s="114"/>
      <c r="T54" s="128"/>
      <c r="U54" s="133"/>
    </row>
    <row r="55" ht="15.75" customHeight="1">
      <c r="A55" s="140"/>
      <c r="B55" s="140"/>
      <c r="C55" s="140"/>
      <c r="D55" s="114"/>
      <c r="E55" s="114"/>
      <c r="F55" s="114"/>
      <c r="G55" s="131"/>
      <c r="H55" s="131"/>
      <c r="I55" s="131"/>
      <c r="J55" s="114"/>
      <c r="K55" s="114"/>
      <c r="L55" s="114"/>
      <c r="M55" s="114"/>
      <c r="N55" s="114"/>
      <c r="O55" s="114"/>
      <c r="P55" s="114"/>
      <c r="Q55" s="128"/>
      <c r="R55" s="133"/>
      <c r="S55" s="114"/>
      <c r="T55" s="128"/>
      <c r="U55" s="133"/>
    </row>
    <row r="56" ht="15.75" customHeight="1">
      <c r="A56" s="140"/>
      <c r="B56" s="140"/>
      <c r="C56" s="140"/>
      <c r="D56" s="114"/>
      <c r="E56" s="114"/>
      <c r="F56" s="114"/>
      <c r="G56" s="128"/>
      <c r="H56" s="128"/>
      <c r="I56" s="128"/>
      <c r="J56" s="140"/>
      <c r="K56" s="140"/>
      <c r="L56" s="140"/>
      <c r="M56" s="114"/>
      <c r="N56" s="140"/>
      <c r="O56" s="140"/>
      <c r="P56" s="140"/>
      <c r="Q56" s="128"/>
      <c r="R56" s="132"/>
      <c r="S56" s="140"/>
      <c r="T56" s="128"/>
      <c r="U56" s="132"/>
    </row>
    <row r="57" ht="15.75" customHeight="1">
      <c r="A57" s="114"/>
      <c r="B57" s="114"/>
      <c r="C57" s="114"/>
      <c r="D57" s="114"/>
      <c r="E57" s="114"/>
      <c r="F57" s="114"/>
      <c r="G57" s="128"/>
      <c r="H57" s="128"/>
      <c r="I57" s="128"/>
      <c r="J57" s="114"/>
      <c r="K57" s="114"/>
      <c r="L57" s="114"/>
      <c r="M57" s="114"/>
      <c r="N57" s="114"/>
      <c r="O57" s="114"/>
      <c r="P57" s="114"/>
      <c r="Q57" s="114"/>
      <c r="R57" s="134"/>
      <c r="S57" s="114"/>
      <c r="T57" s="114"/>
      <c r="U57" s="134"/>
    </row>
    <row r="58" ht="15.75" customHeight="1">
      <c r="A58" s="128"/>
      <c r="B58" s="128"/>
      <c r="C58" s="128"/>
      <c r="D58" s="140"/>
      <c r="E58" s="140"/>
      <c r="F58" s="140"/>
      <c r="G58" s="131"/>
      <c r="H58" s="140"/>
      <c r="I58" s="140"/>
      <c r="J58" s="140"/>
      <c r="K58" s="140"/>
      <c r="L58" s="140"/>
      <c r="M58" s="114"/>
      <c r="N58" s="140"/>
      <c r="O58" s="140"/>
      <c r="P58" s="140"/>
      <c r="Q58" s="128"/>
      <c r="R58" s="132"/>
      <c r="S58" s="140"/>
      <c r="T58" s="128"/>
      <c r="U58" s="132"/>
    </row>
    <row r="59" ht="15.75" customHeight="1">
      <c r="A59" s="284"/>
      <c r="B59" s="83"/>
    </row>
    <row r="60" ht="15.75" customHeight="1"/>
    <row r="61" ht="15.75" customHeight="1">
      <c r="A61" s="82" t="s">
        <v>72</v>
      </c>
      <c r="B61" s="83"/>
    </row>
    <row r="62" ht="15.75" customHeight="1">
      <c r="A62" s="84"/>
      <c r="B62" s="85" t="s">
        <v>73</v>
      </c>
      <c r="C62" s="86"/>
      <c r="D62" s="87"/>
    </row>
    <row r="63" ht="15.75" customHeight="1">
      <c r="A63" s="91"/>
      <c r="B63" s="85" t="s">
        <v>74</v>
      </c>
      <c r="C63" s="86"/>
    </row>
    <row r="64" ht="15.75" customHeight="1">
      <c r="A64" s="94"/>
      <c r="B64" s="85" t="s">
        <v>75</v>
      </c>
      <c r="C64" s="86"/>
    </row>
    <row r="65" ht="15.75" customHeight="1">
      <c r="A65" s="95"/>
      <c r="B65" s="85" t="s">
        <v>76</v>
      </c>
      <c r="C65" s="8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0">
    <mergeCell ref="A23:C23"/>
    <mergeCell ref="D23:F23"/>
    <mergeCell ref="G23:I23"/>
    <mergeCell ref="J23:L23"/>
    <mergeCell ref="M23:O23"/>
    <mergeCell ref="P23:R23"/>
    <mergeCell ref="S23:U23"/>
    <mergeCell ref="A24:C24"/>
    <mergeCell ref="D24:F24"/>
    <mergeCell ref="G24:I24"/>
    <mergeCell ref="J24:L24"/>
    <mergeCell ref="M24:O24"/>
    <mergeCell ref="P24:R24"/>
    <mergeCell ref="S24:U24"/>
    <mergeCell ref="A32:C32"/>
    <mergeCell ref="D32:F32"/>
    <mergeCell ref="G32:I32"/>
    <mergeCell ref="J32:L32"/>
    <mergeCell ref="M32:O32"/>
    <mergeCell ref="P32:R32"/>
    <mergeCell ref="S32:U32"/>
    <mergeCell ref="D33:F33"/>
    <mergeCell ref="G33:I33"/>
    <mergeCell ref="J33:L33"/>
    <mergeCell ref="M33:O33"/>
    <mergeCell ref="P33:R33"/>
    <mergeCell ref="S33:U33"/>
    <mergeCell ref="S35:U35"/>
    <mergeCell ref="A33:C33"/>
    <mergeCell ref="D41:F41"/>
    <mergeCell ref="G41:I41"/>
    <mergeCell ref="J41:L41"/>
    <mergeCell ref="M41:O41"/>
    <mergeCell ref="P41:R41"/>
    <mergeCell ref="S41:U41"/>
    <mergeCell ref="A41:C41"/>
    <mergeCell ref="A42:C42"/>
    <mergeCell ref="D42:F42"/>
    <mergeCell ref="G42:I42"/>
    <mergeCell ref="J42:L42"/>
    <mergeCell ref="M42:O42"/>
    <mergeCell ref="P42:R42"/>
    <mergeCell ref="P50:R50"/>
    <mergeCell ref="S50:U50"/>
    <mergeCell ref="S42:U42"/>
    <mergeCell ref="S46:U46"/>
    <mergeCell ref="A50:C50"/>
    <mergeCell ref="D50:F50"/>
    <mergeCell ref="G50:I50"/>
    <mergeCell ref="J50:L50"/>
    <mergeCell ref="M50:O50"/>
    <mergeCell ref="A1:B1"/>
    <mergeCell ref="C1:E1"/>
    <mergeCell ref="G1:P3"/>
    <mergeCell ref="A2:B2"/>
    <mergeCell ref="C2:E2"/>
    <mergeCell ref="A3:B3"/>
    <mergeCell ref="C3:E3"/>
    <mergeCell ref="P6:R6"/>
    <mergeCell ref="S6:U6"/>
    <mergeCell ref="S10:U10"/>
    <mergeCell ref="S19:U19"/>
    <mergeCell ref="S27:U27"/>
    <mergeCell ref="A7:C7"/>
    <mergeCell ref="D7:F7"/>
    <mergeCell ref="G7:I7"/>
    <mergeCell ref="J7:L7"/>
    <mergeCell ref="M7:O7"/>
    <mergeCell ref="P7:R7"/>
    <mergeCell ref="S7:U7"/>
    <mergeCell ref="A4:B4"/>
    <mergeCell ref="C4:D4"/>
    <mergeCell ref="A6:C6"/>
    <mergeCell ref="D6:F6"/>
    <mergeCell ref="G6:I6"/>
    <mergeCell ref="J6:L6"/>
    <mergeCell ref="M6:O6"/>
    <mergeCell ref="A15:C15"/>
    <mergeCell ref="D15:F15"/>
    <mergeCell ref="G15:I15"/>
    <mergeCell ref="J15:L15"/>
    <mergeCell ref="M15:O15"/>
    <mergeCell ref="P15:R15"/>
    <mergeCell ref="S15:U15"/>
    <mergeCell ref="A16:C16"/>
    <mergeCell ref="D16:F16"/>
    <mergeCell ref="G16:I16"/>
    <mergeCell ref="J16:L16"/>
    <mergeCell ref="M16:O16"/>
    <mergeCell ref="P16:R16"/>
    <mergeCell ref="S16:U16"/>
    <mergeCell ref="B59:D59"/>
    <mergeCell ref="B61:D61"/>
    <mergeCell ref="A51:C51"/>
    <mergeCell ref="D51:F51"/>
    <mergeCell ref="G51:I51"/>
    <mergeCell ref="J51:L51"/>
    <mergeCell ref="M51:O51"/>
    <mergeCell ref="P51:R51"/>
    <mergeCell ref="S51:U51"/>
  </mergeCells>
  <printOptions horizontalCentered="1" verticalCentered="1"/>
  <pageMargins bottom="0.0" footer="0.0" header="0.0" left="0.0" right="0.0" top="0.0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8.14"/>
    <col customWidth="1" min="4" max="4" width="17.57"/>
    <col customWidth="1" min="5" max="5" width="11.57"/>
    <col customWidth="1" min="6" max="6" width="9.86"/>
    <col customWidth="1" min="7" max="7" width="15.43"/>
    <col customWidth="1" min="8" max="8" width="11.43"/>
    <col customWidth="1" min="9" max="9" width="7.0"/>
    <col customWidth="1" min="10" max="10" width="20.29"/>
    <col customWidth="1" min="11" max="11" width="11.57"/>
    <col customWidth="1" min="12" max="12" width="5.57"/>
    <col customWidth="1" min="13" max="13" width="19.86"/>
    <col customWidth="1" min="14" max="14" width="11.57"/>
    <col customWidth="1" min="15" max="15" width="7.29"/>
    <col customWidth="1" min="16" max="16" width="18.43"/>
    <col customWidth="1" min="17" max="17" width="11.57"/>
    <col customWidth="1" min="18" max="18" width="5.57"/>
    <col customWidth="1" min="19" max="19" width="18.14"/>
    <col customWidth="1" min="20" max="20" width="11.57"/>
    <col customWidth="1" min="21" max="21" width="7.14"/>
    <col customWidth="1" min="22" max="23" width="8.71"/>
    <col customWidth="1" min="24" max="24" width="21.43"/>
    <col customWidth="1" min="25" max="25" width="15.14"/>
    <col customWidth="1" min="26" max="26" width="8.71"/>
  </cols>
  <sheetData>
    <row r="1" ht="15.75" customHeight="1">
      <c r="A1" s="1"/>
      <c r="C1" s="285" t="s">
        <v>286</v>
      </c>
      <c r="F1" s="3"/>
      <c r="G1" s="4" t="s">
        <v>2</v>
      </c>
      <c r="Q1" s="3"/>
    </row>
    <row r="2" ht="15.75" customHeight="1">
      <c r="A2" s="1" t="s">
        <v>3</v>
      </c>
      <c r="C2" s="6" t="s">
        <v>78</v>
      </c>
      <c r="F2" s="3"/>
      <c r="Q2" s="3"/>
    </row>
    <row r="3" ht="15.75" customHeight="1">
      <c r="A3" s="1" t="s">
        <v>5</v>
      </c>
      <c r="C3" s="286"/>
      <c r="D3" s="244"/>
      <c r="E3" s="244"/>
      <c r="F3" s="3"/>
      <c r="Q3" s="3"/>
    </row>
    <row r="4" ht="15.75" customHeight="1">
      <c r="A4" s="1" t="s">
        <v>6</v>
      </c>
      <c r="C4" s="8"/>
      <c r="E4" s="3"/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72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72" t="s">
        <v>13</v>
      </c>
      <c r="T5" s="12"/>
      <c r="U5" s="13"/>
    </row>
    <row r="6" ht="15.75" customHeight="1">
      <c r="A6" s="15"/>
      <c r="B6" s="12"/>
      <c r="C6" s="13"/>
      <c r="D6" s="15"/>
      <c r="E6" s="12"/>
      <c r="F6" s="13"/>
      <c r="G6" s="287"/>
      <c r="H6" s="12"/>
      <c r="I6" s="13"/>
      <c r="J6" s="16"/>
      <c r="K6" s="12"/>
      <c r="L6" s="13"/>
      <c r="M6" s="16"/>
      <c r="N6" s="12"/>
      <c r="O6" s="13"/>
      <c r="P6" s="16"/>
      <c r="Q6" s="12"/>
      <c r="R6" s="13"/>
      <c r="S6" s="177">
        <v>46054.0</v>
      </c>
      <c r="T6" s="12"/>
      <c r="U6" s="13"/>
      <c r="W6" s="102">
        <f>COUNTA(#REF!,M7:M17,P8:P12,S7:S14,#REF!,#REF!,M15:M17,P15:P20,#REF!,A15:A20,D15:D20,#REF!,#REF!,P23:P28,S7:S20,S7:S19,A23:A33,D23:D28,M31:M36,P39:P44,S23:S28,A32:A36,D39:D44,#REF!)</f>
        <v>84</v>
      </c>
    </row>
    <row r="7" ht="15.75" customHeight="1">
      <c r="A7" s="44"/>
      <c r="B7" s="44"/>
      <c r="C7" s="44"/>
      <c r="D7" s="288"/>
      <c r="E7" s="288"/>
      <c r="F7" s="288"/>
      <c r="G7" s="255"/>
      <c r="H7" s="255"/>
      <c r="I7" s="255"/>
      <c r="J7" s="255"/>
      <c r="K7" s="255"/>
      <c r="L7" s="255"/>
      <c r="M7" s="141"/>
      <c r="N7" s="141"/>
      <c r="O7" s="141"/>
      <c r="P7" s="141"/>
      <c r="Q7" s="141"/>
      <c r="R7" s="141"/>
      <c r="S7" s="44" t="s">
        <v>287</v>
      </c>
      <c r="T7" s="44" t="s">
        <v>62</v>
      </c>
      <c r="U7" s="44" t="s">
        <v>25</v>
      </c>
    </row>
    <row r="8" ht="15.75" customHeight="1">
      <c r="A8" s="42"/>
      <c r="B8" s="42"/>
      <c r="C8" s="184"/>
      <c r="D8" s="44"/>
      <c r="E8" s="44"/>
      <c r="F8" s="44"/>
      <c r="G8" s="255"/>
      <c r="H8" s="255"/>
      <c r="I8" s="255"/>
      <c r="J8" s="44"/>
      <c r="K8" s="44"/>
      <c r="L8" s="44"/>
      <c r="M8" s="42"/>
      <c r="N8" s="42"/>
      <c r="O8" s="42"/>
      <c r="P8" s="24"/>
      <c r="Q8" s="24"/>
      <c r="R8" s="24"/>
      <c r="S8" s="24" t="s">
        <v>288</v>
      </c>
      <c r="T8" s="24" t="s">
        <v>289</v>
      </c>
      <c r="U8" s="24" t="s">
        <v>25</v>
      </c>
    </row>
    <row r="9" ht="15.75" customHeight="1">
      <c r="A9" s="42"/>
      <c r="B9" s="42"/>
      <c r="C9" s="42"/>
      <c r="D9" s="44"/>
      <c r="E9" s="44"/>
      <c r="F9" s="44"/>
      <c r="G9" s="212"/>
      <c r="H9" s="12"/>
      <c r="I9" s="13"/>
      <c r="J9" s="44"/>
      <c r="K9" s="24"/>
      <c r="L9" s="24"/>
      <c r="M9" s="289"/>
      <c r="N9" s="24"/>
      <c r="O9" s="24"/>
      <c r="P9" s="71"/>
      <c r="Q9" s="71"/>
      <c r="R9" s="71"/>
      <c r="S9" s="24"/>
      <c r="T9" s="24"/>
      <c r="U9" s="24"/>
    </row>
    <row r="10" ht="15.75" customHeight="1">
      <c r="A10" s="44"/>
      <c r="B10" s="44"/>
      <c r="C10" s="44"/>
      <c r="D10" s="141"/>
      <c r="E10" s="141"/>
      <c r="F10" s="141"/>
      <c r="G10" s="255"/>
      <c r="H10" s="255"/>
      <c r="I10" s="255"/>
      <c r="J10" s="141"/>
      <c r="K10" s="141"/>
      <c r="L10" s="141"/>
      <c r="M10" s="24"/>
      <c r="N10" s="44"/>
      <c r="O10" s="24"/>
      <c r="P10" s="24"/>
      <c r="Q10" s="24"/>
      <c r="R10" s="24"/>
      <c r="S10" s="44" t="s">
        <v>290</v>
      </c>
      <c r="T10" s="44" t="s">
        <v>30</v>
      </c>
      <c r="U10" s="44" t="s">
        <v>34</v>
      </c>
    </row>
    <row r="11" ht="15.75" customHeight="1">
      <c r="A11" s="35"/>
      <c r="B11" s="35"/>
      <c r="C11" s="35"/>
      <c r="D11" s="141"/>
      <c r="E11" s="141"/>
      <c r="F11" s="141"/>
      <c r="G11" s="255"/>
      <c r="H11" s="255"/>
      <c r="I11" s="255"/>
      <c r="J11" s="141"/>
      <c r="K11" s="141"/>
      <c r="L11" s="141"/>
      <c r="M11" s="112"/>
      <c r="N11" s="112"/>
      <c r="O11" s="112"/>
      <c r="P11" s="44"/>
      <c r="Q11" s="44"/>
      <c r="R11" s="44"/>
      <c r="S11" s="290" t="s">
        <v>291</v>
      </c>
      <c r="T11" s="291" t="s">
        <v>110</v>
      </c>
      <c r="U11" s="291" t="s">
        <v>25</v>
      </c>
    </row>
    <row r="12" ht="15.75" customHeight="1">
      <c r="A12" s="141"/>
      <c r="B12" s="141"/>
      <c r="C12" s="141"/>
      <c r="D12" s="141"/>
      <c r="E12" s="141"/>
      <c r="F12" s="141"/>
      <c r="G12" s="255"/>
      <c r="H12" s="255"/>
      <c r="I12" s="255"/>
      <c r="J12" s="255"/>
      <c r="K12" s="255"/>
      <c r="L12" s="255"/>
      <c r="M12" s="141"/>
      <c r="N12" s="141"/>
      <c r="O12" s="141"/>
      <c r="P12" s="141"/>
      <c r="Q12" s="141"/>
      <c r="R12" s="141"/>
      <c r="S12" s="24" t="s">
        <v>292</v>
      </c>
      <c r="T12" s="217" t="s">
        <v>293</v>
      </c>
      <c r="U12" s="24" t="s">
        <v>25</v>
      </c>
    </row>
    <row r="13" ht="15.75" customHeight="1">
      <c r="A13" s="105" t="s">
        <v>7</v>
      </c>
      <c r="B13" s="12"/>
      <c r="C13" s="13"/>
      <c r="D13" s="105" t="s">
        <v>8</v>
      </c>
      <c r="E13" s="12"/>
      <c r="F13" s="13"/>
      <c r="G13" s="156" t="s">
        <v>9</v>
      </c>
      <c r="H13" s="12"/>
      <c r="I13" s="13"/>
      <c r="J13" s="105" t="s">
        <v>10</v>
      </c>
      <c r="K13" s="12"/>
      <c r="L13" s="13"/>
      <c r="M13" s="105" t="s">
        <v>81</v>
      </c>
      <c r="N13" s="12"/>
      <c r="O13" s="13"/>
      <c r="P13" s="105" t="s">
        <v>82</v>
      </c>
      <c r="Q13" s="12"/>
      <c r="R13" s="13"/>
      <c r="S13" s="186" t="s">
        <v>13</v>
      </c>
      <c r="T13" s="12"/>
      <c r="U13" s="13"/>
      <c r="W13" s="245" t="s">
        <v>15</v>
      </c>
      <c r="X13" s="245" t="s">
        <v>16</v>
      </c>
      <c r="Y13" s="246" t="s">
        <v>17</v>
      </c>
    </row>
    <row r="14" ht="15.75" customHeight="1">
      <c r="A14" s="107">
        <f>S6+1</f>
        <v>46055</v>
      </c>
      <c r="B14" s="12"/>
      <c r="C14" s="13"/>
      <c r="D14" s="107">
        <f>A14+1</f>
        <v>46056</v>
      </c>
      <c r="E14" s="12"/>
      <c r="F14" s="13"/>
      <c r="G14" s="107">
        <f>D14+1</f>
        <v>46057</v>
      </c>
      <c r="H14" s="12"/>
      <c r="I14" s="13"/>
      <c r="J14" s="107">
        <f>G14+1</f>
        <v>46058</v>
      </c>
      <c r="K14" s="12"/>
      <c r="L14" s="13"/>
      <c r="M14" s="108">
        <f>J14+1</f>
        <v>46059</v>
      </c>
      <c r="N14" s="12"/>
      <c r="O14" s="13"/>
      <c r="P14" s="107">
        <f>M14+1</f>
        <v>46060</v>
      </c>
      <c r="Q14" s="12"/>
      <c r="R14" s="13"/>
      <c r="S14" s="107">
        <f>P14+1</f>
        <v>46061</v>
      </c>
      <c r="T14" s="12"/>
      <c r="U14" s="13"/>
      <c r="W14" s="246">
        <v>2.0</v>
      </c>
      <c r="X14" s="248" t="s">
        <v>288</v>
      </c>
      <c r="Y14" s="249">
        <f t="shared" ref="Y14:Y41" si="1">countif($A$5:$U$52,X14)</f>
        <v>8</v>
      </c>
      <c r="Z14" s="102">
        <v>4.0</v>
      </c>
    </row>
    <row r="15" ht="15.75" customHeight="1">
      <c r="A15" s="44" t="s">
        <v>288</v>
      </c>
      <c r="B15" s="44" t="s">
        <v>29</v>
      </c>
      <c r="C15" s="44" t="s">
        <v>25</v>
      </c>
      <c r="D15" s="288" t="s">
        <v>294</v>
      </c>
      <c r="E15" s="288" t="s">
        <v>28</v>
      </c>
      <c r="F15" s="288"/>
      <c r="G15" s="255"/>
      <c r="H15" s="255"/>
      <c r="I15" s="255"/>
      <c r="J15" s="255"/>
      <c r="K15" s="255"/>
      <c r="L15" s="255"/>
      <c r="M15" s="141"/>
      <c r="N15" s="141"/>
      <c r="O15" s="141"/>
      <c r="P15" s="141"/>
      <c r="Q15" s="141"/>
      <c r="R15" s="141"/>
      <c r="S15" s="24" t="s">
        <v>295</v>
      </c>
      <c r="T15" s="24" t="s">
        <v>283</v>
      </c>
      <c r="U15" s="24" t="s">
        <v>296</v>
      </c>
      <c r="W15" s="246">
        <v>3.0</v>
      </c>
      <c r="X15" s="220" t="s">
        <v>287</v>
      </c>
      <c r="Y15" s="249">
        <f t="shared" si="1"/>
        <v>4</v>
      </c>
      <c r="Z15" s="102">
        <v>4.0</v>
      </c>
    </row>
    <row r="16" ht="15.75" customHeight="1">
      <c r="A16" s="42"/>
      <c r="B16" s="42"/>
      <c r="C16" s="184"/>
      <c r="D16" s="44" t="s">
        <v>297</v>
      </c>
      <c r="E16" s="44" t="s">
        <v>57</v>
      </c>
      <c r="F16" s="44" t="s">
        <v>34</v>
      </c>
      <c r="G16" s="255"/>
      <c r="H16" s="255"/>
      <c r="I16" s="255"/>
      <c r="J16" s="44" t="s">
        <v>298</v>
      </c>
      <c r="K16" s="44" t="s">
        <v>219</v>
      </c>
      <c r="L16" s="44" t="s">
        <v>34</v>
      </c>
      <c r="M16" s="42"/>
      <c r="N16" s="42"/>
      <c r="O16" s="42"/>
      <c r="P16" s="38" t="s">
        <v>299</v>
      </c>
      <c r="Q16" s="38" t="s">
        <v>28</v>
      </c>
      <c r="R16" s="38" t="s">
        <v>25</v>
      </c>
      <c r="S16" s="42"/>
      <c r="T16" s="42"/>
      <c r="U16" s="42"/>
      <c r="W16" s="246">
        <v>6.0</v>
      </c>
      <c r="X16" s="146" t="s">
        <v>294</v>
      </c>
      <c r="Y16" s="249">
        <f t="shared" si="1"/>
        <v>1</v>
      </c>
      <c r="Z16" s="102">
        <v>8.0</v>
      </c>
    </row>
    <row r="17" ht="15.75" customHeight="1">
      <c r="A17" s="42"/>
      <c r="B17" s="42"/>
      <c r="C17" s="42"/>
      <c r="D17" s="44" t="s">
        <v>300</v>
      </c>
      <c r="E17" s="44" t="s">
        <v>301</v>
      </c>
      <c r="F17" s="44" t="s">
        <v>34</v>
      </c>
      <c r="G17" s="212" t="s">
        <v>14</v>
      </c>
      <c r="H17" s="12"/>
      <c r="I17" s="13"/>
      <c r="J17" s="44" t="s">
        <v>302</v>
      </c>
      <c r="K17" s="24" t="s">
        <v>102</v>
      </c>
      <c r="L17" s="24" t="s">
        <v>34</v>
      </c>
      <c r="M17" s="289" t="s">
        <v>303</v>
      </c>
      <c r="N17" s="24" t="s">
        <v>63</v>
      </c>
      <c r="O17" s="24" t="s">
        <v>25</v>
      </c>
      <c r="P17" s="71" t="s">
        <v>304</v>
      </c>
      <c r="Q17" s="71" t="s">
        <v>60</v>
      </c>
      <c r="R17" s="71" t="s">
        <v>25</v>
      </c>
      <c r="S17" s="44"/>
      <c r="T17" s="44"/>
      <c r="U17" s="44"/>
      <c r="W17" s="246">
        <v>4.0</v>
      </c>
      <c r="X17" s="248" t="s">
        <v>299</v>
      </c>
      <c r="Y17" s="249">
        <f t="shared" si="1"/>
        <v>4</v>
      </c>
      <c r="Z17" s="102">
        <v>4.0</v>
      </c>
    </row>
    <row r="18" ht="15.75" customHeight="1">
      <c r="A18" s="44" t="s">
        <v>305</v>
      </c>
      <c r="B18" s="44" t="s">
        <v>306</v>
      </c>
      <c r="C18" s="44" t="s">
        <v>25</v>
      </c>
      <c r="D18" s="141"/>
      <c r="E18" s="141"/>
      <c r="F18" s="141"/>
      <c r="G18" s="255"/>
      <c r="H18" s="255"/>
      <c r="I18" s="255"/>
      <c r="J18" s="141"/>
      <c r="K18" s="141"/>
      <c r="L18" s="141"/>
      <c r="M18" s="24" t="s">
        <v>307</v>
      </c>
      <c r="N18" s="44" t="s">
        <v>60</v>
      </c>
      <c r="O18" s="24" t="s">
        <v>25</v>
      </c>
      <c r="P18" s="24" t="s">
        <v>308</v>
      </c>
      <c r="Q18" s="24" t="s">
        <v>309</v>
      </c>
      <c r="R18" s="24" t="s">
        <v>31</v>
      </c>
      <c r="S18" s="290" t="s">
        <v>291</v>
      </c>
      <c r="T18" s="291" t="s">
        <v>110</v>
      </c>
      <c r="U18" s="291" t="s">
        <v>25</v>
      </c>
      <c r="W18" s="246">
        <v>5.0</v>
      </c>
      <c r="X18" s="248" t="s">
        <v>300</v>
      </c>
      <c r="Y18" s="249">
        <f t="shared" si="1"/>
        <v>2</v>
      </c>
      <c r="Z18" s="102">
        <v>4.0</v>
      </c>
    </row>
    <row r="19" ht="15.75" customHeight="1">
      <c r="A19" s="35"/>
      <c r="B19" s="35"/>
      <c r="C19" s="35"/>
      <c r="D19" s="141"/>
      <c r="E19" s="141"/>
      <c r="F19" s="141"/>
      <c r="G19" s="255"/>
      <c r="H19" s="255"/>
      <c r="I19" s="255"/>
      <c r="J19" s="141"/>
      <c r="K19" s="141"/>
      <c r="L19" s="141"/>
      <c r="M19" s="112" t="s">
        <v>310</v>
      </c>
      <c r="N19" s="112" t="s">
        <v>129</v>
      </c>
      <c r="O19" s="112" t="s">
        <v>31</v>
      </c>
      <c r="P19" s="24" t="s">
        <v>287</v>
      </c>
      <c r="Q19" s="24" t="s">
        <v>233</v>
      </c>
      <c r="R19" s="24" t="s">
        <v>25</v>
      </c>
      <c r="S19" s="24" t="s">
        <v>292</v>
      </c>
      <c r="T19" s="217" t="s">
        <v>293</v>
      </c>
      <c r="U19" s="24" t="s">
        <v>25</v>
      </c>
      <c r="W19" s="246">
        <v>8.0</v>
      </c>
      <c r="X19" s="248" t="s">
        <v>304</v>
      </c>
      <c r="Y19" s="249">
        <f t="shared" si="1"/>
        <v>2</v>
      </c>
      <c r="Z19" s="102">
        <v>2.0</v>
      </c>
    </row>
    <row r="20" ht="15.75" customHeight="1">
      <c r="A20" s="141"/>
      <c r="B20" s="141"/>
      <c r="C20" s="141"/>
      <c r="D20" s="141"/>
      <c r="E20" s="141"/>
      <c r="F20" s="141"/>
      <c r="G20" s="255"/>
      <c r="H20" s="255"/>
      <c r="I20" s="255"/>
      <c r="J20" s="255"/>
      <c r="K20" s="255"/>
      <c r="L20" s="255"/>
      <c r="M20" s="141"/>
      <c r="N20" s="141"/>
      <c r="O20" s="141"/>
      <c r="P20" s="141"/>
      <c r="Q20" s="141"/>
      <c r="R20" s="141"/>
      <c r="S20" s="24"/>
      <c r="T20" s="24"/>
      <c r="U20" s="24"/>
      <c r="W20" s="246">
        <v>9.0</v>
      </c>
      <c r="X20" s="248" t="s">
        <v>311</v>
      </c>
      <c r="Y20" s="249">
        <f t="shared" si="1"/>
        <v>3</v>
      </c>
      <c r="Z20" s="102">
        <v>2.0</v>
      </c>
    </row>
    <row r="21" ht="15.75" customHeight="1">
      <c r="A21" s="136" t="s">
        <v>115</v>
      </c>
      <c r="B21" s="12"/>
      <c r="C21" s="13"/>
      <c r="D21" s="193" t="s">
        <v>8</v>
      </c>
      <c r="E21" s="12"/>
      <c r="F21" s="13"/>
      <c r="G21" s="136" t="s">
        <v>116</v>
      </c>
      <c r="H21" s="12"/>
      <c r="I21" s="13"/>
      <c r="J21" s="136" t="s">
        <v>10</v>
      </c>
      <c r="K21" s="12"/>
      <c r="L21" s="13"/>
      <c r="M21" s="136" t="s">
        <v>81</v>
      </c>
      <c r="N21" s="12"/>
      <c r="O21" s="13"/>
      <c r="P21" s="136" t="s">
        <v>82</v>
      </c>
      <c r="Q21" s="12"/>
      <c r="R21" s="13"/>
      <c r="S21" s="193" t="s">
        <v>13</v>
      </c>
      <c r="T21" s="12"/>
      <c r="U21" s="13"/>
      <c r="W21" s="246">
        <v>10.0</v>
      </c>
      <c r="X21" s="179" t="s">
        <v>312</v>
      </c>
      <c r="Y21" s="249">
        <f t="shared" si="1"/>
        <v>2</v>
      </c>
      <c r="Z21" s="102">
        <v>4.0</v>
      </c>
    </row>
    <row r="22" ht="15.75" customHeight="1">
      <c r="A22" s="138">
        <f>S14+1</f>
        <v>46062</v>
      </c>
      <c r="B22" s="12"/>
      <c r="C22" s="13"/>
      <c r="D22" s="194">
        <f>A22+1</f>
        <v>46063</v>
      </c>
      <c r="E22" s="12"/>
      <c r="F22" s="13"/>
      <c r="G22" s="138">
        <f>D22+1</f>
        <v>46064</v>
      </c>
      <c r="H22" s="12"/>
      <c r="I22" s="13"/>
      <c r="J22" s="138">
        <f>G22+1</f>
        <v>46065</v>
      </c>
      <c r="K22" s="12"/>
      <c r="L22" s="13"/>
      <c r="M22" s="138">
        <f>J22+1</f>
        <v>46066</v>
      </c>
      <c r="N22" s="12"/>
      <c r="O22" s="13"/>
      <c r="P22" s="138">
        <f>M22+1</f>
        <v>46067</v>
      </c>
      <c r="Q22" s="12"/>
      <c r="R22" s="13"/>
      <c r="S22" s="194">
        <f>P22+1</f>
        <v>46068</v>
      </c>
      <c r="T22" s="12"/>
      <c r="U22" s="13"/>
      <c r="W22" s="246">
        <v>11.0</v>
      </c>
      <c r="X22" s="248" t="s">
        <v>313</v>
      </c>
      <c r="Y22" s="249">
        <f t="shared" si="1"/>
        <v>0</v>
      </c>
      <c r="Z22" s="102">
        <v>4.0</v>
      </c>
    </row>
    <row r="23" ht="15.75" customHeight="1">
      <c r="A23" s="42"/>
      <c r="B23" s="42"/>
      <c r="C23" s="42"/>
      <c r="D23" s="141"/>
      <c r="E23" s="141"/>
      <c r="F23" s="141"/>
      <c r="G23" s="255"/>
      <c r="H23" s="255"/>
      <c r="I23" s="255"/>
      <c r="J23" s="255"/>
      <c r="K23" s="255"/>
      <c r="L23" s="255"/>
      <c r="M23" s="141"/>
      <c r="N23" s="141"/>
      <c r="O23" s="141"/>
      <c r="P23" s="38" t="s">
        <v>299</v>
      </c>
      <c r="Q23" s="38" t="s">
        <v>28</v>
      </c>
      <c r="R23" s="38" t="s">
        <v>25</v>
      </c>
      <c r="S23" s="44" t="s">
        <v>287</v>
      </c>
      <c r="T23" s="44" t="s">
        <v>62</v>
      </c>
      <c r="U23" s="44" t="s">
        <v>25</v>
      </c>
      <c r="W23" s="246">
        <v>12.0</v>
      </c>
      <c r="X23" s="248" t="s">
        <v>297</v>
      </c>
      <c r="Y23" s="249">
        <f t="shared" si="1"/>
        <v>3</v>
      </c>
      <c r="Z23" s="102">
        <v>2.0</v>
      </c>
    </row>
    <row r="24" ht="15.75" customHeight="1">
      <c r="A24" s="42"/>
      <c r="B24" s="42"/>
      <c r="C24" s="42"/>
      <c r="D24" s="44" t="s">
        <v>305</v>
      </c>
      <c r="E24" s="44" t="s">
        <v>314</v>
      </c>
      <c r="F24" s="44" t="s">
        <v>25</v>
      </c>
      <c r="G24" s="255"/>
      <c r="H24" s="255"/>
      <c r="I24" s="255"/>
      <c r="J24" s="255"/>
      <c r="K24" s="255"/>
      <c r="L24" s="255"/>
      <c r="M24" s="289" t="s">
        <v>303</v>
      </c>
      <c r="N24" s="24" t="s">
        <v>63</v>
      </c>
      <c r="O24" s="24" t="s">
        <v>25</v>
      </c>
      <c r="P24" s="24" t="s">
        <v>315</v>
      </c>
      <c r="Q24" s="24"/>
      <c r="R24" s="24" t="s">
        <v>31</v>
      </c>
      <c r="S24" s="24" t="s">
        <v>288</v>
      </c>
      <c r="T24" s="24" t="s">
        <v>289</v>
      </c>
      <c r="U24" s="24" t="s">
        <v>25</v>
      </c>
      <c r="W24" s="246">
        <v>13.0</v>
      </c>
      <c r="X24" s="248" t="s">
        <v>316</v>
      </c>
      <c r="Y24" s="249">
        <f t="shared" si="1"/>
        <v>1</v>
      </c>
      <c r="Z24" s="102">
        <v>2.0</v>
      </c>
    </row>
    <row r="25" ht="15.75" customHeight="1">
      <c r="A25" s="44" t="s">
        <v>288</v>
      </c>
      <c r="B25" s="44" t="s">
        <v>29</v>
      </c>
      <c r="C25" s="44" t="s">
        <v>25</v>
      </c>
      <c r="D25" s="36"/>
      <c r="E25" s="36"/>
      <c r="F25" s="36"/>
      <c r="G25" s="212" t="s">
        <v>14</v>
      </c>
      <c r="H25" s="12"/>
      <c r="I25" s="13"/>
      <c r="J25" s="44" t="s">
        <v>302</v>
      </c>
      <c r="K25" s="24" t="s">
        <v>63</v>
      </c>
      <c r="L25" s="24" t="s">
        <v>34</v>
      </c>
      <c r="M25" s="24" t="s">
        <v>307</v>
      </c>
      <c r="N25" s="44" t="s">
        <v>60</v>
      </c>
      <c r="O25" s="24" t="s">
        <v>25</v>
      </c>
      <c r="P25" s="44" t="s">
        <v>311</v>
      </c>
      <c r="Q25" s="44"/>
      <c r="R25" s="44" t="s">
        <v>25</v>
      </c>
      <c r="S25" s="62" t="s">
        <v>305</v>
      </c>
      <c r="T25" s="62" t="s">
        <v>306</v>
      </c>
      <c r="U25" s="62" t="s">
        <v>25</v>
      </c>
      <c r="W25" s="246">
        <v>25.0</v>
      </c>
      <c r="X25" s="248" t="s">
        <v>317</v>
      </c>
      <c r="Y25" s="249">
        <f t="shared" si="1"/>
        <v>0</v>
      </c>
      <c r="Z25" s="102">
        <v>2.0</v>
      </c>
    </row>
    <row r="26" ht="15.75" customHeight="1">
      <c r="A26" s="42"/>
      <c r="B26" s="42"/>
      <c r="C26" s="43" t="s">
        <v>40</v>
      </c>
      <c r="D26" s="44" t="s">
        <v>318</v>
      </c>
      <c r="E26" s="44" t="s">
        <v>57</v>
      </c>
      <c r="F26" s="44" t="s">
        <v>34</v>
      </c>
      <c r="G26" s="44"/>
      <c r="H26" s="44"/>
      <c r="I26" s="44"/>
      <c r="J26" s="44" t="s">
        <v>298</v>
      </c>
      <c r="K26" s="44" t="s">
        <v>319</v>
      </c>
      <c r="L26" s="44" t="s">
        <v>34</v>
      </c>
      <c r="M26" s="24" t="s">
        <v>288</v>
      </c>
      <c r="N26" s="67" t="s">
        <v>47</v>
      </c>
      <c r="O26" s="24" t="s">
        <v>25</v>
      </c>
      <c r="P26" s="62" t="s">
        <v>290</v>
      </c>
      <c r="Q26" s="62" t="s">
        <v>30</v>
      </c>
      <c r="S26" s="44" t="s">
        <v>290</v>
      </c>
      <c r="T26" s="44"/>
      <c r="U26" s="44" t="s">
        <v>34</v>
      </c>
      <c r="W26" s="246">
        <v>1.0</v>
      </c>
      <c r="X26" s="179" t="s">
        <v>315</v>
      </c>
      <c r="Y26" s="249">
        <f t="shared" si="1"/>
        <v>4</v>
      </c>
      <c r="Z26" s="102">
        <v>2.0</v>
      </c>
    </row>
    <row r="27" ht="15.75" customHeight="1">
      <c r="A27" s="24" t="s">
        <v>312</v>
      </c>
      <c r="B27" s="24" t="s">
        <v>30</v>
      </c>
      <c r="C27" s="24" t="s">
        <v>31</v>
      </c>
      <c r="D27" s="24" t="s">
        <v>316</v>
      </c>
      <c r="E27" s="24" t="s">
        <v>102</v>
      </c>
      <c r="F27" s="24" t="s">
        <v>31</v>
      </c>
      <c r="G27" s="255"/>
      <c r="H27" s="255"/>
      <c r="I27" s="255"/>
      <c r="J27" s="141"/>
      <c r="K27" s="141"/>
      <c r="L27" s="141"/>
      <c r="M27" s="114"/>
      <c r="N27" s="140"/>
      <c r="O27" s="184"/>
      <c r="P27" s="292" t="s">
        <v>291</v>
      </c>
      <c r="Q27" s="235" t="s">
        <v>110</v>
      </c>
      <c r="R27" s="184"/>
      <c r="S27" s="290" t="s">
        <v>291</v>
      </c>
      <c r="T27" s="291"/>
      <c r="U27" s="291" t="s">
        <v>25</v>
      </c>
      <c r="W27" s="246">
        <v>14.0</v>
      </c>
      <c r="X27" s="248" t="s">
        <v>320</v>
      </c>
      <c r="Y27" s="249">
        <f t="shared" si="1"/>
        <v>0</v>
      </c>
      <c r="Z27" s="102">
        <v>2.0</v>
      </c>
    </row>
    <row r="28" ht="15.75" customHeight="1">
      <c r="A28" s="24" t="s">
        <v>321</v>
      </c>
      <c r="B28" s="24" t="s">
        <v>322</v>
      </c>
      <c r="C28" s="24" t="s">
        <v>25</v>
      </c>
      <c r="D28" s="252"/>
      <c r="E28" s="252"/>
      <c r="F28" s="252"/>
      <c r="G28" s="169"/>
      <c r="H28" s="252"/>
      <c r="I28" s="252"/>
      <c r="J28" s="169"/>
      <c r="K28" s="169"/>
      <c r="L28" s="169"/>
      <c r="M28" s="141"/>
      <c r="N28" s="141"/>
      <c r="O28" s="141"/>
      <c r="P28" s="62" t="s">
        <v>292</v>
      </c>
      <c r="Q28" s="235" t="s">
        <v>293</v>
      </c>
      <c r="R28" s="293"/>
      <c r="S28" s="24" t="s">
        <v>292</v>
      </c>
      <c r="T28" s="217"/>
      <c r="U28" s="24" t="s">
        <v>25</v>
      </c>
      <c r="W28" s="246">
        <v>15.0</v>
      </c>
      <c r="X28" s="258" t="s">
        <v>302</v>
      </c>
      <c r="Y28" s="249">
        <f t="shared" si="1"/>
        <v>4</v>
      </c>
      <c r="Z28" s="102">
        <v>2.0</v>
      </c>
    </row>
    <row r="29" ht="15.75" customHeight="1">
      <c r="A29" s="105" t="s">
        <v>115</v>
      </c>
      <c r="B29" s="12"/>
      <c r="C29" s="13"/>
      <c r="D29" s="155" t="s">
        <v>8</v>
      </c>
      <c r="E29" s="12"/>
      <c r="F29" s="13"/>
      <c r="G29" s="105" t="s">
        <v>116</v>
      </c>
      <c r="H29" s="12"/>
      <c r="I29" s="13"/>
      <c r="J29" s="156" t="s">
        <v>10</v>
      </c>
      <c r="K29" s="12"/>
      <c r="L29" s="13"/>
      <c r="M29" s="105" t="s">
        <v>81</v>
      </c>
      <c r="N29" s="12"/>
      <c r="O29" s="13"/>
      <c r="P29" s="105" t="s">
        <v>82</v>
      </c>
      <c r="Q29" s="12"/>
      <c r="R29" s="13"/>
      <c r="S29" s="186" t="s">
        <v>13</v>
      </c>
      <c r="T29" s="12"/>
      <c r="U29" s="13"/>
      <c r="W29" s="294">
        <v>26.0</v>
      </c>
      <c r="X29" s="146" t="s">
        <v>298</v>
      </c>
      <c r="Y29" s="249">
        <f t="shared" si="1"/>
        <v>4</v>
      </c>
      <c r="Z29" s="102">
        <v>2.0</v>
      </c>
    </row>
    <row r="30" ht="15.75" customHeight="1">
      <c r="A30" s="108">
        <f>S22+1</f>
        <v>46069</v>
      </c>
      <c r="B30" s="12"/>
      <c r="C30" s="13"/>
      <c r="D30" s="109">
        <f>A30+1</f>
        <v>46070</v>
      </c>
      <c r="E30" s="12"/>
      <c r="F30" s="13"/>
      <c r="G30" s="108">
        <f>D30+1</f>
        <v>46071</v>
      </c>
      <c r="H30" s="12"/>
      <c r="I30" s="13"/>
      <c r="J30" s="107">
        <f>G30+1</f>
        <v>46072</v>
      </c>
      <c r="K30" s="12"/>
      <c r="L30" s="13"/>
      <c r="M30" s="107">
        <f>J30+1</f>
        <v>46073</v>
      </c>
      <c r="N30" s="12"/>
      <c r="O30" s="13"/>
      <c r="P30" s="108">
        <f>M30+1</f>
        <v>46074</v>
      </c>
      <c r="Q30" s="12"/>
      <c r="R30" s="13"/>
      <c r="S30" s="107">
        <f>P30+1</f>
        <v>46075</v>
      </c>
      <c r="T30" s="12"/>
      <c r="U30" s="13"/>
      <c r="W30" s="246">
        <v>16.0</v>
      </c>
      <c r="X30" s="146" t="s">
        <v>308</v>
      </c>
      <c r="Y30" s="249">
        <f t="shared" si="1"/>
        <v>2</v>
      </c>
      <c r="Z30" s="102">
        <v>1.0</v>
      </c>
    </row>
    <row r="31" ht="15.75" customHeight="1">
      <c r="D31" s="255"/>
      <c r="E31" s="255"/>
      <c r="F31" s="255"/>
      <c r="G31" s="255"/>
      <c r="H31" s="255"/>
      <c r="I31" s="255"/>
      <c r="J31" s="255"/>
      <c r="K31" s="255"/>
      <c r="L31" s="255"/>
      <c r="M31" s="44" t="s">
        <v>300</v>
      </c>
      <c r="N31" s="191" t="s">
        <v>63</v>
      </c>
      <c r="O31" s="44" t="s">
        <v>34</v>
      </c>
      <c r="P31" s="38" t="s">
        <v>299</v>
      </c>
      <c r="Q31" s="38" t="s">
        <v>28</v>
      </c>
      <c r="R31" s="38" t="s">
        <v>25</v>
      </c>
      <c r="S31" s="24" t="s">
        <v>295</v>
      </c>
      <c r="T31" s="24" t="s">
        <v>283</v>
      </c>
      <c r="U31" s="24" t="s">
        <v>296</v>
      </c>
      <c r="W31" s="246">
        <v>17.0</v>
      </c>
      <c r="X31" s="295" t="s">
        <v>310</v>
      </c>
      <c r="Y31" s="249">
        <f t="shared" si="1"/>
        <v>2</v>
      </c>
      <c r="Z31" s="102">
        <v>2.0</v>
      </c>
    </row>
    <row r="32" ht="15.75" customHeight="1">
      <c r="A32" s="44" t="s">
        <v>288</v>
      </c>
      <c r="B32" s="44" t="s">
        <v>29</v>
      </c>
      <c r="C32" s="44" t="s">
        <v>25</v>
      </c>
      <c r="D32" s="44"/>
      <c r="E32" s="44"/>
      <c r="F32" s="44"/>
      <c r="G32" s="255"/>
      <c r="H32" s="255"/>
      <c r="I32" s="255"/>
      <c r="J32" s="44" t="s">
        <v>298</v>
      </c>
      <c r="K32" s="44" t="s">
        <v>219</v>
      </c>
      <c r="L32" s="44" t="s">
        <v>34</v>
      </c>
      <c r="M32" s="24" t="s">
        <v>307</v>
      </c>
      <c r="N32" s="67" t="s">
        <v>60</v>
      </c>
      <c r="O32" s="24" t="s">
        <v>25</v>
      </c>
      <c r="P32" s="71" t="s">
        <v>304</v>
      </c>
      <c r="Q32" s="71" t="s">
        <v>60</v>
      </c>
      <c r="R32" s="71" t="s">
        <v>25</v>
      </c>
      <c r="S32" s="42"/>
      <c r="T32" s="42"/>
      <c r="U32" s="42"/>
      <c r="W32" s="246">
        <v>18.0</v>
      </c>
      <c r="X32" s="248" t="s">
        <v>307</v>
      </c>
      <c r="Y32" s="249">
        <f t="shared" si="1"/>
        <v>4</v>
      </c>
      <c r="Z32" s="102">
        <v>4.0</v>
      </c>
    </row>
    <row r="33" ht="15.75" customHeight="1">
      <c r="A33" s="62" t="s">
        <v>315</v>
      </c>
      <c r="B33" s="62" t="s">
        <v>33</v>
      </c>
      <c r="C33" s="62" t="s">
        <v>31</v>
      </c>
      <c r="D33" s="212" t="s">
        <v>14</v>
      </c>
      <c r="E33" s="12"/>
      <c r="F33" s="13"/>
      <c r="G33" s="212" t="s">
        <v>14</v>
      </c>
      <c r="H33" s="12"/>
      <c r="I33" s="13"/>
      <c r="J33" s="44" t="s">
        <v>302</v>
      </c>
      <c r="K33" s="24" t="s">
        <v>102</v>
      </c>
      <c r="L33" s="24" t="s">
        <v>34</v>
      </c>
      <c r="P33" s="238" t="s">
        <v>323</v>
      </c>
      <c r="Q33" s="238" t="s">
        <v>102</v>
      </c>
      <c r="R33" s="62" t="s">
        <v>31</v>
      </c>
      <c r="S33" s="44"/>
      <c r="T33" s="44"/>
      <c r="U33" s="44"/>
      <c r="W33" s="246">
        <v>19.0</v>
      </c>
      <c r="X33" s="248" t="s">
        <v>303</v>
      </c>
      <c r="Y33" s="249">
        <f t="shared" si="1"/>
        <v>3</v>
      </c>
      <c r="Z33" s="102">
        <v>2.0</v>
      </c>
    </row>
    <row r="34" ht="15.75" customHeight="1">
      <c r="A34" s="44" t="s">
        <v>305</v>
      </c>
      <c r="B34" s="44" t="s">
        <v>306</v>
      </c>
      <c r="C34" s="44" t="s">
        <v>25</v>
      </c>
      <c r="D34" s="141"/>
      <c r="E34" s="141"/>
      <c r="F34" s="141"/>
      <c r="G34" s="255"/>
      <c r="H34" s="255"/>
      <c r="I34" s="255"/>
      <c r="J34" s="255"/>
      <c r="K34" s="255"/>
      <c r="L34" s="255"/>
      <c r="M34" s="112" t="s">
        <v>310</v>
      </c>
      <c r="N34" s="112" t="s">
        <v>129</v>
      </c>
      <c r="O34" s="112" t="s">
        <v>31</v>
      </c>
      <c r="P34" s="24" t="s">
        <v>308</v>
      </c>
      <c r="Q34" s="24" t="s">
        <v>309</v>
      </c>
      <c r="R34" s="24" t="s">
        <v>31</v>
      </c>
      <c r="S34" s="290" t="s">
        <v>291</v>
      </c>
      <c r="T34" s="291" t="s">
        <v>110</v>
      </c>
      <c r="U34" s="291" t="s">
        <v>25</v>
      </c>
      <c r="W34" s="246">
        <v>20.0</v>
      </c>
      <c r="X34" s="179" t="s">
        <v>321</v>
      </c>
      <c r="Y34" s="249">
        <f t="shared" si="1"/>
        <v>2</v>
      </c>
      <c r="Z34" s="102">
        <v>4.0</v>
      </c>
    </row>
    <row r="35" ht="15.75" customHeight="1">
      <c r="A35" s="62" t="s">
        <v>311</v>
      </c>
      <c r="B35" s="62" t="s">
        <v>181</v>
      </c>
      <c r="C35" s="62" t="s">
        <v>25</v>
      </c>
      <c r="D35" s="141"/>
      <c r="E35" s="141"/>
      <c r="F35" s="141"/>
      <c r="G35" s="255"/>
      <c r="H35" s="255"/>
      <c r="I35" s="255"/>
      <c r="J35" s="255"/>
      <c r="K35" s="255"/>
      <c r="L35" s="255"/>
      <c r="M35" s="141"/>
      <c r="N35" s="199"/>
      <c r="O35" s="169"/>
      <c r="P35" s="24" t="s">
        <v>287</v>
      </c>
      <c r="Q35" s="24" t="s">
        <v>233</v>
      </c>
      <c r="R35" s="24" t="s">
        <v>25</v>
      </c>
      <c r="S35" s="24" t="s">
        <v>292</v>
      </c>
      <c r="T35" s="217" t="s">
        <v>293</v>
      </c>
      <c r="U35" s="24" t="s">
        <v>25</v>
      </c>
      <c r="W35" s="246">
        <v>21.0</v>
      </c>
      <c r="X35" s="248" t="s">
        <v>305</v>
      </c>
      <c r="Y35" s="249">
        <f t="shared" si="1"/>
        <v>5</v>
      </c>
      <c r="Z35" s="102">
        <v>1.0</v>
      </c>
    </row>
    <row r="36" ht="15.75" customHeight="1">
      <c r="A36" s="141"/>
      <c r="B36" s="141"/>
      <c r="C36" s="141"/>
      <c r="D36" s="255"/>
      <c r="E36" s="255"/>
      <c r="F36" s="255"/>
      <c r="G36" s="255"/>
      <c r="H36" s="255"/>
      <c r="I36" s="255"/>
      <c r="J36" s="255"/>
      <c r="K36" s="255"/>
      <c r="L36" s="255"/>
      <c r="M36" s="169"/>
      <c r="N36" s="169"/>
      <c r="O36" s="60"/>
      <c r="P36" s="114"/>
      <c r="Q36" s="140"/>
      <c r="R36" s="184"/>
      <c r="S36" s="24"/>
      <c r="T36" s="24"/>
      <c r="U36" s="24"/>
      <c r="W36" s="246">
        <v>22.0</v>
      </c>
      <c r="X36" s="248" t="s">
        <v>292</v>
      </c>
      <c r="Y36" s="249">
        <f t="shared" si="1"/>
        <v>5</v>
      </c>
      <c r="Z36" s="102">
        <v>2.0</v>
      </c>
    </row>
    <row r="37" ht="15.75" customHeight="1">
      <c r="A37" s="136" t="s">
        <v>115</v>
      </c>
      <c r="B37" s="12"/>
      <c r="C37" s="13"/>
      <c r="D37" s="136" t="s">
        <v>8</v>
      </c>
      <c r="E37" s="12"/>
      <c r="F37" s="13"/>
      <c r="G37" s="136" t="s">
        <v>116</v>
      </c>
      <c r="H37" s="12"/>
      <c r="I37" s="13"/>
      <c r="J37" s="136" t="s">
        <v>10</v>
      </c>
      <c r="K37" s="12"/>
      <c r="L37" s="13"/>
      <c r="M37" s="136" t="s">
        <v>136</v>
      </c>
      <c r="N37" s="12"/>
      <c r="O37" s="13"/>
      <c r="P37" s="136" t="s">
        <v>12</v>
      </c>
      <c r="Q37" s="12"/>
      <c r="R37" s="13"/>
      <c r="S37" s="193" t="s">
        <v>13</v>
      </c>
      <c r="T37" s="12"/>
      <c r="U37" s="13"/>
      <c r="W37" s="246">
        <v>23.0</v>
      </c>
      <c r="X37" s="248" t="s">
        <v>324</v>
      </c>
      <c r="Y37" s="249">
        <f t="shared" si="1"/>
        <v>0</v>
      </c>
    </row>
    <row r="38" ht="15.75" customHeight="1">
      <c r="A38" s="138">
        <f>S30+1</f>
        <v>46076</v>
      </c>
      <c r="B38" s="12"/>
      <c r="C38" s="13"/>
      <c r="D38" s="138">
        <f>A38+1</f>
        <v>46077</v>
      </c>
      <c r="E38" s="12"/>
      <c r="F38" s="13"/>
      <c r="G38" s="138">
        <f>D38+1</f>
        <v>46078</v>
      </c>
      <c r="H38" s="12"/>
      <c r="I38" s="13"/>
      <c r="J38" s="138">
        <f>G38+1</f>
        <v>46079</v>
      </c>
      <c r="K38" s="12"/>
      <c r="L38" s="13"/>
      <c r="M38" s="138">
        <f>J38+1</f>
        <v>46080</v>
      </c>
      <c r="N38" s="12"/>
      <c r="O38" s="13"/>
      <c r="P38" s="138">
        <f>M38+1</f>
        <v>46081</v>
      </c>
      <c r="Q38" s="12"/>
      <c r="R38" s="13"/>
      <c r="S38" s="138">
        <f>P38+1</f>
        <v>46082</v>
      </c>
      <c r="T38" s="12"/>
      <c r="U38" s="13"/>
      <c r="W38" s="246">
        <v>24.0</v>
      </c>
      <c r="X38" s="248" t="s">
        <v>290</v>
      </c>
      <c r="Y38" s="249">
        <f t="shared" si="1"/>
        <v>3</v>
      </c>
    </row>
    <row r="39" ht="15.75" customHeight="1">
      <c r="A39" s="42"/>
      <c r="B39" s="42"/>
      <c r="C39" s="42"/>
      <c r="D39" s="141"/>
      <c r="E39" s="141"/>
      <c r="F39" s="141"/>
      <c r="G39" s="141"/>
      <c r="H39" s="141"/>
      <c r="I39" s="141"/>
      <c r="J39" s="252"/>
      <c r="K39" s="252"/>
      <c r="L39" s="252"/>
      <c r="M39" s="62" t="s">
        <v>297</v>
      </c>
      <c r="N39" s="238" t="s">
        <v>28</v>
      </c>
      <c r="O39" s="62" t="s">
        <v>34</v>
      </c>
      <c r="P39" s="71"/>
      <c r="Q39" s="71"/>
      <c r="R39" s="71"/>
      <c r="S39" s="24"/>
      <c r="T39" s="24"/>
      <c r="U39" s="24"/>
      <c r="W39" s="246">
        <v>7.0</v>
      </c>
      <c r="X39" s="248"/>
      <c r="Y39" s="249">
        <f t="shared" si="1"/>
        <v>0</v>
      </c>
    </row>
    <row r="40" ht="15.75" customHeight="1">
      <c r="A40" s="42"/>
      <c r="B40" s="42"/>
      <c r="C40" s="42"/>
      <c r="D40" s="44" t="s">
        <v>305</v>
      </c>
      <c r="E40" s="44" t="s">
        <v>314</v>
      </c>
      <c r="F40" s="44" t="s">
        <v>25</v>
      </c>
      <c r="G40" s="141"/>
      <c r="H40" s="141"/>
      <c r="I40" s="141"/>
      <c r="J40" s="44" t="s">
        <v>298</v>
      </c>
      <c r="K40" s="44" t="s">
        <v>219</v>
      </c>
      <c r="L40" s="44" t="s">
        <v>34</v>
      </c>
      <c r="M40" s="24" t="s">
        <v>307</v>
      </c>
      <c r="N40" s="24" t="s">
        <v>63</v>
      </c>
      <c r="O40" s="24" t="s">
        <v>25</v>
      </c>
      <c r="P40" s="38" t="s">
        <v>299</v>
      </c>
      <c r="Q40" s="38" t="s">
        <v>28</v>
      </c>
      <c r="R40" s="38" t="s">
        <v>25</v>
      </c>
      <c r="S40" s="42"/>
      <c r="T40" s="42"/>
      <c r="U40" s="42"/>
      <c r="W40" s="246">
        <v>27.0</v>
      </c>
      <c r="X40" s="258"/>
      <c r="Y40" s="249">
        <f t="shared" si="1"/>
        <v>0</v>
      </c>
    </row>
    <row r="41" ht="15.75" customHeight="1">
      <c r="A41" s="44" t="s">
        <v>288</v>
      </c>
      <c r="B41" s="44" t="s">
        <v>29</v>
      </c>
      <c r="C41" s="44" t="s">
        <v>25</v>
      </c>
      <c r="D41" s="296" t="s">
        <v>297</v>
      </c>
      <c r="E41" s="297" t="s">
        <v>28</v>
      </c>
      <c r="F41" s="296" t="s">
        <v>34</v>
      </c>
      <c r="G41" s="212" t="s">
        <v>14</v>
      </c>
      <c r="H41" s="12"/>
      <c r="I41" s="13"/>
      <c r="J41" s="44" t="s">
        <v>302</v>
      </c>
      <c r="K41" s="24" t="s">
        <v>102</v>
      </c>
      <c r="L41" s="24" t="s">
        <v>34</v>
      </c>
      <c r="M41" s="42"/>
      <c r="N41" s="42"/>
      <c r="O41" s="42"/>
      <c r="P41" s="62" t="s">
        <v>315</v>
      </c>
      <c r="Q41" s="238" t="s">
        <v>102</v>
      </c>
      <c r="R41" s="62" t="s">
        <v>31</v>
      </c>
      <c r="S41" s="44"/>
      <c r="T41" s="44"/>
      <c r="U41" s="44"/>
      <c r="W41" s="294">
        <v>28.0</v>
      </c>
      <c r="X41" s="248"/>
      <c r="Y41" s="249">
        <f t="shared" si="1"/>
        <v>0</v>
      </c>
    </row>
    <row r="42" ht="15.75" customHeight="1">
      <c r="A42" s="42"/>
      <c r="B42" s="42"/>
      <c r="C42" s="42"/>
      <c r="D42" s="38" t="s">
        <v>318</v>
      </c>
      <c r="E42" s="38" t="s">
        <v>63</v>
      </c>
      <c r="F42" s="38" t="s">
        <v>34</v>
      </c>
      <c r="G42" s="141"/>
      <c r="H42" s="141"/>
      <c r="I42" s="141"/>
      <c r="J42" s="252"/>
      <c r="K42" s="252"/>
      <c r="L42" s="252"/>
      <c r="M42" s="24" t="s">
        <v>288</v>
      </c>
      <c r="N42" s="67" t="s">
        <v>47</v>
      </c>
      <c r="O42" s="24" t="s">
        <v>25</v>
      </c>
      <c r="P42" s="38" t="s">
        <v>315</v>
      </c>
      <c r="Q42" s="38" t="s">
        <v>33</v>
      </c>
      <c r="R42" s="38" t="s">
        <v>31</v>
      </c>
      <c r="S42" s="290"/>
      <c r="T42" s="291"/>
      <c r="U42" s="291"/>
    </row>
    <row r="43" ht="15.75" customHeight="1">
      <c r="A43" s="24" t="s">
        <v>312</v>
      </c>
      <c r="B43" s="24" t="s">
        <v>30</v>
      </c>
      <c r="C43" s="24" t="s">
        <v>31</v>
      </c>
      <c r="D43" s="289" t="s">
        <v>303</v>
      </c>
      <c r="E43" s="44" t="s">
        <v>60</v>
      </c>
      <c r="F43" s="24" t="s">
        <v>25</v>
      </c>
      <c r="G43" s="141"/>
      <c r="H43" s="141"/>
      <c r="I43" s="141"/>
      <c r="J43" s="252"/>
      <c r="K43" s="252"/>
      <c r="L43" s="252"/>
      <c r="M43" s="114"/>
      <c r="N43" s="140"/>
      <c r="O43" s="43" t="s">
        <v>40</v>
      </c>
      <c r="P43" s="44" t="s">
        <v>311</v>
      </c>
      <c r="Q43" s="44" t="s">
        <v>181</v>
      </c>
      <c r="R43" s="44" t="s">
        <v>25</v>
      </c>
      <c r="S43" s="24"/>
      <c r="T43" s="217"/>
      <c r="U43" s="24"/>
      <c r="W43" s="298"/>
      <c r="Y43" s="298">
        <f>SUM(Y14:Y42)</f>
        <v>68</v>
      </c>
    </row>
    <row r="44" ht="15.75" customHeight="1">
      <c r="A44" s="24" t="s">
        <v>321</v>
      </c>
      <c r="B44" s="24" t="s">
        <v>322</v>
      </c>
      <c r="C44" s="24" t="s">
        <v>25</v>
      </c>
      <c r="D44" s="169"/>
      <c r="E44" s="61"/>
      <c r="F44" s="169"/>
      <c r="G44" s="114"/>
      <c r="H44" s="140"/>
      <c r="I44" s="140"/>
      <c r="J44" s="252"/>
      <c r="K44" s="252"/>
      <c r="L44" s="252"/>
      <c r="M44" s="140"/>
      <c r="N44" s="140"/>
      <c r="O44" s="140"/>
      <c r="P44" s="299"/>
      <c r="Q44" s="299"/>
      <c r="R44" s="293"/>
      <c r="S44" s="24"/>
      <c r="T44" s="24"/>
      <c r="U44" s="24"/>
    </row>
    <row r="45" ht="15.75" customHeight="1">
      <c r="A45" s="105"/>
      <c r="B45" s="12"/>
      <c r="C45" s="13"/>
      <c r="D45" s="105"/>
      <c r="E45" s="12"/>
      <c r="F45" s="13"/>
      <c r="G45" s="105"/>
      <c r="H45" s="12"/>
      <c r="I45" s="13"/>
      <c r="J45" s="105"/>
      <c r="K45" s="12"/>
      <c r="L45" s="13"/>
      <c r="M45" s="105"/>
      <c r="N45" s="12"/>
      <c r="O45" s="13"/>
      <c r="P45" s="105"/>
      <c r="Q45" s="12"/>
      <c r="R45" s="13"/>
      <c r="S45" s="106"/>
      <c r="T45" s="12"/>
      <c r="U45" s="13"/>
    </row>
    <row r="46" ht="15.75" customHeight="1">
      <c r="A46" s="108"/>
      <c r="B46" s="12"/>
      <c r="C46" s="13"/>
      <c r="D46" s="107"/>
      <c r="E46" s="12"/>
      <c r="F46" s="13"/>
      <c r="G46" s="107"/>
      <c r="H46" s="12"/>
      <c r="I46" s="13"/>
      <c r="J46" s="107"/>
      <c r="K46" s="12"/>
      <c r="L46" s="13"/>
      <c r="M46" s="107"/>
      <c r="N46" s="12"/>
      <c r="O46" s="13"/>
      <c r="P46" s="108"/>
      <c r="Q46" s="12"/>
      <c r="R46" s="13"/>
      <c r="S46" s="109"/>
      <c r="T46" s="12"/>
      <c r="U46" s="13"/>
      <c r="W46" s="298"/>
      <c r="Y46" s="298"/>
    </row>
    <row r="47" ht="15.75" customHeight="1">
      <c r="A47" s="169"/>
      <c r="B47" s="169"/>
      <c r="C47" s="169"/>
      <c r="D47" s="169"/>
      <c r="E47" s="169"/>
      <c r="F47" s="169"/>
      <c r="G47" s="114"/>
      <c r="H47" s="140"/>
      <c r="I47" s="140"/>
      <c r="J47" s="169"/>
      <c r="K47" s="169"/>
      <c r="L47" s="169"/>
      <c r="M47" s="199"/>
      <c r="N47" s="199"/>
      <c r="O47" s="199"/>
      <c r="P47" s="169"/>
      <c r="Q47" s="169"/>
      <c r="R47" s="169"/>
      <c r="S47" s="114"/>
      <c r="T47" s="140"/>
      <c r="U47" s="140"/>
    </row>
    <row r="48" ht="15.75" customHeight="1">
      <c r="A48" s="169"/>
      <c r="B48" s="169"/>
      <c r="C48" s="169"/>
      <c r="D48" s="169"/>
      <c r="E48" s="169"/>
      <c r="F48" s="169"/>
      <c r="G48" s="114"/>
      <c r="H48" s="140"/>
      <c r="I48" s="140"/>
      <c r="J48" s="114"/>
      <c r="K48" s="140"/>
      <c r="L48" s="140"/>
      <c r="M48" s="169"/>
      <c r="N48" s="169"/>
      <c r="O48" s="169"/>
      <c r="P48" s="199"/>
      <c r="Q48" s="199"/>
      <c r="R48" s="199"/>
      <c r="S48" s="114"/>
      <c r="T48" s="140"/>
      <c r="U48" s="140"/>
    </row>
    <row r="49" ht="15.75" customHeight="1">
      <c r="A49" s="169"/>
      <c r="B49" s="169"/>
      <c r="C49" s="169"/>
      <c r="D49" s="169"/>
      <c r="E49" s="169"/>
      <c r="F49" s="169"/>
      <c r="G49" s="114"/>
      <c r="H49" s="140"/>
      <c r="I49" s="140"/>
      <c r="J49" s="114"/>
      <c r="K49" s="140"/>
      <c r="L49" s="140"/>
      <c r="M49" s="199"/>
      <c r="N49" s="199"/>
      <c r="O49" s="199"/>
      <c r="P49" s="169"/>
      <c r="Q49" s="169"/>
      <c r="R49" s="169"/>
      <c r="S49" s="114"/>
      <c r="T49" s="140"/>
      <c r="U49" s="140"/>
      <c r="W49" s="298"/>
      <c r="Y49" s="298"/>
    </row>
    <row r="50" ht="15.75" customHeight="1">
      <c r="A50" s="141"/>
      <c r="B50" s="141"/>
      <c r="C50" s="141"/>
      <c r="D50" s="252"/>
      <c r="E50" s="252"/>
      <c r="F50" s="252"/>
      <c r="G50" s="114"/>
      <c r="H50" s="140"/>
      <c r="I50" s="140"/>
      <c r="J50" s="169"/>
      <c r="K50" s="169"/>
      <c r="L50" s="169"/>
      <c r="M50" s="199"/>
      <c r="N50" s="199"/>
      <c r="O50" s="199"/>
      <c r="P50" s="169"/>
      <c r="Q50" s="169"/>
      <c r="R50" s="252"/>
      <c r="S50" s="114"/>
      <c r="T50" s="140"/>
      <c r="U50" s="140"/>
    </row>
    <row r="51" ht="15.75" customHeight="1">
      <c r="A51" s="169"/>
      <c r="B51" s="169"/>
      <c r="C51" s="169"/>
      <c r="D51" s="252"/>
      <c r="E51" s="252"/>
      <c r="F51" s="252"/>
      <c r="G51" s="114"/>
      <c r="H51" s="140"/>
      <c r="I51" s="140"/>
      <c r="J51" s="114"/>
      <c r="K51" s="140"/>
      <c r="L51" s="140"/>
      <c r="M51" s="61"/>
      <c r="N51" s="61"/>
      <c r="O51" s="61"/>
      <c r="P51" s="293"/>
      <c r="Q51" s="293"/>
      <c r="R51" s="293"/>
      <c r="S51" s="114"/>
      <c r="T51" s="140"/>
      <c r="U51" s="140"/>
      <c r="W51" s="298"/>
      <c r="Y51" s="298"/>
    </row>
    <row r="52" ht="15.75" customHeight="1">
      <c r="A52" s="169"/>
      <c r="B52" s="169"/>
      <c r="C52" s="169"/>
      <c r="D52" s="252"/>
      <c r="E52" s="252"/>
      <c r="F52" s="252"/>
      <c r="G52" s="140"/>
      <c r="H52" s="140"/>
      <c r="I52" s="140"/>
      <c r="J52" s="140"/>
      <c r="K52" s="140"/>
      <c r="L52" s="140"/>
      <c r="M52" s="60"/>
      <c r="N52" s="60"/>
      <c r="O52" s="60"/>
      <c r="P52" s="252"/>
      <c r="Q52" s="252"/>
      <c r="R52" s="253"/>
      <c r="S52" s="140"/>
      <c r="T52" s="140"/>
      <c r="U52" s="140"/>
    </row>
    <row r="53" ht="15.75" customHeight="1"/>
    <row r="54" ht="15.75" customHeight="1"/>
    <row r="55" ht="15.75" customHeight="1">
      <c r="A55" s="82" t="s">
        <v>72</v>
      </c>
      <c r="B55" s="83"/>
    </row>
    <row r="56" ht="15.75" customHeight="1">
      <c r="A56" s="84"/>
      <c r="B56" s="85" t="s">
        <v>73</v>
      </c>
      <c r="C56" s="86"/>
      <c r="D56" s="87"/>
    </row>
    <row r="57" ht="15.75" customHeight="1">
      <c r="A57" s="91"/>
      <c r="B57" s="85" t="s">
        <v>74</v>
      </c>
      <c r="C57" s="86"/>
      <c r="W57" s="298"/>
      <c r="Y57" s="298"/>
    </row>
    <row r="58" ht="15.75" customHeight="1">
      <c r="A58" s="94"/>
      <c r="B58" s="85" t="s">
        <v>75</v>
      </c>
      <c r="C58" s="86"/>
    </row>
    <row r="59" ht="15.75" customHeight="1">
      <c r="A59" s="95"/>
      <c r="B59" s="85" t="s">
        <v>76</v>
      </c>
      <c r="C59" s="86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W67" s="298"/>
      <c r="Y67" s="298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W73" s="298"/>
      <c r="Y73" s="298"/>
    </row>
    <row r="74" ht="15.75" customHeight="1"/>
    <row r="75" ht="15.75" customHeight="1">
      <c r="W75" s="298"/>
      <c r="Y75" s="298"/>
    </row>
    <row r="76" ht="15.75" customHeight="1"/>
    <row r="77" ht="15.75" customHeight="1"/>
    <row r="78" ht="15.75" customHeight="1"/>
    <row r="79" ht="15.75" customHeight="1">
      <c r="W79" s="298"/>
      <c r="Y79" s="298"/>
    </row>
    <row r="80" ht="15.75" customHeight="1"/>
    <row r="81" ht="15.75" customHeight="1"/>
    <row r="82" ht="15.75" customHeight="1"/>
    <row r="83" ht="15.75" customHeight="1">
      <c r="W83" s="298"/>
      <c r="Y83" s="298"/>
    </row>
    <row r="84" ht="15.75" customHeight="1"/>
    <row r="85" ht="15.75" customHeight="1">
      <c r="W85" s="298"/>
      <c r="Y85" s="298"/>
    </row>
    <row r="86" ht="15.75" customHeight="1">
      <c r="W86" s="298"/>
      <c r="Y86" s="298"/>
    </row>
    <row r="87" ht="15.75" customHeight="1">
      <c r="W87" s="298"/>
      <c r="Y87" s="298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>
    <sortState ref="W13:Y41">
      <sortCondition ref="X13:X41"/>
    </sortState>
  </autoFilter>
  <mergeCells count="100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D5:F5"/>
    <mergeCell ref="G5:I5"/>
    <mergeCell ref="J5:L5"/>
    <mergeCell ref="M5:O5"/>
    <mergeCell ref="G9:I9"/>
    <mergeCell ref="A5:C5"/>
    <mergeCell ref="D13:F13"/>
    <mergeCell ref="G13:I13"/>
    <mergeCell ref="J13:L13"/>
    <mergeCell ref="M13:O13"/>
    <mergeCell ref="P13:R13"/>
    <mergeCell ref="S13:U13"/>
    <mergeCell ref="A13:C13"/>
    <mergeCell ref="A14:C14"/>
    <mergeCell ref="D14:F14"/>
    <mergeCell ref="J14:L14"/>
    <mergeCell ref="M14:O14"/>
    <mergeCell ref="P14:R14"/>
    <mergeCell ref="S14:U14"/>
    <mergeCell ref="P21:R21"/>
    <mergeCell ref="S21:U21"/>
    <mergeCell ref="P22:R22"/>
    <mergeCell ref="S22:U22"/>
    <mergeCell ref="P37:R37"/>
    <mergeCell ref="S37:U37"/>
    <mergeCell ref="D33:F33"/>
    <mergeCell ref="G33:I33"/>
    <mergeCell ref="D37:F37"/>
    <mergeCell ref="G37:I37"/>
    <mergeCell ref="J37:L37"/>
    <mergeCell ref="M37:O37"/>
    <mergeCell ref="G41:I41"/>
    <mergeCell ref="A37:C37"/>
    <mergeCell ref="D45:F45"/>
    <mergeCell ref="G45:I45"/>
    <mergeCell ref="J45:L45"/>
    <mergeCell ref="M45:O45"/>
    <mergeCell ref="P45:R45"/>
    <mergeCell ref="S45:U45"/>
    <mergeCell ref="A45:C45"/>
    <mergeCell ref="D46:F46"/>
    <mergeCell ref="G46:I46"/>
    <mergeCell ref="J46:L46"/>
    <mergeCell ref="M46:O46"/>
    <mergeCell ref="P46:R46"/>
    <mergeCell ref="S46:U46"/>
    <mergeCell ref="G14:I14"/>
    <mergeCell ref="G17:I17"/>
    <mergeCell ref="A21:C21"/>
    <mergeCell ref="D21:F21"/>
    <mergeCell ref="G21:I21"/>
    <mergeCell ref="J21:L21"/>
    <mergeCell ref="M21:O21"/>
    <mergeCell ref="J29:L29"/>
    <mergeCell ref="M29:O29"/>
    <mergeCell ref="P29:R29"/>
    <mergeCell ref="S29:U29"/>
    <mergeCell ref="A22:C22"/>
    <mergeCell ref="D22:F22"/>
    <mergeCell ref="G22:I22"/>
    <mergeCell ref="J22:L22"/>
    <mergeCell ref="M22:O22"/>
    <mergeCell ref="G25:I25"/>
    <mergeCell ref="A29:C29"/>
    <mergeCell ref="P30:R30"/>
    <mergeCell ref="S30:U30"/>
    <mergeCell ref="D29:F29"/>
    <mergeCell ref="G29:I29"/>
    <mergeCell ref="A30:C30"/>
    <mergeCell ref="D30:F30"/>
    <mergeCell ref="G30:I30"/>
    <mergeCell ref="J30:L30"/>
    <mergeCell ref="M30:O30"/>
    <mergeCell ref="A38:C38"/>
    <mergeCell ref="D38:F38"/>
    <mergeCell ref="G38:I38"/>
    <mergeCell ref="J38:L38"/>
    <mergeCell ref="M38:O38"/>
    <mergeCell ref="P38:R38"/>
    <mergeCell ref="S38:U38"/>
    <mergeCell ref="A46:C46"/>
    <mergeCell ref="B55:D55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5.57"/>
    <col customWidth="1" min="4" max="4" width="16.43"/>
    <col customWidth="1" min="5" max="5" width="11.71"/>
    <col customWidth="1" min="6" max="6" width="6.14"/>
    <col customWidth="1" min="7" max="7" width="18.43"/>
    <col customWidth="1" min="8" max="8" width="11.43"/>
    <col customWidth="1" min="9" max="9" width="6.86"/>
    <col customWidth="1" min="10" max="10" width="17.29"/>
    <col customWidth="1" min="11" max="11" width="11.57"/>
    <col customWidth="1" min="12" max="12" width="7.71"/>
    <col customWidth="1" min="13" max="13" width="20.86"/>
    <col customWidth="1" min="14" max="14" width="11.57"/>
    <col customWidth="1" min="15" max="15" width="7.43"/>
    <col customWidth="1" min="16" max="16" width="15.29"/>
    <col customWidth="1" min="17" max="17" width="11.43"/>
    <col customWidth="1" min="18" max="18" width="7.43"/>
    <col customWidth="1" min="19" max="19" width="13.86"/>
    <col customWidth="1" min="20" max="20" width="11.57"/>
    <col customWidth="1" min="21" max="21" width="5.57"/>
    <col customWidth="1" min="22" max="23" width="8.71"/>
    <col customWidth="1" min="24" max="24" width="18.86"/>
    <col customWidth="1" min="25" max="25" width="15.14"/>
    <col customWidth="1" min="26" max="26" width="8.71"/>
  </cols>
  <sheetData>
    <row r="1" ht="15.75" customHeight="1">
      <c r="A1" s="300" t="s">
        <v>69</v>
      </c>
      <c r="C1" s="285" t="s">
        <v>325</v>
      </c>
      <c r="F1" s="3"/>
      <c r="G1" s="4" t="s">
        <v>2</v>
      </c>
      <c r="Q1" s="3"/>
    </row>
    <row r="2" ht="15.75" customHeight="1">
      <c r="A2" s="1" t="s">
        <v>3</v>
      </c>
      <c r="C2" s="6" t="s">
        <v>78</v>
      </c>
      <c r="F2" s="3"/>
      <c r="Q2" s="3"/>
    </row>
    <row r="3" ht="15.75" customHeight="1">
      <c r="A3" s="1" t="s">
        <v>5</v>
      </c>
      <c r="C3" s="301"/>
      <c r="D3" s="244"/>
      <c r="E3" s="244"/>
      <c r="F3" s="3"/>
      <c r="Q3" s="3"/>
    </row>
    <row r="4" ht="15.75" customHeight="1">
      <c r="A4" s="1" t="s">
        <v>6</v>
      </c>
      <c r="C4" s="8"/>
      <c r="E4" s="3"/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302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 ht="15.75" customHeight="1">
      <c r="A6" s="15"/>
      <c r="B6" s="12"/>
      <c r="C6" s="13"/>
      <c r="D6" s="15"/>
      <c r="E6" s="12"/>
      <c r="F6" s="13"/>
      <c r="G6" s="16"/>
      <c r="H6" s="12"/>
      <c r="I6" s="13"/>
      <c r="J6" s="16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  <c r="W6" s="102">
        <f>COUNTA(#REF!,M23:M28,P31:P36,#REF!,D16:D19,D7:D12,#REF!,P7:P12,A24:A28,#REF!,#REF!,#REF!,M13:M14,P23:P28,D24:D28,G15:G20,J7:J17,#REF!,#REF!,A32:A36,#REF!,G23:G28,J17:J20,#REF!)</f>
        <v>41</v>
      </c>
    </row>
    <row r="7" ht="15.75" customHeight="1">
      <c r="A7" s="24"/>
      <c r="B7" s="24"/>
      <c r="C7" s="24"/>
      <c r="D7" s="146"/>
      <c r="E7" s="146"/>
      <c r="F7" s="146"/>
      <c r="G7" s="24"/>
      <c r="H7" s="24"/>
      <c r="I7" s="24"/>
      <c r="J7" s="303"/>
      <c r="K7" s="24"/>
      <c r="L7" s="24"/>
      <c r="M7" s="24"/>
      <c r="N7" s="24"/>
      <c r="O7" s="24"/>
      <c r="P7" s="35"/>
      <c r="Q7" s="304"/>
      <c r="R7" s="35"/>
      <c r="S7" s="252"/>
      <c r="T7" s="252"/>
      <c r="U7" s="252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41"/>
      <c r="O8" s="24"/>
      <c r="P8" s="44"/>
      <c r="Q8" s="44"/>
      <c r="R8" s="44"/>
      <c r="S8" s="212" t="s">
        <v>14</v>
      </c>
      <c r="T8" s="12"/>
      <c r="U8" s="13"/>
    </row>
    <row r="9" ht="15.75" customHeight="1">
      <c r="A9" s="305"/>
      <c r="B9" s="41"/>
      <c r="C9" s="24"/>
      <c r="D9" s="24"/>
      <c r="E9" s="24"/>
      <c r="F9" s="24"/>
      <c r="G9" s="36"/>
      <c r="H9" s="36"/>
      <c r="I9" s="36"/>
      <c r="J9" s="24"/>
      <c r="K9" s="24"/>
      <c r="L9" s="24"/>
      <c r="M9" s="289"/>
      <c r="N9" s="24"/>
      <c r="O9" s="24"/>
      <c r="P9" s="24"/>
      <c r="Q9" s="24"/>
      <c r="R9" s="24"/>
      <c r="S9" s="252"/>
      <c r="T9" s="252"/>
      <c r="U9" s="252"/>
    </row>
    <row r="10" ht="15.75" customHeight="1">
      <c r="A10" s="24"/>
      <c r="B10" s="41"/>
      <c r="C10" s="24"/>
      <c r="D10" s="24"/>
      <c r="E10" s="41"/>
      <c r="F10" s="24"/>
      <c r="G10" s="36"/>
      <c r="H10" s="36"/>
      <c r="I10" s="36"/>
      <c r="J10" s="24"/>
      <c r="K10" s="24"/>
      <c r="L10" s="24"/>
      <c r="M10" s="24"/>
      <c r="N10" s="24"/>
      <c r="O10" s="24"/>
      <c r="P10" s="141"/>
      <c r="Q10" s="141"/>
      <c r="R10" s="141"/>
      <c r="S10" s="252"/>
      <c r="T10" s="252"/>
      <c r="U10" s="252"/>
    </row>
    <row r="11" ht="15.75" customHeight="1">
      <c r="A11" s="253"/>
      <c r="B11" s="253"/>
      <c r="C11" s="253"/>
      <c r="D11" s="253"/>
      <c r="E11" s="253"/>
      <c r="F11" s="253"/>
      <c r="G11" s="36"/>
      <c r="H11" s="36"/>
      <c r="I11" s="36"/>
      <c r="J11" s="199"/>
      <c r="K11" s="199"/>
      <c r="L11" s="199"/>
      <c r="M11" s="141"/>
      <c r="N11" s="141"/>
      <c r="O11" s="141"/>
      <c r="P11" s="141"/>
      <c r="Q11" s="141"/>
      <c r="R11" s="141"/>
      <c r="S11" s="252"/>
      <c r="T11" s="252"/>
      <c r="U11" s="252"/>
    </row>
    <row r="12" ht="15.75" customHeight="1">
      <c r="A12" s="253"/>
      <c r="B12" s="253"/>
      <c r="C12" s="253"/>
      <c r="D12" s="24"/>
      <c r="E12" s="24"/>
      <c r="F12" s="24"/>
      <c r="G12" s="199"/>
      <c r="H12" s="199"/>
      <c r="I12" s="199"/>
      <c r="J12" s="253"/>
      <c r="K12" s="253"/>
      <c r="L12" s="253"/>
      <c r="M12" s="141"/>
      <c r="N12" s="141"/>
      <c r="O12" s="141"/>
      <c r="P12" s="141"/>
      <c r="Q12" s="141"/>
      <c r="R12" s="141"/>
      <c r="S12" s="252"/>
      <c r="T12" s="252"/>
      <c r="U12" s="252"/>
    </row>
    <row r="13" ht="15.75" customHeight="1">
      <c r="A13" s="105" t="s">
        <v>7</v>
      </c>
      <c r="B13" s="12"/>
      <c r="C13" s="13"/>
      <c r="D13" s="105" t="s">
        <v>8</v>
      </c>
      <c r="E13" s="12"/>
      <c r="F13" s="13"/>
      <c r="G13" s="105" t="s">
        <v>9</v>
      </c>
      <c r="H13" s="12"/>
      <c r="I13" s="13"/>
      <c r="J13" s="105" t="s">
        <v>10</v>
      </c>
      <c r="K13" s="12"/>
      <c r="L13" s="13"/>
      <c r="M13" s="105" t="s">
        <v>81</v>
      </c>
      <c r="N13" s="12"/>
      <c r="O13" s="13"/>
      <c r="P13" s="105" t="s">
        <v>82</v>
      </c>
      <c r="Q13" s="12"/>
      <c r="R13" s="13"/>
      <c r="S13" s="106" t="s">
        <v>13</v>
      </c>
      <c r="T13" s="12"/>
      <c r="U13" s="13"/>
      <c r="W13" s="245" t="s">
        <v>15</v>
      </c>
      <c r="X13" s="245" t="s">
        <v>16</v>
      </c>
      <c r="Y13" s="246" t="s">
        <v>17</v>
      </c>
    </row>
    <row r="14" ht="15.75" customHeight="1">
      <c r="A14" s="107">
        <f>S6+1</f>
        <v>46055</v>
      </c>
      <c r="B14" s="12"/>
      <c r="C14" s="13"/>
      <c r="D14" s="107">
        <f>A14+1</f>
        <v>46056</v>
      </c>
      <c r="E14" s="12"/>
      <c r="F14" s="13"/>
      <c r="G14" s="107">
        <f>D14+1</f>
        <v>46057</v>
      </c>
      <c r="H14" s="12"/>
      <c r="I14" s="13"/>
      <c r="J14" s="107">
        <f>G14+1</f>
        <v>46058</v>
      </c>
      <c r="K14" s="12"/>
      <c r="L14" s="13"/>
      <c r="M14" s="108">
        <f>J14+1</f>
        <v>46059</v>
      </c>
      <c r="N14" s="12"/>
      <c r="O14" s="13"/>
      <c r="P14" s="107">
        <f>M14+1</f>
        <v>46060</v>
      </c>
      <c r="Q14" s="12"/>
      <c r="R14" s="13"/>
      <c r="S14" s="109">
        <f>P14+1</f>
        <v>46061</v>
      </c>
      <c r="T14" s="12"/>
      <c r="U14" s="13"/>
      <c r="W14" s="246">
        <v>1.0</v>
      </c>
      <c r="X14" s="306" t="s">
        <v>326</v>
      </c>
      <c r="Y14" s="249">
        <f t="shared" ref="Y14:Y34" si="1">countif($A$5:$U$52,X14)</f>
        <v>2</v>
      </c>
    </row>
    <row r="15" ht="15.75" customHeight="1">
      <c r="A15" s="24" t="s">
        <v>327</v>
      </c>
      <c r="B15" s="24" t="s">
        <v>328</v>
      </c>
      <c r="C15" s="24" t="s">
        <v>25</v>
      </c>
      <c r="D15" s="146" t="s">
        <v>329</v>
      </c>
      <c r="E15" s="146" t="s">
        <v>38</v>
      </c>
      <c r="F15" s="146" t="s">
        <v>25</v>
      </c>
      <c r="G15" s="24" t="s">
        <v>330</v>
      </c>
      <c r="H15" s="24" t="s">
        <v>29</v>
      </c>
      <c r="I15" s="24" t="s">
        <v>25</v>
      </c>
      <c r="J15" s="146" t="s">
        <v>331</v>
      </c>
      <c r="K15" s="24" t="s">
        <v>283</v>
      </c>
      <c r="L15" s="24" t="s">
        <v>25</v>
      </c>
      <c r="M15" s="306" t="s">
        <v>332</v>
      </c>
      <c r="N15" s="36" t="s">
        <v>60</v>
      </c>
      <c r="O15" s="36" t="s">
        <v>25</v>
      </c>
      <c r="P15" s="24" t="s">
        <v>333</v>
      </c>
      <c r="Q15" s="44"/>
      <c r="R15" s="44" t="s">
        <v>34</v>
      </c>
      <c r="S15" s="44"/>
      <c r="T15" s="44"/>
      <c r="U15" s="44"/>
      <c r="W15" s="246">
        <v>2.0</v>
      </c>
      <c r="X15" s="306" t="s">
        <v>330</v>
      </c>
      <c r="Y15" s="249">
        <f t="shared" si="1"/>
        <v>10</v>
      </c>
    </row>
    <row r="16" ht="15.75" customHeight="1">
      <c r="A16" s="24" t="s">
        <v>334</v>
      </c>
      <c r="B16" s="24" t="s">
        <v>57</v>
      </c>
      <c r="C16" s="24" t="s">
        <v>25</v>
      </c>
      <c r="D16" s="24" t="s">
        <v>335</v>
      </c>
      <c r="E16" s="24" t="s">
        <v>28</v>
      </c>
      <c r="F16" s="24" t="s">
        <v>34</v>
      </c>
      <c r="G16" s="24" t="s">
        <v>336</v>
      </c>
      <c r="H16" s="24" t="s">
        <v>33</v>
      </c>
      <c r="I16" s="24" t="s">
        <v>34</v>
      </c>
      <c r="J16" s="62" t="s">
        <v>333</v>
      </c>
      <c r="K16" s="62" t="s">
        <v>60</v>
      </c>
      <c r="L16" s="62" t="s">
        <v>34</v>
      </c>
      <c r="M16" s="24" t="s">
        <v>337</v>
      </c>
      <c r="N16" s="24" t="s">
        <v>309</v>
      </c>
      <c r="O16" s="24" t="s">
        <v>31</v>
      </c>
      <c r="P16" s="24" t="s">
        <v>167</v>
      </c>
      <c r="Q16" s="24"/>
      <c r="R16" s="24" t="s">
        <v>25</v>
      </c>
      <c r="S16" s="24" t="s">
        <v>167</v>
      </c>
      <c r="T16" s="67" t="s">
        <v>183</v>
      </c>
      <c r="U16" s="24" t="s">
        <v>25</v>
      </c>
      <c r="W16" s="246">
        <v>3.0</v>
      </c>
      <c r="X16" s="306" t="s">
        <v>336</v>
      </c>
      <c r="Y16" s="249">
        <f t="shared" si="1"/>
        <v>3</v>
      </c>
    </row>
    <row r="17" ht="15.75" customHeight="1">
      <c r="A17" s="305"/>
      <c r="B17" s="41"/>
      <c r="C17" s="24"/>
      <c r="D17" s="24" t="s">
        <v>338</v>
      </c>
      <c r="E17" s="24" t="s">
        <v>33</v>
      </c>
      <c r="F17" s="24" t="s">
        <v>31</v>
      </c>
      <c r="G17" s="24" t="s">
        <v>339</v>
      </c>
      <c r="H17" s="24" t="s">
        <v>102</v>
      </c>
      <c r="I17" s="24" t="s">
        <v>34</v>
      </c>
      <c r="J17" s="24" t="s">
        <v>340</v>
      </c>
      <c r="K17" s="24" t="s">
        <v>341</v>
      </c>
      <c r="L17" s="24" t="s">
        <v>31</v>
      </c>
      <c r="M17" s="24" t="s">
        <v>342</v>
      </c>
      <c r="N17" s="41" t="s">
        <v>110</v>
      </c>
      <c r="O17" s="24" t="s">
        <v>25</v>
      </c>
      <c r="P17" s="199"/>
      <c r="Q17" s="141"/>
      <c r="R17" s="307" t="s">
        <v>48</v>
      </c>
      <c r="S17" s="308"/>
      <c r="T17" s="308"/>
      <c r="U17" s="308"/>
      <c r="W17" s="246">
        <v>5.0</v>
      </c>
      <c r="X17" s="306" t="s">
        <v>167</v>
      </c>
      <c r="Y17" s="249">
        <f t="shared" si="1"/>
        <v>5</v>
      </c>
    </row>
    <row r="18" ht="15.75" customHeight="1">
      <c r="A18" s="306" t="s">
        <v>332</v>
      </c>
      <c r="B18" s="257" t="s">
        <v>33</v>
      </c>
      <c r="C18" s="36" t="s">
        <v>25</v>
      </c>
      <c r="D18" s="24"/>
      <c r="E18" s="41"/>
      <c r="F18" s="24"/>
      <c r="G18" s="24" t="s">
        <v>343</v>
      </c>
      <c r="H18" s="24" t="s">
        <v>344</v>
      </c>
      <c r="I18" s="24" t="s">
        <v>31</v>
      </c>
      <c r="J18" s="24" t="s">
        <v>330</v>
      </c>
      <c r="K18" s="24" t="s">
        <v>345</v>
      </c>
      <c r="L18" s="309" t="s">
        <v>296</v>
      </c>
      <c r="M18" s="24" t="s">
        <v>330</v>
      </c>
      <c r="N18" s="24" t="s">
        <v>345</v>
      </c>
      <c r="O18" s="46" t="s">
        <v>48</v>
      </c>
      <c r="P18" s="212" t="s">
        <v>14</v>
      </c>
      <c r="Q18" s="12"/>
      <c r="R18" s="13"/>
      <c r="S18" s="310"/>
      <c r="T18" s="310"/>
      <c r="U18" s="310"/>
      <c r="W18" s="246">
        <v>4.0</v>
      </c>
      <c r="X18" s="306" t="s">
        <v>346</v>
      </c>
      <c r="Y18" s="249">
        <f t="shared" si="1"/>
        <v>2</v>
      </c>
    </row>
    <row r="19" ht="15.75" customHeight="1">
      <c r="A19" s="253"/>
      <c r="B19" s="253"/>
      <c r="C19" s="253"/>
      <c r="D19" s="24" t="s">
        <v>347</v>
      </c>
      <c r="E19" s="24" t="s">
        <v>129</v>
      </c>
      <c r="F19" s="24" t="s">
        <v>25</v>
      </c>
      <c r="G19" s="36"/>
      <c r="H19" s="36"/>
      <c r="I19" s="36"/>
      <c r="J19" s="199"/>
      <c r="K19" s="199"/>
      <c r="L19" s="199"/>
      <c r="M19" s="199"/>
      <c r="N19" s="259"/>
      <c r="O19" s="199"/>
      <c r="P19" s="199"/>
      <c r="Q19" s="141"/>
      <c r="R19" s="141"/>
      <c r="S19" s="252"/>
      <c r="T19" s="252"/>
      <c r="U19" s="252"/>
      <c r="W19" s="246">
        <v>6.0</v>
      </c>
      <c r="X19" s="306" t="s">
        <v>335</v>
      </c>
      <c r="Y19" s="249">
        <f t="shared" si="1"/>
        <v>3</v>
      </c>
    </row>
    <row r="20" ht="15.75" customHeight="1">
      <c r="A20" s="253"/>
      <c r="B20" s="253"/>
      <c r="C20" s="253"/>
      <c r="D20" s="103"/>
      <c r="E20" s="103"/>
      <c r="F20" s="103"/>
      <c r="G20" s="199"/>
      <c r="H20" s="199"/>
      <c r="I20" s="199"/>
      <c r="J20" s="253"/>
      <c r="K20" s="253"/>
      <c r="L20" s="253"/>
      <c r="M20" s="199"/>
      <c r="N20" s="199"/>
      <c r="O20" s="199"/>
      <c r="P20" s="253"/>
      <c r="Q20" s="255"/>
      <c r="R20" s="255"/>
      <c r="S20" s="308"/>
      <c r="T20" s="308"/>
      <c r="U20" s="308"/>
      <c r="W20" s="246">
        <v>18.0</v>
      </c>
      <c r="X20" s="306" t="s">
        <v>348</v>
      </c>
      <c r="Y20" s="249">
        <f t="shared" si="1"/>
        <v>2</v>
      </c>
    </row>
    <row r="21" ht="15.75" customHeight="1">
      <c r="A21" s="136" t="s">
        <v>115</v>
      </c>
      <c r="B21" s="12"/>
      <c r="C21" s="13"/>
      <c r="D21" s="136" t="s">
        <v>8</v>
      </c>
      <c r="E21" s="12"/>
      <c r="F21" s="13"/>
      <c r="G21" s="136" t="s">
        <v>116</v>
      </c>
      <c r="H21" s="12"/>
      <c r="I21" s="13"/>
      <c r="J21" s="136" t="s">
        <v>10</v>
      </c>
      <c r="K21" s="12"/>
      <c r="L21" s="13"/>
      <c r="M21" s="136" t="s">
        <v>81</v>
      </c>
      <c r="N21" s="12"/>
      <c r="O21" s="13"/>
      <c r="P21" s="136" t="s">
        <v>82</v>
      </c>
      <c r="Q21" s="12"/>
      <c r="R21" s="13"/>
      <c r="S21" s="137" t="s">
        <v>13</v>
      </c>
      <c r="T21" s="12"/>
      <c r="U21" s="13"/>
      <c r="W21" s="246">
        <v>7.0</v>
      </c>
      <c r="X21" s="306" t="s">
        <v>340</v>
      </c>
      <c r="Y21" s="249">
        <f t="shared" si="1"/>
        <v>2</v>
      </c>
    </row>
    <row r="22" ht="15.75" customHeight="1">
      <c r="A22" s="138">
        <f>S14+1</f>
        <v>46062</v>
      </c>
      <c r="B22" s="12"/>
      <c r="C22" s="13"/>
      <c r="D22" s="138">
        <f>A22+1</f>
        <v>46063</v>
      </c>
      <c r="E22" s="12"/>
      <c r="F22" s="13"/>
      <c r="G22" s="138">
        <f>D22+1</f>
        <v>46064</v>
      </c>
      <c r="H22" s="12"/>
      <c r="I22" s="13"/>
      <c r="J22" s="138">
        <f>G22+1</f>
        <v>46065</v>
      </c>
      <c r="K22" s="12"/>
      <c r="L22" s="13"/>
      <c r="M22" s="138">
        <f>J22+1</f>
        <v>46066</v>
      </c>
      <c r="N22" s="12"/>
      <c r="O22" s="13"/>
      <c r="P22" s="138">
        <f>M22+1</f>
        <v>46067</v>
      </c>
      <c r="Q22" s="12"/>
      <c r="R22" s="13"/>
      <c r="S22" s="139">
        <f>P22+1</f>
        <v>46068</v>
      </c>
      <c r="T22" s="12"/>
      <c r="U22" s="13"/>
      <c r="W22" s="246">
        <v>17.0</v>
      </c>
      <c r="X22" s="306" t="s">
        <v>332</v>
      </c>
      <c r="Y22" s="249">
        <f t="shared" si="1"/>
        <v>4</v>
      </c>
    </row>
    <row r="23" ht="15.75" customHeight="1">
      <c r="A23" s="24" t="s">
        <v>327</v>
      </c>
      <c r="B23" s="24" t="s">
        <v>328</v>
      </c>
      <c r="C23" s="24" t="s">
        <v>25</v>
      </c>
      <c r="D23" s="146" t="s">
        <v>329</v>
      </c>
      <c r="E23" s="146" t="s">
        <v>38</v>
      </c>
      <c r="F23" s="146" t="s">
        <v>25</v>
      </c>
      <c r="G23" s="24" t="s">
        <v>330</v>
      </c>
      <c r="H23" s="24" t="s">
        <v>29</v>
      </c>
      <c r="I23" s="24" t="s">
        <v>25</v>
      </c>
      <c r="J23" s="24" t="s">
        <v>327</v>
      </c>
      <c r="K23" s="24" t="s">
        <v>349</v>
      </c>
      <c r="L23" s="24" t="s">
        <v>25</v>
      </c>
      <c r="M23" s="24" t="s">
        <v>348</v>
      </c>
      <c r="N23" s="67" t="s">
        <v>350</v>
      </c>
      <c r="O23" s="24" t="s">
        <v>25</v>
      </c>
      <c r="P23" s="24" t="s">
        <v>326</v>
      </c>
      <c r="Q23" s="24" t="s">
        <v>60</v>
      </c>
      <c r="R23" s="24" t="s">
        <v>34</v>
      </c>
      <c r="S23" s="252"/>
      <c r="T23" s="252"/>
      <c r="U23" s="252"/>
      <c r="W23" s="246">
        <v>8.0</v>
      </c>
      <c r="X23" s="306" t="s">
        <v>351</v>
      </c>
      <c r="Y23" s="249">
        <f t="shared" si="1"/>
        <v>4</v>
      </c>
    </row>
    <row r="24" ht="15.75" customHeight="1">
      <c r="A24" s="24" t="s">
        <v>352</v>
      </c>
      <c r="B24" s="24" t="s">
        <v>57</v>
      </c>
      <c r="C24" s="24" t="s">
        <v>25</v>
      </c>
      <c r="D24" s="24" t="s">
        <v>351</v>
      </c>
      <c r="E24" s="67" t="s">
        <v>28</v>
      </c>
      <c r="F24" s="67" t="s">
        <v>353</v>
      </c>
      <c r="G24" s="306"/>
      <c r="H24" s="36"/>
      <c r="I24" s="36"/>
      <c r="J24" s="146" t="s">
        <v>331</v>
      </c>
      <c r="K24" s="24" t="s">
        <v>181</v>
      </c>
      <c r="L24" s="311" t="s">
        <v>25</v>
      </c>
      <c r="M24" s="24" t="s">
        <v>337</v>
      </c>
      <c r="N24" s="24" t="s">
        <v>309</v>
      </c>
      <c r="O24" s="24" t="s">
        <v>31</v>
      </c>
      <c r="P24" s="24" t="s">
        <v>167</v>
      </c>
      <c r="Q24" s="24" t="s">
        <v>202</v>
      </c>
      <c r="R24" s="24" t="s">
        <v>25</v>
      </c>
      <c r="S24" s="252"/>
      <c r="T24" s="252"/>
      <c r="U24" s="252"/>
      <c r="W24" s="246">
        <v>9.0</v>
      </c>
      <c r="X24" s="306" t="s">
        <v>352</v>
      </c>
      <c r="Y24" s="249">
        <f t="shared" si="1"/>
        <v>3</v>
      </c>
    </row>
    <row r="25" ht="15.75" customHeight="1">
      <c r="A25" s="306" t="s">
        <v>332</v>
      </c>
      <c r="B25" s="257" t="s">
        <v>33</v>
      </c>
      <c r="C25" s="36" t="s">
        <v>25</v>
      </c>
      <c r="D25" s="24"/>
      <c r="E25" s="24"/>
      <c r="F25" s="24"/>
      <c r="G25" s="24" t="s">
        <v>346</v>
      </c>
      <c r="H25" s="24" t="s">
        <v>33</v>
      </c>
      <c r="I25" s="24" t="s">
        <v>25</v>
      </c>
      <c r="J25" s="24" t="s">
        <v>330</v>
      </c>
      <c r="K25" s="24" t="s">
        <v>345</v>
      </c>
      <c r="L25" s="309" t="s">
        <v>296</v>
      </c>
      <c r="M25" s="24" t="s">
        <v>354</v>
      </c>
      <c r="N25" s="41" t="s">
        <v>30</v>
      </c>
      <c r="O25" s="24" t="s">
        <v>31</v>
      </c>
      <c r="P25" s="24" t="s">
        <v>351</v>
      </c>
      <c r="Q25" s="36"/>
      <c r="R25" s="24"/>
      <c r="S25" s="212" t="s">
        <v>14</v>
      </c>
      <c r="T25" s="12"/>
      <c r="U25" s="13"/>
      <c r="W25" s="246">
        <v>11.0</v>
      </c>
      <c r="X25" s="306" t="s">
        <v>333</v>
      </c>
      <c r="Y25" s="249">
        <f t="shared" si="1"/>
        <v>3</v>
      </c>
    </row>
    <row r="26" ht="15.75" customHeight="1">
      <c r="A26" s="305"/>
      <c r="B26" s="24"/>
      <c r="C26" s="24"/>
      <c r="D26" s="24" t="s">
        <v>347</v>
      </c>
      <c r="E26" s="24" t="s">
        <v>129</v>
      </c>
      <c r="F26" s="24" t="s">
        <v>25</v>
      </c>
      <c r="G26" s="24"/>
      <c r="H26" s="24"/>
      <c r="I26" s="24"/>
      <c r="J26" s="199"/>
      <c r="K26" s="199"/>
      <c r="L26" s="199"/>
      <c r="M26" s="24"/>
      <c r="N26" s="24"/>
      <c r="O26" s="24"/>
      <c r="P26" s="199"/>
      <c r="Q26" s="199"/>
      <c r="R26" s="199"/>
      <c r="S26" s="252"/>
      <c r="T26" s="252"/>
      <c r="U26" s="252"/>
      <c r="W26" s="246">
        <v>12.0</v>
      </c>
      <c r="X26" s="306" t="s">
        <v>338</v>
      </c>
      <c r="Y26" s="249">
        <f t="shared" si="1"/>
        <v>3</v>
      </c>
    </row>
    <row r="27" ht="15.75" customHeight="1">
      <c r="A27" s="305"/>
      <c r="B27" s="24"/>
      <c r="C27" s="24"/>
      <c r="D27" s="199"/>
      <c r="E27" s="199"/>
      <c r="F27" s="199"/>
      <c r="G27" s="24"/>
      <c r="H27" s="24"/>
      <c r="I27" s="24"/>
      <c r="J27" s="312" t="s">
        <v>355</v>
      </c>
      <c r="K27" s="313" t="s">
        <v>60</v>
      </c>
      <c r="L27" s="313" t="s">
        <v>25</v>
      </c>
      <c r="M27" s="199"/>
      <c r="N27" s="199"/>
      <c r="O27" s="199"/>
      <c r="P27" s="199"/>
      <c r="Q27" s="199"/>
      <c r="R27" s="199"/>
      <c r="S27" s="252"/>
      <c r="T27" s="252"/>
      <c r="U27" s="252"/>
      <c r="W27" s="246">
        <v>14.0</v>
      </c>
      <c r="X27" s="306" t="s">
        <v>342</v>
      </c>
      <c r="Y27" s="249">
        <f t="shared" si="1"/>
        <v>2</v>
      </c>
    </row>
    <row r="28" ht="15.75" customHeight="1">
      <c r="A28" s="305"/>
      <c r="B28" s="24"/>
      <c r="C28" s="24"/>
      <c r="D28" s="253"/>
      <c r="E28" s="253"/>
      <c r="F28" s="253"/>
      <c r="G28" s="199"/>
      <c r="H28" s="199"/>
      <c r="I28" s="199"/>
      <c r="J28" s="253"/>
      <c r="K28" s="253"/>
      <c r="L28" s="314" t="s">
        <v>356</v>
      </c>
      <c r="M28" s="199"/>
      <c r="N28" s="199"/>
      <c r="O28" s="199"/>
      <c r="P28" s="253"/>
      <c r="Q28" s="253"/>
      <c r="R28" s="253"/>
      <c r="S28" s="252"/>
      <c r="T28" s="252"/>
      <c r="U28" s="252"/>
      <c r="W28" s="246">
        <v>21.0</v>
      </c>
      <c r="X28" s="306" t="s">
        <v>354</v>
      </c>
      <c r="Y28" s="249">
        <f t="shared" si="1"/>
        <v>2</v>
      </c>
    </row>
    <row r="29" ht="15.75" customHeight="1">
      <c r="A29" s="105" t="s">
        <v>115</v>
      </c>
      <c r="B29" s="12"/>
      <c r="C29" s="13"/>
      <c r="D29" s="155" t="s">
        <v>8</v>
      </c>
      <c r="E29" s="12"/>
      <c r="F29" s="13"/>
      <c r="G29" s="105" t="s">
        <v>116</v>
      </c>
      <c r="H29" s="12"/>
      <c r="I29" s="13"/>
      <c r="J29" s="156" t="s">
        <v>10</v>
      </c>
      <c r="K29" s="12"/>
      <c r="L29" s="13"/>
      <c r="M29" s="105" t="s">
        <v>81</v>
      </c>
      <c r="N29" s="12"/>
      <c r="O29" s="13"/>
      <c r="P29" s="105" t="s">
        <v>82</v>
      </c>
      <c r="Q29" s="12"/>
      <c r="R29" s="13"/>
      <c r="S29" s="155" t="s">
        <v>13</v>
      </c>
      <c r="T29" s="12"/>
      <c r="U29" s="13"/>
      <c r="W29" s="246">
        <v>19.0</v>
      </c>
      <c r="X29" s="315" t="s">
        <v>327</v>
      </c>
      <c r="Y29" s="249">
        <f t="shared" si="1"/>
        <v>7</v>
      </c>
    </row>
    <row r="30" ht="15.75" customHeight="1">
      <c r="A30" s="108">
        <f>S22+1</f>
        <v>46069</v>
      </c>
      <c r="B30" s="12"/>
      <c r="C30" s="13"/>
      <c r="D30" s="109">
        <f>A30+1</f>
        <v>46070</v>
      </c>
      <c r="E30" s="12"/>
      <c r="F30" s="13"/>
      <c r="G30" s="107">
        <f>D30+1</f>
        <v>46071</v>
      </c>
      <c r="H30" s="12"/>
      <c r="I30" s="13"/>
      <c r="J30" s="107">
        <f>G30+1</f>
        <v>46072</v>
      </c>
      <c r="K30" s="12"/>
      <c r="L30" s="13"/>
      <c r="M30" s="107">
        <f>J30+1</f>
        <v>46073</v>
      </c>
      <c r="N30" s="12"/>
      <c r="O30" s="13"/>
      <c r="P30" s="108">
        <f>M30+1</f>
        <v>46074</v>
      </c>
      <c r="Q30" s="12"/>
      <c r="R30" s="13"/>
      <c r="S30" s="109">
        <f>P30+1</f>
        <v>46075</v>
      </c>
      <c r="T30" s="12"/>
      <c r="U30" s="13"/>
      <c r="W30" s="246">
        <v>13.0</v>
      </c>
      <c r="X30" s="306" t="s">
        <v>347</v>
      </c>
      <c r="Y30" s="249">
        <f t="shared" si="1"/>
        <v>4</v>
      </c>
    </row>
    <row r="31" ht="15.75" customHeight="1">
      <c r="A31" s="24" t="s">
        <v>327</v>
      </c>
      <c r="B31" s="24" t="s">
        <v>328</v>
      </c>
      <c r="C31" s="24" t="s">
        <v>25</v>
      </c>
      <c r="D31" s="146" t="s">
        <v>331</v>
      </c>
      <c r="E31" s="24" t="s">
        <v>283</v>
      </c>
      <c r="F31" s="24" t="s">
        <v>25</v>
      </c>
      <c r="G31" s="24" t="s">
        <v>330</v>
      </c>
      <c r="H31" s="24" t="s">
        <v>29</v>
      </c>
      <c r="I31" s="24" t="s">
        <v>25</v>
      </c>
      <c r="J31" s="146" t="s">
        <v>329</v>
      </c>
      <c r="K31" s="146" t="s">
        <v>38</v>
      </c>
      <c r="L31" s="146" t="s">
        <v>25</v>
      </c>
      <c r="M31" s="62" t="s">
        <v>336</v>
      </c>
      <c r="N31" s="62" t="s">
        <v>33</v>
      </c>
      <c r="O31" s="62" t="s">
        <v>34</v>
      </c>
      <c r="P31" s="289" t="s">
        <v>333</v>
      </c>
      <c r="Q31" s="24" t="s">
        <v>60</v>
      </c>
      <c r="R31" s="24" t="s">
        <v>34</v>
      </c>
      <c r="S31" s="252"/>
      <c r="T31" s="252"/>
      <c r="U31" s="252"/>
      <c r="W31" s="246">
        <v>10.0</v>
      </c>
      <c r="X31" s="24" t="s">
        <v>339</v>
      </c>
      <c r="Y31" s="249">
        <f t="shared" si="1"/>
        <v>2</v>
      </c>
    </row>
    <row r="32" ht="15.75" customHeight="1">
      <c r="A32" s="24" t="s">
        <v>334</v>
      </c>
      <c r="B32" s="24" t="s">
        <v>57</v>
      </c>
      <c r="C32" s="24" t="s">
        <v>34</v>
      </c>
      <c r="D32" s="24" t="s">
        <v>335</v>
      </c>
      <c r="E32" s="24"/>
      <c r="F32" s="24" t="s">
        <v>34</v>
      </c>
      <c r="G32" s="62" t="s">
        <v>335</v>
      </c>
      <c r="H32" s="62" t="s">
        <v>28</v>
      </c>
      <c r="I32" s="62" t="s">
        <v>34</v>
      </c>
      <c r="J32" s="24" t="s">
        <v>327</v>
      </c>
      <c r="K32" s="24" t="s">
        <v>349</v>
      </c>
      <c r="L32" s="24" t="s">
        <v>25</v>
      </c>
      <c r="M32" s="24" t="s">
        <v>337</v>
      </c>
      <c r="N32" s="24" t="s">
        <v>309</v>
      </c>
      <c r="O32" s="24" t="s">
        <v>31</v>
      </c>
      <c r="P32" s="24" t="s">
        <v>167</v>
      </c>
      <c r="Q32" s="24" t="s">
        <v>202</v>
      </c>
      <c r="R32" s="24" t="s">
        <v>25</v>
      </c>
      <c r="S32" s="252"/>
      <c r="T32" s="252"/>
      <c r="U32" s="252"/>
      <c r="W32" s="246">
        <v>20.0</v>
      </c>
      <c r="X32" s="146" t="s">
        <v>331</v>
      </c>
      <c r="Y32" s="249">
        <f t="shared" si="1"/>
        <v>4</v>
      </c>
    </row>
    <row r="33" ht="15.75" customHeight="1">
      <c r="A33" s="306"/>
      <c r="B33" s="36"/>
      <c r="C33" s="36"/>
      <c r="D33" s="24" t="s">
        <v>338</v>
      </c>
      <c r="E33" s="24"/>
      <c r="F33" s="24" t="s">
        <v>31</v>
      </c>
      <c r="G33" s="24" t="s">
        <v>336</v>
      </c>
      <c r="H33" s="24"/>
      <c r="I33" s="24" t="s">
        <v>34</v>
      </c>
      <c r="J33" s="24" t="s">
        <v>340</v>
      </c>
      <c r="K33" s="24" t="s">
        <v>341</v>
      </c>
      <c r="L33" s="24" t="s">
        <v>31</v>
      </c>
      <c r="M33" s="24" t="s">
        <v>342</v>
      </c>
      <c r="N33" s="41" t="s">
        <v>110</v>
      </c>
      <c r="O33" s="24" t="s">
        <v>25</v>
      </c>
      <c r="P33" s="199"/>
      <c r="Q33" s="199"/>
      <c r="R33" s="46" t="s">
        <v>48</v>
      </c>
      <c r="S33" s="212" t="s">
        <v>14</v>
      </c>
      <c r="T33" s="12"/>
      <c r="U33" s="13"/>
      <c r="W33" s="246">
        <v>15.0</v>
      </c>
      <c r="X33" s="24" t="s">
        <v>343</v>
      </c>
      <c r="Y33" s="249">
        <f t="shared" si="1"/>
        <v>2</v>
      </c>
    </row>
    <row r="34" ht="15.75" customHeight="1">
      <c r="A34" s="24"/>
      <c r="B34" s="41"/>
      <c r="C34" s="24"/>
      <c r="D34" s="146"/>
      <c r="E34" s="24"/>
      <c r="F34" s="24"/>
      <c r="G34" s="24" t="s">
        <v>339</v>
      </c>
      <c r="H34" s="24" t="s">
        <v>102</v>
      </c>
      <c r="I34" s="24" t="s">
        <v>34</v>
      </c>
      <c r="J34" s="24" t="s">
        <v>330</v>
      </c>
      <c r="K34" s="24" t="s">
        <v>345</v>
      </c>
      <c r="L34" s="309" t="s">
        <v>357</v>
      </c>
      <c r="M34" s="24" t="s">
        <v>330</v>
      </c>
      <c r="N34" s="24" t="s">
        <v>345</v>
      </c>
      <c r="O34" s="46" t="s">
        <v>48</v>
      </c>
      <c r="P34" s="199"/>
      <c r="Q34" s="199"/>
      <c r="R34" s="199"/>
      <c r="S34" s="252"/>
      <c r="T34" s="252"/>
      <c r="U34" s="252"/>
      <c r="W34" s="246">
        <v>16.0</v>
      </c>
      <c r="X34" s="146" t="s">
        <v>329</v>
      </c>
      <c r="Y34" s="249">
        <f t="shared" si="1"/>
        <v>5</v>
      </c>
    </row>
    <row r="35" ht="15.75" customHeight="1">
      <c r="A35" s="199"/>
      <c r="B35" s="259"/>
      <c r="C35" s="199"/>
      <c r="D35" s="253"/>
      <c r="E35" s="253"/>
      <c r="F35" s="253"/>
      <c r="G35" s="24" t="s">
        <v>343</v>
      </c>
      <c r="H35" s="24" t="s">
        <v>344</v>
      </c>
      <c r="I35" s="24" t="s">
        <v>31</v>
      </c>
      <c r="J35" s="199"/>
      <c r="K35" s="199"/>
      <c r="L35" s="199"/>
      <c r="M35" s="199"/>
      <c r="N35" s="199"/>
      <c r="O35" s="199"/>
      <c r="P35" s="199"/>
      <c r="Q35" s="199"/>
      <c r="R35" s="199"/>
      <c r="S35" s="252"/>
      <c r="T35" s="252"/>
      <c r="U35" s="252"/>
      <c r="W35" s="246">
        <v>22.0</v>
      </c>
      <c r="X35" s="103"/>
      <c r="Y35" s="103"/>
    </row>
    <row r="36" ht="15.75" customHeight="1">
      <c r="A36" s="253"/>
      <c r="B36" s="253"/>
      <c r="C36" s="253"/>
      <c r="D36" s="24" t="s">
        <v>347</v>
      </c>
      <c r="E36" s="24" t="s">
        <v>129</v>
      </c>
      <c r="F36" s="24" t="s">
        <v>25</v>
      </c>
      <c r="G36" s="36"/>
      <c r="H36" s="36"/>
      <c r="I36" s="36"/>
      <c r="J36" s="199"/>
      <c r="K36" s="199"/>
      <c r="L36" s="199"/>
      <c r="M36" s="199"/>
      <c r="N36" s="199"/>
      <c r="O36" s="199"/>
      <c r="P36" s="199"/>
      <c r="Q36" s="199"/>
      <c r="R36" s="199"/>
      <c r="S36" s="252"/>
      <c r="T36" s="252"/>
      <c r="U36" s="252"/>
      <c r="W36" s="246">
        <v>23.0</v>
      </c>
      <c r="X36" s="103"/>
      <c r="Y36" s="103"/>
    </row>
    <row r="37" ht="15.75" customHeight="1">
      <c r="A37" s="136" t="s">
        <v>115</v>
      </c>
      <c r="B37" s="12"/>
      <c r="C37" s="13"/>
      <c r="D37" s="136" t="s">
        <v>8</v>
      </c>
      <c r="E37" s="12"/>
      <c r="F37" s="13"/>
      <c r="G37" s="136" t="s">
        <v>116</v>
      </c>
      <c r="H37" s="12"/>
      <c r="I37" s="13"/>
      <c r="J37" s="136" t="s">
        <v>10</v>
      </c>
      <c r="K37" s="12"/>
      <c r="L37" s="13"/>
      <c r="M37" s="136" t="s">
        <v>136</v>
      </c>
      <c r="N37" s="12"/>
      <c r="O37" s="13"/>
      <c r="P37" s="136" t="s">
        <v>12</v>
      </c>
      <c r="Q37" s="12"/>
      <c r="R37" s="13"/>
      <c r="S37" s="137" t="s">
        <v>13</v>
      </c>
      <c r="T37" s="12"/>
      <c r="U37" s="13"/>
      <c r="W37" s="246">
        <v>24.0</v>
      </c>
      <c r="X37" s="146"/>
      <c r="Y37" s="249"/>
    </row>
    <row r="38" ht="15.75" customHeight="1">
      <c r="A38" s="138">
        <f>S30+1</f>
        <v>46076</v>
      </c>
      <c r="B38" s="12"/>
      <c r="C38" s="13"/>
      <c r="D38" s="138">
        <f>A38+1</f>
        <v>46077</v>
      </c>
      <c r="E38" s="12"/>
      <c r="F38" s="13"/>
      <c r="G38" s="138">
        <f>D38+1</f>
        <v>46078</v>
      </c>
      <c r="H38" s="12"/>
      <c r="I38" s="13"/>
      <c r="J38" s="138">
        <f>G38+1</f>
        <v>46079</v>
      </c>
      <c r="K38" s="12"/>
      <c r="L38" s="13"/>
      <c r="M38" s="138">
        <f>J38+1</f>
        <v>46080</v>
      </c>
      <c r="N38" s="12"/>
      <c r="O38" s="13"/>
      <c r="P38" s="138">
        <f>M38+1</f>
        <v>46081</v>
      </c>
      <c r="Q38" s="12"/>
      <c r="R38" s="13"/>
      <c r="S38" s="139">
        <f>P38+1</f>
        <v>46082</v>
      </c>
      <c r="T38" s="12"/>
      <c r="U38" s="13"/>
      <c r="W38" s="246">
        <v>25.0</v>
      </c>
      <c r="X38" s="103"/>
      <c r="Y38" s="316" t="s">
        <v>69</v>
      </c>
    </row>
    <row r="39" ht="15.75" customHeight="1">
      <c r="A39" s="24" t="s">
        <v>327</v>
      </c>
      <c r="B39" s="24" t="s">
        <v>328</v>
      </c>
      <c r="C39" s="24" t="s">
        <v>25</v>
      </c>
      <c r="D39" s="146" t="s">
        <v>329</v>
      </c>
      <c r="E39" s="146" t="s">
        <v>38</v>
      </c>
      <c r="F39" s="146" t="s">
        <v>25</v>
      </c>
      <c r="G39" s="24" t="s">
        <v>330</v>
      </c>
      <c r="H39" s="24" t="s">
        <v>29</v>
      </c>
      <c r="I39" s="24" t="s">
        <v>25</v>
      </c>
      <c r="J39" s="237" t="s">
        <v>329</v>
      </c>
      <c r="K39" s="237" t="s">
        <v>38</v>
      </c>
      <c r="L39" s="237" t="s">
        <v>25</v>
      </c>
      <c r="M39" s="62" t="s">
        <v>352</v>
      </c>
      <c r="N39" s="238" t="s">
        <v>60</v>
      </c>
      <c r="O39" s="62" t="s">
        <v>25</v>
      </c>
      <c r="P39" s="24" t="s">
        <v>326</v>
      </c>
      <c r="Q39" s="24" t="s">
        <v>60</v>
      </c>
      <c r="R39" s="24" t="s">
        <v>34</v>
      </c>
      <c r="S39" s="252"/>
      <c r="T39" s="252"/>
      <c r="U39" s="252"/>
      <c r="W39" s="246">
        <v>26.0</v>
      </c>
      <c r="X39" s="103"/>
      <c r="Y39" s="103"/>
    </row>
    <row r="40" ht="15.75" customHeight="1">
      <c r="A40" s="24" t="s">
        <v>352</v>
      </c>
      <c r="B40" s="24" t="s">
        <v>57</v>
      </c>
      <c r="C40" s="24" t="s">
        <v>25</v>
      </c>
      <c r="D40" s="46" t="s">
        <v>351</v>
      </c>
      <c r="E40" s="46" t="s">
        <v>38</v>
      </c>
      <c r="F40" s="46" t="s">
        <v>25</v>
      </c>
      <c r="G40" s="306"/>
      <c r="H40" s="36"/>
      <c r="I40" s="36"/>
      <c r="J40" s="146" t="s">
        <v>331</v>
      </c>
      <c r="K40" s="24" t="s">
        <v>181</v>
      </c>
      <c r="L40" s="24" t="s">
        <v>25</v>
      </c>
      <c r="M40" s="24" t="s">
        <v>337</v>
      </c>
      <c r="N40" s="24"/>
      <c r="O40" s="24" t="s">
        <v>31</v>
      </c>
      <c r="P40" s="24" t="s">
        <v>167</v>
      </c>
      <c r="Q40" s="24" t="s">
        <v>202</v>
      </c>
      <c r="R40" s="24" t="s">
        <v>25</v>
      </c>
      <c r="S40" s="212" t="s">
        <v>14</v>
      </c>
      <c r="T40" s="12"/>
      <c r="U40" s="13"/>
      <c r="W40" s="246">
        <v>27.0</v>
      </c>
      <c r="X40" s="306"/>
      <c r="Y40" s="249"/>
    </row>
    <row r="41" ht="15.75" customHeight="1">
      <c r="A41" s="306" t="s">
        <v>332</v>
      </c>
      <c r="B41" s="257" t="s">
        <v>33</v>
      </c>
      <c r="C41" s="36" t="s">
        <v>25</v>
      </c>
      <c r="D41" s="62" t="s">
        <v>338</v>
      </c>
      <c r="E41" s="62" t="s">
        <v>33</v>
      </c>
      <c r="F41" s="62" t="s">
        <v>31</v>
      </c>
      <c r="G41" s="24" t="s">
        <v>346</v>
      </c>
      <c r="H41" s="24" t="s">
        <v>33</v>
      </c>
      <c r="I41" s="24" t="s">
        <v>25</v>
      </c>
      <c r="J41" s="24" t="s">
        <v>330</v>
      </c>
      <c r="K41" s="24" t="s">
        <v>345</v>
      </c>
      <c r="L41" s="309" t="s">
        <v>296</v>
      </c>
      <c r="M41" s="24" t="s">
        <v>348</v>
      </c>
      <c r="N41" s="24" t="s">
        <v>358</v>
      </c>
      <c r="O41" s="24" t="s">
        <v>25</v>
      </c>
      <c r="P41" s="24" t="s">
        <v>351</v>
      </c>
      <c r="Q41" s="36"/>
      <c r="R41" s="36"/>
      <c r="S41" s="252"/>
      <c r="T41" s="252"/>
      <c r="U41" s="252"/>
      <c r="W41" s="246">
        <v>28.0</v>
      </c>
      <c r="X41" s="306"/>
      <c r="Y41" s="249"/>
    </row>
    <row r="42" ht="15.75" customHeight="1">
      <c r="A42" s="24"/>
      <c r="B42" s="24"/>
      <c r="C42" s="24"/>
      <c r="D42" s="24" t="s">
        <v>347</v>
      </c>
      <c r="E42" s="24" t="s">
        <v>129</v>
      </c>
      <c r="F42" s="24" t="s">
        <v>25</v>
      </c>
      <c r="G42" s="24"/>
      <c r="H42" s="24"/>
      <c r="I42" s="24"/>
      <c r="J42" s="24" t="s">
        <v>327</v>
      </c>
      <c r="K42" s="24" t="s">
        <v>359</v>
      </c>
      <c r="L42" s="24" t="s">
        <v>25</v>
      </c>
      <c r="M42" s="24" t="s">
        <v>354</v>
      </c>
      <c r="N42" s="41" t="s">
        <v>30</v>
      </c>
      <c r="O42" s="24" t="s">
        <v>31</v>
      </c>
      <c r="P42" s="199"/>
      <c r="Q42" s="199"/>
      <c r="R42" s="199"/>
      <c r="S42" s="252"/>
      <c r="T42" s="252"/>
      <c r="U42" s="252"/>
      <c r="Y42" s="102">
        <f>SUM(Y14:Y41)</f>
        <v>74</v>
      </c>
    </row>
    <row r="43" ht="15.75" customHeight="1">
      <c r="A43" s="24"/>
      <c r="B43" s="24"/>
      <c r="C43" s="24"/>
      <c r="D43" s="199"/>
      <c r="E43" s="199"/>
      <c r="F43" s="199"/>
      <c r="G43" s="24"/>
      <c r="H43" s="24"/>
      <c r="I43" s="24"/>
      <c r="J43" s="312" t="s">
        <v>355</v>
      </c>
      <c r="K43" s="313" t="s">
        <v>60</v>
      </c>
      <c r="L43" s="313" t="s">
        <v>25</v>
      </c>
      <c r="M43" s="199"/>
      <c r="N43" s="199"/>
      <c r="O43" s="317" t="s">
        <v>209</v>
      </c>
      <c r="P43" s="199"/>
      <c r="Q43" s="199"/>
      <c r="R43" s="199"/>
      <c r="S43" s="252"/>
      <c r="T43" s="252"/>
      <c r="U43" s="252"/>
    </row>
    <row r="44" ht="15.75" customHeight="1">
      <c r="A44" s="24"/>
      <c r="B44" s="24"/>
      <c r="C44" s="24"/>
      <c r="D44" s="253"/>
      <c r="E44" s="253"/>
      <c r="F44" s="253"/>
      <c r="G44" s="253"/>
      <c r="H44" s="253"/>
      <c r="I44" s="253"/>
      <c r="J44" s="253"/>
      <c r="K44" s="253"/>
      <c r="L44" s="314" t="s">
        <v>356</v>
      </c>
      <c r="M44" s="199"/>
      <c r="N44" s="199"/>
      <c r="O44" s="199"/>
      <c r="P44" s="199"/>
      <c r="Q44" s="199"/>
      <c r="R44" s="199"/>
      <c r="S44" s="252"/>
      <c r="T44" s="252"/>
      <c r="U44" s="252"/>
    </row>
    <row r="45" ht="15.75" customHeight="1">
      <c r="A45" s="105"/>
      <c r="B45" s="12"/>
      <c r="C45" s="13"/>
      <c r="D45" s="105"/>
      <c r="E45" s="12"/>
      <c r="F45" s="13"/>
      <c r="G45" s="105"/>
      <c r="H45" s="12"/>
      <c r="I45" s="13"/>
      <c r="J45" s="105"/>
      <c r="K45" s="12"/>
      <c r="L45" s="13"/>
      <c r="M45" s="105"/>
      <c r="N45" s="12"/>
      <c r="O45" s="13"/>
      <c r="P45" s="105"/>
      <c r="Q45" s="12"/>
      <c r="R45" s="13"/>
      <c r="S45" s="106"/>
      <c r="T45" s="12"/>
      <c r="U45" s="13"/>
    </row>
    <row r="46" ht="15.75" customHeight="1">
      <c r="A46" s="108"/>
      <c r="B46" s="12"/>
      <c r="C46" s="13"/>
      <c r="D46" s="107"/>
      <c r="E46" s="12"/>
      <c r="F46" s="13"/>
      <c r="G46" s="107"/>
      <c r="H46" s="12"/>
      <c r="I46" s="13"/>
      <c r="J46" s="107"/>
      <c r="K46" s="12"/>
      <c r="L46" s="13"/>
      <c r="M46" s="107"/>
      <c r="N46" s="12"/>
      <c r="O46" s="13"/>
      <c r="P46" s="107"/>
      <c r="Q46" s="12"/>
      <c r="R46" s="13"/>
      <c r="S46" s="108"/>
      <c r="T46" s="12"/>
      <c r="U46" s="13"/>
    </row>
    <row r="47" ht="15.75" customHeight="1">
      <c r="A47" s="253"/>
      <c r="B47" s="253"/>
      <c r="C47" s="253"/>
      <c r="D47" s="253"/>
      <c r="E47" s="253"/>
      <c r="F47" s="253"/>
      <c r="G47" s="169"/>
      <c r="H47" s="169"/>
      <c r="I47" s="169"/>
      <c r="J47" s="169"/>
      <c r="K47" s="199"/>
      <c r="L47" s="199"/>
      <c r="M47" s="61"/>
      <c r="N47" s="60"/>
      <c r="O47" s="60"/>
      <c r="P47" s="169"/>
      <c r="Q47" s="169"/>
      <c r="R47" s="169"/>
      <c r="S47" s="198"/>
      <c r="T47" s="198"/>
      <c r="U47" s="198"/>
    </row>
    <row r="48" ht="15.75" customHeight="1">
      <c r="A48" s="253"/>
      <c r="B48" s="253"/>
      <c r="C48" s="253"/>
      <c r="D48" s="253"/>
      <c r="E48" s="253"/>
      <c r="F48" s="253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98"/>
      <c r="T48" s="198"/>
      <c r="U48" s="198"/>
    </row>
    <row r="49" ht="15.75" customHeight="1">
      <c r="A49" s="253"/>
      <c r="B49" s="253"/>
      <c r="C49" s="253"/>
      <c r="D49" s="199"/>
      <c r="E49" s="199"/>
      <c r="F49" s="199"/>
      <c r="G49" s="169"/>
      <c r="H49" s="169"/>
      <c r="I49" s="169"/>
      <c r="J49" s="169"/>
      <c r="K49" s="199"/>
      <c r="L49" s="199"/>
      <c r="M49" s="169"/>
      <c r="N49" s="169"/>
      <c r="O49" s="169"/>
      <c r="P49" s="169"/>
      <c r="Q49" s="169"/>
      <c r="R49" s="169"/>
      <c r="S49" s="200"/>
      <c r="T49" s="200"/>
      <c r="U49" s="200"/>
    </row>
    <row r="50" ht="15.75" customHeight="1">
      <c r="A50" s="199"/>
      <c r="B50" s="199"/>
      <c r="C50" s="199"/>
      <c r="D50" s="199"/>
      <c r="E50" s="199"/>
      <c r="F50" s="199"/>
      <c r="G50" s="318"/>
      <c r="H50" s="259"/>
      <c r="I50" s="169"/>
      <c r="J50" s="169"/>
      <c r="K50" s="199"/>
      <c r="L50" s="199"/>
      <c r="M50" s="61"/>
      <c r="N50" s="169"/>
      <c r="O50" s="61"/>
      <c r="P50" s="169"/>
      <c r="Q50" s="169"/>
      <c r="R50" s="169"/>
      <c r="S50" s="198"/>
      <c r="T50" s="198"/>
      <c r="U50" s="198"/>
    </row>
    <row r="51" ht="15.75" customHeight="1">
      <c r="A51" s="199"/>
      <c r="B51" s="259"/>
      <c r="C51" s="199"/>
      <c r="D51" s="169"/>
      <c r="E51" s="169"/>
      <c r="F51" s="169"/>
      <c r="G51" s="60"/>
      <c r="H51" s="259"/>
      <c r="I51" s="60"/>
      <c r="J51" s="169"/>
      <c r="K51" s="169"/>
      <c r="L51" s="169"/>
      <c r="M51" s="60"/>
      <c r="N51" s="169"/>
      <c r="O51" s="60"/>
      <c r="P51" s="169"/>
      <c r="Q51" s="169"/>
      <c r="R51" s="169"/>
      <c r="S51" s="200"/>
      <c r="T51" s="200"/>
      <c r="U51" s="201"/>
    </row>
    <row r="52" ht="15.75" customHeight="1">
      <c r="A52" s="253"/>
      <c r="B52" s="253"/>
      <c r="C52" s="253"/>
      <c r="D52" s="199"/>
      <c r="E52" s="199"/>
      <c r="F52" s="199"/>
      <c r="G52" s="252"/>
      <c r="H52" s="252"/>
      <c r="I52" s="252"/>
      <c r="J52" s="199"/>
      <c r="K52" s="199"/>
      <c r="L52" s="199"/>
      <c r="M52" s="199"/>
      <c r="N52" s="199"/>
      <c r="O52" s="199"/>
      <c r="P52" s="199"/>
      <c r="Q52" s="199"/>
      <c r="R52" s="199"/>
      <c r="S52" s="198"/>
      <c r="T52" s="198"/>
      <c r="U52" s="198"/>
    </row>
    <row r="53" ht="15.75" customHeight="1">
      <c r="A53" s="284"/>
      <c r="B53" s="83"/>
    </row>
    <row r="54" ht="15.75" customHeight="1"/>
    <row r="55" ht="15.75" customHeight="1">
      <c r="A55" s="82" t="s">
        <v>72</v>
      </c>
      <c r="B55" s="83"/>
    </row>
    <row r="56" ht="15.75" customHeight="1">
      <c r="A56" s="84"/>
      <c r="B56" s="85" t="s">
        <v>73</v>
      </c>
      <c r="C56" s="86"/>
      <c r="D56" s="87"/>
    </row>
    <row r="57" ht="15.75" customHeight="1">
      <c r="A57" s="91"/>
      <c r="B57" s="85" t="s">
        <v>74</v>
      </c>
      <c r="C57" s="86"/>
    </row>
    <row r="58" ht="15.75" customHeight="1">
      <c r="A58" s="94"/>
      <c r="B58" s="85" t="s">
        <v>75</v>
      </c>
      <c r="C58" s="86"/>
    </row>
    <row r="59" ht="15.75" customHeight="1">
      <c r="A59" s="95"/>
      <c r="B59" s="85" t="s">
        <v>76</v>
      </c>
      <c r="C59" s="86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34">
    <sortState ref="W13:Y34">
      <sortCondition ref="X13:X34"/>
    </sortState>
  </autoFilter>
  <mergeCells count="100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S40:U40"/>
    <mergeCell ref="A38:C38"/>
    <mergeCell ref="D45:F45"/>
    <mergeCell ref="G45:I45"/>
    <mergeCell ref="J45:L45"/>
    <mergeCell ref="M45:O45"/>
    <mergeCell ref="P45:R45"/>
    <mergeCell ref="S45:U4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P18:R18"/>
    <mergeCell ref="S25:U25"/>
    <mergeCell ref="S33:U33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B53:D53"/>
    <mergeCell ref="B55:D55"/>
  </mergeCells>
  <printOptions horizontalCentered="1" verticalCentered="1"/>
  <pageMargins bottom="0.75" footer="0.0" header="0.0" left="0.25" right="0.25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8" max="8" width="11.43"/>
    <col customWidth="1" min="9" max="9" width="7.57"/>
    <col customWidth="1" min="10" max="10" width="21.71"/>
    <col customWidth="1" min="11" max="11" width="12.14"/>
    <col customWidth="1" min="12" max="12" width="9.14"/>
    <col customWidth="1" min="13" max="13" width="18.57"/>
    <col customWidth="1" min="14" max="14" width="12.86"/>
    <col customWidth="1" min="15" max="15" width="8.0"/>
    <col customWidth="1" min="16" max="16" width="14.14"/>
    <col customWidth="1" min="17" max="17" width="11.43"/>
    <col customWidth="1" min="18" max="18" width="9.0"/>
    <col customWidth="1" min="19" max="19" width="17.57"/>
    <col customWidth="1" min="20" max="20" width="11.57"/>
    <col customWidth="1" min="21" max="21" width="7.86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90" t="s">
        <v>138</v>
      </c>
      <c r="C1" s="319" t="s">
        <v>360</v>
      </c>
      <c r="F1" s="320"/>
      <c r="G1" s="4" t="s">
        <v>361</v>
      </c>
      <c r="Q1" s="320"/>
      <c r="R1" s="320"/>
      <c r="S1" s="320"/>
      <c r="T1" s="320"/>
      <c r="U1" s="320"/>
    </row>
    <row r="2">
      <c r="A2" s="90" t="s">
        <v>3</v>
      </c>
      <c r="C2" s="6" t="s">
        <v>78</v>
      </c>
      <c r="F2" s="320"/>
      <c r="Q2" s="320"/>
      <c r="R2" s="320"/>
      <c r="S2" s="320"/>
      <c r="T2" s="320"/>
      <c r="U2" s="320"/>
    </row>
    <row r="3">
      <c r="A3" s="90" t="s">
        <v>5</v>
      </c>
      <c r="C3" s="321"/>
      <c r="F3" s="320"/>
      <c r="Q3" s="320"/>
      <c r="R3" s="320"/>
      <c r="S3" s="320"/>
      <c r="T3" s="320"/>
      <c r="U3" s="320"/>
    </row>
    <row r="4">
      <c r="A4" s="90" t="s">
        <v>6</v>
      </c>
      <c r="C4" s="322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5"/>
      <c r="E6" s="12"/>
      <c r="F6" s="13"/>
      <c r="G6" s="15"/>
      <c r="H6" s="12"/>
      <c r="I6" s="13"/>
      <c r="J6" s="17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</row>
    <row r="7">
      <c r="A7" s="323"/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</row>
    <row r="8">
      <c r="A8" s="323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120"/>
      <c r="T8" s="120"/>
      <c r="U8" s="120"/>
      <c r="W8" s="173" t="s">
        <v>15</v>
      </c>
      <c r="X8" s="174" t="s">
        <v>141</v>
      </c>
      <c r="Y8" s="213" t="s">
        <v>17</v>
      </c>
    </row>
    <row r="9">
      <c r="A9" s="323"/>
      <c r="B9" s="323"/>
      <c r="C9" s="323"/>
      <c r="D9" s="323"/>
      <c r="E9" s="323"/>
      <c r="F9" s="323"/>
      <c r="G9" s="323"/>
      <c r="H9" s="323"/>
      <c r="I9" s="323"/>
      <c r="J9" s="169"/>
      <c r="K9" s="169"/>
      <c r="L9" s="169"/>
      <c r="M9" s="120"/>
      <c r="N9" s="120"/>
      <c r="O9" s="120"/>
      <c r="P9" s="24"/>
      <c r="Q9" s="24"/>
      <c r="R9" s="24"/>
      <c r="S9" s="120"/>
      <c r="T9" s="120"/>
      <c r="U9" s="120"/>
      <c r="W9" s="178">
        <v>1.0</v>
      </c>
      <c r="X9" s="146"/>
      <c r="Y9" s="215"/>
    </row>
    <row r="10">
      <c r="A10" s="323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124" t="s">
        <v>362</v>
      </c>
      <c r="T10" s="124" t="s">
        <v>118</v>
      </c>
      <c r="U10" s="44" t="s">
        <v>31</v>
      </c>
      <c r="W10" s="178">
        <v>2.0</v>
      </c>
      <c r="X10" s="323" t="s">
        <v>363</v>
      </c>
      <c r="Y10" s="215">
        <f t="shared" ref="Y10:Z10" si="1">COUNTIF($A$5:$U$51,X10)</f>
        <v>3</v>
      </c>
      <c r="Z10" s="215">
        <f t="shared" si="1"/>
        <v>0</v>
      </c>
    </row>
    <row r="11">
      <c r="A11" s="323"/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4" t="s">
        <v>364</v>
      </c>
      <c r="T11" s="324" t="s">
        <v>33</v>
      </c>
      <c r="U11" s="324" t="s">
        <v>365</v>
      </c>
      <c r="W11" s="178">
        <v>3.0</v>
      </c>
      <c r="X11" s="323" t="s">
        <v>366</v>
      </c>
      <c r="Y11" s="215">
        <f t="shared" ref="Y11:Z11" si="2">COUNTIF($A$5:$U$51,X11)</f>
        <v>5</v>
      </c>
      <c r="Z11" s="215">
        <f t="shared" si="2"/>
        <v>0</v>
      </c>
    </row>
    <row r="12">
      <c r="A12" s="323"/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W12" s="178">
        <v>4.0</v>
      </c>
      <c r="X12" s="323" t="s">
        <v>367</v>
      </c>
      <c r="Y12" s="215">
        <f t="shared" ref="Y12:Y29" si="3">COUNTIF($A$5:$U$51,X12)</f>
        <v>2</v>
      </c>
    </row>
    <row r="13">
      <c r="A13" s="27" t="s">
        <v>7</v>
      </c>
      <c r="B13" s="12"/>
      <c r="C13" s="13"/>
      <c r="D13" s="27" t="s">
        <v>8</v>
      </c>
      <c r="E13" s="12"/>
      <c r="F13" s="13"/>
      <c r="G13" s="27" t="s">
        <v>9</v>
      </c>
      <c r="H13" s="12"/>
      <c r="I13" s="13"/>
      <c r="J13" s="27" t="s">
        <v>10</v>
      </c>
      <c r="K13" s="12"/>
      <c r="L13" s="13"/>
      <c r="M13" s="27" t="s">
        <v>11</v>
      </c>
      <c r="N13" s="12"/>
      <c r="O13" s="13"/>
      <c r="P13" s="27" t="s">
        <v>12</v>
      </c>
      <c r="Q13" s="12"/>
      <c r="R13" s="13"/>
      <c r="S13" s="29" t="s">
        <v>13</v>
      </c>
      <c r="T13" s="12"/>
      <c r="U13" s="13"/>
      <c r="W13" s="178">
        <v>5.0</v>
      </c>
      <c r="X13" s="323" t="s">
        <v>368</v>
      </c>
      <c r="Y13" s="215">
        <f t="shared" si="3"/>
        <v>2</v>
      </c>
    </row>
    <row r="14">
      <c r="A14" s="30">
        <f>S6+1</f>
        <v>46055</v>
      </c>
      <c r="B14" s="12"/>
      <c r="C14" s="13"/>
      <c r="D14" s="30">
        <f>A14+1</f>
        <v>46056</v>
      </c>
      <c r="E14" s="12"/>
      <c r="F14" s="13"/>
      <c r="G14" s="30">
        <f>D14+1</f>
        <v>46057</v>
      </c>
      <c r="H14" s="12"/>
      <c r="I14" s="13"/>
      <c r="J14" s="30">
        <f>G14+1</f>
        <v>46058</v>
      </c>
      <c r="K14" s="12"/>
      <c r="L14" s="13"/>
      <c r="M14" s="30">
        <f>J14+1</f>
        <v>46059</v>
      </c>
      <c r="N14" s="12"/>
      <c r="O14" s="13"/>
      <c r="P14" s="30">
        <f>M14+1</f>
        <v>46060</v>
      </c>
      <c r="Q14" s="12"/>
      <c r="R14" s="13"/>
      <c r="S14" s="31">
        <f>P14+1</f>
        <v>46061</v>
      </c>
      <c r="T14" s="12"/>
      <c r="U14" s="13"/>
      <c r="W14" s="178">
        <v>6.0</v>
      </c>
      <c r="X14" s="24" t="s">
        <v>369</v>
      </c>
      <c r="Y14" s="215">
        <f t="shared" si="3"/>
        <v>4</v>
      </c>
    </row>
    <row r="15">
      <c r="A15" s="323"/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W15" s="178">
        <v>7.0</v>
      </c>
      <c r="X15" s="146" t="s">
        <v>329</v>
      </c>
      <c r="Y15" s="215">
        <f t="shared" si="3"/>
        <v>4</v>
      </c>
    </row>
    <row r="16">
      <c r="A16" s="24" t="s">
        <v>265</v>
      </c>
      <c r="B16" s="24" t="s">
        <v>266</v>
      </c>
      <c r="C16" s="36"/>
      <c r="D16" s="323"/>
      <c r="E16" s="323"/>
      <c r="F16" s="323"/>
      <c r="G16" s="323"/>
      <c r="H16" s="323"/>
      <c r="I16" s="323"/>
      <c r="J16" s="112" t="s">
        <v>169</v>
      </c>
      <c r="K16" s="112" t="s">
        <v>62</v>
      </c>
      <c r="L16" s="112" t="s">
        <v>365</v>
      </c>
      <c r="M16" s="323"/>
      <c r="N16" s="323"/>
      <c r="O16" s="323"/>
      <c r="P16" s="325" t="s">
        <v>14</v>
      </c>
      <c r="Q16" s="12"/>
      <c r="R16" s="13"/>
      <c r="S16" s="323"/>
      <c r="T16" s="323"/>
      <c r="U16" s="323"/>
      <c r="W16" s="178">
        <v>8.0</v>
      </c>
      <c r="X16" s="112" t="s">
        <v>169</v>
      </c>
      <c r="Y16" s="215">
        <f t="shared" si="3"/>
        <v>2</v>
      </c>
    </row>
    <row r="17">
      <c r="A17" s="323"/>
      <c r="B17" s="323"/>
      <c r="C17" s="323"/>
      <c r="D17" s="146" t="s">
        <v>329</v>
      </c>
      <c r="E17" s="146" t="s">
        <v>38</v>
      </c>
      <c r="F17" s="146" t="s">
        <v>25</v>
      </c>
      <c r="G17" s="323"/>
      <c r="H17" s="323"/>
      <c r="I17" s="323"/>
      <c r="J17" s="323" t="s">
        <v>363</v>
      </c>
      <c r="K17" s="323" t="s">
        <v>63</v>
      </c>
      <c r="L17" s="112" t="s">
        <v>365</v>
      </c>
      <c r="M17" s="24" t="s">
        <v>369</v>
      </c>
      <c r="N17" s="323" t="s">
        <v>110</v>
      </c>
      <c r="O17" s="326" t="s">
        <v>25</v>
      </c>
      <c r="P17" s="41" t="s">
        <v>88</v>
      </c>
      <c r="Q17" s="41"/>
      <c r="R17" s="112" t="s">
        <v>48</v>
      </c>
      <c r="S17" s="327" t="s">
        <v>370</v>
      </c>
      <c r="T17" s="327" t="s">
        <v>371</v>
      </c>
      <c r="U17" s="327" t="s">
        <v>372</v>
      </c>
      <c r="W17" s="178">
        <v>9.0</v>
      </c>
      <c r="X17" s="323" t="s">
        <v>373</v>
      </c>
      <c r="Y17" s="215">
        <f t="shared" si="3"/>
        <v>2</v>
      </c>
    </row>
    <row r="18">
      <c r="A18" s="324"/>
      <c r="B18" s="323"/>
      <c r="C18" s="323"/>
      <c r="D18" s="328" t="s">
        <v>374</v>
      </c>
      <c r="E18" s="328" t="s">
        <v>28</v>
      </c>
      <c r="F18" s="328" t="s">
        <v>34</v>
      </c>
      <c r="G18" s="323" t="s">
        <v>367</v>
      </c>
      <c r="H18" s="323" t="s">
        <v>60</v>
      </c>
      <c r="I18" s="323" t="s">
        <v>375</v>
      </c>
      <c r="J18" s="323" t="s">
        <v>366</v>
      </c>
      <c r="K18" s="323" t="s">
        <v>57</v>
      </c>
      <c r="L18" s="112" t="s">
        <v>365</v>
      </c>
      <c r="M18" s="24" t="s">
        <v>206</v>
      </c>
      <c r="N18" s="24" t="s">
        <v>322</v>
      </c>
      <c r="O18" s="24" t="s">
        <v>25</v>
      </c>
      <c r="P18" s="329" t="s">
        <v>376</v>
      </c>
      <c r="Q18" s="329"/>
      <c r="R18" s="330" t="s">
        <v>25</v>
      </c>
      <c r="S18" s="323"/>
      <c r="T18" s="323"/>
      <c r="U18" s="323"/>
      <c r="W18" s="178">
        <v>10.0</v>
      </c>
      <c r="X18" s="120" t="s">
        <v>377</v>
      </c>
      <c r="Y18" s="215">
        <f t="shared" si="3"/>
        <v>4</v>
      </c>
    </row>
    <row r="19" ht="15.0" customHeight="1">
      <c r="A19" s="328" t="s">
        <v>378</v>
      </c>
      <c r="B19" s="328" t="s">
        <v>110</v>
      </c>
      <c r="C19" s="328" t="s">
        <v>25</v>
      </c>
      <c r="D19" s="331" t="s">
        <v>379</v>
      </c>
      <c r="E19" s="331" t="s">
        <v>68</v>
      </c>
      <c r="F19" s="331" t="s">
        <v>380</v>
      </c>
      <c r="G19" s="324" t="s">
        <v>381</v>
      </c>
      <c r="H19" s="323"/>
      <c r="I19" s="323"/>
      <c r="J19" s="323" t="s">
        <v>373</v>
      </c>
      <c r="K19" s="323" t="s">
        <v>110</v>
      </c>
      <c r="L19" s="323" t="s">
        <v>25</v>
      </c>
      <c r="M19" s="323"/>
      <c r="N19" s="323"/>
      <c r="O19" s="323"/>
      <c r="P19" s="323"/>
      <c r="Q19" s="323"/>
      <c r="R19" s="323"/>
      <c r="S19" s="323"/>
      <c r="T19" s="323"/>
      <c r="U19" s="323"/>
      <c r="W19" s="178">
        <v>11.0</v>
      </c>
      <c r="X19" s="323" t="s">
        <v>382</v>
      </c>
      <c r="Y19" s="215">
        <f t="shared" si="3"/>
        <v>1</v>
      </c>
    </row>
    <row r="20" ht="15.0" customHeight="1">
      <c r="B20" s="323"/>
      <c r="C20" s="323"/>
      <c r="D20" s="120" t="s">
        <v>377</v>
      </c>
      <c r="E20" s="120" t="s">
        <v>383</v>
      </c>
      <c r="F20" s="120" t="s">
        <v>31</v>
      </c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W20" s="178">
        <v>12.0</v>
      </c>
      <c r="X20" s="24" t="s">
        <v>343</v>
      </c>
      <c r="Y20" s="215">
        <f t="shared" si="3"/>
        <v>0</v>
      </c>
    </row>
    <row r="21" ht="15.75" customHeight="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  <c r="W21" s="178">
        <v>13.0</v>
      </c>
      <c r="X21" s="24"/>
      <c r="Y21" s="215">
        <f t="shared" si="3"/>
        <v>0</v>
      </c>
    </row>
    <row r="22" ht="15.75" customHeight="1">
      <c r="A22" s="16">
        <f>S14+1</f>
        <v>46062</v>
      </c>
      <c r="B22" s="12"/>
      <c r="C22" s="13"/>
      <c r="D22" s="16">
        <f>A22+1</f>
        <v>46063</v>
      </c>
      <c r="E22" s="12"/>
      <c r="F22" s="13"/>
      <c r="G22" s="16">
        <f>D22+1</f>
        <v>46064</v>
      </c>
      <c r="H22" s="12"/>
      <c r="I22" s="13"/>
      <c r="J22" s="16">
        <f>G22+1</f>
        <v>46065</v>
      </c>
      <c r="K22" s="12"/>
      <c r="L22" s="13"/>
      <c r="M22" s="16">
        <f>J22+1</f>
        <v>46066</v>
      </c>
      <c r="N22" s="12"/>
      <c r="O22" s="13"/>
      <c r="P22" s="16">
        <f>M22+1</f>
        <v>46067</v>
      </c>
      <c r="Q22" s="12"/>
      <c r="R22" s="13"/>
      <c r="S22" s="176">
        <f>P22+1</f>
        <v>46068</v>
      </c>
      <c r="T22" s="12"/>
      <c r="U22" s="13"/>
      <c r="W22" s="178">
        <v>14.0</v>
      </c>
      <c r="X22" s="24" t="s">
        <v>206</v>
      </c>
      <c r="Y22" s="215">
        <f t="shared" si="3"/>
        <v>2</v>
      </c>
    </row>
    <row r="23" ht="15.75" customHeight="1">
      <c r="A23" s="323"/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146" t="s">
        <v>173</v>
      </c>
      <c r="Q23" s="24" t="s">
        <v>60</v>
      </c>
      <c r="R23" s="146" t="s">
        <v>31</v>
      </c>
      <c r="S23" s="323"/>
      <c r="T23" s="323"/>
      <c r="U23" s="323"/>
      <c r="W23" s="178">
        <v>15.0</v>
      </c>
      <c r="X23" s="328" t="s">
        <v>384</v>
      </c>
      <c r="Y23" s="215">
        <f t="shared" si="3"/>
        <v>3</v>
      </c>
    </row>
    <row r="24" ht="15.75" customHeight="1">
      <c r="A24" s="323"/>
      <c r="B24" s="323"/>
      <c r="C24" s="323"/>
      <c r="D24" s="323"/>
      <c r="E24" s="323"/>
      <c r="F24" s="323"/>
      <c r="G24" s="323"/>
      <c r="H24" s="323"/>
      <c r="I24" s="323"/>
      <c r="J24" s="323" t="s">
        <v>363</v>
      </c>
      <c r="K24" s="323" t="s">
        <v>63</v>
      </c>
      <c r="L24" s="112" t="s">
        <v>365</v>
      </c>
      <c r="M24" s="67" t="s">
        <v>385</v>
      </c>
      <c r="N24" s="324" t="s">
        <v>70</v>
      </c>
      <c r="O24" s="328" t="s">
        <v>34</v>
      </c>
      <c r="P24" s="24" t="s">
        <v>196</v>
      </c>
      <c r="Q24" s="24" t="s">
        <v>202</v>
      </c>
      <c r="R24" s="24" t="s">
        <v>34</v>
      </c>
      <c r="S24" s="325" t="s">
        <v>14</v>
      </c>
      <c r="T24" s="12"/>
      <c r="U24" s="13"/>
      <c r="W24" s="178">
        <v>16.0</v>
      </c>
      <c r="X24" s="328" t="s">
        <v>386</v>
      </c>
      <c r="Y24" s="215">
        <f t="shared" si="3"/>
        <v>4</v>
      </c>
    </row>
    <row r="25" ht="15.75" customHeight="1">
      <c r="A25" s="324" t="s">
        <v>387</v>
      </c>
      <c r="B25" s="327" t="s">
        <v>371</v>
      </c>
      <c r="C25" s="327" t="s">
        <v>372</v>
      </c>
      <c r="D25" s="323"/>
      <c r="E25" s="323"/>
      <c r="F25" s="323"/>
      <c r="G25" s="328" t="s">
        <v>388</v>
      </c>
      <c r="H25" s="328" t="s">
        <v>28</v>
      </c>
      <c r="I25" s="328" t="s">
        <v>34</v>
      </c>
      <c r="J25" s="323" t="s">
        <v>366</v>
      </c>
      <c r="K25" s="323" t="s">
        <v>57</v>
      </c>
      <c r="L25" s="323" t="s">
        <v>31</v>
      </c>
      <c r="M25" s="24" t="s">
        <v>369</v>
      </c>
      <c r="N25" s="323" t="s">
        <v>110</v>
      </c>
      <c r="O25" s="326" t="s">
        <v>25</v>
      </c>
      <c r="P25" s="24" t="s">
        <v>200</v>
      </c>
      <c r="Q25" s="24"/>
      <c r="R25" s="24" t="s">
        <v>34</v>
      </c>
      <c r="S25" s="169"/>
      <c r="T25" s="169"/>
      <c r="U25" s="169"/>
      <c r="W25" s="178">
        <v>17.0</v>
      </c>
      <c r="X25" s="220"/>
      <c r="Y25" s="215">
        <f t="shared" si="3"/>
        <v>0</v>
      </c>
    </row>
    <row r="26" ht="15.75" customHeight="1">
      <c r="A26" s="323"/>
      <c r="B26" s="323"/>
      <c r="C26" s="323"/>
      <c r="D26" s="323"/>
      <c r="E26" s="323"/>
      <c r="F26" s="323"/>
      <c r="G26" s="323" t="s">
        <v>382</v>
      </c>
      <c r="H26" s="323" t="s">
        <v>110</v>
      </c>
      <c r="I26" s="323" t="s">
        <v>31</v>
      </c>
      <c r="J26" s="323" t="s">
        <v>368</v>
      </c>
      <c r="K26" s="323" t="s">
        <v>110</v>
      </c>
      <c r="L26" s="323" t="s">
        <v>25</v>
      </c>
      <c r="M26" s="112"/>
      <c r="N26" s="112"/>
      <c r="O26" s="112"/>
      <c r="P26" s="24" t="s">
        <v>167</v>
      </c>
      <c r="Q26" s="24"/>
      <c r="R26" s="24" t="s">
        <v>25</v>
      </c>
      <c r="S26" s="323"/>
      <c r="T26" s="323"/>
      <c r="U26" s="323"/>
      <c r="W26" s="178">
        <v>18.0</v>
      </c>
      <c r="X26" s="220"/>
      <c r="Y26" s="215">
        <f t="shared" si="3"/>
        <v>0</v>
      </c>
    </row>
    <row r="27" ht="15.75" customHeight="1">
      <c r="A27" s="323"/>
      <c r="B27" s="323"/>
      <c r="C27" s="323"/>
      <c r="D27" s="331" t="s">
        <v>379</v>
      </c>
      <c r="E27" s="331" t="s">
        <v>68</v>
      </c>
      <c r="F27" s="331" t="s">
        <v>380</v>
      </c>
      <c r="G27" s="323"/>
      <c r="H27" s="323"/>
      <c r="I27" s="323"/>
      <c r="J27" s="323"/>
      <c r="K27" s="323"/>
      <c r="L27" s="323"/>
      <c r="M27" s="24"/>
      <c r="N27" s="24"/>
      <c r="O27" s="24"/>
      <c r="P27" s="128"/>
      <c r="Q27" s="81"/>
      <c r="R27" s="114"/>
      <c r="S27" s="323"/>
      <c r="T27" s="323"/>
      <c r="U27" s="323"/>
      <c r="W27" s="178">
        <v>19.0</v>
      </c>
      <c r="X27" s="220"/>
      <c r="Y27" s="215">
        <f t="shared" si="3"/>
        <v>0</v>
      </c>
    </row>
    <row r="28" ht="15.75" customHeight="1">
      <c r="A28" s="323"/>
      <c r="B28" s="323"/>
      <c r="C28" s="323"/>
      <c r="D28" s="120" t="s">
        <v>377</v>
      </c>
      <c r="E28" s="120" t="s">
        <v>383</v>
      </c>
      <c r="F28" s="120" t="s">
        <v>31</v>
      </c>
      <c r="G28" s="323"/>
      <c r="H28" s="323"/>
      <c r="I28" s="323"/>
      <c r="J28" s="323"/>
      <c r="K28" s="323"/>
      <c r="L28" s="323"/>
      <c r="M28" s="323"/>
      <c r="N28" s="323"/>
      <c r="O28" s="323"/>
      <c r="P28" s="130"/>
      <c r="Q28" s="80"/>
      <c r="R28" s="24"/>
      <c r="S28" s="323"/>
      <c r="T28" s="323"/>
      <c r="U28" s="323"/>
      <c r="W28" s="178">
        <v>20.0</v>
      </c>
      <c r="X28" s="146"/>
      <c r="Y28" s="215">
        <f t="shared" si="3"/>
        <v>0</v>
      </c>
    </row>
    <row r="29" ht="15.75" customHeight="1">
      <c r="A29" s="27" t="s">
        <v>7</v>
      </c>
      <c r="B29" s="12"/>
      <c r="C29" s="13"/>
      <c r="D29" s="27" t="s">
        <v>8</v>
      </c>
      <c r="E29" s="12"/>
      <c r="F29" s="13"/>
      <c r="G29" s="27" t="s">
        <v>9</v>
      </c>
      <c r="H29" s="12"/>
      <c r="I29" s="13"/>
      <c r="J29" s="27" t="s">
        <v>10</v>
      </c>
      <c r="K29" s="12"/>
      <c r="L29" s="13"/>
      <c r="M29" s="27" t="s">
        <v>11</v>
      </c>
      <c r="N29" s="12"/>
      <c r="O29" s="13"/>
      <c r="P29" s="27" t="s">
        <v>12</v>
      </c>
      <c r="Q29" s="12"/>
      <c r="R29" s="13"/>
      <c r="S29" s="29" t="s">
        <v>13</v>
      </c>
      <c r="T29" s="12"/>
      <c r="U29" s="13"/>
      <c r="W29" s="178">
        <v>21.0</v>
      </c>
      <c r="X29" s="179"/>
      <c r="Y29" s="215">
        <f t="shared" si="3"/>
        <v>0</v>
      </c>
    </row>
    <row r="30" ht="15.75" customHeight="1">
      <c r="A30" s="56">
        <f>S22+1</f>
        <v>46069</v>
      </c>
      <c r="B30" s="12"/>
      <c r="C30" s="13"/>
      <c r="D30" s="56">
        <f>A30+1</f>
        <v>46070</v>
      </c>
      <c r="E30" s="12"/>
      <c r="F30" s="13"/>
      <c r="G30" s="56">
        <f>D30+1</f>
        <v>46071</v>
      </c>
      <c r="H30" s="12"/>
      <c r="I30" s="13"/>
      <c r="J30" s="56">
        <f>G30+1</f>
        <v>46072</v>
      </c>
      <c r="K30" s="12"/>
      <c r="L30" s="13"/>
      <c r="M30" s="56">
        <f>J30+1</f>
        <v>46073</v>
      </c>
      <c r="N30" s="12"/>
      <c r="O30" s="13"/>
      <c r="P30" s="56">
        <f>M30+1</f>
        <v>46074</v>
      </c>
      <c r="Q30" s="12"/>
      <c r="R30" s="13"/>
      <c r="S30" s="57">
        <f>P30+1</f>
        <v>46075</v>
      </c>
      <c r="T30" s="12"/>
      <c r="U30" s="13"/>
      <c r="W30" s="178">
        <v>22.0</v>
      </c>
      <c r="X30" s="24"/>
      <c r="Y30" s="215"/>
    </row>
    <row r="31" ht="15.75" customHeight="1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W31" s="178">
        <v>23.0</v>
      </c>
      <c r="X31" s="220"/>
      <c r="Y31" s="215"/>
    </row>
    <row r="32" ht="15.75" customHeight="1">
      <c r="A32" s="24" t="s">
        <v>265</v>
      </c>
      <c r="B32" s="24" t="s">
        <v>266</v>
      </c>
      <c r="C32" s="36"/>
      <c r="D32" s="323"/>
      <c r="E32" s="323"/>
      <c r="F32" s="323"/>
      <c r="G32" s="323" t="s">
        <v>367</v>
      </c>
      <c r="H32" s="323" t="s">
        <v>60</v>
      </c>
      <c r="I32" s="323" t="s">
        <v>375</v>
      </c>
      <c r="J32" s="112" t="s">
        <v>169</v>
      </c>
      <c r="K32" s="112" t="s">
        <v>62</v>
      </c>
      <c r="L32" s="112" t="s">
        <v>365</v>
      </c>
      <c r="M32" s="323" t="s">
        <v>366</v>
      </c>
      <c r="N32" s="323" t="s">
        <v>63</v>
      </c>
      <c r="O32" s="112" t="s">
        <v>365</v>
      </c>
      <c r="P32" s="112" t="s">
        <v>122</v>
      </c>
      <c r="Q32" s="41" t="s">
        <v>133</v>
      </c>
      <c r="R32" s="41" t="s">
        <v>31</v>
      </c>
      <c r="S32" s="323"/>
      <c r="T32" s="323"/>
      <c r="U32" s="323"/>
      <c r="W32" s="178">
        <v>24.0</v>
      </c>
      <c r="X32" s="220"/>
      <c r="Y32" s="215"/>
    </row>
    <row r="33" ht="15.75" customHeight="1">
      <c r="A33" s="323"/>
      <c r="B33" s="323"/>
      <c r="C33" s="323"/>
      <c r="D33" s="146" t="s">
        <v>329</v>
      </c>
      <c r="E33" s="146" t="s">
        <v>38</v>
      </c>
      <c r="F33" s="146" t="s">
        <v>25</v>
      </c>
      <c r="G33" s="279"/>
      <c r="H33" s="279"/>
      <c r="I33" s="279"/>
      <c r="J33" s="323" t="s">
        <v>363</v>
      </c>
      <c r="K33" s="332" t="s">
        <v>63</v>
      </c>
      <c r="L33" s="112" t="s">
        <v>365</v>
      </c>
      <c r="M33" s="24" t="s">
        <v>369</v>
      </c>
      <c r="N33" s="323" t="s">
        <v>110</v>
      </c>
      <c r="O33" s="326" t="s">
        <v>25</v>
      </c>
      <c r="P33" s="49" t="s">
        <v>376</v>
      </c>
      <c r="Q33" s="49" t="s">
        <v>389</v>
      </c>
      <c r="R33" s="277" t="s">
        <v>25</v>
      </c>
      <c r="S33" s="325" t="s">
        <v>14</v>
      </c>
      <c r="T33" s="12"/>
      <c r="U33" s="13"/>
      <c r="W33" s="178">
        <v>25.0</v>
      </c>
      <c r="X33" s="146"/>
      <c r="Y33" s="215"/>
    </row>
    <row r="34" ht="15.0" customHeight="1">
      <c r="A34" s="323"/>
      <c r="B34" s="323"/>
      <c r="C34" s="323"/>
      <c r="D34" s="328" t="s">
        <v>390</v>
      </c>
      <c r="E34" s="328" t="s">
        <v>28</v>
      </c>
      <c r="F34" s="328" t="s">
        <v>34</v>
      </c>
      <c r="G34" s="49"/>
      <c r="H34" s="49"/>
      <c r="I34" s="277"/>
      <c r="J34" s="324" t="s">
        <v>391</v>
      </c>
      <c r="K34" s="323" t="s">
        <v>60</v>
      </c>
      <c r="L34" s="112" t="s">
        <v>365</v>
      </c>
      <c r="M34" s="24" t="s">
        <v>206</v>
      </c>
      <c r="N34" s="24" t="s">
        <v>322</v>
      </c>
      <c r="O34" s="24" t="s">
        <v>25</v>
      </c>
      <c r="P34" s="323"/>
      <c r="Q34" s="323"/>
      <c r="R34" s="323"/>
      <c r="S34" s="323"/>
      <c r="T34" s="323"/>
      <c r="U34" s="323"/>
      <c r="W34" s="178">
        <v>26.0</v>
      </c>
      <c r="X34" s="93"/>
      <c r="Y34" s="215"/>
    </row>
    <row r="35" ht="15.75" customHeight="1">
      <c r="A35" s="328" t="s">
        <v>392</v>
      </c>
      <c r="B35" s="328" t="s">
        <v>110</v>
      </c>
      <c r="C35" s="328" t="s">
        <v>25</v>
      </c>
      <c r="D35" s="331" t="s">
        <v>379</v>
      </c>
      <c r="E35" s="331" t="s">
        <v>68</v>
      </c>
      <c r="F35" s="331" t="s">
        <v>380</v>
      </c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W35" s="178">
        <v>27.0</v>
      </c>
      <c r="X35" s="24"/>
      <c r="Y35" s="215"/>
    </row>
    <row r="36" ht="14.25" customHeight="1">
      <c r="A36" s="323"/>
      <c r="B36" s="323"/>
      <c r="C36" s="323"/>
      <c r="D36" s="120" t="s">
        <v>377</v>
      </c>
      <c r="E36" s="120" t="s">
        <v>383</v>
      </c>
      <c r="F36" s="120" t="s">
        <v>31</v>
      </c>
      <c r="G36" s="323"/>
      <c r="H36" s="323"/>
      <c r="I36" s="323"/>
      <c r="J36" s="323" t="s">
        <v>373</v>
      </c>
      <c r="K36" s="323" t="s">
        <v>110</v>
      </c>
      <c r="L36" s="323" t="s">
        <v>25</v>
      </c>
      <c r="M36" s="323"/>
      <c r="N36" s="323"/>
      <c r="O36" s="323"/>
      <c r="P36" s="323"/>
      <c r="Q36" s="323"/>
      <c r="R36" s="323"/>
      <c r="S36" s="323"/>
      <c r="T36" s="323"/>
      <c r="U36" s="323"/>
      <c r="W36" s="178">
        <v>28.0</v>
      </c>
      <c r="X36" s="146"/>
      <c r="Y36" s="215"/>
    </row>
    <row r="37" ht="15.75" customHeight="1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 t="s">
        <v>13</v>
      </c>
      <c r="T37" s="12"/>
      <c r="U37" s="13"/>
      <c r="W37" s="178">
        <v>29.0</v>
      </c>
      <c r="X37" s="24"/>
      <c r="Y37" s="215"/>
    </row>
    <row r="38" ht="15.75" customHeight="1">
      <c r="A38" s="16">
        <f>S30+1</f>
        <v>46076</v>
      </c>
      <c r="B38" s="12"/>
      <c r="C38" s="13"/>
      <c r="D38" s="16">
        <f>A38+1</f>
        <v>46077</v>
      </c>
      <c r="E38" s="12"/>
      <c r="F38" s="13"/>
      <c r="G38" s="16">
        <f>D38+1</f>
        <v>46078</v>
      </c>
      <c r="H38" s="12"/>
      <c r="I38" s="13"/>
      <c r="J38" s="16">
        <f>G38+1</f>
        <v>46079</v>
      </c>
      <c r="K38" s="12"/>
      <c r="L38" s="13"/>
      <c r="M38" s="16">
        <f>J38+1</f>
        <v>46080</v>
      </c>
      <c r="N38" s="12"/>
      <c r="O38" s="13"/>
      <c r="P38" s="16">
        <f>M38+1</f>
        <v>46081</v>
      </c>
      <c r="Q38" s="12"/>
      <c r="R38" s="13"/>
      <c r="S38" s="176"/>
      <c r="T38" s="12"/>
      <c r="U38" s="13"/>
      <c r="Y38" s="215"/>
    </row>
    <row r="39" ht="15.75" customHeight="1">
      <c r="A39" s="323"/>
      <c r="B39" s="323"/>
      <c r="C39" s="323"/>
      <c r="D39" s="323"/>
      <c r="E39" s="323"/>
      <c r="F39" s="323"/>
      <c r="G39" s="323"/>
      <c r="H39" s="323"/>
      <c r="I39" s="323"/>
      <c r="M39" s="323"/>
      <c r="N39" s="323"/>
      <c r="O39" s="323"/>
      <c r="P39" s="323"/>
      <c r="Q39" s="323"/>
      <c r="R39" s="323"/>
      <c r="S39" s="323"/>
      <c r="T39" s="323"/>
      <c r="U39" s="323"/>
      <c r="Y39" s="102">
        <f>SUM(Y9:Y37)</f>
        <v>38</v>
      </c>
    </row>
    <row r="40" ht="15.75" customHeight="1">
      <c r="A40" s="24" t="s">
        <v>265</v>
      </c>
      <c r="B40" s="24" t="s">
        <v>266</v>
      </c>
      <c r="C40" s="36"/>
      <c r="D40" s="146" t="s">
        <v>329</v>
      </c>
      <c r="E40" s="146" t="s">
        <v>38</v>
      </c>
      <c r="F40" s="146" t="s">
        <v>25</v>
      </c>
      <c r="G40" s="67" t="s">
        <v>393</v>
      </c>
      <c r="H40" s="67" t="s">
        <v>62</v>
      </c>
      <c r="I40" s="333" t="s">
        <v>31</v>
      </c>
      <c r="J40" s="237" t="s">
        <v>329</v>
      </c>
      <c r="K40" s="237" t="s">
        <v>38</v>
      </c>
      <c r="L40" s="237" t="s">
        <v>25</v>
      </c>
      <c r="M40" s="334" t="s">
        <v>366</v>
      </c>
      <c r="N40" s="335" t="s">
        <v>28</v>
      </c>
      <c r="O40" s="334" t="s">
        <v>31</v>
      </c>
      <c r="P40" s="124" t="s">
        <v>362</v>
      </c>
      <c r="Q40" s="124" t="s">
        <v>118</v>
      </c>
      <c r="R40" s="44" t="s">
        <v>31</v>
      </c>
      <c r="S40" s="325" t="s">
        <v>14</v>
      </c>
      <c r="T40" s="12"/>
      <c r="U40" s="13"/>
    </row>
    <row r="41" ht="15.75" customHeight="1">
      <c r="A41" s="323"/>
      <c r="B41" s="323"/>
      <c r="C41" s="323"/>
      <c r="D41" s="328" t="s">
        <v>394</v>
      </c>
      <c r="E41" s="328" t="s">
        <v>28</v>
      </c>
      <c r="F41" s="328" t="s">
        <v>34</v>
      </c>
      <c r="G41" s="323" t="s">
        <v>366</v>
      </c>
      <c r="H41" s="323" t="s">
        <v>57</v>
      </c>
      <c r="I41" s="323" t="s">
        <v>31</v>
      </c>
      <c r="J41" s="67" t="s">
        <v>395</v>
      </c>
      <c r="K41" s="67" t="s">
        <v>60</v>
      </c>
      <c r="L41" s="333" t="s">
        <v>25</v>
      </c>
      <c r="M41" s="112" t="s">
        <v>279</v>
      </c>
      <c r="N41" s="277" t="s">
        <v>280</v>
      </c>
      <c r="O41" s="112" t="s">
        <v>25</v>
      </c>
      <c r="P41" s="112"/>
      <c r="Q41" s="41"/>
      <c r="R41" s="112"/>
      <c r="S41" s="323"/>
      <c r="T41" s="323"/>
      <c r="U41" s="323"/>
    </row>
    <row r="42" ht="15.75" customHeight="1">
      <c r="A42" s="328" t="s">
        <v>396</v>
      </c>
      <c r="B42" s="328" t="s">
        <v>110</v>
      </c>
      <c r="C42" s="328" t="s">
        <v>25</v>
      </c>
      <c r="D42" s="331" t="s">
        <v>379</v>
      </c>
      <c r="E42" s="331" t="s">
        <v>68</v>
      </c>
      <c r="F42" s="331" t="s">
        <v>380</v>
      </c>
      <c r="G42" s="323" t="s">
        <v>368</v>
      </c>
      <c r="H42" s="323" t="s">
        <v>110</v>
      </c>
      <c r="I42" s="323" t="s">
        <v>25</v>
      </c>
      <c r="J42" s="67" t="s">
        <v>385</v>
      </c>
      <c r="K42" s="324" t="s">
        <v>70</v>
      </c>
      <c r="L42" s="328" t="s">
        <v>34</v>
      </c>
      <c r="M42" s="331" t="s">
        <v>397</v>
      </c>
      <c r="N42" s="331" t="s">
        <v>30</v>
      </c>
      <c r="O42" s="331" t="s">
        <v>398</v>
      </c>
      <c r="P42" s="49" t="s">
        <v>376</v>
      </c>
      <c r="Q42" s="49" t="s">
        <v>129</v>
      </c>
      <c r="R42" s="277" t="s">
        <v>25</v>
      </c>
      <c r="S42" s="323"/>
      <c r="T42" s="323"/>
      <c r="U42" s="323"/>
    </row>
    <row r="43" ht="15.75" customHeight="1">
      <c r="A43" s="323"/>
      <c r="B43" s="323"/>
      <c r="C43" s="323"/>
      <c r="D43" s="112"/>
      <c r="E43" s="112"/>
      <c r="F43" s="112"/>
      <c r="G43" s="112"/>
      <c r="H43" s="112"/>
      <c r="I43" s="112"/>
      <c r="J43" s="24" t="s">
        <v>369</v>
      </c>
      <c r="K43" s="323" t="s">
        <v>110</v>
      </c>
      <c r="L43" s="326" t="s">
        <v>25</v>
      </c>
      <c r="M43" s="331" t="s">
        <v>399</v>
      </c>
      <c r="N43" s="331" t="s">
        <v>110</v>
      </c>
      <c r="O43" s="331" t="s">
        <v>398</v>
      </c>
      <c r="P43" s="323"/>
      <c r="Q43" s="323"/>
      <c r="R43" s="323"/>
      <c r="S43" s="323"/>
      <c r="T43" s="323"/>
      <c r="U43" s="323"/>
    </row>
    <row r="44" ht="15.75" customHeight="1">
      <c r="A44" s="323"/>
      <c r="B44" s="323"/>
      <c r="C44" s="323"/>
      <c r="D44" s="323"/>
      <c r="E44" s="323"/>
      <c r="F44" s="323"/>
      <c r="G44" s="112"/>
      <c r="H44" s="112"/>
      <c r="I44" s="112"/>
      <c r="J44" s="112" t="s">
        <v>377</v>
      </c>
      <c r="K44" s="112" t="s">
        <v>383</v>
      </c>
      <c r="L44" s="112" t="s">
        <v>31</v>
      </c>
      <c r="M44" s="323"/>
      <c r="N44" s="323"/>
      <c r="O44" s="323"/>
      <c r="P44" s="323"/>
      <c r="Q44" s="323"/>
      <c r="R44" s="323"/>
      <c r="S44" s="323"/>
      <c r="T44" s="323"/>
      <c r="U44" s="323"/>
    </row>
    <row r="45" ht="15.75" customHeight="1">
      <c r="A45" s="27"/>
      <c r="B45" s="12"/>
      <c r="C45" s="13"/>
      <c r="D45" s="27"/>
      <c r="E45" s="12"/>
      <c r="F45" s="13"/>
      <c r="G45" s="27"/>
      <c r="H45" s="12"/>
      <c r="I45" s="13"/>
      <c r="J45" s="27"/>
      <c r="K45" s="12"/>
      <c r="L45" s="13"/>
      <c r="M45" s="27"/>
      <c r="N45" s="12"/>
      <c r="O45" s="13"/>
      <c r="P45" s="27"/>
      <c r="Q45" s="12"/>
      <c r="R45" s="13"/>
      <c r="S45" s="336"/>
      <c r="T45" s="12"/>
      <c r="U45" s="13"/>
    </row>
    <row r="46" ht="15.75" customHeight="1">
      <c r="A46" s="56"/>
      <c r="B46" s="12"/>
      <c r="C46" s="13"/>
      <c r="D46" s="56"/>
      <c r="E46" s="12"/>
      <c r="F46" s="13"/>
      <c r="G46" s="56"/>
      <c r="H46" s="12"/>
      <c r="I46" s="13"/>
      <c r="J46" s="56"/>
      <c r="K46" s="12"/>
      <c r="L46" s="13"/>
      <c r="M46" s="56"/>
      <c r="N46" s="12"/>
      <c r="O46" s="13"/>
      <c r="P46" s="56"/>
      <c r="Q46" s="12"/>
      <c r="R46" s="13"/>
      <c r="S46" s="337"/>
      <c r="T46" s="12"/>
      <c r="U46" s="13"/>
    </row>
    <row r="47" ht="15.75" customHeight="1">
      <c r="A47" s="169"/>
      <c r="B47" s="169"/>
      <c r="C47" s="169"/>
      <c r="D47" s="148"/>
      <c r="E47" s="148"/>
      <c r="F47" s="148"/>
      <c r="G47" s="338"/>
      <c r="H47" s="339"/>
      <c r="I47" s="339"/>
      <c r="J47" s="340"/>
      <c r="K47" s="340"/>
      <c r="L47" s="340"/>
      <c r="M47" s="323"/>
      <c r="N47" s="323"/>
      <c r="O47" s="323"/>
      <c r="P47" s="323"/>
      <c r="Q47" s="323"/>
      <c r="R47" s="323"/>
      <c r="S47" s="340"/>
      <c r="T47" s="340"/>
      <c r="U47" s="340"/>
    </row>
    <row r="48" ht="15.75" customHeight="1">
      <c r="A48" s="148"/>
      <c r="B48" s="148"/>
      <c r="C48" s="148"/>
      <c r="D48" s="199"/>
      <c r="E48" s="199"/>
      <c r="F48" s="199"/>
      <c r="G48" s="323"/>
      <c r="H48" s="323"/>
      <c r="I48" s="323"/>
      <c r="J48" s="340"/>
      <c r="K48" s="340"/>
      <c r="L48" s="340"/>
      <c r="M48" s="341" t="s">
        <v>400</v>
      </c>
      <c r="N48" s="342"/>
      <c r="O48" s="342"/>
      <c r="P48" s="323"/>
      <c r="Q48" s="323"/>
      <c r="R48" s="323"/>
      <c r="S48" s="323"/>
      <c r="T48" s="323"/>
      <c r="U48" s="323"/>
    </row>
    <row r="49" ht="15.75" customHeight="1">
      <c r="A49" s="148"/>
      <c r="B49" s="148"/>
      <c r="C49" s="148"/>
      <c r="D49" s="148"/>
      <c r="E49" s="148"/>
      <c r="F49" s="148"/>
      <c r="G49" s="323"/>
      <c r="H49" s="323"/>
      <c r="I49" s="323"/>
      <c r="J49" s="323"/>
      <c r="K49" s="323"/>
      <c r="L49" s="323"/>
      <c r="M49" s="343" t="s">
        <v>401</v>
      </c>
      <c r="N49" s="13"/>
      <c r="O49" s="323"/>
      <c r="P49" s="323"/>
      <c r="Q49" s="323"/>
      <c r="R49" s="323"/>
      <c r="S49" s="323"/>
      <c r="T49" s="323"/>
      <c r="U49" s="323"/>
    </row>
    <row r="50" ht="15.75" customHeight="1">
      <c r="A50" s="323"/>
      <c r="B50" s="323"/>
      <c r="C50" s="323"/>
      <c r="D50" s="148"/>
      <c r="E50" s="148"/>
      <c r="F50" s="148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40"/>
      <c r="T50" s="340"/>
      <c r="U50" s="340"/>
    </row>
    <row r="51" ht="15.75" customHeight="1">
      <c r="A51" s="169"/>
      <c r="B51" s="169"/>
      <c r="C51" s="169"/>
      <c r="D51" s="198"/>
      <c r="E51" s="198"/>
      <c r="F51" s="198"/>
      <c r="G51" s="323"/>
      <c r="H51" s="323"/>
      <c r="I51" s="340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</row>
    <row r="52" ht="15.75" customHeight="1">
      <c r="A52" s="340"/>
      <c r="B52" s="340"/>
      <c r="C52" s="340"/>
      <c r="D52" s="323"/>
      <c r="E52" s="323"/>
      <c r="F52" s="323"/>
      <c r="G52" s="340"/>
      <c r="H52" s="340"/>
      <c r="I52" s="340"/>
      <c r="J52" s="323"/>
      <c r="K52" s="323"/>
      <c r="L52" s="323"/>
      <c r="M52" s="340"/>
      <c r="N52" s="340"/>
      <c r="O52" s="340"/>
      <c r="P52" s="323"/>
      <c r="Q52" s="323"/>
      <c r="R52" s="323"/>
      <c r="S52" s="340"/>
      <c r="T52" s="340"/>
      <c r="U52" s="340"/>
    </row>
    <row r="53" ht="15.75" customHeight="1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102" t="s">
        <v>69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4:U24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S33:U33"/>
    <mergeCell ref="A30:C30"/>
    <mergeCell ref="D37:F37"/>
    <mergeCell ref="G37:I37"/>
    <mergeCell ref="J37:L37"/>
    <mergeCell ref="M37:O37"/>
    <mergeCell ref="P37:R37"/>
    <mergeCell ref="S37:U37"/>
    <mergeCell ref="S38:U38"/>
    <mergeCell ref="S40:U40"/>
    <mergeCell ref="A37:C37"/>
    <mergeCell ref="A38:C38"/>
    <mergeCell ref="D38:F38"/>
    <mergeCell ref="G38:I38"/>
    <mergeCell ref="J38:L38"/>
    <mergeCell ref="M38:O38"/>
    <mergeCell ref="P38:R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P16:R16"/>
    <mergeCell ref="A46:C46"/>
    <mergeCell ref="D46:F46"/>
    <mergeCell ref="G46:I46"/>
    <mergeCell ref="J46:L46"/>
    <mergeCell ref="M46:O46"/>
    <mergeCell ref="P46:R46"/>
    <mergeCell ref="S46:U46"/>
    <mergeCell ref="M49:N49"/>
    <mergeCell ref="A45:C45"/>
    <mergeCell ref="D45:F45"/>
    <mergeCell ref="G45:I45"/>
    <mergeCell ref="J45:L45"/>
    <mergeCell ref="M45:O45"/>
    <mergeCell ref="P45:R45"/>
    <mergeCell ref="S45:U45"/>
  </mergeCells>
  <printOptions/>
  <pageMargins bottom="0.15" footer="0.0" header="0.0" left="0.46" right="0.34" top="0.28"/>
  <pageSetup fitToHeight="0" paperSize="11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2.57"/>
    <col customWidth="1" min="3" max="3" width="7.86"/>
    <col customWidth="1" min="4" max="4" width="16.0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9.57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90" t="s">
        <v>402</v>
      </c>
      <c r="C1" s="344" t="s">
        <v>403</v>
      </c>
      <c r="F1" s="345"/>
      <c r="G1" s="346" t="s">
        <v>2</v>
      </c>
      <c r="Q1" s="345"/>
      <c r="R1" s="53"/>
      <c r="S1" s="53"/>
      <c r="T1" s="53"/>
      <c r="U1" s="53"/>
      <c r="V1" s="53"/>
      <c r="W1" s="53"/>
      <c r="X1" s="53"/>
      <c r="Y1" s="53"/>
      <c r="Z1" s="53"/>
    </row>
    <row r="2">
      <c r="A2" s="90" t="s">
        <v>3</v>
      </c>
      <c r="C2" s="347" t="s">
        <v>404</v>
      </c>
      <c r="F2" s="345"/>
      <c r="Q2" s="345"/>
      <c r="R2" s="53"/>
      <c r="S2" s="53"/>
      <c r="T2" s="53"/>
      <c r="U2" s="53"/>
      <c r="V2" s="53"/>
      <c r="W2" s="53"/>
      <c r="X2" s="53"/>
      <c r="Y2" s="53"/>
      <c r="Z2" s="53"/>
    </row>
    <row r="3">
      <c r="A3" s="90" t="s">
        <v>5</v>
      </c>
      <c r="C3" s="344" t="s">
        <v>79</v>
      </c>
      <c r="F3" s="345"/>
      <c r="Q3" s="345"/>
      <c r="R3" s="53"/>
      <c r="S3" s="53"/>
      <c r="T3" s="53"/>
      <c r="U3" s="53"/>
      <c r="V3" s="53"/>
      <c r="W3" s="53"/>
      <c r="X3" s="53"/>
      <c r="Y3" s="53"/>
      <c r="Z3" s="53"/>
    </row>
    <row r="4">
      <c r="A4" s="90" t="s">
        <v>6</v>
      </c>
      <c r="C4" s="344" t="s">
        <v>79</v>
      </c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53"/>
      <c r="S4" s="53"/>
      <c r="T4" s="53"/>
      <c r="U4" s="53"/>
      <c r="V4" s="53"/>
      <c r="W4" s="53"/>
      <c r="X4" s="53"/>
      <c r="Y4" s="53"/>
      <c r="Z4" s="53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  <c r="V5" s="53"/>
      <c r="W5" s="53"/>
      <c r="X5" s="53"/>
      <c r="Y5" s="53"/>
      <c r="Z5" s="53"/>
    </row>
    <row r="6">
      <c r="A6" s="348"/>
      <c r="B6" s="12"/>
      <c r="C6" s="13"/>
      <c r="D6" s="348"/>
      <c r="E6" s="12"/>
      <c r="F6" s="13"/>
      <c r="G6" s="348"/>
      <c r="H6" s="12"/>
      <c r="I6" s="13"/>
      <c r="J6" s="16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  <c r="V6" s="53"/>
      <c r="W6" s="53"/>
      <c r="X6" s="53"/>
      <c r="Y6" s="53"/>
      <c r="Z6" s="53"/>
    </row>
    <row r="7">
      <c r="A7" s="183"/>
      <c r="B7" s="183"/>
      <c r="C7" s="183"/>
      <c r="D7" s="183"/>
      <c r="E7" s="183"/>
      <c r="F7" s="183"/>
      <c r="G7" s="183"/>
      <c r="H7" s="183"/>
      <c r="I7" s="183"/>
      <c r="J7" s="42"/>
      <c r="K7" s="183"/>
      <c r="L7" s="183"/>
      <c r="M7" s="183"/>
      <c r="N7" s="183"/>
      <c r="O7" s="183"/>
      <c r="P7" s="183"/>
      <c r="Q7" s="183"/>
      <c r="R7" s="183"/>
      <c r="S7" s="36"/>
      <c r="T7" s="36"/>
      <c r="U7" s="36"/>
      <c r="V7" s="53"/>
      <c r="W7" s="53"/>
      <c r="X7" s="53"/>
      <c r="Y7" s="53"/>
      <c r="Z7" s="53"/>
    </row>
    <row r="8">
      <c r="A8" s="36"/>
      <c r="B8" s="36"/>
      <c r="C8" s="36"/>
      <c r="D8" s="36"/>
      <c r="E8" s="36"/>
      <c r="F8" s="36"/>
      <c r="G8" s="36"/>
      <c r="H8" s="36"/>
      <c r="I8" s="36"/>
      <c r="J8" s="42"/>
      <c r="K8" s="183"/>
      <c r="L8" s="183"/>
      <c r="M8" s="183"/>
      <c r="N8" s="183"/>
      <c r="O8" s="183"/>
      <c r="P8" s="36"/>
      <c r="Q8" s="36"/>
      <c r="R8" s="36"/>
      <c r="S8" s="42"/>
      <c r="T8" s="42"/>
      <c r="U8" s="42"/>
      <c r="V8" s="53"/>
      <c r="W8" s="53"/>
      <c r="X8" s="53"/>
      <c r="Y8" s="53"/>
      <c r="Z8" s="53"/>
    </row>
    <row r="9">
      <c r="A9" s="183"/>
      <c r="B9" s="183"/>
      <c r="C9" s="183"/>
      <c r="D9" s="42"/>
      <c r="E9" s="42"/>
      <c r="F9" s="36"/>
      <c r="G9" s="183"/>
      <c r="H9" s="183"/>
      <c r="I9" s="183"/>
      <c r="J9" s="349"/>
      <c r="K9" s="350"/>
      <c r="L9" s="351"/>
      <c r="M9" s="113"/>
      <c r="N9" s="113"/>
      <c r="O9" s="113"/>
      <c r="P9" s="24"/>
      <c r="Q9" s="24"/>
      <c r="R9" s="113"/>
      <c r="S9" s="124" t="s">
        <v>405</v>
      </c>
      <c r="T9" s="124" t="s">
        <v>406</v>
      </c>
      <c r="U9" s="124" t="s">
        <v>48</v>
      </c>
      <c r="V9" s="53"/>
      <c r="W9" s="173" t="s">
        <v>15</v>
      </c>
      <c r="X9" s="352" t="s">
        <v>141</v>
      </c>
      <c r="Y9" s="213" t="s">
        <v>17</v>
      </c>
      <c r="Z9" s="53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183"/>
      <c r="M10" s="124"/>
      <c r="N10" s="124"/>
      <c r="O10" s="124"/>
      <c r="P10" s="42"/>
      <c r="Q10" s="36"/>
      <c r="R10" s="42"/>
      <c r="S10" s="112" t="s">
        <v>148</v>
      </c>
      <c r="T10" s="112" t="s">
        <v>149</v>
      </c>
      <c r="U10" s="277" t="s">
        <v>40</v>
      </c>
      <c r="V10" s="53"/>
      <c r="W10" s="178">
        <v>1.0</v>
      </c>
      <c r="X10" s="353" t="s">
        <v>93</v>
      </c>
      <c r="Y10" s="354">
        <f t="shared" ref="Y10:Y38" si="1">COUNTIF($A$5:$U$51,X10)</f>
        <v>0</v>
      </c>
      <c r="Z10" s="53"/>
    </row>
    <row r="11">
      <c r="A11" s="42"/>
      <c r="B11" s="42"/>
      <c r="C11" s="36"/>
      <c r="D11" s="42"/>
      <c r="E11" s="42"/>
      <c r="F11" s="36"/>
      <c r="G11" s="42"/>
      <c r="H11" s="42"/>
      <c r="I11" s="36"/>
      <c r="J11" s="36"/>
      <c r="K11" s="36"/>
      <c r="L11" s="36"/>
      <c r="M11" s="42"/>
      <c r="N11" s="42"/>
      <c r="O11" s="42"/>
      <c r="P11" s="119"/>
      <c r="Q11" s="119"/>
      <c r="R11" s="119"/>
      <c r="S11" s="183"/>
      <c r="T11" s="183"/>
      <c r="U11" s="183"/>
      <c r="V11" s="53"/>
      <c r="W11" s="178">
        <v>2.0</v>
      </c>
      <c r="X11" s="355"/>
      <c r="Y11" s="354">
        <f t="shared" si="1"/>
        <v>0</v>
      </c>
      <c r="Z11" s="53"/>
    </row>
    <row r="12">
      <c r="A12" s="183"/>
      <c r="B12" s="183"/>
      <c r="C12" s="183"/>
      <c r="D12" s="183"/>
      <c r="E12" s="183"/>
      <c r="F12" s="183"/>
      <c r="G12" s="183"/>
      <c r="H12" s="183"/>
      <c r="I12" s="183"/>
      <c r="J12" s="42"/>
      <c r="K12" s="183"/>
      <c r="L12" s="183"/>
      <c r="M12" s="42"/>
      <c r="N12" s="42"/>
      <c r="O12" s="42"/>
      <c r="P12" s="119"/>
      <c r="Q12" s="119"/>
      <c r="R12" s="119"/>
      <c r="S12" s="183"/>
      <c r="T12" s="183"/>
      <c r="U12" s="183"/>
      <c r="V12" s="53"/>
      <c r="W12" s="178">
        <v>3.0</v>
      </c>
      <c r="X12" s="353" t="s">
        <v>330</v>
      </c>
      <c r="Y12" s="354">
        <f t="shared" si="1"/>
        <v>0</v>
      </c>
      <c r="Z12" s="53"/>
    </row>
    <row r="13">
      <c r="A13" s="356" t="s">
        <v>7</v>
      </c>
      <c r="B13" s="12"/>
      <c r="C13" s="13"/>
      <c r="D13" s="356" t="s">
        <v>8</v>
      </c>
      <c r="E13" s="12"/>
      <c r="F13" s="13"/>
      <c r="G13" s="356" t="s">
        <v>9</v>
      </c>
      <c r="H13" s="12"/>
      <c r="I13" s="13"/>
      <c r="J13" s="356" t="s">
        <v>10</v>
      </c>
      <c r="K13" s="12"/>
      <c r="L13" s="13"/>
      <c r="M13" s="356" t="s">
        <v>81</v>
      </c>
      <c r="N13" s="12"/>
      <c r="O13" s="13"/>
      <c r="P13" s="356" t="s">
        <v>82</v>
      </c>
      <c r="Q13" s="12"/>
      <c r="R13" s="13"/>
      <c r="S13" s="357" t="s">
        <v>13</v>
      </c>
      <c r="T13" s="12"/>
      <c r="U13" s="13"/>
      <c r="V13" s="53"/>
      <c r="W13" s="178">
        <v>4.0</v>
      </c>
      <c r="X13" s="353" t="s">
        <v>407</v>
      </c>
      <c r="Y13" s="354">
        <f t="shared" si="1"/>
        <v>0</v>
      </c>
      <c r="Z13" s="53"/>
    </row>
    <row r="14">
      <c r="A14" s="358">
        <f>S6+1</f>
        <v>46055</v>
      </c>
      <c r="B14" s="12"/>
      <c r="C14" s="13"/>
      <c r="D14" s="358">
        <f>A14+1</f>
        <v>46056</v>
      </c>
      <c r="E14" s="12"/>
      <c r="F14" s="13"/>
      <c r="G14" s="358">
        <f>D14+1</f>
        <v>46057</v>
      </c>
      <c r="H14" s="12"/>
      <c r="I14" s="13"/>
      <c r="J14" s="358">
        <f>G14+1</f>
        <v>46058</v>
      </c>
      <c r="K14" s="12"/>
      <c r="L14" s="13"/>
      <c r="M14" s="358">
        <f>J14+1</f>
        <v>46059</v>
      </c>
      <c r="N14" s="12"/>
      <c r="O14" s="13"/>
      <c r="P14" s="358">
        <f>M14+1</f>
        <v>46060</v>
      </c>
      <c r="Q14" s="12"/>
      <c r="R14" s="13"/>
      <c r="S14" s="359">
        <f>P14+1</f>
        <v>46061</v>
      </c>
      <c r="T14" s="12"/>
      <c r="U14" s="13"/>
      <c r="V14" s="53"/>
      <c r="W14" s="178">
        <v>5.0</v>
      </c>
      <c r="X14" s="353" t="s">
        <v>148</v>
      </c>
      <c r="Y14" s="354">
        <f t="shared" si="1"/>
        <v>2</v>
      </c>
      <c r="Z14" s="53"/>
    </row>
    <row r="15">
      <c r="A15" s="36"/>
      <c r="B15" s="36"/>
      <c r="C15" s="36"/>
      <c r="D15" s="42"/>
      <c r="E15" s="42"/>
      <c r="F15" s="42"/>
      <c r="G15" s="24"/>
      <c r="H15" s="24"/>
      <c r="I15" s="24"/>
      <c r="J15" s="24"/>
      <c r="K15" s="124"/>
      <c r="L15" s="24"/>
      <c r="M15" s="24"/>
      <c r="N15" s="44"/>
      <c r="O15" s="24"/>
      <c r="P15" s="42"/>
      <c r="Q15" s="42"/>
      <c r="R15" s="42"/>
      <c r="S15" s="124" t="s">
        <v>405</v>
      </c>
      <c r="T15" s="124" t="s">
        <v>406</v>
      </c>
      <c r="U15" s="124" t="s">
        <v>48</v>
      </c>
      <c r="V15" s="53"/>
      <c r="W15" s="178">
        <v>6.0</v>
      </c>
      <c r="X15" s="353" t="s">
        <v>144</v>
      </c>
      <c r="Y15" s="354">
        <f t="shared" si="1"/>
        <v>3</v>
      </c>
      <c r="Z15" s="53"/>
    </row>
    <row r="16" ht="13.5" customHeight="1">
      <c r="A16" s="124" t="s">
        <v>362</v>
      </c>
      <c r="B16" s="124" t="s">
        <v>152</v>
      </c>
      <c r="C16" s="44" t="s">
        <v>408</v>
      </c>
      <c r="D16" s="333"/>
      <c r="E16" s="333"/>
      <c r="F16" s="324"/>
      <c r="G16" s="124" t="s">
        <v>362</v>
      </c>
      <c r="H16" s="124" t="s">
        <v>152</v>
      </c>
      <c r="I16" s="191" t="s">
        <v>409</v>
      </c>
      <c r="J16" s="42"/>
      <c r="K16" s="42"/>
      <c r="L16" s="42"/>
      <c r="M16" s="333" t="s">
        <v>410</v>
      </c>
      <c r="N16" s="333" t="s">
        <v>411</v>
      </c>
      <c r="O16" s="44" t="s">
        <v>408</v>
      </c>
      <c r="P16" s="42"/>
      <c r="Q16" s="42"/>
      <c r="R16" s="42"/>
      <c r="S16" s="183"/>
      <c r="T16" s="183"/>
      <c r="U16" s="183"/>
      <c r="V16" s="53"/>
      <c r="W16" s="178">
        <v>7.0</v>
      </c>
      <c r="X16" s="355"/>
      <c r="Y16" s="354">
        <f t="shared" si="1"/>
        <v>0</v>
      </c>
      <c r="Z16" s="53"/>
    </row>
    <row r="17" ht="15.0" customHeight="1">
      <c r="A17" s="333"/>
      <c r="B17" s="333"/>
      <c r="C17" s="44"/>
      <c r="D17" s="333"/>
      <c r="E17" s="333"/>
      <c r="F17" s="324"/>
      <c r="G17" s="36"/>
      <c r="H17" s="42"/>
      <c r="I17" s="36"/>
      <c r="J17" s="42"/>
      <c r="K17" s="42"/>
      <c r="L17" s="42"/>
      <c r="M17" s="24"/>
      <c r="N17" s="44"/>
      <c r="O17" s="24"/>
      <c r="P17" s="325" t="s">
        <v>14</v>
      </c>
      <c r="Q17" s="12"/>
      <c r="R17" s="13"/>
      <c r="S17" s="24" t="s">
        <v>167</v>
      </c>
      <c r="T17" s="67" t="s">
        <v>280</v>
      </c>
      <c r="U17" s="46" t="s">
        <v>48</v>
      </c>
      <c r="V17" s="53"/>
      <c r="W17" s="178">
        <v>8.0</v>
      </c>
      <c r="X17" s="355"/>
      <c r="Y17" s="354">
        <f t="shared" si="1"/>
        <v>0</v>
      </c>
      <c r="Z17" s="53"/>
    </row>
    <row r="18" ht="15.75" customHeight="1">
      <c r="A18" s="113" t="s">
        <v>412</v>
      </c>
      <c r="B18" s="24" t="s">
        <v>413</v>
      </c>
      <c r="C18" s="44" t="s">
        <v>48</v>
      </c>
      <c r="D18" s="24" t="s">
        <v>19</v>
      </c>
      <c r="E18" s="24" t="s">
        <v>51</v>
      </c>
      <c r="F18" s="24" t="s">
        <v>25</v>
      </c>
      <c r="G18" s="24" t="s">
        <v>230</v>
      </c>
      <c r="H18" s="24" t="s">
        <v>231</v>
      </c>
      <c r="I18" s="46" t="s">
        <v>48</v>
      </c>
      <c r="J18" s="212" t="s">
        <v>14</v>
      </c>
      <c r="K18" s="12"/>
      <c r="L18" s="13"/>
      <c r="M18" s="182" t="s">
        <v>144</v>
      </c>
      <c r="N18" s="182" t="s">
        <v>149</v>
      </c>
      <c r="O18" s="121" t="s">
        <v>48</v>
      </c>
      <c r="P18" s="42"/>
      <c r="Q18" s="42"/>
      <c r="R18" s="42"/>
      <c r="S18" s="183"/>
      <c r="T18" s="183"/>
      <c r="U18" s="183"/>
      <c r="V18" s="53"/>
      <c r="W18" s="178">
        <v>9.0</v>
      </c>
      <c r="X18" s="353" t="s">
        <v>167</v>
      </c>
      <c r="Y18" s="354">
        <f t="shared" si="1"/>
        <v>2</v>
      </c>
      <c r="Z18" s="53"/>
    </row>
    <row r="19" ht="15.0" customHeight="1">
      <c r="A19" s="44" t="s">
        <v>414</v>
      </c>
      <c r="B19" s="44" t="s">
        <v>359</v>
      </c>
      <c r="C19" s="24" t="s">
        <v>365</v>
      </c>
      <c r="D19" s="35"/>
      <c r="E19" s="35"/>
      <c r="F19" s="46" t="s">
        <v>48</v>
      </c>
      <c r="G19" s="44"/>
      <c r="H19" s="44"/>
      <c r="I19" s="24"/>
      <c r="J19" s="42"/>
      <c r="K19" s="42"/>
      <c r="L19" s="42"/>
      <c r="M19" s="42"/>
      <c r="N19" s="42"/>
      <c r="O19" s="42"/>
      <c r="P19" s="42"/>
      <c r="Q19" s="42"/>
      <c r="R19" s="42"/>
      <c r="S19" s="183"/>
      <c r="T19" s="183"/>
      <c r="U19" s="183"/>
      <c r="V19" s="53"/>
      <c r="W19" s="178">
        <v>10.0</v>
      </c>
      <c r="X19" s="353" t="s">
        <v>20</v>
      </c>
      <c r="Y19" s="354">
        <f t="shared" si="1"/>
        <v>1</v>
      </c>
      <c r="Z19" s="53"/>
    </row>
    <row r="20" ht="15.0" customHeight="1">
      <c r="A20" s="183"/>
      <c r="B20" s="183"/>
      <c r="C20" s="183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183"/>
      <c r="T20" s="183"/>
      <c r="U20" s="183"/>
      <c r="V20" s="53"/>
      <c r="W20" s="178">
        <v>11.0</v>
      </c>
      <c r="X20" s="353" t="s">
        <v>19</v>
      </c>
      <c r="Y20" s="354">
        <f t="shared" si="1"/>
        <v>1</v>
      </c>
      <c r="Z20" s="53"/>
    </row>
    <row r="21" ht="15.75" customHeight="1">
      <c r="A21" s="360" t="s">
        <v>115</v>
      </c>
      <c r="B21" s="12"/>
      <c r="C21" s="13"/>
      <c r="D21" s="360" t="s">
        <v>8</v>
      </c>
      <c r="E21" s="12"/>
      <c r="F21" s="13"/>
      <c r="G21" s="360" t="s">
        <v>116</v>
      </c>
      <c r="H21" s="12"/>
      <c r="I21" s="13"/>
      <c r="J21" s="360" t="s">
        <v>10</v>
      </c>
      <c r="K21" s="12"/>
      <c r="L21" s="13"/>
      <c r="M21" s="360" t="s">
        <v>11</v>
      </c>
      <c r="N21" s="12"/>
      <c r="O21" s="13"/>
      <c r="P21" s="360" t="s">
        <v>82</v>
      </c>
      <c r="Q21" s="12"/>
      <c r="R21" s="13"/>
      <c r="S21" s="361" t="s">
        <v>117</v>
      </c>
      <c r="T21" s="12"/>
      <c r="U21" s="13"/>
      <c r="V21" s="53"/>
      <c r="W21" s="178">
        <v>12.0</v>
      </c>
      <c r="X21" s="355"/>
      <c r="Y21" s="354">
        <f t="shared" si="1"/>
        <v>0</v>
      </c>
      <c r="Z21" s="53"/>
    </row>
    <row r="22" ht="15.75" customHeight="1">
      <c r="A22" s="362">
        <f>S14+1</f>
        <v>46062</v>
      </c>
      <c r="B22" s="12"/>
      <c r="C22" s="13"/>
      <c r="D22" s="362">
        <f>A22+1</f>
        <v>46063</v>
      </c>
      <c r="E22" s="12"/>
      <c r="F22" s="13"/>
      <c r="G22" s="362">
        <f>D22+1</f>
        <v>46064</v>
      </c>
      <c r="H22" s="12"/>
      <c r="I22" s="13"/>
      <c r="J22" s="362">
        <f>G22+1</f>
        <v>46065</v>
      </c>
      <c r="K22" s="12"/>
      <c r="L22" s="13"/>
      <c r="M22" s="362">
        <f>J22+1</f>
        <v>46066</v>
      </c>
      <c r="N22" s="12"/>
      <c r="O22" s="13"/>
      <c r="P22" s="362">
        <f>M22+1</f>
        <v>46067</v>
      </c>
      <c r="Q22" s="12"/>
      <c r="R22" s="13"/>
      <c r="S22" s="363">
        <f>P22+1</f>
        <v>46068</v>
      </c>
      <c r="T22" s="12"/>
      <c r="U22" s="13"/>
      <c r="V22" s="53"/>
      <c r="W22" s="178">
        <v>13.0</v>
      </c>
      <c r="X22" s="353" t="s">
        <v>88</v>
      </c>
      <c r="Y22" s="354">
        <f t="shared" si="1"/>
        <v>0</v>
      </c>
      <c r="Z22" s="53"/>
    </row>
    <row r="23" ht="15.75" customHeight="1">
      <c r="A23" s="36"/>
      <c r="B23" s="36"/>
      <c r="C23" s="36"/>
      <c r="D23" s="42"/>
      <c r="E23" s="42"/>
      <c r="F23" s="42"/>
      <c r="G23" s="42"/>
      <c r="H23" s="42"/>
      <c r="I23" s="42"/>
      <c r="J23" s="42"/>
      <c r="K23" s="42"/>
      <c r="L23" s="42"/>
      <c r="P23" s="42"/>
      <c r="Q23" s="42"/>
      <c r="R23" s="42"/>
      <c r="S23" s="42"/>
      <c r="T23" s="42"/>
      <c r="U23" s="42"/>
      <c r="V23" s="53"/>
      <c r="W23" s="178">
        <v>14.0</v>
      </c>
      <c r="X23" s="353" t="s">
        <v>122</v>
      </c>
      <c r="Y23" s="354">
        <f t="shared" si="1"/>
        <v>1</v>
      </c>
      <c r="Z23" s="53"/>
    </row>
    <row r="24" ht="15.75" customHeight="1">
      <c r="A24" s="364"/>
      <c r="B24" s="364"/>
      <c r="C24" s="44"/>
      <c r="D24" s="44" t="s">
        <v>415</v>
      </c>
      <c r="E24" s="44" t="s">
        <v>231</v>
      </c>
      <c r="F24" s="44" t="s">
        <v>25</v>
      </c>
      <c r="G24" s="124" t="s">
        <v>362</v>
      </c>
      <c r="H24" s="124" t="s">
        <v>152</v>
      </c>
      <c r="I24" s="191" t="s">
        <v>409</v>
      </c>
      <c r="J24" s="124"/>
      <c r="K24" s="124"/>
      <c r="L24" s="42"/>
      <c r="M24" s="42"/>
      <c r="N24" s="183"/>
      <c r="O24" s="183"/>
      <c r="P24" s="124"/>
      <c r="Q24" s="124"/>
      <c r="R24" s="44"/>
      <c r="S24" s="124"/>
      <c r="T24" s="124"/>
      <c r="U24" s="124"/>
      <c r="V24" s="53"/>
      <c r="W24" s="178">
        <v>15.0</v>
      </c>
      <c r="X24" s="353" t="s">
        <v>320</v>
      </c>
      <c r="Y24" s="354">
        <f t="shared" si="1"/>
        <v>0</v>
      </c>
      <c r="Z24" s="53"/>
    </row>
    <row r="25" ht="15.75" customHeight="1">
      <c r="A25" s="333" t="s">
        <v>410</v>
      </c>
      <c r="B25" s="333" t="s">
        <v>118</v>
      </c>
      <c r="C25" s="191" t="s">
        <v>409</v>
      </c>
      <c r="D25" s="42"/>
      <c r="E25" s="42"/>
      <c r="F25" s="36"/>
      <c r="G25" s="24" t="s">
        <v>416</v>
      </c>
      <c r="H25" s="24" t="s">
        <v>190</v>
      </c>
      <c r="I25" s="24" t="s">
        <v>48</v>
      </c>
      <c r="J25" s="24" t="s">
        <v>417</v>
      </c>
      <c r="K25" s="124" t="s">
        <v>190</v>
      </c>
      <c r="L25" s="24" t="s">
        <v>48</v>
      </c>
      <c r="M25" s="24" t="s">
        <v>418</v>
      </c>
      <c r="N25" s="44" t="s">
        <v>110</v>
      </c>
      <c r="O25" s="24" t="s">
        <v>48</v>
      </c>
      <c r="P25" s="207"/>
      <c r="Q25" s="208"/>
      <c r="R25" s="209"/>
      <c r="S25" s="212" t="s">
        <v>14</v>
      </c>
      <c r="T25" s="12"/>
      <c r="U25" s="13"/>
      <c r="V25" s="53"/>
      <c r="W25" s="178">
        <v>16.0</v>
      </c>
      <c r="X25" s="353" t="s">
        <v>405</v>
      </c>
      <c r="Y25" s="354">
        <f t="shared" si="1"/>
        <v>3</v>
      </c>
      <c r="Z25" s="53"/>
    </row>
    <row r="26" ht="15.75" customHeight="1">
      <c r="A26" s="333" t="s">
        <v>419</v>
      </c>
      <c r="B26" s="333" t="s">
        <v>36</v>
      </c>
      <c r="C26" s="191" t="s">
        <v>408</v>
      </c>
      <c r="D26" s="113"/>
      <c r="E26" s="24"/>
      <c r="F26" s="44"/>
      <c r="G26" s="36"/>
      <c r="H26" s="42"/>
      <c r="I26" s="42"/>
      <c r="J26" s="42"/>
      <c r="K26" s="42"/>
      <c r="L26" s="42"/>
      <c r="M26" s="36"/>
      <c r="N26" s="42"/>
      <c r="O26" s="42"/>
      <c r="P26" s="124" t="s">
        <v>362</v>
      </c>
      <c r="Q26" s="124" t="s">
        <v>118</v>
      </c>
      <c r="R26" s="44" t="s">
        <v>31</v>
      </c>
      <c r="S26" s="183"/>
      <c r="T26" s="183"/>
      <c r="U26" s="36"/>
      <c r="V26" s="53"/>
      <c r="W26" s="178">
        <v>17.0</v>
      </c>
      <c r="X26" s="353" t="s">
        <v>230</v>
      </c>
      <c r="Y26" s="354">
        <f t="shared" si="1"/>
        <v>2</v>
      </c>
      <c r="Z26" s="53"/>
    </row>
    <row r="27" ht="15.75" customHeight="1">
      <c r="A27" s="113"/>
      <c r="B27" s="24"/>
      <c r="C27" s="44"/>
      <c r="D27" s="44"/>
      <c r="E27" s="44"/>
      <c r="F27" s="24"/>
      <c r="G27" s="36"/>
      <c r="H27" s="42"/>
      <c r="I27" s="36"/>
      <c r="J27" s="42"/>
      <c r="K27" s="42"/>
      <c r="L27" s="42"/>
      <c r="M27" s="24" t="s">
        <v>420</v>
      </c>
      <c r="N27" s="44" t="s">
        <v>413</v>
      </c>
      <c r="O27" s="24" t="s">
        <v>48</v>
      </c>
      <c r="P27" s="112" t="s">
        <v>122</v>
      </c>
      <c r="Q27" s="41" t="s">
        <v>133</v>
      </c>
      <c r="R27" s="41" t="s">
        <v>31</v>
      </c>
      <c r="S27" s="183"/>
      <c r="T27" s="183"/>
      <c r="U27" s="183"/>
      <c r="V27" s="53"/>
      <c r="W27" s="178">
        <v>18.0</v>
      </c>
      <c r="X27" s="353" t="s">
        <v>362</v>
      </c>
      <c r="Y27" s="354">
        <f t="shared" si="1"/>
        <v>7</v>
      </c>
      <c r="Z27" s="53"/>
    </row>
    <row r="28" ht="15.75" customHeight="1">
      <c r="A28" s="44"/>
      <c r="B28" s="44"/>
      <c r="C28" s="2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183"/>
      <c r="O28" s="183"/>
      <c r="P28" s="329" t="s">
        <v>376</v>
      </c>
      <c r="Q28" s="329" t="s">
        <v>129</v>
      </c>
      <c r="R28" s="330" t="s">
        <v>25</v>
      </c>
      <c r="S28" s="183"/>
      <c r="T28" s="183"/>
      <c r="U28" s="183"/>
      <c r="V28" s="53"/>
      <c r="W28" s="178">
        <v>19.0</v>
      </c>
      <c r="X28" s="355"/>
      <c r="Y28" s="354">
        <f t="shared" si="1"/>
        <v>0</v>
      </c>
      <c r="Z28" s="53"/>
    </row>
    <row r="29" ht="15.75" customHeight="1">
      <c r="A29" s="356" t="s">
        <v>115</v>
      </c>
      <c r="B29" s="12"/>
      <c r="C29" s="13"/>
      <c r="D29" s="365" t="s">
        <v>8</v>
      </c>
      <c r="E29" s="12"/>
      <c r="F29" s="13"/>
      <c r="G29" s="356" t="s">
        <v>116</v>
      </c>
      <c r="H29" s="12"/>
      <c r="I29" s="13"/>
      <c r="J29" s="356" t="s">
        <v>10</v>
      </c>
      <c r="K29" s="12"/>
      <c r="L29" s="13"/>
      <c r="M29" s="356" t="s">
        <v>81</v>
      </c>
      <c r="N29" s="12"/>
      <c r="O29" s="13"/>
      <c r="P29" s="366" t="s">
        <v>82</v>
      </c>
      <c r="Q29" s="12"/>
      <c r="R29" s="13"/>
      <c r="S29" s="357" t="s">
        <v>13</v>
      </c>
      <c r="T29" s="12"/>
      <c r="U29" s="13"/>
      <c r="V29" s="53"/>
      <c r="W29" s="178">
        <v>20.0</v>
      </c>
      <c r="X29" s="355"/>
      <c r="Y29" s="354">
        <f t="shared" si="1"/>
        <v>0</v>
      </c>
      <c r="Z29" s="53"/>
    </row>
    <row r="30" ht="15.75" customHeight="1">
      <c r="A30" s="358">
        <f>S22+1</f>
        <v>46069</v>
      </c>
      <c r="B30" s="12"/>
      <c r="C30" s="13"/>
      <c r="D30" s="359">
        <f>A30+1</f>
        <v>46070</v>
      </c>
      <c r="E30" s="12"/>
      <c r="F30" s="13"/>
      <c r="G30" s="358">
        <f>D30+1</f>
        <v>46071</v>
      </c>
      <c r="H30" s="12"/>
      <c r="I30" s="13"/>
      <c r="J30" s="358">
        <f>G30+1</f>
        <v>46072</v>
      </c>
      <c r="K30" s="12"/>
      <c r="L30" s="13"/>
      <c r="M30" s="358">
        <f>J30+1</f>
        <v>46073</v>
      </c>
      <c r="N30" s="12"/>
      <c r="O30" s="13"/>
      <c r="P30" s="367">
        <f>M30+1</f>
        <v>46074</v>
      </c>
      <c r="Q30" s="12"/>
      <c r="R30" s="13"/>
      <c r="S30" s="359">
        <f>P30+1</f>
        <v>46075</v>
      </c>
      <c r="T30" s="12"/>
      <c r="U30" s="13"/>
      <c r="V30" s="53"/>
      <c r="W30" s="178">
        <v>21.0</v>
      </c>
      <c r="X30" s="355"/>
      <c r="Y30" s="354">
        <f t="shared" si="1"/>
        <v>0</v>
      </c>
      <c r="Z30" s="53"/>
    </row>
    <row r="31" ht="15.75" customHeight="1">
      <c r="A31" s="36"/>
      <c r="B31" s="36"/>
      <c r="C31" s="36"/>
      <c r="D31" s="42"/>
      <c r="E31" s="42"/>
      <c r="F31" s="42"/>
      <c r="G31" s="24"/>
      <c r="H31" s="24"/>
      <c r="I31" s="24"/>
      <c r="J31" s="24"/>
      <c r="K31" s="124"/>
      <c r="L31" s="24"/>
      <c r="M31" s="36"/>
      <c r="N31" s="36"/>
      <c r="O31" s="36"/>
      <c r="P31" s="42"/>
      <c r="Q31" s="42"/>
      <c r="R31" s="42"/>
      <c r="S31" s="36"/>
      <c r="T31" s="36"/>
      <c r="U31" s="36"/>
      <c r="V31" s="53"/>
      <c r="W31" s="178">
        <v>22.0</v>
      </c>
      <c r="X31" s="355"/>
      <c r="Y31" s="354">
        <f t="shared" si="1"/>
        <v>0</v>
      </c>
      <c r="Z31" s="53"/>
    </row>
    <row r="32" ht="15.75" customHeight="1">
      <c r="A32" s="124" t="s">
        <v>362</v>
      </c>
      <c r="B32" s="124" t="s">
        <v>152</v>
      </c>
      <c r="C32" s="44" t="s">
        <v>408</v>
      </c>
      <c r="D32" s="113"/>
      <c r="E32" s="24"/>
      <c r="F32" s="44"/>
      <c r="G32" s="124" t="s">
        <v>362</v>
      </c>
      <c r="H32" s="124" t="s">
        <v>283</v>
      </c>
      <c r="I32" s="44" t="s">
        <v>409</v>
      </c>
      <c r="J32" s="42"/>
      <c r="K32" s="42"/>
      <c r="L32" s="42"/>
      <c r="M32" s="71" t="s">
        <v>99</v>
      </c>
      <c r="N32" s="71" t="s">
        <v>63</v>
      </c>
      <c r="O32" s="71" t="s">
        <v>34</v>
      </c>
      <c r="P32" s="42"/>
      <c r="Q32" s="42"/>
      <c r="R32" s="42"/>
      <c r="V32" s="53"/>
      <c r="W32" s="178">
        <v>23.0</v>
      </c>
      <c r="X32" s="355"/>
      <c r="Y32" s="354">
        <f t="shared" si="1"/>
        <v>0</v>
      </c>
      <c r="Z32" s="53"/>
    </row>
    <row r="33" ht="15.75" customHeight="1">
      <c r="A33" s="36"/>
      <c r="B33" s="36"/>
      <c r="C33" s="42"/>
      <c r="D33" s="44"/>
      <c r="E33" s="44"/>
      <c r="F33" s="24"/>
      <c r="G33" s="24" t="s">
        <v>230</v>
      </c>
      <c r="H33" s="24" t="s">
        <v>231</v>
      </c>
      <c r="I33" s="46" t="s">
        <v>48</v>
      </c>
      <c r="J33" s="182" t="s">
        <v>144</v>
      </c>
      <c r="K33" s="182" t="s">
        <v>152</v>
      </c>
      <c r="L33" s="182" t="s">
        <v>25</v>
      </c>
      <c r="M33" s="112" t="s">
        <v>279</v>
      </c>
      <c r="N33" s="277" t="s">
        <v>280</v>
      </c>
      <c r="O33" s="112" t="s">
        <v>25</v>
      </c>
      <c r="P33" s="24" t="s">
        <v>167</v>
      </c>
      <c r="Q33" s="24" t="s">
        <v>349</v>
      </c>
      <c r="R33" s="46" t="s">
        <v>48</v>
      </c>
      <c r="S33" s="124" t="s">
        <v>405</v>
      </c>
      <c r="T33" s="124" t="s">
        <v>406</v>
      </c>
      <c r="U33" s="124" t="s">
        <v>48</v>
      </c>
      <c r="V33" s="53"/>
      <c r="W33" s="178">
        <v>24.0</v>
      </c>
      <c r="X33" s="355"/>
      <c r="Y33" s="354">
        <f t="shared" si="1"/>
        <v>0</v>
      </c>
      <c r="Z33" s="53"/>
    </row>
    <row r="34" ht="15.0" customHeight="1">
      <c r="A34" s="113" t="s">
        <v>412</v>
      </c>
      <c r="B34" s="24" t="s">
        <v>413</v>
      </c>
      <c r="C34" s="44" t="s">
        <v>48</v>
      </c>
      <c r="D34" s="42"/>
      <c r="E34" s="42"/>
      <c r="F34" s="42"/>
      <c r="G34" s="103"/>
      <c r="H34" s="103"/>
      <c r="I34" s="103"/>
      <c r="J34" s="183"/>
      <c r="K34" s="183"/>
      <c r="L34" s="197" t="s">
        <v>163</v>
      </c>
      <c r="M34" s="182" t="s">
        <v>144</v>
      </c>
      <c r="N34" s="182" t="s">
        <v>149</v>
      </c>
      <c r="O34" s="121" t="s">
        <v>48</v>
      </c>
      <c r="P34" s="24"/>
      <c r="Q34" s="24"/>
      <c r="R34" s="24"/>
      <c r="S34" s="158" t="s">
        <v>148</v>
      </c>
      <c r="T34" s="158" t="s">
        <v>149</v>
      </c>
      <c r="U34" s="276" t="s">
        <v>48</v>
      </c>
      <c r="V34" s="53"/>
      <c r="W34" s="178">
        <v>25.0</v>
      </c>
      <c r="X34" s="355"/>
      <c r="Y34" s="354">
        <f t="shared" si="1"/>
        <v>0</v>
      </c>
      <c r="Z34" s="53"/>
    </row>
    <row r="35" ht="15.75" customHeight="1">
      <c r="A35" s="44" t="s">
        <v>414</v>
      </c>
      <c r="B35" s="44" t="s">
        <v>359</v>
      </c>
      <c r="C35" s="24" t="s">
        <v>365</v>
      </c>
      <c r="D35" s="42"/>
      <c r="E35" s="42"/>
      <c r="F35" s="42"/>
      <c r="G35" s="44" t="s">
        <v>20</v>
      </c>
      <c r="H35" s="44" t="s">
        <v>46</v>
      </c>
      <c r="I35" s="44" t="s">
        <v>25</v>
      </c>
      <c r="J35" s="42"/>
      <c r="K35" s="42"/>
      <c r="L35" s="42"/>
      <c r="M35" s="42"/>
      <c r="N35" s="42"/>
      <c r="O35" s="42"/>
      <c r="P35" s="42"/>
      <c r="Q35" s="42"/>
      <c r="R35" s="42"/>
      <c r="S35" s="183"/>
      <c r="T35" s="183"/>
      <c r="U35" s="183"/>
      <c r="V35" s="53"/>
      <c r="W35" s="178">
        <v>26.0</v>
      </c>
      <c r="X35" s="355"/>
      <c r="Y35" s="354">
        <f t="shared" si="1"/>
        <v>0</v>
      </c>
      <c r="Z35" s="53"/>
    </row>
    <row r="36" ht="14.25" customHeight="1">
      <c r="A36" s="183"/>
      <c r="B36" s="183"/>
      <c r="C36" s="183"/>
      <c r="D36" s="42"/>
      <c r="E36" s="42"/>
      <c r="F36" s="42"/>
      <c r="G36" s="48"/>
      <c r="H36" s="48"/>
      <c r="I36" s="46" t="s">
        <v>48</v>
      </c>
      <c r="J36" s="42"/>
      <c r="K36" s="42"/>
      <c r="L36" s="42"/>
      <c r="M36" s="42"/>
      <c r="N36" s="42"/>
      <c r="O36" s="42"/>
      <c r="P36" s="42"/>
      <c r="Q36" s="42"/>
      <c r="R36" s="42"/>
      <c r="S36" s="183"/>
      <c r="T36" s="183"/>
      <c r="U36" s="183"/>
      <c r="V36" s="53"/>
      <c r="W36" s="178">
        <v>27.0</v>
      </c>
      <c r="X36" s="355"/>
      <c r="Y36" s="354">
        <f t="shared" si="1"/>
        <v>0</v>
      </c>
      <c r="Z36" s="53"/>
    </row>
    <row r="37" ht="15.75" customHeight="1">
      <c r="A37" s="360" t="s">
        <v>115</v>
      </c>
      <c r="B37" s="12"/>
      <c r="C37" s="13"/>
      <c r="D37" s="360" t="s">
        <v>8</v>
      </c>
      <c r="E37" s="12"/>
      <c r="F37" s="13"/>
      <c r="G37" s="360" t="s">
        <v>116</v>
      </c>
      <c r="H37" s="12"/>
      <c r="I37" s="13"/>
      <c r="J37" s="360" t="s">
        <v>10</v>
      </c>
      <c r="K37" s="12"/>
      <c r="L37" s="13"/>
      <c r="M37" s="360" t="s">
        <v>11</v>
      </c>
      <c r="N37" s="12"/>
      <c r="O37" s="13"/>
      <c r="P37" s="360" t="s">
        <v>82</v>
      </c>
      <c r="Q37" s="12"/>
      <c r="R37" s="13"/>
      <c r="S37" s="368"/>
      <c r="T37" s="12"/>
      <c r="U37" s="13"/>
      <c r="V37" s="53"/>
      <c r="W37" s="178">
        <v>28.0</v>
      </c>
      <c r="X37" s="355"/>
      <c r="Y37" s="354">
        <f t="shared" si="1"/>
        <v>0</v>
      </c>
      <c r="Z37" s="53"/>
    </row>
    <row r="38" ht="15.75" customHeight="1">
      <c r="A38" s="362">
        <f>S30+1</f>
        <v>46076</v>
      </c>
      <c r="B38" s="12"/>
      <c r="C38" s="13"/>
      <c r="D38" s="362">
        <f>A38+1</f>
        <v>46077</v>
      </c>
      <c r="E38" s="12"/>
      <c r="F38" s="13"/>
      <c r="G38" s="362">
        <f>D38+1</f>
        <v>46078</v>
      </c>
      <c r="H38" s="12"/>
      <c r="I38" s="13"/>
      <c r="J38" s="362">
        <f>G38+1</f>
        <v>46079</v>
      </c>
      <c r="K38" s="12"/>
      <c r="L38" s="13"/>
      <c r="M38" s="362">
        <f>J38+1</f>
        <v>46080</v>
      </c>
      <c r="N38" s="12"/>
      <c r="O38" s="13"/>
      <c r="P38" s="362">
        <f>M38+1</f>
        <v>46081</v>
      </c>
      <c r="Q38" s="12"/>
      <c r="R38" s="13"/>
      <c r="S38" s="369"/>
      <c r="T38" s="12"/>
      <c r="U38" s="13"/>
      <c r="V38" s="53"/>
      <c r="W38" s="178">
        <v>29.0</v>
      </c>
      <c r="X38" s="355"/>
      <c r="Y38" s="354">
        <f t="shared" si="1"/>
        <v>0</v>
      </c>
      <c r="Z38" s="53"/>
    </row>
    <row r="39" ht="15.75" customHeight="1">
      <c r="A39" s="24"/>
      <c r="B39" s="24"/>
      <c r="C39" s="24"/>
      <c r="D39" s="183"/>
      <c r="E39" s="183"/>
      <c r="F39" s="183"/>
      <c r="G39" s="183"/>
      <c r="H39" s="183"/>
      <c r="I39" s="183"/>
      <c r="J39" s="183"/>
      <c r="K39" s="183"/>
      <c r="L39" s="183"/>
      <c r="M39" s="119"/>
      <c r="N39" s="119"/>
      <c r="O39" s="119"/>
      <c r="P39" s="183"/>
      <c r="Q39" s="183"/>
      <c r="R39" s="183"/>
      <c r="S39" s="42"/>
      <c r="T39" s="42"/>
      <c r="U39" s="42"/>
      <c r="V39" s="53"/>
      <c r="W39" s="53"/>
      <c r="X39" s="53"/>
      <c r="Y39" s="53"/>
      <c r="Z39" s="53"/>
    </row>
    <row r="40" ht="15.75" customHeight="1">
      <c r="A40" s="24"/>
      <c r="B40" s="24"/>
      <c r="C40" s="24"/>
      <c r="D40" s="36"/>
      <c r="E40" s="36"/>
      <c r="F40" s="42"/>
      <c r="G40" s="370"/>
      <c r="H40" s="370"/>
      <c r="I40" s="370"/>
      <c r="J40" s="183"/>
      <c r="K40" s="183"/>
      <c r="L40" s="183"/>
      <c r="M40" s="24"/>
      <c r="N40" s="24"/>
      <c r="O40" s="24"/>
      <c r="P40" s="183"/>
      <c r="Q40" s="183"/>
      <c r="R40" s="183"/>
      <c r="S40" s="42"/>
      <c r="T40" s="42"/>
      <c r="U40" s="42"/>
      <c r="V40" s="53"/>
      <c r="W40" s="53"/>
      <c r="X40" s="53"/>
      <c r="Y40" s="53"/>
      <c r="Z40" s="53"/>
    </row>
    <row r="41" ht="15.75" customHeight="1">
      <c r="A41" s="364" t="s">
        <v>421</v>
      </c>
      <c r="B41" s="364" t="s">
        <v>277</v>
      </c>
      <c r="C41" s="44" t="s">
        <v>48</v>
      </c>
      <c r="D41" s="44" t="s">
        <v>415</v>
      </c>
      <c r="E41" s="44" t="s">
        <v>231</v>
      </c>
      <c r="F41" s="44" t="s">
        <v>25</v>
      </c>
      <c r="G41" s="24" t="s">
        <v>416</v>
      </c>
      <c r="H41" s="24" t="s">
        <v>190</v>
      </c>
      <c r="I41" s="24" t="s">
        <v>48</v>
      </c>
      <c r="J41" s="24" t="s">
        <v>417</v>
      </c>
      <c r="K41" s="124" t="s">
        <v>190</v>
      </c>
      <c r="L41" s="24" t="s">
        <v>48</v>
      </c>
      <c r="M41" s="24" t="s">
        <v>418</v>
      </c>
      <c r="N41" s="44" t="s">
        <v>110</v>
      </c>
      <c r="O41" s="24" t="s">
        <v>48</v>
      </c>
      <c r="P41" s="124" t="s">
        <v>362</v>
      </c>
      <c r="Q41" s="124" t="s">
        <v>118</v>
      </c>
      <c r="R41" s="44" t="s">
        <v>31</v>
      </c>
      <c r="S41" s="42"/>
      <c r="T41" s="42"/>
      <c r="U41" s="42"/>
      <c r="V41" s="53"/>
      <c r="W41" s="53"/>
      <c r="X41" s="53"/>
      <c r="Y41" s="53"/>
      <c r="Z41" s="53"/>
    </row>
    <row r="42" ht="15.75" customHeight="1">
      <c r="D42" s="24"/>
      <c r="E42" s="24"/>
      <c r="F42" s="24"/>
      <c r="G42" s="36"/>
      <c r="H42" s="42"/>
      <c r="I42" s="42"/>
      <c r="J42" s="42"/>
      <c r="K42" s="42"/>
      <c r="L42" s="42"/>
      <c r="M42" s="36"/>
      <c r="N42" s="42"/>
      <c r="O42" s="42"/>
      <c r="P42" s="119"/>
      <c r="Q42" s="119"/>
      <c r="R42" s="119"/>
      <c r="S42" s="183"/>
      <c r="T42" s="183"/>
      <c r="U42" s="183"/>
      <c r="V42" s="53"/>
      <c r="W42" s="53"/>
      <c r="X42" s="53"/>
      <c r="Y42" s="53"/>
      <c r="Z42" s="53"/>
    </row>
    <row r="43" ht="15.75" customHeight="1">
      <c r="A43" s="44" t="s">
        <v>414</v>
      </c>
      <c r="B43" s="44" t="s">
        <v>359</v>
      </c>
      <c r="C43" s="24" t="s">
        <v>365</v>
      </c>
      <c r="D43" s="36"/>
      <c r="E43" s="36"/>
      <c r="F43" s="36"/>
      <c r="G43" s="36"/>
      <c r="H43" s="42"/>
      <c r="I43" s="36"/>
      <c r="J43" s="42"/>
      <c r="K43" s="42"/>
      <c r="L43" s="42"/>
      <c r="M43" s="24" t="s">
        <v>420</v>
      </c>
      <c r="N43" s="44" t="s">
        <v>413</v>
      </c>
      <c r="O43" s="24" t="s">
        <v>48</v>
      </c>
      <c r="P43" s="119"/>
      <c r="Q43" s="119"/>
      <c r="R43" s="119"/>
      <c r="S43" s="119"/>
      <c r="T43" s="119"/>
      <c r="U43" s="119"/>
      <c r="V43" s="53"/>
      <c r="W43" s="53"/>
      <c r="X43" s="53"/>
      <c r="Y43" s="53"/>
      <c r="Z43" s="53"/>
    </row>
    <row r="44" ht="15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53"/>
      <c r="W44" s="53"/>
      <c r="X44" s="371" t="s">
        <v>69</v>
      </c>
      <c r="Y44" s="53"/>
      <c r="Z44" s="53"/>
    </row>
    <row r="45" ht="15.75" customHeight="1">
      <c r="A45" s="372"/>
      <c r="B45" s="12"/>
      <c r="C45" s="13"/>
      <c r="D45" s="372"/>
      <c r="E45" s="12"/>
      <c r="F45" s="13"/>
      <c r="G45" s="372"/>
      <c r="H45" s="12"/>
      <c r="I45" s="13"/>
      <c r="J45" s="372"/>
      <c r="K45" s="12"/>
      <c r="L45" s="13"/>
      <c r="M45" s="372"/>
      <c r="N45" s="12"/>
      <c r="O45" s="13"/>
      <c r="P45" s="372"/>
      <c r="Q45" s="12"/>
      <c r="R45" s="13"/>
      <c r="S45" s="373"/>
      <c r="T45" s="12"/>
      <c r="U45" s="13"/>
      <c r="V45" s="53"/>
      <c r="W45" s="53"/>
      <c r="X45" s="53"/>
      <c r="Y45" s="53"/>
      <c r="Z45" s="53"/>
    </row>
    <row r="46" ht="15.75" customHeight="1">
      <c r="A46" s="374"/>
      <c r="B46" s="12"/>
      <c r="C46" s="13"/>
      <c r="D46" s="374"/>
      <c r="E46" s="12"/>
      <c r="F46" s="13"/>
      <c r="G46" s="374"/>
      <c r="H46" s="12"/>
      <c r="I46" s="13"/>
      <c r="J46" s="374"/>
      <c r="K46" s="12"/>
      <c r="L46" s="13"/>
      <c r="M46" s="374"/>
      <c r="N46" s="12"/>
      <c r="O46" s="13"/>
      <c r="P46" s="374"/>
      <c r="Q46" s="12"/>
      <c r="R46" s="13"/>
      <c r="S46" s="374"/>
      <c r="T46" s="12"/>
      <c r="U46" s="13"/>
      <c r="V46" s="53"/>
      <c r="W46" s="53"/>
      <c r="X46" s="53"/>
      <c r="Y46" s="53"/>
      <c r="Z46" s="53"/>
    </row>
    <row r="47" ht="15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53"/>
      <c r="W47" s="53"/>
      <c r="X47" s="53"/>
      <c r="Y47" s="53"/>
      <c r="Z47" s="53"/>
    </row>
    <row r="48" ht="15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53"/>
      <c r="W48" s="53"/>
      <c r="X48" s="53"/>
      <c r="Y48" s="53"/>
      <c r="Z48" s="53"/>
    </row>
    <row r="49" ht="15.75" customHeight="1">
      <c r="A49" s="36"/>
      <c r="B49" s="36"/>
      <c r="C49" s="36"/>
      <c r="D49" s="183"/>
      <c r="E49" s="183"/>
      <c r="F49" s="183"/>
      <c r="G49" s="183"/>
      <c r="H49" s="183"/>
      <c r="I49" s="183"/>
      <c r="J49" s="36"/>
      <c r="K49" s="36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53"/>
      <c r="W49" s="53"/>
      <c r="X49" s="53"/>
      <c r="Y49" s="53"/>
      <c r="Z49" s="53"/>
    </row>
    <row r="50" ht="15.75" customHeight="1">
      <c r="A50" s="183"/>
      <c r="B50" s="183"/>
      <c r="C50" s="183"/>
      <c r="D50" s="42"/>
      <c r="E50" s="42"/>
      <c r="F50" s="42"/>
      <c r="G50" s="42"/>
      <c r="H50" s="42"/>
      <c r="I50" s="42"/>
      <c r="J50" s="183"/>
      <c r="K50" s="183"/>
      <c r="L50" s="183"/>
      <c r="M50" s="183"/>
      <c r="N50" s="183"/>
      <c r="O50" s="183"/>
      <c r="P50" s="42"/>
      <c r="Q50" s="36"/>
      <c r="R50" s="183"/>
      <c r="S50" s="183"/>
      <c r="T50" s="183"/>
      <c r="U50" s="183"/>
      <c r="V50" s="53"/>
      <c r="W50" s="53"/>
      <c r="X50" s="53"/>
      <c r="Y50" s="53"/>
      <c r="Z50" s="53"/>
    </row>
    <row r="51" ht="15.75" customHeight="1">
      <c r="A51" s="183"/>
      <c r="B51" s="183"/>
      <c r="C51" s="183"/>
      <c r="D51" s="36"/>
      <c r="E51" s="36"/>
      <c r="F51" s="36"/>
      <c r="G51" s="183"/>
      <c r="H51" s="183"/>
      <c r="I51" s="183"/>
      <c r="J51" s="183"/>
      <c r="K51" s="183"/>
      <c r="L51" s="183"/>
      <c r="M51" s="183"/>
      <c r="N51" s="183"/>
      <c r="O51" s="183"/>
      <c r="P51" s="42"/>
      <c r="Q51" s="42"/>
      <c r="R51" s="42"/>
      <c r="S51" s="183"/>
      <c r="T51" s="183"/>
      <c r="U51" s="183"/>
      <c r="V51" s="53"/>
      <c r="W51" s="53"/>
      <c r="X51" s="53"/>
      <c r="Y51" s="53"/>
      <c r="Z51" s="53"/>
    </row>
    <row r="52" ht="15.7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53"/>
      <c r="W52" s="53"/>
      <c r="X52" s="53"/>
      <c r="Y52" s="53"/>
      <c r="Z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5.75" customHeight="1">
      <c r="A55" s="375" t="s">
        <v>72</v>
      </c>
      <c r="B55" s="376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5.75" customHeight="1">
      <c r="A56" s="377"/>
      <c r="B56" s="85" t="s">
        <v>73</v>
      </c>
      <c r="C56" s="378"/>
      <c r="D56" s="379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5.75" customHeight="1">
      <c r="A57" s="380"/>
      <c r="B57" s="85" t="s">
        <v>74</v>
      </c>
      <c r="C57" s="378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5.75" customHeight="1">
      <c r="A58" s="381"/>
      <c r="B58" s="85" t="s">
        <v>75</v>
      </c>
      <c r="C58" s="378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97">
    <mergeCell ref="A14:C14"/>
    <mergeCell ref="D14:F14"/>
    <mergeCell ref="G14:I14"/>
    <mergeCell ref="M14:O14"/>
    <mergeCell ref="P14:R14"/>
    <mergeCell ref="S14:U14"/>
    <mergeCell ref="P17:R17"/>
    <mergeCell ref="J14:L14"/>
    <mergeCell ref="J18:L18"/>
    <mergeCell ref="A21:C21"/>
    <mergeCell ref="D21:F21"/>
    <mergeCell ref="G21:I21"/>
    <mergeCell ref="J21:L21"/>
    <mergeCell ref="M21:O21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P21:R21"/>
    <mergeCell ref="S21:U21"/>
    <mergeCell ref="S25:U25"/>
    <mergeCell ref="A22:C22"/>
    <mergeCell ref="D22:F22"/>
    <mergeCell ref="G22:I22"/>
    <mergeCell ref="J22:L22"/>
    <mergeCell ref="M22:O22"/>
    <mergeCell ref="P22:R22"/>
    <mergeCell ref="S22:U22"/>
  </mergeCells>
  <printOptions/>
  <pageMargins bottom="0.15" footer="0.0" header="0.0" left="0.46" right="0.34" top="0.28"/>
  <pageSetup fitToHeight="0" paperSize="11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7.57"/>
    <col customWidth="1" min="10" max="10" width="25.43"/>
    <col customWidth="1" min="11" max="11" width="12.14"/>
    <col customWidth="1" min="12" max="12" width="9.14"/>
    <col customWidth="1" min="13" max="13" width="18.57"/>
    <col customWidth="1" min="15" max="15" width="8.0"/>
    <col customWidth="1" min="16" max="16" width="14.14"/>
    <col customWidth="1" min="17" max="17" width="11.43"/>
    <col customWidth="1" min="18" max="18" width="9.0"/>
    <col customWidth="1" min="21" max="21" width="7.86"/>
  </cols>
  <sheetData>
    <row r="1">
      <c r="A1" s="382" t="s">
        <v>422</v>
      </c>
      <c r="C1" s="319" t="s">
        <v>423</v>
      </c>
      <c r="F1" s="320"/>
      <c r="G1" s="9" t="s">
        <v>424</v>
      </c>
      <c r="Q1" s="320"/>
      <c r="R1" s="320"/>
      <c r="S1" s="320"/>
      <c r="T1" s="320"/>
      <c r="U1" s="320"/>
    </row>
    <row r="2">
      <c r="A2" s="90" t="s">
        <v>3</v>
      </c>
      <c r="C2" s="383" t="s">
        <v>404</v>
      </c>
      <c r="F2" s="320"/>
      <c r="Q2" s="320"/>
      <c r="R2" s="320"/>
      <c r="S2" s="320"/>
      <c r="T2" s="320"/>
      <c r="U2" s="320"/>
    </row>
    <row r="3">
      <c r="A3" s="90" t="s">
        <v>5</v>
      </c>
      <c r="C3" s="321"/>
      <c r="F3" s="320"/>
      <c r="Q3" s="320"/>
      <c r="R3" s="320"/>
      <c r="S3" s="320"/>
      <c r="T3" s="320"/>
      <c r="U3" s="320"/>
    </row>
    <row r="4">
      <c r="A4" s="90" t="s">
        <v>6</v>
      </c>
      <c r="C4" s="322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5"/>
      <c r="E6" s="12"/>
      <c r="F6" s="13"/>
      <c r="G6" s="15"/>
      <c r="H6" s="12"/>
      <c r="I6" s="13"/>
      <c r="J6" s="15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</row>
    <row r="7">
      <c r="A7" s="323"/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</row>
    <row r="8">
      <c r="A8" s="323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124" t="s">
        <v>362</v>
      </c>
      <c r="T8" s="124" t="s">
        <v>118</v>
      </c>
      <c r="U8" s="44" t="s">
        <v>31</v>
      </c>
    </row>
    <row r="9">
      <c r="A9" s="323"/>
      <c r="B9" s="323"/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61"/>
      <c r="T9" s="384"/>
      <c r="U9" s="384"/>
    </row>
    <row r="10">
      <c r="A10" s="323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</row>
    <row r="11">
      <c r="A11" s="323"/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</row>
    <row r="12">
      <c r="A12" s="323"/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</row>
    <row r="13">
      <c r="A13" s="27" t="s">
        <v>7</v>
      </c>
      <c r="B13" s="12"/>
      <c r="C13" s="13"/>
      <c r="D13" s="27" t="s">
        <v>8</v>
      </c>
      <c r="E13" s="12"/>
      <c r="F13" s="13"/>
      <c r="G13" s="27" t="s">
        <v>9</v>
      </c>
      <c r="H13" s="12"/>
      <c r="I13" s="13"/>
      <c r="J13" s="27" t="s">
        <v>10</v>
      </c>
      <c r="K13" s="12"/>
      <c r="L13" s="13"/>
      <c r="M13" s="27" t="s">
        <v>11</v>
      </c>
      <c r="N13" s="12"/>
      <c r="O13" s="13"/>
      <c r="P13" s="27" t="s">
        <v>12</v>
      </c>
      <c r="Q13" s="12"/>
      <c r="R13" s="13"/>
      <c r="S13" s="29" t="s">
        <v>13</v>
      </c>
      <c r="T13" s="12"/>
      <c r="U13" s="13"/>
    </row>
    <row r="14">
      <c r="A14" s="30">
        <f>S6+1</f>
        <v>46055</v>
      </c>
      <c r="B14" s="12"/>
      <c r="C14" s="13"/>
      <c r="D14" s="30">
        <f>A14+1</f>
        <v>46056</v>
      </c>
      <c r="E14" s="12"/>
      <c r="F14" s="13"/>
      <c r="G14" s="30">
        <f>D14+1</f>
        <v>46057</v>
      </c>
      <c r="H14" s="12"/>
      <c r="I14" s="13"/>
      <c r="J14" s="30">
        <f>G14+1</f>
        <v>46058</v>
      </c>
      <c r="K14" s="12"/>
      <c r="L14" s="13"/>
      <c r="M14" s="30">
        <f>J14+1</f>
        <v>46059</v>
      </c>
      <c r="N14" s="12"/>
      <c r="O14" s="13"/>
      <c r="P14" s="30">
        <f>M14+1</f>
        <v>46060</v>
      </c>
      <c r="Q14" s="12"/>
      <c r="R14" s="13"/>
      <c r="S14" s="31">
        <f>P14+1</f>
        <v>46061</v>
      </c>
      <c r="T14" s="12"/>
      <c r="U14" s="13"/>
    </row>
    <row r="15">
      <c r="A15" s="323"/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</row>
    <row r="16">
      <c r="A16" s="323"/>
      <c r="B16" s="323"/>
      <c r="C16" s="323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44" t="s">
        <v>295</v>
      </c>
      <c r="T16" s="44" t="s">
        <v>283</v>
      </c>
      <c r="U16" s="44" t="s">
        <v>296</v>
      </c>
    </row>
    <row r="17">
      <c r="A17" s="124" t="s">
        <v>362</v>
      </c>
      <c r="B17" s="124" t="s">
        <v>152</v>
      </c>
      <c r="C17" s="44" t="s">
        <v>408</v>
      </c>
      <c r="D17" s="61" t="s">
        <v>425</v>
      </c>
      <c r="E17" s="61" t="s">
        <v>426</v>
      </c>
      <c r="F17" s="61" t="s">
        <v>25</v>
      </c>
      <c r="G17" s="61" t="s">
        <v>425</v>
      </c>
      <c r="H17" s="384" t="s">
        <v>427</v>
      </c>
      <c r="I17" s="61" t="s">
        <v>25</v>
      </c>
      <c r="J17" s="61" t="s">
        <v>425</v>
      </c>
      <c r="K17" s="384" t="s">
        <v>427</v>
      </c>
      <c r="L17" s="61" t="s">
        <v>25</v>
      </c>
      <c r="M17" s="61" t="s">
        <v>425</v>
      </c>
      <c r="N17" s="384" t="s">
        <v>427</v>
      </c>
      <c r="O17" s="61" t="s">
        <v>25</v>
      </c>
      <c r="P17" s="212" t="s">
        <v>14</v>
      </c>
      <c r="Q17" s="12"/>
      <c r="R17" s="13"/>
      <c r="S17" s="324" t="s">
        <v>428</v>
      </c>
      <c r="T17" s="324" t="s">
        <v>319</v>
      </c>
      <c r="U17" s="323"/>
    </row>
    <row r="18">
      <c r="A18" s="323"/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85" t="s">
        <v>429</v>
      </c>
      <c r="T18" s="386" t="s">
        <v>430</v>
      </c>
      <c r="U18" s="385" t="s">
        <v>31</v>
      </c>
    </row>
    <row r="19">
      <c r="A19" s="323"/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</row>
    <row r="20">
      <c r="A20" s="323"/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</row>
    <row r="2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6">
        <f>S14+1</f>
        <v>46062</v>
      </c>
      <c r="B22" s="12"/>
      <c r="C22" s="13"/>
      <c r="D22" s="16">
        <f>A22+1</f>
        <v>46063</v>
      </c>
      <c r="E22" s="12"/>
      <c r="F22" s="13"/>
      <c r="G22" s="16">
        <f>D22+1</f>
        <v>46064</v>
      </c>
      <c r="H22" s="12"/>
      <c r="I22" s="13"/>
      <c r="J22" s="16">
        <f>G22+1</f>
        <v>46065</v>
      </c>
      <c r="K22" s="12"/>
      <c r="L22" s="13"/>
      <c r="M22" s="16">
        <f>J22+1</f>
        <v>46066</v>
      </c>
      <c r="N22" s="12"/>
      <c r="O22" s="13"/>
      <c r="P22" s="16">
        <f>M22+1</f>
        <v>46067</v>
      </c>
      <c r="Q22" s="12"/>
      <c r="R22" s="13"/>
      <c r="S22" s="176">
        <f>P22+1</f>
        <v>46068</v>
      </c>
      <c r="T22" s="12"/>
      <c r="U22" s="13"/>
    </row>
    <row r="23">
      <c r="A23" s="323"/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</row>
    <row r="24">
      <c r="A24" s="333"/>
      <c r="B24" s="333"/>
      <c r="C24" s="44"/>
      <c r="D24" s="323"/>
      <c r="E24" s="323"/>
      <c r="F24" s="323"/>
      <c r="G24" s="124" t="s">
        <v>362</v>
      </c>
      <c r="H24" s="124" t="s">
        <v>283</v>
      </c>
      <c r="I24" s="44" t="s">
        <v>409</v>
      </c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</row>
    <row r="25">
      <c r="A25" s="333"/>
      <c r="B25" s="333"/>
      <c r="C25" s="191"/>
      <c r="D25" s="61" t="s">
        <v>425</v>
      </c>
      <c r="E25" s="384" t="s">
        <v>427</v>
      </c>
      <c r="F25" s="61" t="s">
        <v>25</v>
      </c>
      <c r="G25" s="60" t="s">
        <v>431</v>
      </c>
      <c r="H25" s="60" t="s">
        <v>247</v>
      </c>
      <c r="I25" s="387" t="s">
        <v>40</v>
      </c>
      <c r="J25" s="61" t="s">
        <v>425</v>
      </c>
      <c r="K25" s="61" t="s">
        <v>426</v>
      </c>
      <c r="L25" s="61" t="s">
        <v>25</v>
      </c>
      <c r="M25" s="388" t="s">
        <v>432</v>
      </c>
      <c r="N25" s="389" t="s">
        <v>247</v>
      </c>
      <c r="O25" s="390" t="s">
        <v>40</v>
      </c>
      <c r="P25" s="61" t="s">
        <v>425</v>
      </c>
      <c r="Q25" s="61" t="s">
        <v>426</v>
      </c>
      <c r="R25" s="61" t="s">
        <v>25</v>
      </c>
      <c r="S25" s="61" t="s">
        <v>425</v>
      </c>
      <c r="T25" s="61" t="s">
        <v>426</v>
      </c>
      <c r="U25" s="61" t="s">
        <v>25</v>
      </c>
    </row>
    <row r="26">
      <c r="A26" s="364" t="s">
        <v>421</v>
      </c>
      <c r="B26" s="364" t="s">
        <v>277</v>
      </c>
      <c r="C26" s="44" t="s">
        <v>48</v>
      </c>
      <c r="D26" s="323"/>
      <c r="E26" s="323"/>
      <c r="F26" s="323"/>
      <c r="G26" s="323"/>
      <c r="H26" s="323"/>
      <c r="I26" s="323"/>
      <c r="J26" s="323"/>
      <c r="K26" s="323"/>
      <c r="L26" s="323"/>
      <c r="M26" s="391" t="s">
        <v>433</v>
      </c>
      <c r="N26" s="389" t="s">
        <v>30</v>
      </c>
      <c r="O26" s="323"/>
      <c r="P26" s="323"/>
      <c r="Q26" s="323"/>
      <c r="R26" s="323"/>
      <c r="S26" s="323"/>
      <c r="T26" s="323"/>
      <c r="U26" s="323"/>
    </row>
    <row r="27">
      <c r="A27" s="113" t="s">
        <v>412</v>
      </c>
      <c r="B27" s="24" t="s">
        <v>413</v>
      </c>
      <c r="C27" s="44" t="s">
        <v>48</v>
      </c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</row>
    <row r="28">
      <c r="A28" s="44" t="s">
        <v>414</v>
      </c>
      <c r="B28" s="191" t="s">
        <v>383</v>
      </c>
      <c r="C28" s="24" t="s">
        <v>365</v>
      </c>
      <c r="D28" s="323"/>
      <c r="E28" s="323"/>
      <c r="F28" s="323"/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</row>
    <row r="29">
      <c r="A29" s="27" t="s">
        <v>7</v>
      </c>
      <c r="B29" s="12"/>
      <c r="C29" s="13"/>
      <c r="D29" s="27" t="s">
        <v>8</v>
      </c>
      <c r="E29" s="12"/>
      <c r="F29" s="13"/>
      <c r="G29" s="27" t="s">
        <v>9</v>
      </c>
      <c r="H29" s="12"/>
      <c r="I29" s="13"/>
      <c r="J29" s="27" t="s">
        <v>10</v>
      </c>
      <c r="K29" s="12"/>
      <c r="L29" s="13"/>
      <c r="M29" s="27" t="s">
        <v>11</v>
      </c>
      <c r="N29" s="12"/>
      <c r="O29" s="13"/>
      <c r="P29" s="27" t="s">
        <v>12</v>
      </c>
      <c r="Q29" s="12"/>
      <c r="R29" s="13"/>
      <c r="S29" s="29" t="s">
        <v>13</v>
      </c>
      <c r="T29" s="12"/>
      <c r="U29" s="13"/>
    </row>
    <row r="30">
      <c r="A30" s="56">
        <f>S22+1</f>
        <v>46069</v>
      </c>
      <c r="B30" s="12"/>
      <c r="C30" s="13"/>
      <c r="D30" s="56">
        <f>A30+1</f>
        <v>46070</v>
      </c>
      <c r="E30" s="12"/>
      <c r="F30" s="13"/>
      <c r="G30" s="56">
        <f>D30+1</f>
        <v>46071</v>
      </c>
      <c r="H30" s="12"/>
      <c r="I30" s="13"/>
      <c r="J30" s="56">
        <f>G30+1</f>
        <v>46072</v>
      </c>
      <c r="K30" s="12"/>
      <c r="L30" s="13"/>
      <c r="M30" s="56">
        <f>J30+1</f>
        <v>46073</v>
      </c>
      <c r="N30" s="12"/>
      <c r="O30" s="13"/>
      <c r="P30" s="56">
        <f>M30+1</f>
        <v>46074</v>
      </c>
      <c r="Q30" s="12"/>
      <c r="R30" s="13"/>
      <c r="S30" s="57">
        <f>P30+1</f>
        <v>46075</v>
      </c>
      <c r="T30" s="12"/>
      <c r="U30" s="13"/>
    </row>
    <row r="31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</row>
    <row r="32">
      <c r="A32" s="124" t="s">
        <v>362</v>
      </c>
      <c r="B32" s="124" t="s">
        <v>152</v>
      </c>
      <c r="C32" s="44" t="s">
        <v>408</v>
      </c>
      <c r="D32" s="323"/>
      <c r="E32" s="323"/>
      <c r="F32" s="323"/>
      <c r="G32" s="124" t="s">
        <v>362</v>
      </c>
      <c r="H32" s="124" t="s">
        <v>283</v>
      </c>
      <c r="I32" s="44" t="s">
        <v>409</v>
      </c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</row>
    <row r="33">
      <c r="A33" s="61" t="s">
        <v>425</v>
      </c>
      <c r="B33" s="384" t="s">
        <v>427</v>
      </c>
      <c r="C33" s="61" t="s">
        <v>25</v>
      </c>
      <c r="D33" s="61" t="s">
        <v>425</v>
      </c>
      <c r="E33" s="61" t="s">
        <v>426</v>
      </c>
      <c r="F33" s="61" t="s">
        <v>25</v>
      </c>
      <c r="G33" s="60" t="s">
        <v>431</v>
      </c>
      <c r="H33" s="60" t="s">
        <v>247</v>
      </c>
      <c r="I33" s="387" t="s">
        <v>40</v>
      </c>
      <c r="J33" s="212" t="s">
        <v>14</v>
      </c>
      <c r="K33" s="12"/>
      <c r="L33" s="13"/>
      <c r="M33" s="61" t="s">
        <v>425</v>
      </c>
      <c r="N33" s="61" t="s">
        <v>426</v>
      </c>
      <c r="O33" s="61" t="s">
        <v>25</v>
      </c>
      <c r="P33" s="61" t="s">
        <v>425</v>
      </c>
      <c r="Q33" s="384" t="s">
        <v>427</v>
      </c>
      <c r="R33" s="61" t="s">
        <v>25</v>
      </c>
      <c r="S33" s="61" t="s">
        <v>425</v>
      </c>
      <c r="T33" s="384" t="s">
        <v>434</v>
      </c>
      <c r="U33" s="384" t="s">
        <v>107</v>
      </c>
    </row>
    <row r="34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85" t="s">
        <v>429</v>
      </c>
      <c r="T34" s="385" t="s">
        <v>51</v>
      </c>
      <c r="U34" s="385" t="s">
        <v>31</v>
      </c>
    </row>
    <row r="35">
      <c r="A35" s="323"/>
      <c r="B35" s="323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</row>
    <row r="36">
      <c r="A36" s="323"/>
      <c r="B36" s="323"/>
      <c r="C36" s="323"/>
      <c r="D36" s="323"/>
      <c r="E36" s="323"/>
      <c r="F36" s="323"/>
      <c r="G36" s="323"/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/>
      <c r="T37" s="12"/>
      <c r="U37" s="13"/>
    </row>
    <row r="38">
      <c r="A38" s="16">
        <f>S30+1</f>
        <v>46076</v>
      </c>
      <c r="B38" s="12"/>
      <c r="C38" s="13"/>
      <c r="D38" s="16">
        <f>A38+1</f>
        <v>46077</v>
      </c>
      <c r="E38" s="12"/>
      <c r="F38" s="13"/>
      <c r="G38" s="16">
        <f>D38+1</f>
        <v>46078</v>
      </c>
      <c r="H38" s="12"/>
      <c r="I38" s="13"/>
      <c r="J38" s="16">
        <f>G38+1</f>
        <v>46079</v>
      </c>
      <c r="K38" s="12"/>
      <c r="L38" s="13"/>
      <c r="M38" s="16">
        <f>J38+1</f>
        <v>46080</v>
      </c>
      <c r="N38" s="12"/>
      <c r="O38" s="13"/>
      <c r="P38" s="16">
        <f>M38+1</f>
        <v>46081</v>
      </c>
      <c r="Q38" s="12"/>
      <c r="R38" s="13"/>
      <c r="S38" s="176"/>
      <c r="T38" s="12"/>
      <c r="U38" s="13"/>
    </row>
    <row r="39">
      <c r="A39" s="323"/>
      <c r="B39" s="323"/>
      <c r="C39" s="323"/>
      <c r="D39" s="323"/>
      <c r="E39" s="323"/>
      <c r="F39" s="323"/>
      <c r="G39" s="392" t="s">
        <v>393</v>
      </c>
      <c r="H39" s="392" t="s">
        <v>61</v>
      </c>
      <c r="I39" s="393" t="s">
        <v>25</v>
      </c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</row>
    <row r="40">
      <c r="A40" s="323"/>
      <c r="B40" s="323"/>
      <c r="C40" s="323"/>
      <c r="D40" s="323"/>
      <c r="E40" s="323"/>
      <c r="F40" s="323"/>
      <c r="G40" s="392" t="s">
        <v>395</v>
      </c>
      <c r="H40" s="392" t="s">
        <v>435</v>
      </c>
      <c r="I40" s="393" t="s">
        <v>25</v>
      </c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</row>
    <row r="41">
      <c r="A41" s="61" t="s">
        <v>425</v>
      </c>
      <c r="B41" s="384" t="s">
        <v>427</v>
      </c>
      <c r="C41" s="61" t="s">
        <v>25</v>
      </c>
      <c r="D41" s="323"/>
      <c r="E41" s="323"/>
      <c r="F41" s="323"/>
      <c r="G41" s="60" t="s">
        <v>431</v>
      </c>
      <c r="H41" s="60" t="s">
        <v>247</v>
      </c>
      <c r="I41" s="387" t="s">
        <v>40</v>
      </c>
      <c r="J41" s="323"/>
      <c r="K41" s="323"/>
      <c r="L41" s="323"/>
      <c r="M41" s="212" t="s">
        <v>14</v>
      </c>
      <c r="N41" s="12"/>
      <c r="O41" s="13"/>
      <c r="P41" s="323"/>
      <c r="Q41" s="323"/>
      <c r="R41" s="323"/>
      <c r="S41" s="323"/>
      <c r="T41" s="323"/>
      <c r="U41" s="323"/>
    </row>
    <row r="42">
      <c r="A42" s="323"/>
      <c r="B42" s="323"/>
      <c r="C42" s="323"/>
      <c r="D42" s="323"/>
      <c r="E42" s="323"/>
      <c r="F42" s="323"/>
      <c r="G42" s="323"/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</row>
    <row r="43">
      <c r="A43" s="323"/>
      <c r="B43" s="323"/>
      <c r="C43" s="323"/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</row>
    <row r="44">
      <c r="A44" s="323"/>
      <c r="B44" s="323"/>
      <c r="C44" s="323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</row>
    <row r="45">
      <c r="A45" s="27"/>
      <c r="B45" s="12"/>
      <c r="C45" s="13"/>
      <c r="D45" s="27"/>
      <c r="E45" s="12"/>
      <c r="F45" s="13"/>
      <c r="G45" s="27"/>
      <c r="H45" s="12"/>
      <c r="I45" s="13"/>
      <c r="J45" s="27"/>
      <c r="K45" s="12"/>
      <c r="L45" s="13"/>
      <c r="M45" s="27"/>
      <c r="N45" s="12"/>
      <c r="O45" s="13"/>
      <c r="P45" s="27"/>
      <c r="Q45" s="12"/>
      <c r="R45" s="13"/>
      <c r="S45" s="336"/>
      <c r="T45" s="12"/>
      <c r="U45" s="13"/>
    </row>
    <row r="46">
      <c r="A46" s="56"/>
      <c r="B46" s="12"/>
      <c r="C46" s="13"/>
      <c r="D46" s="56"/>
      <c r="E46" s="12"/>
      <c r="F46" s="13"/>
      <c r="G46" s="56"/>
      <c r="H46" s="12"/>
      <c r="I46" s="13"/>
      <c r="J46" s="56"/>
      <c r="K46" s="12"/>
      <c r="L46" s="13"/>
      <c r="M46" s="56"/>
      <c r="N46" s="12"/>
      <c r="O46" s="13"/>
      <c r="P46" s="56"/>
      <c r="Q46" s="12"/>
      <c r="R46" s="13"/>
      <c r="S46" s="337"/>
      <c r="T46" s="12"/>
      <c r="U46" s="13"/>
    </row>
    <row r="47">
      <c r="A47" s="169"/>
      <c r="B47" s="169"/>
      <c r="C47" s="169"/>
      <c r="D47" s="148"/>
      <c r="E47" s="148"/>
      <c r="F47" s="148"/>
      <c r="G47" s="338"/>
      <c r="H47" s="339"/>
      <c r="I47" s="339"/>
      <c r="J47" s="340"/>
      <c r="K47" s="340"/>
      <c r="L47" s="340"/>
      <c r="M47" s="323"/>
      <c r="N47" s="323"/>
      <c r="O47" s="323"/>
      <c r="P47" s="323"/>
      <c r="Q47" s="323"/>
      <c r="R47" s="323"/>
      <c r="S47" s="340"/>
      <c r="T47" s="340"/>
      <c r="U47" s="340"/>
    </row>
    <row r="48">
      <c r="A48" s="148"/>
      <c r="B48" s="148"/>
      <c r="C48" s="148"/>
      <c r="D48" s="199"/>
      <c r="E48" s="199"/>
      <c r="F48" s="199"/>
      <c r="G48" s="323"/>
      <c r="H48" s="323"/>
      <c r="I48" s="323"/>
      <c r="J48" s="340"/>
      <c r="K48" s="340"/>
      <c r="L48" s="340"/>
      <c r="M48" s="342"/>
      <c r="N48" s="342"/>
      <c r="O48" s="342"/>
      <c r="P48" s="323"/>
      <c r="Q48" s="323"/>
      <c r="R48" s="323"/>
      <c r="S48" s="323"/>
      <c r="T48" s="323"/>
      <c r="U48" s="323"/>
    </row>
    <row r="49">
      <c r="A49" s="148"/>
      <c r="B49" s="148"/>
      <c r="C49" s="148"/>
      <c r="D49" s="148"/>
      <c r="E49" s="148"/>
      <c r="F49" s="148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</row>
    <row r="50">
      <c r="A50" s="323"/>
      <c r="B50" s="323"/>
      <c r="C50" s="323"/>
      <c r="D50" s="148"/>
      <c r="E50" s="148"/>
      <c r="F50" s="148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40"/>
      <c r="T50" s="340"/>
      <c r="U50" s="340"/>
    </row>
    <row r="51">
      <c r="A51" s="169"/>
      <c r="B51" s="169"/>
      <c r="C51" s="169"/>
      <c r="D51" s="198"/>
      <c r="E51" s="198"/>
      <c r="F51" s="198"/>
      <c r="G51" s="323"/>
      <c r="H51" s="323"/>
      <c r="I51" s="340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</row>
    <row r="52">
      <c r="A52" s="340"/>
      <c r="B52" s="340"/>
      <c r="C52" s="340"/>
      <c r="D52" s="323"/>
      <c r="E52" s="323"/>
      <c r="F52" s="323"/>
      <c r="G52" s="340"/>
      <c r="H52" s="340"/>
      <c r="I52" s="340"/>
      <c r="J52" s="323"/>
      <c r="K52" s="323"/>
      <c r="L52" s="323"/>
      <c r="M52" s="340"/>
      <c r="N52" s="340"/>
      <c r="O52" s="340"/>
      <c r="P52" s="323"/>
      <c r="Q52" s="323"/>
      <c r="R52" s="323"/>
      <c r="S52" s="340"/>
      <c r="T52" s="340"/>
      <c r="U52" s="340"/>
    </row>
    <row r="53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</row>
    <row r="63">
      <c r="L63" s="102" t="s">
        <v>69</v>
      </c>
    </row>
  </sheetData>
  <mergeCells count="96">
    <mergeCell ref="A14:C14"/>
    <mergeCell ref="D21:F21"/>
    <mergeCell ref="G21:I21"/>
    <mergeCell ref="J21:L21"/>
    <mergeCell ref="M21:O21"/>
    <mergeCell ref="P21:R21"/>
    <mergeCell ref="S21:U21"/>
    <mergeCell ref="A21:C21"/>
    <mergeCell ref="D22:F22"/>
    <mergeCell ref="G22:I22"/>
    <mergeCell ref="J22:L22"/>
    <mergeCell ref="M22:O22"/>
    <mergeCell ref="P22:R22"/>
    <mergeCell ref="S22:U22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M30:O30"/>
    <mergeCell ref="P30:R30"/>
    <mergeCell ref="S30:U30"/>
    <mergeCell ref="J30:L30"/>
    <mergeCell ref="J33:L33"/>
    <mergeCell ref="A37:C37"/>
    <mergeCell ref="D37:F37"/>
    <mergeCell ref="G37:I37"/>
    <mergeCell ref="J37:L37"/>
    <mergeCell ref="M37:O37"/>
    <mergeCell ref="J45:L45"/>
    <mergeCell ref="M45:O45"/>
    <mergeCell ref="P45:R45"/>
    <mergeCell ref="S45:U45"/>
    <mergeCell ref="A38:C38"/>
    <mergeCell ref="D38:F38"/>
    <mergeCell ref="G38:I38"/>
    <mergeCell ref="J38:L38"/>
    <mergeCell ref="M38:O38"/>
    <mergeCell ref="M41:O41"/>
    <mergeCell ref="A45:C45"/>
    <mergeCell ref="P46:R46"/>
    <mergeCell ref="S46:U46"/>
    <mergeCell ref="D45:F45"/>
    <mergeCell ref="G45:I45"/>
    <mergeCell ref="A46:C46"/>
    <mergeCell ref="D46:F46"/>
    <mergeCell ref="G46:I46"/>
    <mergeCell ref="J46:L46"/>
    <mergeCell ref="M46:O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P17:R17"/>
    <mergeCell ref="P37:R37"/>
    <mergeCell ref="S37:U37"/>
    <mergeCell ref="P38:R38"/>
    <mergeCell ref="S38:U3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82" t="s">
        <v>69</v>
      </c>
      <c r="C1" s="319" t="s">
        <v>436</v>
      </c>
      <c r="F1" s="320"/>
      <c r="G1" s="9" t="s">
        <v>424</v>
      </c>
      <c r="Q1" s="320"/>
      <c r="R1" s="320"/>
      <c r="S1" s="320"/>
      <c r="T1" s="320"/>
      <c r="U1" s="320"/>
    </row>
    <row r="2">
      <c r="A2" s="90" t="s">
        <v>3</v>
      </c>
      <c r="C2" s="319" t="s">
        <v>437</v>
      </c>
      <c r="F2" s="320"/>
      <c r="Q2" s="320"/>
      <c r="R2" s="320"/>
      <c r="S2" s="320"/>
      <c r="T2" s="320"/>
      <c r="U2" s="320"/>
    </row>
    <row r="3">
      <c r="A3" s="90" t="s">
        <v>5</v>
      </c>
      <c r="C3" s="321"/>
      <c r="F3" s="320"/>
      <c r="Q3" s="320"/>
      <c r="R3" s="320"/>
      <c r="S3" s="320"/>
      <c r="T3" s="320"/>
      <c r="U3" s="320"/>
    </row>
    <row r="4">
      <c r="A4" s="394" t="s">
        <v>6</v>
      </c>
      <c r="B4" s="13"/>
      <c r="C4" s="395"/>
      <c r="D4" s="12"/>
      <c r="E4" s="1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5"/>
      <c r="E6" s="12"/>
      <c r="F6" s="13"/>
      <c r="G6" s="15"/>
      <c r="H6" s="12"/>
      <c r="I6" s="13"/>
      <c r="J6" s="15"/>
      <c r="K6" s="12"/>
      <c r="L6" s="13"/>
      <c r="M6" s="16"/>
      <c r="N6" s="12"/>
      <c r="O6" s="13"/>
      <c r="P6" s="16"/>
      <c r="Q6" s="12"/>
      <c r="R6" s="13"/>
      <c r="S6" s="15">
        <v>46054.0</v>
      </c>
      <c r="T6" s="12"/>
      <c r="U6" s="13"/>
    </row>
    <row r="7">
      <c r="A7" s="323"/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</row>
    <row r="8">
      <c r="A8" s="323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</row>
    <row r="9">
      <c r="A9" s="323"/>
      <c r="B9" s="323"/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212" t="s">
        <v>14</v>
      </c>
      <c r="T9" s="12"/>
      <c r="U9" s="13"/>
    </row>
    <row r="10">
      <c r="A10" s="323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169"/>
      <c r="T10" s="169"/>
      <c r="U10" s="169"/>
    </row>
    <row r="11">
      <c r="A11" s="323"/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169"/>
      <c r="T11" s="169"/>
      <c r="U11" s="169"/>
    </row>
    <row r="12">
      <c r="A12" s="340"/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23"/>
      <c r="T12" s="323"/>
      <c r="U12" s="323"/>
    </row>
    <row r="13">
      <c r="A13" s="27" t="s">
        <v>7</v>
      </c>
      <c r="B13" s="12"/>
      <c r="C13" s="13"/>
      <c r="D13" s="27" t="s">
        <v>8</v>
      </c>
      <c r="E13" s="12"/>
      <c r="F13" s="13"/>
      <c r="G13" s="27" t="s">
        <v>9</v>
      </c>
      <c r="H13" s="12"/>
      <c r="I13" s="13"/>
      <c r="J13" s="27" t="s">
        <v>10</v>
      </c>
      <c r="K13" s="12"/>
      <c r="L13" s="13"/>
      <c r="M13" s="27" t="s">
        <v>11</v>
      </c>
      <c r="N13" s="12"/>
      <c r="O13" s="13"/>
      <c r="P13" s="27" t="s">
        <v>12</v>
      </c>
      <c r="Q13" s="12"/>
      <c r="R13" s="13"/>
      <c r="S13" s="29" t="s">
        <v>13</v>
      </c>
      <c r="T13" s="12"/>
      <c r="U13" s="13"/>
    </row>
    <row r="14">
      <c r="A14" s="30">
        <f>S6+1</f>
        <v>46055</v>
      </c>
      <c r="B14" s="12"/>
      <c r="C14" s="13"/>
      <c r="D14" s="30">
        <f>A14+1</f>
        <v>46056</v>
      </c>
      <c r="E14" s="12"/>
      <c r="F14" s="13"/>
      <c r="G14" s="30">
        <f>D14+1</f>
        <v>46057</v>
      </c>
      <c r="H14" s="12"/>
      <c r="I14" s="13"/>
      <c r="J14" s="30">
        <f>G14+1</f>
        <v>46058</v>
      </c>
      <c r="K14" s="12"/>
      <c r="L14" s="13"/>
      <c r="M14" s="30">
        <f>J14+1</f>
        <v>46059</v>
      </c>
      <c r="N14" s="12"/>
      <c r="O14" s="13"/>
      <c r="P14" s="30">
        <f>M14+1</f>
        <v>46060</v>
      </c>
      <c r="Q14" s="12"/>
      <c r="R14" s="13"/>
      <c r="S14" s="31">
        <f>P14+1</f>
        <v>46061</v>
      </c>
      <c r="T14" s="12"/>
      <c r="U14" s="13"/>
    </row>
    <row r="15">
      <c r="A15" s="323"/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169"/>
      <c r="T15" s="169"/>
      <c r="U15" s="169"/>
    </row>
    <row r="16">
      <c r="A16" s="120" t="s">
        <v>405</v>
      </c>
      <c r="B16" s="396" t="s">
        <v>438</v>
      </c>
      <c r="C16" s="396" t="s">
        <v>25</v>
      </c>
      <c r="D16" s="333"/>
      <c r="E16" s="333"/>
      <c r="F16" s="324"/>
      <c r="G16" s="24" t="s">
        <v>23</v>
      </c>
      <c r="H16" s="33" t="s">
        <v>24</v>
      </c>
      <c r="I16" s="33" t="s">
        <v>25</v>
      </c>
      <c r="J16" s="323"/>
      <c r="K16" s="323"/>
      <c r="L16" s="323"/>
      <c r="M16" s="333" t="s">
        <v>410</v>
      </c>
      <c r="N16" s="333" t="s">
        <v>411</v>
      </c>
      <c r="O16" s="191" t="s">
        <v>408</v>
      </c>
      <c r="P16" s="323"/>
      <c r="Q16" s="323"/>
      <c r="R16" s="323"/>
      <c r="S16" s="323"/>
      <c r="T16" s="323"/>
      <c r="U16" s="323"/>
    </row>
    <row r="17">
      <c r="A17" s="323"/>
      <c r="B17" s="323"/>
      <c r="C17" s="323"/>
      <c r="D17" s="333"/>
      <c r="E17" s="333"/>
      <c r="F17" s="324"/>
      <c r="G17" s="323"/>
      <c r="H17" s="323"/>
      <c r="I17" s="323"/>
      <c r="J17" s="85" t="s">
        <v>407</v>
      </c>
      <c r="K17" s="397" t="s">
        <v>439</v>
      </c>
      <c r="L17" s="397" t="s">
        <v>440</v>
      </c>
      <c r="M17" s="24" t="s">
        <v>330</v>
      </c>
      <c r="N17" s="24" t="s">
        <v>345</v>
      </c>
      <c r="O17" s="46" t="s">
        <v>48</v>
      </c>
      <c r="P17" s="396" t="s">
        <v>441</v>
      </c>
      <c r="Q17" s="396" t="s">
        <v>438</v>
      </c>
      <c r="R17" s="396" t="s">
        <v>25</v>
      </c>
      <c r="S17" s="212" t="s">
        <v>14</v>
      </c>
      <c r="T17" s="12"/>
      <c r="U17" s="13"/>
    </row>
    <row r="18">
      <c r="A18" s="323"/>
      <c r="B18" s="323"/>
      <c r="C18" s="323"/>
      <c r="D18" s="398" t="s">
        <v>429</v>
      </c>
      <c r="E18" s="386" t="s">
        <v>30</v>
      </c>
      <c r="F18" s="386" t="s">
        <v>34</v>
      </c>
      <c r="G18" s="60" t="s">
        <v>431</v>
      </c>
      <c r="H18" s="60" t="s">
        <v>247</v>
      </c>
      <c r="I18" s="387" t="s">
        <v>40</v>
      </c>
      <c r="J18" s="323"/>
      <c r="K18" s="323"/>
      <c r="L18" s="323"/>
      <c r="M18" s="323"/>
      <c r="N18" s="323"/>
      <c r="O18" s="323"/>
      <c r="P18" s="323"/>
      <c r="Q18" s="323"/>
      <c r="R18" s="323"/>
      <c r="S18" s="169"/>
      <c r="T18" s="169"/>
      <c r="U18" s="169"/>
    </row>
    <row r="19">
      <c r="A19" s="323"/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169"/>
      <c r="T19" s="169"/>
      <c r="U19" s="169"/>
    </row>
    <row r="20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23"/>
      <c r="T20" s="323"/>
      <c r="U20" s="323"/>
    </row>
    <row r="2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6">
        <f>S14+1</f>
        <v>46062</v>
      </c>
      <c r="B22" s="12"/>
      <c r="C22" s="13"/>
      <c r="D22" s="16">
        <f>A22+1</f>
        <v>46063</v>
      </c>
      <c r="E22" s="12"/>
      <c r="F22" s="13"/>
      <c r="G22" s="16">
        <f>D22+1</f>
        <v>46064</v>
      </c>
      <c r="H22" s="12"/>
      <c r="I22" s="13"/>
      <c r="J22" s="16">
        <f>G22+1</f>
        <v>46065</v>
      </c>
      <c r="K22" s="12"/>
      <c r="L22" s="13"/>
      <c r="M22" s="16">
        <f>J22+1</f>
        <v>46066</v>
      </c>
      <c r="N22" s="12"/>
      <c r="O22" s="13"/>
      <c r="P22" s="16">
        <f>M22+1</f>
        <v>46067</v>
      </c>
      <c r="Q22" s="12"/>
      <c r="R22" s="13"/>
      <c r="S22" s="176">
        <f>P22+1</f>
        <v>46068</v>
      </c>
      <c r="T22" s="12"/>
      <c r="U22" s="13"/>
    </row>
    <row r="23">
      <c r="A23" s="323"/>
      <c r="B23" s="323"/>
      <c r="C23" s="323"/>
      <c r="D23" s="323"/>
      <c r="E23" s="323"/>
      <c r="F23" s="323"/>
      <c r="G23" s="323"/>
      <c r="H23" s="323"/>
      <c r="I23" s="323"/>
      <c r="J23" s="183"/>
      <c r="K23" s="183"/>
      <c r="L23" s="42"/>
      <c r="M23" s="323"/>
      <c r="N23" s="323"/>
      <c r="O23" s="323"/>
      <c r="P23" s="323"/>
      <c r="Q23" s="323"/>
      <c r="R23" s="323"/>
      <c r="S23" s="323"/>
      <c r="T23" s="323"/>
      <c r="U23" s="323"/>
    </row>
    <row r="24">
      <c r="A24" s="323"/>
      <c r="B24" s="323"/>
      <c r="C24" s="323"/>
      <c r="D24" s="146" t="s">
        <v>329</v>
      </c>
      <c r="E24" s="146" t="s">
        <v>38</v>
      </c>
      <c r="F24" s="146" t="s">
        <v>25</v>
      </c>
      <c r="G24" s="124" t="s">
        <v>362</v>
      </c>
      <c r="H24" s="124" t="s">
        <v>283</v>
      </c>
      <c r="I24" s="44" t="s">
        <v>409</v>
      </c>
      <c r="J24" s="183"/>
      <c r="K24" s="183"/>
      <c r="L24" s="183"/>
      <c r="M24" s="391" t="s">
        <v>442</v>
      </c>
      <c r="N24" s="391" t="s">
        <v>438</v>
      </c>
      <c r="O24" s="399"/>
      <c r="P24" s="124" t="s">
        <v>362</v>
      </c>
      <c r="Q24" s="124" t="s">
        <v>118</v>
      </c>
      <c r="R24" s="44" t="s">
        <v>31</v>
      </c>
      <c r="S24" s="131"/>
      <c r="T24" s="131"/>
      <c r="U24" s="131"/>
    </row>
    <row r="25">
      <c r="A25" s="333" t="s">
        <v>410</v>
      </c>
      <c r="B25" s="333" t="s">
        <v>118</v>
      </c>
      <c r="C25" s="191" t="s">
        <v>409</v>
      </c>
      <c r="D25" s="398" t="s">
        <v>429</v>
      </c>
      <c r="E25" s="386" t="s">
        <v>30</v>
      </c>
      <c r="F25" s="386" t="s">
        <v>34</v>
      </c>
      <c r="G25" s="323" t="s">
        <v>382</v>
      </c>
      <c r="H25" s="323" t="s">
        <v>110</v>
      </c>
      <c r="I25" s="323" t="s">
        <v>31</v>
      </c>
      <c r="J25" s="182" t="s">
        <v>144</v>
      </c>
      <c r="K25" s="182" t="s">
        <v>152</v>
      </c>
      <c r="L25" s="182" t="s">
        <v>25</v>
      </c>
      <c r="M25" s="388" t="s">
        <v>432</v>
      </c>
      <c r="N25" s="389" t="s">
        <v>247</v>
      </c>
      <c r="O25" s="390" t="s">
        <v>40</v>
      </c>
      <c r="P25" s="398" t="s">
        <v>429</v>
      </c>
      <c r="Q25" s="385" t="s">
        <v>51</v>
      </c>
      <c r="R25" s="398" t="s">
        <v>31</v>
      </c>
      <c r="S25" s="212" t="s">
        <v>14</v>
      </c>
      <c r="T25" s="12"/>
      <c r="U25" s="13"/>
    </row>
    <row r="26">
      <c r="A26" s="333" t="s">
        <v>419</v>
      </c>
      <c r="B26" s="333" t="s">
        <v>36</v>
      </c>
      <c r="C26" s="191" t="s">
        <v>408</v>
      </c>
      <c r="D26" s="323"/>
      <c r="E26" s="323"/>
      <c r="F26" s="323"/>
      <c r="G26" s="324" t="s">
        <v>443</v>
      </c>
      <c r="H26" s="324" t="s">
        <v>444</v>
      </c>
      <c r="I26" s="324" t="s">
        <v>25</v>
      </c>
      <c r="J26" s="42"/>
      <c r="K26" s="42"/>
      <c r="L26" s="184"/>
      <c r="M26" s="323"/>
      <c r="N26" s="323"/>
      <c r="O26" s="323"/>
      <c r="P26" s="323"/>
      <c r="Q26" s="323"/>
      <c r="R26" s="323"/>
      <c r="S26" s="169"/>
      <c r="T26" s="169"/>
      <c r="U26" s="169"/>
    </row>
    <row r="27">
      <c r="A27" s="328" t="s">
        <v>445</v>
      </c>
      <c r="B27" s="328" t="s">
        <v>110</v>
      </c>
      <c r="C27" s="328" t="s">
        <v>25</v>
      </c>
      <c r="D27" s="323"/>
      <c r="E27" s="323"/>
      <c r="F27" s="323"/>
      <c r="G27" s="323"/>
      <c r="H27" s="323"/>
      <c r="I27" s="323"/>
      <c r="J27" s="44"/>
      <c r="K27" s="44"/>
      <c r="L27" s="44"/>
      <c r="M27" s="323"/>
      <c r="N27" s="323"/>
      <c r="O27" s="323"/>
      <c r="P27" s="323"/>
      <c r="Q27" s="323"/>
      <c r="R27" s="323"/>
      <c r="S27" s="169"/>
      <c r="T27" s="169"/>
      <c r="U27" s="169"/>
    </row>
    <row r="28">
      <c r="A28" s="340"/>
      <c r="B28" s="340"/>
      <c r="C28" s="340"/>
      <c r="D28" s="340"/>
      <c r="E28" s="340"/>
      <c r="F28" s="340"/>
      <c r="G28" s="340"/>
      <c r="H28" s="340"/>
      <c r="I28" s="340"/>
      <c r="J28" s="24" t="s">
        <v>147</v>
      </c>
      <c r="K28" s="24" t="s">
        <v>129</v>
      </c>
      <c r="L28" s="24" t="s">
        <v>25</v>
      </c>
      <c r="M28" s="340"/>
      <c r="N28" s="340"/>
      <c r="O28" s="340"/>
      <c r="P28" s="340"/>
      <c r="Q28" s="340"/>
      <c r="R28" s="340"/>
      <c r="S28" s="323"/>
      <c r="T28" s="323"/>
      <c r="U28" s="323"/>
    </row>
    <row r="29">
      <c r="A29" s="27" t="s">
        <v>7</v>
      </c>
      <c r="B29" s="12"/>
      <c r="C29" s="13"/>
      <c r="D29" s="29" t="s">
        <v>8</v>
      </c>
      <c r="E29" s="12"/>
      <c r="F29" s="13"/>
      <c r="G29" s="27" t="s">
        <v>9</v>
      </c>
      <c r="H29" s="12"/>
      <c r="I29" s="13"/>
      <c r="J29" s="27" t="s">
        <v>10</v>
      </c>
      <c r="K29" s="12"/>
      <c r="L29" s="13"/>
      <c r="M29" s="27" t="s">
        <v>11</v>
      </c>
      <c r="N29" s="12"/>
      <c r="O29" s="13"/>
      <c r="P29" s="27" t="s">
        <v>12</v>
      </c>
      <c r="Q29" s="12"/>
      <c r="R29" s="13"/>
      <c r="S29" s="29" t="s">
        <v>13</v>
      </c>
      <c r="T29" s="12"/>
      <c r="U29" s="13"/>
    </row>
    <row r="30">
      <c r="A30" s="56">
        <f>S22+1</f>
        <v>46069</v>
      </c>
      <c r="B30" s="12"/>
      <c r="C30" s="13"/>
      <c r="D30" s="57">
        <f>A30+1</f>
        <v>46070</v>
      </c>
      <c r="E30" s="12"/>
      <c r="F30" s="13"/>
      <c r="G30" s="56">
        <f>D30+1</f>
        <v>46071</v>
      </c>
      <c r="H30" s="12"/>
      <c r="I30" s="13"/>
      <c r="J30" s="56">
        <f>G30+1</f>
        <v>46072</v>
      </c>
      <c r="K30" s="12"/>
      <c r="L30" s="13"/>
      <c r="M30" s="56">
        <f>J30+1</f>
        <v>46073</v>
      </c>
      <c r="N30" s="12"/>
      <c r="O30" s="13"/>
      <c r="P30" s="56">
        <f>M30+1</f>
        <v>46074</v>
      </c>
      <c r="Q30" s="12"/>
      <c r="R30" s="13"/>
      <c r="S30" s="57">
        <f>P30+1</f>
        <v>46075</v>
      </c>
      <c r="T30" s="12"/>
      <c r="U30" s="13"/>
    </row>
    <row r="31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</row>
    <row r="32">
      <c r="A32" s="400" t="s">
        <v>407</v>
      </c>
      <c r="B32" s="400" t="s">
        <v>266</v>
      </c>
      <c r="C32" s="396" t="s">
        <v>25</v>
      </c>
      <c r="D32" s="323"/>
      <c r="E32" s="323"/>
      <c r="F32" s="323"/>
      <c r="G32" s="396" t="s">
        <v>407</v>
      </c>
      <c r="H32" s="396" t="s">
        <v>438</v>
      </c>
      <c r="I32" s="396" t="s">
        <v>25</v>
      </c>
      <c r="J32" s="323"/>
      <c r="K32" s="323"/>
      <c r="L32" s="323"/>
      <c r="M32" s="323"/>
      <c r="N32" s="323"/>
      <c r="O32" s="323"/>
      <c r="P32" s="323"/>
      <c r="Q32" s="323"/>
      <c r="R32" s="323"/>
      <c r="S32" s="131"/>
      <c r="T32" s="131"/>
      <c r="U32" s="131"/>
    </row>
    <row r="33">
      <c r="A33" s="36"/>
      <c r="B33" s="60" t="s">
        <v>439</v>
      </c>
      <c r="C33" s="396" t="s">
        <v>25</v>
      </c>
      <c r="D33" s="212" t="s">
        <v>14</v>
      </c>
      <c r="E33" s="12"/>
      <c r="F33" s="13"/>
      <c r="G33" s="323"/>
      <c r="H33" s="323"/>
      <c r="I33" s="323"/>
      <c r="J33" s="85" t="s">
        <v>407</v>
      </c>
      <c r="K33" s="397" t="s">
        <v>439</v>
      </c>
      <c r="L33" s="397" t="s">
        <v>440</v>
      </c>
      <c r="M33" s="24" t="s">
        <v>330</v>
      </c>
      <c r="N33" s="24" t="s">
        <v>345</v>
      </c>
      <c r="O33" s="46" t="s">
        <v>48</v>
      </c>
      <c r="P33" s="396" t="s">
        <v>441</v>
      </c>
      <c r="Q33" s="396" t="s">
        <v>438</v>
      </c>
      <c r="R33" s="396" t="s">
        <v>25</v>
      </c>
      <c r="S33" s="212" t="s">
        <v>14</v>
      </c>
      <c r="T33" s="12"/>
      <c r="U33" s="13"/>
    </row>
    <row r="34">
      <c r="A34" s="323"/>
      <c r="B34" s="323"/>
      <c r="C34" s="323"/>
      <c r="D34" s="323"/>
      <c r="E34" s="323"/>
      <c r="F34" s="323"/>
      <c r="G34" s="324" t="s">
        <v>443</v>
      </c>
      <c r="H34" s="324" t="s">
        <v>444</v>
      </c>
      <c r="I34" s="324" t="s">
        <v>25</v>
      </c>
      <c r="J34" s="401" t="s">
        <v>397</v>
      </c>
      <c r="K34" s="401" t="s">
        <v>30</v>
      </c>
      <c r="L34" s="401" t="s">
        <v>398</v>
      </c>
      <c r="M34" s="323"/>
      <c r="N34" s="323"/>
      <c r="O34" s="323"/>
      <c r="P34" s="323"/>
      <c r="Q34" s="323"/>
      <c r="R34" s="323"/>
      <c r="S34" s="169"/>
      <c r="T34" s="169"/>
      <c r="U34" s="169"/>
    </row>
    <row r="35">
      <c r="A35" s="323"/>
      <c r="B35" s="323"/>
      <c r="C35" s="323"/>
      <c r="D35" s="323"/>
      <c r="E35" s="323"/>
      <c r="F35" s="323"/>
      <c r="G35" s="323"/>
      <c r="H35" s="323"/>
      <c r="I35" s="323"/>
      <c r="J35" s="401" t="s">
        <v>399</v>
      </c>
      <c r="K35" s="401" t="s">
        <v>110</v>
      </c>
      <c r="L35" s="401" t="s">
        <v>398</v>
      </c>
      <c r="M35" s="323"/>
      <c r="N35" s="323"/>
      <c r="O35" s="323"/>
      <c r="P35" s="323"/>
      <c r="Q35" s="323"/>
      <c r="R35" s="323"/>
      <c r="S35" s="169"/>
      <c r="T35" s="169"/>
      <c r="U35" s="169"/>
    </row>
    <row r="36">
      <c r="A36" s="340"/>
      <c r="B36" s="340"/>
      <c r="C36" s="340"/>
      <c r="D36" s="34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23"/>
      <c r="T36" s="323"/>
      <c r="U36" s="323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/>
      <c r="T37" s="12"/>
      <c r="U37" s="13"/>
    </row>
    <row r="38">
      <c r="A38" s="16">
        <f>S30+1</f>
        <v>46076</v>
      </c>
      <c r="B38" s="12"/>
      <c r="C38" s="13"/>
      <c r="D38" s="16">
        <f>A38+1</f>
        <v>46077</v>
      </c>
      <c r="E38" s="12"/>
      <c r="F38" s="13"/>
      <c r="G38" s="16">
        <f>D38+1</f>
        <v>46078</v>
      </c>
      <c r="H38" s="12"/>
      <c r="I38" s="13"/>
      <c r="J38" s="16">
        <f>G38+1</f>
        <v>46079</v>
      </c>
      <c r="K38" s="12"/>
      <c r="L38" s="13"/>
      <c r="M38" s="16">
        <f>J38+1</f>
        <v>46080</v>
      </c>
      <c r="N38" s="12"/>
      <c r="O38" s="13"/>
      <c r="P38" s="16">
        <f>M38+1</f>
        <v>46081</v>
      </c>
      <c r="Q38" s="12"/>
      <c r="R38" s="13"/>
      <c r="S38" s="176"/>
      <c r="T38" s="12"/>
      <c r="U38" s="13"/>
    </row>
    <row r="39">
      <c r="A39" s="323"/>
      <c r="B39" s="323"/>
      <c r="C39" s="323"/>
      <c r="D39" s="323"/>
      <c r="E39" s="323"/>
      <c r="F39" s="323"/>
      <c r="G39" s="323"/>
      <c r="H39" s="323"/>
      <c r="I39" s="323"/>
      <c r="J39" s="338"/>
      <c r="K39" s="339"/>
      <c r="L39" s="339"/>
      <c r="M39" s="323"/>
      <c r="N39" s="323"/>
      <c r="O39" s="323"/>
      <c r="S39" s="323"/>
      <c r="T39" s="323"/>
      <c r="U39" s="323"/>
    </row>
    <row r="40">
      <c r="A40" s="323"/>
      <c r="B40" s="323"/>
      <c r="C40" s="323"/>
      <c r="D40" s="323"/>
      <c r="E40" s="323"/>
      <c r="F40" s="323"/>
      <c r="G40" s="323"/>
      <c r="H40" s="323"/>
      <c r="I40" s="323"/>
      <c r="J40" s="338"/>
      <c r="K40" s="339"/>
      <c r="L40" s="339"/>
      <c r="M40" s="323"/>
      <c r="N40" s="323"/>
      <c r="O40" s="323"/>
      <c r="P40" s="24"/>
      <c r="Q40" s="24"/>
      <c r="R40" s="396"/>
      <c r="S40" s="131"/>
      <c r="T40" s="131"/>
      <c r="U40" s="131"/>
    </row>
    <row r="41">
      <c r="A41" s="364" t="s">
        <v>421</v>
      </c>
      <c r="B41" s="364" t="s">
        <v>277</v>
      </c>
      <c r="C41" s="44" t="s">
        <v>48</v>
      </c>
      <c r="D41" s="398" t="s">
        <v>429</v>
      </c>
      <c r="E41" s="386" t="s">
        <v>30</v>
      </c>
      <c r="F41" s="386" t="s">
        <v>34</v>
      </c>
      <c r="G41" s="271" t="s">
        <v>162</v>
      </c>
      <c r="H41" s="12"/>
      <c r="I41" s="13"/>
      <c r="J41" s="271" t="s">
        <v>162</v>
      </c>
      <c r="K41" s="12"/>
      <c r="L41" s="13"/>
      <c r="M41" s="402" t="s">
        <v>446</v>
      </c>
      <c r="N41" s="12"/>
      <c r="O41" s="13"/>
      <c r="P41" s="402" t="s">
        <v>446</v>
      </c>
      <c r="Q41" s="12"/>
      <c r="R41" s="13"/>
      <c r="S41" s="131"/>
      <c r="T41" s="131"/>
      <c r="U41" s="131"/>
    </row>
    <row r="42">
      <c r="A42" s="44" t="s">
        <v>414</v>
      </c>
      <c r="B42" s="44" t="s">
        <v>359</v>
      </c>
      <c r="C42" s="24" t="s">
        <v>365</v>
      </c>
      <c r="D42" s="323"/>
      <c r="E42" s="323"/>
      <c r="F42" s="323"/>
      <c r="G42" s="323"/>
      <c r="H42" s="323"/>
      <c r="I42" s="323"/>
      <c r="J42" s="338"/>
      <c r="K42" s="339"/>
      <c r="L42" s="339"/>
      <c r="M42" s="401" t="s">
        <v>397</v>
      </c>
      <c r="N42" s="401" t="s">
        <v>30</v>
      </c>
      <c r="O42" s="401" t="s">
        <v>398</v>
      </c>
      <c r="P42" s="124" t="s">
        <v>362</v>
      </c>
      <c r="Q42" s="124" t="s">
        <v>118</v>
      </c>
      <c r="R42" s="44" t="s">
        <v>31</v>
      </c>
      <c r="S42" s="169"/>
      <c r="T42" s="169"/>
      <c r="U42" s="169"/>
    </row>
    <row r="43">
      <c r="A43" s="323"/>
      <c r="B43" s="323"/>
      <c r="C43" s="323"/>
      <c r="D43" s="323"/>
      <c r="E43" s="323"/>
      <c r="F43" s="323"/>
      <c r="G43" s="323"/>
      <c r="H43" s="323"/>
      <c r="I43" s="323"/>
      <c r="J43" s="338"/>
      <c r="K43" s="339"/>
      <c r="L43" s="339"/>
      <c r="M43" s="401" t="s">
        <v>399</v>
      </c>
      <c r="N43" s="401" t="s">
        <v>110</v>
      </c>
      <c r="O43" s="401" t="s">
        <v>398</v>
      </c>
      <c r="P43" s="323"/>
      <c r="Q43" s="323"/>
      <c r="R43" s="323"/>
      <c r="S43" s="169"/>
      <c r="T43" s="169"/>
      <c r="U43" s="169"/>
    </row>
    <row r="44">
      <c r="A44" s="323"/>
      <c r="B44" s="323"/>
      <c r="C44" s="323"/>
      <c r="D44" s="340"/>
      <c r="E44" s="340"/>
      <c r="F44" s="340"/>
      <c r="G44" s="340"/>
      <c r="H44" s="340"/>
      <c r="I44" s="340"/>
      <c r="J44" s="338"/>
      <c r="K44" s="339"/>
      <c r="L44" s="339"/>
      <c r="M44" s="340"/>
      <c r="N44" s="340"/>
      <c r="O44" s="340"/>
      <c r="P44" s="340"/>
      <c r="Q44" s="340"/>
      <c r="R44" s="340"/>
      <c r="S44" s="323"/>
      <c r="T44" s="323"/>
      <c r="U44" s="323"/>
    </row>
    <row r="45">
      <c r="A45" s="27"/>
      <c r="B45" s="12"/>
      <c r="C45" s="13"/>
      <c r="D45" s="27"/>
      <c r="E45" s="12"/>
      <c r="F45" s="13"/>
      <c r="G45" s="27"/>
      <c r="H45" s="12"/>
      <c r="I45" s="13"/>
      <c r="J45" s="27"/>
      <c r="K45" s="12"/>
      <c r="L45" s="13"/>
      <c r="M45" s="27"/>
      <c r="N45" s="12"/>
      <c r="O45" s="13"/>
      <c r="P45" s="27"/>
      <c r="Q45" s="12"/>
      <c r="R45" s="13"/>
      <c r="S45" s="336"/>
      <c r="T45" s="12"/>
      <c r="U45" s="13"/>
    </row>
    <row r="46">
      <c r="A46" s="56"/>
      <c r="B46" s="12"/>
      <c r="C46" s="13"/>
      <c r="D46" s="56"/>
      <c r="E46" s="12"/>
      <c r="F46" s="13"/>
      <c r="G46" s="56"/>
      <c r="H46" s="12"/>
      <c r="I46" s="13"/>
      <c r="J46" s="56"/>
      <c r="K46" s="12"/>
      <c r="L46" s="13"/>
      <c r="M46" s="56"/>
      <c r="N46" s="12"/>
      <c r="O46" s="13"/>
      <c r="P46" s="56"/>
      <c r="Q46" s="12"/>
      <c r="R46" s="13"/>
      <c r="S46" s="337"/>
      <c r="T46" s="12"/>
      <c r="U46" s="13"/>
    </row>
    <row r="47">
      <c r="A47" s="169"/>
      <c r="B47" s="169"/>
      <c r="C47" s="169"/>
      <c r="D47" s="148"/>
      <c r="E47" s="148"/>
      <c r="F47" s="148"/>
      <c r="G47" s="338"/>
      <c r="H47" s="339"/>
      <c r="I47" s="339"/>
      <c r="J47" s="340"/>
      <c r="K47" s="340"/>
      <c r="L47" s="340"/>
      <c r="M47" s="323"/>
      <c r="N47" s="323"/>
      <c r="O47" s="323"/>
      <c r="P47" s="323"/>
      <c r="Q47" s="323"/>
      <c r="R47" s="323"/>
      <c r="S47" s="340"/>
      <c r="T47" s="340"/>
      <c r="U47" s="340"/>
    </row>
    <row r="48">
      <c r="A48" s="148"/>
      <c r="B48" s="148"/>
      <c r="C48" s="148"/>
      <c r="D48" s="199"/>
      <c r="E48" s="199"/>
      <c r="F48" s="199"/>
      <c r="G48" s="323"/>
      <c r="H48" s="323"/>
      <c r="I48" s="323"/>
      <c r="J48" s="340"/>
      <c r="K48" s="340"/>
      <c r="L48" s="340"/>
      <c r="M48" s="342"/>
      <c r="N48" s="342"/>
      <c r="O48" s="342"/>
      <c r="P48" s="323"/>
      <c r="Q48" s="323"/>
      <c r="R48" s="323"/>
      <c r="S48" s="323"/>
      <c r="T48" s="323"/>
      <c r="U48" s="323"/>
    </row>
    <row r="49">
      <c r="A49" s="148"/>
      <c r="B49" s="148"/>
      <c r="C49" s="148"/>
      <c r="D49" s="148"/>
      <c r="E49" s="148"/>
      <c r="F49" s="148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</row>
    <row r="50">
      <c r="A50" s="323"/>
      <c r="B50" s="323"/>
      <c r="C50" s="323"/>
      <c r="D50" s="148"/>
      <c r="E50" s="148"/>
      <c r="F50" s="148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40"/>
      <c r="T50" s="340"/>
      <c r="U50" s="340"/>
    </row>
    <row r="51">
      <c r="A51" s="169"/>
      <c r="B51" s="169"/>
      <c r="C51" s="169"/>
      <c r="D51" s="198"/>
      <c r="E51" s="198"/>
      <c r="F51" s="198"/>
      <c r="G51" s="323"/>
      <c r="H51" s="323"/>
      <c r="I51" s="340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</row>
    <row r="52">
      <c r="A52" s="340"/>
      <c r="B52" s="340"/>
      <c r="C52" s="340"/>
      <c r="D52" s="323"/>
      <c r="E52" s="323"/>
      <c r="F52" s="323"/>
      <c r="G52" s="340"/>
      <c r="H52" s="340"/>
      <c r="I52" s="340"/>
      <c r="J52" s="323"/>
      <c r="K52" s="323"/>
      <c r="L52" s="323"/>
      <c r="M52" s="340"/>
      <c r="N52" s="340"/>
      <c r="O52" s="340"/>
      <c r="P52" s="323"/>
      <c r="Q52" s="323"/>
      <c r="R52" s="323"/>
      <c r="S52" s="340"/>
      <c r="T52" s="340"/>
      <c r="U52" s="340"/>
    </row>
    <row r="53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</row>
    <row r="63">
      <c r="L63" s="102" t="s">
        <v>69</v>
      </c>
    </row>
  </sheetData>
  <mergeCells count="102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S30:U30"/>
    <mergeCell ref="S33:U33"/>
    <mergeCell ref="A30:C30"/>
    <mergeCell ref="D30:F30"/>
    <mergeCell ref="G30:I30"/>
    <mergeCell ref="J30:L30"/>
    <mergeCell ref="M30:O30"/>
    <mergeCell ref="P30:R30"/>
    <mergeCell ref="D33:F33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J45:L45"/>
    <mergeCell ref="M45:O45"/>
    <mergeCell ref="S45:U45"/>
    <mergeCell ref="A45:C45"/>
    <mergeCell ref="A46:C46"/>
    <mergeCell ref="D46:F46"/>
    <mergeCell ref="G46:I46"/>
    <mergeCell ref="J46:L46"/>
    <mergeCell ref="M46:O46"/>
    <mergeCell ref="P46:R46"/>
    <mergeCell ref="S46:U46"/>
    <mergeCell ref="G41:I41"/>
    <mergeCell ref="J41:L41"/>
    <mergeCell ref="M41:O41"/>
    <mergeCell ref="P41:R41"/>
    <mergeCell ref="D45:F45"/>
    <mergeCell ref="G45:I45"/>
    <mergeCell ref="P45:R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S25:U2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29:C29"/>
    <mergeCell ref="D29:F29"/>
    <mergeCell ref="G29:I29"/>
    <mergeCell ref="J29:L29"/>
    <mergeCell ref="M29:O29"/>
    <mergeCell ref="P29:R29"/>
    <mergeCell ref="S29:U29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7.57"/>
    <col customWidth="1" min="10" max="10" width="25.43"/>
    <col customWidth="1" min="11" max="11" width="12.14"/>
    <col customWidth="1" min="12" max="12" width="9.14"/>
    <col customWidth="1" min="13" max="13" width="18.57"/>
    <col customWidth="1" min="15" max="15" width="8.0"/>
    <col customWidth="1" min="16" max="16" width="14.14"/>
    <col customWidth="1" min="17" max="17" width="11.43"/>
    <col customWidth="1" min="18" max="18" width="9.0"/>
    <col customWidth="1" min="19" max="19" width="17.57"/>
    <col customWidth="1" min="21" max="21" width="7.86"/>
  </cols>
  <sheetData>
    <row r="1">
      <c r="A1" s="90" t="s">
        <v>138</v>
      </c>
      <c r="C1" s="319" t="s">
        <v>360</v>
      </c>
      <c r="F1" s="320"/>
      <c r="G1" s="9" t="s">
        <v>424</v>
      </c>
      <c r="Q1" s="320"/>
      <c r="R1" s="320"/>
      <c r="S1" s="320"/>
      <c r="T1" s="320"/>
      <c r="U1" s="320"/>
    </row>
    <row r="2">
      <c r="A2" s="90" t="s">
        <v>3</v>
      </c>
      <c r="C2" s="383" t="s">
        <v>404</v>
      </c>
      <c r="F2" s="320"/>
      <c r="Q2" s="320"/>
      <c r="R2" s="320"/>
      <c r="S2" s="320"/>
      <c r="T2" s="320"/>
      <c r="U2" s="320"/>
    </row>
    <row r="3">
      <c r="A3" s="90" t="s">
        <v>5</v>
      </c>
      <c r="C3" s="321"/>
      <c r="F3" s="320"/>
      <c r="Q3" s="320"/>
      <c r="R3" s="320"/>
      <c r="S3" s="320"/>
      <c r="T3" s="320"/>
      <c r="U3" s="320"/>
    </row>
    <row r="4">
      <c r="A4" s="90" t="s">
        <v>6</v>
      </c>
      <c r="C4" s="322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5"/>
      <c r="E6" s="12"/>
      <c r="F6" s="13"/>
      <c r="G6" s="15"/>
      <c r="H6" s="12"/>
      <c r="I6" s="13"/>
      <c r="J6" s="17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</row>
    <row r="7">
      <c r="A7" s="323"/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</row>
    <row r="8">
      <c r="A8" s="323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124" t="s">
        <v>362</v>
      </c>
      <c r="T8" s="124" t="s">
        <v>118</v>
      </c>
      <c r="U8" s="44" t="s">
        <v>31</v>
      </c>
    </row>
    <row r="9">
      <c r="A9" s="323"/>
      <c r="B9" s="323"/>
      <c r="C9" s="323"/>
      <c r="D9" s="323"/>
      <c r="E9" s="323"/>
      <c r="F9" s="323"/>
      <c r="G9" s="323"/>
      <c r="H9" s="323"/>
      <c r="I9" s="323"/>
      <c r="J9" s="169"/>
      <c r="K9" s="169"/>
      <c r="L9" s="169"/>
      <c r="M9" s="120"/>
      <c r="N9" s="120"/>
      <c r="O9" s="120"/>
      <c r="P9" s="24"/>
      <c r="Q9" s="24"/>
      <c r="R9" s="24"/>
      <c r="S9" s="112" t="s">
        <v>148</v>
      </c>
      <c r="T9" s="277" t="s">
        <v>149</v>
      </c>
      <c r="U9" s="112" t="s">
        <v>25</v>
      </c>
    </row>
    <row r="10">
      <c r="A10" s="323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48"/>
      <c r="T10" s="48"/>
      <c r="U10" s="127" t="s">
        <v>107</v>
      </c>
    </row>
    <row r="11">
      <c r="A11" s="323"/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</row>
    <row r="12">
      <c r="A12" s="323"/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</row>
    <row r="13">
      <c r="A13" s="27" t="s">
        <v>7</v>
      </c>
      <c r="B13" s="12"/>
      <c r="C13" s="13"/>
      <c r="D13" s="27" t="s">
        <v>8</v>
      </c>
      <c r="E13" s="12"/>
      <c r="F13" s="13"/>
      <c r="G13" s="27" t="s">
        <v>9</v>
      </c>
      <c r="H13" s="12"/>
      <c r="I13" s="13"/>
      <c r="J13" s="27" t="s">
        <v>10</v>
      </c>
      <c r="K13" s="12"/>
      <c r="L13" s="13"/>
      <c r="M13" s="27" t="s">
        <v>11</v>
      </c>
      <c r="N13" s="12"/>
      <c r="O13" s="13"/>
      <c r="P13" s="27" t="s">
        <v>12</v>
      </c>
      <c r="Q13" s="12"/>
      <c r="R13" s="13"/>
      <c r="S13" s="29" t="s">
        <v>13</v>
      </c>
      <c r="T13" s="12"/>
      <c r="U13" s="13"/>
    </row>
    <row r="14">
      <c r="A14" s="30">
        <f>S6+1</f>
        <v>46055</v>
      </c>
      <c r="B14" s="12"/>
      <c r="C14" s="13"/>
      <c r="D14" s="30">
        <f>A14+1</f>
        <v>46056</v>
      </c>
      <c r="E14" s="12"/>
      <c r="F14" s="13"/>
      <c r="G14" s="30">
        <f>D14+1</f>
        <v>46057</v>
      </c>
      <c r="H14" s="12"/>
      <c r="I14" s="13"/>
      <c r="J14" s="30">
        <f>G14+1</f>
        <v>46058</v>
      </c>
      <c r="K14" s="12"/>
      <c r="L14" s="13"/>
      <c r="M14" s="30">
        <f>J14+1</f>
        <v>46059</v>
      </c>
      <c r="N14" s="12"/>
      <c r="O14" s="13"/>
      <c r="P14" s="30">
        <f>M14+1</f>
        <v>46060</v>
      </c>
      <c r="Q14" s="12"/>
      <c r="R14" s="13"/>
      <c r="S14" s="31">
        <f>P14+1</f>
        <v>46061</v>
      </c>
      <c r="T14" s="12"/>
      <c r="U14" s="13"/>
    </row>
    <row r="15">
      <c r="A15" s="323"/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</row>
    <row r="16">
      <c r="A16" s="112" t="s">
        <v>148</v>
      </c>
      <c r="B16" s="112" t="s">
        <v>152</v>
      </c>
      <c r="C16" s="112" t="s">
        <v>25</v>
      </c>
      <c r="D16" s="333"/>
      <c r="E16" s="333"/>
      <c r="F16" s="324"/>
      <c r="G16" s="333" t="s">
        <v>419</v>
      </c>
      <c r="H16" s="124" t="s">
        <v>152</v>
      </c>
      <c r="I16" s="191" t="s">
        <v>409</v>
      </c>
      <c r="J16" s="112"/>
      <c r="K16" s="112"/>
      <c r="L16" s="112"/>
      <c r="M16" s="112" t="s">
        <v>279</v>
      </c>
      <c r="N16" s="277" t="s">
        <v>280</v>
      </c>
      <c r="O16" s="112" t="s">
        <v>25</v>
      </c>
      <c r="P16" s="24"/>
      <c r="Q16" s="24"/>
      <c r="R16" s="24"/>
      <c r="S16" s="323"/>
      <c r="T16" s="323"/>
      <c r="U16" s="323"/>
    </row>
    <row r="17">
      <c r="A17" s="48"/>
      <c r="B17" s="48"/>
      <c r="C17" s="127" t="s">
        <v>107</v>
      </c>
      <c r="D17" s="333"/>
      <c r="E17" s="333"/>
      <c r="F17" s="324"/>
      <c r="G17" s="36"/>
      <c r="H17" s="36"/>
      <c r="I17" s="24"/>
      <c r="J17" s="323"/>
      <c r="K17" s="323"/>
      <c r="L17" s="112"/>
      <c r="M17" s="182" t="s">
        <v>144</v>
      </c>
      <c r="N17" s="182" t="s">
        <v>149</v>
      </c>
      <c r="O17" s="43" t="s">
        <v>40</v>
      </c>
      <c r="P17" s="24" t="s">
        <v>167</v>
      </c>
      <c r="Q17" s="24"/>
      <c r="R17" s="24" t="s">
        <v>25</v>
      </c>
      <c r="S17" s="24" t="s">
        <v>167</v>
      </c>
      <c r="T17" s="67" t="s">
        <v>183</v>
      </c>
      <c r="U17" s="24" t="s">
        <v>25</v>
      </c>
    </row>
    <row r="18" ht="15.0" customHeight="1">
      <c r="A18" s="113" t="s">
        <v>412</v>
      </c>
      <c r="B18" s="24" t="s">
        <v>413</v>
      </c>
      <c r="C18" s="44" t="s">
        <v>48</v>
      </c>
      <c r="D18" s="323"/>
      <c r="E18" s="323"/>
      <c r="F18" s="323"/>
      <c r="G18" s="323"/>
      <c r="H18" s="323"/>
      <c r="I18" s="323"/>
      <c r="J18" s="323"/>
      <c r="K18" s="323"/>
      <c r="L18" s="112"/>
      <c r="M18" s="323"/>
      <c r="N18" s="323"/>
      <c r="O18" s="323"/>
      <c r="P18" s="325" t="s">
        <v>14</v>
      </c>
      <c r="Q18" s="12"/>
      <c r="R18" s="13"/>
      <c r="S18" s="323"/>
      <c r="T18" s="323"/>
      <c r="U18" s="323"/>
    </row>
    <row r="19">
      <c r="A19" s="44" t="s">
        <v>414</v>
      </c>
      <c r="B19" s="44" t="s">
        <v>359</v>
      </c>
      <c r="C19" s="24" t="s">
        <v>365</v>
      </c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158" t="s">
        <v>148</v>
      </c>
      <c r="T19" s="158" t="s">
        <v>149</v>
      </c>
      <c r="U19" s="276" t="s">
        <v>48</v>
      </c>
    </row>
    <row r="20">
      <c r="A20" s="323"/>
      <c r="B20" s="323"/>
      <c r="C20" s="323"/>
      <c r="D20" s="120"/>
      <c r="E20" s="120"/>
      <c r="F20" s="120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</row>
    <row r="2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6">
        <f>S14+1</f>
        <v>46062</v>
      </c>
      <c r="B22" s="12"/>
      <c r="C22" s="13"/>
      <c r="D22" s="16">
        <f>A22+1</f>
        <v>46063</v>
      </c>
      <c r="E22" s="12"/>
      <c r="F22" s="13"/>
      <c r="G22" s="16">
        <f>D22+1</f>
        <v>46064</v>
      </c>
      <c r="H22" s="12"/>
      <c r="I22" s="13"/>
      <c r="J22" s="16">
        <f>G22+1</f>
        <v>46065</v>
      </c>
      <c r="K22" s="12"/>
      <c r="L22" s="13"/>
      <c r="M22" s="16">
        <f>J22+1</f>
        <v>46066</v>
      </c>
      <c r="N22" s="12"/>
      <c r="O22" s="13"/>
      <c r="P22" s="16">
        <f>M22+1</f>
        <v>46067</v>
      </c>
      <c r="Q22" s="12"/>
      <c r="R22" s="13"/>
      <c r="S22" s="176">
        <f>P22+1</f>
        <v>46068</v>
      </c>
      <c r="T22" s="12"/>
      <c r="U22" s="13"/>
    </row>
    <row r="23">
      <c r="A23" s="323"/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</row>
    <row r="24">
      <c r="A24" s="44" t="s">
        <v>288</v>
      </c>
      <c r="B24" s="44" t="s">
        <v>29</v>
      </c>
      <c r="C24" s="44" t="s">
        <v>25</v>
      </c>
      <c r="D24" s="323"/>
      <c r="E24" s="323"/>
      <c r="F24" s="323"/>
      <c r="G24" s="24" t="s">
        <v>179</v>
      </c>
      <c r="H24" s="24" t="s">
        <v>29</v>
      </c>
      <c r="I24" s="24" t="s">
        <v>194</v>
      </c>
      <c r="J24" s="182" t="s">
        <v>144</v>
      </c>
      <c r="K24" s="182" t="s">
        <v>152</v>
      </c>
      <c r="L24" s="182" t="s">
        <v>25</v>
      </c>
      <c r="M24" s="112" t="s">
        <v>279</v>
      </c>
      <c r="N24" s="277" t="s">
        <v>280</v>
      </c>
      <c r="O24" s="112" t="s">
        <v>25</v>
      </c>
      <c r="P24" s="124" t="s">
        <v>362</v>
      </c>
      <c r="Q24" s="124" t="s">
        <v>118</v>
      </c>
      <c r="R24" s="44" t="s">
        <v>31</v>
      </c>
      <c r="S24" s="323"/>
      <c r="T24" s="323"/>
      <c r="U24" s="323"/>
    </row>
    <row r="25">
      <c r="A25" s="42"/>
      <c r="B25" s="42"/>
      <c r="C25" s="43" t="s">
        <v>40</v>
      </c>
      <c r="D25" s="146"/>
      <c r="E25" s="146"/>
      <c r="F25" s="146"/>
      <c r="G25" s="24"/>
      <c r="H25" s="24"/>
      <c r="I25" s="43" t="s">
        <v>40</v>
      </c>
      <c r="J25" s="42"/>
      <c r="K25" s="42"/>
      <c r="L25" s="43" t="s">
        <v>40</v>
      </c>
      <c r="M25" s="24" t="s">
        <v>288</v>
      </c>
      <c r="N25" s="24" t="s">
        <v>247</v>
      </c>
      <c r="O25" s="24" t="s">
        <v>25</v>
      </c>
      <c r="P25" s="323"/>
      <c r="Q25" s="323"/>
      <c r="R25" s="323"/>
      <c r="S25" s="112" t="s">
        <v>148</v>
      </c>
      <c r="T25" s="112" t="s">
        <v>149</v>
      </c>
      <c r="U25" s="277" t="s">
        <v>40</v>
      </c>
    </row>
    <row r="26">
      <c r="A26" s="364" t="s">
        <v>421</v>
      </c>
      <c r="B26" s="364" t="s">
        <v>277</v>
      </c>
      <c r="C26" s="44" t="s">
        <v>48</v>
      </c>
      <c r="D26" s="323"/>
      <c r="E26" s="323"/>
      <c r="F26" s="323"/>
      <c r="G26" s="323"/>
      <c r="H26" s="323"/>
      <c r="I26" s="323"/>
      <c r="J26" s="60" t="s">
        <v>407</v>
      </c>
      <c r="K26" s="274" t="s">
        <v>439</v>
      </c>
      <c r="L26" s="274" t="s">
        <v>440</v>
      </c>
      <c r="M26" s="114"/>
      <c r="N26" s="140"/>
      <c r="O26" s="43" t="s">
        <v>40</v>
      </c>
      <c r="P26" s="24" t="s">
        <v>167</v>
      </c>
      <c r="Q26" s="24" t="s">
        <v>349</v>
      </c>
      <c r="R26" s="24" t="s">
        <v>25</v>
      </c>
      <c r="S26" s="323"/>
      <c r="T26" s="323"/>
      <c r="U26" s="323"/>
    </row>
    <row r="27">
      <c r="A27" s="113" t="s">
        <v>412</v>
      </c>
      <c r="B27" s="24" t="s">
        <v>413</v>
      </c>
      <c r="C27" s="44" t="s">
        <v>48</v>
      </c>
      <c r="D27" s="323"/>
      <c r="E27" s="323"/>
      <c r="F27" s="323"/>
      <c r="G27" s="323"/>
      <c r="H27" s="323"/>
      <c r="I27" s="323"/>
      <c r="J27" s="323"/>
      <c r="K27" s="323"/>
      <c r="L27" s="323"/>
      <c r="M27" s="24"/>
      <c r="N27" s="24"/>
      <c r="O27" s="24"/>
      <c r="P27" s="323"/>
      <c r="Q27" s="323"/>
      <c r="R27" s="323"/>
      <c r="S27" s="323"/>
      <c r="T27" s="323"/>
      <c r="U27" s="323"/>
    </row>
    <row r="28">
      <c r="A28" s="44" t="s">
        <v>414</v>
      </c>
      <c r="B28" s="191" t="s">
        <v>383</v>
      </c>
      <c r="C28" s="24" t="s">
        <v>365</v>
      </c>
      <c r="D28" s="112"/>
      <c r="E28" s="112"/>
      <c r="F28" s="112"/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</row>
    <row r="29">
      <c r="A29" s="27" t="s">
        <v>7</v>
      </c>
      <c r="B29" s="12"/>
      <c r="C29" s="13"/>
      <c r="D29" s="27" t="s">
        <v>8</v>
      </c>
      <c r="E29" s="12"/>
      <c r="F29" s="13"/>
      <c r="G29" s="27" t="s">
        <v>9</v>
      </c>
      <c r="H29" s="12"/>
      <c r="I29" s="13"/>
      <c r="J29" s="27" t="s">
        <v>10</v>
      </c>
      <c r="K29" s="12"/>
      <c r="L29" s="13"/>
      <c r="M29" s="27" t="s">
        <v>11</v>
      </c>
      <c r="N29" s="12"/>
      <c r="O29" s="13"/>
      <c r="P29" s="27" t="s">
        <v>12</v>
      </c>
      <c r="Q29" s="12"/>
      <c r="R29" s="13"/>
      <c r="S29" s="29" t="s">
        <v>13</v>
      </c>
      <c r="T29" s="12"/>
      <c r="U29" s="13"/>
    </row>
    <row r="30">
      <c r="A30" s="56">
        <f>S22+1</f>
        <v>46069</v>
      </c>
      <c r="B30" s="12"/>
      <c r="C30" s="13"/>
      <c r="D30" s="56">
        <f>A30+1</f>
        <v>46070</v>
      </c>
      <c r="E30" s="12"/>
      <c r="F30" s="13"/>
      <c r="G30" s="56">
        <f>D30+1</f>
        <v>46071</v>
      </c>
      <c r="H30" s="12"/>
      <c r="I30" s="13"/>
      <c r="J30" s="56">
        <f>G30+1</f>
        <v>46072</v>
      </c>
      <c r="K30" s="12"/>
      <c r="L30" s="13"/>
      <c r="M30" s="56">
        <f>J30+1</f>
        <v>46073</v>
      </c>
      <c r="N30" s="12"/>
      <c r="O30" s="13"/>
      <c r="P30" s="56">
        <f>M30+1</f>
        <v>46074</v>
      </c>
      <c r="Q30" s="12"/>
      <c r="R30" s="13"/>
      <c r="S30" s="57">
        <f>P30+1</f>
        <v>46075</v>
      </c>
      <c r="T30" s="12"/>
      <c r="U30" s="13"/>
    </row>
    <row r="31">
      <c r="A31" s="323"/>
      <c r="B31" s="323"/>
      <c r="C31" s="323"/>
      <c r="D31" s="323"/>
      <c r="E31" s="323"/>
      <c r="F31" s="323"/>
      <c r="G31" s="103"/>
      <c r="H31" s="103"/>
      <c r="I31" s="10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</row>
    <row r="32">
      <c r="A32" s="112" t="s">
        <v>148</v>
      </c>
      <c r="B32" s="112" t="s">
        <v>152</v>
      </c>
      <c r="C32" s="112" t="s">
        <v>25</v>
      </c>
      <c r="D32" s="323"/>
      <c r="E32" s="323"/>
      <c r="F32" s="323"/>
      <c r="G32" s="112" t="s">
        <v>148</v>
      </c>
      <c r="H32" s="112" t="s">
        <v>152</v>
      </c>
      <c r="I32" s="112" t="s">
        <v>25</v>
      </c>
      <c r="J32" s="112"/>
      <c r="K32" s="112"/>
      <c r="L32" s="112"/>
      <c r="M32" s="24"/>
      <c r="N32" s="24"/>
      <c r="O32" s="24"/>
      <c r="P32" s="323"/>
      <c r="Q32" s="323"/>
      <c r="R32" s="323"/>
      <c r="S32" s="323"/>
      <c r="T32" s="323"/>
      <c r="U32" s="323"/>
    </row>
    <row r="33">
      <c r="A33" s="48"/>
      <c r="B33" s="48"/>
      <c r="C33" s="127" t="s">
        <v>107</v>
      </c>
      <c r="D33" s="325" t="s">
        <v>14</v>
      </c>
      <c r="E33" s="12"/>
      <c r="F33" s="13"/>
      <c r="G33" s="48"/>
      <c r="H33" s="48"/>
      <c r="I33" s="127" t="s">
        <v>107</v>
      </c>
      <c r="J33" s="112"/>
      <c r="K33" s="112"/>
      <c r="L33" s="112"/>
      <c r="M33" s="112" t="s">
        <v>279</v>
      </c>
      <c r="N33" s="277"/>
      <c r="O33" s="112" t="s">
        <v>25</v>
      </c>
      <c r="P33" s="24" t="s">
        <v>167</v>
      </c>
      <c r="Q33" s="24" t="s">
        <v>349</v>
      </c>
      <c r="R33" s="46" t="s">
        <v>48</v>
      </c>
      <c r="S33" s="44" t="s">
        <v>295</v>
      </c>
      <c r="T33" s="44" t="s">
        <v>283</v>
      </c>
      <c r="U33" s="44" t="s">
        <v>296</v>
      </c>
    </row>
    <row r="34" ht="15.75" customHeight="1">
      <c r="A34" s="113" t="s">
        <v>412</v>
      </c>
      <c r="B34" s="24" t="s">
        <v>413</v>
      </c>
      <c r="C34" s="44" t="s">
        <v>48</v>
      </c>
      <c r="D34" s="323"/>
      <c r="E34" s="323"/>
      <c r="F34" s="323"/>
      <c r="G34" s="160" t="s">
        <v>447</v>
      </c>
      <c r="H34" s="113" t="s">
        <v>205</v>
      </c>
      <c r="I34" s="113" t="s">
        <v>25</v>
      </c>
      <c r="J34" s="323"/>
      <c r="K34" s="323"/>
      <c r="L34" s="112"/>
      <c r="M34" s="325" t="s">
        <v>14</v>
      </c>
      <c r="N34" s="12"/>
      <c r="O34" s="13"/>
      <c r="P34" s="323"/>
      <c r="Q34" s="323"/>
      <c r="R34" s="323"/>
      <c r="S34" s="191" t="s">
        <v>448</v>
      </c>
      <c r="T34" s="191" t="s">
        <v>102</v>
      </c>
      <c r="U34" s="44" t="s">
        <v>296</v>
      </c>
    </row>
    <row r="35">
      <c r="A35" s="44" t="s">
        <v>414</v>
      </c>
      <c r="B35" s="44" t="s">
        <v>359</v>
      </c>
      <c r="C35" s="24" t="s">
        <v>365</v>
      </c>
      <c r="D35" s="323"/>
      <c r="E35" s="323"/>
      <c r="F35" s="323"/>
      <c r="G35" s="67" t="s">
        <v>179</v>
      </c>
      <c r="H35" s="217" t="s">
        <v>449</v>
      </c>
      <c r="I35" s="67" t="s">
        <v>40</v>
      </c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</row>
    <row r="36">
      <c r="A36" s="323"/>
      <c r="B36" s="323"/>
      <c r="C36" s="323"/>
      <c r="D36" s="112"/>
      <c r="E36" s="112"/>
      <c r="F36" s="112"/>
      <c r="G36" s="323"/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/>
      <c r="T37" s="12"/>
      <c r="U37" s="13"/>
    </row>
    <row r="38">
      <c r="A38" s="16">
        <f>S30+1</f>
        <v>46076</v>
      </c>
      <c r="B38" s="12"/>
      <c r="C38" s="13"/>
      <c r="D38" s="16">
        <f>A38+1</f>
        <v>46077</v>
      </c>
      <c r="E38" s="12"/>
      <c r="F38" s="13"/>
      <c r="G38" s="16">
        <f>D38+1</f>
        <v>46078</v>
      </c>
      <c r="H38" s="12"/>
      <c r="I38" s="13"/>
      <c r="J38" s="16">
        <f>G38+1</f>
        <v>46079</v>
      </c>
      <c r="K38" s="12"/>
      <c r="L38" s="13"/>
      <c r="M38" s="16">
        <f>J38+1</f>
        <v>46080</v>
      </c>
      <c r="N38" s="12"/>
      <c r="O38" s="13"/>
      <c r="P38" s="16">
        <f>M38+1</f>
        <v>46081</v>
      </c>
      <c r="Q38" s="12"/>
      <c r="R38" s="13"/>
      <c r="S38" s="176"/>
      <c r="T38" s="12"/>
      <c r="U38" s="13"/>
    </row>
    <row r="39">
      <c r="A39" s="323"/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</row>
    <row r="40">
      <c r="A40" s="323"/>
      <c r="B40" s="323"/>
      <c r="C40" s="323"/>
      <c r="D40" s="323"/>
      <c r="E40" s="323"/>
      <c r="F40" s="323"/>
      <c r="G40" s="323"/>
      <c r="H40" s="323"/>
      <c r="I40" s="323"/>
      <c r="J40" s="323"/>
      <c r="K40" s="323"/>
      <c r="L40" s="323"/>
      <c r="M40" s="402" t="s">
        <v>446</v>
      </c>
      <c r="N40" s="12"/>
      <c r="O40" s="13"/>
      <c r="P40" s="402" t="s">
        <v>446</v>
      </c>
      <c r="Q40" s="12"/>
      <c r="R40" s="13"/>
      <c r="S40" s="323"/>
      <c r="T40" s="323"/>
      <c r="U40" s="323"/>
    </row>
    <row r="41">
      <c r="A41" s="324" t="s">
        <v>450</v>
      </c>
      <c r="B41" s="324" t="s">
        <v>322</v>
      </c>
      <c r="C41" s="324" t="s">
        <v>451</v>
      </c>
      <c r="D41" s="113" t="s">
        <v>412</v>
      </c>
      <c r="E41" s="67" t="s">
        <v>233</v>
      </c>
      <c r="F41" s="44" t="s">
        <v>48</v>
      </c>
      <c r="G41" s="323"/>
      <c r="H41" s="323"/>
      <c r="I41" s="323"/>
      <c r="J41" s="323"/>
      <c r="K41" s="323"/>
      <c r="L41" s="112"/>
      <c r="M41" s="112" t="s">
        <v>279</v>
      </c>
      <c r="N41" s="277" t="s">
        <v>280</v>
      </c>
      <c r="O41" s="112" t="s">
        <v>25</v>
      </c>
      <c r="P41" s="124" t="s">
        <v>362</v>
      </c>
      <c r="Q41" s="124" t="s">
        <v>118</v>
      </c>
      <c r="R41" s="44" t="s">
        <v>31</v>
      </c>
      <c r="S41" s="323"/>
      <c r="T41" s="323"/>
      <c r="U41" s="323"/>
    </row>
    <row r="42">
      <c r="A42" s="323"/>
      <c r="B42" s="323"/>
      <c r="C42" s="323"/>
      <c r="D42" s="324" t="s">
        <v>443</v>
      </c>
      <c r="E42" s="324" t="s">
        <v>452</v>
      </c>
      <c r="F42" s="324" t="s">
        <v>25</v>
      </c>
      <c r="G42" s="323"/>
      <c r="H42" s="323"/>
      <c r="I42" s="323"/>
      <c r="J42" s="60" t="s">
        <v>407</v>
      </c>
      <c r="K42" s="179" t="s">
        <v>439</v>
      </c>
      <c r="L42" s="179" t="s">
        <v>440</v>
      </c>
      <c r="M42" s="24" t="s">
        <v>288</v>
      </c>
      <c r="N42" s="24" t="s">
        <v>247</v>
      </c>
      <c r="O42" s="24" t="s">
        <v>25</v>
      </c>
      <c r="P42" s="323"/>
      <c r="Q42" s="323"/>
      <c r="R42" s="323"/>
      <c r="S42" s="323"/>
      <c r="T42" s="323"/>
      <c r="U42" s="323"/>
    </row>
    <row r="43">
      <c r="A43" s="323"/>
      <c r="B43" s="323"/>
      <c r="C43" s="323"/>
      <c r="D43" s="112"/>
      <c r="E43" s="112"/>
      <c r="F43" s="112"/>
      <c r="G43" s="323"/>
      <c r="H43" s="323"/>
      <c r="I43" s="323"/>
      <c r="J43" s="323"/>
      <c r="K43" s="323"/>
      <c r="L43" s="323"/>
      <c r="M43" s="114"/>
      <c r="N43" s="140"/>
      <c r="O43" s="43" t="s">
        <v>40</v>
      </c>
      <c r="P43" s="323"/>
      <c r="Q43" s="323"/>
      <c r="R43" s="323"/>
      <c r="S43" s="323"/>
      <c r="T43" s="323"/>
      <c r="U43" s="323"/>
    </row>
    <row r="44">
      <c r="A44" s="323"/>
      <c r="B44" s="323"/>
      <c r="C44" s="323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</row>
    <row r="45">
      <c r="A45" s="27"/>
      <c r="B45" s="12"/>
      <c r="C45" s="13"/>
      <c r="D45" s="27"/>
      <c r="E45" s="12"/>
      <c r="F45" s="13"/>
      <c r="G45" s="27"/>
      <c r="H45" s="12"/>
      <c r="I45" s="13"/>
      <c r="J45" s="27"/>
      <c r="K45" s="12"/>
      <c r="L45" s="13"/>
      <c r="M45" s="27"/>
      <c r="N45" s="12"/>
      <c r="O45" s="13"/>
      <c r="P45" s="27"/>
      <c r="Q45" s="12"/>
      <c r="R45" s="13"/>
      <c r="S45" s="336"/>
      <c r="T45" s="12"/>
      <c r="U45" s="13"/>
    </row>
    <row r="46">
      <c r="A46" s="56"/>
      <c r="B46" s="12"/>
      <c r="C46" s="13"/>
      <c r="D46" s="56"/>
      <c r="E46" s="12"/>
      <c r="F46" s="13"/>
      <c r="G46" s="56"/>
      <c r="H46" s="12"/>
      <c r="I46" s="13"/>
      <c r="J46" s="56"/>
      <c r="K46" s="12"/>
      <c r="L46" s="13"/>
      <c r="M46" s="56"/>
      <c r="N46" s="12"/>
      <c r="O46" s="13"/>
      <c r="P46" s="56"/>
      <c r="Q46" s="12"/>
      <c r="R46" s="13"/>
      <c r="S46" s="337"/>
      <c r="T46" s="12"/>
      <c r="U46" s="13"/>
    </row>
    <row r="47">
      <c r="A47" s="169"/>
      <c r="B47" s="169"/>
      <c r="C47" s="169"/>
      <c r="D47" s="148"/>
      <c r="E47" s="148"/>
      <c r="F47" s="148"/>
      <c r="G47" s="338"/>
      <c r="H47" s="339"/>
      <c r="I47" s="339"/>
      <c r="J47" s="340"/>
      <c r="K47" s="340"/>
      <c r="L47" s="340"/>
      <c r="M47" s="323"/>
      <c r="N47" s="323"/>
      <c r="O47" s="323"/>
      <c r="P47" s="323"/>
      <c r="Q47" s="323"/>
      <c r="R47" s="323"/>
      <c r="S47" s="340"/>
      <c r="T47" s="340"/>
      <c r="U47" s="340"/>
    </row>
    <row r="48">
      <c r="A48" s="148"/>
      <c r="B48" s="148"/>
      <c r="C48" s="148"/>
      <c r="D48" s="199"/>
      <c r="E48" s="199"/>
      <c r="F48" s="199"/>
      <c r="G48" s="323"/>
      <c r="H48" s="323"/>
      <c r="I48" s="323"/>
      <c r="J48" s="340"/>
      <c r="K48" s="340"/>
      <c r="L48" s="340"/>
      <c r="M48" s="341"/>
      <c r="N48" s="342"/>
      <c r="O48" s="342"/>
      <c r="P48" s="323"/>
      <c r="Q48" s="323"/>
      <c r="R48" s="323"/>
      <c r="S48" s="323"/>
      <c r="T48" s="323"/>
      <c r="U48" s="323"/>
    </row>
    <row r="49">
      <c r="A49" s="148"/>
      <c r="B49" s="148"/>
      <c r="C49" s="148"/>
      <c r="D49" s="148"/>
      <c r="E49" s="148"/>
      <c r="F49" s="148"/>
      <c r="G49" s="323"/>
      <c r="H49" s="323"/>
      <c r="I49" s="323"/>
      <c r="J49" s="323"/>
      <c r="K49" s="323"/>
      <c r="L49" s="323"/>
      <c r="M49" s="403"/>
      <c r="N49" s="13"/>
      <c r="O49" s="323"/>
      <c r="P49" s="323"/>
      <c r="Q49" s="323"/>
      <c r="R49" s="323"/>
      <c r="S49" s="323"/>
      <c r="T49" s="323"/>
      <c r="U49" s="323"/>
    </row>
    <row r="50">
      <c r="A50" s="323"/>
      <c r="B50" s="323"/>
      <c r="C50" s="323"/>
      <c r="D50" s="148"/>
      <c r="E50" s="148"/>
      <c r="F50" s="148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40"/>
      <c r="T50" s="340"/>
      <c r="U50" s="340"/>
    </row>
    <row r="51">
      <c r="A51" s="169"/>
      <c r="B51" s="169"/>
      <c r="C51" s="169"/>
      <c r="D51" s="198"/>
      <c r="E51" s="198"/>
      <c r="F51" s="198"/>
      <c r="G51" s="323"/>
      <c r="H51" s="323"/>
      <c r="I51" s="340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</row>
    <row r="52">
      <c r="A52" s="340"/>
      <c r="B52" s="340"/>
      <c r="C52" s="340"/>
      <c r="D52" s="323"/>
      <c r="E52" s="323"/>
      <c r="F52" s="323"/>
      <c r="G52" s="340"/>
      <c r="H52" s="340"/>
      <c r="I52" s="340"/>
      <c r="J52" s="323"/>
      <c r="K52" s="323"/>
      <c r="L52" s="323"/>
      <c r="M52" s="340"/>
      <c r="N52" s="340"/>
      <c r="O52" s="340"/>
      <c r="P52" s="323"/>
      <c r="Q52" s="323"/>
      <c r="R52" s="323"/>
      <c r="S52" s="340"/>
      <c r="T52" s="340"/>
      <c r="U52" s="340"/>
    </row>
    <row r="53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</row>
    <row r="63">
      <c r="L63" s="102" t="s">
        <v>69</v>
      </c>
    </row>
  </sheetData>
  <mergeCells count="99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P30:R30"/>
    <mergeCell ref="S30:U30"/>
    <mergeCell ref="D33:F33"/>
    <mergeCell ref="M30:O30"/>
    <mergeCell ref="M34:O34"/>
    <mergeCell ref="A37:C37"/>
    <mergeCell ref="D37:F37"/>
    <mergeCell ref="G37:I37"/>
    <mergeCell ref="J37:L37"/>
    <mergeCell ref="M37:O37"/>
    <mergeCell ref="A38:C38"/>
    <mergeCell ref="D38:F38"/>
    <mergeCell ref="G38:I38"/>
    <mergeCell ref="J38:L38"/>
    <mergeCell ref="M38:O38"/>
    <mergeCell ref="M40:O40"/>
    <mergeCell ref="P40:R40"/>
    <mergeCell ref="A46:C46"/>
    <mergeCell ref="D46:F46"/>
    <mergeCell ref="G46:I46"/>
    <mergeCell ref="J46:L46"/>
    <mergeCell ref="M46:O46"/>
    <mergeCell ref="P46:R46"/>
    <mergeCell ref="S46:U46"/>
    <mergeCell ref="M49:N49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18:R18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37:R37"/>
    <mergeCell ref="S37:U37"/>
    <mergeCell ref="P38:R38"/>
    <mergeCell ref="S38:U3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11.0"/>
    <col customWidth="1" min="7" max="7" width="16.43"/>
    <col customWidth="1" min="9" max="9" width="7.57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90" t="s">
        <v>138</v>
      </c>
      <c r="C1" s="404" t="s">
        <v>453</v>
      </c>
      <c r="F1" s="320"/>
      <c r="G1" s="9" t="s">
        <v>424</v>
      </c>
      <c r="Q1" s="320"/>
      <c r="R1" s="320"/>
      <c r="S1" s="320"/>
      <c r="T1" s="320"/>
      <c r="U1" s="320"/>
    </row>
    <row r="2">
      <c r="A2" s="90" t="s">
        <v>3</v>
      </c>
      <c r="C2" s="319" t="s">
        <v>437</v>
      </c>
      <c r="F2" s="320"/>
      <c r="Q2" s="320"/>
      <c r="R2" s="320"/>
      <c r="S2" s="320"/>
      <c r="T2" s="320"/>
      <c r="U2" s="320"/>
    </row>
    <row r="3">
      <c r="A3" s="90" t="s">
        <v>5</v>
      </c>
      <c r="C3" s="321"/>
      <c r="F3" s="320"/>
      <c r="Q3" s="320"/>
      <c r="R3" s="320"/>
      <c r="S3" s="320"/>
      <c r="T3" s="320"/>
      <c r="U3" s="320"/>
    </row>
    <row r="4">
      <c r="A4" s="90" t="s">
        <v>6</v>
      </c>
      <c r="C4" s="322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6"/>
      <c r="E6" s="12"/>
      <c r="F6" s="13"/>
      <c r="G6" s="16"/>
      <c r="H6" s="12"/>
      <c r="I6" s="13"/>
      <c r="J6" s="15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</row>
    <row r="7">
      <c r="A7" s="323"/>
      <c r="B7" s="323"/>
      <c r="C7" s="323"/>
      <c r="D7" s="61"/>
      <c r="E7" s="61"/>
      <c r="F7" s="61"/>
      <c r="G7" s="198"/>
      <c r="H7" s="198"/>
      <c r="I7" s="200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</row>
    <row r="8">
      <c r="A8" s="323"/>
      <c r="B8" s="323"/>
      <c r="C8" s="323"/>
      <c r="D8" s="61"/>
      <c r="E8" s="61"/>
      <c r="F8" s="61"/>
      <c r="G8" s="198"/>
      <c r="H8" s="198"/>
      <c r="I8" s="200"/>
      <c r="J8" s="323"/>
      <c r="K8" s="323"/>
      <c r="L8" s="323"/>
      <c r="M8" s="323"/>
      <c r="N8" s="323"/>
      <c r="O8" s="323"/>
      <c r="P8" s="323"/>
      <c r="Q8" s="323"/>
      <c r="R8" s="323"/>
      <c r="S8" s="212" t="s">
        <v>14</v>
      </c>
      <c r="T8" s="12"/>
      <c r="U8" s="13"/>
    </row>
    <row r="9">
      <c r="A9" s="323"/>
      <c r="B9" s="323"/>
      <c r="C9" s="323"/>
      <c r="D9" s="61"/>
      <c r="E9" s="61"/>
      <c r="F9" s="61"/>
      <c r="G9" s="198"/>
      <c r="H9" s="198"/>
      <c r="I9" s="200"/>
      <c r="J9" s="207"/>
      <c r="K9" s="208"/>
      <c r="L9" s="209"/>
      <c r="M9" s="60"/>
      <c r="N9" s="60"/>
      <c r="O9" s="131"/>
      <c r="P9" s="60"/>
      <c r="Q9" s="60"/>
      <c r="R9" s="114"/>
      <c r="S9" s="131"/>
      <c r="T9" s="131"/>
      <c r="U9" s="131"/>
    </row>
    <row r="10">
      <c r="A10" s="323"/>
      <c r="B10" s="323"/>
      <c r="C10" s="323"/>
      <c r="D10" s="61"/>
      <c r="E10" s="61"/>
      <c r="F10" s="61"/>
      <c r="G10" s="198"/>
      <c r="H10" s="198"/>
      <c r="I10" s="200"/>
      <c r="J10" s="323"/>
      <c r="K10" s="323"/>
      <c r="L10" s="323"/>
      <c r="M10" s="323"/>
      <c r="N10" s="323"/>
      <c r="O10" s="323"/>
      <c r="P10" s="323"/>
      <c r="Q10" s="323"/>
      <c r="R10" s="323"/>
      <c r="S10" s="169"/>
      <c r="T10" s="169"/>
      <c r="U10" s="169"/>
    </row>
    <row r="11" hidden="1">
      <c r="A11" s="323"/>
      <c r="B11" s="323"/>
      <c r="C11" s="323"/>
      <c r="D11" s="61"/>
      <c r="E11" s="61"/>
      <c r="F11" s="61"/>
      <c r="G11" s="198"/>
      <c r="H11" s="198"/>
      <c r="I11" s="198"/>
      <c r="J11" s="323"/>
      <c r="K11" s="323"/>
      <c r="L11" s="323"/>
      <c r="M11" s="323"/>
      <c r="N11" s="323"/>
      <c r="O11" s="323"/>
      <c r="P11" s="323"/>
      <c r="Q11" s="323"/>
      <c r="R11" s="323"/>
      <c r="S11" s="169"/>
      <c r="T11" s="169"/>
      <c r="U11" s="169"/>
    </row>
    <row r="12" hidden="1">
      <c r="A12" s="340"/>
      <c r="B12" s="340"/>
      <c r="C12" s="340"/>
      <c r="D12" s="148"/>
      <c r="E12" s="148"/>
      <c r="F12" s="148"/>
      <c r="G12" s="198"/>
      <c r="H12" s="198"/>
      <c r="I12" s="242"/>
      <c r="J12" s="340"/>
      <c r="K12" s="340"/>
      <c r="L12" s="340"/>
      <c r="M12" s="340"/>
      <c r="N12" s="340"/>
      <c r="O12" s="340"/>
      <c r="P12" s="340"/>
      <c r="Q12" s="340"/>
      <c r="R12" s="340"/>
      <c r="S12" s="323"/>
      <c r="T12" s="323"/>
      <c r="U12" s="323"/>
    </row>
    <row r="13">
      <c r="A13" s="27" t="s">
        <v>7</v>
      </c>
      <c r="B13" s="12"/>
      <c r="C13" s="13"/>
      <c r="D13" s="27" t="s">
        <v>8</v>
      </c>
      <c r="E13" s="12"/>
      <c r="F13" s="13"/>
      <c r="G13" s="27" t="s">
        <v>9</v>
      </c>
      <c r="H13" s="12"/>
      <c r="I13" s="13"/>
      <c r="J13" s="27" t="s">
        <v>10</v>
      </c>
      <c r="K13" s="12"/>
      <c r="L13" s="13"/>
      <c r="M13" s="27" t="s">
        <v>11</v>
      </c>
      <c r="N13" s="12"/>
      <c r="O13" s="13"/>
      <c r="P13" s="27" t="s">
        <v>12</v>
      </c>
      <c r="Q13" s="12"/>
      <c r="R13" s="13"/>
      <c r="S13" s="29" t="s">
        <v>13</v>
      </c>
      <c r="T13" s="12"/>
      <c r="U13" s="13"/>
    </row>
    <row r="14">
      <c r="A14" s="30">
        <f>S6+1</f>
        <v>46055</v>
      </c>
      <c r="B14" s="12"/>
      <c r="C14" s="13"/>
      <c r="D14" s="30">
        <f>A14+1</f>
        <v>46056</v>
      </c>
      <c r="E14" s="12"/>
      <c r="F14" s="13"/>
      <c r="G14" s="30">
        <f>D14+1</f>
        <v>46057</v>
      </c>
      <c r="H14" s="12"/>
      <c r="I14" s="13"/>
      <c r="J14" s="30">
        <f>G14+1</f>
        <v>46058</v>
      </c>
      <c r="K14" s="12"/>
      <c r="L14" s="13"/>
      <c r="M14" s="30">
        <f>J14+1</f>
        <v>46059</v>
      </c>
      <c r="N14" s="12"/>
      <c r="O14" s="13"/>
      <c r="P14" s="30">
        <f>M14+1</f>
        <v>46060</v>
      </c>
      <c r="Q14" s="12"/>
      <c r="R14" s="13"/>
      <c r="S14" s="31">
        <f>P14+1</f>
        <v>46061</v>
      </c>
      <c r="T14" s="12"/>
      <c r="U14" s="13"/>
    </row>
    <row r="15">
      <c r="A15" s="323"/>
      <c r="B15" s="323"/>
      <c r="C15" s="323"/>
      <c r="D15" s="61"/>
      <c r="E15" s="61"/>
      <c r="F15" s="61"/>
      <c r="G15" s="198"/>
      <c r="H15" s="198"/>
      <c r="I15" s="200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</row>
    <row r="16">
      <c r="A16" s="323"/>
      <c r="B16" s="323"/>
      <c r="C16" s="323"/>
      <c r="D16" s="61"/>
      <c r="E16" s="61"/>
      <c r="F16" s="61"/>
      <c r="G16" s="198"/>
      <c r="H16" s="198"/>
      <c r="I16" s="200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</row>
    <row r="17">
      <c r="A17" s="323"/>
      <c r="B17" s="323"/>
      <c r="C17" s="323"/>
      <c r="D17" s="61"/>
      <c r="E17" s="61"/>
      <c r="F17" s="61"/>
      <c r="G17" s="198"/>
      <c r="H17" s="198"/>
      <c r="I17" s="200"/>
      <c r="J17" s="323"/>
      <c r="K17" s="323"/>
      <c r="L17" s="323"/>
      <c r="M17" s="60"/>
      <c r="N17" s="60"/>
      <c r="O17" s="114"/>
      <c r="P17" s="60"/>
      <c r="Q17" s="60"/>
      <c r="R17" s="114"/>
      <c r="S17" s="60"/>
      <c r="T17" s="60"/>
      <c r="U17" s="114"/>
    </row>
    <row r="18">
      <c r="A18" s="323"/>
      <c r="B18" s="323"/>
      <c r="C18" s="323"/>
      <c r="D18" s="61"/>
      <c r="E18" s="61"/>
      <c r="F18" s="61"/>
      <c r="G18" s="198"/>
      <c r="H18" s="198"/>
      <c r="I18" s="200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</row>
    <row r="19">
      <c r="A19" s="323"/>
      <c r="B19" s="323"/>
      <c r="C19" s="323"/>
      <c r="D19" s="61"/>
      <c r="E19" s="61"/>
      <c r="F19" s="61"/>
      <c r="G19" s="198"/>
      <c r="H19" s="198"/>
      <c r="I19" s="198"/>
      <c r="J19" s="323"/>
      <c r="K19" s="323"/>
      <c r="L19" s="323"/>
      <c r="M19" s="60"/>
      <c r="N19" s="60"/>
      <c r="O19" s="131"/>
      <c r="P19" s="323"/>
      <c r="Q19" s="323"/>
      <c r="R19" s="323"/>
      <c r="S19" s="169"/>
      <c r="T19" s="169"/>
      <c r="U19" s="169"/>
    </row>
    <row r="20">
      <c r="A20" s="340"/>
      <c r="B20" s="340"/>
      <c r="C20" s="340"/>
      <c r="D20" s="148"/>
      <c r="E20" s="148"/>
      <c r="F20" s="148"/>
      <c r="G20" s="198"/>
      <c r="H20" s="198"/>
      <c r="I20" s="242"/>
      <c r="J20" s="340"/>
      <c r="K20" s="340"/>
      <c r="L20" s="340"/>
      <c r="M20" s="340"/>
      <c r="N20" s="340"/>
      <c r="O20" s="340"/>
      <c r="P20" s="340"/>
      <c r="Q20" s="340"/>
      <c r="R20" s="340"/>
      <c r="S20" s="323"/>
      <c r="T20" s="323"/>
      <c r="U20" s="323"/>
    </row>
    <row r="2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4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6">
        <f>S14+1</f>
        <v>46062</v>
      </c>
      <c r="B22" s="12"/>
      <c r="C22" s="13"/>
      <c r="D22" s="16">
        <f>A22+1</f>
        <v>46063</v>
      </c>
      <c r="E22" s="12"/>
      <c r="F22" s="13"/>
      <c r="G22" s="16">
        <f>D22+1</f>
        <v>46064</v>
      </c>
      <c r="H22" s="12"/>
      <c r="I22" s="13"/>
      <c r="J22" s="16">
        <f>G22+1</f>
        <v>46065</v>
      </c>
      <c r="K22" s="12"/>
      <c r="L22" s="13"/>
      <c r="M22" s="176">
        <f>J22+1</f>
        <v>46066</v>
      </c>
      <c r="N22" s="12"/>
      <c r="O22" s="13"/>
      <c r="P22" s="16">
        <f>M22+1</f>
        <v>46067</v>
      </c>
      <c r="Q22" s="12"/>
      <c r="R22" s="13"/>
      <c r="S22" s="176">
        <f>P22+1</f>
        <v>46068</v>
      </c>
      <c r="T22" s="12"/>
      <c r="U22" s="13"/>
    </row>
    <row r="23">
      <c r="A23" s="323"/>
      <c r="B23" s="323"/>
      <c r="C23" s="323"/>
      <c r="D23" s="61"/>
      <c r="E23" s="61"/>
      <c r="F23" s="61"/>
      <c r="G23" s="198"/>
      <c r="H23" s="198"/>
      <c r="I23" s="200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</row>
    <row r="24">
      <c r="A24" s="24" t="s">
        <v>265</v>
      </c>
      <c r="B24" s="24" t="s">
        <v>266</v>
      </c>
      <c r="C24" s="36"/>
      <c r="D24" s="212" t="s">
        <v>14</v>
      </c>
      <c r="E24" s="12"/>
      <c r="F24" s="13"/>
      <c r="G24" s="324" t="s">
        <v>443</v>
      </c>
      <c r="H24" s="324" t="s">
        <v>454</v>
      </c>
      <c r="I24" s="324" t="s">
        <v>25</v>
      </c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</row>
    <row r="25">
      <c r="A25" s="364" t="s">
        <v>421</v>
      </c>
      <c r="B25" s="364" t="s">
        <v>277</v>
      </c>
      <c r="C25" s="44" t="s">
        <v>48</v>
      </c>
      <c r="D25" s="61"/>
      <c r="E25" s="61"/>
      <c r="F25" s="61"/>
      <c r="G25" s="324"/>
      <c r="H25" s="324"/>
      <c r="I25" s="324"/>
      <c r="J25" s="207"/>
      <c r="K25" s="208"/>
      <c r="L25" s="209"/>
      <c r="M25" s="60"/>
      <c r="N25" s="60"/>
      <c r="O25" s="114"/>
      <c r="P25" s="60"/>
      <c r="Q25" s="60"/>
      <c r="R25" s="114"/>
      <c r="S25" s="60"/>
      <c r="T25" s="60"/>
      <c r="U25" s="114"/>
    </row>
    <row r="26">
      <c r="A26" s="323"/>
      <c r="B26" s="323"/>
      <c r="C26" s="323"/>
      <c r="D26" s="61"/>
      <c r="E26" s="61"/>
      <c r="F26" s="61"/>
      <c r="G26" s="198"/>
      <c r="H26" s="198"/>
      <c r="I26" s="200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</row>
    <row r="27" hidden="1">
      <c r="A27" s="323"/>
      <c r="B27" s="323"/>
      <c r="C27" s="323"/>
      <c r="D27" s="61"/>
      <c r="E27" s="61"/>
      <c r="F27" s="61"/>
      <c r="G27" s="198"/>
      <c r="H27" s="198"/>
      <c r="I27" s="198"/>
      <c r="J27" s="323"/>
      <c r="K27" s="323"/>
      <c r="L27" s="323"/>
      <c r="M27" s="323"/>
      <c r="N27" s="323"/>
      <c r="O27" s="323"/>
      <c r="P27" s="323"/>
      <c r="Q27" s="323"/>
      <c r="R27" s="323"/>
      <c r="S27" s="169"/>
      <c r="T27" s="169"/>
      <c r="U27" s="169"/>
    </row>
    <row r="28" hidden="1">
      <c r="A28" s="340"/>
      <c r="B28" s="340"/>
      <c r="C28" s="340"/>
      <c r="D28" s="148"/>
      <c r="E28" s="148"/>
      <c r="F28" s="148"/>
      <c r="G28" s="198"/>
      <c r="H28" s="198"/>
      <c r="I28" s="242"/>
      <c r="J28" s="340"/>
      <c r="K28" s="340"/>
      <c r="L28" s="340"/>
      <c r="M28" s="340"/>
      <c r="N28" s="340"/>
      <c r="O28" s="340"/>
      <c r="P28" s="340"/>
      <c r="Q28" s="340"/>
      <c r="R28" s="340"/>
      <c r="S28" s="323"/>
      <c r="T28" s="323"/>
      <c r="U28" s="323"/>
    </row>
    <row r="29">
      <c r="A29" s="27" t="s">
        <v>7</v>
      </c>
      <c r="B29" s="12"/>
      <c r="C29" s="13"/>
      <c r="D29" s="29" t="s">
        <v>8</v>
      </c>
      <c r="E29" s="12"/>
      <c r="F29" s="13"/>
      <c r="G29" s="27" t="s">
        <v>9</v>
      </c>
      <c r="H29" s="12"/>
      <c r="I29" s="13"/>
      <c r="J29" s="27" t="s">
        <v>10</v>
      </c>
      <c r="K29" s="12"/>
      <c r="L29" s="13"/>
      <c r="M29" s="27" t="s">
        <v>11</v>
      </c>
      <c r="N29" s="12"/>
      <c r="O29" s="13"/>
      <c r="P29" s="27" t="s">
        <v>12</v>
      </c>
      <c r="Q29" s="12"/>
      <c r="R29" s="13"/>
      <c r="S29" s="29" t="s">
        <v>13</v>
      </c>
      <c r="T29" s="12"/>
      <c r="U29" s="13"/>
    </row>
    <row r="30">
      <c r="A30" s="56">
        <f>S22+1</f>
        <v>46069</v>
      </c>
      <c r="B30" s="12"/>
      <c r="C30" s="13"/>
      <c r="D30" s="57">
        <f>A30+1</f>
        <v>46070</v>
      </c>
      <c r="E30" s="12"/>
      <c r="F30" s="13"/>
      <c r="G30" s="56">
        <f>D30+1</f>
        <v>46071</v>
      </c>
      <c r="H30" s="12"/>
      <c r="I30" s="13"/>
      <c r="J30" s="56">
        <f>G30+1</f>
        <v>46072</v>
      </c>
      <c r="K30" s="12"/>
      <c r="L30" s="13"/>
      <c r="M30" s="56">
        <f>J30+1</f>
        <v>46073</v>
      </c>
      <c r="N30" s="12"/>
      <c r="O30" s="13"/>
      <c r="P30" s="56">
        <f>M30+1</f>
        <v>46074</v>
      </c>
      <c r="Q30" s="12"/>
      <c r="R30" s="13"/>
      <c r="S30" s="57">
        <f>P30+1</f>
        <v>46075</v>
      </c>
      <c r="T30" s="12"/>
      <c r="U30" s="13"/>
    </row>
    <row r="31">
      <c r="A31" s="323"/>
      <c r="B31" s="323"/>
      <c r="C31" s="323"/>
      <c r="D31" s="61"/>
      <c r="E31" s="61"/>
      <c r="F31" s="61"/>
      <c r="G31" s="198"/>
      <c r="H31" s="198"/>
      <c r="I31" s="200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</row>
    <row r="32">
      <c r="A32" s="323"/>
      <c r="B32" s="323"/>
      <c r="C32" s="323"/>
      <c r="D32" s="61"/>
      <c r="E32" s="61"/>
      <c r="F32" s="61"/>
      <c r="G32" s="198"/>
      <c r="H32" s="198"/>
      <c r="I32" s="200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</row>
    <row r="33">
      <c r="A33" s="323"/>
      <c r="B33" s="323"/>
      <c r="C33" s="323"/>
      <c r="D33" s="212" t="s">
        <v>14</v>
      </c>
      <c r="E33" s="12"/>
      <c r="F33" s="13"/>
      <c r="G33" s="198"/>
      <c r="H33" s="198"/>
      <c r="I33" s="200"/>
      <c r="J33" s="207"/>
      <c r="K33" s="208"/>
      <c r="L33" s="209"/>
      <c r="M33" s="60"/>
      <c r="N33" s="60"/>
      <c r="O33" s="114"/>
      <c r="P33" s="60"/>
      <c r="Q33" s="60"/>
      <c r="R33" s="114"/>
      <c r="S33" s="60"/>
      <c r="T33" s="60"/>
      <c r="U33" s="114"/>
    </row>
    <row r="34">
      <c r="A34" s="323"/>
      <c r="B34" s="323"/>
      <c r="C34" s="323"/>
      <c r="D34" s="61"/>
      <c r="E34" s="61"/>
      <c r="F34" s="61"/>
      <c r="G34" s="324" t="s">
        <v>443</v>
      </c>
      <c r="H34" s="324" t="s">
        <v>444</v>
      </c>
      <c r="I34" s="324" t="s">
        <v>25</v>
      </c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</row>
    <row r="35">
      <c r="A35" s="323"/>
      <c r="B35" s="323"/>
      <c r="C35" s="323"/>
      <c r="D35" s="61"/>
      <c r="E35" s="61"/>
      <c r="F35" s="61"/>
      <c r="G35" s="198"/>
      <c r="H35" s="198"/>
      <c r="I35" s="198"/>
      <c r="J35" s="323"/>
      <c r="K35" s="323"/>
      <c r="L35" s="323"/>
      <c r="M35" s="60"/>
      <c r="N35" s="60"/>
      <c r="O35" s="131"/>
      <c r="P35" s="323"/>
      <c r="Q35" s="323"/>
      <c r="R35" s="323"/>
      <c r="S35" s="169"/>
      <c r="T35" s="169"/>
      <c r="U35" s="169"/>
    </row>
    <row r="36">
      <c r="A36" s="340"/>
      <c r="B36" s="340"/>
      <c r="C36" s="340"/>
      <c r="D36" s="148"/>
      <c r="E36" s="148"/>
      <c r="F36" s="148"/>
      <c r="G36" s="198"/>
      <c r="H36" s="198"/>
      <c r="I36" s="242"/>
      <c r="J36" s="340"/>
      <c r="K36" s="340"/>
      <c r="L36" s="340"/>
      <c r="M36" s="340"/>
      <c r="N36" s="340"/>
      <c r="O36" s="340"/>
      <c r="P36" s="340"/>
      <c r="Q36" s="340"/>
      <c r="R36" s="340"/>
      <c r="S36" s="323"/>
      <c r="T36" s="323"/>
      <c r="U36" s="323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 t="s">
        <v>13</v>
      </c>
      <c r="T37" s="12"/>
      <c r="U37" s="13"/>
    </row>
    <row r="38">
      <c r="A38" s="16">
        <f>S30+1</f>
        <v>46076</v>
      </c>
      <c r="B38" s="12"/>
      <c r="C38" s="13"/>
      <c r="D38" s="16">
        <f>A38+1</f>
        <v>46077</v>
      </c>
      <c r="E38" s="12"/>
      <c r="F38" s="13"/>
      <c r="G38" s="16">
        <f>D38+1</f>
        <v>46078</v>
      </c>
      <c r="H38" s="12"/>
      <c r="I38" s="13"/>
      <c r="J38" s="16">
        <f>G38+1</f>
        <v>46079</v>
      </c>
      <c r="K38" s="12"/>
      <c r="L38" s="13"/>
      <c r="M38" s="16">
        <f>J38+1</f>
        <v>46080</v>
      </c>
      <c r="N38" s="12"/>
      <c r="O38" s="13"/>
      <c r="P38" s="16">
        <f>M38+1</f>
        <v>46081</v>
      </c>
      <c r="Q38" s="12"/>
      <c r="R38" s="13"/>
      <c r="S38" s="176">
        <f>P38+1</f>
        <v>46082</v>
      </c>
      <c r="T38" s="12"/>
      <c r="U38" s="13"/>
    </row>
    <row r="39">
      <c r="A39" s="323"/>
      <c r="B39" s="323"/>
      <c r="C39" s="323"/>
      <c r="D39" s="61"/>
      <c r="E39" s="61"/>
      <c r="F39" s="61"/>
      <c r="G39" s="198"/>
      <c r="H39" s="198"/>
      <c r="I39" s="200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</row>
    <row r="40">
      <c r="A40" s="24" t="s">
        <v>265</v>
      </c>
      <c r="B40" s="24" t="s">
        <v>266</v>
      </c>
      <c r="C40" s="36"/>
      <c r="D40" s="61"/>
      <c r="E40" s="61"/>
      <c r="F40" s="61"/>
      <c r="G40" s="198"/>
      <c r="H40" s="198"/>
      <c r="I40" s="200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</row>
    <row r="41">
      <c r="A41" s="364" t="s">
        <v>421</v>
      </c>
      <c r="B41" s="364" t="s">
        <v>277</v>
      </c>
      <c r="C41" s="44" t="s">
        <v>48</v>
      </c>
      <c r="D41" s="113" t="s">
        <v>412</v>
      </c>
      <c r="E41" s="67" t="s">
        <v>233</v>
      </c>
      <c r="F41" s="44" t="s">
        <v>48</v>
      </c>
      <c r="G41" s="212" t="s">
        <v>14</v>
      </c>
      <c r="H41" s="12"/>
      <c r="I41" s="13"/>
      <c r="J41" s="67" t="s">
        <v>395</v>
      </c>
      <c r="K41" s="67" t="s">
        <v>60</v>
      </c>
      <c r="L41" s="333" t="s">
        <v>25</v>
      </c>
      <c r="M41" s="60"/>
      <c r="N41" s="60"/>
      <c r="O41" s="114"/>
      <c r="P41" s="60"/>
      <c r="Q41" s="60"/>
      <c r="R41" s="114"/>
      <c r="S41" s="60"/>
      <c r="T41" s="60"/>
      <c r="U41" s="114"/>
    </row>
    <row r="42">
      <c r="A42" s="44" t="s">
        <v>414</v>
      </c>
      <c r="B42" s="44" t="s">
        <v>359</v>
      </c>
      <c r="C42" s="24" t="s">
        <v>365</v>
      </c>
      <c r="D42" s="324" t="s">
        <v>443</v>
      </c>
      <c r="E42" s="324" t="s">
        <v>452</v>
      </c>
      <c r="F42" s="324" t="s">
        <v>25</v>
      </c>
      <c r="G42" s="324"/>
      <c r="H42" s="324"/>
      <c r="I42" s="324"/>
      <c r="J42" s="24" t="s">
        <v>288</v>
      </c>
      <c r="K42" s="24" t="s">
        <v>247</v>
      </c>
      <c r="L42" s="24" t="s">
        <v>25</v>
      </c>
      <c r="M42" s="323"/>
      <c r="N42" s="323"/>
      <c r="O42" s="323"/>
      <c r="P42" s="323"/>
      <c r="Q42" s="323"/>
      <c r="R42" s="323"/>
      <c r="S42" s="323"/>
      <c r="T42" s="323"/>
      <c r="U42" s="323"/>
    </row>
    <row r="43">
      <c r="A43" s="323"/>
      <c r="B43" s="323"/>
      <c r="C43" s="323"/>
      <c r="D43" s="61"/>
      <c r="E43" s="61"/>
      <c r="F43" s="61"/>
      <c r="G43" s="198"/>
      <c r="H43" s="198"/>
      <c r="I43" s="198"/>
      <c r="J43" s="114"/>
      <c r="K43" s="140"/>
      <c r="L43" s="43" t="s">
        <v>40</v>
      </c>
      <c r="M43" s="60"/>
      <c r="N43" s="60"/>
      <c r="O43" s="131"/>
      <c r="P43" s="323"/>
      <c r="Q43" s="323"/>
      <c r="R43" s="323"/>
      <c r="S43" s="169"/>
      <c r="T43" s="169"/>
      <c r="U43" s="169"/>
    </row>
    <row r="44">
      <c r="A44" s="340"/>
      <c r="B44" s="340"/>
      <c r="C44" s="340"/>
      <c r="D44" s="148"/>
      <c r="E44" s="148"/>
      <c r="F44" s="148"/>
      <c r="G44" s="198"/>
      <c r="H44" s="198"/>
      <c r="I44" s="242"/>
      <c r="J44" s="340"/>
      <c r="K44" s="340"/>
      <c r="L44" s="340"/>
      <c r="M44" s="340"/>
      <c r="N44" s="340"/>
      <c r="O44" s="340"/>
      <c r="P44" s="340"/>
      <c r="Q44" s="340"/>
      <c r="R44" s="340"/>
      <c r="S44" s="323"/>
      <c r="T44" s="323"/>
      <c r="U44" s="323"/>
    </row>
    <row r="45">
      <c r="A45" s="27"/>
      <c r="B45" s="12"/>
      <c r="C45" s="13"/>
      <c r="D45" s="27"/>
      <c r="E45" s="12"/>
      <c r="F45" s="13"/>
      <c r="G45" s="27"/>
      <c r="H45" s="12"/>
      <c r="I45" s="13"/>
      <c r="J45" s="27"/>
      <c r="K45" s="12"/>
      <c r="L45" s="13"/>
      <c r="M45" s="27"/>
      <c r="N45" s="12"/>
      <c r="O45" s="13"/>
      <c r="P45" s="27"/>
      <c r="Q45" s="12"/>
      <c r="R45" s="13"/>
      <c r="S45" s="336"/>
      <c r="T45" s="12"/>
      <c r="U45" s="13"/>
    </row>
    <row r="46">
      <c r="A46" s="56"/>
      <c r="B46" s="12"/>
      <c r="C46" s="13"/>
      <c r="D46" s="56"/>
      <c r="E46" s="12"/>
      <c r="F46" s="13"/>
      <c r="G46" s="56"/>
      <c r="H46" s="12"/>
      <c r="I46" s="13"/>
      <c r="J46" s="56"/>
      <c r="K46" s="12"/>
      <c r="L46" s="13"/>
      <c r="M46" s="56"/>
      <c r="N46" s="12"/>
      <c r="O46" s="13"/>
      <c r="P46" s="56"/>
      <c r="Q46" s="12"/>
      <c r="R46" s="13"/>
      <c r="S46" s="337"/>
      <c r="T46" s="12"/>
      <c r="U46" s="13"/>
    </row>
    <row r="47">
      <c r="A47" s="169"/>
      <c r="B47" s="169"/>
      <c r="C47" s="169"/>
      <c r="D47" s="148"/>
      <c r="E47" s="148"/>
      <c r="F47" s="148"/>
      <c r="G47" s="338"/>
      <c r="H47" s="339"/>
      <c r="I47" s="339"/>
      <c r="J47" s="340"/>
      <c r="K47" s="340"/>
      <c r="L47" s="340"/>
      <c r="M47" s="323"/>
      <c r="N47" s="323"/>
      <c r="O47" s="323"/>
      <c r="P47" s="323"/>
      <c r="Q47" s="323"/>
      <c r="R47" s="323"/>
      <c r="S47" s="340"/>
      <c r="T47" s="340"/>
      <c r="U47" s="340"/>
    </row>
    <row r="48">
      <c r="A48" s="148"/>
      <c r="B48" s="148"/>
      <c r="C48" s="148"/>
      <c r="D48" s="199"/>
      <c r="E48" s="199"/>
      <c r="F48" s="199"/>
      <c r="G48" s="323"/>
      <c r="H48" s="323"/>
      <c r="I48" s="323"/>
      <c r="J48" s="340"/>
      <c r="K48" s="340"/>
      <c r="L48" s="340"/>
      <c r="M48" s="342"/>
      <c r="N48" s="342"/>
      <c r="O48" s="342"/>
      <c r="P48" s="323"/>
      <c r="Q48" s="323"/>
      <c r="R48" s="323"/>
      <c r="S48" s="323"/>
      <c r="T48" s="323"/>
      <c r="U48" s="323"/>
    </row>
    <row r="49">
      <c r="A49" s="148"/>
      <c r="B49" s="148"/>
      <c r="C49" s="148"/>
      <c r="D49" s="148"/>
      <c r="E49" s="148"/>
      <c r="F49" s="148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</row>
    <row r="50">
      <c r="A50" s="323"/>
      <c r="B50" s="323"/>
      <c r="C50" s="323"/>
      <c r="D50" s="148"/>
      <c r="E50" s="148"/>
      <c r="F50" s="148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40"/>
      <c r="T50" s="340"/>
      <c r="U50" s="340"/>
    </row>
    <row r="51">
      <c r="A51" s="169"/>
      <c r="B51" s="169"/>
      <c r="C51" s="169"/>
      <c r="D51" s="198"/>
      <c r="E51" s="198"/>
      <c r="F51" s="198"/>
      <c r="G51" s="323"/>
      <c r="H51" s="323"/>
      <c r="I51" s="340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</row>
    <row r="52">
      <c r="A52" s="340"/>
      <c r="B52" s="340"/>
      <c r="C52" s="340"/>
      <c r="D52" s="323"/>
      <c r="E52" s="323"/>
      <c r="F52" s="323"/>
      <c r="G52" s="340"/>
      <c r="H52" s="340"/>
      <c r="I52" s="340"/>
      <c r="J52" s="323"/>
      <c r="K52" s="323"/>
      <c r="L52" s="323"/>
      <c r="M52" s="340"/>
      <c r="N52" s="340"/>
      <c r="O52" s="340"/>
      <c r="P52" s="323"/>
      <c r="Q52" s="323"/>
      <c r="R52" s="323"/>
      <c r="S52" s="340"/>
      <c r="T52" s="340"/>
      <c r="U52" s="340"/>
    </row>
    <row r="53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</row>
    <row r="63">
      <c r="L63" s="102" t="s">
        <v>69</v>
      </c>
    </row>
  </sheetData>
  <mergeCells count="97"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D24:F24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G30:I30"/>
    <mergeCell ref="J30:L30"/>
    <mergeCell ref="M30:O30"/>
    <mergeCell ref="P30:R30"/>
    <mergeCell ref="S30:U30"/>
    <mergeCell ref="D30:F30"/>
    <mergeCell ref="D33:F33"/>
    <mergeCell ref="A37:C37"/>
    <mergeCell ref="D37:F37"/>
    <mergeCell ref="G37:I37"/>
    <mergeCell ref="J37:L37"/>
    <mergeCell ref="M37:O37"/>
    <mergeCell ref="J45:L45"/>
    <mergeCell ref="M45:O45"/>
    <mergeCell ref="P45:R45"/>
    <mergeCell ref="S45:U45"/>
    <mergeCell ref="A38:C38"/>
    <mergeCell ref="D38:F38"/>
    <mergeCell ref="G38:I38"/>
    <mergeCell ref="J38:L38"/>
    <mergeCell ref="M38:O38"/>
    <mergeCell ref="G41:I41"/>
    <mergeCell ref="A45:C45"/>
    <mergeCell ref="P46:R46"/>
    <mergeCell ref="S46:U46"/>
    <mergeCell ref="D45:F45"/>
    <mergeCell ref="G45:I45"/>
    <mergeCell ref="A46:C46"/>
    <mergeCell ref="D46:F46"/>
    <mergeCell ref="G46:I46"/>
    <mergeCell ref="J46:L46"/>
    <mergeCell ref="M46:O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37:R37"/>
    <mergeCell ref="S37:U37"/>
    <mergeCell ref="P38:R38"/>
    <mergeCell ref="S38:U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11.0"/>
    <col customWidth="1" min="7" max="7" width="16.43"/>
    <col customWidth="1" min="9" max="9" width="7.57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90" t="s">
        <v>138</v>
      </c>
      <c r="C1" s="319" t="s">
        <v>455</v>
      </c>
      <c r="F1" s="320"/>
      <c r="G1" s="9" t="s">
        <v>424</v>
      </c>
      <c r="Q1" s="320"/>
      <c r="R1" s="320"/>
      <c r="S1" s="320"/>
      <c r="T1" s="320"/>
      <c r="U1" s="320"/>
    </row>
    <row r="2">
      <c r="A2" s="90" t="s">
        <v>3</v>
      </c>
      <c r="C2" s="319" t="s">
        <v>437</v>
      </c>
      <c r="F2" s="320"/>
      <c r="Q2" s="320"/>
      <c r="R2" s="320"/>
      <c r="S2" s="320"/>
      <c r="T2" s="320"/>
      <c r="U2" s="320"/>
    </row>
    <row r="3">
      <c r="A3" s="90" t="s">
        <v>5</v>
      </c>
      <c r="C3" s="321"/>
      <c r="F3" s="320"/>
      <c r="Q3" s="320"/>
      <c r="R3" s="320"/>
      <c r="S3" s="320"/>
      <c r="T3" s="320"/>
      <c r="U3" s="320"/>
    </row>
    <row r="4">
      <c r="A4" s="90" t="s">
        <v>6</v>
      </c>
      <c r="C4" s="322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>
        <v>46055.0</v>
      </c>
      <c r="B6" s="12"/>
      <c r="C6" s="13"/>
      <c r="D6" s="16">
        <f>A6+1</f>
        <v>46056</v>
      </c>
      <c r="E6" s="12"/>
      <c r="F6" s="13"/>
      <c r="G6" s="16">
        <f>D6+1</f>
        <v>46057</v>
      </c>
      <c r="H6" s="12"/>
      <c r="I6" s="13"/>
      <c r="J6" s="15">
        <v>46058.0</v>
      </c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</row>
    <row r="7">
      <c r="A7" s="323"/>
      <c r="B7" s="323"/>
      <c r="C7" s="323"/>
      <c r="D7" s="61"/>
      <c r="E7" s="61"/>
      <c r="F7" s="61"/>
      <c r="G7" s="198"/>
      <c r="H7" s="198"/>
      <c r="I7" s="200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</row>
    <row r="8">
      <c r="A8" s="323"/>
      <c r="B8" s="323"/>
      <c r="C8" s="323"/>
      <c r="D8" s="61"/>
      <c r="E8" s="61"/>
      <c r="F8" s="61"/>
      <c r="G8" s="198"/>
      <c r="H8" s="198"/>
      <c r="I8" s="200"/>
      <c r="J8" s="323"/>
      <c r="K8" s="323"/>
      <c r="L8" s="323"/>
      <c r="M8" s="323"/>
      <c r="N8" s="323"/>
      <c r="O8" s="323"/>
      <c r="P8" s="323"/>
      <c r="Q8" s="323"/>
      <c r="R8" s="323"/>
      <c r="S8" s="212" t="s">
        <v>14</v>
      </c>
      <c r="T8" s="12"/>
      <c r="U8" s="13"/>
    </row>
    <row r="9">
      <c r="A9" s="323"/>
      <c r="B9" s="323"/>
      <c r="C9" s="323"/>
      <c r="D9" s="61"/>
      <c r="E9" s="61"/>
      <c r="F9" s="61"/>
      <c r="G9" s="198"/>
      <c r="H9" s="198"/>
      <c r="I9" s="200"/>
      <c r="J9" s="207"/>
      <c r="K9" s="208"/>
      <c r="L9" s="209"/>
      <c r="M9" s="60"/>
      <c r="N9" s="60"/>
      <c r="O9" s="131"/>
      <c r="P9" s="60"/>
      <c r="Q9" s="60"/>
      <c r="R9" s="114"/>
      <c r="S9" s="131"/>
      <c r="T9" s="131"/>
      <c r="U9" s="131"/>
    </row>
    <row r="10">
      <c r="A10" s="323"/>
      <c r="B10" s="323"/>
      <c r="C10" s="323"/>
      <c r="D10" s="61"/>
      <c r="E10" s="61"/>
      <c r="F10" s="61"/>
      <c r="G10" s="198"/>
      <c r="H10" s="198"/>
      <c r="I10" s="200"/>
      <c r="J10" s="323"/>
      <c r="K10" s="323"/>
      <c r="L10" s="323"/>
      <c r="M10" s="323"/>
      <c r="N10" s="323"/>
      <c r="O10" s="405"/>
      <c r="P10" s="323"/>
      <c r="Q10" s="323"/>
      <c r="R10" s="323"/>
      <c r="S10" s="169"/>
      <c r="T10" s="169"/>
      <c r="U10" s="169"/>
    </row>
    <row r="11" hidden="1">
      <c r="A11" s="323"/>
      <c r="B11" s="323"/>
      <c r="C11" s="323"/>
      <c r="D11" s="61"/>
      <c r="E11" s="61"/>
      <c r="F11" s="61"/>
      <c r="G11" s="198"/>
      <c r="H11" s="198"/>
      <c r="I11" s="198"/>
      <c r="J11" s="323"/>
      <c r="K11" s="323"/>
      <c r="L11" s="323"/>
      <c r="M11" s="323"/>
      <c r="N11" s="323"/>
      <c r="O11" s="323"/>
      <c r="P11" s="323"/>
      <c r="Q11" s="323"/>
      <c r="R11" s="323"/>
      <c r="S11" s="169"/>
      <c r="T11" s="169"/>
      <c r="U11" s="169"/>
    </row>
    <row r="12" hidden="1">
      <c r="A12" s="340"/>
      <c r="B12" s="340"/>
      <c r="C12" s="340"/>
      <c r="D12" s="148"/>
      <c r="E12" s="148"/>
      <c r="F12" s="148"/>
      <c r="G12" s="198"/>
      <c r="H12" s="198"/>
      <c r="I12" s="242"/>
      <c r="J12" s="340"/>
      <c r="K12" s="340"/>
      <c r="L12" s="340"/>
      <c r="M12" s="340"/>
      <c r="N12" s="340"/>
      <c r="O12" s="340"/>
      <c r="P12" s="340"/>
      <c r="Q12" s="340"/>
      <c r="R12" s="340"/>
      <c r="S12" s="323"/>
      <c r="T12" s="323"/>
      <c r="U12" s="323"/>
    </row>
    <row r="13">
      <c r="A13" s="27" t="s">
        <v>7</v>
      </c>
      <c r="B13" s="12"/>
      <c r="C13" s="13"/>
      <c r="D13" s="27" t="s">
        <v>8</v>
      </c>
      <c r="E13" s="12"/>
      <c r="F13" s="13"/>
      <c r="G13" s="27" t="s">
        <v>9</v>
      </c>
      <c r="H13" s="12"/>
      <c r="I13" s="13"/>
      <c r="J13" s="27" t="s">
        <v>10</v>
      </c>
      <c r="K13" s="12"/>
      <c r="L13" s="13"/>
      <c r="M13" s="27" t="s">
        <v>11</v>
      </c>
      <c r="N13" s="12"/>
      <c r="O13" s="13"/>
      <c r="P13" s="27" t="s">
        <v>12</v>
      </c>
      <c r="Q13" s="12"/>
      <c r="R13" s="13"/>
      <c r="S13" s="29" t="s">
        <v>13</v>
      </c>
      <c r="T13" s="12"/>
      <c r="U13" s="13"/>
    </row>
    <row r="14">
      <c r="A14" s="30">
        <f>S6+1</f>
        <v>46055</v>
      </c>
      <c r="B14" s="12"/>
      <c r="C14" s="13"/>
      <c r="D14" s="30">
        <f>A14+1</f>
        <v>46056</v>
      </c>
      <c r="E14" s="12"/>
      <c r="F14" s="13"/>
      <c r="G14" s="30">
        <f>D14+1</f>
        <v>46057</v>
      </c>
      <c r="H14" s="12"/>
      <c r="I14" s="13"/>
      <c r="J14" s="30">
        <f>G14+1</f>
        <v>46058</v>
      </c>
      <c r="K14" s="12"/>
      <c r="L14" s="13"/>
      <c r="M14" s="30">
        <f>J14+1</f>
        <v>46059</v>
      </c>
      <c r="N14" s="12"/>
      <c r="O14" s="13"/>
      <c r="P14" s="30">
        <f>M14+1</f>
        <v>46060</v>
      </c>
      <c r="Q14" s="12"/>
      <c r="R14" s="13"/>
      <c r="S14" s="31">
        <f>P14+1</f>
        <v>46061</v>
      </c>
      <c r="T14" s="12"/>
      <c r="U14" s="13"/>
    </row>
    <row r="15">
      <c r="A15" s="323"/>
      <c r="B15" s="323"/>
      <c r="C15" s="323"/>
      <c r="D15" s="61"/>
      <c r="E15" s="61"/>
      <c r="F15" s="61"/>
      <c r="G15" s="198"/>
      <c r="H15" s="198"/>
      <c r="I15" s="200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</row>
    <row r="16">
      <c r="A16" s="323"/>
      <c r="B16" s="323"/>
      <c r="C16" s="323"/>
      <c r="D16" s="61"/>
      <c r="E16" s="61"/>
      <c r="F16" s="61"/>
      <c r="G16" s="198"/>
      <c r="H16" s="198"/>
      <c r="I16" s="200"/>
      <c r="J16" s="323"/>
      <c r="K16" s="323"/>
      <c r="L16" s="323"/>
      <c r="M16" s="60"/>
      <c r="N16" s="406"/>
      <c r="O16" s="407"/>
      <c r="P16" s="323"/>
      <c r="Q16" s="323"/>
      <c r="R16" s="323"/>
      <c r="S16" s="131"/>
      <c r="T16" s="131"/>
      <c r="U16" s="131"/>
    </row>
    <row r="17">
      <c r="A17" s="60" t="s">
        <v>418</v>
      </c>
      <c r="B17" s="60" t="s">
        <v>438</v>
      </c>
      <c r="C17" s="114" t="s">
        <v>25</v>
      </c>
      <c r="D17" s="60" t="s">
        <v>420</v>
      </c>
      <c r="E17" s="60" t="s">
        <v>438</v>
      </c>
      <c r="F17" s="114" t="s">
        <v>25</v>
      </c>
      <c r="G17" s="60" t="s">
        <v>418</v>
      </c>
      <c r="H17" s="60" t="s">
        <v>438</v>
      </c>
      <c r="I17" s="114" t="s">
        <v>25</v>
      </c>
      <c r="J17" s="60" t="s">
        <v>420</v>
      </c>
      <c r="K17" s="60" t="s">
        <v>456</v>
      </c>
      <c r="L17" s="114" t="s">
        <v>25</v>
      </c>
      <c r="M17" s="60" t="s">
        <v>418</v>
      </c>
      <c r="N17" s="60" t="s">
        <v>457</v>
      </c>
      <c r="O17" s="114" t="s">
        <v>25</v>
      </c>
      <c r="P17" s="60" t="s">
        <v>420</v>
      </c>
      <c r="Q17" s="60" t="s">
        <v>458</v>
      </c>
      <c r="R17" s="114" t="s">
        <v>25</v>
      </c>
      <c r="S17" s="212" t="s">
        <v>14</v>
      </c>
      <c r="T17" s="12"/>
      <c r="U17" s="13"/>
    </row>
    <row r="18">
      <c r="A18" s="364"/>
      <c r="B18" s="364"/>
      <c r="C18" s="364"/>
      <c r="D18" s="61"/>
      <c r="E18" s="61"/>
      <c r="F18" s="61"/>
      <c r="G18" s="60"/>
      <c r="H18" s="60"/>
      <c r="I18" s="131"/>
      <c r="J18" s="323"/>
      <c r="K18" s="323"/>
      <c r="L18" s="408" t="s">
        <v>296</v>
      </c>
      <c r="M18" s="323"/>
      <c r="N18" s="323"/>
      <c r="O18" s="408" t="s">
        <v>296</v>
      </c>
      <c r="P18" s="364"/>
      <c r="Q18" s="364"/>
      <c r="R18" s="364"/>
      <c r="S18" s="169"/>
      <c r="T18" s="169"/>
      <c r="U18" s="169"/>
    </row>
    <row r="19">
      <c r="A19" s="323"/>
      <c r="B19" s="323"/>
      <c r="C19" s="323"/>
      <c r="D19" s="61"/>
      <c r="E19" s="61"/>
      <c r="F19" s="61"/>
      <c r="G19" s="198"/>
      <c r="H19" s="198"/>
      <c r="I19" s="198"/>
      <c r="J19" s="323"/>
      <c r="K19" s="323"/>
      <c r="L19" s="323"/>
      <c r="M19" s="60"/>
      <c r="N19" s="60"/>
      <c r="O19" s="131"/>
      <c r="P19" s="323"/>
      <c r="Q19" s="323"/>
      <c r="R19" s="323"/>
      <c r="S19" s="169"/>
      <c r="T19" s="169"/>
      <c r="U19" s="169"/>
    </row>
    <row r="20">
      <c r="A20" s="340"/>
      <c r="B20" s="340"/>
      <c r="C20" s="340"/>
      <c r="D20" s="148"/>
      <c r="E20" s="148"/>
      <c r="F20" s="148"/>
      <c r="G20" s="198"/>
      <c r="H20" s="198"/>
      <c r="I20" s="242"/>
      <c r="J20" s="340"/>
      <c r="K20" s="340"/>
      <c r="L20" s="340"/>
      <c r="M20" s="340"/>
      <c r="N20" s="340"/>
      <c r="O20" s="340"/>
      <c r="P20" s="340"/>
      <c r="Q20" s="340"/>
      <c r="R20" s="340"/>
      <c r="S20" s="323"/>
      <c r="T20" s="323"/>
      <c r="U20" s="323"/>
    </row>
    <row r="2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4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6">
        <f>S14+1</f>
        <v>46062</v>
      </c>
      <c r="B22" s="12"/>
      <c r="C22" s="13"/>
      <c r="D22" s="16">
        <f>A22+1</f>
        <v>46063</v>
      </c>
      <c r="E22" s="12"/>
      <c r="F22" s="13"/>
      <c r="G22" s="16">
        <f>D22+1</f>
        <v>46064</v>
      </c>
      <c r="H22" s="12"/>
      <c r="I22" s="13"/>
      <c r="J22" s="16">
        <f>G22+1</f>
        <v>46065</v>
      </c>
      <c r="K22" s="12"/>
      <c r="L22" s="13"/>
      <c r="M22" s="176">
        <f>J22+1</f>
        <v>46066</v>
      </c>
      <c r="N22" s="12"/>
      <c r="O22" s="13"/>
      <c r="P22" s="16">
        <f>M22+1</f>
        <v>46067</v>
      </c>
      <c r="Q22" s="12"/>
      <c r="R22" s="13"/>
      <c r="S22" s="176">
        <f>P22+1</f>
        <v>46068</v>
      </c>
      <c r="T22" s="12"/>
      <c r="U22" s="13"/>
    </row>
    <row r="23">
      <c r="A23" s="323"/>
      <c r="B23" s="323"/>
      <c r="C23" s="323"/>
      <c r="D23" s="61"/>
      <c r="E23" s="61"/>
      <c r="F23" s="61"/>
      <c r="G23" s="198"/>
      <c r="H23" s="198"/>
      <c r="I23" s="200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</row>
    <row r="24">
      <c r="A24" s="323"/>
      <c r="B24" s="323"/>
      <c r="C24" s="323"/>
      <c r="D24" s="61"/>
      <c r="E24" s="61"/>
      <c r="F24" s="61"/>
      <c r="G24" s="198"/>
      <c r="H24" s="198"/>
      <c r="I24" s="200"/>
      <c r="J24" s="323"/>
      <c r="K24" s="323"/>
      <c r="L24" s="323"/>
      <c r="M24" s="60" t="s">
        <v>418</v>
      </c>
      <c r="N24" s="406" t="s">
        <v>457</v>
      </c>
      <c r="O24" s="408" t="s">
        <v>296</v>
      </c>
      <c r="P24" s="323"/>
      <c r="Q24" s="323"/>
      <c r="R24" s="323"/>
      <c r="S24" s="212" t="s">
        <v>14</v>
      </c>
      <c r="T24" s="12"/>
      <c r="U24" s="13"/>
    </row>
    <row r="25">
      <c r="A25" s="60" t="s">
        <v>418</v>
      </c>
      <c r="B25" s="60" t="s">
        <v>438</v>
      </c>
      <c r="C25" s="114" t="s">
        <v>25</v>
      </c>
      <c r="D25" s="60" t="s">
        <v>420</v>
      </c>
      <c r="E25" s="60" t="s">
        <v>438</v>
      </c>
      <c r="F25" s="114" t="s">
        <v>25</v>
      </c>
      <c r="G25" s="60" t="s">
        <v>418</v>
      </c>
      <c r="H25" s="60" t="s">
        <v>438</v>
      </c>
      <c r="I25" s="114" t="s">
        <v>25</v>
      </c>
      <c r="J25" s="60" t="s">
        <v>420</v>
      </c>
      <c r="K25" s="60" t="s">
        <v>456</v>
      </c>
      <c r="L25" s="114" t="s">
        <v>25</v>
      </c>
      <c r="M25" s="60"/>
      <c r="N25" s="47"/>
      <c r="O25" s="409" t="s">
        <v>48</v>
      </c>
      <c r="P25" s="60" t="s">
        <v>420</v>
      </c>
      <c r="Q25" s="60" t="s">
        <v>458</v>
      </c>
      <c r="R25" s="114" t="s">
        <v>25</v>
      </c>
      <c r="S25" s="131"/>
      <c r="T25" s="131"/>
      <c r="U25" s="131"/>
    </row>
    <row r="26">
      <c r="A26" s="364"/>
      <c r="B26" s="364"/>
      <c r="C26" s="364"/>
      <c r="D26" s="61"/>
      <c r="E26" s="61"/>
      <c r="F26" s="61"/>
      <c r="G26" s="60"/>
      <c r="H26" s="60"/>
      <c r="I26" s="131"/>
      <c r="J26" s="323"/>
      <c r="K26" s="323"/>
      <c r="L26" s="408" t="s">
        <v>296</v>
      </c>
      <c r="M26" s="60" t="s">
        <v>420</v>
      </c>
      <c r="N26" s="60" t="s">
        <v>413</v>
      </c>
      <c r="O26" s="409" t="s">
        <v>48</v>
      </c>
      <c r="P26" s="364"/>
      <c r="Q26" s="364"/>
      <c r="R26" s="364"/>
      <c r="S26" s="169"/>
      <c r="T26" s="169"/>
      <c r="U26" s="169"/>
    </row>
    <row r="27" hidden="1">
      <c r="A27" s="323"/>
      <c r="B27" s="323"/>
      <c r="C27" s="323"/>
      <c r="D27" s="61"/>
      <c r="E27" s="61"/>
      <c r="F27" s="61"/>
      <c r="G27" s="198"/>
      <c r="H27" s="198"/>
      <c r="I27" s="198"/>
      <c r="J27" s="323"/>
      <c r="K27" s="323"/>
      <c r="L27" s="323"/>
      <c r="M27" s="323"/>
      <c r="N27" s="323"/>
      <c r="O27" s="323"/>
      <c r="P27" s="323"/>
      <c r="Q27" s="323"/>
      <c r="R27" s="323"/>
      <c r="S27" s="169"/>
      <c r="T27" s="169"/>
      <c r="U27" s="169"/>
    </row>
    <row r="28" hidden="1">
      <c r="A28" s="340"/>
      <c r="B28" s="340"/>
      <c r="C28" s="340"/>
      <c r="D28" s="148"/>
      <c r="E28" s="148"/>
      <c r="F28" s="148"/>
      <c r="G28" s="198"/>
      <c r="H28" s="198"/>
      <c r="I28" s="242"/>
      <c r="J28" s="340"/>
      <c r="K28" s="340"/>
      <c r="L28" s="340"/>
      <c r="M28" s="340"/>
      <c r="N28" s="340"/>
      <c r="O28" s="340"/>
      <c r="P28" s="340"/>
      <c r="Q28" s="340"/>
      <c r="R28" s="340"/>
      <c r="S28" s="323"/>
      <c r="T28" s="323"/>
      <c r="U28" s="323"/>
    </row>
    <row r="29">
      <c r="A29" s="27" t="s">
        <v>7</v>
      </c>
      <c r="B29" s="12"/>
      <c r="C29" s="13"/>
      <c r="D29" s="29" t="s">
        <v>8</v>
      </c>
      <c r="E29" s="12"/>
      <c r="F29" s="13"/>
      <c r="G29" s="27" t="s">
        <v>9</v>
      </c>
      <c r="H29" s="12"/>
      <c r="I29" s="13"/>
      <c r="J29" s="27" t="s">
        <v>10</v>
      </c>
      <c r="K29" s="12"/>
      <c r="L29" s="13"/>
      <c r="M29" s="27" t="s">
        <v>11</v>
      </c>
      <c r="N29" s="12"/>
      <c r="O29" s="13"/>
      <c r="P29" s="27" t="s">
        <v>12</v>
      </c>
      <c r="Q29" s="12"/>
      <c r="R29" s="13"/>
      <c r="S29" s="29" t="s">
        <v>13</v>
      </c>
      <c r="T29" s="12"/>
      <c r="U29" s="13"/>
    </row>
    <row r="30">
      <c r="A30" s="56">
        <f>S22+1</f>
        <v>46069</v>
      </c>
      <c r="B30" s="12"/>
      <c r="C30" s="13"/>
      <c r="D30" s="57">
        <f>A30+1</f>
        <v>46070</v>
      </c>
      <c r="E30" s="12"/>
      <c r="F30" s="13"/>
      <c r="G30" s="56">
        <f>D30+1</f>
        <v>46071</v>
      </c>
      <c r="H30" s="12"/>
      <c r="I30" s="13"/>
      <c r="J30" s="56">
        <f>G30+1</f>
        <v>46072</v>
      </c>
      <c r="K30" s="12"/>
      <c r="L30" s="13"/>
      <c r="M30" s="56">
        <f>J30+1</f>
        <v>46073</v>
      </c>
      <c r="N30" s="12"/>
      <c r="O30" s="13"/>
      <c r="P30" s="56">
        <f>M30+1</f>
        <v>46074</v>
      </c>
      <c r="Q30" s="12"/>
      <c r="R30" s="13"/>
      <c r="S30" s="57">
        <f>P30+1</f>
        <v>46075</v>
      </c>
      <c r="T30" s="12"/>
      <c r="U30" s="13"/>
    </row>
    <row r="31">
      <c r="A31" s="323"/>
      <c r="B31" s="323"/>
      <c r="C31" s="323"/>
      <c r="D31" s="61"/>
      <c r="E31" s="61"/>
      <c r="F31" s="61"/>
      <c r="G31" s="198"/>
      <c r="H31" s="198"/>
      <c r="I31" s="200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</row>
    <row r="32">
      <c r="A32" s="323"/>
      <c r="B32" s="323"/>
      <c r="C32" s="323"/>
      <c r="D32" s="61"/>
      <c r="E32" s="61"/>
      <c r="F32" s="61"/>
      <c r="G32" s="198"/>
      <c r="H32" s="198"/>
      <c r="I32" s="200"/>
      <c r="J32" s="323"/>
      <c r="K32" s="323"/>
      <c r="L32" s="323"/>
      <c r="M32" s="323"/>
      <c r="N32" s="323"/>
      <c r="O32" s="323"/>
      <c r="P32" s="323"/>
      <c r="Q32" s="323"/>
      <c r="R32" s="323"/>
      <c r="S32" s="131"/>
      <c r="T32" s="131"/>
      <c r="U32" s="131"/>
    </row>
    <row r="33">
      <c r="A33" s="60" t="s">
        <v>418</v>
      </c>
      <c r="B33" s="60" t="s">
        <v>438</v>
      </c>
      <c r="C33" s="114" t="s">
        <v>25</v>
      </c>
      <c r="D33" s="212" t="s">
        <v>14</v>
      </c>
      <c r="E33" s="12"/>
      <c r="F33" s="13"/>
      <c r="G33" s="60" t="s">
        <v>418</v>
      </c>
      <c r="H33" s="60" t="s">
        <v>438</v>
      </c>
      <c r="I33" s="114" t="s">
        <v>25</v>
      </c>
      <c r="J33" s="60" t="s">
        <v>420</v>
      </c>
      <c r="K33" s="60" t="s">
        <v>456</v>
      </c>
      <c r="L33" s="114" t="s">
        <v>25</v>
      </c>
      <c r="M33" s="60" t="s">
        <v>418</v>
      </c>
      <c r="N33" s="60" t="s">
        <v>457</v>
      </c>
      <c r="O33" s="114" t="s">
        <v>25</v>
      </c>
      <c r="P33" s="60" t="s">
        <v>420</v>
      </c>
      <c r="Q33" s="60" t="s">
        <v>438</v>
      </c>
      <c r="R33" s="114" t="s">
        <v>25</v>
      </c>
      <c r="S33" s="212" t="s">
        <v>14</v>
      </c>
      <c r="T33" s="12"/>
      <c r="U33" s="13"/>
    </row>
    <row r="34">
      <c r="A34" s="323"/>
      <c r="B34" s="323"/>
      <c r="C34" s="323"/>
      <c r="D34" s="61"/>
      <c r="E34" s="61"/>
      <c r="F34" s="61"/>
      <c r="G34" s="203"/>
      <c r="H34" s="199"/>
      <c r="I34" s="199"/>
      <c r="J34" s="323"/>
      <c r="K34" s="323"/>
      <c r="L34" s="408" t="s">
        <v>296</v>
      </c>
      <c r="M34" s="323"/>
      <c r="N34" s="323"/>
      <c r="O34" s="408" t="s">
        <v>296</v>
      </c>
      <c r="P34" s="323"/>
      <c r="Q34" s="323"/>
      <c r="R34" s="323"/>
      <c r="S34" s="169"/>
      <c r="T34" s="169"/>
      <c r="U34" s="169"/>
    </row>
    <row r="35">
      <c r="A35" s="323"/>
      <c r="B35" s="323"/>
      <c r="C35" s="323"/>
      <c r="D35" s="61"/>
      <c r="E35" s="61"/>
      <c r="F35" s="61"/>
      <c r="G35" s="198"/>
      <c r="H35" s="198"/>
      <c r="I35" s="198"/>
      <c r="J35" s="323"/>
      <c r="K35" s="323"/>
      <c r="L35" s="323"/>
      <c r="M35" s="60"/>
      <c r="N35" s="60"/>
      <c r="O35" s="131"/>
      <c r="P35" s="323"/>
      <c r="Q35" s="323"/>
      <c r="R35" s="323"/>
      <c r="S35" s="169"/>
      <c r="T35" s="169"/>
      <c r="U35" s="169"/>
    </row>
    <row r="36">
      <c r="A36" s="340"/>
      <c r="B36" s="340"/>
      <c r="C36" s="340"/>
      <c r="D36" s="148"/>
      <c r="E36" s="148"/>
      <c r="F36" s="148"/>
      <c r="G36" s="198"/>
      <c r="H36" s="198"/>
      <c r="I36" s="242"/>
      <c r="J36" s="340"/>
      <c r="K36" s="340"/>
      <c r="L36" s="340"/>
      <c r="M36" s="340"/>
      <c r="N36" s="340"/>
      <c r="O36" s="340"/>
      <c r="P36" s="340"/>
      <c r="Q36" s="340"/>
      <c r="R36" s="340"/>
      <c r="S36" s="323"/>
      <c r="T36" s="323"/>
      <c r="U36" s="323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 t="s">
        <v>13</v>
      </c>
      <c r="T37" s="12"/>
      <c r="U37" s="13"/>
    </row>
    <row r="38">
      <c r="A38" s="16">
        <f>S30+1</f>
        <v>46076</v>
      </c>
      <c r="B38" s="12"/>
      <c r="C38" s="13"/>
      <c r="D38" s="16">
        <f>A38+1</f>
        <v>46077</v>
      </c>
      <c r="E38" s="12"/>
      <c r="F38" s="13"/>
      <c r="G38" s="16">
        <f>D38+1</f>
        <v>46078</v>
      </c>
      <c r="H38" s="12"/>
      <c r="I38" s="13"/>
      <c r="J38" s="16">
        <f>G38+1</f>
        <v>46079</v>
      </c>
      <c r="K38" s="12"/>
      <c r="L38" s="13"/>
      <c r="M38" s="16">
        <f>J38+1</f>
        <v>46080</v>
      </c>
      <c r="N38" s="12"/>
      <c r="O38" s="13"/>
      <c r="P38" s="16">
        <f>M38+1</f>
        <v>46081</v>
      </c>
      <c r="Q38" s="12"/>
      <c r="R38" s="13"/>
      <c r="S38" s="176">
        <f>P38+1</f>
        <v>46082</v>
      </c>
      <c r="T38" s="12"/>
      <c r="U38" s="13"/>
    </row>
    <row r="39">
      <c r="A39" s="323"/>
      <c r="B39" s="323"/>
      <c r="C39" s="323"/>
      <c r="D39" s="61"/>
      <c r="E39" s="61"/>
      <c r="F39" s="61"/>
      <c r="G39" s="198"/>
      <c r="H39" s="198"/>
      <c r="I39" s="200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</row>
    <row r="40">
      <c r="A40" s="323"/>
      <c r="B40" s="323"/>
      <c r="C40" s="323"/>
      <c r="D40" s="61"/>
      <c r="E40" s="61"/>
      <c r="F40" s="61"/>
      <c r="G40" s="198"/>
      <c r="H40" s="198"/>
      <c r="I40" s="200"/>
      <c r="J40" s="323"/>
      <c r="K40" s="323"/>
      <c r="L40" s="323"/>
      <c r="M40" s="60" t="s">
        <v>418</v>
      </c>
      <c r="N40" s="406" t="s">
        <v>457</v>
      </c>
      <c r="O40" s="408" t="s">
        <v>296</v>
      </c>
      <c r="P40" s="323"/>
      <c r="Q40" s="323"/>
      <c r="R40" s="323"/>
      <c r="S40" s="131"/>
      <c r="T40" s="131"/>
      <c r="U40" s="131"/>
    </row>
    <row r="41">
      <c r="A41" s="60" t="s">
        <v>418</v>
      </c>
      <c r="B41" s="60" t="s">
        <v>438</v>
      </c>
      <c r="C41" s="114" t="s">
        <v>25</v>
      </c>
      <c r="D41" s="60" t="s">
        <v>420</v>
      </c>
      <c r="E41" s="60" t="s">
        <v>438</v>
      </c>
      <c r="F41" s="114" t="s">
        <v>25</v>
      </c>
      <c r="G41" s="60" t="s">
        <v>418</v>
      </c>
      <c r="H41" s="60" t="s">
        <v>438</v>
      </c>
      <c r="I41" s="114" t="s">
        <v>25</v>
      </c>
      <c r="J41" s="60" t="s">
        <v>420</v>
      </c>
      <c r="K41" s="60" t="s">
        <v>456</v>
      </c>
      <c r="L41" s="114" t="s">
        <v>25</v>
      </c>
      <c r="M41" s="60"/>
      <c r="N41" s="47"/>
      <c r="O41" s="409" t="s">
        <v>48</v>
      </c>
      <c r="P41" s="60" t="s">
        <v>420</v>
      </c>
      <c r="Q41" s="60" t="s">
        <v>458</v>
      </c>
      <c r="R41" s="114" t="s">
        <v>25</v>
      </c>
      <c r="S41" s="212" t="s">
        <v>14</v>
      </c>
      <c r="T41" s="12"/>
      <c r="U41" s="13"/>
    </row>
    <row r="42">
      <c r="A42" s="364"/>
      <c r="B42" s="364"/>
      <c r="C42" s="364"/>
      <c r="D42" s="61"/>
      <c r="E42" s="61"/>
      <c r="F42" s="61"/>
      <c r="G42" s="60"/>
      <c r="H42" s="60"/>
      <c r="I42" s="131"/>
      <c r="J42" s="323"/>
      <c r="K42" s="323"/>
      <c r="L42" s="408" t="s">
        <v>296</v>
      </c>
      <c r="M42" s="60" t="s">
        <v>420</v>
      </c>
      <c r="N42" s="60" t="s">
        <v>413</v>
      </c>
      <c r="O42" s="409" t="s">
        <v>48</v>
      </c>
      <c r="P42" s="364"/>
      <c r="Q42" s="364"/>
      <c r="R42" s="364"/>
      <c r="S42" s="169"/>
      <c r="T42" s="169"/>
      <c r="U42" s="169"/>
    </row>
    <row r="43">
      <c r="A43" s="323"/>
      <c r="B43" s="323"/>
      <c r="C43" s="323"/>
      <c r="D43" s="61"/>
      <c r="E43" s="61"/>
      <c r="F43" s="61"/>
      <c r="G43" s="198"/>
      <c r="H43" s="198"/>
      <c r="I43" s="198"/>
      <c r="J43" s="323"/>
      <c r="K43" s="323"/>
      <c r="L43" s="323"/>
      <c r="M43" s="60"/>
      <c r="N43" s="60"/>
      <c r="O43" s="131"/>
      <c r="P43" s="323"/>
      <c r="Q43" s="323"/>
      <c r="R43" s="323"/>
      <c r="S43" s="169"/>
      <c r="T43" s="169"/>
      <c r="U43" s="169"/>
    </row>
    <row r="44">
      <c r="A44" s="340"/>
      <c r="B44" s="340"/>
      <c r="C44" s="340"/>
      <c r="D44" s="148"/>
      <c r="E44" s="148"/>
      <c r="F44" s="148"/>
      <c r="G44" s="198"/>
      <c r="H44" s="198"/>
      <c r="I44" s="242"/>
      <c r="J44" s="340"/>
      <c r="K44" s="340"/>
      <c r="L44" s="340"/>
      <c r="M44" s="340"/>
      <c r="N44" s="340"/>
      <c r="O44" s="340"/>
      <c r="P44" s="340"/>
      <c r="Q44" s="340"/>
      <c r="R44" s="340"/>
      <c r="S44" s="323"/>
      <c r="T44" s="323"/>
      <c r="U44" s="323"/>
    </row>
    <row r="45">
      <c r="A45" s="27"/>
      <c r="B45" s="12"/>
      <c r="C45" s="13"/>
      <c r="D45" s="27"/>
      <c r="E45" s="12"/>
      <c r="F45" s="13"/>
      <c r="G45" s="27"/>
      <c r="H45" s="12"/>
      <c r="I45" s="13"/>
      <c r="J45" s="27"/>
      <c r="K45" s="12"/>
      <c r="L45" s="13"/>
      <c r="M45" s="27"/>
      <c r="N45" s="12"/>
      <c r="O45" s="13"/>
      <c r="P45" s="27"/>
      <c r="Q45" s="12"/>
      <c r="R45" s="13"/>
      <c r="S45" s="336"/>
      <c r="T45" s="12"/>
      <c r="U45" s="13"/>
    </row>
    <row r="46">
      <c r="A46" s="56"/>
      <c r="B46" s="12"/>
      <c r="C46" s="13"/>
      <c r="D46" s="56"/>
      <c r="E46" s="12"/>
      <c r="F46" s="13"/>
      <c r="G46" s="56"/>
      <c r="H46" s="12"/>
      <c r="I46" s="13"/>
      <c r="J46" s="56"/>
      <c r="K46" s="12"/>
      <c r="L46" s="13"/>
      <c r="M46" s="56"/>
      <c r="N46" s="12"/>
      <c r="O46" s="13"/>
      <c r="P46" s="56"/>
      <c r="Q46" s="12"/>
      <c r="R46" s="13"/>
      <c r="S46" s="337"/>
      <c r="T46" s="12"/>
      <c r="U46" s="13"/>
    </row>
    <row r="47">
      <c r="A47" s="169"/>
      <c r="B47" s="169"/>
      <c r="C47" s="169"/>
      <c r="D47" s="148"/>
      <c r="E47" s="148"/>
      <c r="F47" s="148"/>
      <c r="G47" s="338"/>
      <c r="H47" s="339"/>
      <c r="I47" s="339"/>
      <c r="J47" s="340"/>
      <c r="K47" s="340"/>
      <c r="L47" s="340"/>
      <c r="M47" s="323"/>
      <c r="N47" s="323"/>
      <c r="O47" s="323"/>
      <c r="P47" s="323"/>
      <c r="Q47" s="323"/>
      <c r="R47" s="323"/>
      <c r="S47" s="340"/>
      <c r="T47" s="340"/>
      <c r="U47" s="340"/>
    </row>
    <row r="48">
      <c r="A48" s="148"/>
      <c r="B48" s="148"/>
      <c r="C48" s="148"/>
      <c r="D48" s="199"/>
      <c r="E48" s="199"/>
      <c r="F48" s="199"/>
      <c r="G48" s="323"/>
      <c r="H48" s="323"/>
      <c r="I48" s="323"/>
      <c r="J48" s="340"/>
      <c r="K48" s="340"/>
      <c r="L48" s="340"/>
      <c r="M48" s="342"/>
      <c r="N48" s="342"/>
      <c r="O48" s="342"/>
      <c r="P48" s="323"/>
      <c r="Q48" s="323"/>
      <c r="R48" s="323"/>
      <c r="S48" s="323"/>
      <c r="T48" s="323"/>
      <c r="U48" s="323"/>
    </row>
    <row r="49">
      <c r="A49" s="148"/>
      <c r="B49" s="148"/>
      <c r="C49" s="148"/>
      <c r="D49" s="148"/>
      <c r="E49" s="148"/>
      <c r="F49" s="148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</row>
    <row r="50">
      <c r="A50" s="323"/>
      <c r="B50" s="323"/>
      <c r="C50" s="323"/>
      <c r="D50" s="148"/>
      <c r="E50" s="148"/>
      <c r="F50" s="148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40"/>
      <c r="T50" s="340"/>
      <c r="U50" s="340"/>
    </row>
    <row r="51">
      <c r="A51" s="169"/>
      <c r="B51" s="169"/>
      <c r="C51" s="169"/>
      <c r="D51" s="198"/>
      <c r="E51" s="198"/>
      <c r="F51" s="198"/>
      <c r="G51" s="323"/>
      <c r="H51" s="323"/>
      <c r="I51" s="340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</row>
    <row r="52">
      <c r="A52" s="340"/>
      <c r="B52" s="340"/>
      <c r="C52" s="340"/>
      <c r="D52" s="323"/>
      <c r="E52" s="323"/>
      <c r="F52" s="323"/>
      <c r="G52" s="340"/>
      <c r="H52" s="340"/>
      <c r="I52" s="340"/>
      <c r="J52" s="323"/>
      <c r="K52" s="323"/>
      <c r="L52" s="323"/>
      <c r="M52" s="340"/>
      <c r="N52" s="340"/>
      <c r="O52" s="340"/>
      <c r="P52" s="323"/>
      <c r="Q52" s="323"/>
      <c r="R52" s="323"/>
      <c r="S52" s="340"/>
      <c r="T52" s="340"/>
      <c r="U52" s="340"/>
    </row>
    <row r="53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</row>
    <row r="63">
      <c r="L63" s="102" t="s">
        <v>69</v>
      </c>
    </row>
  </sheetData>
  <mergeCells count="101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S17:U17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21:C21"/>
    <mergeCell ref="D21:F21"/>
    <mergeCell ref="G21:I21"/>
    <mergeCell ref="J21:L21"/>
    <mergeCell ref="M21:O21"/>
    <mergeCell ref="P21:R21"/>
    <mergeCell ref="S21:U21"/>
    <mergeCell ref="S38:U38"/>
    <mergeCell ref="S41:U41"/>
    <mergeCell ref="A38:C38"/>
    <mergeCell ref="D38:F38"/>
    <mergeCell ref="G38:I38"/>
    <mergeCell ref="J38:L38"/>
    <mergeCell ref="M38:O38"/>
    <mergeCell ref="P38:R38"/>
    <mergeCell ref="N40:N41"/>
    <mergeCell ref="S22:U22"/>
    <mergeCell ref="S24:U24"/>
    <mergeCell ref="A22:C22"/>
    <mergeCell ref="D22:F22"/>
    <mergeCell ref="G22:I22"/>
    <mergeCell ref="J22:L22"/>
    <mergeCell ref="M22:O22"/>
    <mergeCell ref="P22:R22"/>
    <mergeCell ref="N24:N25"/>
    <mergeCell ref="A29:C29"/>
    <mergeCell ref="D29:F29"/>
    <mergeCell ref="G29:I29"/>
    <mergeCell ref="J29:L29"/>
    <mergeCell ref="M29:O29"/>
    <mergeCell ref="P29:R29"/>
    <mergeCell ref="S29:U29"/>
    <mergeCell ref="S30:U30"/>
    <mergeCell ref="S33:U33"/>
    <mergeCell ref="A30:C30"/>
    <mergeCell ref="D30:F30"/>
    <mergeCell ref="G30:I30"/>
    <mergeCell ref="J30:L30"/>
    <mergeCell ref="M30:O30"/>
    <mergeCell ref="P30:R30"/>
    <mergeCell ref="D33:F33"/>
    <mergeCell ref="A37:C37"/>
    <mergeCell ref="D37:F37"/>
    <mergeCell ref="G37:I37"/>
    <mergeCell ref="J37:L37"/>
    <mergeCell ref="M37:O37"/>
    <mergeCell ref="P37:R37"/>
    <mergeCell ref="S37:U37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11.0"/>
    <col customWidth="1" min="7" max="7" width="16.43"/>
    <col customWidth="1" min="9" max="9" width="7.57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90" t="s">
        <v>138</v>
      </c>
      <c r="C1" s="319" t="s">
        <v>459</v>
      </c>
      <c r="F1" s="320"/>
      <c r="G1" s="9" t="s">
        <v>424</v>
      </c>
      <c r="Q1" s="320"/>
      <c r="R1" s="320"/>
      <c r="S1" s="320"/>
      <c r="T1" s="320"/>
      <c r="U1" s="320"/>
    </row>
    <row r="2">
      <c r="A2" s="90" t="s">
        <v>3</v>
      </c>
      <c r="C2" s="319" t="s">
        <v>437</v>
      </c>
      <c r="F2" s="320"/>
      <c r="Q2" s="320"/>
      <c r="R2" s="320"/>
      <c r="S2" s="320"/>
      <c r="T2" s="320"/>
      <c r="U2" s="320"/>
    </row>
    <row r="3">
      <c r="A3" s="90" t="s">
        <v>5</v>
      </c>
      <c r="C3" s="321"/>
      <c r="F3" s="320"/>
      <c r="Q3" s="320"/>
      <c r="R3" s="320"/>
      <c r="S3" s="320"/>
      <c r="T3" s="320"/>
      <c r="U3" s="320"/>
    </row>
    <row r="4">
      <c r="A4" s="90" t="s">
        <v>6</v>
      </c>
      <c r="C4" s="322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7"/>
      <c r="B6" s="12"/>
      <c r="C6" s="13"/>
      <c r="D6" s="15"/>
      <c r="E6" s="12"/>
      <c r="F6" s="13"/>
      <c r="G6" s="15"/>
      <c r="H6" s="12"/>
      <c r="I6" s="13"/>
      <c r="J6" s="15"/>
      <c r="K6" s="12"/>
      <c r="L6" s="13"/>
      <c r="M6" s="16"/>
      <c r="N6" s="12"/>
      <c r="O6" s="13"/>
      <c r="P6" s="16"/>
      <c r="Q6" s="12"/>
      <c r="R6" s="13"/>
      <c r="S6" s="17">
        <v>46054.0</v>
      </c>
      <c r="T6" s="12"/>
      <c r="U6" s="13"/>
    </row>
    <row r="7">
      <c r="A7" s="323"/>
      <c r="B7" s="323"/>
      <c r="C7" s="323"/>
      <c r="D7" s="61"/>
      <c r="E7" s="61"/>
      <c r="F7" s="61"/>
      <c r="G7" s="198"/>
      <c r="H7" s="198"/>
      <c r="I7" s="200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</row>
    <row r="8">
      <c r="A8" s="323"/>
      <c r="B8" s="323"/>
      <c r="C8" s="323"/>
      <c r="D8" s="61"/>
      <c r="E8" s="61"/>
      <c r="F8" s="61"/>
      <c r="G8" s="198"/>
      <c r="H8" s="198"/>
      <c r="I8" s="200"/>
      <c r="J8" s="323"/>
      <c r="K8" s="323"/>
      <c r="L8" s="323"/>
      <c r="M8" s="323"/>
      <c r="N8" s="323"/>
      <c r="O8" s="323"/>
      <c r="P8" s="323"/>
      <c r="Q8" s="323"/>
      <c r="R8" s="323"/>
      <c r="S8" s="212" t="s">
        <v>14</v>
      </c>
      <c r="T8" s="12"/>
      <c r="U8" s="13"/>
    </row>
    <row r="9">
      <c r="A9" s="60"/>
      <c r="B9" s="60"/>
      <c r="C9" s="200"/>
      <c r="D9" s="60"/>
      <c r="E9" s="60"/>
      <c r="F9" s="200"/>
      <c r="G9" s="60"/>
      <c r="H9" s="60"/>
      <c r="I9" s="200"/>
      <c r="J9" s="207"/>
      <c r="K9" s="12"/>
      <c r="L9" s="13"/>
      <c r="M9" s="60"/>
      <c r="N9" s="60"/>
      <c r="O9" s="116"/>
      <c r="P9" s="60"/>
      <c r="Q9" s="60"/>
      <c r="R9" s="116"/>
      <c r="S9" s="131"/>
      <c r="T9" s="131"/>
      <c r="U9" s="131"/>
    </row>
    <row r="10">
      <c r="A10" s="323"/>
      <c r="B10" s="323"/>
      <c r="C10" s="323"/>
      <c r="D10" s="61"/>
      <c r="E10" s="61"/>
      <c r="F10" s="61"/>
      <c r="G10" s="203"/>
      <c r="H10" s="199"/>
      <c r="I10" s="199"/>
      <c r="J10" s="323"/>
      <c r="K10" s="323"/>
      <c r="L10" s="323"/>
      <c r="M10" s="323"/>
      <c r="N10" s="323"/>
      <c r="O10" s="323"/>
      <c r="P10" s="323"/>
      <c r="Q10" s="323"/>
      <c r="R10" s="323"/>
      <c r="S10" s="169"/>
      <c r="T10" s="169"/>
      <c r="U10" s="169"/>
    </row>
    <row r="11">
      <c r="A11" s="27" t="s">
        <v>7</v>
      </c>
      <c r="B11" s="12"/>
      <c r="C11" s="13"/>
      <c r="D11" s="27" t="s">
        <v>8</v>
      </c>
      <c r="E11" s="12"/>
      <c r="F11" s="13"/>
      <c r="G11" s="27" t="s">
        <v>9</v>
      </c>
      <c r="H11" s="12"/>
      <c r="I11" s="13"/>
      <c r="J11" s="27" t="s">
        <v>10</v>
      </c>
      <c r="K11" s="12"/>
      <c r="L11" s="13"/>
      <c r="M11" s="27" t="s">
        <v>11</v>
      </c>
      <c r="N11" s="12"/>
      <c r="O11" s="13"/>
      <c r="P11" s="27" t="s">
        <v>12</v>
      </c>
      <c r="Q11" s="12"/>
      <c r="R11" s="13"/>
      <c r="S11" s="29" t="s">
        <v>13</v>
      </c>
      <c r="T11" s="12"/>
      <c r="U11" s="13"/>
    </row>
    <row r="12">
      <c r="A12" s="30">
        <f>S6+1</f>
        <v>46055</v>
      </c>
      <c r="B12" s="12"/>
      <c r="C12" s="13"/>
      <c r="D12" s="30">
        <f>A12+1</f>
        <v>46056</v>
      </c>
      <c r="E12" s="12"/>
      <c r="F12" s="13"/>
      <c r="G12" s="30">
        <f>D12+1</f>
        <v>46057</v>
      </c>
      <c r="H12" s="12"/>
      <c r="I12" s="13"/>
      <c r="J12" s="30">
        <f>G12+1</f>
        <v>46058</v>
      </c>
      <c r="K12" s="12"/>
      <c r="L12" s="13"/>
      <c r="M12" s="30">
        <f>J12+1</f>
        <v>46059</v>
      </c>
      <c r="N12" s="12"/>
      <c r="O12" s="13"/>
      <c r="P12" s="30">
        <f>M12+1</f>
        <v>46060</v>
      </c>
      <c r="Q12" s="12"/>
      <c r="R12" s="13"/>
      <c r="S12" s="31">
        <f>P12+1</f>
        <v>46061</v>
      </c>
      <c r="T12" s="12"/>
      <c r="U12" s="13"/>
    </row>
    <row r="13">
      <c r="A13" s="323"/>
      <c r="B13" s="323"/>
      <c r="C13" s="323"/>
      <c r="D13" s="61"/>
      <c r="E13" s="61"/>
      <c r="F13" s="61"/>
      <c r="G13" s="198"/>
      <c r="H13" s="198"/>
      <c r="I13" s="200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</row>
    <row r="14">
      <c r="A14" s="323"/>
      <c r="B14" s="323"/>
      <c r="C14" s="323"/>
      <c r="D14" s="61"/>
      <c r="E14" s="61"/>
      <c r="F14" s="61"/>
      <c r="G14" s="198"/>
      <c r="H14" s="198"/>
      <c r="I14" s="200"/>
      <c r="J14" s="323"/>
      <c r="K14" s="323"/>
      <c r="L14" s="323"/>
      <c r="M14" s="323"/>
      <c r="N14" s="323"/>
      <c r="O14" s="323"/>
      <c r="P14" s="323"/>
      <c r="Q14" s="323"/>
      <c r="R14" s="323"/>
      <c r="S14" s="131"/>
      <c r="T14" s="131"/>
      <c r="U14" s="131"/>
    </row>
    <row r="15">
      <c r="A15" s="60" t="s">
        <v>416</v>
      </c>
      <c r="B15" s="60" t="s">
        <v>426</v>
      </c>
      <c r="C15" s="200" t="s">
        <v>25</v>
      </c>
      <c r="D15" s="60" t="s">
        <v>417</v>
      </c>
      <c r="E15" s="60" t="s">
        <v>426</v>
      </c>
      <c r="F15" s="200" t="s">
        <v>25</v>
      </c>
      <c r="G15" s="60" t="s">
        <v>416</v>
      </c>
      <c r="H15" s="60" t="s">
        <v>457</v>
      </c>
      <c r="I15" s="200" t="s">
        <v>25</v>
      </c>
      <c r="J15" s="60" t="s">
        <v>417</v>
      </c>
      <c r="K15" s="60" t="s">
        <v>457</v>
      </c>
      <c r="L15" s="200" t="s">
        <v>25</v>
      </c>
      <c r="M15" s="60" t="s">
        <v>416</v>
      </c>
      <c r="N15" s="60" t="s">
        <v>426</v>
      </c>
      <c r="O15" s="200" t="s">
        <v>25</v>
      </c>
      <c r="P15" s="60" t="s">
        <v>417</v>
      </c>
      <c r="Q15" s="60" t="s">
        <v>426</v>
      </c>
      <c r="R15" s="200" t="s">
        <v>25</v>
      </c>
      <c r="S15" s="212" t="s">
        <v>14</v>
      </c>
      <c r="T15" s="12"/>
      <c r="U15" s="13"/>
    </row>
    <row r="16">
      <c r="A16" s="323"/>
      <c r="B16" s="323"/>
      <c r="C16" s="323"/>
      <c r="D16" s="61"/>
      <c r="E16" s="61"/>
      <c r="F16" s="61"/>
      <c r="G16" s="203"/>
      <c r="H16" s="199"/>
      <c r="I16" s="408" t="s">
        <v>296</v>
      </c>
      <c r="J16" s="323"/>
      <c r="K16" s="323"/>
      <c r="L16" s="408" t="s">
        <v>296</v>
      </c>
      <c r="M16" s="410" t="s">
        <v>460</v>
      </c>
      <c r="N16" s="12"/>
      <c r="O16" s="13"/>
      <c r="P16" s="323"/>
      <c r="Q16" s="323"/>
      <c r="R16" s="323"/>
      <c r="S16" s="169"/>
      <c r="T16" s="169"/>
      <c r="U16" s="169"/>
    </row>
    <row r="17">
      <c r="A17" s="11" t="s">
        <v>7</v>
      </c>
      <c r="B17" s="12"/>
      <c r="C17" s="13"/>
      <c r="D17" s="11" t="s">
        <v>8</v>
      </c>
      <c r="E17" s="12"/>
      <c r="F17" s="13"/>
      <c r="G17" s="11" t="s">
        <v>9</v>
      </c>
      <c r="H17" s="12"/>
      <c r="I17" s="13"/>
      <c r="J17" s="11" t="s">
        <v>10</v>
      </c>
      <c r="K17" s="12"/>
      <c r="L17" s="13"/>
      <c r="M17" s="11" t="s">
        <v>11</v>
      </c>
      <c r="N17" s="12"/>
      <c r="O17" s="13"/>
      <c r="P17" s="11" t="s">
        <v>12</v>
      </c>
      <c r="Q17" s="12"/>
      <c r="R17" s="13"/>
      <c r="S17" s="14" t="s">
        <v>13</v>
      </c>
      <c r="T17" s="12"/>
      <c r="U17" s="13"/>
    </row>
    <row r="18">
      <c r="A18" s="16">
        <f>S12+1</f>
        <v>46062</v>
      </c>
      <c r="B18" s="12"/>
      <c r="C18" s="13"/>
      <c r="D18" s="16">
        <f>A18+1</f>
        <v>46063</v>
      </c>
      <c r="E18" s="12"/>
      <c r="F18" s="13"/>
      <c r="G18" s="16">
        <f>D18+1</f>
        <v>46064</v>
      </c>
      <c r="H18" s="12"/>
      <c r="I18" s="13"/>
      <c r="J18" s="16">
        <f>G18+1</f>
        <v>46065</v>
      </c>
      <c r="K18" s="12"/>
      <c r="L18" s="13"/>
      <c r="M18" s="16">
        <f>J18+1</f>
        <v>46066</v>
      </c>
      <c r="N18" s="12"/>
      <c r="O18" s="13"/>
      <c r="P18" s="16">
        <f>M18+1</f>
        <v>46067</v>
      </c>
      <c r="Q18" s="12"/>
      <c r="R18" s="13"/>
      <c r="S18" s="176">
        <f>P18+1</f>
        <v>46068</v>
      </c>
      <c r="T18" s="12"/>
      <c r="U18" s="13"/>
    </row>
    <row r="19">
      <c r="A19" s="323"/>
      <c r="B19" s="323"/>
      <c r="C19" s="323"/>
      <c r="D19" s="61"/>
      <c r="E19" s="61"/>
      <c r="F19" s="61"/>
      <c r="G19" s="198"/>
      <c r="H19" s="198"/>
      <c r="I19" s="200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</row>
    <row r="20">
      <c r="A20" s="323"/>
      <c r="B20" s="323"/>
      <c r="C20" s="323"/>
      <c r="D20" s="61"/>
      <c r="E20" s="61"/>
      <c r="F20" s="61"/>
      <c r="G20" s="198"/>
      <c r="H20" s="198"/>
      <c r="I20" s="200"/>
      <c r="J20" s="323"/>
      <c r="K20" s="323"/>
      <c r="L20" s="323"/>
      <c r="M20" s="323"/>
      <c r="N20" s="323"/>
      <c r="O20" s="323"/>
      <c r="P20" s="323"/>
      <c r="Q20" s="323"/>
      <c r="R20" s="323"/>
      <c r="S20" s="131"/>
      <c r="T20" s="131"/>
      <c r="U20" s="131"/>
    </row>
    <row r="21">
      <c r="A21" s="60" t="s">
        <v>416</v>
      </c>
      <c r="B21" s="60" t="s">
        <v>426</v>
      </c>
      <c r="C21" s="200" t="s">
        <v>25</v>
      </c>
      <c r="D21" s="60" t="s">
        <v>417</v>
      </c>
      <c r="E21" s="60" t="s">
        <v>426</v>
      </c>
      <c r="F21" s="200" t="s">
        <v>25</v>
      </c>
      <c r="G21" s="60" t="s">
        <v>416</v>
      </c>
      <c r="H21" s="60" t="s">
        <v>457</v>
      </c>
      <c r="I21" s="409" t="s">
        <v>48</v>
      </c>
      <c r="J21" s="60" t="s">
        <v>417</v>
      </c>
      <c r="K21" s="60" t="s">
        <v>457</v>
      </c>
      <c r="L21" s="411" t="s">
        <v>48</v>
      </c>
      <c r="M21" s="60" t="s">
        <v>416</v>
      </c>
      <c r="N21" s="60" t="s">
        <v>426</v>
      </c>
      <c r="O21" s="200" t="s">
        <v>25</v>
      </c>
      <c r="P21" s="60" t="s">
        <v>417</v>
      </c>
      <c r="Q21" s="60" t="s">
        <v>426</v>
      </c>
      <c r="R21" s="200" t="s">
        <v>25</v>
      </c>
      <c r="S21" s="212" t="s">
        <v>14</v>
      </c>
      <c r="T21" s="12"/>
      <c r="U21" s="13"/>
    </row>
    <row r="22">
      <c r="A22" s="323"/>
      <c r="B22" s="323"/>
      <c r="C22" s="323"/>
      <c r="D22" s="61"/>
      <c r="E22" s="61"/>
      <c r="F22" s="61"/>
      <c r="G22" s="203"/>
      <c r="H22" s="199"/>
      <c r="I22" s="408" t="s">
        <v>296</v>
      </c>
      <c r="J22" s="60"/>
      <c r="K22" s="60"/>
      <c r="L22" s="408" t="s">
        <v>296</v>
      </c>
      <c r="M22" s="323"/>
      <c r="N22" s="323"/>
      <c r="O22" s="323"/>
      <c r="P22" s="323"/>
      <c r="Q22" s="323"/>
      <c r="R22" s="323"/>
      <c r="S22" s="169"/>
      <c r="T22" s="169"/>
      <c r="U22" s="169"/>
    </row>
    <row r="23">
      <c r="A23" s="27" t="s">
        <v>7</v>
      </c>
      <c r="B23" s="12"/>
      <c r="C23" s="13"/>
      <c r="D23" s="29" t="s">
        <v>8</v>
      </c>
      <c r="E23" s="12"/>
      <c r="F23" s="13"/>
      <c r="G23" s="27" t="s">
        <v>9</v>
      </c>
      <c r="H23" s="12"/>
      <c r="I23" s="13"/>
      <c r="J23" s="27" t="s">
        <v>10</v>
      </c>
      <c r="K23" s="12"/>
      <c r="L23" s="13"/>
      <c r="M23" s="27" t="s">
        <v>11</v>
      </c>
      <c r="N23" s="12"/>
      <c r="O23" s="13"/>
      <c r="P23" s="27" t="s">
        <v>12</v>
      </c>
      <c r="Q23" s="12"/>
      <c r="R23" s="13"/>
      <c r="S23" s="29" t="s">
        <v>13</v>
      </c>
      <c r="T23" s="12"/>
      <c r="U23" s="13"/>
    </row>
    <row r="24">
      <c r="A24" s="56">
        <f>S18+1</f>
        <v>46069</v>
      </c>
      <c r="B24" s="12"/>
      <c r="C24" s="13"/>
      <c r="D24" s="57">
        <f>A24+1</f>
        <v>46070</v>
      </c>
      <c r="E24" s="12"/>
      <c r="F24" s="13"/>
      <c r="G24" s="56">
        <f>D24+1</f>
        <v>46071</v>
      </c>
      <c r="H24" s="12"/>
      <c r="I24" s="13"/>
      <c r="J24" s="56">
        <f>G24+1</f>
        <v>46072</v>
      </c>
      <c r="K24" s="12"/>
      <c r="L24" s="13"/>
      <c r="M24" s="56">
        <f>J24+1</f>
        <v>46073</v>
      </c>
      <c r="N24" s="12"/>
      <c r="O24" s="13"/>
      <c r="P24" s="56">
        <f>M24+1</f>
        <v>46074</v>
      </c>
      <c r="Q24" s="12"/>
      <c r="R24" s="13"/>
      <c r="S24" s="57">
        <f>P24+1</f>
        <v>46075</v>
      </c>
      <c r="T24" s="12"/>
      <c r="U24" s="13"/>
    </row>
    <row r="25">
      <c r="A25" s="323"/>
      <c r="B25" s="323"/>
      <c r="C25" s="323"/>
      <c r="D25" s="61"/>
      <c r="E25" s="61"/>
      <c r="F25" s="61"/>
      <c r="G25" s="198"/>
      <c r="H25" s="198"/>
      <c r="I25" s="200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</row>
    <row r="26">
      <c r="A26" s="323"/>
      <c r="B26" s="323"/>
      <c r="C26" s="323"/>
      <c r="D26" s="61"/>
      <c r="E26" s="61"/>
      <c r="F26" s="61"/>
      <c r="G26" s="198"/>
      <c r="H26" s="198"/>
      <c r="I26" s="200"/>
      <c r="J26" s="323"/>
      <c r="K26" s="323"/>
      <c r="L26" s="323"/>
      <c r="M26" s="323"/>
      <c r="N26" s="323"/>
      <c r="O26" s="323"/>
      <c r="P26" s="323"/>
      <c r="Q26" s="323"/>
      <c r="R26" s="323"/>
      <c r="S26" s="60" t="s">
        <v>416</v>
      </c>
      <c r="T26" s="60" t="s">
        <v>426</v>
      </c>
      <c r="U26" s="200" t="s">
        <v>25</v>
      </c>
    </row>
    <row r="27">
      <c r="A27" s="60" t="s">
        <v>416</v>
      </c>
      <c r="B27" s="60" t="s">
        <v>426</v>
      </c>
      <c r="C27" s="200" t="s">
        <v>25</v>
      </c>
      <c r="D27" s="212" t="s">
        <v>14</v>
      </c>
      <c r="E27" s="12"/>
      <c r="F27" s="13"/>
      <c r="G27" s="60" t="s">
        <v>416</v>
      </c>
      <c r="H27" s="60" t="s">
        <v>457</v>
      </c>
      <c r="I27" s="200" t="s">
        <v>25</v>
      </c>
      <c r="J27" s="60" t="s">
        <v>417</v>
      </c>
      <c r="K27" s="60" t="s">
        <v>457</v>
      </c>
      <c r="L27" s="200" t="s">
        <v>25</v>
      </c>
      <c r="M27" s="60" t="s">
        <v>416</v>
      </c>
      <c r="N27" s="60" t="s">
        <v>426</v>
      </c>
      <c r="O27" s="200" t="s">
        <v>25</v>
      </c>
      <c r="P27" s="60" t="s">
        <v>417</v>
      </c>
      <c r="Q27" s="60" t="s">
        <v>426</v>
      </c>
      <c r="R27" s="200" t="s">
        <v>25</v>
      </c>
      <c r="S27" s="212" t="s">
        <v>14</v>
      </c>
      <c r="T27" s="12"/>
      <c r="U27" s="13"/>
    </row>
    <row r="28">
      <c r="A28" s="323"/>
      <c r="B28" s="323"/>
      <c r="C28" s="323"/>
      <c r="D28" s="60"/>
      <c r="E28" s="60"/>
      <c r="F28" s="200"/>
      <c r="G28" s="203"/>
      <c r="H28" s="199"/>
      <c r="I28" s="408" t="s">
        <v>296</v>
      </c>
      <c r="J28" s="323"/>
      <c r="K28" s="323"/>
      <c r="L28" s="408" t="s">
        <v>296</v>
      </c>
      <c r="M28" s="323"/>
      <c r="N28" s="323"/>
      <c r="O28" s="323"/>
      <c r="P28" s="323"/>
      <c r="Q28" s="323"/>
      <c r="R28" s="323"/>
      <c r="S28" s="169"/>
      <c r="T28" s="169"/>
      <c r="U28" s="169"/>
    </row>
    <row r="29">
      <c r="A29" s="323"/>
      <c r="B29" s="323"/>
      <c r="C29" s="323"/>
      <c r="D29" s="61"/>
      <c r="E29" s="61"/>
      <c r="F29" s="61"/>
      <c r="G29" s="198"/>
      <c r="H29" s="198"/>
      <c r="I29" s="198"/>
      <c r="J29" s="323"/>
      <c r="K29" s="323"/>
      <c r="L29" s="323"/>
      <c r="M29" s="323"/>
      <c r="N29" s="323"/>
      <c r="O29" s="323"/>
      <c r="P29" s="323"/>
      <c r="Q29" s="323"/>
      <c r="R29" s="323"/>
      <c r="S29" s="169"/>
      <c r="T29" s="169"/>
      <c r="U29" s="169"/>
    </row>
    <row r="30">
      <c r="A30" s="340"/>
      <c r="B30" s="340"/>
      <c r="C30" s="340"/>
      <c r="D30" s="148"/>
      <c r="E30" s="148"/>
      <c r="F30" s="148"/>
      <c r="G30" s="198"/>
      <c r="H30" s="198"/>
      <c r="I30" s="242"/>
      <c r="J30" s="340"/>
      <c r="K30" s="340"/>
      <c r="L30" s="340"/>
      <c r="M30" s="340"/>
      <c r="N30" s="340"/>
      <c r="O30" s="340"/>
      <c r="P30" s="340"/>
      <c r="Q30" s="340"/>
      <c r="R30" s="340"/>
      <c r="S30" s="323"/>
      <c r="T30" s="323"/>
      <c r="U30" s="323"/>
    </row>
    <row r="31">
      <c r="A31" s="11" t="s">
        <v>7</v>
      </c>
      <c r="B31" s="12"/>
      <c r="C31" s="13"/>
      <c r="D31" s="11" t="s">
        <v>8</v>
      </c>
      <c r="E31" s="12"/>
      <c r="F31" s="13"/>
      <c r="G31" s="11" t="s">
        <v>9</v>
      </c>
      <c r="H31" s="12"/>
      <c r="I31" s="13"/>
      <c r="J31" s="11" t="s">
        <v>10</v>
      </c>
      <c r="K31" s="12"/>
      <c r="L31" s="13"/>
      <c r="M31" s="11" t="s">
        <v>11</v>
      </c>
      <c r="N31" s="12"/>
      <c r="O31" s="13"/>
      <c r="P31" s="11" t="s">
        <v>12</v>
      </c>
      <c r="Q31" s="12"/>
      <c r="R31" s="13"/>
      <c r="S31" s="29" t="s">
        <v>13</v>
      </c>
      <c r="T31" s="12"/>
      <c r="U31" s="13"/>
    </row>
    <row r="32">
      <c r="A32" s="16">
        <f>S24+1</f>
        <v>46076</v>
      </c>
      <c r="B32" s="12"/>
      <c r="C32" s="13"/>
      <c r="D32" s="16">
        <f>A32+1</f>
        <v>46077</v>
      </c>
      <c r="E32" s="12"/>
      <c r="F32" s="13"/>
      <c r="G32" s="16">
        <f>D32+1</f>
        <v>46078</v>
      </c>
      <c r="H32" s="12"/>
      <c r="I32" s="13"/>
      <c r="J32" s="16">
        <f>G32+1</f>
        <v>46079</v>
      </c>
      <c r="K32" s="12"/>
      <c r="L32" s="13"/>
      <c r="M32" s="16">
        <f>J32+1</f>
        <v>46080</v>
      </c>
      <c r="N32" s="12"/>
      <c r="O32" s="13"/>
      <c r="P32" s="16">
        <f>M32+1</f>
        <v>46081</v>
      </c>
      <c r="Q32" s="12"/>
      <c r="R32" s="13"/>
      <c r="S32" s="16">
        <f>P32+1</f>
        <v>46082</v>
      </c>
      <c r="T32" s="12"/>
      <c r="U32" s="13"/>
    </row>
    <row r="33">
      <c r="A33" s="323"/>
      <c r="B33" s="323"/>
      <c r="C33" s="323"/>
      <c r="D33" s="61"/>
      <c r="E33" s="61"/>
      <c r="F33" s="61"/>
      <c r="G33" s="198"/>
      <c r="H33" s="198"/>
      <c r="I33" s="200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</row>
    <row r="34">
      <c r="A34" s="323"/>
      <c r="B34" s="323"/>
      <c r="C34" s="323"/>
      <c r="D34" s="61"/>
      <c r="E34" s="61"/>
      <c r="F34" s="61"/>
      <c r="G34" s="198"/>
      <c r="H34" s="198"/>
      <c r="I34" s="200"/>
      <c r="J34" s="323"/>
      <c r="K34" s="323"/>
      <c r="L34" s="323"/>
      <c r="M34" s="323"/>
      <c r="N34" s="323"/>
      <c r="O34" s="323"/>
      <c r="P34" s="323"/>
      <c r="Q34" s="323"/>
      <c r="R34" s="323"/>
      <c r="S34" s="131"/>
      <c r="T34" s="131"/>
      <c r="U34" s="131"/>
    </row>
    <row r="35">
      <c r="A35" s="60" t="s">
        <v>416</v>
      </c>
      <c r="B35" s="60" t="s">
        <v>426</v>
      </c>
      <c r="C35" s="200" t="s">
        <v>25</v>
      </c>
      <c r="D35" s="60" t="s">
        <v>417</v>
      </c>
      <c r="E35" s="60" t="s">
        <v>426</v>
      </c>
      <c r="F35" s="114" t="s">
        <v>25</v>
      </c>
      <c r="G35" s="60" t="s">
        <v>416</v>
      </c>
      <c r="H35" s="60" t="s">
        <v>457</v>
      </c>
      <c r="I35" s="409" t="s">
        <v>48</v>
      </c>
      <c r="J35" s="60" t="s">
        <v>417</v>
      </c>
      <c r="K35" s="60" t="s">
        <v>457</v>
      </c>
      <c r="L35" s="411" t="s">
        <v>48</v>
      </c>
      <c r="M35" s="60" t="s">
        <v>416</v>
      </c>
      <c r="N35" s="60" t="s">
        <v>426</v>
      </c>
      <c r="O35" s="200" t="s">
        <v>25</v>
      </c>
      <c r="P35" s="60" t="s">
        <v>417</v>
      </c>
      <c r="Q35" s="60" t="s">
        <v>426</v>
      </c>
      <c r="R35" s="200" t="s">
        <v>25</v>
      </c>
      <c r="S35" s="212" t="s">
        <v>14</v>
      </c>
      <c r="T35" s="12"/>
      <c r="U35" s="13"/>
    </row>
    <row r="36">
      <c r="A36" s="323"/>
      <c r="B36" s="323"/>
      <c r="C36" s="323"/>
      <c r="D36" s="60"/>
      <c r="E36" s="60"/>
      <c r="F36" s="114"/>
      <c r="G36" s="203"/>
      <c r="H36" s="199"/>
      <c r="I36" s="408" t="s">
        <v>296</v>
      </c>
      <c r="J36" s="60"/>
      <c r="K36" s="60"/>
      <c r="L36" s="408" t="s">
        <v>296</v>
      </c>
      <c r="M36" s="323"/>
      <c r="N36" s="323"/>
      <c r="O36" s="323"/>
      <c r="P36" s="323"/>
      <c r="Q36" s="323"/>
      <c r="R36" s="323"/>
      <c r="S36" s="169"/>
      <c r="T36" s="169"/>
      <c r="U36" s="169"/>
    </row>
    <row r="37">
      <c r="A37" s="323"/>
      <c r="B37" s="323"/>
      <c r="C37" s="323"/>
      <c r="D37" s="61"/>
      <c r="E37" s="61"/>
      <c r="F37" s="61"/>
      <c r="G37" s="198"/>
      <c r="H37" s="198"/>
      <c r="I37" s="198"/>
      <c r="J37" s="323"/>
      <c r="K37" s="323"/>
      <c r="L37" s="323"/>
      <c r="M37" s="323"/>
      <c r="N37" s="323"/>
      <c r="O37" s="323"/>
      <c r="P37" s="323"/>
      <c r="Q37" s="323"/>
      <c r="R37" s="323"/>
      <c r="S37" s="169"/>
      <c r="T37" s="169"/>
      <c r="U37" s="169"/>
    </row>
    <row r="38">
      <c r="A38" s="340"/>
      <c r="B38" s="340"/>
      <c r="C38" s="340"/>
      <c r="D38" s="148"/>
      <c r="E38" s="148"/>
      <c r="F38" s="148"/>
      <c r="G38" s="198"/>
      <c r="H38" s="198"/>
      <c r="I38" s="242"/>
      <c r="J38" s="340"/>
      <c r="K38" s="340"/>
      <c r="L38" s="340"/>
      <c r="M38" s="340"/>
      <c r="N38" s="340"/>
      <c r="O38" s="340"/>
      <c r="P38" s="340"/>
      <c r="Q38" s="340"/>
      <c r="R38" s="340"/>
      <c r="S38" s="323"/>
      <c r="T38" s="323"/>
      <c r="U38" s="323"/>
    </row>
    <row r="39">
      <c r="A39" s="27"/>
      <c r="B39" s="12"/>
      <c r="C39" s="13"/>
      <c r="D39" s="27"/>
      <c r="E39" s="12"/>
      <c r="F39" s="13"/>
      <c r="G39" s="27"/>
      <c r="H39" s="12"/>
      <c r="I39" s="13"/>
      <c r="J39" s="27"/>
      <c r="K39" s="12"/>
      <c r="L39" s="13"/>
      <c r="M39" s="27"/>
      <c r="N39" s="12"/>
      <c r="O39" s="13"/>
      <c r="P39" s="27"/>
      <c r="Q39" s="12"/>
      <c r="R39" s="13"/>
      <c r="S39" s="336"/>
      <c r="T39" s="12"/>
      <c r="U39" s="13"/>
    </row>
    <row r="40">
      <c r="A40" s="56"/>
      <c r="B40" s="12"/>
      <c r="C40" s="13"/>
      <c r="D40" s="56"/>
      <c r="E40" s="12"/>
      <c r="F40" s="13"/>
      <c r="G40" s="56"/>
      <c r="H40" s="12"/>
      <c r="I40" s="13"/>
      <c r="J40" s="56"/>
      <c r="K40" s="12"/>
      <c r="L40" s="13"/>
      <c r="M40" s="56"/>
      <c r="N40" s="12"/>
      <c r="O40" s="13"/>
      <c r="P40" s="56"/>
      <c r="Q40" s="12"/>
      <c r="R40" s="13"/>
      <c r="S40" s="337"/>
      <c r="T40" s="12"/>
      <c r="U40" s="13"/>
    </row>
    <row r="41">
      <c r="A41" s="169"/>
      <c r="B41" s="169"/>
      <c r="C41" s="169"/>
      <c r="D41" s="148"/>
      <c r="E41" s="148"/>
      <c r="F41" s="148"/>
      <c r="G41" s="338"/>
      <c r="H41" s="339"/>
      <c r="I41" s="339"/>
      <c r="J41" s="340"/>
      <c r="K41" s="340"/>
      <c r="L41" s="340"/>
      <c r="M41" s="323"/>
      <c r="N41" s="323"/>
      <c r="O41" s="323"/>
      <c r="P41" s="323"/>
      <c r="Q41" s="323"/>
      <c r="R41" s="323"/>
      <c r="S41" s="340"/>
      <c r="T41" s="340"/>
      <c r="U41" s="340"/>
    </row>
    <row r="42">
      <c r="A42" s="148"/>
      <c r="B42" s="148"/>
      <c r="C42" s="148"/>
      <c r="D42" s="199"/>
      <c r="E42" s="199"/>
      <c r="F42" s="199"/>
      <c r="G42" s="323"/>
      <c r="H42" s="323"/>
      <c r="I42" s="323"/>
      <c r="J42" s="340"/>
      <c r="K42" s="340"/>
      <c r="L42" s="340"/>
      <c r="M42" s="342"/>
      <c r="N42" s="342"/>
      <c r="O42" s="342"/>
      <c r="P42" s="323"/>
      <c r="Q42" s="323"/>
      <c r="R42" s="323"/>
      <c r="S42" s="323"/>
      <c r="T42" s="323"/>
      <c r="U42" s="323"/>
    </row>
    <row r="43">
      <c r="A43" s="148"/>
      <c r="B43" s="148"/>
      <c r="C43" s="148"/>
      <c r="D43" s="148"/>
      <c r="E43" s="148"/>
      <c r="F43" s="148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</row>
    <row r="44">
      <c r="A44" s="323"/>
      <c r="B44" s="323"/>
      <c r="C44" s="323"/>
      <c r="D44" s="148"/>
      <c r="E44" s="148"/>
      <c r="F44" s="148"/>
      <c r="G44" s="323"/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40"/>
      <c r="T44" s="340"/>
      <c r="U44" s="340"/>
    </row>
    <row r="45">
      <c r="A45" s="169"/>
      <c r="B45" s="169"/>
      <c r="C45" s="169"/>
      <c r="D45" s="198"/>
      <c r="E45" s="198"/>
      <c r="F45" s="198"/>
      <c r="G45" s="323"/>
      <c r="H45" s="323"/>
      <c r="I45" s="340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</row>
    <row r="46">
      <c r="A46" s="340"/>
      <c r="B46" s="340"/>
      <c r="C46" s="340"/>
      <c r="D46" s="323"/>
      <c r="E46" s="323"/>
      <c r="F46" s="323"/>
      <c r="G46" s="340"/>
      <c r="H46" s="340"/>
      <c r="I46" s="340"/>
      <c r="J46" s="323"/>
      <c r="K46" s="323"/>
      <c r="L46" s="323"/>
      <c r="M46" s="340"/>
      <c r="N46" s="340"/>
      <c r="O46" s="340"/>
      <c r="P46" s="323"/>
      <c r="Q46" s="323"/>
      <c r="R46" s="323"/>
      <c r="S46" s="340"/>
      <c r="T46" s="340"/>
      <c r="U46" s="340"/>
    </row>
    <row r="47">
      <c r="A47" s="323"/>
      <c r="B47" s="323"/>
      <c r="C47" s="323"/>
      <c r="D47" s="323"/>
      <c r="E47" s="323"/>
      <c r="F47" s="323"/>
      <c r="G47" s="323"/>
      <c r="H47" s="323"/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</row>
    <row r="57">
      <c r="L57" s="102" t="s">
        <v>69</v>
      </c>
    </row>
  </sheetData>
  <mergeCells count="101">
    <mergeCell ref="P5:R5"/>
    <mergeCell ref="S5:U5"/>
    <mergeCell ref="S8:U8"/>
    <mergeCell ref="J9:L9"/>
    <mergeCell ref="A11:C11"/>
    <mergeCell ref="D11:F11"/>
    <mergeCell ref="G11:I11"/>
    <mergeCell ref="P11:R11"/>
    <mergeCell ref="S11:U11"/>
    <mergeCell ref="S15:U15"/>
    <mergeCell ref="M16:O16"/>
    <mergeCell ref="A17:C17"/>
    <mergeCell ref="D17:F17"/>
    <mergeCell ref="G17:I17"/>
    <mergeCell ref="A23:C23"/>
    <mergeCell ref="D23:F23"/>
    <mergeCell ref="G23:I23"/>
    <mergeCell ref="J23:L23"/>
    <mergeCell ref="M23:O23"/>
    <mergeCell ref="P23:R23"/>
    <mergeCell ref="S23:U23"/>
    <mergeCell ref="S24:U24"/>
    <mergeCell ref="S27:U27"/>
    <mergeCell ref="S35:U35"/>
    <mergeCell ref="A24:C24"/>
    <mergeCell ref="D24:F24"/>
    <mergeCell ref="G24:I24"/>
    <mergeCell ref="J24:L24"/>
    <mergeCell ref="M24:O24"/>
    <mergeCell ref="P24:R24"/>
    <mergeCell ref="D27:F27"/>
    <mergeCell ref="A31:C31"/>
    <mergeCell ref="D31:F31"/>
    <mergeCell ref="G31:I31"/>
    <mergeCell ref="J31:L31"/>
    <mergeCell ref="M31:O31"/>
    <mergeCell ref="P31:R31"/>
    <mergeCell ref="S31:U31"/>
    <mergeCell ref="A32:C32"/>
    <mergeCell ref="D32:F32"/>
    <mergeCell ref="G32:I32"/>
    <mergeCell ref="J32:L32"/>
    <mergeCell ref="M32:O32"/>
    <mergeCell ref="P32:R32"/>
    <mergeCell ref="S32:U32"/>
    <mergeCell ref="A40:C40"/>
    <mergeCell ref="D40:F40"/>
    <mergeCell ref="G40:I40"/>
    <mergeCell ref="J40:L40"/>
    <mergeCell ref="M40:O40"/>
    <mergeCell ref="P40:R40"/>
    <mergeCell ref="S40:U40"/>
    <mergeCell ref="A39:C39"/>
    <mergeCell ref="D39:F39"/>
    <mergeCell ref="G39:I39"/>
    <mergeCell ref="J39:L39"/>
    <mergeCell ref="M39:O39"/>
    <mergeCell ref="P39:R39"/>
    <mergeCell ref="S39:U39"/>
    <mergeCell ref="A1:B1"/>
    <mergeCell ref="C1:E1"/>
    <mergeCell ref="G1:P3"/>
    <mergeCell ref="A2:B2"/>
    <mergeCell ref="C2:E2"/>
    <mergeCell ref="A3:B3"/>
    <mergeCell ref="C3:E3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J11:L11"/>
    <mergeCell ref="M11:O11"/>
    <mergeCell ref="A12:C12"/>
    <mergeCell ref="D12:F12"/>
    <mergeCell ref="G12:I12"/>
    <mergeCell ref="J12:L12"/>
    <mergeCell ref="M12:O12"/>
    <mergeCell ref="P12:R12"/>
    <mergeCell ref="S12:U12"/>
    <mergeCell ref="P17:R17"/>
    <mergeCell ref="S17:U17"/>
    <mergeCell ref="P18:R18"/>
    <mergeCell ref="S18:U18"/>
    <mergeCell ref="S21:U21"/>
    <mergeCell ref="J17:L17"/>
    <mergeCell ref="M17:O17"/>
    <mergeCell ref="A18:C18"/>
    <mergeCell ref="D18:F18"/>
    <mergeCell ref="G18:I18"/>
    <mergeCell ref="J18:L18"/>
    <mergeCell ref="M18:O1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90" t="s">
        <v>138</v>
      </c>
      <c r="C1" s="319" t="s">
        <v>461</v>
      </c>
      <c r="F1" s="320"/>
      <c r="G1" s="9" t="s">
        <v>424</v>
      </c>
      <c r="Q1" s="320"/>
      <c r="R1" s="320"/>
      <c r="S1" s="320"/>
      <c r="T1" s="320"/>
      <c r="U1" s="320"/>
    </row>
    <row r="2">
      <c r="A2" s="90" t="s">
        <v>3</v>
      </c>
      <c r="C2" s="319" t="s">
        <v>437</v>
      </c>
      <c r="F2" s="320"/>
      <c r="Q2" s="320"/>
      <c r="R2" s="320"/>
      <c r="S2" s="320"/>
      <c r="T2" s="320"/>
      <c r="U2" s="320"/>
    </row>
    <row r="3">
      <c r="A3" s="90" t="s">
        <v>5</v>
      </c>
      <c r="C3" s="321"/>
      <c r="F3" s="320"/>
      <c r="Q3" s="320"/>
      <c r="R3" s="320"/>
      <c r="S3" s="320"/>
      <c r="T3" s="320"/>
      <c r="U3" s="320"/>
    </row>
    <row r="4">
      <c r="A4" s="412" t="s">
        <v>6</v>
      </c>
      <c r="B4" s="413"/>
      <c r="C4" s="414"/>
      <c r="D4" s="413"/>
      <c r="E4" s="413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</row>
    <row r="5">
      <c r="A5" s="416" t="s">
        <v>7</v>
      </c>
      <c r="B5" s="417"/>
      <c r="C5" s="418"/>
      <c r="D5" s="416" t="s">
        <v>8</v>
      </c>
      <c r="E5" s="417"/>
      <c r="F5" s="418"/>
      <c r="G5" s="416" t="s">
        <v>9</v>
      </c>
      <c r="H5" s="417"/>
      <c r="I5" s="418"/>
      <c r="J5" s="416" t="s">
        <v>10</v>
      </c>
      <c r="K5" s="417"/>
      <c r="L5" s="418"/>
      <c r="M5" s="416" t="s">
        <v>11</v>
      </c>
      <c r="N5" s="417"/>
      <c r="O5" s="418"/>
      <c r="P5" s="416" t="s">
        <v>12</v>
      </c>
      <c r="Q5" s="417"/>
      <c r="R5" s="418"/>
      <c r="S5" s="419" t="s">
        <v>13</v>
      </c>
      <c r="T5" s="417"/>
      <c r="U5" s="418"/>
    </row>
    <row r="6">
      <c r="A6" s="420">
        <v>45992.0</v>
      </c>
      <c r="B6" s="417"/>
      <c r="C6" s="418"/>
      <c r="D6" s="421">
        <f>A6+1</f>
        <v>45993</v>
      </c>
      <c r="E6" s="413"/>
      <c r="F6" s="422"/>
      <c r="G6" s="421">
        <f>D6+1</f>
        <v>45994</v>
      </c>
      <c r="H6" s="413"/>
      <c r="I6" s="422"/>
      <c r="J6" s="421">
        <f>G6+1</f>
        <v>45995</v>
      </c>
      <c r="K6" s="413"/>
      <c r="L6" s="422"/>
      <c r="M6" s="421">
        <f>J6+1</f>
        <v>45996</v>
      </c>
      <c r="N6" s="413"/>
      <c r="O6" s="422"/>
      <c r="P6" s="421">
        <f>M6+1</f>
        <v>45997</v>
      </c>
      <c r="Q6" s="413"/>
      <c r="R6" s="422"/>
      <c r="S6" s="423">
        <f>P6+1</f>
        <v>45998</v>
      </c>
      <c r="T6" s="413"/>
      <c r="U6" s="422"/>
    </row>
    <row r="7">
      <c r="A7" s="424"/>
      <c r="B7" s="425"/>
      <c r="C7" s="425"/>
      <c r="D7" s="426"/>
      <c r="E7" s="426"/>
      <c r="F7" s="426"/>
      <c r="G7" s="427"/>
      <c r="H7" s="427"/>
      <c r="I7" s="428"/>
      <c r="J7" s="429"/>
      <c r="K7" s="430"/>
      <c r="L7" s="430"/>
      <c r="M7" s="427"/>
      <c r="N7" s="427"/>
      <c r="O7" s="428"/>
      <c r="P7" s="425"/>
      <c r="Q7" s="425"/>
      <c r="R7" s="425"/>
      <c r="S7" s="425"/>
      <c r="T7" s="425"/>
      <c r="U7" s="425"/>
    </row>
    <row r="8">
      <c r="A8" s="424"/>
      <c r="B8" s="425"/>
      <c r="C8" s="425"/>
      <c r="D8" s="426"/>
      <c r="E8" s="426"/>
      <c r="F8" s="426"/>
      <c r="G8" s="427"/>
      <c r="H8" s="427"/>
      <c r="I8" s="428"/>
      <c r="J8" s="85"/>
      <c r="K8" s="85"/>
      <c r="L8" s="431"/>
      <c r="M8" s="427"/>
      <c r="N8" s="427"/>
      <c r="O8" s="428"/>
      <c r="P8" s="425"/>
      <c r="Q8" s="425"/>
      <c r="R8" s="425"/>
      <c r="S8" s="432"/>
      <c r="T8" s="432"/>
      <c r="U8" s="432"/>
    </row>
    <row r="9">
      <c r="A9" s="85"/>
      <c r="B9" s="85"/>
      <c r="C9" s="378"/>
      <c r="D9" s="433"/>
      <c r="E9" s="433"/>
      <c r="F9" s="433"/>
      <c r="G9" s="85"/>
      <c r="H9" s="85"/>
      <c r="I9" s="428"/>
      <c r="J9" s="429"/>
      <c r="K9" s="430"/>
      <c r="L9" s="430"/>
      <c r="M9" s="85"/>
      <c r="N9" s="85"/>
      <c r="O9" s="428"/>
      <c r="P9" s="432" t="s">
        <v>421</v>
      </c>
      <c r="Q9" s="434" t="s">
        <v>426</v>
      </c>
      <c r="R9" s="432" t="s">
        <v>25</v>
      </c>
      <c r="S9" s="432" t="s">
        <v>421</v>
      </c>
      <c r="T9" s="434" t="s">
        <v>426</v>
      </c>
      <c r="U9" s="432" t="s">
        <v>25</v>
      </c>
    </row>
    <row r="10">
      <c r="A10" s="424"/>
      <c r="B10" s="425"/>
      <c r="C10" s="425"/>
      <c r="D10" s="426"/>
      <c r="E10" s="426"/>
      <c r="F10" s="426"/>
      <c r="G10" s="435"/>
      <c r="H10" s="436"/>
      <c r="I10" s="436"/>
      <c r="J10" s="429"/>
      <c r="K10" s="430"/>
      <c r="L10" s="430"/>
      <c r="M10" s="437"/>
      <c r="N10" s="437"/>
      <c r="O10" s="437"/>
      <c r="P10" s="438"/>
      <c r="Q10" s="85"/>
      <c r="R10" s="439"/>
      <c r="S10" s="432"/>
      <c r="T10" s="432"/>
      <c r="U10" s="432"/>
    </row>
    <row r="11">
      <c r="A11" s="424"/>
      <c r="B11" s="425"/>
      <c r="C11" s="425"/>
      <c r="D11" s="426"/>
      <c r="E11" s="426"/>
      <c r="F11" s="426"/>
      <c r="G11" s="427"/>
      <c r="H11" s="427"/>
      <c r="I11" s="427"/>
      <c r="J11" s="440"/>
      <c r="K11" s="440"/>
      <c r="L11" s="440"/>
      <c r="M11" s="427"/>
      <c r="N11" s="427"/>
      <c r="O11" s="427"/>
      <c r="P11" s="425"/>
      <c r="Q11" s="425"/>
      <c r="R11" s="425"/>
      <c r="S11" s="432"/>
      <c r="T11" s="432"/>
      <c r="U11" s="432"/>
    </row>
    <row r="12">
      <c r="A12" s="441"/>
      <c r="B12" s="442"/>
      <c r="C12" s="442"/>
      <c r="D12" s="443"/>
      <c r="E12" s="443"/>
      <c r="F12" s="443"/>
      <c r="G12" s="427"/>
      <c r="H12" s="427"/>
      <c r="I12" s="444"/>
      <c r="J12" s="425"/>
      <c r="K12" s="425"/>
      <c r="L12" s="425"/>
      <c r="M12" s="427"/>
      <c r="N12" s="427"/>
      <c r="O12" s="444"/>
      <c r="P12" s="425"/>
      <c r="Q12" s="425"/>
      <c r="R12" s="425"/>
      <c r="S12" s="425"/>
      <c r="T12" s="425"/>
      <c r="U12" s="425"/>
    </row>
    <row r="13">
      <c r="A13" s="445" t="s">
        <v>7</v>
      </c>
      <c r="B13" s="413"/>
      <c r="C13" s="422"/>
      <c r="D13" s="446" t="s">
        <v>8</v>
      </c>
      <c r="E13" s="413"/>
      <c r="F13" s="422"/>
      <c r="G13" s="446" t="s">
        <v>9</v>
      </c>
      <c r="H13" s="413"/>
      <c r="I13" s="422"/>
      <c r="J13" s="446" t="s">
        <v>10</v>
      </c>
      <c r="K13" s="413"/>
      <c r="L13" s="422"/>
      <c r="M13" s="446" t="s">
        <v>11</v>
      </c>
      <c r="N13" s="413"/>
      <c r="O13" s="422"/>
      <c r="P13" s="446" t="s">
        <v>12</v>
      </c>
      <c r="Q13" s="413"/>
      <c r="R13" s="422"/>
      <c r="S13" s="447" t="s">
        <v>13</v>
      </c>
      <c r="T13" s="413"/>
      <c r="U13" s="422"/>
    </row>
    <row r="14">
      <c r="A14" s="448">
        <f>S6+1</f>
        <v>45999</v>
      </c>
      <c r="B14" s="413"/>
      <c r="C14" s="422"/>
      <c r="D14" s="449">
        <f>A14+1</f>
        <v>46000</v>
      </c>
      <c r="E14" s="413"/>
      <c r="F14" s="422"/>
      <c r="G14" s="449">
        <f>D14+1</f>
        <v>46001</v>
      </c>
      <c r="H14" s="413"/>
      <c r="I14" s="422"/>
      <c r="J14" s="449">
        <f>G14+1</f>
        <v>46002</v>
      </c>
      <c r="K14" s="413"/>
      <c r="L14" s="422"/>
      <c r="M14" s="449">
        <f>J14+1</f>
        <v>46003</v>
      </c>
      <c r="N14" s="413"/>
      <c r="O14" s="422"/>
      <c r="P14" s="449">
        <f>M14+1</f>
        <v>46004</v>
      </c>
      <c r="Q14" s="413"/>
      <c r="R14" s="422"/>
      <c r="S14" s="450">
        <f>P14+1</f>
        <v>46005</v>
      </c>
      <c r="T14" s="413"/>
      <c r="U14" s="422"/>
    </row>
    <row r="15">
      <c r="A15" s="424"/>
      <c r="B15" s="425"/>
      <c r="C15" s="425"/>
      <c r="D15" s="426"/>
      <c r="E15" s="426"/>
      <c r="F15" s="426"/>
      <c r="G15" s="427"/>
      <c r="H15" s="427"/>
      <c r="I15" s="428"/>
      <c r="J15" s="429"/>
      <c r="K15" s="430"/>
      <c r="L15" s="430"/>
      <c r="M15" s="427"/>
      <c r="N15" s="427"/>
      <c r="O15" s="428"/>
      <c r="P15" s="425"/>
      <c r="Q15" s="425"/>
      <c r="R15" s="425"/>
      <c r="S15" s="425"/>
      <c r="T15" s="425"/>
      <c r="U15" s="425"/>
    </row>
    <row r="16">
      <c r="A16" s="424"/>
      <c r="B16" s="425"/>
      <c r="C16" s="425"/>
      <c r="D16" s="426"/>
      <c r="E16" s="426"/>
      <c r="F16" s="426"/>
      <c r="G16" s="427"/>
      <c r="H16" s="427"/>
      <c r="I16" s="428"/>
      <c r="J16" s="85"/>
      <c r="K16" s="85"/>
      <c r="L16" s="431"/>
      <c r="M16" s="427"/>
      <c r="N16" s="427"/>
      <c r="O16" s="428"/>
      <c r="P16" s="425"/>
      <c r="Q16" s="425"/>
      <c r="R16" s="425"/>
      <c r="S16" s="425"/>
      <c r="T16" s="425"/>
      <c r="U16" s="425"/>
    </row>
    <row r="17">
      <c r="A17" s="432" t="s">
        <v>421</v>
      </c>
      <c r="B17" s="434" t="s">
        <v>426</v>
      </c>
      <c r="C17" s="432" t="s">
        <v>25</v>
      </c>
      <c r="D17" s="432" t="s">
        <v>421</v>
      </c>
      <c r="E17" s="434" t="s">
        <v>426</v>
      </c>
      <c r="F17" s="432" t="s">
        <v>25</v>
      </c>
      <c r="G17" s="432" t="s">
        <v>421</v>
      </c>
      <c r="H17" s="434" t="s">
        <v>426</v>
      </c>
      <c r="I17" s="432" t="s">
        <v>25</v>
      </c>
      <c r="J17" s="432" t="s">
        <v>421</v>
      </c>
      <c r="K17" s="434" t="s">
        <v>426</v>
      </c>
      <c r="L17" s="432" t="s">
        <v>25</v>
      </c>
      <c r="M17" s="451" t="s">
        <v>14</v>
      </c>
      <c r="N17" s="417"/>
      <c r="O17" s="418"/>
      <c r="P17" s="432" t="s">
        <v>421</v>
      </c>
      <c r="Q17" s="434" t="s">
        <v>462</v>
      </c>
      <c r="R17" s="432" t="s">
        <v>25</v>
      </c>
      <c r="S17" s="432" t="s">
        <v>421</v>
      </c>
      <c r="T17" s="434" t="s">
        <v>462</v>
      </c>
      <c r="U17" s="432" t="s">
        <v>25</v>
      </c>
    </row>
    <row r="18">
      <c r="A18" s="424"/>
      <c r="B18" s="425"/>
      <c r="C18" s="425"/>
      <c r="D18" s="426"/>
      <c r="E18" s="426"/>
      <c r="F18" s="426"/>
      <c r="G18" s="435"/>
      <c r="H18" s="436"/>
      <c r="I18" s="436"/>
      <c r="J18" s="429"/>
      <c r="K18" s="430"/>
      <c r="L18" s="430"/>
      <c r="M18" s="437"/>
      <c r="N18" s="437"/>
      <c r="O18" s="437"/>
      <c r="P18" s="438"/>
      <c r="Q18" s="85"/>
      <c r="R18" s="439"/>
      <c r="S18" s="425"/>
      <c r="T18" s="425"/>
      <c r="U18" s="425"/>
    </row>
    <row r="19">
      <c r="A19" s="424"/>
      <c r="B19" s="425"/>
      <c r="C19" s="425"/>
      <c r="D19" s="426"/>
      <c r="E19" s="426"/>
      <c r="F19" s="426"/>
      <c r="G19" s="427"/>
      <c r="H19" s="427"/>
      <c r="I19" s="427"/>
      <c r="J19" s="440"/>
      <c r="K19" s="440"/>
      <c r="L19" s="440"/>
      <c r="M19" s="427"/>
      <c r="N19" s="427"/>
      <c r="O19" s="427"/>
      <c r="P19" s="425"/>
      <c r="Q19" s="425"/>
      <c r="R19" s="425"/>
      <c r="S19" s="425"/>
      <c r="T19" s="425"/>
      <c r="U19" s="425"/>
    </row>
    <row r="20">
      <c r="A20" s="441"/>
      <c r="B20" s="442"/>
      <c r="C20" s="442"/>
      <c r="D20" s="443"/>
      <c r="E20" s="443"/>
      <c r="F20" s="443"/>
      <c r="G20" s="427"/>
      <c r="H20" s="427"/>
      <c r="I20" s="444"/>
      <c r="J20" s="425"/>
      <c r="K20" s="425"/>
      <c r="L20" s="425"/>
      <c r="M20" s="427"/>
      <c r="N20" s="427"/>
      <c r="O20" s="444"/>
      <c r="P20" s="425"/>
      <c r="Q20" s="425"/>
      <c r="R20" s="425"/>
      <c r="S20" s="425"/>
      <c r="T20" s="425"/>
      <c r="U20" s="425"/>
    </row>
    <row r="21">
      <c r="A21" s="452" t="s">
        <v>7</v>
      </c>
      <c r="B21" s="413"/>
      <c r="C21" s="422"/>
      <c r="D21" s="453" t="s">
        <v>8</v>
      </c>
      <c r="E21" s="413"/>
      <c r="F21" s="422"/>
      <c r="G21" s="453" t="s">
        <v>9</v>
      </c>
      <c r="H21" s="413"/>
      <c r="I21" s="422"/>
      <c r="J21" s="453" t="s">
        <v>10</v>
      </c>
      <c r="K21" s="413"/>
      <c r="L21" s="422"/>
      <c r="M21" s="453" t="s">
        <v>11</v>
      </c>
      <c r="N21" s="413"/>
      <c r="O21" s="422"/>
      <c r="P21" s="453" t="s">
        <v>12</v>
      </c>
      <c r="Q21" s="413"/>
      <c r="R21" s="422"/>
      <c r="S21" s="454" t="s">
        <v>13</v>
      </c>
      <c r="T21" s="413"/>
      <c r="U21" s="422"/>
    </row>
    <row r="22">
      <c r="A22" s="421">
        <f>S14+1</f>
        <v>46006</v>
      </c>
      <c r="B22" s="413"/>
      <c r="C22" s="422"/>
      <c r="D22" s="455">
        <f>A22+1</f>
        <v>46007</v>
      </c>
      <c r="E22" s="413"/>
      <c r="F22" s="422"/>
      <c r="G22" s="455">
        <f>D22+1</f>
        <v>46008</v>
      </c>
      <c r="H22" s="413"/>
      <c r="I22" s="422"/>
      <c r="J22" s="455">
        <f>G22+1</f>
        <v>46009</v>
      </c>
      <c r="K22" s="413"/>
      <c r="L22" s="422"/>
      <c r="M22" s="455">
        <f>J22+1</f>
        <v>46010</v>
      </c>
      <c r="N22" s="413"/>
      <c r="O22" s="422"/>
      <c r="P22" s="455">
        <f>M22+1</f>
        <v>46011</v>
      </c>
      <c r="Q22" s="413"/>
      <c r="R22" s="422"/>
      <c r="S22" s="423">
        <f>P22+1</f>
        <v>46012</v>
      </c>
      <c r="T22" s="413"/>
      <c r="U22" s="422"/>
    </row>
    <row r="23">
      <c r="A23" s="424"/>
      <c r="B23" s="425"/>
      <c r="C23" s="425"/>
      <c r="D23" s="426"/>
      <c r="E23" s="426"/>
      <c r="F23" s="426"/>
      <c r="G23" s="427"/>
      <c r="H23" s="427"/>
      <c r="I23" s="428"/>
      <c r="J23" s="429"/>
      <c r="K23" s="430"/>
      <c r="L23" s="430"/>
      <c r="M23" s="427"/>
      <c r="N23" s="427"/>
      <c r="O23" s="428"/>
      <c r="P23" s="425"/>
      <c r="Q23" s="425"/>
      <c r="R23" s="425"/>
      <c r="S23" s="425"/>
      <c r="T23" s="425"/>
      <c r="U23" s="425"/>
    </row>
    <row r="24">
      <c r="A24" s="424"/>
      <c r="B24" s="425"/>
      <c r="C24" s="425"/>
      <c r="D24" s="426"/>
      <c r="E24" s="426"/>
      <c r="F24" s="426"/>
      <c r="G24" s="427"/>
      <c r="H24" s="427"/>
      <c r="I24" s="428"/>
      <c r="J24" s="451" t="s">
        <v>14</v>
      </c>
      <c r="K24" s="417"/>
      <c r="L24" s="418"/>
      <c r="M24" s="451" t="s">
        <v>14</v>
      </c>
      <c r="N24" s="417"/>
      <c r="O24" s="418"/>
      <c r="P24" s="425"/>
      <c r="Q24" s="425"/>
      <c r="R24" s="425"/>
      <c r="S24" s="425"/>
      <c r="T24" s="425"/>
      <c r="U24" s="425"/>
    </row>
    <row r="25">
      <c r="A25" s="85"/>
      <c r="B25" s="85"/>
      <c r="C25" s="378"/>
      <c r="D25" s="433"/>
      <c r="E25" s="433"/>
      <c r="F25" s="433"/>
      <c r="G25" s="85"/>
      <c r="H25" s="85"/>
      <c r="I25" s="428"/>
      <c r="J25" s="429"/>
      <c r="K25" s="430"/>
      <c r="L25" s="430"/>
      <c r="M25" s="85"/>
      <c r="N25" s="85"/>
      <c r="O25" s="428"/>
      <c r="P25" s="432"/>
      <c r="Q25" s="434"/>
      <c r="R25" s="432"/>
      <c r="S25" s="425"/>
      <c r="T25" s="425"/>
      <c r="U25" s="425"/>
    </row>
    <row r="26">
      <c r="A26" s="432" t="s">
        <v>421</v>
      </c>
      <c r="B26" s="434" t="s">
        <v>462</v>
      </c>
      <c r="C26" s="432" t="s">
        <v>25</v>
      </c>
      <c r="D26" s="432" t="s">
        <v>421</v>
      </c>
      <c r="E26" s="434" t="s">
        <v>462</v>
      </c>
      <c r="F26" s="432" t="s">
        <v>25</v>
      </c>
      <c r="G26" s="432" t="s">
        <v>421</v>
      </c>
      <c r="H26" s="434" t="s">
        <v>462</v>
      </c>
      <c r="I26" s="432" t="s">
        <v>25</v>
      </c>
      <c r="J26" s="432"/>
      <c r="K26" s="434"/>
      <c r="L26" s="432"/>
      <c r="M26" s="432"/>
      <c r="N26" s="434"/>
      <c r="O26" s="432"/>
      <c r="P26" s="432" t="s">
        <v>421</v>
      </c>
      <c r="Q26" s="434" t="s">
        <v>426</v>
      </c>
      <c r="R26" s="432" t="s">
        <v>25</v>
      </c>
      <c r="S26" s="432" t="s">
        <v>421</v>
      </c>
      <c r="T26" s="434" t="s">
        <v>426</v>
      </c>
      <c r="U26" s="432" t="s">
        <v>25</v>
      </c>
    </row>
    <row r="27">
      <c r="A27" s="441"/>
      <c r="B27" s="442"/>
      <c r="C27" s="442"/>
      <c r="D27" s="426"/>
      <c r="E27" s="426"/>
      <c r="F27" s="426"/>
      <c r="G27" s="427"/>
      <c r="H27" s="427"/>
      <c r="I27" s="427"/>
      <c r="J27" s="440"/>
      <c r="K27" s="440"/>
      <c r="L27" s="440"/>
      <c r="M27" s="427"/>
      <c r="N27" s="427"/>
      <c r="O27" s="427"/>
      <c r="P27" s="425"/>
      <c r="Q27" s="425"/>
      <c r="R27" s="425"/>
      <c r="S27" s="425"/>
      <c r="T27" s="425"/>
      <c r="U27" s="425"/>
    </row>
    <row r="28">
      <c r="A28" s="441"/>
      <c r="B28" s="442"/>
      <c r="C28" s="442"/>
      <c r="D28" s="443"/>
      <c r="E28" s="443"/>
      <c r="F28" s="443"/>
      <c r="G28" s="427"/>
      <c r="H28" s="427"/>
      <c r="I28" s="444"/>
      <c r="J28" s="425"/>
      <c r="K28" s="425"/>
      <c r="L28" s="425"/>
      <c r="M28" s="427"/>
      <c r="N28" s="427"/>
      <c r="O28" s="444"/>
      <c r="P28" s="425"/>
      <c r="Q28" s="425"/>
      <c r="R28" s="425"/>
      <c r="S28" s="425"/>
      <c r="T28" s="425"/>
      <c r="U28" s="425"/>
    </row>
    <row r="29">
      <c r="A29" s="445" t="s">
        <v>7</v>
      </c>
      <c r="B29" s="413"/>
      <c r="C29" s="422"/>
      <c r="D29" s="446" t="s">
        <v>8</v>
      </c>
      <c r="E29" s="413"/>
      <c r="F29" s="422"/>
      <c r="G29" s="446" t="s">
        <v>9</v>
      </c>
      <c r="H29" s="413"/>
      <c r="I29" s="422"/>
      <c r="J29" s="446" t="s">
        <v>10</v>
      </c>
      <c r="K29" s="413"/>
      <c r="L29" s="422"/>
      <c r="M29" s="446" t="s">
        <v>11</v>
      </c>
      <c r="N29" s="413"/>
      <c r="O29" s="422"/>
      <c r="P29" s="446" t="s">
        <v>12</v>
      </c>
      <c r="Q29" s="413"/>
      <c r="R29" s="422"/>
      <c r="S29" s="447" t="s">
        <v>13</v>
      </c>
      <c r="T29" s="413"/>
      <c r="U29" s="422"/>
    </row>
    <row r="30">
      <c r="A30" s="456">
        <f>S22+1</f>
        <v>46013</v>
      </c>
      <c r="B30" s="413"/>
      <c r="C30" s="422"/>
      <c r="D30" s="457">
        <f>A30+1</f>
        <v>46014</v>
      </c>
      <c r="E30" s="413"/>
      <c r="F30" s="422"/>
      <c r="G30" s="457">
        <f>D30+1</f>
        <v>46015</v>
      </c>
      <c r="H30" s="413"/>
      <c r="I30" s="422"/>
      <c r="J30" s="457">
        <f>G30+1</f>
        <v>46016</v>
      </c>
      <c r="K30" s="413"/>
      <c r="L30" s="422"/>
      <c r="M30" s="457">
        <f>J30+1</f>
        <v>46017</v>
      </c>
      <c r="N30" s="413"/>
      <c r="O30" s="422"/>
      <c r="P30" s="457">
        <f>M30+1</f>
        <v>46018</v>
      </c>
      <c r="Q30" s="413"/>
      <c r="R30" s="422"/>
      <c r="S30" s="458">
        <f>P30+1</f>
        <v>46019</v>
      </c>
      <c r="T30" s="413"/>
      <c r="U30" s="422"/>
    </row>
    <row r="31">
      <c r="A31" s="424"/>
      <c r="B31" s="425"/>
      <c r="C31" s="425"/>
      <c r="D31" s="426"/>
      <c r="E31" s="426"/>
      <c r="F31" s="426"/>
      <c r="G31" s="427"/>
      <c r="H31" s="427"/>
      <c r="I31" s="428"/>
      <c r="J31" s="429"/>
      <c r="K31" s="430"/>
      <c r="L31" s="430"/>
      <c r="M31" s="427"/>
      <c r="N31" s="427"/>
      <c r="O31" s="428"/>
      <c r="P31" s="425"/>
      <c r="Q31" s="425"/>
      <c r="R31" s="425"/>
      <c r="S31" s="425"/>
      <c r="T31" s="425"/>
      <c r="U31" s="425"/>
    </row>
    <row r="32">
      <c r="A32" s="451" t="s">
        <v>14</v>
      </c>
      <c r="B32" s="417"/>
      <c r="C32" s="418"/>
      <c r="D32" s="426"/>
      <c r="E32" s="426"/>
      <c r="F32" s="426"/>
      <c r="G32" s="427"/>
      <c r="H32" s="427"/>
      <c r="I32" s="428"/>
      <c r="J32" s="85"/>
      <c r="K32" s="85"/>
      <c r="L32" s="431"/>
      <c r="M32" s="427"/>
      <c r="N32" s="427"/>
      <c r="O32" s="428"/>
      <c r="P32" s="425"/>
      <c r="Q32" s="425"/>
      <c r="R32" s="425"/>
      <c r="S32" s="440"/>
      <c r="T32" s="440"/>
      <c r="U32" s="440"/>
    </row>
    <row r="33">
      <c r="A33" s="85"/>
      <c r="B33" s="85"/>
      <c r="C33" s="378"/>
      <c r="D33" s="433"/>
      <c r="E33" s="433"/>
      <c r="F33" s="433"/>
      <c r="G33" s="85"/>
      <c r="H33" s="85"/>
      <c r="I33" s="428"/>
      <c r="J33" s="429"/>
      <c r="K33" s="430"/>
      <c r="L33" s="430"/>
      <c r="M33" s="85"/>
      <c r="N33" s="85"/>
      <c r="O33" s="428"/>
      <c r="P33" s="432"/>
      <c r="Q33" s="434"/>
      <c r="R33" s="432"/>
      <c r="S33" s="440"/>
      <c r="T33" s="440"/>
      <c r="U33" s="440"/>
    </row>
    <row r="34">
      <c r="A34" s="424"/>
      <c r="B34" s="425"/>
      <c r="C34" s="425"/>
      <c r="D34" s="432" t="s">
        <v>421</v>
      </c>
      <c r="E34" s="434" t="s">
        <v>426</v>
      </c>
      <c r="F34" s="432" t="s">
        <v>25</v>
      </c>
      <c r="G34" s="85"/>
      <c r="H34" s="85"/>
      <c r="I34" s="428"/>
      <c r="J34" s="429"/>
      <c r="K34" s="430"/>
      <c r="L34" s="430"/>
      <c r="M34" s="85"/>
      <c r="N34" s="85"/>
      <c r="O34" s="428"/>
      <c r="P34" s="432" t="s">
        <v>421</v>
      </c>
      <c r="Q34" s="434" t="s">
        <v>462</v>
      </c>
      <c r="R34" s="432" t="s">
        <v>25</v>
      </c>
      <c r="S34" s="432" t="s">
        <v>421</v>
      </c>
      <c r="T34" s="434" t="s">
        <v>462</v>
      </c>
      <c r="U34" s="432" t="s">
        <v>25</v>
      </c>
    </row>
    <row r="35">
      <c r="A35" s="424"/>
      <c r="B35" s="425"/>
      <c r="C35" s="425"/>
      <c r="D35" s="426"/>
      <c r="E35" s="426"/>
      <c r="F35" s="426"/>
      <c r="G35" s="459" t="s">
        <v>230</v>
      </c>
      <c r="H35" s="459" t="s">
        <v>231</v>
      </c>
      <c r="I35" s="459" t="s">
        <v>48</v>
      </c>
      <c r="J35" s="440"/>
      <c r="K35" s="440"/>
      <c r="L35" s="440"/>
      <c r="M35" s="427"/>
      <c r="N35" s="427"/>
      <c r="O35" s="427"/>
      <c r="P35" s="425"/>
      <c r="Q35" s="425"/>
      <c r="R35" s="425"/>
      <c r="S35" s="432"/>
      <c r="T35" s="432"/>
      <c r="U35" s="432"/>
    </row>
    <row r="36">
      <c r="A36" s="441"/>
      <c r="B36" s="442"/>
      <c r="C36" s="442"/>
      <c r="D36" s="443"/>
      <c r="E36" s="443"/>
      <c r="F36" s="443"/>
      <c r="G36" s="460" t="s">
        <v>20</v>
      </c>
      <c r="H36" s="460" t="s">
        <v>46</v>
      </c>
      <c r="I36" s="460" t="s">
        <v>48</v>
      </c>
      <c r="J36" s="425"/>
      <c r="K36" s="425"/>
      <c r="L36" s="425"/>
      <c r="M36" s="427"/>
      <c r="N36" s="427"/>
      <c r="O36" s="444"/>
      <c r="P36" s="425"/>
      <c r="Q36" s="425"/>
      <c r="R36" s="425"/>
      <c r="S36" s="425"/>
      <c r="T36" s="425"/>
      <c r="U36" s="425"/>
    </row>
    <row r="37">
      <c r="A37" s="452" t="s">
        <v>7</v>
      </c>
      <c r="B37" s="413"/>
      <c r="C37" s="422"/>
      <c r="D37" s="453" t="s">
        <v>8</v>
      </c>
      <c r="E37" s="413"/>
      <c r="F37" s="422"/>
      <c r="G37" s="453" t="s">
        <v>9</v>
      </c>
      <c r="H37" s="413"/>
      <c r="I37" s="422"/>
      <c r="J37" s="453" t="s">
        <v>10</v>
      </c>
      <c r="K37" s="413"/>
      <c r="L37" s="422"/>
      <c r="M37" s="453" t="s">
        <v>11</v>
      </c>
      <c r="N37" s="413"/>
      <c r="O37" s="422"/>
      <c r="P37" s="453" t="s">
        <v>12</v>
      </c>
      <c r="Q37" s="413"/>
      <c r="R37" s="422"/>
      <c r="S37" s="454" t="s">
        <v>13</v>
      </c>
      <c r="T37" s="413"/>
      <c r="U37" s="422"/>
    </row>
    <row r="38">
      <c r="A38" s="421">
        <f>S30+1</f>
        <v>46020</v>
      </c>
      <c r="B38" s="413"/>
      <c r="C38" s="422"/>
      <c r="D38" s="455">
        <f>A38+1</f>
        <v>46021</v>
      </c>
      <c r="E38" s="413"/>
      <c r="F38" s="422"/>
      <c r="G38" s="455">
        <f>D38+1</f>
        <v>46022</v>
      </c>
      <c r="H38" s="413"/>
      <c r="I38" s="422"/>
      <c r="J38" s="455">
        <f>G38+1</f>
        <v>46023</v>
      </c>
      <c r="K38" s="413"/>
      <c r="L38" s="422"/>
      <c r="M38" s="455">
        <f>J38+1</f>
        <v>46024</v>
      </c>
      <c r="N38" s="413"/>
      <c r="O38" s="422"/>
      <c r="P38" s="455">
        <v>45990.0</v>
      </c>
      <c r="Q38" s="413"/>
      <c r="R38" s="422"/>
      <c r="S38" s="423">
        <v>45991.0</v>
      </c>
      <c r="T38" s="413"/>
      <c r="U38" s="422"/>
    </row>
    <row r="39">
      <c r="A39" s="424"/>
      <c r="B39" s="425"/>
      <c r="C39" s="425"/>
      <c r="D39" s="426"/>
      <c r="E39" s="426"/>
      <c r="F39" s="426"/>
      <c r="G39" s="427"/>
      <c r="H39" s="427"/>
      <c r="I39" s="428"/>
      <c r="J39" s="429"/>
      <c r="K39" s="430"/>
      <c r="L39" s="430"/>
      <c r="M39" s="427"/>
      <c r="N39" s="427"/>
      <c r="O39" s="428"/>
      <c r="P39" s="425"/>
      <c r="Q39" s="425"/>
      <c r="R39" s="425"/>
      <c r="S39" s="425"/>
      <c r="T39" s="425"/>
      <c r="U39" s="425"/>
    </row>
    <row r="40">
      <c r="A40" s="424"/>
      <c r="B40" s="425"/>
      <c r="C40" s="425"/>
      <c r="D40" s="426"/>
      <c r="E40" s="426"/>
      <c r="F40" s="426"/>
      <c r="G40" s="427"/>
      <c r="H40" s="427"/>
      <c r="I40" s="428"/>
      <c r="J40" s="85"/>
      <c r="K40" s="85"/>
      <c r="L40" s="431"/>
      <c r="M40" s="427"/>
      <c r="N40" s="427"/>
      <c r="O40" s="428"/>
      <c r="P40" s="425"/>
      <c r="Q40" s="425"/>
      <c r="R40" s="425"/>
      <c r="S40" s="440"/>
      <c r="T40" s="440"/>
      <c r="U40" s="440"/>
    </row>
    <row r="41">
      <c r="A41" s="451" t="s">
        <v>14</v>
      </c>
      <c r="B41" s="417"/>
      <c r="C41" s="418"/>
      <c r="D41" s="432" t="s">
        <v>421</v>
      </c>
      <c r="E41" s="434" t="s">
        <v>462</v>
      </c>
      <c r="F41" s="432" t="s">
        <v>25</v>
      </c>
      <c r="G41" s="432" t="s">
        <v>421</v>
      </c>
      <c r="H41" s="434" t="s">
        <v>462</v>
      </c>
      <c r="I41" s="432" t="s">
        <v>25</v>
      </c>
      <c r="J41" s="85"/>
      <c r="K41" s="85"/>
      <c r="L41" s="431"/>
      <c r="M41" s="427"/>
      <c r="N41" s="427"/>
      <c r="O41" s="428"/>
      <c r="P41" s="432" t="s">
        <v>421</v>
      </c>
      <c r="Q41" s="434" t="s">
        <v>426</v>
      </c>
      <c r="R41" s="432" t="s">
        <v>25</v>
      </c>
      <c r="S41" s="432" t="s">
        <v>421</v>
      </c>
      <c r="T41" s="434" t="s">
        <v>426</v>
      </c>
      <c r="U41" s="432" t="s">
        <v>25</v>
      </c>
    </row>
    <row r="42">
      <c r="A42" s="424"/>
      <c r="B42" s="425"/>
      <c r="C42" s="425"/>
      <c r="D42" s="426"/>
      <c r="E42" s="426"/>
      <c r="F42" s="426"/>
      <c r="G42" s="435"/>
      <c r="H42" s="436"/>
      <c r="I42" s="436"/>
      <c r="J42" s="85"/>
      <c r="K42" s="85"/>
      <c r="L42" s="431"/>
      <c r="M42" s="427"/>
      <c r="N42" s="427"/>
      <c r="O42" s="428"/>
      <c r="P42" s="438"/>
      <c r="Q42" s="85"/>
      <c r="R42" s="439"/>
      <c r="S42" s="432"/>
      <c r="T42" s="432"/>
      <c r="U42" s="432"/>
    </row>
    <row r="43">
      <c r="A43" s="424"/>
      <c r="B43" s="425"/>
      <c r="C43" s="425"/>
      <c r="D43" s="426"/>
      <c r="E43" s="426"/>
      <c r="F43" s="426"/>
      <c r="G43" s="427"/>
      <c r="H43" s="427"/>
      <c r="I43" s="427"/>
      <c r="J43" s="440"/>
      <c r="K43" s="440"/>
      <c r="L43" s="440"/>
      <c r="M43" s="427"/>
      <c r="N43" s="427"/>
      <c r="O43" s="427"/>
      <c r="P43" s="425"/>
      <c r="Q43" s="425"/>
      <c r="R43" s="425"/>
      <c r="S43" s="432"/>
      <c r="T43" s="432"/>
      <c r="U43" s="432"/>
    </row>
    <row r="44">
      <c r="A44" s="441"/>
      <c r="B44" s="442"/>
      <c r="C44" s="442"/>
      <c r="D44" s="443"/>
      <c r="E44" s="443"/>
      <c r="F44" s="443"/>
      <c r="G44" s="427"/>
      <c r="H44" s="427"/>
      <c r="I44" s="444"/>
      <c r="J44" s="425"/>
      <c r="K44" s="425"/>
      <c r="L44" s="425"/>
      <c r="M44" s="427"/>
      <c r="N44" s="427"/>
      <c r="O44" s="444"/>
      <c r="P44" s="425"/>
      <c r="Q44" s="425"/>
      <c r="R44" s="425"/>
      <c r="S44" s="425"/>
      <c r="T44" s="425"/>
      <c r="U44" s="425"/>
    </row>
    <row r="45">
      <c r="A45" s="445"/>
      <c r="B45" s="413"/>
      <c r="C45" s="422"/>
      <c r="D45" s="446"/>
      <c r="E45" s="413"/>
      <c r="F45" s="422"/>
      <c r="G45" s="446"/>
      <c r="H45" s="413"/>
      <c r="I45" s="422"/>
      <c r="J45" s="446"/>
      <c r="K45" s="413"/>
      <c r="L45" s="422"/>
      <c r="M45" s="446"/>
      <c r="N45" s="413"/>
      <c r="O45" s="422"/>
      <c r="P45" s="446"/>
      <c r="Q45" s="413"/>
      <c r="R45" s="422"/>
      <c r="S45" s="461"/>
      <c r="T45" s="413"/>
      <c r="U45" s="422"/>
    </row>
    <row r="46">
      <c r="A46" s="456"/>
      <c r="B46" s="413"/>
      <c r="C46" s="422"/>
      <c r="D46" s="457"/>
      <c r="E46" s="413"/>
      <c r="F46" s="422"/>
      <c r="G46" s="457"/>
      <c r="H46" s="413"/>
      <c r="I46" s="422"/>
      <c r="J46" s="457"/>
      <c r="K46" s="413"/>
      <c r="L46" s="422"/>
      <c r="M46" s="457"/>
      <c r="N46" s="413"/>
      <c r="O46" s="422"/>
      <c r="P46" s="457"/>
      <c r="Q46" s="413"/>
      <c r="R46" s="422"/>
      <c r="S46" s="462"/>
      <c r="T46" s="413"/>
      <c r="U46" s="422"/>
    </row>
    <row r="47">
      <c r="A47" s="432"/>
      <c r="B47" s="432"/>
      <c r="C47" s="432"/>
      <c r="D47" s="443"/>
      <c r="E47" s="443"/>
      <c r="F47" s="443"/>
      <c r="G47" s="429"/>
      <c r="H47" s="430"/>
      <c r="I47" s="430"/>
      <c r="J47" s="442"/>
      <c r="K47" s="442"/>
      <c r="L47" s="442"/>
      <c r="M47" s="425"/>
      <c r="N47" s="425"/>
      <c r="O47" s="425"/>
      <c r="P47" s="425"/>
      <c r="Q47" s="425"/>
      <c r="R47" s="425"/>
      <c r="S47" s="442"/>
      <c r="T47" s="442"/>
      <c r="U47" s="442"/>
    </row>
    <row r="48">
      <c r="A48" s="443"/>
      <c r="B48" s="443"/>
      <c r="C48" s="443"/>
      <c r="D48" s="436"/>
      <c r="E48" s="436"/>
      <c r="F48" s="436"/>
      <c r="G48" s="425"/>
      <c r="H48" s="425"/>
      <c r="I48" s="425"/>
      <c r="J48" s="442"/>
      <c r="K48" s="442"/>
      <c r="L48" s="442"/>
      <c r="M48" s="463"/>
      <c r="N48" s="463"/>
      <c r="O48" s="463"/>
      <c r="P48" s="425"/>
      <c r="Q48" s="425"/>
      <c r="R48" s="425"/>
      <c r="S48" s="425"/>
      <c r="T48" s="425"/>
      <c r="U48" s="425"/>
    </row>
    <row r="49">
      <c r="A49" s="443"/>
      <c r="B49" s="443"/>
      <c r="C49" s="443"/>
      <c r="D49" s="443"/>
      <c r="E49" s="443"/>
      <c r="F49" s="443"/>
      <c r="G49" s="425"/>
      <c r="H49" s="425"/>
      <c r="I49" s="425"/>
      <c r="J49" s="425"/>
      <c r="K49" s="425"/>
      <c r="L49" s="425"/>
      <c r="M49" s="425"/>
      <c r="N49" s="425"/>
      <c r="O49" s="425"/>
      <c r="P49" s="425"/>
      <c r="Q49" s="425"/>
      <c r="R49" s="425"/>
      <c r="S49" s="425"/>
      <c r="T49" s="425"/>
      <c r="U49" s="425"/>
    </row>
    <row r="50">
      <c r="A50" s="425"/>
      <c r="B50" s="425"/>
      <c r="C50" s="425"/>
      <c r="D50" s="443"/>
      <c r="E50" s="443"/>
      <c r="F50" s="443"/>
      <c r="G50" s="425"/>
      <c r="H50" s="425"/>
      <c r="I50" s="425"/>
      <c r="J50" s="425"/>
      <c r="K50" s="425"/>
      <c r="L50" s="425"/>
      <c r="M50" s="425"/>
      <c r="N50" s="425"/>
      <c r="O50" s="425"/>
      <c r="P50" s="425"/>
      <c r="Q50" s="425"/>
      <c r="R50" s="425"/>
      <c r="S50" s="442"/>
      <c r="T50" s="442"/>
      <c r="U50" s="442"/>
    </row>
    <row r="51">
      <c r="A51" s="432"/>
      <c r="B51" s="432"/>
      <c r="C51" s="432"/>
      <c r="D51" s="427"/>
      <c r="E51" s="427"/>
      <c r="F51" s="427"/>
      <c r="G51" s="425"/>
      <c r="H51" s="425"/>
      <c r="I51" s="442"/>
      <c r="J51" s="425"/>
      <c r="K51" s="425"/>
      <c r="L51" s="425"/>
      <c r="M51" s="425"/>
      <c r="N51" s="425"/>
      <c r="O51" s="425"/>
      <c r="P51" s="425"/>
      <c r="Q51" s="425"/>
      <c r="R51" s="425"/>
      <c r="S51" s="425"/>
      <c r="T51" s="425"/>
      <c r="U51" s="425"/>
    </row>
    <row r="52">
      <c r="A52" s="441"/>
      <c r="B52" s="442"/>
      <c r="C52" s="442"/>
      <c r="D52" s="425"/>
      <c r="E52" s="425"/>
      <c r="F52" s="425"/>
      <c r="G52" s="442"/>
      <c r="H52" s="442"/>
      <c r="I52" s="442"/>
      <c r="J52" s="425"/>
      <c r="K52" s="425"/>
      <c r="L52" s="425"/>
      <c r="M52" s="442"/>
      <c r="N52" s="442"/>
      <c r="O52" s="442"/>
      <c r="P52" s="425"/>
      <c r="Q52" s="425"/>
      <c r="R52" s="425"/>
      <c r="S52" s="442"/>
      <c r="T52" s="442"/>
      <c r="U52" s="442"/>
    </row>
    <row r="53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</row>
    <row r="63">
      <c r="L63" s="102" t="s">
        <v>69</v>
      </c>
    </row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M22:O22"/>
    <mergeCell ref="P22:R22"/>
    <mergeCell ref="S22:U22"/>
    <mergeCell ref="J22:L22"/>
    <mergeCell ref="J24:L24"/>
    <mergeCell ref="M24:O24"/>
    <mergeCell ref="A29:C29"/>
    <mergeCell ref="D29:F29"/>
    <mergeCell ref="G29:I29"/>
    <mergeCell ref="J29:L29"/>
    <mergeCell ref="J37:L37"/>
    <mergeCell ref="M37:O37"/>
    <mergeCell ref="P37:R37"/>
    <mergeCell ref="S37:U37"/>
    <mergeCell ref="A30:C30"/>
    <mergeCell ref="D30:F30"/>
    <mergeCell ref="G30:I30"/>
    <mergeCell ref="J30:L30"/>
    <mergeCell ref="M30:O30"/>
    <mergeCell ref="A32:C32"/>
    <mergeCell ref="A37:C37"/>
    <mergeCell ref="P38:R38"/>
    <mergeCell ref="S38:U38"/>
    <mergeCell ref="D37:F37"/>
    <mergeCell ref="G37:I37"/>
    <mergeCell ref="A38:C38"/>
    <mergeCell ref="D38:F38"/>
    <mergeCell ref="G38:I38"/>
    <mergeCell ref="J38:L38"/>
    <mergeCell ref="M38:O38"/>
    <mergeCell ref="A45:C45"/>
    <mergeCell ref="A46:C46"/>
    <mergeCell ref="D46:F46"/>
    <mergeCell ref="G46:I46"/>
    <mergeCell ref="J46:L46"/>
    <mergeCell ref="M46:O46"/>
    <mergeCell ref="P46:R46"/>
    <mergeCell ref="S46:U46"/>
    <mergeCell ref="A41:C41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M29:O29"/>
    <mergeCell ref="P29:R29"/>
    <mergeCell ref="S29:U29"/>
    <mergeCell ref="P30:R30"/>
    <mergeCell ref="S30:U3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1.43"/>
    <col customWidth="1" min="3" max="3" width="5.14"/>
    <col customWidth="1" min="4" max="4" width="16.86"/>
    <col customWidth="1" min="5" max="5" width="13.14"/>
    <col customWidth="1" min="6" max="6" width="5.86"/>
    <col customWidth="1" min="7" max="7" width="19.0"/>
    <col customWidth="1" min="8" max="8" width="13.0"/>
    <col customWidth="1" min="9" max="9" width="5.86"/>
    <col customWidth="1" min="10" max="10" width="18.43"/>
    <col customWidth="1" min="11" max="11" width="11.43"/>
    <col customWidth="1" min="12" max="12" width="6.14"/>
    <col customWidth="1" min="13" max="13" width="18.0"/>
    <col customWidth="1" min="14" max="14" width="13.0"/>
    <col customWidth="1" min="15" max="15" width="7.57"/>
    <col customWidth="1" min="16" max="16" width="18.43"/>
    <col customWidth="1" min="17" max="17" width="11.43"/>
    <col customWidth="1" min="18" max="18" width="6.14"/>
    <col customWidth="1" min="19" max="19" width="8.57"/>
    <col customWidth="1" min="20" max="20" width="8.86"/>
    <col customWidth="1" min="21" max="21" width="5.14"/>
    <col customWidth="1" min="22" max="23" width="8.71"/>
    <col customWidth="1" min="24" max="24" width="23.0"/>
    <col customWidth="1" min="25" max="25" width="15.86"/>
    <col customWidth="1" min="26" max="26" width="8.71"/>
  </cols>
  <sheetData>
    <row r="1" ht="15.75" customHeight="1">
      <c r="A1" s="1" t="s">
        <v>69</v>
      </c>
      <c r="C1" s="1" t="s">
        <v>463</v>
      </c>
      <c r="F1" s="464"/>
      <c r="G1" s="9" t="s">
        <v>424</v>
      </c>
      <c r="Q1" s="464"/>
      <c r="R1" s="465"/>
      <c r="S1" s="465"/>
      <c r="T1" s="465"/>
      <c r="U1" s="465"/>
    </row>
    <row r="2" ht="15.75" customHeight="1">
      <c r="A2" s="1" t="s">
        <v>3</v>
      </c>
      <c r="C2" s="383" t="s">
        <v>404</v>
      </c>
      <c r="F2" s="464"/>
      <c r="Q2" s="464"/>
      <c r="R2" s="465"/>
      <c r="S2" s="465"/>
      <c r="T2" s="465"/>
      <c r="U2" s="465"/>
    </row>
    <row r="3" ht="15.75" customHeight="1">
      <c r="A3" s="1" t="s">
        <v>5</v>
      </c>
      <c r="C3" s="1" t="s">
        <v>464</v>
      </c>
      <c r="F3" s="464"/>
      <c r="Q3" s="464"/>
      <c r="R3" s="465"/>
      <c r="S3" s="465"/>
      <c r="T3" s="465"/>
      <c r="U3" s="465"/>
    </row>
    <row r="4" ht="15.75" customHeight="1">
      <c r="A4" s="1" t="s">
        <v>6</v>
      </c>
      <c r="C4" s="1" t="s">
        <v>464</v>
      </c>
      <c r="F4" s="464"/>
      <c r="G4" s="464"/>
      <c r="H4" s="464"/>
      <c r="I4" s="464"/>
      <c r="J4" s="464"/>
      <c r="K4" s="464"/>
      <c r="L4" s="464"/>
      <c r="M4" s="464"/>
      <c r="N4" s="464"/>
      <c r="O4" s="466"/>
      <c r="P4" s="467"/>
      <c r="Q4" s="468"/>
      <c r="R4" s="465"/>
      <c r="S4" s="465"/>
      <c r="T4" s="465"/>
      <c r="U4" s="465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 ht="15.75" customHeight="1">
      <c r="A6" s="16"/>
      <c r="B6" s="12"/>
      <c r="C6" s="13"/>
      <c r="D6" s="16"/>
      <c r="E6" s="12"/>
      <c r="F6" s="13"/>
      <c r="G6" s="16">
        <f>D6+1</f>
        <v>1</v>
      </c>
      <c r="H6" s="12"/>
      <c r="I6" s="13"/>
      <c r="J6" s="16">
        <f>G6+1</f>
        <v>2</v>
      </c>
      <c r="K6" s="12"/>
      <c r="L6" s="13"/>
      <c r="M6" s="16">
        <f>J6+1</f>
        <v>3</v>
      </c>
      <c r="N6" s="12"/>
      <c r="O6" s="13"/>
      <c r="P6" s="16">
        <f>M6+1</f>
        <v>4</v>
      </c>
      <c r="Q6" s="12"/>
      <c r="R6" s="13"/>
      <c r="S6" s="176">
        <f>P6+1</f>
        <v>5</v>
      </c>
      <c r="T6" s="12"/>
      <c r="U6" s="13"/>
      <c r="W6" s="102">
        <f>COUNTA(#REF!,#REF!,#REF!,#REF!,#REF!,#REF!,#REF!,P16:P20,A7:A12,D15:D20,D9:D11,G7:G10,#REF!,P13:P22,A16:A20,D16:D28,J15:J20,#REF!,#REF!,A23:A28,D39:D44,G31:G36,J31:J36)</f>
        <v>53</v>
      </c>
    </row>
    <row r="7" ht="15.75" customHeight="1">
      <c r="A7" s="203"/>
      <c r="B7" s="203"/>
      <c r="C7" s="203"/>
      <c r="D7" s="203"/>
      <c r="E7" s="203"/>
      <c r="F7" s="203"/>
      <c r="G7" s="61"/>
      <c r="H7" s="469"/>
      <c r="I7" s="61"/>
      <c r="J7" s="61"/>
      <c r="K7" s="61"/>
      <c r="L7" s="61"/>
      <c r="M7" s="60"/>
      <c r="N7" s="233"/>
      <c r="O7" s="60"/>
      <c r="P7" s="199" t="s">
        <v>196</v>
      </c>
      <c r="Q7" s="199" t="s">
        <v>63</v>
      </c>
      <c r="R7" s="199" t="s">
        <v>34</v>
      </c>
      <c r="S7" s="470"/>
      <c r="T7" s="470"/>
      <c r="U7" s="470"/>
    </row>
    <row r="8" ht="15.75" customHeight="1">
      <c r="A8" s="60" t="s">
        <v>170</v>
      </c>
      <c r="B8" s="233" t="s">
        <v>62</v>
      </c>
      <c r="C8" s="60" t="s">
        <v>171</v>
      </c>
      <c r="D8" s="203"/>
      <c r="E8" s="203"/>
      <c r="F8" s="203"/>
      <c r="G8" s="203" t="s">
        <v>465</v>
      </c>
      <c r="H8" s="203" t="s">
        <v>60</v>
      </c>
      <c r="I8" s="203" t="s">
        <v>34</v>
      </c>
      <c r="J8" s="60"/>
      <c r="K8" s="60"/>
      <c r="L8" s="60"/>
      <c r="M8" s="60"/>
      <c r="N8" s="233"/>
      <c r="O8" s="60"/>
      <c r="P8" s="60" t="s">
        <v>200</v>
      </c>
      <c r="Q8" s="60" t="s">
        <v>60</v>
      </c>
      <c r="R8" s="60" t="s">
        <v>34</v>
      </c>
      <c r="S8" s="305"/>
      <c r="T8" s="305"/>
      <c r="U8" s="305"/>
    </row>
    <row r="9" ht="15.75" customHeight="1">
      <c r="A9" s="203"/>
      <c r="B9" s="203"/>
      <c r="C9" s="199"/>
      <c r="D9" s="203"/>
      <c r="E9" s="203"/>
      <c r="F9" s="203"/>
      <c r="G9" s="210"/>
      <c r="H9" s="210"/>
      <c r="I9" s="210"/>
      <c r="J9" s="471" t="s">
        <v>466</v>
      </c>
      <c r="K9" s="472" t="s">
        <v>70</v>
      </c>
      <c r="L9" s="471"/>
      <c r="M9" s="203" t="s">
        <v>177</v>
      </c>
      <c r="N9" s="229" t="s">
        <v>100</v>
      </c>
      <c r="O9" s="130" t="s">
        <v>25</v>
      </c>
      <c r="P9" s="199" t="s">
        <v>167</v>
      </c>
      <c r="Q9" s="199" t="s">
        <v>202</v>
      </c>
      <c r="R9" s="199" t="s">
        <v>25</v>
      </c>
      <c r="S9" s="325" t="s">
        <v>14</v>
      </c>
      <c r="T9" s="12"/>
      <c r="U9" s="13"/>
    </row>
    <row r="10" ht="15.75" customHeight="1">
      <c r="A10" s="203" t="s">
        <v>179</v>
      </c>
      <c r="B10" s="203" t="s">
        <v>29</v>
      </c>
      <c r="C10" s="203" t="s">
        <v>25</v>
      </c>
      <c r="D10" s="199"/>
      <c r="E10" s="203"/>
      <c r="F10" s="60"/>
      <c r="G10" s="203" t="s">
        <v>373</v>
      </c>
      <c r="H10" s="229" t="s">
        <v>181</v>
      </c>
      <c r="I10" s="203" t="s">
        <v>25</v>
      </c>
      <c r="J10" s="203" t="s">
        <v>180</v>
      </c>
      <c r="K10" s="251" t="s">
        <v>181</v>
      </c>
      <c r="L10" s="203" t="s">
        <v>25</v>
      </c>
      <c r="M10" s="60"/>
      <c r="N10" s="233"/>
      <c r="O10" s="60"/>
      <c r="P10" s="203"/>
      <c r="Q10" s="203"/>
      <c r="R10" s="203"/>
      <c r="S10" s="470"/>
      <c r="T10" s="470"/>
      <c r="U10" s="470"/>
    </row>
    <row r="11" ht="15.75" customHeight="1">
      <c r="A11" s="210" t="s">
        <v>185</v>
      </c>
      <c r="B11" s="210" t="s">
        <v>186</v>
      </c>
      <c r="C11" s="210" t="s">
        <v>25</v>
      </c>
      <c r="D11" s="203" t="s">
        <v>189</v>
      </c>
      <c r="E11" s="473" t="s">
        <v>190</v>
      </c>
      <c r="F11" s="203" t="s">
        <v>25</v>
      </c>
      <c r="G11" s="203" t="s">
        <v>179</v>
      </c>
      <c r="H11" s="251" t="s">
        <v>191</v>
      </c>
      <c r="I11" s="203" t="s">
        <v>25</v>
      </c>
      <c r="J11" s="80" t="s">
        <v>187</v>
      </c>
      <c r="K11" s="474" t="s">
        <v>51</v>
      </c>
      <c r="L11" s="80" t="s">
        <v>25</v>
      </c>
      <c r="M11" s="203" t="s">
        <v>204</v>
      </c>
      <c r="N11" s="214" t="s">
        <v>110</v>
      </c>
      <c r="O11" s="203" t="s">
        <v>31</v>
      </c>
      <c r="P11" s="203"/>
      <c r="Q11" s="203"/>
      <c r="R11" s="203"/>
      <c r="S11" s="470"/>
      <c r="T11" s="470"/>
      <c r="U11" s="470"/>
    </row>
    <row r="12" ht="15.75" customHeight="1">
      <c r="A12" s="203" t="s">
        <v>203</v>
      </c>
      <c r="B12" s="203" t="s">
        <v>110</v>
      </c>
      <c r="C12" s="203" t="s">
        <v>31</v>
      </c>
      <c r="D12" s="203" t="s">
        <v>192</v>
      </c>
      <c r="E12" s="47"/>
      <c r="F12" s="199" t="s">
        <v>31</v>
      </c>
      <c r="G12" s="203"/>
      <c r="H12" s="251"/>
      <c r="I12" s="475" t="s">
        <v>40</v>
      </c>
      <c r="J12" s="199"/>
      <c r="K12" s="203"/>
      <c r="L12" s="203"/>
      <c r="M12" s="476" t="s">
        <v>467</v>
      </c>
      <c r="N12" s="477" t="s">
        <v>430</v>
      </c>
      <c r="O12" s="471" t="s">
        <v>25</v>
      </c>
      <c r="P12" s="199"/>
      <c r="Q12" s="229"/>
      <c r="R12" s="203"/>
      <c r="S12" s="470"/>
      <c r="T12" s="470"/>
      <c r="U12" s="470"/>
    </row>
    <row r="13" ht="15.75" customHeight="1">
      <c r="A13" s="105" t="s">
        <v>7</v>
      </c>
      <c r="B13" s="12"/>
      <c r="C13" s="13"/>
      <c r="D13" s="105" t="s">
        <v>8</v>
      </c>
      <c r="E13" s="12"/>
      <c r="F13" s="13"/>
      <c r="G13" s="105" t="s">
        <v>9</v>
      </c>
      <c r="H13" s="12"/>
      <c r="I13" s="13"/>
      <c r="J13" s="105" t="s">
        <v>10</v>
      </c>
      <c r="K13" s="12"/>
      <c r="L13" s="13"/>
      <c r="M13" s="105" t="s">
        <v>81</v>
      </c>
      <c r="N13" s="12"/>
      <c r="O13" s="13"/>
      <c r="P13" s="105" t="s">
        <v>82</v>
      </c>
      <c r="Q13" s="12"/>
      <c r="R13" s="13"/>
      <c r="S13" s="106" t="s">
        <v>13</v>
      </c>
      <c r="T13" s="12"/>
      <c r="U13" s="13"/>
      <c r="W13" s="478" t="s">
        <v>15</v>
      </c>
      <c r="X13" s="478" t="s">
        <v>141</v>
      </c>
      <c r="Y13" s="478" t="s">
        <v>17</v>
      </c>
    </row>
    <row r="14" ht="15.75" customHeight="1">
      <c r="A14" s="107">
        <f>S6+1</f>
        <v>6</v>
      </c>
      <c r="B14" s="12"/>
      <c r="C14" s="13"/>
      <c r="D14" s="107">
        <f>A14+1</f>
        <v>7</v>
      </c>
      <c r="E14" s="12"/>
      <c r="F14" s="13"/>
      <c r="G14" s="107">
        <f>D14+1</f>
        <v>8</v>
      </c>
      <c r="H14" s="12"/>
      <c r="I14" s="13"/>
      <c r="J14" s="107">
        <f>G14+1</f>
        <v>9</v>
      </c>
      <c r="K14" s="12"/>
      <c r="L14" s="13"/>
      <c r="M14" s="107">
        <f>J14+1</f>
        <v>10</v>
      </c>
      <c r="N14" s="12"/>
      <c r="O14" s="13"/>
      <c r="P14" s="107">
        <f>M14+1</f>
        <v>11</v>
      </c>
      <c r="Q14" s="12"/>
      <c r="R14" s="13"/>
      <c r="S14" s="109">
        <f>P14+1</f>
        <v>12</v>
      </c>
      <c r="T14" s="12"/>
      <c r="U14" s="13"/>
      <c r="W14" s="272">
        <v>1.0</v>
      </c>
      <c r="X14" s="479" t="s">
        <v>179</v>
      </c>
      <c r="Y14" s="272">
        <f t="shared" ref="Y14:Y41" si="1">COUNTIF($A$5:$U$51,X14)</f>
        <v>10</v>
      </c>
    </row>
    <row r="15" ht="15.75" customHeight="1">
      <c r="A15" s="60" t="s">
        <v>170</v>
      </c>
      <c r="B15" s="233" t="s">
        <v>62</v>
      </c>
      <c r="C15" s="60" t="s">
        <v>171</v>
      </c>
      <c r="D15" s="199"/>
      <c r="E15" s="203"/>
      <c r="F15" s="199"/>
      <c r="G15" s="203"/>
      <c r="H15" s="203"/>
      <c r="I15" s="203"/>
      <c r="J15" s="203"/>
      <c r="K15" s="203"/>
      <c r="L15" s="203"/>
      <c r="M15" s="199"/>
      <c r="N15" s="203"/>
      <c r="O15" s="199"/>
      <c r="P15" s="203"/>
      <c r="Q15" s="203"/>
      <c r="R15" s="203"/>
      <c r="S15" s="203"/>
      <c r="T15" s="203"/>
      <c r="U15" s="203"/>
      <c r="W15" s="272">
        <v>2.0</v>
      </c>
      <c r="X15" s="479" t="s">
        <v>467</v>
      </c>
      <c r="Y15" s="272">
        <f t="shared" si="1"/>
        <v>2</v>
      </c>
    </row>
    <row r="16" ht="15.75" customHeight="1">
      <c r="A16" s="199"/>
      <c r="B16" s="203"/>
      <c r="C16" s="203"/>
      <c r="D16" s="199"/>
      <c r="E16" s="203"/>
      <c r="F16" s="199"/>
      <c r="G16" s="210" t="s">
        <v>179</v>
      </c>
      <c r="H16" s="210" t="s">
        <v>29</v>
      </c>
      <c r="I16" s="210" t="s">
        <v>25</v>
      </c>
      <c r="J16" s="480" t="s">
        <v>199</v>
      </c>
      <c r="K16" s="481" t="s">
        <v>62</v>
      </c>
      <c r="L16" s="480" t="s">
        <v>34</v>
      </c>
      <c r="M16" s="199"/>
      <c r="N16" s="203"/>
      <c r="O16" s="199"/>
      <c r="P16" s="199"/>
      <c r="Q16" s="199"/>
      <c r="R16" s="199"/>
      <c r="S16" s="203"/>
      <c r="T16" s="203"/>
      <c r="U16" s="203"/>
      <c r="W16" s="272">
        <v>3.0</v>
      </c>
      <c r="X16" s="479" t="s">
        <v>185</v>
      </c>
      <c r="Y16" s="272">
        <f t="shared" si="1"/>
        <v>5</v>
      </c>
    </row>
    <row r="17" ht="15.75" customHeight="1">
      <c r="A17" s="203" t="s">
        <v>179</v>
      </c>
      <c r="B17" s="203" t="s">
        <v>29</v>
      </c>
      <c r="C17" s="203" t="s">
        <v>25</v>
      </c>
      <c r="D17" s="199" t="s">
        <v>172</v>
      </c>
      <c r="E17" s="203" t="s">
        <v>33</v>
      </c>
      <c r="F17" s="203" t="s">
        <v>34</v>
      </c>
      <c r="G17" s="199"/>
      <c r="H17" s="203"/>
      <c r="I17" s="482" t="s">
        <v>107</v>
      </c>
      <c r="J17" s="60" t="s">
        <v>468</v>
      </c>
      <c r="K17" s="60" t="s">
        <v>63</v>
      </c>
      <c r="L17" s="60" t="s">
        <v>31</v>
      </c>
      <c r="M17" s="203" t="s">
        <v>180</v>
      </c>
      <c r="N17" s="203" t="s">
        <v>94</v>
      </c>
      <c r="O17" s="203" t="s">
        <v>25</v>
      </c>
      <c r="P17" s="199"/>
      <c r="Q17" s="199"/>
      <c r="R17" s="199"/>
      <c r="S17" s="325" t="s">
        <v>14</v>
      </c>
      <c r="T17" s="12"/>
      <c r="U17" s="13"/>
      <c r="W17" s="272">
        <v>4.0</v>
      </c>
      <c r="X17" s="274" t="s">
        <v>192</v>
      </c>
      <c r="Y17" s="272">
        <f t="shared" si="1"/>
        <v>2</v>
      </c>
    </row>
    <row r="18" ht="15.75" customHeight="1">
      <c r="A18" s="210" t="s">
        <v>185</v>
      </c>
      <c r="B18" s="210" t="s">
        <v>186</v>
      </c>
      <c r="C18" s="210" t="s">
        <v>25</v>
      </c>
      <c r="D18" s="199"/>
      <c r="E18" s="203"/>
      <c r="F18" s="203"/>
      <c r="G18" s="60" t="s">
        <v>294</v>
      </c>
      <c r="H18" s="203" t="s">
        <v>469</v>
      </c>
      <c r="I18" s="483" t="s">
        <v>34</v>
      </c>
      <c r="J18" s="199"/>
      <c r="K18" s="203"/>
      <c r="L18" s="203"/>
      <c r="M18" s="474" t="s">
        <v>197</v>
      </c>
      <c r="N18" s="199" t="s">
        <v>63</v>
      </c>
      <c r="O18" s="80" t="s">
        <v>25</v>
      </c>
      <c r="P18" s="484" t="s">
        <v>193</v>
      </c>
      <c r="Q18" s="484" t="s">
        <v>60</v>
      </c>
      <c r="R18" s="484" t="s">
        <v>25</v>
      </c>
      <c r="S18" s="199"/>
      <c r="T18" s="199"/>
      <c r="U18" s="199"/>
      <c r="W18" s="272">
        <v>5.0</v>
      </c>
      <c r="X18" s="479" t="s">
        <v>182</v>
      </c>
      <c r="Y18" s="272">
        <f t="shared" si="1"/>
        <v>3</v>
      </c>
    </row>
    <row r="19" ht="15.75" customHeight="1">
      <c r="A19" s="203"/>
      <c r="B19" s="229"/>
      <c r="C19" s="203"/>
      <c r="D19" s="236" t="s">
        <v>182</v>
      </c>
      <c r="E19" s="236" t="s">
        <v>181</v>
      </c>
      <c r="F19" s="236" t="s">
        <v>25</v>
      </c>
      <c r="G19" s="60"/>
      <c r="H19" s="203"/>
      <c r="I19" s="483"/>
      <c r="J19" s="485" t="s">
        <v>193</v>
      </c>
      <c r="K19" s="485" t="s">
        <v>60</v>
      </c>
      <c r="L19" s="485" t="s">
        <v>25</v>
      </c>
      <c r="M19" s="485" t="s">
        <v>196</v>
      </c>
      <c r="N19" s="485" t="s">
        <v>33</v>
      </c>
      <c r="O19" s="485" t="s">
        <v>34</v>
      </c>
      <c r="P19" s="199" t="s">
        <v>167</v>
      </c>
      <c r="Q19" s="199" t="s">
        <v>202</v>
      </c>
      <c r="R19" s="199" t="s">
        <v>25</v>
      </c>
      <c r="S19" s="203"/>
      <c r="T19" s="203"/>
      <c r="U19" s="203"/>
      <c r="W19" s="272">
        <v>6.0</v>
      </c>
      <c r="X19" s="479" t="s">
        <v>294</v>
      </c>
      <c r="Y19" s="272">
        <f t="shared" si="1"/>
        <v>1</v>
      </c>
    </row>
    <row r="20" ht="15.75" customHeight="1">
      <c r="A20" s="203"/>
      <c r="B20" s="203"/>
      <c r="C20" s="185"/>
      <c r="D20" s="199" t="s">
        <v>206</v>
      </c>
      <c r="E20" s="203" t="s">
        <v>322</v>
      </c>
      <c r="F20" s="203" t="s">
        <v>25</v>
      </c>
      <c r="G20" s="486" t="s">
        <v>204</v>
      </c>
      <c r="H20" s="487" t="s">
        <v>110</v>
      </c>
      <c r="I20" s="486" t="s">
        <v>31</v>
      </c>
      <c r="J20" s="199"/>
      <c r="K20" s="203"/>
      <c r="L20" s="203"/>
      <c r="M20" s="488" t="s">
        <v>470</v>
      </c>
      <c r="N20" s="488" t="s">
        <v>60</v>
      </c>
      <c r="O20" s="488" t="s">
        <v>25</v>
      </c>
      <c r="P20" s="128" t="s">
        <v>471</v>
      </c>
      <c r="Q20" s="128" t="s">
        <v>129</v>
      </c>
      <c r="R20" s="128" t="s">
        <v>25</v>
      </c>
      <c r="S20" s="203"/>
      <c r="T20" s="199"/>
      <c r="U20" s="199"/>
      <c r="W20" s="272">
        <v>7.0</v>
      </c>
      <c r="X20" s="60"/>
      <c r="Y20" s="272">
        <f t="shared" si="1"/>
        <v>0</v>
      </c>
    </row>
    <row r="21" ht="15.75" customHeight="1">
      <c r="A21" s="136" t="s">
        <v>115</v>
      </c>
      <c r="B21" s="12"/>
      <c r="C21" s="13"/>
      <c r="D21" s="136" t="s">
        <v>8</v>
      </c>
      <c r="E21" s="12"/>
      <c r="F21" s="13"/>
      <c r="G21" s="136" t="s">
        <v>116</v>
      </c>
      <c r="H21" s="12"/>
      <c r="I21" s="13"/>
      <c r="J21" s="136" t="s">
        <v>10</v>
      </c>
      <c r="K21" s="12"/>
      <c r="L21" s="13"/>
      <c r="M21" s="136" t="s">
        <v>81</v>
      </c>
      <c r="N21" s="12"/>
      <c r="O21" s="13"/>
      <c r="P21" s="136" t="s">
        <v>82</v>
      </c>
      <c r="Q21" s="12"/>
      <c r="R21" s="13"/>
      <c r="S21" s="137" t="s">
        <v>13</v>
      </c>
      <c r="T21" s="12"/>
      <c r="U21" s="13"/>
      <c r="W21" s="272">
        <v>8.0</v>
      </c>
      <c r="X21" s="479" t="s">
        <v>197</v>
      </c>
      <c r="Y21" s="272">
        <f t="shared" si="1"/>
        <v>3</v>
      </c>
    </row>
    <row r="22" ht="15.75" customHeight="1">
      <c r="A22" s="138">
        <f>S14+1</f>
        <v>13</v>
      </c>
      <c r="B22" s="12"/>
      <c r="C22" s="13"/>
      <c r="D22" s="138">
        <f>A22+1</f>
        <v>14</v>
      </c>
      <c r="E22" s="12"/>
      <c r="F22" s="13"/>
      <c r="G22" s="138">
        <f>D22+1</f>
        <v>15</v>
      </c>
      <c r="H22" s="12"/>
      <c r="I22" s="13"/>
      <c r="J22" s="138">
        <f>G22+1</f>
        <v>16</v>
      </c>
      <c r="K22" s="12"/>
      <c r="L22" s="13"/>
      <c r="M22" s="138">
        <f>J22+1</f>
        <v>17</v>
      </c>
      <c r="N22" s="12"/>
      <c r="O22" s="13"/>
      <c r="P22" s="138">
        <f>M22+1</f>
        <v>18</v>
      </c>
      <c r="Q22" s="12"/>
      <c r="R22" s="13"/>
      <c r="S22" s="139">
        <f>P22+1</f>
        <v>19</v>
      </c>
      <c r="T22" s="12"/>
      <c r="U22" s="13"/>
      <c r="W22" s="272">
        <v>9.0</v>
      </c>
      <c r="X22" s="479" t="s">
        <v>167</v>
      </c>
      <c r="Y22" s="272">
        <f t="shared" si="1"/>
        <v>4</v>
      </c>
    </row>
    <row r="23" ht="15.75" customHeight="1">
      <c r="A23" s="60" t="s">
        <v>170</v>
      </c>
      <c r="B23" s="233" t="s">
        <v>62</v>
      </c>
      <c r="C23" s="60" t="s">
        <v>171</v>
      </c>
      <c r="D23" s="203"/>
      <c r="E23" s="203"/>
      <c r="F23" s="203"/>
      <c r="G23" s="199"/>
      <c r="H23" s="251"/>
      <c r="I23" s="199"/>
      <c r="J23" s="199"/>
      <c r="K23" s="203"/>
      <c r="L23" s="199"/>
      <c r="M23" s="60"/>
      <c r="N23" s="233"/>
      <c r="O23" s="60"/>
      <c r="P23" s="60"/>
      <c r="Q23" s="203"/>
      <c r="R23" s="199"/>
      <c r="S23" s="203"/>
      <c r="T23" s="203"/>
      <c r="U23" s="203"/>
      <c r="W23" s="272">
        <v>10.0</v>
      </c>
      <c r="X23" s="479" t="s">
        <v>180</v>
      </c>
      <c r="Y23" s="272">
        <f t="shared" si="1"/>
        <v>5</v>
      </c>
    </row>
    <row r="24" ht="15.75" customHeight="1">
      <c r="A24" s="199"/>
      <c r="B24" s="229"/>
      <c r="C24" s="203"/>
      <c r="D24" s="203"/>
      <c r="E24" s="203"/>
      <c r="F24" s="203"/>
      <c r="G24" s="199"/>
      <c r="H24" s="251"/>
      <c r="I24" s="199"/>
      <c r="J24" s="199"/>
      <c r="K24" s="203"/>
      <c r="L24" s="199"/>
      <c r="M24" s="60"/>
      <c r="N24" s="233"/>
      <c r="O24" s="60"/>
      <c r="P24" s="60" t="s">
        <v>472</v>
      </c>
      <c r="Q24" s="199" t="s">
        <v>62</v>
      </c>
      <c r="R24" s="199" t="s">
        <v>31</v>
      </c>
      <c r="S24" s="203"/>
      <c r="T24" s="203"/>
      <c r="U24" s="203"/>
      <c r="W24" s="272">
        <v>11.0</v>
      </c>
      <c r="X24" s="479" t="s">
        <v>473</v>
      </c>
      <c r="Y24" s="272">
        <f t="shared" si="1"/>
        <v>0</v>
      </c>
    </row>
    <row r="25" ht="15.75" customHeight="1">
      <c r="A25" s="203" t="s">
        <v>179</v>
      </c>
      <c r="B25" s="203" t="s">
        <v>29</v>
      </c>
      <c r="C25" s="203" t="s">
        <v>25</v>
      </c>
      <c r="D25" s="203" t="s">
        <v>465</v>
      </c>
      <c r="E25" s="203" t="s">
        <v>60</v>
      </c>
      <c r="F25" s="203" t="s">
        <v>34</v>
      </c>
      <c r="G25" s="488" t="s">
        <v>470</v>
      </c>
      <c r="H25" s="489" t="s">
        <v>102</v>
      </c>
      <c r="I25" s="488" t="s">
        <v>31</v>
      </c>
      <c r="J25" s="471" t="s">
        <v>466</v>
      </c>
      <c r="K25" s="472" t="s">
        <v>70</v>
      </c>
      <c r="L25" s="471"/>
      <c r="M25" s="203" t="s">
        <v>177</v>
      </c>
      <c r="N25" s="229" t="s">
        <v>100</v>
      </c>
      <c r="O25" s="130" t="s">
        <v>25</v>
      </c>
      <c r="P25" s="199"/>
      <c r="Q25" s="199"/>
      <c r="R25" s="199"/>
      <c r="S25" s="325" t="s">
        <v>14</v>
      </c>
      <c r="T25" s="12"/>
      <c r="U25" s="13"/>
      <c r="W25" s="272">
        <v>12.0</v>
      </c>
      <c r="X25" s="479" t="s">
        <v>203</v>
      </c>
      <c r="Y25" s="272">
        <f t="shared" si="1"/>
        <v>2</v>
      </c>
    </row>
    <row r="26" ht="15.75" customHeight="1">
      <c r="A26" s="210" t="s">
        <v>185</v>
      </c>
      <c r="B26" s="210" t="s">
        <v>186</v>
      </c>
      <c r="C26" s="210" t="s">
        <v>25</v>
      </c>
      <c r="D26" s="60"/>
      <c r="E26" s="60"/>
      <c r="F26" s="60"/>
      <c r="G26" s="203" t="s">
        <v>69</v>
      </c>
      <c r="H26" s="229" t="s">
        <v>181</v>
      </c>
      <c r="I26" s="203" t="s">
        <v>25</v>
      </c>
      <c r="J26" s="203" t="s">
        <v>180</v>
      </c>
      <c r="K26" s="251" t="s">
        <v>181</v>
      </c>
      <c r="L26" s="203" t="s">
        <v>25</v>
      </c>
      <c r="M26" s="60"/>
      <c r="N26" s="233"/>
      <c r="O26" s="60"/>
      <c r="P26" s="60" t="s">
        <v>200</v>
      </c>
      <c r="Q26" s="60" t="s">
        <v>60</v>
      </c>
      <c r="R26" s="199" t="s">
        <v>34</v>
      </c>
      <c r="S26" s="203"/>
      <c r="T26" s="203"/>
      <c r="U26" s="203"/>
      <c r="W26" s="272">
        <v>13.0</v>
      </c>
      <c r="X26" s="274" t="s">
        <v>465</v>
      </c>
      <c r="Y26" s="272">
        <f t="shared" si="1"/>
        <v>2</v>
      </c>
    </row>
    <row r="27" ht="15.75" customHeight="1">
      <c r="A27" s="203" t="s">
        <v>203</v>
      </c>
      <c r="B27" s="203" t="s">
        <v>110</v>
      </c>
      <c r="C27" s="203" t="s">
        <v>31</v>
      </c>
      <c r="D27" s="203" t="s">
        <v>189</v>
      </c>
      <c r="E27" s="473" t="s">
        <v>190</v>
      </c>
      <c r="F27" s="203" t="s">
        <v>25</v>
      </c>
      <c r="G27" s="203" t="s">
        <v>179</v>
      </c>
      <c r="H27" s="251" t="s">
        <v>191</v>
      </c>
      <c r="I27" s="203" t="s">
        <v>25</v>
      </c>
      <c r="J27" s="80" t="s">
        <v>187</v>
      </c>
      <c r="K27" s="474" t="s">
        <v>51</v>
      </c>
      <c r="L27" s="80" t="s">
        <v>25</v>
      </c>
      <c r="M27" s="203" t="s">
        <v>204</v>
      </c>
      <c r="N27" s="214" t="s">
        <v>110</v>
      </c>
      <c r="O27" s="203" t="s">
        <v>31</v>
      </c>
      <c r="P27" s="199" t="s">
        <v>167</v>
      </c>
      <c r="Q27" s="199" t="s">
        <v>202</v>
      </c>
      <c r="R27" s="199" t="s">
        <v>25</v>
      </c>
      <c r="S27" s="203"/>
      <c r="T27" s="203"/>
      <c r="U27" s="490"/>
      <c r="W27" s="272">
        <v>14.0</v>
      </c>
      <c r="X27" s="199" t="s">
        <v>206</v>
      </c>
      <c r="Y27" s="272">
        <f t="shared" si="1"/>
        <v>3</v>
      </c>
    </row>
    <row r="28" ht="15.75" customHeight="1">
      <c r="A28" s="199"/>
      <c r="B28" s="203"/>
      <c r="C28" s="203"/>
      <c r="D28" s="203" t="s">
        <v>192</v>
      </c>
      <c r="E28" s="47"/>
      <c r="F28" s="199" t="s">
        <v>31</v>
      </c>
      <c r="G28" s="199"/>
      <c r="H28" s="229"/>
      <c r="I28" s="203"/>
      <c r="J28" s="199"/>
      <c r="K28" s="203"/>
      <c r="L28" s="199"/>
      <c r="M28" s="476" t="s">
        <v>467</v>
      </c>
      <c r="N28" s="477" t="s">
        <v>430</v>
      </c>
      <c r="O28" s="471" t="s">
        <v>25</v>
      </c>
      <c r="P28" s="203"/>
      <c r="Q28" s="203"/>
      <c r="R28" s="203"/>
      <c r="S28" s="203"/>
      <c r="T28" s="203"/>
      <c r="U28" s="483"/>
      <c r="W28" s="272">
        <v>15.0</v>
      </c>
      <c r="X28" s="479" t="s">
        <v>474</v>
      </c>
      <c r="Y28" s="272">
        <f t="shared" si="1"/>
        <v>0</v>
      </c>
    </row>
    <row r="29" ht="15.75" customHeight="1">
      <c r="A29" s="105" t="s">
        <v>7</v>
      </c>
      <c r="B29" s="12"/>
      <c r="C29" s="13"/>
      <c r="D29" s="105" t="s">
        <v>8</v>
      </c>
      <c r="E29" s="12"/>
      <c r="F29" s="13"/>
      <c r="G29" s="105" t="s">
        <v>9</v>
      </c>
      <c r="H29" s="12"/>
      <c r="I29" s="13"/>
      <c r="J29" s="105" t="s">
        <v>10</v>
      </c>
      <c r="K29" s="12"/>
      <c r="L29" s="13"/>
      <c r="M29" s="105" t="s">
        <v>11</v>
      </c>
      <c r="N29" s="12"/>
      <c r="O29" s="13"/>
      <c r="P29" s="105" t="s">
        <v>12</v>
      </c>
      <c r="Q29" s="12"/>
      <c r="R29" s="13"/>
      <c r="S29" s="155" t="s">
        <v>13</v>
      </c>
      <c r="T29" s="12"/>
      <c r="U29" s="13"/>
      <c r="W29" s="272">
        <v>16.0</v>
      </c>
      <c r="X29" s="491" t="s">
        <v>196</v>
      </c>
      <c r="Y29" s="272">
        <f t="shared" si="1"/>
        <v>3</v>
      </c>
    </row>
    <row r="30" ht="15.75" customHeight="1">
      <c r="A30" s="492">
        <f>S22+1</f>
        <v>20</v>
      </c>
      <c r="B30" s="12"/>
      <c r="C30" s="13"/>
      <c r="D30" s="107">
        <f>A30+1</f>
        <v>21</v>
      </c>
      <c r="E30" s="12"/>
      <c r="F30" s="13"/>
      <c r="G30" s="107">
        <f>D30+1</f>
        <v>22</v>
      </c>
      <c r="H30" s="12"/>
      <c r="I30" s="13"/>
      <c r="J30" s="107">
        <f>G30+1</f>
        <v>23</v>
      </c>
      <c r="K30" s="12"/>
      <c r="L30" s="13"/>
      <c r="M30" s="107">
        <f>J30+1</f>
        <v>24</v>
      </c>
      <c r="N30" s="12"/>
      <c r="O30" s="13"/>
      <c r="P30" s="108">
        <f>M30+1</f>
        <v>25</v>
      </c>
      <c r="Q30" s="12"/>
      <c r="R30" s="13"/>
      <c r="S30" s="109">
        <f>P30+1</f>
        <v>26</v>
      </c>
      <c r="T30" s="12"/>
      <c r="U30" s="13"/>
      <c r="W30" s="272">
        <v>17.0</v>
      </c>
      <c r="X30" s="245" t="s">
        <v>468</v>
      </c>
      <c r="Y30" s="272">
        <f t="shared" si="1"/>
        <v>3</v>
      </c>
    </row>
    <row r="31" ht="15.75" customHeight="1">
      <c r="A31" s="60" t="s">
        <v>170</v>
      </c>
      <c r="B31" s="233" t="s">
        <v>62</v>
      </c>
      <c r="C31" s="60" t="s">
        <v>171</v>
      </c>
      <c r="D31" s="199"/>
      <c r="E31" s="203"/>
      <c r="F31" s="199"/>
      <c r="G31" s="203"/>
      <c r="H31" s="203"/>
      <c r="I31" s="203"/>
      <c r="J31" s="203"/>
      <c r="K31" s="203"/>
      <c r="L31" s="203"/>
      <c r="M31" s="199"/>
      <c r="N31" s="203"/>
      <c r="O31" s="199"/>
      <c r="P31" s="203"/>
      <c r="Q31" s="203"/>
      <c r="R31" s="203"/>
      <c r="S31" s="203"/>
      <c r="T31" s="203"/>
      <c r="U31" s="203"/>
      <c r="W31" s="272">
        <v>18.0</v>
      </c>
      <c r="X31" s="60" t="s">
        <v>200</v>
      </c>
      <c r="Y31" s="272">
        <f t="shared" si="1"/>
        <v>2</v>
      </c>
    </row>
    <row r="32" ht="15.75" customHeight="1">
      <c r="A32" s="199"/>
      <c r="B32" s="203"/>
      <c r="C32" s="203"/>
      <c r="D32" s="199"/>
      <c r="E32" s="203"/>
      <c r="F32" s="199"/>
      <c r="G32" s="210" t="s">
        <v>179</v>
      </c>
      <c r="H32" s="210" t="s">
        <v>29</v>
      </c>
      <c r="I32" s="210" t="s">
        <v>25</v>
      </c>
      <c r="J32" s="480" t="s">
        <v>199</v>
      </c>
      <c r="K32" s="481" t="s">
        <v>62</v>
      </c>
      <c r="L32" s="480" t="s">
        <v>34</v>
      </c>
      <c r="M32" s="199"/>
      <c r="N32" s="203"/>
      <c r="O32" s="199"/>
      <c r="P32" s="199"/>
      <c r="Q32" s="199"/>
      <c r="R32" s="199"/>
      <c r="S32" s="203"/>
      <c r="T32" s="203"/>
      <c r="U32" s="203"/>
      <c r="W32" s="272">
        <v>19.0</v>
      </c>
      <c r="X32" s="491" t="s">
        <v>471</v>
      </c>
      <c r="Y32" s="272">
        <f t="shared" si="1"/>
        <v>3</v>
      </c>
    </row>
    <row r="33" ht="15.75" customHeight="1">
      <c r="A33" s="203" t="s">
        <v>179</v>
      </c>
      <c r="B33" s="203" t="s">
        <v>29</v>
      </c>
      <c r="C33" s="203" t="s">
        <v>25</v>
      </c>
      <c r="D33" s="199" t="s">
        <v>172</v>
      </c>
      <c r="E33" s="203" t="s">
        <v>33</v>
      </c>
      <c r="F33" s="203" t="s">
        <v>34</v>
      </c>
      <c r="G33" s="199"/>
      <c r="H33" s="203"/>
      <c r="I33" s="482" t="s">
        <v>107</v>
      </c>
      <c r="J33" s="60" t="s">
        <v>468</v>
      </c>
      <c r="K33" s="60" t="s">
        <v>63</v>
      </c>
      <c r="L33" s="60" t="s">
        <v>31</v>
      </c>
      <c r="M33" s="203" t="s">
        <v>180</v>
      </c>
      <c r="N33" s="203" t="s">
        <v>94</v>
      </c>
      <c r="O33" s="203" t="s">
        <v>25</v>
      </c>
      <c r="P33" s="199" t="s">
        <v>475</v>
      </c>
      <c r="Q33" s="199" t="s">
        <v>28</v>
      </c>
      <c r="R33" s="199" t="s">
        <v>31</v>
      </c>
      <c r="S33" s="325" t="s">
        <v>14</v>
      </c>
      <c r="T33" s="12"/>
      <c r="U33" s="13"/>
      <c r="W33" s="272">
        <v>20.0</v>
      </c>
      <c r="X33" s="479" t="s">
        <v>189</v>
      </c>
      <c r="Y33" s="272">
        <f t="shared" si="1"/>
        <v>2</v>
      </c>
    </row>
    <row r="34" ht="15.75" customHeight="1">
      <c r="A34" s="210" t="s">
        <v>185</v>
      </c>
      <c r="B34" s="210" t="s">
        <v>186</v>
      </c>
      <c r="C34" s="210" t="s">
        <v>25</v>
      </c>
      <c r="D34" s="199"/>
      <c r="E34" s="203"/>
      <c r="F34" s="203"/>
      <c r="G34" s="60"/>
      <c r="H34" s="203"/>
      <c r="I34" s="483"/>
      <c r="J34" s="199"/>
      <c r="K34" s="203"/>
      <c r="L34" s="203"/>
      <c r="M34" s="474" t="s">
        <v>197</v>
      </c>
      <c r="N34" s="199" t="s">
        <v>63</v>
      </c>
      <c r="O34" s="80" t="s">
        <v>25</v>
      </c>
      <c r="P34" s="480" t="s">
        <v>476</v>
      </c>
      <c r="Q34" s="484" t="s">
        <v>60</v>
      </c>
      <c r="R34" s="480" t="s">
        <v>25</v>
      </c>
      <c r="S34" s="203"/>
      <c r="T34" s="203"/>
      <c r="U34" s="203"/>
      <c r="W34" s="272">
        <v>21.0</v>
      </c>
      <c r="X34" s="479" t="s">
        <v>373</v>
      </c>
      <c r="Y34" s="272">
        <f t="shared" si="1"/>
        <v>1</v>
      </c>
    </row>
    <row r="35" ht="15.75" customHeight="1">
      <c r="A35" s="203"/>
      <c r="B35" s="229"/>
      <c r="C35" s="203"/>
      <c r="D35" s="236" t="s">
        <v>182</v>
      </c>
      <c r="E35" s="236" t="s">
        <v>181</v>
      </c>
      <c r="F35" s="236" t="s">
        <v>25</v>
      </c>
      <c r="G35" s="60"/>
      <c r="H35" s="203"/>
      <c r="I35" s="483"/>
      <c r="J35" s="485" t="s">
        <v>193</v>
      </c>
      <c r="K35" s="485" t="s">
        <v>60</v>
      </c>
      <c r="L35" s="485" t="s">
        <v>25</v>
      </c>
      <c r="M35" s="485" t="s">
        <v>196</v>
      </c>
      <c r="N35" s="485" t="s">
        <v>33</v>
      </c>
      <c r="O35" s="485" t="s">
        <v>34</v>
      </c>
      <c r="P35" s="199" t="s">
        <v>167</v>
      </c>
      <c r="Q35" s="199" t="s">
        <v>202</v>
      </c>
      <c r="R35" s="199" t="s">
        <v>25</v>
      </c>
      <c r="S35" s="203"/>
      <c r="T35" s="203"/>
      <c r="U35" s="203"/>
      <c r="W35" s="272">
        <v>22.0</v>
      </c>
      <c r="X35" s="274" t="s">
        <v>477</v>
      </c>
      <c r="Y35" s="272">
        <f t="shared" si="1"/>
        <v>0</v>
      </c>
    </row>
    <row r="36" ht="15.75" customHeight="1">
      <c r="A36" s="203"/>
      <c r="B36" s="203"/>
      <c r="C36" s="185"/>
      <c r="D36" s="199" t="s">
        <v>206</v>
      </c>
      <c r="E36" s="203" t="s">
        <v>322</v>
      </c>
      <c r="F36" s="203" t="s">
        <v>25</v>
      </c>
      <c r="G36" s="60"/>
      <c r="H36" s="203"/>
      <c r="I36" s="483"/>
      <c r="J36" s="199"/>
      <c r="K36" s="203"/>
      <c r="L36" s="203"/>
      <c r="M36" s="488" t="s">
        <v>470</v>
      </c>
      <c r="N36" s="488" t="s">
        <v>60</v>
      </c>
      <c r="O36" s="488" t="s">
        <v>25</v>
      </c>
      <c r="P36" s="128" t="s">
        <v>471</v>
      </c>
      <c r="Q36" s="128" t="s">
        <v>129</v>
      </c>
      <c r="R36" s="128" t="s">
        <v>25</v>
      </c>
      <c r="S36" s="203"/>
      <c r="T36" s="203"/>
      <c r="U36" s="490"/>
      <c r="W36" s="272">
        <v>23.0</v>
      </c>
      <c r="X36" s="479" t="s">
        <v>204</v>
      </c>
      <c r="Y36" s="272">
        <f t="shared" si="1"/>
        <v>3</v>
      </c>
    </row>
    <row r="37" ht="15.75" customHeight="1">
      <c r="A37" s="136" t="s">
        <v>115</v>
      </c>
      <c r="B37" s="12"/>
      <c r="C37" s="13"/>
      <c r="D37" s="136" t="s">
        <v>8</v>
      </c>
      <c r="E37" s="12"/>
      <c r="F37" s="13"/>
      <c r="G37" s="136" t="s">
        <v>116</v>
      </c>
      <c r="H37" s="12"/>
      <c r="I37" s="13"/>
      <c r="J37" s="136" t="s">
        <v>10</v>
      </c>
      <c r="K37" s="12"/>
      <c r="L37" s="13"/>
      <c r="M37" s="136" t="s">
        <v>81</v>
      </c>
      <c r="N37" s="12"/>
      <c r="O37" s="13"/>
      <c r="P37" s="136" t="s">
        <v>82</v>
      </c>
      <c r="Q37" s="12"/>
      <c r="R37" s="13"/>
      <c r="S37" s="137" t="s">
        <v>13</v>
      </c>
      <c r="T37" s="12"/>
      <c r="U37" s="13"/>
      <c r="W37" s="272">
        <v>24.0</v>
      </c>
      <c r="X37" s="199" t="s">
        <v>466</v>
      </c>
      <c r="Y37" s="272">
        <f t="shared" si="1"/>
        <v>2</v>
      </c>
    </row>
    <row r="38" ht="15.75" customHeight="1">
      <c r="A38" s="138">
        <f>S30+1</f>
        <v>27</v>
      </c>
      <c r="B38" s="12"/>
      <c r="C38" s="13"/>
      <c r="D38" s="138">
        <f>A38+1</f>
        <v>28</v>
      </c>
      <c r="E38" s="12"/>
      <c r="F38" s="13"/>
      <c r="G38" s="138">
        <f>D38+1</f>
        <v>29</v>
      </c>
      <c r="H38" s="12"/>
      <c r="I38" s="13"/>
      <c r="J38" s="138">
        <f>G38+1</f>
        <v>30</v>
      </c>
      <c r="K38" s="12"/>
      <c r="L38" s="13"/>
      <c r="M38" s="138">
        <f>J38+1</f>
        <v>31</v>
      </c>
      <c r="N38" s="12"/>
      <c r="O38" s="13"/>
      <c r="P38" s="138">
        <f>M38+1</f>
        <v>32</v>
      </c>
      <c r="Q38" s="12"/>
      <c r="R38" s="13"/>
      <c r="S38" s="139">
        <f>P38+1</f>
        <v>33</v>
      </c>
      <c r="T38" s="12"/>
      <c r="U38" s="13"/>
      <c r="W38" s="272">
        <v>25.0</v>
      </c>
      <c r="X38" s="199" t="s">
        <v>187</v>
      </c>
      <c r="Y38" s="272">
        <f t="shared" si="1"/>
        <v>2</v>
      </c>
    </row>
    <row r="39" ht="15.75" customHeight="1">
      <c r="A39" s="60" t="s">
        <v>170</v>
      </c>
      <c r="B39" s="233" t="s">
        <v>62</v>
      </c>
      <c r="C39" s="60" t="s">
        <v>171</v>
      </c>
      <c r="D39" s="199"/>
      <c r="E39" s="203"/>
      <c r="F39" s="199"/>
      <c r="G39" s="199"/>
      <c r="H39" s="203"/>
      <c r="I39" s="199"/>
      <c r="J39" s="60" t="s">
        <v>468</v>
      </c>
      <c r="K39" s="60" t="s">
        <v>63</v>
      </c>
      <c r="L39" s="60" t="s">
        <v>31</v>
      </c>
      <c r="M39" s="199"/>
      <c r="N39" s="203"/>
      <c r="O39" s="199"/>
      <c r="P39" s="199"/>
      <c r="Q39" s="203"/>
      <c r="R39" s="199"/>
      <c r="S39" s="203"/>
      <c r="T39" s="203"/>
      <c r="U39" s="203"/>
      <c r="W39" s="272">
        <v>26.0</v>
      </c>
      <c r="X39" s="479" t="s">
        <v>470</v>
      </c>
      <c r="Y39" s="272">
        <f t="shared" si="1"/>
        <v>3</v>
      </c>
    </row>
    <row r="40" ht="15.75" customHeight="1">
      <c r="A40" s="305"/>
      <c r="B40" s="305"/>
      <c r="C40" s="305"/>
      <c r="D40" s="199"/>
      <c r="E40" s="203"/>
      <c r="F40" s="199"/>
      <c r="G40" s="199"/>
      <c r="H40" s="203"/>
      <c r="I40" s="199"/>
      <c r="J40" s="480" t="s">
        <v>199</v>
      </c>
      <c r="K40" s="481" t="s">
        <v>57</v>
      </c>
      <c r="L40" s="480" t="s">
        <v>34</v>
      </c>
      <c r="M40" s="199"/>
      <c r="N40" s="203"/>
      <c r="O40" s="199"/>
      <c r="P40" s="203"/>
      <c r="Q40" s="203"/>
      <c r="R40" s="199"/>
      <c r="S40" s="61"/>
      <c r="T40" s="61"/>
      <c r="U40" s="61"/>
      <c r="W40" s="272">
        <v>27.0</v>
      </c>
      <c r="X40" s="435" t="s">
        <v>174</v>
      </c>
      <c r="Y40" s="272">
        <f t="shared" si="1"/>
        <v>0</v>
      </c>
    </row>
    <row r="41" ht="15.75" customHeight="1">
      <c r="A41" s="203" t="s">
        <v>179</v>
      </c>
      <c r="B41" s="203" t="s">
        <v>29</v>
      </c>
      <c r="C41" s="203" t="s">
        <v>25</v>
      </c>
      <c r="D41" s="128"/>
      <c r="E41" s="128"/>
      <c r="F41" s="128"/>
      <c r="G41" s="210" t="s">
        <v>179</v>
      </c>
      <c r="H41" s="210" t="s">
        <v>29</v>
      </c>
      <c r="I41" s="210" t="s">
        <v>25</v>
      </c>
      <c r="J41" s="199" t="s">
        <v>478</v>
      </c>
      <c r="K41" s="203" t="s">
        <v>33</v>
      </c>
      <c r="L41" s="203" t="s">
        <v>34</v>
      </c>
      <c r="M41" s="203" t="s">
        <v>180</v>
      </c>
      <c r="N41" s="203" t="s">
        <v>94</v>
      </c>
      <c r="O41" s="203" t="s">
        <v>25</v>
      </c>
      <c r="P41" s="203"/>
      <c r="Q41" s="203"/>
      <c r="R41" s="203"/>
      <c r="S41" s="199"/>
      <c r="T41" s="199"/>
      <c r="U41" s="199"/>
      <c r="W41" s="272"/>
      <c r="X41" s="479"/>
      <c r="Y41" s="272">
        <f t="shared" si="1"/>
        <v>0</v>
      </c>
    </row>
    <row r="42" ht="15.75" customHeight="1">
      <c r="A42" s="199"/>
      <c r="B42" s="203"/>
      <c r="C42" s="199"/>
      <c r="D42" s="128"/>
      <c r="E42" s="128"/>
      <c r="F42" s="128"/>
      <c r="G42" s="199"/>
      <c r="H42" s="203"/>
      <c r="I42" s="199"/>
      <c r="J42" s="199"/>
      <c r="K42" s="203"/>
      <c r="L42" s="199"/>
      <c r="M42" s="199"/>
      <c r="N42" s="203"/>
      <c r="O42" s="203"/>
      <c r="P42" s="203"/>
      <c r="Q42" s="203"/>
      <c r="R42" s="483"/>
      <c r="S42" s="134"/>
      <c r="T42" s="134"/>
      <c r="U42" s="134"/>
      <c r="W42" s="493"/>
      <c r="X42" s="199"/>
      <c r="Y42" s="272"/>
    </row>
    <row r="43" ht="15.75" customHeight="1">
      <c r="A43" s="210" t="s">
        <v>185</v>
      </c>
      <c r="B43" s="210" t="s">
        <v>186</v>
      </c>
      <c r="C43" s="210" t="s">
        <v>25</v>
      </c>
      <c r="D43" s="236" t="s">
        <v>182</v>
      </c>
      <c r="E43" s="236" t="s">
        <v>181</v>
      </c>
      <c r="F43" s="236" t="s">
        <v>25</v>
      </c>
      <c r="G43" s="494" t="s">
        <v>471</v>
      </c>
      <c r="H43" s="494" t="s">
        <v>129</v>
      </c>
      <c r="I43" s="494" t="s">
        <v>25</v>
      </c>
      <c r="J43" s="60"/>
      <c r="K43" s="60"/>
      <c r="L43" s="60"/>
      <c r="M43" s="474" t="s">
        <v>197</v>
      </c>
      <c r="N43" s="203" t="s">
        <v>63</v>
      </c>
      <c r="O43" s="80" t="s">
        <v>25</v>
      </c>
      <c r="P43" s="199"/>
      <c r="Q43" s="229"/>
      <c r="R43" s="203"/>
      <c r="S43" s="203"/>
      <c r="T43" s="203"/>
      <c r="U43" s="203"/>
      <c r="Y43" s="5">
        <f>SUM(Y14:Y42)</f>
        <v>66</v>
      </c>
    </row>
    <row r="44" ht="15.75" customHeight="1">
      <c r="A44" s="470"/>
      <c r="B44" s="470"/>
      <c r="C44" s="470"/>
      <c r="D44" s="199" t="s">
        <v>206</v>
      </c>
      <c r="E44" s="203" t="s">
        <v>322</v>
      </c>
      <c r="F44" s="203" t="s">
        <v>25</v>
      </c>
      <c r="G44" s="199"/>
      <c r="H44" s="203"/>
      <c r="I44" s="199"/>
      <c r="J44" s="60" t="s">
        <v>69</v>
      </c>
      <c r="K44" s="60"/>
      <c r="L44" s="60"/>
      <c r="M44" s="199" t="s">
        <v>479</v>
      </c>
      <c r="N44" s="474" t="s">
        <v>33</v>
      </c>
      <c r="O44" s="203"/>
      <c r="P44" s="203"/>
      <c r="Q44" s="203"/>
      <c r="R44" s="490"/>
      <c r="S44" s="203"/>
      <c r="T44" s="203"/>
      <c r="U44" s="203"/>
    </row>
    <row r="45" ht="15.75" customHeight="1">
      <c r="A45" s="105"/>
      <c r="B45" s="12"/>
      <c r="C45" s="13"/>
      <c r="D45" s="105"/>
      <c r="E45" s="12"/>
      <c r="F45" s="13"/>
      <c r="G45" s="105"/>
      <c r="H45" s="12"/>
      <c r="I45" s="13"/>
      <c r="J45" s="105"/>
      <c r="K45" s="12"/>
      <c r="L45" s="13"/>
      <c r="M45" s="105"/>
      <c r="N45" s="12"/>
      <c r="O45" s="13"/>
      <c r="P45" s="105"/>
      <c r="Q45" s="12"/>
      <c r="R45" s="13"/>
      <c r="S45" s="495"/>
      <c r="T45" s="12"/>
      <c r="U45" s="13"/>
    </row>
    <row r="46" ht="15.75" customHeight="1">
      <c r="A46" s="492"/>
      <c r="B46" s="12"/>
      <c r="C46" s="13"/>
      <c r="D46" s="107"/>
      <c r="E46" s="12"/>
      <c r="F46" s="13"/>
      <c r="G46" s="107"/>
      <c r="H46" s="12"/>
      <c r="I46" s="13"/>
      <c r="J46" s="107"/>
      <c r="K46" s="12"/>
      <c r="L46" s="13"/>
      <c r="M46" s="107"/>
      <c r="N46" s="12"/>
      <c r="O46" s="13"/>
      <c r="P46" s="107"/>
      <c r="Q46" s="12"/>
      <c r="R46" s="13"/>
      <c r="S46" s="108"/>
      <c r="T46" s="12"/>
      <c r="U46" s="13"/>
    </row>
    <row r="47" ht="15.75" customHeight="1">
      <c r="A47" s="470"/>
      <c r="B47" s="470"/>
      <c r="C47" s="470"/>
      <c r="D47" s="199"/>
      <c r="E47" s="229"/>
      <c r="F47" s="203"/>
      <c r="G47" s="199"/>
      <c r="H47" s="229"/>
      <c r="I47" s="203"/>
      <c r="J47" s="199"/>
      <c r="K47" s="203"/>
      <c r="L47" s="199"/>
      <c r="M47" s="203"/>
      <c r="N47" s="203"/>
      <c r="O47" s="203"/>
      <c r="P47" s="203"/>
      <c r="Q47" s="203"/>
      <c r="R47" s="203"/>
      <c r="S47" s="198"/>
      <c r="T47" s="116"/>
      <c r="U47" s="116"/>
    </row>
    <row r="48" ht="15.75" customHeight="1">
      <c r="A48" s="305"/>
      <c r="B48" s="305"/>
      <c r="C48" s="305"/>
      <c r="D48" s="203"/>
      <c r="E48" s="203"/>
      <c r="F48" s="203"/>
      <c r="G48" s="203"/>
      <c r="H48" s="203"/>
      <c r="I48" s="203"/>
      <c r="J48" s="203"/>
      <c r="K48" s="203"/>
      <c r="L48" s="199"/>
      <c r="M48" s="203"/>
      <c r="N48" s="203"/>
      <c r="O48" s="203"/>
      <c r="P48" s="61"/>
      <c r="Q48" s="61"/>
      <c r="R48" s="61"/>
      <c r="S48" s="198"/>
      <c r="T48" s="240"/>
      <c r="U48" s="496"/>
    </row>
    <row r="49" ht="15.75" customHeight="1">
      <c r="A49" s="305"/>
      <c r="B49" s="305"/>
      <c r="C49" s="305"/>
      <c r="D49" s="210"/>
      <c r="E49" s="210"/>
      <c r="F49" s="210"/>
      <c r="G49" s="210"/>
      <c r="H49" s="210"/>
      <c r="I49" s="210"/>
      <c r="J49" s="203"/>
      <c r="K49" s="203"/>
      <c r="L49" s="203"/>
      <c r="M49" s="497"/>
      <c r="N49" s="497"/>
      <c r="O49" s="497"/>
      <c r="P49" s="199"/>
      <c r="Q49" s="199"/>
      <c r="R49" s="199"/>
      <c r="S49" s="200"/>
      <c r="T49" s="240"/>
      <c r="U49" s="181"/>
    </row>
    <row r="50" ht="15.75" customHeight="1">
      <c r="A50" s="305"/>
      <c r="B50" s="305"/>
      <c r="C50" s="305"/>
      <c r="D50" s="203"/>
      <c r="E50" s="203"/>
      <c r="F50" s="203"/>
      <c r="G50" s="203"/>
      <c r="H50" s="203"/>
      <c r="I50" s="203"/>
      <c r="J50" s="203"/>
      <c r="K50" s="203"/>
      <c r="L50" s="483"/>
      <c r="M50" s="203"/>
      <c r="N50" s="203"/>
      <c r="O50" s="199"/>
      <c r="P50" s="134"/>
      <c r="Q50" s="134"/>
      <c r="R50" s="134"/>
      <c r="S50" s="198"/>
      <c r="T50" s="240"/>
      <c r="U50" s="496"/>
    </row>
    <row r="51" ht="15.75" customHeight="1">
      <c r="A51" s="470"/>
      <c r="B51" s="470"/>
      <c r="C51" s="470"/>
      <c r="D51" s="114"/>
      <c r="E51" s="114"/>
      <c r="F51" s="114"/>
      <c r="G51" s="114"/>
      <c r="H51" s="114"/>
      <c r="I51" s="114"/>
      <c r="J51" s="199"/>
      <c r="K51" s="229"/>
      <c r="L51" s="203"/>
      <c r="M51" s="497"/>
      <c r="N51" s="497"/>
      <c r="O51" s="498"/>
      <c r="P51" s="203"/>
      <c r="Q51" s="203"/>
      <c r="R51" s="203"/>
      <c r="S51" s="201"/>
      <c r="T51" s="200"/>
      <c r="U51" s="115"/>
    </row>
    <row r="52" ht="15.75" customHeight="1">
      <c r="A52" s="470"/>
      <c r="B52" s="470"/>
      <c r="C52" s="470"/>
      <c r="D52" s="203"/>
      <c r="E52" s="203"/>
      <c r="F52" s="203"/>
      <c r="G52" s="203"/>
      <c r="H52" s="203"/>
      <c r="I52" s="203"/>
      <c r="J52" s="203"/>
      <c r="K52" s="203"/>
      <c r="L52" s="490"/>
      <c r="M52" s="199"/>
      <c r="N52" s="203"/>
      <c r="O52" s="199"/>
      <c r="P52" s="203"/>
      <c r="Q52" s="203"/>
      <c r="R52" s="203"/>
      <c r="S52" s="198"/>
      <c r="T52" s="240"/>
      <c r="U52" s="496"/>
    </row>
    <row r="53" ht="15.75" customHeight="1">
      <c r="A53" s="284"/>
      <c r="B53" s="83"/>
      <c r="C53" s="83"/>
      <c r="D53" s="83"/>
    </row>
    <row r="54" ht="15.75" customHeight="1">
      <c r="A54" s="82" t="s">
        <v>72</v>
      </c>
      <c r="B54" s="83"/>
    </row>
    <row r="55" ht="15.75" customHeight="1">
      <c r="A55" s="84"/>
      <c r="B55" s="85" t="s">
        <v>73</v>
      </c>
      <c r="C55" s="86"/>
      <c r="D55" s="87"/>
    </row>
    <row r="56" ht="15.75" customHeight="1">
      <c r="A56" s="91"/>
      <c r="B56" s="85" t="s">
        <v>74</v>
      </c>
      <c r="C56" s="86"/>
    </row>
    <row r="57" ht="15.75" customHeight="1">
      <c r="A57" s="94"/>
      <c r="B57" s="85" t="s">
        <v>75</v>
      </c>
      <c r="C57" s="86"/>
    </row>
    <row r="58" ht="15.75" customHeight="1">
      <c r="A58" s="95"/>
      <c r="B58" s="85" t="s">
        <v>480</v>
      </c>
      <c r="C58" s="86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>
    <sortState ref="W13:Y41">
      <sortCondition ref="X13:X41"/>
    </sortState>
  </autoFilter>
  <mergeCells count="100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G22:I22"/>
    <mergeCell ref="J22:L22"/>
    <mergeCell ref="M22:O22"/>
    <mergeCell ref="P22:R22"/>
    <mergeCell ref="S22:U22"/>
    <mergeCell ref="A30:C30"/>
    <mergeCell ref="D30:F30"/>
    <mergeCell ref="G30:I30"/>
    <mergeCell ref="J30:L30"/>
    <mergeCell ref="M30:O30"/>
    <mergeCell ref="D22:F22"/>
    <mergeCell ref="E27:E28"/>
    <mergeCell ref="A29:C29"/>
    <mergeCell ref="D29:F29"/>
    <mergeCell ref="G29:I29"/>
    <mergeCell ref="J29:L29"/>
    <mergeCell ref="M29:O29"/>
    <mergeCell ref="M37:O37"/>
    <mergeCell ref="P37:R37"/>
    <mergeCell ref="P29:R29"/>
    <mergeCell ref="S29:U29"/>
    <mergeCell ref="P30:R30"/>
    <mergeCell ref="S30:U30"/>
    <mergeCell ref="S33:U33"/>
    <mergeCell ref="A37:C37"/>
    <mergeCell ref="D37:F37"/>
    <mergeCell ref="S37:U37"/>
    <mergeCell ref="P38:R38"/>
    <mergeCell ref="S38:U38"/>
    <mergeCell ref="G37:I37"/>
    <mergeCell ref="J37:L37"/>
    <mergeCell ref="A38:C38"/>
    <mergeCell ref="D38:F38"/>
    <mergeCell ref="G38:I38"/>
    <mergeCell ref="J38:L38"/>
    <mergeCell ref="M38:O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S25:U2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E11:E12"/>
    <mergeCell ref="D13:F13"/>
    <mergeCell ref="G13:I13"/>
    <mergeCell ref="J13:L13"/>
    <mergeCell ref="M13:O13"/>
    <mergeCell ref="P13:R13"/>
    <mergeCell ref="S13:U13"/>
    <mergeCell ref="A13:C13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B54:D54"/>
    <mergeCell ref="A45:C45"/>
    <mergeCell ref="D45:F45"/>
    <mergeCell ref="G45:I45"/>
    <mergeCell ref="J45:L45"/>
    <mergeCell ref="M45:O45"/>
    <mergeCell ref="P45:R45"/>
    <mergeCell ref="S45:U45"/>
  </mergeCells>
  <printOptions horizontalCentered="1" verticalCentered="1"/>
  <pageMargins bottom="0.0" footer="0.0" header="0.0" left="0.0" right="0.0" top="0.0"/>
  <pageSetup paperSize="9"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7.86"/>
    <col customWidth="1" min="4" max="4" width="13.57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1" t="s">
        <v>402</v>
      </c>
      <c r="C1" s="2" t="s">
        <v>481</v>
      </c>
      <c r="F1" s="3"/>
      <c r="G1" s="9" t="s">
        <v>482</v>
      </c>
      <c r="Q1" s="3"/>
    </row>
    <row r="2">
      <c r="A2" s="1" t="s">
        <v>3</v>
      </c>
      <c r="C2" s="2" t="s">
        <v>79</v>
      </c>
      <c r="F2" s="3"/>
      <c r="Q2" s="3"/>
    </row>
    <row r="3">
      <c r="A3" s="1" t="s">
        <v>5</v>
      </c>
      <c r="C3" s="2" t="s">
        <v>79</v>
      </c>
      <c r="F3" s="3"/>
      <c r="Q3" s="3"/>
    </row>
    <row r="4">
      <c r="A4" s="499" t="s">
        <v>6</v>
      </c>
      <c r="B4" s="413"/>
      <c r="C4" s="2" t="s">
        <v>79</v>
      </c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>
      <c r="A5" s="500"/>
      <c r="B5" s="417"/>
      <c r="C5" s="418"/>
      <c r="D5" s="416" t="s">
        <v>8</v>
      </c>
      <c r="E5" s="417"/>
      <c r="F5" s="418"/>
      <c r="G5" s="416" t="s">
        <v>9</v>
      </c>
      <c r="H5" s="417"/>
      <c r="I5" s="418"/>
      <c r="J5" s="416" t="s">
        <v>10</v>
      </c>
      <c r="K5" s="417"/>
      <c r="L5" s="418"/>
      <c r="M5" s="416" t="s">
        <v>11</v>
      </c>
      <c r="N5" s="417"/>
      <c r="O5" s="418"/>
      <c r="P5" s="416" t="s">
        <v>12</v>
      </c>
      <c r="Q5" s="417"/>
      <c r="R5" s="418"/>
      <c r="S5" s="419" t="s">
        <v>13</v>
      </c>
      <c r="T5" s="417"/>
      <c r="U5" s="418"/>
    </row>
    <row r="6">
      <c r="A6" s="501"/>
      <c r="B6" s="417"/>
      <c r="C6" s="418"/>
      <c r="D6" s="420">
        <v>45839.0</v>
      </c>
      <c r="E6" s="417"/>
      <c r="F6" s="418"/>
      <c r="G6" s="420">
        <f>D6+1</f>
        <v>45840</v>
      </c>
      <c r="H6" s="417"/>
      <c r="I6" s="418"/>
      <c r="J6" s="420">
        <f>G6+1</f>
        <v>45841</v>
      </c>
      <c r="K6" s="417"/>
      <c r="L6" s="418"/>
      <c r="M6" s="420">
        <f>J6+1</f>
        <v>45842</v>
      </c>
      <c r="N6" s="417"/>
      <c r="O6" s="418"/>
      <c r="P6" s="420">
        <f>M6+1</f>
        <v>45843</v>
      </c>
      <c r="Q6" s="417"/>
      <c r="R6" s="418"/>
      <c r="S6" s="502">
        <f>P6+1</f>
        <v>45844</v>
      </c>
      <c r="T6" s="417"/>
      <c r="U6" s="418"/>
    </row>
    <row r="7">
      <c r="A7" s="503"/>
      <c r="B7" s="503"/>
      <c r="C7" s="503"/>
      <c r="D7" s="426"/>
      <c r="E7" s="426"/>
      <c r="F7" s="426"/>
      <c r="G7" s="427"/>
      <c r="H7" s="427"/>
      <c r="I7" s="428"/>
      <c r="J7" s="503"/>
      <c r="K7" s="503"/>
      <c r="L7" s="503"/>
      <c r="M7" s="427"/>
      <c r="N7" s="427"/>
      <c r="O7" s="428"/>
      <c r="P7" s="427"/>
      <c r="Q7" s="427"/>
      <c r="R7" s="428"/>
      <c r="S7" s="503"/>
      <c r="T7" s="503"/>
      <c r="U7" s="503"/>
    </row>
    <row r="8">
      <c r="A8" s="503"/>
      <c r="B8" s="503"/>
      <c r="C8" s="503"/>
      <c r="D8" s="426"/>
      <c r="E8" s="426"/>
      <c r="F8" s="426"/>
      <c r="G8" s="427"/>
      <c r="H8" s="427"/>
      <c r="I8" s="428"/>
      <c r="J8" s="436"/>
      <c r="K8" s="435"/>
      <c r="L8" s="435"/>
      <c r="M8" s="436"/>
      <c r="N8" s="436"/>
      <c r="O8" s="436"/>
      <c r="P8" s="428"/>
      <c r="Q8" s="428"/>
      <c r="R8" s="504"/>
      <c r="S8" s="436"/>
      <c r="T8" s="435"/>
      <c r="U8" s="435"/>
    </row>
    <row r="9">
      <c r="A9" s="503"/>
      <c r="B9" s="503"/>
      <c r="C9" s="503"/>
      <c r="D9" s="433"/>
      <c r="E9" s="433"/>
      <c r="F9" s="433"/>
      <c r="G9" s="505" t="s">
        <v>483</v>
      </c>
      <c r="H9" s="505" t="s">
        <v>70</v>
      </c>
      <c r="I9" s="505" t="s">
        <v>31</v>
      </c>
      <c r="J9" s="436"/>
      <c r="K9" s="435"/>
      <c r="L9" s="435"/>
      <c r="M9" s="436"/>
      <c r="N9" s="436"/>
      <c r="O9" s="436"/>
      <c r="P9" s="85"/>
      <c r="Q9" s="85"/>
      <c r="R9" s="440"/>
      <c r="S9" s="506" t="s">
        <v>405</v>
      </c>
      <c r="T9" s="506" t="s">
        <v>266</v>
      </c>
      <c r="U9" s="506" t="s">
        <v>48</v>
      </c>
      <c r="W9" s="173" t="s">
        <v>15</v>
      </c>
      <c r="X9" s="352" t="s">
        <v>141</v>
      </c>
      <c r="Y9" s="213" t="s">
        <v>17</v>
      </c>
    </row>
    <row r="10">
      <c r="A10" s="503"/>
      <c r="B10" s="503"/>
      <c r="C10" s="503"/>
      <c r="D10" s="426"/>
      <c r="E10" s="426"/>
      <c r="F10" s="426"/>
      <c r="G10" s="507"/>
      <c r="H10" s="507"/>
      <c r="I10" s="507"/>
      <c r="J10" s="436" t="s">
        <v>407</v>
      </c>
      <c r="K10" s="436" t="s">
        <v>439</v>
      </c>
      <c r="L10" s="436" t="s">
        <v>48</v>
      </c>
      <c r="M10" s="508"/>
      <c r="N10" s="508"/>
      <c r="O10" s="508"/>
      <c r="P10" s="509"/>
      <c r="Q10" s="509"/>
      <c r="R10" s="510"/>
      <c r="S10" s="427"/>
      <c r="T10" s="427"/>
      <c r="U10" s="428"/>
      <c r="W10" s="178">
        <v>1.0</v>
      </c>
      <c r="X10" s="353" t="s">
        <v>93</v>
      </c>
      <c r="Y10" s="354">
        <f t="shared" ref="Y10:Y38" si="1">COUNTIF($A$5:$U$51,X10)</f>
        <v>2</v>
      </c>
    </row>
    <row r="11">
      <c r="A11" s="503"/>
      <c r="B11" s="503"/>
      <c r="C11" s="503"/>
      <c r="D11" s="426" t="s">
        <v>484</v>
      </c>
      <c r="E11" s="426" t="s">
        <v>413</v>
      </c>
      <c r="F11" s="426" t="s">
        <v>31</v>
      </c>
      <c r="G11" s="459" t="s">
        <v>230</v>
      </c>
      <c r="H11" s="459" t="s">
        <v>231</v>
      </c>
      <c r="I11" s="459" t="s">
        <v>48</v>
      </c>
      <c r="J11" s="428"/>
      <c r="K11" s="428"/>
      <c r="L11" s="428"/>
      <c r="M11" s="436" t="s">
        <v>330</v>
      </c>
      <c r="N11" s="436" t="s">
        <v>430</v>
      </c>
      <c r="O11" s="436" t="s">
        <v>48</v>
      </c>
      <c r="P11" s="433"/>
      <c r="Q11" s="511"/>
      <c r="R11" s="440"/>
      <c r="S11" s="437" t="s">
        <v>148</v>
      </c>
      <c r="T11" s="437" t="s">
        <v>149</v>
      </c>
      <c r="U11" s="506" t="s">
        <v>48</v>
      </c>
      <c r="W11" s="178">
        <v>2.0</v>
      </c>
      <c r="X11" s="353" t="s">
        <v>485</v>
      </c>
      <c r="Y11" s="354">
        <f t="shared" si="1"/>
        <v>0</v>
      </c>
    </row>
    <row r="12">
      <c r="A12" s="428"/>
      <c r="B12" s="428"/>
      <c r="C12" s="428"/>
      <c r="D12" s="443"/>
      <c r="E12" s="443"/>
      <c r="F12" s="443"/>
      <c r="G12" s="427"/>
      <c r="H12" s="427"/>
      <c r="I12" s="444"/>
      <c r="J12" s="428"/>
      <c r="K12" s="428"/>
      <c r="L12" s="428"/>
      <c r="M12" s="428"/>
      <c r="N12" s="428"/>
      <c r="O12" s="428"/>
      <c r="P12" s="427"/>
      <c r="Q12" s="427"/>
      <c r="R12" s="444"/>
      <c r="S12" s="428"/>
      <c r="T12" s="428"/>
      <c r="U12" s="428"/>
      <c r="W12" s="178">
        <v>3.0</v>
      </c>
      <c r="X12" s="353" t="s">
        <v>330</v>
      </c>
      <c r="Y12" s="354">
        <f t="shared" si="1"/>
        <v>2</v>
      </c>
    </row>
    <row r="13">
      <c r="A13" s="512" t="s">
        <v>7</v>
      </c>
      <c r="B13" s="417"/>
      <c r="C13" s="418"/>
      <c r="D13" s="512" t="s">
        <v>8</v>
      </c>
      <c r="E13" s="417"/>
      <c r="F13" s="418"/>
      <c r="G13" s="512" t="s">
        <v>9</v>
      </c>
      <c r="H13" s="417"/>
      <c r="I13" s="418"/>
      <c r="J13" s="512" t="s">
        <v>10</v>
      </c>
      <c r="K13" s="417"/>
      <c r="L13" s="418"/>
      <c r="M13" s="512" t="s">
        <v>81</v>
      </c>
      <c r="N13" s="417"/>
      <c r="O13" s="418"/>
      <c r="P13" s="512" t="s">
        <v>82</v>
      </c>
      <c r="Q13" s="417"/>
      <c r="R13" s="418"/>
      <c r="S13" s="513" t="s">
        <v>13</v>
      </c>
      <c r="T13" s="417"/>
      <c r="U13" s="418"/>
      <c r="W13" s="178">
        <v>4.0</v>
      </c>
      <c r="X13" s="353" t="s">
        <v>407</v>
      </c>
      <c r="Y13" s="354">
        <f t="shared" si="1"/>
        <v>4</v>
      </c>
    </row>
    <row r="14">
      <c r="A14" s="514">
        <f>S6+1</f>
        <v>45845</v>
      </c>
      <c r="B14" s="417"/>
      <c r="C14" s="418"/>
      <c r="D14" s="514">
        <f>A14+1</f>
        <v>45846</v>
      </c>
      <c r="E14" s="417"/>
      <c r="F14" s="418"/>
      <c r="G14" s="514">
        <f>D14+1</f>
        <v>45847</v>
      </c>
      <c r="H14" s="417"/>
      <c r="I14" s="418"/>
      <c r="J14" s="514">
        <f>G14+1</f>
        <v>45848</v>
      </c>
      <c r="K14" s="417"/>
      <c r="L14" s="418"/>
      <c r="M14" s="515">
        <f>J14+1</f>
        <v>45849</v>
      </c>
      <c r="N14" s="417"/>
      <c r="O14" s="418"/>
      <c r="P14" s="514">
        <f>M14+1</f>
        <v>45850</v>
      </c>
      <c r="Q14" s="417"/>
      <c r="R14" s="418"/>
      <c r="S14" s="516">
        <f>P14+1</f>
        <v>45851</v>
      </c>
      <c r="T14" s="417"/>
      <c r="U14" s="418"/>
      <c r="W14" s="178">
        <v>5.0</v>
      </c>
      <c r="X14" s="353" t="s">
        <v>148</v>
      </c>
      <c r="Y14" s="354">
        <f t="shared" si="1"/>
        <v>4</v>
      </c>
    </row>
    <row r="15">
      <c r="A15" s="427"/>
      <c r="B15" s="427"/>
      <c r="C15" s="427"/>
      <c r="D15" s="427"/>
      <c r="E15" s="427"/>
      <c r="F15" s="427"/>
      <c r="G15" s="427"/>
      <c r="H15" s="427"/>
      <c r="I15" s="427"/>
      <c r="J15" s="503"/>
      <c r="K15" s="503"/>
      <c r="L15" s="503"/>
      <c r="M15" s="427"/>
      <c r="N15" s="427"/>
      <c r="O15" s="427"/>
      <c r="P15" s="517"/>
      <c r="Q15" s="518"/>
      <c r="R15" s="519"/>
      <c r="S15" s="520"/>
      <c r="T15" s="520"/>
      <c r="U15" s="520"/>
      <c r="W15" s="178">
        <v>6.0</v>
      </c>
      <c r="X15" s="353" t="s">
        <v>144</v>
      </c>
      <c r="Y15" s="354">
        <f t="shared" si="1"/>
        <v>2</v>
      </c>
    </row>
    <row r="16">
      <c r="A16" s="427"/>
      <c r="B16" s="427"/>
      <c r="C16" s="427"/>
      <c r="D16" s="427"/>
      <c r="E16" s="427"/>
      <c r="F16" s="427"/>
      <c r="G16" s="427"/>
      <c r="H16" s="427"/>
      <c r="I16" s="427"/>
      <c r="J16" s="436"/>
      <c r="K16" s="435"/>
      <c r="L16" s="521"/>
      <c r="M16" s="427"/>
      <c r="N16" s="427"/>
      <c r="O16" s="427"/>
      <c r="P16" s="522" t="s">
        <v>362</v>
      </c>
      <c r="Q16" s="428" t="s">
        <v>118</v>
      </c>
      <c r="R16" s="504" t="s">
        <v>31</v>
      </c>
      <c r="S16" s="520"/>
      <c r="T16" s="520"/>
      <c r="U16" s="520"/>
      <c r="W16" s="178">
        <v>7.0</v>
      </c>
      <c r="X16" s="353" t="s">
        <v>486</v>
      </c>
      <c r="Y16" s="354">
        <f t="shared" si="1"/>
        <v>0</v>
      </c>
    </row>
    <row r="17">
      <c r="A17" s="503"/>
      <c r="B17" s="503"/>
      <c r="C17" s="503"/>
      <c r="D17" s="436"/>
      <c r="E17" s="435"/>
      <c r="F17" s="378"/>
      <c r="G17" s="427"/>
      <c r="H17" s="427"/>
      <c r="I17" s="427"/>
      <c r="J17" s="436"/>
      <c r="K17" s="435"/>
      <c r="L17" s="435"/>
      <c r="M17" s="503"/>
      <c r="N17" s="503"/>
      <c r="O17" s="503"/>
      <c r="P17" s="432" t="s">
        <v>167</v>
      </c>
      <c r="Q17" s="436" t="s">
        <v>202</v>
      </c>
      <c r="R17" s="432" t="s">
        <v>48</v>
      </c>
      <c r="S17" s="427"/>
      <c r="T17" s="427"/>
      <c r="U17" s="428"/>
      <c r="W17" s="178">
        <v>8.0</v>
      </c>
      <c r="X17" s="353" t="s">
        <v>421</v>
      </c>
      <c r="Y17" s="354">
        <f t="shared" si="1"/>
        <v>2</v>
      </c>
    </row>
    <row r="18">
      <c r="A18" s="503"/>
      <c r="B18" s="503"/>
      <c r="C18" s="503"/>
      <c r="D18" s="426" t="s">
        <v>484</v>
      </c>
      <c r="E18" s="426" t="s">
        <v>233</v>
      </c>
      <c r="F18" s="426" t="s">
        <v>31</v>
      </c>
      <c r="G18" s="507"/>
      <c r="H18" s="507"/>
      <c r="I18" s="507"/>
      <c r="J18" s="436" t="s">
        <v>407</v>
      </c>
      <c r="K18" s="436" t="s">
        <v>439</v>
      </c>
      <c r="L18" s="436" t="s">
        <v>375</v>
      </c>
      <c r="M18" s="436"/>
      <c r="N18" s="436"/>
      <c r="O18" s="436"/>
      <c r="P18" s="433"/>
      <c r="Q18" s="511"/>
      <c r="R18" s="440"/>
      <c r="S18" s="437" t="s">
        <v>148</v>
      </c>
      <c r="T18" s="437" t="s">
        <v>149</v>
      </c>
      <c r="U18" s="510" t="s">
        <v>107</v>
      </c>
      <c r="W18" s="178">
        <v>9.0</v>
      </c>
      <c r="X18" s="353" t="s">
        <v>167</v>
      </c>
      <c r="Y18" s="354">
        <f t="shared" si="1"/>
        <v>2</v>
      </c>
    </row>
    <row r="19" ht="15.0" customHeight="1">
      <c r="A19" s="503"/>
      <c r="B19" s="503"/>
      <c r="C19" s="503"/>
      <c r="D19" s="427"/>
      <c r="E19" s="427"/>
      <c r="F19" s="427"/>
      <c r="G19" s="459" t="s">
        <v>421</v>
      </c>
      <c r="H19" s="459" t="s">
        <v>277</v>
      </c>
      <c r="I19" s="459" t="s">
        <v>48</v>
      </c>
      <c r="J19" s="428"/>
      <c r="K19" s="428"/>
      <c r="L19" s="428"/>
      <c r="M19" s="437" t="s">
        <v>144</v>
      </c>
      <c r="N19" s="437" t="s">
        <v>149</v>
      </c>
      <c r="O19" s="437" t="s">
        <v>48</v>
      </c>
      <c r="P19" s="433" t="s">
        <v>93</v>
      </c>
      <c r="Q19" s="511" t="s">
        <v>51</v>
      </c>
      <c r="R19" s="440" t="s">
        <v>48</v>
      </c>
      <c r="S19" s="428"/>
      <c r="T19" s="428"/>
      <c r="U19" s="428"/>
      <c r="W19" s="178">
        <v>10.0</v>
      </c>
      <c r="X19" s="353" t="s">
        <v>20</v>
      </c>
      <c r="Y19" s="354">
        <f t="shared" si="1"/>
        <v>1</v>
      </c>
    </row>
    <row r="20" ht="15.0" customHeight="1">
      <c r="A20" s="428"/>
      <c r="B20" s="428"/>
      <c r="C20" s="428"/>
      <c r="D20" s="427"/>
      <c r="E20" s="427"/>
      <c r="F20" s="427"/>
      <c r="G20" s="427"/>
      <c r="H20" s="427"/>
      <c r="I20" s="444"/>
      <c r="J20" s="428"/>
      <c r="K20" s="428"/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W20" s="178">
        <v>11.0</v>
      </c>
      <c r="X20" s="353" t="s">
        <v>19</v>
      </c>
      <c r="Y20" s="354">
        <f t="shared" si="1"/>
        <v>1</v>
      </c>
    </row>
    <row r="21" ht="15.75" customHeight="1">
      <c r="A21" s="500" t="s">
        <v>115</v>
      </c>
      <c r="B21" s="417"/>
      <c r="C21" s="418"/>
      <c r="D21" s="500" t="s">
        <v>8</v>
      </c>
      <c r="E21" s="417"/>
      <c r="F21" s="418"/>
      <c r="G21" s="500" t="s">
        <v>116</v>
      </c>
      <c r="H21" s="417"/>
      <c r="I21" s="418"/>
      <c r="J21" s="500" t="s">
        <v>10</v>
      </c>
      <c r="K21" s="417"/>
      <c r="L21" s="418"/>
      <c r="M21" s="500" t="s">
        <v>11</v>
      </c>
      <c r="N21" s="417"/>
      <c r="O21" s="418"/>
      <c r="P21" s="500" t="s">
        <v>82</v>
      </c>
      <c r="Q21" s="417"/>
      <c r="R21" s="418"/>
      <c r="S21" s="523" t="s">
        <v>117</v>
      </c>
      <c r="T21" s="417"/>
      <c r="U21" s="418"/>
      <c r="W21" s="178">
        <v>12.0</v>
      </c>
      <c r="X21" s="353" t="s">
        <v>37</v>
      </c>
      <c r="Y21" s="354">
        <f t="shared" si="1"/>
        <v>0</v>
      </c>
    </row>
    <row r="22" ht="15.75" customHeight="1">
      <c r="A22" s="501">
        <f>S14+1</f>
        <v>45852</v>
      </c>
      <c r="B22" s="417"/>
      <c r="C22" s="418"/>
      <c r="D22" s="501">
        <f>A22+1</f>
        <v>45853</v>
      </c>
      <c r="E22" s="417"/>
      <c r="F22" s="418"/>
      <c r="G22" s="501">
        <f>D22+1</f>
        <v>45854</v>
      </c>
      <c r="H22" s="417"/>
      <c r="I22" s="418"/>
      <c r="J22" s="501">
        <f>G22+1</f>
        <v>45855</v>
      </c>
      <c r="K22" s="417"/>
      <c r="L22" s="418"/>
      <c r="M22" s="501">
        <f>J22+1</f>
        <v>45856</v>
      </c>
      <c r="N22" s="417"/>
      <c r="O22" s="418"/>
      <c r="P22" s="501">
        <f>M22+1</f>
        <v>45857</v>
      </c>
      <c r="Q22" s="417"/>
      <c r="R22" s="418"/>
      <c r="S22" s="524">
        <f>P22+1</f>
        <v>45858</v>
      </c>
      <c r="T22" s="417"/>
      <c r="U22" s="418"/>
      <c r="W22" s="178">
        <v>13.0</v>
      </c>
      <c r="X22" s="353" t="s">
        <v>88</v>
      </c>
      <c r="Y22" s="354">
        <f t="shared" si="1"/>
        <v>1</v>
      </c>
    </row>
    <row r="23" ht="15.75" customHeight="1">
      <c r="A23" s="503"/>
      <c r="B23" s="503"/>
      <c r="C23" s="503"/>
      <c r="D23" s="525"/>
      <c r="E23" s="426"/>
      <c r="F23" s="426"/>
      <c r="G23" s="427"/>
      <c r="H23" s="427"/>
      <c r="I23" s="428"/>
      <c r="J23" s="503"/>
      <c r="K23" s="503"/>
      <c r="L23" s="503"/>
      <c r="M23" s="436"/>
      <c r="N23" s="526"/>
      <c r="O23" s="435"/>
      <c r="P23" s="503"/>
      <c r="Q23" s="503"/>
      <c r="R23" s="503"/>
      <c r="S23" s="436"/>
      <c r="T23" s="436"/>
      <c r="U23" s="436"/>
      <c r="W23" s="178">
        <v>14.0</v>
      </c>
      <c r="X23" s="353" t="s">
        <v>122</v>
      </c>
      <c r="Y23" s="354">
        <f t="shared" si="1"/>
        <v>1</v>
      </c>
    </row>
    <row r="24" ht="15.75" customHeight="1">
      <c r="A24" s="503"/>
      <c r="B24" s="503"/>
      <c r="C24" s="503"/>
      <c r="D24" s="525"/>
      <c r="E24" s="426"/>
      <c r="F24" s="426"/>
      <c r="G24" s="427"/>
      <c r="H24" s="427"/>
      <c r="I24" s="428"/>
      <c r="J24" s="503"/>
      <c r="K24" s="503"/>
      <c r="L24" s="503"/>
      <c r="M24" s="436"/>
      <c r="N24" s="436"/>
      <c r="O24" s="435"/>
      <c r="P24" s="428"/>
      <c r="Q24" s="428"/>
      <c r="R24" s="504"/>
      <c r="S24" s="506"/>
      <c r="T24" s="506"/>
      <c r="U24" s="506"/>
      <c r="W24" s="178">
        <v>15.0</v>
      </c>
      <c r="X24" s="353" t="s">
        <v>320</v>
      </c>
      <c r="Y24" s="354">
        <f t="shared" si="1"/>
        <v>0</v>
      </c>
    </row>
    <row r="25" ht="15.75" customHeight="1">
      <c r="A25" s="527" t="s">
        <v>487</v>
      </c>
      <c r="B25" s="527" t="s">
        <v>36</v>
      </c>
      <c r="C25" s="527" t="s">
        <v>488</v>
      </c>
      <c r="D25" s="525"/>
      <c r="E25" s="426"/>
      <c r="F25" s="426"/>
      <c r="G25" s="459" t="s">
        <v>230</v>
      </c>
      <c r="H25" s="459" t="s">
        <v>231</v>
      </c>
      <c r="I25" s="459" t="s">
        <v>48</v>
      </c>
      <c r="J25" s="503"/>
      <c r="K25" s="503"/>
      <c r="L25" s="503"/>
      <c r="M25" s="436" t="s">
        <v>489</v>
      </c>
      <c r="N25" s="436" t="s">
        <v>219</v>
      </c>
      <c r="O25" s="436"/>
      <c r="P25" s="428"/>
      <c r="Q25" s="428"/>
      <c r="R25" s="504"/>
      <c r="S25" s="506" t="s">
        <v>405</v>
      </c>
      <c r="T25" s="506" t="s">
        <v>266</v>
      </c>
      <c r="U25" s="506" t="s">
        <v>48</v>
      </c>
      <c r="W25" s="178">
        <v>16.0</v>
      </c>
      <c r="X25" s="353" t="s">
        <v>405</v>
      </c>
      <c r="Y25" s="354">
        <f t="shared" si="1"/>
        <v>2</v>
      </c>
    </row>
    <row r="26" ht="15.75" customHeight="1">
      <c r="A26" s="503"/>
      <c r="B26" s="503"/>
      <c r="C26" s="503"/>
      <c r="D26" s="426" t="s">
        <v>484</v>
      </c>
      <c r="E26" s="426" t="s">
        <v>233</v>
      </c>
      <c r="F26" s="426" t="s">
        <v>31</v>
      </c>
      <c r="G26" s="507"/>
      <c r="H26" s="507"/>
      <c r="I26" s="507"/>
      <c r="J26" s="436" t="s">
        <v>407</v>
      </c>
      <c r="K26" s="436" t="s">
        <v>439</v>
      </c>
      <c r="L26" s="436" t="s">
        <v>48</v>
      </c>
      <c r="M26" s="508"/>
      <c r="N26" s="508"/>
      <c r="O26" s="508"/>
      <c r="P26" s="440" t="s">
        <v>122</v>
      </c>
      <c r="Q26" s="528" t="s">
        <v>133</v>
      </c>
      <c r="R26" s="509" t="s">
        <v>31</v>
      </c>
      <c r="S26" s="427"/>
      <c r="T26" s="427"/>
      <c r="U26" s="427"/>
      <c r="W26" s="178">
        <v>17.0</v>
      </c>
      <c r="X26" s="353" t="s">
        <v>230</v>
      </c>
      <c r="Y26" s="354">
        <f t="shared" si="1"/>
        <v>2</v>
      </c>
    </row>
    <row r="27" ht="15.75" customHeight="1">
      <c r="A27" s="503"/>
      <c r="B27" s="503"/>
      <c r="C27" s="503"/>
      <c r="D27" s="460" t="s">
        <v>20</v>
      </c>
      <c r="E27" s="460" t="s">
        <v>46</v>
      </c>
      <c r="F27" s="460" t="s">
        <v>48</v>
      </c>
      <c r="G27" s="428"/>
      <c r="H27" s="428"/>
      <c r="I27" s="428"/>
      <c r="J27" s="503"/>
      <c r="K27" s="503"/>
      <c r="L27" s="503"/>
      <c r="M27" s="436" t="s">
        <v>330</v>
      </c>
      <c r="N27" s="436" t="s">
        <v>430</v>
      </c>
      <c r="O27" s="436" t="s">
        <v>48</v>
      </c>
      <c r="P27" s="529" t="s">
        <v>88</v>
      </c>
      <c r="Q27" s="529" t="s">
        <v>100</v>
      </c>
      <c r="R27" s="530" t="s">
        <v>48</v>
      </c>
      <c r="S27" s="437" t="s">
        <v>148</v>
      </c>
      <c r="T27" s="437" t="s">
        <v>149</v>
      </c>
      <c r="U27" s="506" t="s">
        <v>48</v>
      </c>
      <c r="W27" s="178">
        <v>18.0</v>
      </c>
      <c r="X27" s="353" t="s">
        <v>362</v>
      </c>
      <c r="Y27" s="354">
        <f t="shared" si="1"/>
        <v>2</v>
      </c>
    </row>
    <row r="28" ht="15.75" customHeight="1">
      <c r="A28" s="428"/>
      <c r="B28" s="428"/>
      <c r="C28" s="428"/>
      <c r="D28" s="436"/>
      <c r="E28" s="436"/>
      <c r="F28" s="436"/>
      <c r="G28" s="427"/>
      <c r="H28" s="427"/>
      <c r="I28" s="444"/>
      <c r="J28" s="428"/>
      <c r="K28" s="428"/>
      <c r="L28" s="428"/>
      <c r="M28" s="427"/>
      <c r="N28" s="427"/>
      <c r="O28" s="444"/>
      <c r="P28" s="428"/>
      <c r="Q28" s="428"/>
      <c r="R28" s="510" t="s">
        <v>365</v>
      </c>
      <c r="S28" s="428"/>
      <c r="T28" s="428"/>
      <c r="U28" s="428"/>
      <c r="W28" s="178">
        <v>19.0</v>
      </c>
      <c r="X28" s="353"/>
      <c r="Y28" s="354">
        <f t="shared" si="1"/>
        <v>0</v>
      </c>
    </row>
    <row r="29" ht="15.75" customHeight="1">
      <c r="A29" s="512" t="s">
        <v>115</v>
      </c>
      <c r="B29" s="417"/>
      <c r="C29" s="418"/>
      <c r="D29" s="512" t="s">
        <v>8</v>
      </c>
      <c r="E29" s="417"/>
      <c r="F29" s="418"/>
      <c r="G29" s="512" t="s">
        <v>116</v>
      </c>
      <c r="H29" s="417"/>
      <c r="I29" s="418"/>
      <c r="J29" s="512" t="s">
        <v>10</v>
      </c>
      <c r="K29" s="417"/>
      <c r="L29" s="418"/>
      <c r="M29" s="512" t="s">
        <v>81</v>
      </c>
      <c r="N29" s="417"/>
      <c r="O29" s="418"/>
      <c r="P29" s="531" t="s">
        <v>82</v>
      </c>
      <c r="Q29" s="417"/>
      <c r="R29" s="418"/>
      <c r="S29" s="513" t="s">
        <v>13</v>
      </c>
      <c r="T29" s="417"/>
      <c r="U29" s="418"/>
      <c r="W29" s="178">
        <v>20.0</v>
      </c>
      <c r="X29" s="353"/>
      <c r="Y29" s="354">
        <f t="shared" si="1"/>
        <v>0</v>
      </c>
    </row>
    <row r="30" ht="15.75" customHeight="1">
      <c r="A30" s="515">
        <f>S22+1</f>
        <v>45859</v>
      </c>
      <c r="B30" s="417"/>
      <c r="C30" s="418"/>
      <c r="D30" s="514">
        <f>A30+1</f>
        <v>45860</v>
      </c>
      <c r="E30" s="417"/>
      <c r="F30" s="418"/>
      <c r="G30" s="514">
        <f>D30+1</f>
        <v>45861</v>
      </c>
      <c r="H30" s="417"/>
      <c r="I30" s="418"/>
      <c r="J30" s="514">
        <f>G30+1</f>
        <v>45862</v>
      </c>
      <c r="K30" s="417"/>
      <c r="L30" s="418"/>
      <c r="M30" s="515">
        <f>J30+1</f>
        <v>45863</v>
      </c>
      <c r="N30" s="417"/>
      <c r="O30" s="418"/>
      <c r="P30" s="532">
        <f>M30+1</f>
        <v>45864</v>
      </c>
      <c r="Q30" s="417"/>
      <c r="R30" s="418"/>
      <c r="S30" s="516">
        <f>P30+1</f>
        <v>45865</v>
      </c>
      <c r="T30" s="417"/>
      <c r="U30" s="418"/>
      <c r="W30" s="178">
        <v>21.0</v>
      </c>
      <c r="X30" s="353"/>
      <c r="Y30" s="354">
        <f t="shared" si="1"/>
        <v>0</v>
      </c>
    </row>
    <row r="31" ht="15.75" customHeight="1">
      <c r="A31" s="503"/>
      <c r="B31" s="503"/>
      <c r="C31" s="503"/>
      <c r="D31" s="503"/>
      <c r="E31" s="503"/>
      <c r="F31" s="503"/>
      <c r="G31" s="503"/>
      <c r="H31" s="503"/>
      <c r="I31" s="503"/>
      <c r="J31" s="503"/>
      <c r="K31" s="503"/>
      <c r="L31" s="503"/>
      <c r="M31" s="436"/>
      <c r="N31" s="526"/>
      <c r="O31" s="435"/>
      <c r="P31" s="503"/>
      <c r="Q31" s="503"/>
      <c r="R31" s="503"/>
      <c r="S31" s="503"/>
      <c r="T31" s="503"/>
      <c r="U31" s="503"/>
      <c r="W31" s="178">
        <v>22.0</v>
      </c>
      <c r="X31" s="353"/>
      <c r="Y31" s="354">
        <f t="shared" si="1"/>
        <v>0</v>
      </c>
    </row>
    <row r="32" ht="15.75" customHeight="1">
      <c r="A32" s="503"/>
      <c r="B32" s="503"/>
      <c r="C32" s="503"/>
      <c r="D32" s="436"/>
      <c r="E32" s="435"/>
      <c r="F32" s="435"/>
      <c r="G32" s="503"/>
      <c r="H32" s="503"/>
      <c r="I32" s="503"/>
      <c r="J32" s="503" t="s">
        <v>490</v>
      </c>
      <c r="K32" s="503" t="s">
        <v>438</v>
      </c>
      <c r="L32" s="503" t="s">
        <v>491</v>
      </c>
      <c r="M32" s="503" t="s">
        <v>490</v>
      </c>
      <c r="N32" s="503" t="s">
        <v>438</v>
      </c>
      <c r="O32" s="503" t="s">
        <v>491</v>
      </c>
      <c r="P32" s="428" t="s">
        <v>362</v>
      </c>
      <c r="Q32" s="428" t="s">
        <v>118</v>
      </c>
      <c r="R32" s="504" t="s">
        <v>31</v>
      </c>
      <c r="S32" s="503"/>
      <c r="T32" s="503"/>
      <c r="U32" s="503"/>
      <c r="W32" s="178">
        <v>23.0</v>
      </c>
      <c r="X32" s="353"/>
      <c r="Y32" s="354">
        <f t="shared" si="1"/>
        <v>0</v>
      </c>
    </row>
    <row r="33" ht="15.75" customHeight="1">
      <c r="A33" s="503"/>
      <c r="B33" s="503"/>
      <c r="C33" s="503"/>
      <c r="D33" s="433"/>
      <c r="E33" s="433"/>
      <c r="F33" s="433"/>
      <c r="G33" s="503"/>
      <c r="H33" s="503"/>
      <c r="I33" s="503"/>
      <c r="J33" s="503"/>
      <c r="K33" s="503"/>
      <c r="L33" s="503"/>
      <c r="M33" s="436"/>
      <c r="N33" s="436"/>
      <c r="O33" s="435"/>
      <c r="P33" s="432" t="s">
        <v>167</v>
      </c>
      <c r="Q33" s="436" t="s">
        <v>202</v>
      </c>
      <c r="R33" s="432" t="s">
        <v>48</v>
      </c>
      <c r="S33" s="436"/>
      <c r="T33" s="436"/>
      <c r="U33" s="436"/>
      <c r="W33" s="178">
        <v>24.0</v>
      </c>
      <c r="X33" s="353"/>
      <c r="Y33" s="354">
        <f t="shared" si="1"/>
        <v>0</v>
      </c>
    </row>
    <row r="34" ht="15.0" customHeight="1">
      <c r="A34" s="503"/>
      <c r="B34" s="503"/>
      <c r="C34" s="503"/>
      <c r="D34" s="426" t="s">
        <v>484</v>
      </c>
      <c r="E34" s="426" t="s">
        <v>233</v>
      </c>
      <c r="F34" s="426" t="s">
        <v>31</v>
      </c>
      <c r="G34" s="459" t="s">
        <v>421</v>
      </c>
      <c r="H34" s="459" t="s">
        <v>277</v>
      </c>
      <c r="I34" s="459" t="s">
        <v>48</v>
      </c>
      <c r="J34" s="436" t="s">
        <v>407</v>
      </c>
      <c r="K34" s="436" t="s">
        <v>439</v>
      </c>
      <c r="L34" s="436" t="s">
        <v>375</v>
      </c>
      <c r="M34" s="437" t="s">
        <v>144</v>
      </c>
      <c r="N34" s="437" t="s">
        <v>149</v>
      </c>
      <c r="O34" s="437" t="s">
        <v>48</v>
      </c>
      <c r="P34" s="433" t="s">
        <v>93</v>
      </c>
      <c r="Q34" s="511" t="s">
        <v>51</v>
      </c>
      <c r="R34" s="440" t="s">
        <v>48</v>
      </c>
      <c r="S34" s="437" t="s">
        <v>148</v>
      </c>
      <c r="T34" s="437" t="s">
        <v>149</v>
      </c>
      <c r="U34" s="510" t="s">
        <v>107</v>
      </c>
      <c r="W34" s="178">
        <v>25.0</v>
      </c>
      <c r="X34" s="353"/>
      <c r="Y34" s="354">
        <f t="shared" si="1"/>
        <v>0</v>
      </c>
    </row>
    <row r="35" ht="15.75" customHeight="1">
      <c r="A35" s="503"/>
      <c r="B35" s="503"/>
      <c r="C35" s="503"/>
      <c r="D35" s="428"/>
      <c r="E35" s="428"/>
      <c r="F35" s="428"/>
      <c r="G35" s="503"/>
      <c r="H35" s="503"/>
      <c r="I35" s="503"/>
      <c r="J35" s="503"/>
      <c r="K35" s="503"/>
      <c r="L35" s="503"/>
      <c r="M35" s="436"/>
      <c r="N35" s="436"/>
      <c r="O35" s="436"/>
      <c r="P35" s="433"/>
      <c r="Q35" s="511"/>
      <c r="R35" s="440"/>
      <c r="S35" s="427"/>
      <c r="T35" s="427"/>
      <c r="U35" s="428"/>
      <c r="W35" s="178">
        <v>26.0</v>
      </c>
      <c r="X35" s="353"/>
      <c r="Y35" s="354">
        <f t="shared" si="1"/>
        <v>0</v>
      </c>
    </row>
    <row r="36" ht="14.25" customHeight="1">
      <c r="A36" s="428"/>
      <c r="B36" s="428"/>
      <c r="C36" s="428"/>
      <c r="D36" s="428"/>
      <c r="E36" s="428"/>
      <c r="F36" s="428"/>
      <c r="G36" s="428"/>
      <c r="H36" s="428"/>
      <c r="I36" s="428"/>
      <c r="J36" s="428"/>
      <c r="K36" s="428"/>
      <c r="L36" s="428"/>
      <c r="M36" s="427"/>
      <c r="N36" s="427"/>
      <c r="O36" s="444"/>
      <c r="P36" s="428"/>
      <c r="Q36" s="428"/>
      <c r="R36" s="428"/>
      <c r="S36" s="428"/>
      <c r="T36" s="428"/>
      <c r="U36" s="428"/>
      <c r="W36" s="178">
        <v>27.0</v>
      </c>
      <c r="X36" s="353"/>
      <c r="Y36" s="354">
        <f t="shared" si="1"/>
        <v>0</v>
      </c>
    </row>
    <row r="37" ht="15.75" customHeight="1">
      <c r="A37" s="500" t="s">
        <v>115</v>
      </c>
      <c r="B37" s="417"/>
      <c r="C37" s="418"/>
      <c r="D37" s="500" t="s">
        <v>8</v>
      </c>
      <c r="E37" s="417"/>
      <c r="F37" s="418"/>
      <c r="G37" s="500" t="s">
        <v>116</v>
      </c>
      <c r="H37" s="417"/>
      <c r="I37" s="418"/>
      <c r="J37" s="500" t="s">
        <v>10</v>
      </c>
      <c r="K37" s="417"/>
      <c r="L37" s="418"/>
      <c r="M37" s="500"/>
      <c r="N37" s="417"/>
      <c r="O37" s="418"/>
      <c r="P37" s="500"/>
      <c r="Q37" s="417"/>
      <c r="R37" s="418"/>
      <c r="S37" s="523"/>
      <c r="T37" s="417"/>
      <c r="U37" s="418"/>
      <c r="W37" s="178">
        <v>28.0</v>
      </c>
      <c r="X37" s="353"/>
      <c r="Y37" s="354">
        <f t="shared" si="1"/>
        <v>0</v>
      </c>
    </row>
    <row r="38" ht="15.75" customHeight="1">
      <c r="A38" s="501">
        <f>S30+1</f>
        <v>45866</v>
      </c>
      <c r="B38" s="417"/>
      <c r="C38" s="418"/>
      <c r="D38" s="501">
        <f>A38+1</f>
        <v>45867</v>
      </c>
      <c r="E38" s="417"/>
      <c r="F38" s="418"/>
      <c r="G38" s="501">
        <f>D38+1</f>
        <v>45868</v>
      </c>
      <c r="H38" s="417"/>
      <c r="I38" s="418"/>
      <c r="J38" s="501">
        <f>G38+1</f>
        <v>45869</v>
      </c>
      <c r="K38" s="417"/>
      <c r="L38" s="418"/>
      <c r="M38" s="501"/>
      <c r="N38" s="417"/>
      <c r="O38" s="418"/>
      <c r="P38" s="501"/>
      <c r="Q38" s="417"/>
      <c r="R38" s="418"/>
      <c r="S38" s="524"/>
      <c r="T38" s="417"/>
      <c r="U38" s="418"/>
      <c r="W38" s="178">
        <v>29.0</v>
      </c>
      <c r="X38" s="353"/>
      <c r="Y38" s="354">
        <f t="shared" si="1"/>
        <v>0</v>
      </c>
    </row>
    <row r="39" ht="15.75" customHeight="1">
      <c r="A39" s="427"/>
      <c r="B39" s="427"/>
      <c r="C39" s="428"/>
      <c r="D39" s="503"/>
      <c r="E39" s="503"/>
      <c r="F39" s="503"/>
      <c r="G39" s="427"/>
      <c r="H39" s="427"/>
      <c r="I39" s="428"/>
      <c r="J39" s="503"/>
      <c r="K39" s="503"/>
      <c r="L39" s="503"/>
      <c r="M39" s="436"/>
      <c r="N39" s="526"/>
      <c r="O39" s="435"/>
      <c r="P39" s="503"/>
      <c r="Q39" s="503"/>
      <c r="R39" s="503"/>
      <c r="S39" s="503"/>
      <c r="T39" s="503"/>
      <c r="U39" s="503"/>
    </row>
    <row r="40" ht="15.75" customHeight="1">
      <c r="A40" s="533"/>
      <c r="B40" s="533"/>
      <c r="C40" s="435"/>
      <c r="D40" s="436"/>
      <c r="E40" s="435"/>
      <c r="F40" s="435"/>
      <c r="G40" s="427"/>
      <c r="H40" s="427"/>
      <c r="I40" s="428"/>
      <c r="J40" s="503"/>
      <c r="K40" s="503"/>
      <c r="L40" s="503"/>
      <c r="M40" s="436"/>
      <c r="N40" s="436"/>
      <c r="O40" s="435"/>
      <c r="P40" s="503"/>
      <c r="Q40" s="503"/>
      <c r="R40" s="503"/>
      <c r="S40" s="503"/>
      <c r="T40" s="503"/>
      <c r="U40" s="503"/>
    </row>
    <row r="41" ht="15.75" customHeight="1">
      <c r="A41" s="534" t="s">
        <v>19</v>
      </c>
      <c r="B41" s="508" t="s">
        <v>51</v>
      </c>
      <c r="C41" s="508" t="s">
        <v>48</v>
      </c>
      <c r="D41" s="433"/>
      <c r="E41" s="433"/>
      <c r="F41" s="433"/>
      <c r="G41" s="427"/>
      <c r="H41" s="427"/>
      <c r="I41" s="428"/>
      <c r="J41" s="503"/>
      <c r="K41" s="503"/>
      <c r="L41" s="503"/>
      <c r="M41" s="427"/>
      <c r="N41" s="427"/>
      <c r="O41" s="428"/>
      <c r="P41" s="433"/>
      <c r="Q41" s="433"/>
      <c r="R41" s="433"/>
      <c r="S41" s="433"/>
      <c r="T41" s="433"/>
      <c r="U41" s="433"/>
    </row>
    <row r="42" ht="15.75" customHeight="1">
      <c r="A42" s="510"/>
      <c r="B42" s="428"/>
      <c r="C42" s="428"/>
      <c r="D42" s="426"/>
      <c r="E42" s="426"/>
      <c r="F42" s="426"/>
      <c r="G42" s="427"/>
      <c r="H42" s="427"/>
      <c r="I42" s="428"/>
      <c r="J42" s="503"/>
      <c r="K42" s="503"/>
      <c r="L42" s="503"/>
      <c r="M42" s="508"/>
      <c r="N42" s="508"/>
      <c r="O42" s="508"/>
      <c r="P42" s="433"/>
      <c r="Q42" s="511"/>
      <c r="R42" s="440"/>
      <c r="S42" s="433"/>
      <c r="T42" s="511"/>
      <c r="U42" s="440"/>
    </row>
    <row r="43" ht="15.75" customHeight="1">
      <c r="A43" s="427"/>
      <c r="B43" s="427"/>
      <c r="C43" s="428"/>
      <c r="D43" s="428"/>
      <c r="E43" s="428"/>
      <c r="F43" s="428"/>
      <c r="G43" s="428"/>
      <c r="H43" s="428"/>
      <c r="I43" s="428"/>
      <c r="J43" s="503"/>
      <c r="K43" s="503"/>
      <c r="L43" s="503"/>
      <c r="M43" s="436"/>
      <c r="N43" s="436"/>
      <c r="O43" s="436"/>
      <c r="P43" s="433"/>
      <c r="Q43" s="511"/>
      <c r="R43" s="440"/>
      <c r="S43" s="433"/>
      <c r="T43" s="511"/>
      <c r="U43" s="440"/>
    </row>
    <row r="44" ht="15.75" customHeight="1">
      <c r="A44" s="427"/>
      <c r="B44" s="427"/>
      <c r="C44" s="444"/>
      <c r="D44" s="428"/>
      <c r="E44" s="428"/>
      <c r="F44" s="428"/>
      <c r="G44" s="427"/>
      <c r="H44" s="427"/>
      <c r="I44" s="444"/>
      <c r="J44" s="503"/>
      <c r="K44" s="503"/>
      <c r="L44" s="503"/>
      <c r="M44" s="427"/>
      <c r="N44" s="427"/>
      <c r="O44" s="444"/>
      <c r="P44" s="428"/>
      <c r="Q44" s="428"/>
      <c r="R44" s="428"/>
      <c r="S44" s="428"/>
      <c r="T44" s="428"/>
      <c r="U44" s="428"/>
    </row>
    <row r="45" ht="15.75" customHeight="1">
      <c r="A45" s="512"/>
      <c r="B45" s="417"/>
      <c r="C45" s="418"/>
      <c r="D45" s="512"/>
      <c r="E45" s="417"/>
      <c r="F45" s="418"/>
      <c r="G45" s="512"/>
      <c r="H45" s="417"/>
      <c r="I45" s="418"/>
      <c r="J45" s="512"/>
      <c r="K45" s="417"/>
      <c r="L45" s="418"/>
      <c r="M45" s="512"/>
      <c r="N45" s="417"/>
      <c r="O45" s="418"/>
      <c r="P45" s="512"/>
      <c r="Q45" s="417"/>
      <c r="R45" s="418"/>
      <c r="S45" s="513"/>
      <c r="T45" s="417"/>
      <c r="U45" s="418"/>
    </row>
    <row r="46" ht="15.75" customHeight="1">
      <c r="A46" s="515"/>
      <c r="B46" s="417"/>
      <c r="C46" s="418"/>
      <c r="D46" s="514"/>
      <c r="E46" s="417"/>
      <c r="F46" s="418"/>
      <c r="G46" s="514"/>
      <c r="H46" s="417"/>
      <c r="I46" s="418"/>
      <c r="J46" s="514"/>
      <c r="K46" s="417"/>
      <c r="L46" s="418"/>
      <c r="M46" s="514"/>
      <c r="N46" s="417"/>
      <c r="O46" s="418"/>
      <c r="P46" s="514"/>
      <c r="Q46" s="417"/>
      <c r="R46" s="418"/>
      <c r="S46" s="515"/>
      <c r="T46" s="417"/>
      <c r="U46" s="418"/>
    </row>
    <row r="47" ht="15.75" customHeight="1">
      <c r="A47" s="503"/>
      <c r="B47" s="503"/>
      <c r="C47" s="503"/>
      <c r="D47" s="427"/>
      <c r="E47" s="427"/>
      <c r="F47" s="427"/>
      <c r="G47" s="427"/>
      <c r="H47" s="427"/>
      <c r="I47" s="428"/>
      <c r="J47" s="427"/>
      <c r="K47" s="427"/>
      <c r="L47" s="427"/>
      <c r="M47" s="427"/>
      <c r="N47" s="427"/>
      <c r="O47" s="427"/>
      <c r="P47" s="503"/>
      <c r="Q47" s="503"/>
      <c r="R47" s="503"/>
      <c r="S47" s="427"/>
      <c r="T47" s="427"/>
      <c r="U47" s="427"/>
    </row>
    <row r="48" ht="15.75" customHeight="1">
      <c r="A48" s="427"/>
      <c r="B48" s="427"/>
      <c r="C48" s="427"/>
      <c r="D48" s="427"/>
      <c r="E48" s="427"/>
      <c r="F48" s="427"/>
      <c r="G48" s="427"/>
      <c r="H48" s="427"/>
      <c r="I48" s="428"/>
      <c r="J48" s="427"/>
      <c r="K48" s="427"/>
      <c r="L48" s="427"/>
      <c r="M48" s="427"/>
      <c r="N48" s="427"/>
      <c r="O48" s="427"/>
      <c r="P48" s="503"/>
      <c r="Q48" s="503"/>
      <c r="R48" s="503"/>
      <c r="S48" s="427"/>
      <c r="T48" s="427"/>
      <c r="U48" s="427"/>
    </row>
    <row r="49" ht="15.75" customHeight="1">
      <c r="A49" s="436"/>
      <c r="B49" s="435"/>
      <c r="C49" s="435"/>
      <c r="D49" s="427"/>
      <c r="E49" s="427"/>
      <c r="F49" s="427"/>
      <c r="G49" s="427"/>
      <c r="H49" s="427"/>
      <c r="I49" s="427"/>
      <c r="J49" s="436"/>
      <c r="K49" s="435"/>
      <c r="L49" s="427"/>
      <c r="M49" s="428"/>
      <c r="N49" s="428"/>
      <c r="O49" s="428"/>
      <c r="P49" s="503"/>
      <c r="Q49" s="503"/>
      <c r="R49" s="503"/>
      <c r="S49" s="428"/>
      <c r="T49" s="428"/>
      <c r="U49" s="428"/>
    </row>
    <row r="50" ht="15.75" customHeight="1">
      <c r="A50" s="510"/>
      <c r="B50" s="510"/>
      <c r="C50" s="510"/>
      <c r="D50" s="443"/>
      <c r="E50" s="443"/>
      <c r="F50" s="443"/>
      <c r="G50" s="507"/>
      <c r="H50" s="507"/>
      <c r="I50" s="507"/>
      <c r="J50" s="427"/>
      <c r="K50" s="427"/>
      <c r="L50" s="427"/>
      <c r="M50" s="427"/>
      <c r="N50" s="427"/>
      <c r="O50" s="427"/>
      <c r="P50" s="507"/>
      <c r="Q50" s="506"/>
      <c r="R50" s="428"/>
      <c r="S50" s="427"/>
      <c r="T50" s="427"/>
      <c r="U50" s="427"/>
    </row>
    <row r="51" ht="15.75" customHeight="1">
      <c r="A51" s="428"/>
      <c r="B51" s="428"/>
      <c r="C51" s="428"/>
      <c r="D51" s="534"/>
      <c r="E51" s="508"/>
      <c r="F51" s="508"/>
      <c r="G51" s="428"/>
      <c r="H51" s="428"/>
      <c r="I51" s="428"/>
      <c r="J51" s="428"/>
      <c r="K51" s="428"/>
      <c r="L51" s="535"/>
      <c r="M51" s="428"/>
      <c r="N51" s="428"/>
      <c r="O51" s="535"/>
      <c r="P51" s="443"/>
      <c r="Q51" s="443"/>
      <c r="R51" s="443"/>
      <c r="S51" s="428"/>
      <c r="T51" s="428"/>
      <c r="U51" s="535"/>
    </row>
    <row r="52" ht="15.75" customHeight="1">
      <c r="A52" s="428"/>
      <c r="B52" s="428"/>
      <c r="C52" s="428"/>
      <c r="D52" s="427"/>
      <c r="E52" s="427"/>
      <c r="F52" s="427"/>
      <c r="G52" s="427"/>
      <c r="H52" s="427"/>
      <c r="I52" s="444"/>
      <c r="J52" s="427"/>
      <c r="K52" s="427"/>
      <c r="L52" s="427"/>
      <c r="M52" s="427"/>
      <c r="N52" s="427"/>
      <c r="O52" s="427"/>
      <c r="P52" s="428"/>
      <c r="Q52" s="428"/>
      <c r="R52" s="428"/>
      <c r="S52" s="427"/>
      <c r="T52" s="427"/>
      <c r="U52" s="427"/>
    </row>
    <row r="53" ht="15.75" customHeight="1"/>
    <row r="54" ht="15.75" customHeight="1"/>
    <row r="55" ht="15.75" customHeight="1">
      <c r="A55" s="82" t="s">
        <v>72</v>
      </c>
      <c r="B55" s="83"/>
    </row>
    <row r="56" ht="15.75" customHeight="1">
      <c r="A56" s="84"/>
      <c r="B56" s="85" t="s">
        <v>73</v>
      </c>
      <c r="C56" s="86"/>
      <c r="D56" s="87"/>
    </row>
    <row r="57" ht="15.75" customHeight="1">
      <c r="A57" s="91"/>
      <c r="B57" s="85" t="s">
        <v>74</v>
      </c>
      <c r="C57" s="86"/>
    </row>
    <row r="58" ht="15.75" customHeight="1">
      <c r="A58" s="94"/>
      <c r="B58" s="85" t="s">
        <v>75</v>
      </c>
      <c r="C58" s="86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/>
  <pageMargins bottom="0.15" footer="0.0" header="0.0" left="0.46" right="0.34" top="0.28"/>
  <pageSetup fitToHeight="0" paperSize="11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2021-03-25T16:44:31Z</dcterms:created>
  <dc:creator>compaq</dc:creator>
</cp:coreProperties>
</file>