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KBAR R" sheetId="1" r:id="rId4"/>
    <sheet state="visible" name="ANAM" sheetId="2" r:id="rId5"/>
    <sheet state="visible" name="ABU S" sheetId="3" r:id="rId6"/>
    <sheet state="visible" name="ADAM" sheetId="4" r:id="rId7"/>
    <sheet state="visible" name="MAHRUS" sheetId="5" r:id="rId8"/>
    <sheet state="visible" name="ALMAS" sheetId="6" r:id="rId9"/>
    <sheet state="visible" name="ANDIK" sheetId="7" r:id="rId10"/>
    <sheet state="visible" name="LUCKY" sheetId="8" r:id="rId11"/>
    <sheet state="visible" name="MAULANA" sheetId="9" r:id="rId12"/>
    <sheet state="visible" name="IWAN" sheetId="10" r:id="rId13"/>
    <sheet state="visible" name="FATHUR" sheetId="11" r:id="rId14"/>
    <sheet state="visible" name="IMAM" sheetId="12" r:id="rId15"/>
    <sheet state="visible" name="RENDY" sheetId="13" r:id="rId16"/>
    <sheet state="visible" name="ARGA" sheetId="14" r:id="rId17"/>
    <sheet state="visible" name="MARIL" sheetId="15" r:id="rId18"/>
    <sheet state="visible" name="RIFQY" sheetId="16" r:id="rId19"/>
    <sheet state="visible" name="PM JOGJA " sheetId="17" r:id="rId20"/>
    <sheet state="visible" name="PM SOLO BARU" sheetId="18" r:id="rId21"/>
    <sheet state="visible" name="GILANG" sheetId="19" r:id="rId22"/>
    <sheet state="visible" name="CEKLIS SPT" sheetId="20" r:id="rId23"/>
    <sheet state="visible" name="Jadwal Mobil" sheetId="21" r:id="rId24"/>
  </sheets>
  <definedNames>
    <definedName hidden="1" localSheetId="0" name="_xlnm._FilterDatabase">'AKBAR R'!$W$9:$Y$44</definedName>
    <definedName hidden="1" localSheetId="1" name="_xlnm._FilterDatabase">ANAM!$W$14:$Y$45</definedName>
    <definedName hidden="1" localSheetId="4" name="_xlnm._FilterDatabase">MAHRUS!$W$9:$Y$35</definedName>
    <definedName hidden="1" localSheetId="5" name="_xlnm._FilterDatabase">ALMAS!$W$6:$Y$33</definedName>
    <definedName hidden="1" localSheetId="6" name="_xlnm._FilterDatabase">ANDIK!$W$13:$Y$41</definedName>
  </definedNames>
  <calcPr/>
  <extLst>
    <ext uri="GoogleSheetsCustomDataVersion2">
      <go:sheetsCustomData xmlns:go="http://customooxmlschemas.google.com/" r:id="rId25" roundtripDataChecksum="eZCzp+9bwOYTsqM11BJ6osmlIj8BfD+4VWP04ga07k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48">
      <text>
        <t xml:space="preserve">======
ID#AAAB1mOSELI
Quality Control    (2026-03-11 04:11:20)
permintaan support</t>
      </text>
    </comment>
    <comment authorId="0" ref="A37">
      <text>
        <t xml:space="preserve">======
ID#AAAB1U-Gamg
Quality Control    (2026-03-04 05:59:52)
kalo gabisa pindah ke 31 mar tukar shell margo</t>
      </text>
    </comment>
  </commentList>
  <extLst>
    <ext uri="GoogleSheetsCustomDataVersion2">
      <go:sheetsCustomData xmlns:go="http://customooxmlschemas.google.com/" r:id="rId1" roundtripDataSignature="AMtx7mgcJ4w2oAXwLtGSlxB9V6O93+XgPQ=="/>
    </ext>
  </extLst>
</comments>
</file>

<file path=xl/sharedStrings.xml><?xml version="1.0" encoding="utf-8"?>
<sst xmlns="http://schemas.openxmlformats.org/spreadsheetml/2006/main" count="4482" uniqueCount="533">
  <si>
    <t>: AKBAR</t>
  </si>
  <si>
    <t>JADWAL TEKNISI BULAN MARET 2026</t>
  </si>
  <si>
    <t>SUPERVISOR</t>
  </si>
  <si>
    <t>: IDRIS</t>
  </si>
  <si>
    <t>TOTAL KUNJUNGAN</t>
  </si>
  <si>
    <t>JAM EFEKTIF</t>
  </si>
  <si>
    <t>SENIN</t>
  </si>
  <si>
    <t>SELASA</t>
  </si>
  <si>
    <t>RABU</t>
  </si>
  <si>
    <t>KAMIS</t>
  </si>
  <si>
    <t>JUMAT</t>
  </si>
  <si>
    <t>SABTU</t>
  </si>
  <si>
    <t>MINGGU</t>
  </si>
  <si>
    <t>OFF</t>
  </si>
  <si>
    <t>No</t>
  </si>
  <si>
    <t>Client</t>
  </si>
  <si>
    <t>Kunjungan</t>
  </si>
  <si>
    <t>88 KDS</t>
  </si>
  <si>
    <t>AADK ARH</t>
  </si>
  <si>
    <t>AADK WIY</t>
  </si>
  <si>
    <t>ASIA CROFFLE</t>
  </si>
  <si>
    <t>ASINAN PTC</t>
  </si>
  <si>
    <t>BENHILL</t>
  </si>
  <si>
    <t>P. DANIEL</t>
  </si>
  <si>
    <t>PRC</t>
  </si>
  <si>
    <t>10.00-13.00</t>
  </si>
  <si>
    <t>21.00-22.00</t>
  </si>
  <si>
    <t>PC</t>
  </si>
  <si>
    <t>PAK.YANS</t>
  </si>
  <si>
    <t>14.00-15.00</t>
  </si>
  <si>
    <t>CV.DESEMBER</t>
  </si>
  <si>
    <t>13.00-16.00</t>
  </si>
  <si>
    <t>BRAVO M</t>
  </si>
  <si>
    <t>09.00-10.00</t>
  </si>
  <si>
    <t>LAMORA</t>
  </si>
  <si>
    <t>13.00-15.00</t>
  </si>
  <si>
    <t>GT</t>
  </si>
  <si>
    <t>SHELL MAST</t>
  </si>
  <si>
    <t>23.00-00.00</t>
  </si>
  <si>
    <t>BUKBER</t>
  </si>
  <si>
    <t>16.00-19.00</t>
  </si>
  <si>
    <t>BU.MARIA</t>
  </si>
  <si>
    <t>RC</t>
  </si>
  <si>
    <t>BU CYNTHIA</t>
  </si>
  <si>
    <t>01.30-03.00</t>
  </si>
  <si>
    <t>CV.DMM</t>
  </si>
  <si>
    <t>GLORIA GP</t>
  </si>
  <si>
    <t>23.00-02.00</t>
  </si>
  <si>
    <t>S-OUT</t>
  </si>
  <si>
    <t>23.00-00.30</t>
  </si>
  <si>
    <t xml:space="preserve"> </t>
  </si>
  <si>
    <t>GF. SUKO</t>
  </si>
  <si>
    <t>IMPERIAL CHEF</t>
  </si>
  <si>
    <t>G.KUPANG</t>
  </si>
  <si>
    <t>G.LOGISTIK YPK</t>
  </si>
  <si>
    <t>G.PACAR</t>
  </si>
  <si>
    <t>DAPUR RT</t>
  </si>
  <si>
    <t>11.00-12.00</t>
  </si>
  <si>
    <t>08.00-10.00</t>
  </si>
  <si>
    <t>10.00-11.00</t>
  </si>
  <si>
    <t>08.00-09.00</t>
  </si>
  <si>
    <t>G.SUKO</t>
  </si>
  <si>
    <t>SAGA DAR</t>
  </si>
  <si>
    <t>TANG KITCHEN</t>
  </si>
  <si>
    <t>12.00-13.00</t>
  </si>
  <si>
    <t>HAVANA M</t>
  </si>
  <si>
    <t>22.30-23.30</t>
  </si>
  <si>
    <t>BU ASTRID</t>
  </si>
  <si>
    <t>OFFICE SNC</t>
  </si>
  <si>
    <t>CUTI</t>
  </si>
  <si>
    <t>24.00-01.30</t>
  </si>
  <si>
    <t>SPA</t>
  </si>
  <si>
    <t>12.30-13.30</t>
  </si>
  <si>
    <t>16.00-17.00</t>
  </si>
  <si>
    <t>IJIN</t>
  </si>
  <si>
    <t>10.00-12.00</t>
  </si>
  <si>
    <t>Keterangan:</t>
  </si>
  <si>
    <t>: END</t>
  </si>
  <si>
    <t>: HOLD</t>
  </si>
  <si>
    <t>: NEW</t>
  </si>
  <si>
    <t>: RENEWAL</t>
  </si>
  <si>
    <t>: CHOIRUL ANAM</t>
  </si>
  <si>
    <t>IDRIS</t>
  </si>
  <si>
    <t xml:space="preserve">: </t>
  </si>
  <si>
    <t>CEK JADWAL</t>
  </si>
  <si>
    <t xml:space="preserve">JUMAT </t>
  </si>
  <si>
    <t xml:space="preserve">SABTU </t>
  </si>
  <si>
    <t>A. PLASTIK 52</t>
  </si>
  <si>
    <t>08.30-10.30</t>
  </si>
  <si>
    <t>WIENA CATERING</t>
  </si>
  <si>
    <t>CV.MANNA SDA</t>
  </si>
  <si>
    <t>DOSIDO</t>
  </si>
  <si>
    <t>A. PLASTIK 27</t>
  </si>
  <si>
    <t>11.00-12.30</t>
  </si>
  <si>
    <t>CV.KASABA</t>
  </si>
  <si>
    <t>13.00-14.00</t>
  </si>
  <si>
    <t>CENTIMETER</t>
  </si>
  <si>
    <t>P.STEVEN G</t>
  </si>
  <si>
    <t>PT.HCI</t>
  </si>
  <si>
    <t>PRAMITA</t>
  </si>
  <si>
    <t>DOPAMINE</t>
  </si>
  <si>
    <t>AADK</t>
  </si>
  <si>
    <t>BENHIL SDA</t>
  </si>
  <si>
    <t>15.00-16.00</t>
  </si>
  <si>
    <t>GKI</t>
  </si>
  <si>
    <t>13.30-15.30</t>
  </si>
  <si>
    <t xml:space="preserve">ICHIKAWA </t>
  </si>
  <si>
    <t>ANEKA JASUMA</t>
  </si>
  <si>
    <t>SHUYI GM</t>
  </si>
  <si>
    <t>SAISHO GWLAK</t>
  </si>
  <si>
    <t>21:30-22:30</t>
  </si>
  <si>
    <t>22.00-23.00</t>
  </si>
  <si>
    <t>3 RASA</t>
  </si>
  <si>
    <t>18.00-20.00</t>
  </si>
  <si>
    <t>Note Ita</t>
  </si>
  <si>
    <t>DEMAND JS</t>
  </si>
  <si>
    <t>21.15-22.15</t>
  </si>
  <si>
    <t>SUPP</t>
  </si>
  <si>
    <t xml:space="preserve">SENIN </t>
  </si>
  <si>
    <t xml:space="preserve">RABU </t>
  </si>
  <si>
    <t xml:space="preserve">MINGGU </t>
  </si>
  <si>
    <t>CENTRAL AUTO P</t>
  </si>
  <si>
    <t>PAK ROBERT</t>
  </si>
  <si>
    <t>P.HENDRIK</t>
  </si>
  <si>
    <t>11.00-12.02</t>
  </si>
  <si>
    <t>ISTANA D</t>
  </si>
  <si>
    <t>DAYS SBY</t>
  </si>
  <si>
    <t xml:space="preserve">SPBU </t>
  </si>
  <si>
    <t>SHELL WS</t>
  </si>
  <si>
    <t>HAVANA SDA</t>
  </si>
  <si>
    <t>PT.CASA UTAMA</t>
  </si>
  <si>
    <t>16.30-18.00</t>
  </si>
  <si>
    <t>21.30-22.30</t>
  </si>
  <si>
    <t>23.30-00.30</t>
  </si>
  <si>
    <t>SHUYI CWS</t>
  </si>
  <si>
    <t>ICHIKAWA</t>
  </si>
  <si>
    <t>JUM'AT</t>
  </si>
  <si>
    <t>SPBU</t>
  </si>
  <si>
    <t>21.00-22.30</t>
  </si>
  <si>
    <t xml:space="preserve">SOTO SADI </t>
  </si>
  <si>
    <t>13.30-14.30</t>
  </si>
  <si>
    <t>TEKNISI</t>
  </si>
  <si>
    <t>ABU SAMSUDIN</t>
  </si>
  <si>
    <t xml:space="preserve">IDRIS </t>
  </si>
  <si>
    <t xml:space="preserve"> ING</t>
  </si>
  <si>
    <t>Mr.LEE</t>
  </si>
  <si>
    <t>JOY LEARNING</t>
  </si>
  <si>
    <t>LUMINOR SDA</t>
  </si>
  <si>
    <t>12.00-16.00</t>
  </si>
  <si>
    <t>DRAGON HP TP</t>
  </si>
  <si>
    <t>TANA TI</t>
  </si>
  <si>
    <t>LUMINOR JS</t>
  </si>
  <si>
    <t>22.00-01.00</t>
  </si>
  <si>
    <t>PAK.ALEX</t>
  </si>
  <si>
    <t>PAK.MARIO</t>
  </si>
  <si>
    <t>10.00-14.00</t>
  </si>
  <si>
    <t>ACAII TP</t>
  </si>
  <si>
    <t>HARIS MOBIL</t>
  </si>
  <si>
    <t>FEEL MATCHA TP</t>
  </si>
  <si>
    <t>AYAM BERKAT</t>
  </si>
  <si>
    <t>16.30-19.00</t>
  </si>
  <si>
    <t>STEAK WITH U</t>
  </si>
  <si>
    <t>GTR</t>
  </si>
  <si>
    <t xml:space="preserve">      </t>
  </si>
  <si>
    <t>: ADAM</t>
  </si>
  <si>
    <t>TONG TJIE PTC</t>
  </si>
  <si>
    <t>CIKAL</t>
  </si>
  <si>
    <t>MOOS CAFE</t>
  </si>
  <si>
    <t>BAGI KOPI</t>
  </si>
  <si>
    <t>AIO</t>
  </si>
  <si>
    <t>88 EK</t>
  </si>
  <si>
    <t>07.00-08.00</t>
  </si>
  <si>
    <t>OFFICE HCI</t>
  </si>
  <si>
    <t>KAWAN SEDUH</t>
  </si>
  <si>
    <t xml:space="preserve"> RC</t>
  </si>
  <si>
    <t>15.00-19.00</t>
  </si>
  <si>
    <t>TAEYUNGSUNG</t>
  </si>
  <si>
    <t>PAK GERALD</t>
  </si>
  <si>
    <t>TONG JI SILOAM</t>
  </si>
  <si>
    <t>DAYS DH</t>
  </si>
  <si>
    <t>AHYAT</t>
  </si>
  <si>
    <t>16.00-18.00</t>
  </si>
  <si>
    <t>PHOBABA GM</t>
  </si>
  <si>
    <t>22.00-24.00</t>
  </si>
  <si>
    <t>24.00-03.00</t>
  </si>
  <si>
    <t>COMMOND G</t>
  </si>
  <si>
    <t>21.30-23.00</t>
  </si>
  <si>
    <t>OKINAWA PM</t>
  </si>
  <si>
    <t>ASINAN GM</t>
  </si>
  <si>
    <t xml:space="preserve">PAK DANIEL </t>
  </si>
  <si>
    <t>BU.JOCELIN</t>
  </si>
  <si>
    <t>06.30-08.00</t>
  </si>
  <si>
    <t>BU PANGESTU</t>
  </si>
  <si>
    <t>BU LIE ING</t>
  </si>
  <si>
    <t>BU.LILY</t>
  </si>
  <si>
    <t>DERM BEAUTY</t>
  </si>
  <si>
    <t>GOODFELLAS K</t>
  </si>
  <si>
    <t>PAK REGGY</t>
  </si>
  <si>
    <t>DRAGON H P</t>
  </si>
  <si>
    <t>22.00-23.30</t>
  </si>
  <si>
    <t>PAK PETER</t>
  </si>
  <si>
    <t>SHELL VET</t>
  </si>
  <si>
    <t>18.30-20.30</t>
  </si>
  <si>
    <t>07.00-08.30</t>
  </si>
  <si>
    <t>BU LILI</t>
  </si>
  <si>
    <t xml:space="preserve">  </t>
  </si>
  <si>
    <t xml:space="preserve">   </t>
  </si>
  <si>
    <t>: MAHRUS</t>
  </si>
  <si>
    <t>JAM</t>
  </si>
  <si>
    <t>AMARIS EM</t>
  </si>
  <si>
    <t>B.GRACE</t>
  </si>
  <si>
    <t>BU.DIANA</t>
  </si>
  <si>
    <t>BU.LYLA</t>
  </si>
  <si>
    <t>CV KARINA</t>
  </si>
  <si>
    <t>BU.PUSPA</t>
  </si>
  <si>
    <t>WALLET</t>
  </si>
  <si>
    <t>XL MEDIA</t>
  </si>
  <si>
    <t>HIGA BOX</t>
  </si>
  <si>
    <t>KUWEH</t>
  </si>
  <si>
    <t>PT.SURYA T.L</t>
  </si>
  <si>
    <t>17.00-19.00</t>
  </si>
  <si>
    <t>DHDC</t>
  </si>
  <si>
    <t>PT.MING</t>
  </si>
  <si>
    <t>20.00-21.00</t>
  </si>
  <si>
    <t>HAVANA</t>
  </si>
  <si>
    <t>G. PAKUWON</t>
  </si>
  <si>
    <t>R M P</t>
  </si>
  <si>
    <t>20.00-23.00</t>
  </si>
  <si>
    <t>TOKO KOPI</t>
  </si>
  <si>
    <t>23.00-24.00</t>
  </si>
  <si>
    <t>24.00-02.00</t>
  </si>
  <si>
    <t>MEDICELLE</t>
  </si>
  <si>
    <t>19.00-22.00</t>
  </si>
  <si>
    <t>GYOPO PIZZA</t>
  </si>
  <si>
    <t>KOPI 3 AWANG</t>
  </si>
  <si>
    <t>KOPI 3 SAWAH</t>
  </si>
  <si>
    <t>SAISHO PEM</t>
  </si>
  <si>
    <t>14.00-18.00</t>
  </si>
  <si>
    <t>09.00-13.00</t>
  </si>
  <si>
    <t>KWANG T WAS</t>
  </si>
  <si>
    <t>20.45-22.00</t>
  </si>
  <si>
    <t>WARE.H TM</t>
  </si>
  <si>
    <t xml:space="preserve">       </t>
  </si>
  <si>
    <t>21.00-24.00</t>
  </si>
  <si>
    <t>PAK NIXON</t>
  </si>
  <si>
    <t>22.30-24.30</t>
  </si>
  <si>
    <t>08.30-09.30</t>
  </si>
  <si>
    <t>SHELL MER</t>
  </si>
  <si>
    <t>ket :</t>
  </si>
  <si>
    <t>XL media pindah bulan 1x</t>
  </si>
  <si>
    <t>Ming Hutang 3</t>
  </si>
  <si>
    <t>: ANANDA AS</t>
  </si>
  <si>
    <t xml:space="preserve"> JAM</t>
  </si>
  <si>
    <t>AADK BANDUNGAN</t>
  </si>
  <si>
    <t>AADK MUL</t>
  </si>
  <si>
    <t>AADK TELOGOMAS</t>
  </si>
  <si>
    <t>ACAII</t>
  </si>
  <si>
    <t>ASINAN TP</t>
  </si>
  <si>
    <t>BEATUS</t>
  </si>
  <si>
    <t xml:space="preserve">BU AMELIA </t>
  </si>
  <si>
    <t>CKP MEER</t>
  </si>
  <si>
    <t>GF KALUTA</t>
  </si>
  <si>
    <t>GF SUHAT</t>
  </si>
  <si>
    <t>PT.SMB</t>
  </si>
  <si>
    <t>08.00-12.00</t>
  </si>
  <si>
    <t>09.00-11.00</t>
  </si>
  <si>
    <t>RJS</t>
  </si>
  <si>
    <t>GRAHA CBA</t>
  </si>
  <si>
    <t xml:space="preserve">KAMI GOHAN </t>
  </si>
  <si>
    <t>16.00-17.30</t>
  </si>
  <si>
    <t>PASAR KITA</t>
  </si>
  <si>
    <t>STEPHANIE DH</t>
  </si>
  <si>
    <t>PT SEGAR</t>
  </si>
  <si>
    <t>12.30-14.00</t>
  </si>
  <si>
    <t>HACHIYA</t>
  </si>
  <si>
    <t>HAVANNA JS</t>
  </si>
  <si>
    <t>KYUKA R</t>
  </si>
  <si>
    <t>00.00-01.00</t>
  </si>
  <si>
    <t>KEDAI BUBU H</t>
  </si>
  <si>
    <t>BU EVA</t>
  </si>
  <si>
    <t>SHELL MARG</t>
  </si>
  <si>
    <t>TONG TJIE R</t>
  </si>
  <si>
    <t>TM GRAHA</t>
  </si>
  <si>
    <t>03.30-05.00</t>
  </si>
  <si>
    <t>21.00-23.00</t>
  </si>
  <si>
    <t>18.00-19.00</t>
  </si>
  <si>
    <t>: ANDIK</t>
  </si>
  <si>
    <t>ALURA</t>
  </si>
  <si>
    <t>88 EM</t>
  </si>
  <si>
    <t>11.00-14.00</t>
  </si>
  <si>
    <t>VOILA21</t>
  </si>
  <si>
    <t>VOILA ID</t>
  </si>
  <si>
    <t>VERT</t>
  </si>
  <si>
    <t>23.30-24.30</t>
  </si>
  <si>
    <t>BU ELLY</t>
  </si>
  <si>
    <t xml:space="preserve">PT HASKARA </t>
  </si>
  <si>
    <t>S-IN</t>
  </si>
  <si>
    <t>P.HENGKY</t>
  </si>
  <si>
    <t>PT.BISI MOJO</t>
  </si>
  <si>
    <t>BU FRANS</t>
  </si>
  <si>
    <t>BU RINI</t>
  </si>
  <si>
    <t>PT.BISI</t>
  </si>
  <si>
    <t>CV.MANNA</t>
  </si>
  <si>
    <t>TOKO KOPI JS</t>
  </si>
  <si>
    <t>22.30-24.00</t>
  </si>
  <si>
    <t>SUTRACO. B</t>
  </si>
  <si>
    <t>S. HANDOYO</t>
  </si>
  <si>
    <t>17.00-18.00</t>
  </si>
  <si>
    <t>SUJI PM</t>
  </si>
  <si>
    <t>HIGA AE</t>
  </si>
  <si>
    <t>HONEY POK</t>
  </si>
  <si>
    <t>07.30-09.00</t>
  </si>
  <si>
    <t>PAK HENDRA</t>
  </si>
  <si>
    <t>P.VICTOR</t>
  </si>
  <si>
    <t>BU SISCA</t>
  </si>
  <si>
    <t>12.00-15.00</t>
  </si>
  <si>
    <t>PAK WINANDA</t>
  </si>
  <si>
    <t>TANAMERA TRUN</t>
  </si>
  <si>
    <t>23.30-01.00</t>
  </si>
  <si>
    <t>SUTRACO. L</t>
  </si>
  <si>
    <t>VOILA.ID</t>
  </si>
  <si>
    <t>FERNANDO</t>
  </si>
  <si>
    <t>LUCKY</t>
  </si>
  <si>
    <t>B. YENY</t>
  </si>
  <si>
    <t>SANTIKA</t>
  </si>
  <si>
    <t>08.00-11.00</t>
  </si>
  <si>
    <t xml:space="preserve">TRISTAR </t>
  </si>
  <si>
    <t>BDG</t>
  </si>
  <si>
    <t>7 DERMAGA S</t>
  </si>
  <si>
    <t>PAK MECHAEL</t>
  </si>
  <si>
    <t>DUTA BAYU</t>
  </si>
  <si>
    <t>BU EDDY</t>
  </si>
  <si>
    <t>TTD</t>
  </si>
  <si>
    <t>PAK DANNY</t>
  </si>
  <si>
    <t>PAK GEORGE</t>
  </si>
  <si>
    <t xml:space="preserve">PAK EVAN </t>
  </si>
  <si>
    <t>PHOBABA PM</t>
  </si>
  <si>
    <t>XIO XIANG PTC</t>
  </si>
  <si>
    <t>21,00-22,00</t>
  </si>
  <si>
    <t>23.30-01.30</t>
  </si>
  <si>
    <t>CV. ANDALAN SK</t>
  </si>
  <si>
    <t>SON GA</t>
  </si>
  <si>
    <t>FEEL MATCHA WH</t>
  </si>
  <si>
    <t>HAVANA CIT</t>
  </si>
  <si>
    <t>P. STEVEN</t>
  </si>
  <si>
    <t>15.00-18.00</t>
  </si>
  <si>
    <t>P. WILLIAM</t>
  </si>
  <si>
    <t>PAK AWI</t>
  </si>
  <si>
    <t>22.15-23.15</t>
  </si>
  <si>
    <t>SAISHO PTC</t>
  </si>
  <si>
    <t>PAK WISNU</t>
  </si>
  <si>
    <t>ASR</t>
  </si>
  <si>
    <t>PAK HARIANTO</t>
  </si>
  <si>
    <t>02.00-04.00</t>
  </si>
  <si>
    <t>11.30-12.30</t>
  </si>
  <si>
    <t>MIST</t>
  </si>
  <si>
    <t>:MAULANA</t>
  </si>
  <si>
    <t>JADWAL TEKNISI MARET  2026</t>
  </si>
  <si>
    <t>:IDRIS</t>
  </si>
  <si>
    <t>BU VICA</t>
  </si>
  <si>
    <t xml:space="preserve">PAK HERI </t>
  </si>
  <si>
    <t>SPPG</t>
  </si>
  <si>
    <t>TONG JIE PCM</t>
  </si>
  <si>
    <t>BOBBIE BURGER</t>
  </si>
  <si>
    <t>INST</t>
  </si>
  <si>
    <t>KAWAI</t>
  </si>
  <si>
    <t>17.30-18.30</t>
  </si>
  <si>
    <t>Honey Pok TMR</t>
  </si>
  <si>
    <t>PHOBABA PCM</t>
  </si>
  <si>
    <r>
      <rPr>
        <rFont val="Times New Roman"/>
        <color theme="1"/>
      </rPr>
      <t xml:space="preserve">BUTTERMAN </t>
    </r>
    <r>
      <rPr>
        <rFont val="Times New Roman"/>
        <b/>
        <color theme="1"/>
      </rPr>
      <t>G</t>
    </r>
  </si>
  <si>
    <t>NAUNG GROUP</t>
  </si>
  <si>
    <t>KOPI 3 CIT</t>
  </si>
  <si>
    <t>HONEY POK CWS</t>
  </si>
  <si>
    <t>BAGI KOPI M</t>
  </si>
  <si>
    <r>
      <rPr>
        <rFont val="Times New Roman"/>
        <color theme="1"/>
      </rPr>
      <t xml:space="preserve">BUTTERMAN </t>
    </r>
    <r>
      <rPr>
        <rFont val="Times New Roman"/>
        <b/>
        <color theme="1"/>
      </rPr>
      <t>OT</t>
    </r>
  </si>
  <si>
    <t>ALBA</t>
  </si>
  <si>
    <t xml:space="preserve">PC </t>
  </si>
  <si>
    <t>02.00-03.00</t>
  </si>
  <si>
    <t>TONGJIE TP OP</t>
  </si>
  <si>
    <r>
      <rPr>
        <rFont val="Times New Roman"/>
        <color theme="1"/>
      </rPr>
      <t xml:space="preserve">BUTTERMAN </t>
    </r>
    <r>
      <rPr>
        <rFont val="Times New Roman"/>
        <b/>
        <color theme="1"/>
      </rPr>
      <t>OT</t>
    </r>
  </si>
  <si>
    <r>
      <rPr>
        <rFont val="Times New Roman"/>
        <color theme="1"/>
      </rPr>
      <t xml:space="preserve">TONGJIE TP </t>
    </r>
    <r>
      <rPr>
        <rFont val="Times New Roman"/>
        <b/>
        <color theme="1"/>
      </rPr>
      <t>OP</t>
    </r>
  </si>
  <si>
    <r>
      <rPr>
        <rFont val="Times New Roman"/>
        <color theme="1"/>
      </rPr>
      <t xml:space="preserve">BUTTERMAN </t>
    </r>
    <r>
      <rPr>
        <rFont val="Times New Roman"/>
        <b/>
        <color theme="1"/>
      </rPr>
      <t>G</t>
    </r>
  </si>
  <si>
    <r>
      <rPr>
        <rFont val="Times New Roman"/>
        <color theme="1"/>
      </rPr>
      <t xml:space="preserve">BUTTERMAN </t>
    </r>
    <r>
      <rPr>
        <rFont val="Times New Roman"/>
        <b/>
        <color theme="1"/>
      </rPr>
      <t>G</t>
    </r>
  </si>
  <si>
    <r>
      <rPr>
        <rFont val="Times New Roman"/>
        <color theme="1"/>
      </rPr>
      <t xml:space="preserve">TONGJIE TP </t>
    </r>
    <r>
      <rPr>
        <rFont val="Times New Roman"/>
        <b/>
        <color theme="1"/>
      </rPr>
      <t>OT</t>
    </r>
  </si>
  <si>
    <t>EURO CHAIR</t>
  </si>
  <si>
    <t>STEP KIDS</t>
  </si>
  <si>
    <t>15.00-16.30</t>
  </si>
  <si>
    <r>
      <rPr>
        <rFont val="Times New Roman"/>
        <color theme="1"/>
      </rPr>
      <t xml:space="preserve">BUTTERMAN </t>
    </r>
    <r>
      <rPr>
        <rFont val="Times New Roman"/>
        <b/>
        <color theme="1"/>
      </rPr>
      <t>OT</t>
    </r>
  </si>
  <si>
    <t xml:space="preserve">PELABUHAN </t>
  </si>
  <si>
    <r>
      <rPr>
        <rFont val="Times New Roman"/>
        <color theme="1"/>
      </rPr>
      <t xml:space="preserve">BUTTERMAN </t>
    </r>
    <r>
      <rPr>
        <rFont val="Times New Roman"/>
        <b/>
        <color theme="1"/>
      </rPr>
      <t>G</t>
    </r>
  </si>
  <si>
    <r>
      <rPr>
        <rFont val="Times New Roman"/>
        <color theme="1"/>
      </rPr>
      <t xml:space="preserve">BUTTERMAN </t>
    </r>
    <r>
      <rPr>
        <rFont val="Times New Roman"/>
        <b/>
        <color theme="1"/>
      </rPr>
      <t>OT</t>
    </r>
  </si>
  <si>
    <r>
      <rPr>
        <rFont val="Times New Roman"/>
        <color theme="1"/>
      </rPr>
      <t xml:space="preserve">BUTTERMAN </t>
    </r>
    <r>
      <rPr>
        <rFont val="Times New Roman"/>
        <b/>
        <color theme="1"/>
      </rPr>
      <t>G</t>
    </r>
  </si>
  <si>
    <t xml:space="preserve">    </t>
  </si>
  <si>
    <r>
      <rPr>
        <rFont val="Times New Roman"/>
        <color theme="1"/>
      </rPr>
      <t xml:space="preserve">TONGJIE TP </t>
    </r>
    <r>
      <rPr>
        <rFont val="Times New Roman"/>
        <b/>
        <color theme="1"/>
      </rPr>
      <t>OP</t>
    </r>
  </si>
  <si>
    <r>
      <rPr>
        <rFont val="Times New Roman"/>
        <color theme="1"/>
      </rPr>
      <t xml:space="preserve">TONGJIE TP </t>
    </r>
    <r>
      <rPr>
        <rFont val="Times New Roman"/>
        <b/>
        <color theme="1"/>
      </rPr>
      <t>OT</t>
    </r>
  </si>
  <si>
    <r>
      <rPr>
        <rFont val="Times New Roman"/>
        <color theme="1"/>
      </rPr>
      <t xml:space="preserve">BUTTERMAN </t>
    </r>
    <r>
      <rPr>
        <rFont val="Times New Roman"/>
        <b/>
        <color theme="1"/>
      </rPr>
      <t>OT</t>
    </r>
  </si>
  <si>
    <t>Pak Heri</t>
  </si>
  <si>
    <t>Ket.</t>
  </si>
  <si>
    <t xml:space="preserve">BOBBIE BURGER lewat bulan </t>
  </si>
  <si>
    <t>Bu Vica Hutang 1x</t>
  </si>
  <si>
    <t>: IWAN</t>
  </si>
  <si>
    <t>LAOBAN</t>
  </si>
  <si>
    <t>JP</t>
  </si>
  <si>
    <t>HOME GROUND PADEL</t>
  </si>
  <si>
    <t>24.00-01.00</t>
  </si>
  <si>
    <t>14.00-16.00</t>
  </si>
  <si>
    <t>GRAHA PADEL CLUB</t>
  </si>
  <si>
    <t>EL GRANDE PADEL</t>
  </si>
  <si>
    <t>Alma</t>
  </si>
  <si>
    <t>BRAVO TB 1</t>
  </si>
  <si>
    <t>SUPRAMA</t>
  </si>
  <si>
    <t>08.00-13.00</t>
  </si>
  <si>
    <t>PT HASKARA</t>
  </si>
  <si>
    <t xml:space="preserve">EUROCHAIR </t>
  </si>
  <si>
    <t>FUM</t>
  </si>
  <si>
    <t>TONG TJI MJK</t>
  </si>
  <si>
    <t>BRAVO BJN</t>
  </si>
  <si>
    <t>BRAVO CEPU</t>
  </si>
  <si>
    <t>BRAVO TB 2</t>
  </si>
  <si>
    <t>PCM</t>
  </si>
  <si>
    <t>24.30-01.30</t>
  </si>
  <si>
    <t xml:space="preserve">GRAHA PADEL </t>
  </si>
  <si>
    <t>FATHUR</t>
  </si>
  <si>
    <t>JADWAL TEKNISI BULAN JANUARI 2026</t>
  </si>
  <si>
    <t>FATONY</t>
  </si>
  <si>
    <t>TP</t>
  </si>
  <si>
    <t>07.00-10.00</t>
  </si>
  <si>
    <t>SOGO TP</t>
  </si>
  <si>
    <t>23.00-01.30</t>
  </si>
  <si>
    <t>15.00-23.00</t>
  </si>
  <si>
    <t>Supp</t>
  </si>
  <si>
    <t>07.00-15.00</t>
  </si>
  <si>
    <t>.</t>
  </si>
  <si>
    <t>:TOMI</t>
  </si>
  <si>
    <t>: FATHONY</t>
  </si>
  <si>
    <t>21.00-02.00</t>
  </si>
  <si>
    <t>SUP</t>
  </si>
  <si>
    <t>TP GT</t>
  </si>
  <si>
    <t>MST</t>
  </si>
  <si>
    <t>VASA</t>
  </si>
  <si>
    <t>22.00-04.00</t>
  </si>
  <si>
    <t>PTC</t>
  </si>
  <si>
    <t>Stand by FU</t>
  </si>
  <si>
    <t xml:space="preserve">ALMA PADEL </t>
  </si>
  <si>
    <t>23,00-01,00</t>
  </si>
  <si>
    <t>AE</t>
  </si>
  <si>
    <t>23.00-01.00</t>
  </si>
  <si>
    <t xml:space="preserve">Vasa </t>
  </si>
  <si>
    <t>16.00-24.00</t>
  </si>
  <si>
    <t>Vasa</t>
  </si>
  <si>
    <t>20.00-04.00</t>
  </si>
  <si>
    <t>: ARGA</t>
  </si>
  <si>
    <t xml:space="preserve">PM JATENG </t>
  </si>
  <si>
    <t>24.30-01.00</t>
  </si>
  <si>
    <t>01.30-02.30</t>
  </si>
  <si>
    <t>MARIL</t>
  </si>
  <si>
    <t>08.00-16.00</t>
  </si>
  <si>
    <t>14.00-22.00</t>
  </si>
  <si>
    <t>16.00-22.00</t>
  </si>
  <si>
    <t>09.00-16.00</t>
  </si>
  <si>
    <t>RIFQY</t>
  </si>
  <si>
    <t>IZIN</t>
  </si>
  <si>
    <t xml:space="preserve">JADWAL TEKNISI STAY
AREA PAKUWON MALL JOGJA </t>
  </si>
  <si>
    <t>NO</t>
  </si>
  <si>
    <t>NAMA</t>
  </si>
  <si>
    <t>M</t>
  </si>
  <si>
    <t>S</t>
  </si>
  <si>
    <t>R</t>
  </si>
  <si>
    <t>K</t>
  </si>
  <si>
    <t>J</t>
  </si>
  <si>
    <t xml:space="preserve">DANI </t>
  </si>
  <si>
    <t>P</t>
  </si>
  <si>
    <t>X</t>
  </si>
  <si>
    <t>REZA</t>
  </si>
  <si>
    <t xml:space="preserve">ARGA </t>
  </si>
  <si>
    <t>PAGI</t>
  </si>
  <si>
    <t>SIANG</t>
  </si>
  <si>
    <t>KETERANGAN</t>
  </si>
  <si>
    <t>Service Tecnician</t>
  </si>
  <si>
    <t>: PAGI ( 06.00-14.00 )</t>
  </si>
  <si>
    <t>DANI</t>
  </si>
  <si>
    <t>: SORE ( 16.00-24.00 )</t>
  </si>
  <si>
    <t>: JADWAL SEWAKTU-WAKTU DAPAT BERUBAH JIKA ADA TREATMENT TAMBAHAN DAN DALAM KEADAAN URGENT</t>
  </si>
  <si>
    <t>: UNTUK PELAKSANAAN GENERAL TREATMENT TETAP ADA PERBANTUAN SELAIN TEKNISI STAY</t>
  </si>
  <si>
    <t>SNC TEAM</t>
  </si>
  <si>
    <t>Surabaya, 22 Februari 2026</t>
  </si>
  <si>
    <t>Di buat</t>
  </si>
  <si>
    <t>Mengetahui</t>
  </si>
  <si>
    <t>Menyetujui</t>
  </si>
  <si>
    <t>ARGA</t>
  </si>
  <si>
    <t>Penanggung Jawab</t>
  </si>
  <si>
    <t xml:space="preserve">Fahmi Idris M.A </t>
  </si>
  <si>
    <t>Alexander Laurenzy</t>
  </si>
  <si>
    <t>081334227988</t>
  </si>
  <si>
    <t xml:space="preserve">Awita </t>
  </si>
  <si>
    <t xml:space="preserve">Regional Supervisor </t>
  </si>
  <si>
    <t>Area Manager</t>
  </si>
  <si>
    <t>Housekeeping</t>
  </si>
  <si>
    <t>JADWAL TEKNISI STAY
AREA PAKUWON  SOLO</t>
  </si>
  <si>
    <t>ADAM</t>
  </si>
  <si>
    <t xml:space="preserve">GILANG </t>
  </si>
  <si>
    <t>: PAGI ( 07.00-15.00 )</t>
  </si>
  <si>
    <t xml:space="preserve">ADAM </t>
  </si>
  <si>
    <t>: GILANG</t>
  </si>
  <si>
    <t>EURO CHAIR K</t>
  </si>
  <si>
    <t>AFG</t>
  </si>
  <si>
    <t>PT.SGN</t>
  </si>
  <si>
    <t>14.00-17.00</t>
  </si>
  <si>
    <t>89 EK</t>
  </si>
  <si>
    <t>22.00-02.00</t>
  </si>
  <si>
    <t>TONG TJIE ROYAL</t>
  </si>
  <si>
    <t>24.00-03.01</t>
  </si>
  <si>
    <t>Pelanggan</t>
  </si>
  <si>
    <t>Supot GT &amp; S-OUT</t>
  </si>
  <si>
    <t>Luminor JS</t>
  </si>
  <si>
    <t>Luminor SDA</t>
  </si>
  <si>
    <t>RMP</t>
  </si>
  <si>
    <t>SMB</t>
  </si>
  <si>
    <t>AADK WY</t>
  </si>
  <si>
    <t>Euro Chair PC</t>
  </si>
  <si>
    <t>DOPAMIN</t>
  </si>
  <si>
    <t xml:space="preserve">TEKNISI </t>
  </si>
  <si>
    <t>Mobil</t>
  </si>
  <si>
    <t>JADWAL TEKNISI BULAN JULI 2025</t>
  </si>
  <si>
    <t xml:space="preserve">PT INTRACO </t>
  </si>
  <si>
    <t>PADEL</t>
  </si>
  <si>
    <t>PLN NPS</t>
  </si>
  <si>
    <t>PM</t>
  </si>
  <si>
    <t>IHT SUPRAMA</t>
  </si>
  <si>
    <t xml:space="preserve">IHT </t>
  </si>
  <si>
    <t>SURVEY TC</t>
  </si>
  <si>
    <t>PAKUWON GRUP</t>
  </si>
  <si>
    <t>CHEMICAL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</si>
</sst>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[$IDR]\ * #,##0.00_);_([$IDR]\ * \(#,##0.00\);_([$IDR]\ * &quot;-&quot;??_);_(@_)"/>
    <numFmt numFmtId="165" formatCode="[$-409]d\-mmm"/>
    <numFmt numFmtId="166" formatCode="_-[$IDR]\ * #,##0.00_-;\-[$IDR]\ * #,##0.00_-;_-[$IDR]\ * &quot;-&quot;??_-;_-@"/>
    <numFmt numFmtId="167" formatCode="m/d/yyyy"/>
    <numFmt numFmtId="168" formatCode="mmmm\ yyyy"/>
  </numFmts>
  <fonts count="49">
    <font>
      <sz val="11.0"/>
      <color theme="1"/>
      <name val="Calibri"/>
      <scheme val="minor"/>
    </font>
    <font>
      <b/>
      <color rgb="FF000000"/>
      <name val="Times New Roman"/>
    </font>
    <font>
      <b/>
      <sz val="10.0"/>
      <color rgb="FF000000"/>
      <name val="Times New Roman"/>
    </font>
    <font>
      <b/>
      <sz val="18.0"/>
      <color rgb="FF000000"/>
      <name val="Times New Roman"/>
    </font>
    <font>
      <color theme="1"/>
      <name val="Calibri"/>
    </font>
    <font>
      <b/>
      <sz val="11.0"/>
      <color theme="1"/>
      <name val="Times New Roman"/>
    </font>
    <font>
      <b/>
      <sz val="10.0"/>
      <color theme="1"/>
      <name val="Times New Roman"/>
    </font>
    <font/>
    <font>
      <b/>
      <sz val="11.0"/>
      <color rgb="FFFF0000"/>
      <name val="Times New Roman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11.0"/>
      <color theme="1"/>
      <name val="Times New Roman"/>
    </font>
    <font>
      <b/>
      <sz val="11.0"/>
      <color rgb="FF000000"/>
      <name val="Times New Roman"/>
    </font>
    <font>
      <sz val="12.0"/>
      <color rgb="FF000000"/>
      <name val="Times New Roman"/>
    </font>
    <font>
      <color theme="1"/>
      <name val="Times New Roman"/>
    </font>
    <font>
      <b/>
      <sz val="18.0"/>
      <color rgb="FF000000"/>
      <name val="Tahoma"/>
    </font>
    <font>
      <b/>
      <sz val="8.0"/>
      <color theme="1"/>
      <name val="Tahoma"/>
    </font>
    <font>
      <sz val="8.0"/>
      <color rgb="FF000000"/>
      <name val="Tahoma"/>
    </font>
    <font>
      <b/>
      <color theme="1"/>
      <name val="Calibri"/>
    </font>
    <font>
      <sz val="11.0"/>
      <color rgb="FF000000"/>
      <name val="&quot;Times New Roman&quot;"/>
    </font>
    <font>
      <sz val="12.0"/>
      <color rgb="FF000000"/>
      <name val="Calibri"/>
    </font>
    <font>
      <sz val="11.0"/>
      <color rgb="FF000000"/>
      <name val="Times New Roman"/>
    </font>
    <font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b/>
      <sz val="12.0"/>
      <color rgb="FF000000"/>
      <name val="Times New Roman"/>
    </font>
    <font>
      <b/>
      <sz val="8.0"/>
      <color theme="1"/>
      <name val="Times New Roman"/>
    </font>
    <font>
      <b/>
      <color theme="1"/>
      <name val="Times New Roman"/>
    </font>
    <font>
      <sz val="10.0"/>
      <color theme="1"/>
      <name val="Times New Roman"/>
    </font>
    <font>
      <sz val="11.0"/>
      <color theme="1"/>
      <name val="Arial"/>
    </font>
    <font>
      <sz val="12.0"/>
      <color theme="1"/>
      <name val="Calibri"/>
    </font>
    <font>
      <sz val="8.0"/>
      <color theme="1"/>
      <name val="Tahoma"/>
    </font>
    <font>
      <color rgb="FF000000"/>
      <name val="Times New Roman"/>
    </font>
    <font>
      <sz val="11.0"/>
      <color rgb="FFFF0000"/>
      <name val="Calibri"/>
    </font>
    <font>
      <color theme="1"/>
      <name val="Arial"/>
    </font>
    <font>
      <b/>
      <color theme="1"/>
      <name val="Arial"/>
    </font>
    <font>
      <b/>
      <sz val="18.0"/>
      <color theme="1"/>
      <name val="Times New Roman"/>
    </font>
    <font>
      <sz val="11.0"/>
      <color rgb="FFFF0000"/>
      <name val="Times New Roman"/>
    </font>
    <font>
      <sz val="12.0"/>
      <color rgb="FFFF0000"/>
      <name val="Times New Roman"/>
    </font>
    <font>
      <color rgb="FFFF0000"/>
      <name val="Arial"/>
    </font>
    <font>
      <b/>
      <sz val="14.0"/>
      <color theme="1"/>
      <name val="Times New Roman"/>
    </font>
    <font>
      <b/>
      <sz val="12.0"/>
      <color rgb="FFFF0000"/>
      <name val="Times New Roman"/>
    </font>
    <font>
      <b/>
      <sz val="12.0"/>
      <color theme="1"/>
      <name val="Arial"/>
    </font>
    <font>
      <b/>
      <sz val="13.0"/>
      <color theme="1"/>
      <name val="Times New Roman"/>
    </font>
    <font>
      <sz val="11.0"/>
      <color rgb="FFFFC000"/>
      <name val="&quot;Times New Roman&quot;"/>
    </font>
    <font>
      <sz val="11.0"/>
      <color theme="5"/>
      <name val="&quot;Times New Roman&quot;"/>
    </font>
    <font>
      <sz val="11.0"/>
      <color theme="7"/>
      <name val="&quot;Times New Roman&quot;"/>
    </font>
    <font>
      <sz val="11.0"/>
      <color rgb="FFFF0000"/>
      <name val="&quot;Times New Roman&quot;"/>
    </font>
  </fonts>
  <fills count="2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D965"/>
        <bgColor rgb="FFFFD96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theme="5"/>
        <bgColor theme="5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A64D79"/>
        <bgColor rgb="FFA64D79"/>
      </patternFill>
    </fill>
    <fill>
      <patternFill patternType="solid">
        <fgColor rgb="FFE6B8AF"/>
        <bgColor rgb="FFE6B8AF"/>
      </patternFill>
    </fill>
    <fill>
      <patternFill patternType="solid">
        <fgColor theme="9"/>
        <bgColor theme="9"/>
      </patternFill>
    </fill>
    <fill>
      <patternFill patternType="solid">
        <fgColor rgb="FF3D85C6"/>
        <bgColor rgb="FF3D85C6"/>
      </patternFill>
    </fill>
    <fill>
      <patternFill patternType="solid">
        <fgColor rgb="FFFFC000"/>
        <bgColor rgb="FFFFC000"/>
      </patternFill>
    </fill>
    <fill>
      <patternFill patternType="solid">
        <fgColor rgb="FFF4AE83"/>
        <bgColor rgb="FFF4AE8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6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8EA9DB"/>
      </left>
      <top style="thin">
        <color rgb="FF8EA9DB"/>
      </top>
      <bottom style="thin">
        <color rgb="FF000000"/>
      </bottom>
    </border>
    <border>
      <top style="thin">
        <color rgb="FF8EA9DB"/>
      </top>
      <bottom style="thin">
        <color rgb="FF000000"/>
      </bottom>
    </border>
    <border>
      <right style="thin">
        <color rgb="FF000000"/>
      </right>
      <top style="thin">
        <color rgb="FF8EA9DB"/>
      </top>
      <bottom style="thin">
        <color rgb="FF000000"/>
      </bottom>
    </border>
    <border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left style="thin">
        <color rgb="FF8EA9DB"/>
      </left>
      <top style="thin">
        <color rgb="FF8EA9DB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8EA9DB"/>
      </top>
    </border>
    <border>
      <right style="thin">
        <color rgb="FF8EA9DB"/>
      </right>
      <top style="thin">
        <color rgb="FF8EA9DB"/>
      </top>
    </border>
    <border>
      <left style="thin">
        <color rgb="FF8EA9DB"/>
      </left>
      <bottom style="thin">
        <color rgb="FF8EA9DB"/>
      </bottom>
    </border>
    <border>
      <right style="thin">
        <color rgb="FF8EA9DB"/>
      </right>
      <bottom style="thin">
        <color rgb="FF8EA9DB"/>
      </bottom>
    </border>
    <border>
      <left/>
      <top/>
      <bottom/>
    </border>
    <border>
      <top/>
      <bottom/>
    </border>
    <border>
      <left/>
      <top/>
    </border>
    <border>
      <top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double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000000"/>
      </right>
      <top style="double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5" numFmtId="0" xfId="0" applyAlignment="1" applyFont="1">
      <alignment horizontal="left" shrinkToFit="0" vertical="center" wrapText="1"/>
    </xf>
    <xf borderId="0" fillId="0" fontId="6" numFmtId="164" xfId="0" applyAlignment="1" applyFont="1" applyNumberForma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vertical="bottom"/>
    </xf>
    <xf borderId="2" fillId="0" fontId="7" numFmtId="0" xfId="0" applyBorder="1" applyFont="1"/>
    <xf borderId="3" fillId="0" fontId="7" numFmtId="0" xfId="0" applyBorder="1" applyFont="1"/>
    <xf borderId="1" fillId="2" fontId="8" numFmtId="0" xfId="0" applyAlignment="1" applyBorder="1" applyFont="1">
      <alignment horizontal="center" vertical="bottom"/>
    </xf>
    <xf borderId="1" fillId="2" fontId="5" numFmtId="165" xfId="0" applyAlignment="1" applyBorder="1" applyFont="1" applyNumberFormat="1">
      <alignment horizontal="center" vertical="bottom"/>
    </xf>
    <xf borderId="1" fillId="2" fontId="8" numFmtId="165" xfId="0" applyAlignment="1" applyBorder="1" applyFont="1" applyNumberFormat="1">
      <alignment horizontal="center" readingOrder="0" vertical="bottom"/>
    </xf>
    <xf borderId="4" fillId="0" fontId="5" numFmtId="165" xfId="0" applyAlignment="1" applyBorder="1" applyFont="1" applyNumberFormat="1">
      <alignment vertical="bottom"/>
    </xf>
    <xf borderId="1" fillId="3" fontId="5" numFmtId="0" xfId="0" applyAlignment="1" applyBorder="1" applyFill="1" applyFont="1">
      <alignment horizontal="center" vertical="center"/>
    </xf>
    <xf borderId="5" fillId="0" fontId="9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6" fillId="0" fontId="9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4" fillId="0" fontId="12" numFmtId="0" xfId="0" applyAlignment="1" applyBorder="1" applyFont="1">
      <alignment vertical="bottom"/>
    </xf>
    <xf borderId="6" fillId="0" fontId="11" numFmtId="0" xfId="0" applyAlignment="1" applyBorder="1" applyFont="1">
      <alignment horizontal="center" vertical="bottom"/>
    </xf>
    <xf borderId="4" fillId="0" fontId="12" numFmtId="0" xfId="0" applyAlignment="1" applyBorder="1" applyFont="1">
      <alignment shrinkToFit="0" wrapText="0"/>
    </xf>
    <xf borderId="1" fillId="4" fontId="5" numFmtId="0" xfId="0" applyAlignment="1" applyBorder="1" applyFill="1" applyFont="1">
      <alignment horizontal="center" vertical="bottom"/>
    </xf>
    <xf borderId="1" fillId="4" fontId="13" numFmtId="0" xfId="0" applyAlignment="1" applyBorder="1" applyFont="1">
      <alignment horizontal="center" vertical="bottom"/>
    </xf>
    <xf borderId="1" fillId="4" fontId="8" numFmtId="0" xfId="0" applyAlignment="1" applyBorder="1" applyFont="1">
      <alignment horizontal="center" vertical="bottom"/>
    </xf>
    <xf borderId="1" fillId="4" fontId="5" numFmtId="165" xfId="0" applyAlignment="1" applyBorder="1" applyFont="1" applyNumberFormat="1">
      <alignment horizontal="center" vertical="bottom"/>
    </xf>
    <xf borderId="1" fillId="4" fontId="8" numFmtId="165" xfId="0" applyAlignment="1" applyBorder="1" applyFont="1" applyNumberFormat="1">
      <alignment horizontal="center" vertical="bottom"/>
    </xf>
    <xf borderId="4" fillId="5" fontId="5" numFmtId="165" xfId="0" applyAlignment="1" applyBorder="1" applyFill="1" applyFont="1" applyNumberFormat="1">
      <alignment vertical="bottom"/>
    </xf>
    <xf borderId="4" fillId="0" fontId="11" numFmtId="165" xfId="0" applyAlignment="1" applyBorder="1" applyFont="1" applyNumberFormat="1">
      <alignment vertical="bottom"/>
    </xf>
    <xf borderId="4" fillId="5" fontId="5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6" fontId="12" numFmtId="165" xfId="0" applyAlignment="1" applyBorder="1" applyFill="1" applyFont="1" applyNumberFormat="1">
      <alignment vertical="bottom"/>
    </xf>
    <xf borderId="4" fillId="0" fontId="12" numFmtId="165" xfId="0" applyAlignment="1" applyBorder="1" applyFont="1" applyNumberFormat="1">
      <alignment vertical="bottom"/>
    </xf>
    <xf borderId="4" fillId="7" fontId="12" numFmtId="0" xfId="0" applyAlignment="1" applyBorder="1" applyFill="1" applyFont="1">
      <alignment vertical="bottom"/>
    </xf>
    <xf borderId="7" fillId="7" fontId="12" numFmtId="0" xfId="0" applyAlignment="1" applyBorder="1" applyFont="1">
      <alignment horizontal="center" vertical="center"/>
    </xf>
    <xf borderId="4" fillId="0" fontId="12" numFmtId="0" xfId="0" applyBorder="1" applyFont="1"/>
    <xf borderId="4" fillId="6" fontId="11" numFmtId="0" xfId="0" applyAlignment="1" applyBorder="1" applyFont="1">
      <alignment vertical="bottom"/>
    </xf>
    <xf borderId="4" fillId="8" fontId="14" numFmtId="0" xfId="0" applyAlignment="1" applyBorder="1" applyFill="1" applyFont="1">
      <alignment horizontal="center"/>
    </xf>
    <xf borderId="4" fillId="6" fontId="12" numFmtId="0" xfId="0" applyAlignment="1" applyBorder="1" applyFont="1">
      <alignment readingOrder="0" vertical="bottom"/>
    </xf>
    <xf borderId="4" fillId="9" fontId="13" numFmtId="0" xfId="0" applyAlignment="1" applyBorder="1" applyFill="1" applyFont="1">
      <alignment horizontal="left" readingOrder="0" vertical="center"/>
    </xf>
    <xf borderId="4" fillId="9" fontId="12" numFmtId="0" xfId="0" applyAlignment="1" applyBorder="1" applyFont="1">
      <alignment vertical="bottom"/>
    </xf>
    <xf borderId="8" fillId="0" fontId="7" numFmtId="0" xfId="0" applyBorder="1" applyFont="1"/>
    <xf borderId="4" fillId="6" fontId="12" numFmtId="0" xfId="0" applyAlignment="1" applyBorder="1" applyFont="1">
      <alignment vertical="bottom"/>
    </xf>
    <xf borderId="9" fillId="0" fontId="7" numFmtId="0" xfId="0" applyBorder="1" applyFont="1"/>
    <xf borderId="4" fillId="3" fontId="12" numFmtId="0" xfId="0" applyAlignment="1" applyBorder="1" applyFont="1">
      <alignment vertical="bottom"/>
    </xf>
    <xf borderId="4" fillId="8" fontId="12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8" fontId="12" numFmtId="0" xfId="0" applyAlignment="1" applyBorder="1" applyFont="1">
      <alignment readingOrder="0" vertical="bottom"/>
    </xf>
    <xf borderId="4" fillId="0" fontId="12" numFmtId="0" xfId="0" applyAlignment="1" applyBorder="1" applyFont="1">
      <alignment readingOrder="0" vertical="bottom"/>
    </xf>
    <xf borderId="4" fillId="8" fontId="12" numFmtId="165" xfId="0" applyAlignment="1" applyBorder="1" applyFont="1" applyNumberFormat="1">
      <alignment vertical="bottom"/>
    </xf>
    <xf borderId="4" fillId="3" fontId="12" numFmtId="0" xfId="0" applyAlignment="1" applyBorder="1" applyFont="1">
      <alignment shrinkToFit="0" wrapText="0"/>
    </xf>
    <xf borderId="0" fillId="0" fontId="11" numFmtId="0" xfId="0" applyAlignment="1" applyFont="1">
      <alignment vertical="bottom"/>
    </xf>
    <xf borderId="1" fillId="10" fontId="5" numFmtId="165" xfId="0" applyAlignment="1" applyBorder="1" applyFill="1" applyFont="1" applyNumberFormat="1">
      <alignment horizontal="center" vertical="bottom"/>
    </xf>
    <xf borderId="1" fillId="10" fontId="8" numFmtId="165" xfId="0" applyAlignment="1" applyBorder="1" applyFont="1" applyNumberFormat="1">
      <alignment horizontal="center" vertical="bottom"/>
    </xf>
    <xf borderId="4" fillId="0" fontId="15" numFmtId="0" xfId="0" applyBorder="1" applyFont="1"/>
    <xf borderId="4" fillId="0" fontId="12" numFmtId="0" xfId="0" applyAlignment="1" applyBorder="1" applyFont="1">
      <alignment horizontal="center" vertical="center"/>
    </xf>
    <xf borderId="1" fillId="2" fontId="5" numFmtId="165" xfId="0" applyAlignment="1" applyBorder="1" applyFont="1" applyNumberFormat="1">
      <alignment horizontal="center"/>
    </xf>
    <xf borderId="4" fillId="5" fontId="11" numFmtId="0" xfId="0" applyAlignment="1" applyBorder="1" applyFont="1">
      <alignment vertical="bottom"/>
    </xf>
    <xf borderId="10" fillId="0" fontId="11" numFmtId="0" xfId="0" applyAlignment="1" applyBorder="1" applyFont="1">
      <alignment horizontal="center" vertical="bottom"/>
    </xf>
    <xf borderId="11" fillId="0" fontId="7" numFmtId="0" xfId="0" applyBorder="1" applyFont="1"/>
    <xf borderId="12" fillId="0" fontId="7" numFmtId="0" xfId="0" applyBorder="1" applyFont="1"/>
    <xf borderId="9" fillId="0" fontId="5" numFmtId="0" xfId="0" applyAlignment="1" applyBorder="1" applyFont="1">
      <alignment vertical="bottom"/>
    </xf>
    <xf borderId="9" fillId="0" fontId="5" numFmtId="165" xfId="0" applyAlignment="1" applyBorder="1" applyFont="1" applyNumberFormat="1">
      <alignment vertical="bottom"/>
    </xf>
    <xf borderId="13" fillId="0" fontId="5" numFmtId="0" xfId="0" applyAlignment="1" applyBorder="1" applyFont="1">
      <alignment shrinkToFit="0" wrapText="0"/>
    </xf>
    <xf borderId="14" fillId="0" fontId="5" numFmtId="0" xfId="0" applyAlignment="1" applyBorder="1" applyFont="1">
      <alignment shrinkToFit="0" wrapText="0"/>
    </xf>
    <xf borderId="14" fillId="0" fontId="5" numFmtId="0" xfId="0" applyAlignment="1" applyBorder="1" applyFont="1">
      <alignment vertical="bottom"/>
    </xf>
    <xf borderId="1" fillId="2" fontId="5" numFmtId="0" xfId="0" applyAlignment="1" applyBorder="1" applyFont="1">
      <alignment horizontal="center" readingOrder="0"/>
    </xf>
    <xf borderId="4" fillId="6" fontId="5" numFmtId="0" xfId="0" applyAlignment="1" applyBorder="1" applyFont="1">
      <alignment vertical="bottom"/>
    </xf>
    <xf borderId="15" fillId="0" fontId="11" numFmtId="0" xfId="0" applyAlignment="1" applyBorder="1" applyFont="1">
      <alignment horizontal="center" vertical="bottom"/>
    </xf>
    <xf borderId="4" fillId="0" fontId="4" numFmtId="0" xfId="0" applyBorder="1" applyFont="1"/>
    <xf borderId="4" fillId="0" fontId="4" numFmtId="0" xfId="0" applyAlignment="1" applyBorder="1" applyFont="1">
      <alignment horizontal="center"/>
    </xf>
    <xf borderId="1" fillId="4" fontId="13" numFmtId="165" xfId="0" applyAlignment="1" applyBorder="1" applyFont="1" applyNumberFormat="1">
      <alignment horizontal="center" vertical="bottom"/>
    </xf>
    <xf borderId="9" fillId="6" fontId="5" numFmtId="0" xfId="0" applyAlignment="1" applyBorder="1" applyFont="1">
      <alignment vertical="bottom"/>
    </xf>
    <xf borderId="9" fillId="0" fontId="11" numFmtId="0" xfId="0" applyAlignment="1" applyBorder="1" applyFont="1">
      <alignment vertical="bottom"/>
    </xf>
    <xf borderId="9" fillId="6" fontId="11" numFmtId="0" xfId="0" applyAlignment="1" applyBorder="1" applyFont="1">
      <alignment vertical="bottom"/>
    </xf>
    <xf borderId="16" fillId="0" fontId="5" numFmtId="165" xfId="0" applyAlignment="1" applyBorder="1" applyFont="1" applyNumberFormat="1">
      <alignment vertical="bottom"/>
    </xf>
    <xf borderId="16" fillId="0" fontId="5" numFmtId="0" xfId="0" applyAlignment="1" applyBorder="1" applyFont="1">
      <alignment readingOrder="0" vertical="bottom"/>
    </xf>
    <xf borderId="4" fillId="0" fontId="5" numFmtId="0" xfId="0" applyBorder="1" applyFont="1"/>
    <xf borderId="0" fillId="0" fontId="12" numFmtId="0" xfId="0" applyAlignment="1" applyFont="1">
      <alignment horizontal="left" vertical="top"/>
    </xf>
    <xf borderId="0" fillId="0" fontId="6" numFmtId="164" xfId="0" applyAlignment="1" applyFont="1" applyNumberFormat="1">
      <alignment horizontal="center"/>
    </xf>
    <xf borderId="17" fillId="3" fontId="4" numFmtId="0" xfId="0" applyBorder="1" applyFont="1"/>
    <xf borderId="17" fillId="0" fontId="5" numFmtId="0" xfId="0" applyAlignment="1" applyBorder="1" applyFont="1">
      <alignment vertical="bottom"/>
    </xf>
    <xf borderId="17" fillId="0" fontId="4" numFmtId="0" xfId="0" applyBorder="1" applyFont="1"/>
    <xf borderId="0" fillId="5" fontId="4" numFmtId="0" xfId="0" applyFont="1"/>
    <xf borderId="0" fillId="0" fontId="11" numFmtId="165" xfId="0" applyAlignment="1" applyFont="1" applyNumberFormat="1">
      <alignment vertical="bottom"/>
    </xf>
    <xf borderId="0" fillId="0" fontId="5" numFmtId="165" xfId="0" applyAlignment="1" applyFont="1" applyNumberFormat="1">
      <alignment vertical="bottom"/>
    </xf>
    <xf borderId="0" fillId="0" fontId="5" numFmtId="0" xfId="0" applyAlignment="1" applyFont="1">
      <alignment vertical="bottom"/>
    </xf>
    <xf borderId="17" fillId="2" fontId="4" numFmtId="0" xfId="0" applyBorder="1" applyFont="1"/>
    <xf borderId="0" fillId="0" fontId="12" numFmtId="0" xfId="0" applyAlignment="1" applyFont="1">
      <alignment vertical="bottom"/>
    </xf>
    <xf borderId="0" fillId="0" fontId="15" numFmtId="0" xfId="0" applyFont="1"/>
    <xf borderId="17" fillId="11" fontId="4" numFmtId="0" xfId="0" applyBorder="1" applyFill="1" applyFont="1"/>
    <xf borderId="17" fillId="8" fontId="4" numFmtId="0" xfId="0" applyBorder="1" applyFont="1"/>
    <xf borderId="0" fillId="0" fontId="12" numFmtId="165" xfId="0" applyAlignment="1" applyFont="1" applyNumberFormat="1">
      <alignment vertical="bottom"/>
    </xf>
    <xf borderId="0" fillId="0" fontId="12" numFmtId="0" xfId="0" applyFont="1"/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4" numFmtId="0" xfId="0" applyFont="1"/>
    <xf borderId="0" fillId="0" fontId="19" numFmtId="0" xfId="0" applyFont="1"/>
    <xf borderId="1" fillId="4" fontId="5" numFmtId="0" xfId="0" applyAlignment="1" applyBorder="1" applyFont="1">
      <alignment horizontal="center" shrinkToFit="0" vertical="center" wrapText="1"/>
    </xf>
    <xf borderId="1" fillId="4" fontId="8" numFmtId="16" xfId="0" applyAlignment="1" applyBorder="1" applyFont="1" applyNumberFormat="1">
      <alignment horizontal="center" shrinkToFit="0" vertical="center" wrapText="1"/>
    </xf>
    <xf borderId="1" fillId="4" fontId="13" numFmtId="165" xfId="0" applyAlignment="1" applyBorder="1" applyFont="1" applyNumberFormat="1">
      <alignment horizontal="center" shrinkToFit="1" vertical="center" wrapText="0"/>
    </xf>
    <xf borderId="1" fillId="4" fontId="5" numFmtId="165" xfId="0" applyAlignment="1" applyBorder="1" applyFont="1" applyNumberFormat="1">
      <alignment horizontal="center" shrinkToFit="1" vertical="center" wrapText="0"/>
    </xf>
    <xf borderId="1" fillId="4" fontId="8" numFmtId="165" xfId="0" applyAlignment="1" applyBorder="1" applyFont="1" applyNumberFormat="1">
      <alignment horizontal="center" shrinkToFit="1" vertical="center" wrapText="0"/>
    </xf>
    <xf borderId="4" fillId="6" fontId="12" numFmtId="0" xfId="0" applyBorder="1" applyFont="1"/>
    <xf borderId="4" fillId="5" fontId="12" numFmtId="0" xfId="0" applyAlignment="1" applyBorder="1" applyFont="1">
      <alignment shrinkToFit="0" wrapText="1"/>
    </xf>
    <xf borderId="4" fillId="2" fontId="12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vertical="bottom" wrapText="1"/>
    </xf>
    <xf borderId="4" fillId="5" fontId="5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left" vertical="center"/>
    </xf>
    <xf borderId="4" fillId="0" fontId="6" numFmtId="0" xfId="0" applyAlignment="1" applyBorder="1" applyFont="1">
      <alignment horizontal="left" shrinkToFit="0" vertical="center" wrapText="1"/>
    </xf>
    <xf borderId="4" fillId="0" fontId="15" numFmtId="0" xfId="0" applyAlignment="1" applyBorder="1" applyFont="1">
      <alignment horizontal="center"/>
    </xf>
    <xf borderId="9" fillId="6" fontId="20" numFmtId="0" xfId="0" applyAlignment="1" applyBorder="1" applyFont="1">
      <alignment readingOrder="0"/>
    </xf>
    <xf borderId="4" fillId="0" fontId="11" numFmtId="0" xfId="0" applyBorder="1" applyFont="1"/>
    <xf borderId="4" fillId="2" fontId="12" numFmtId="0" xfId="0" applyAlignment="1" applyBorder="1" applyFont="1">
      <alignment vertical="bottom"/>
    </xf>
    <xf borderId="4" fillId="0" fontId="12" numFmtId="0" xfId="0" applyAlignment="1" applyBorder="1" applyFont="1">
      <alignment shrinkToFit="0" wrapText="1"/>
    </xf>
    <xf borderId="4" fillId="5" fontId="12" numFmtId="0" xfId="0" applyBorder="1" applyFont="1"/>
    <xf borderId="4" fillId="5" fontId="12" numFmtId="0" xfId="0" applyAlignment="1" applyBorder="1" applyFont="1">
      <alignment vertical="bottom"/>
    </xf>
    <xf borderId="4" fillId="6" fontId="12" numFmtId="0" xfId="0" applyAlignment="1" applyBorder="1" applyFont="1">
      <alignment shrinkToFit="0" vertical="bottom" wrapText="1"/>
    </xf>
    <xf borderId="4" fillId="6" fontId="5" numFmtId="0" xfId="0" applyAlignment="1" applyBorder="1" applyFont="1">
      <alignment horizontal="left" vertical="center"/>
    </xf>
    <xf borderId="4" fillId="0" fontId="12" numFmtId="0" xfId="0" applyAlignment="1" applyBorder="1" applyFont="1">
      <alignment readingOrder="0" shrinkToFit="0" vertical="bottom" wrapText="1"/>
    </xf>
    <xf borderId="9" fillId="0" fontId="20" numFmtId="0" xfId="0" applyAlignment="1" applyBorder="1" applyFont="1">
      <alignment readingOrder="0"/>
    </xf>
    <xf borderId="4" fillId="0" fontId="13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4" fillId="8" fontId="12" numFmtId="0" xfId="0" applyAlignment="1" applyBorder="1" applyFont="1">
      <alignment horizontal="left" shrinkToFit="0" vertical="center" wrapText="1"/>
    </xf>
    <xf borderId="4" fillId="3" fontId="12" numFmtId="0" xfId="0" applyBorder="1" applyFont="1"/>
    <xf borderId="4" fillId="0" fontId="5" numFmtId="0" xfId="0" applyAlignment="1" applyBorder="1" applyFont="1">
      <alignment horizontal="left" vertical="center"/>
    </xf>
    <xf borderId="4" fillId="3" fontId="12" numFmtId="0" xfId="0" applyAlignment="1" applyBorder="1" applyFont="1">
      <alignment shrinkToFit="0" wrapText="1"/>
    </xf>
    <xf borderId="1" fillId="2" fontId="5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9" fillId="0" fontId="21" numFmtId="0" xfId="0" applyAlignment="1" applyBorder="1" applyFont="1">
      <alignment readingOrder="0" shrinkToFit="0" vertical="bottom" wrapText="0"/>
    </xf>
    <xf borderId="1" fillId="2" fontId="5" numFmtId="165" xfId="0" applyAlignment="1" applyBorder="1" applyFont="1" applyNumberFormat="1">
      <alignment horizontal="center" shrinkToFit="1" vertical="center" wrapText="0"/>
    </xf>
    <xf borderId="1" fillId="2" fontId="8" numFmtId="165" xfId="0" applyAlignment="1" applyBorder="1" applyFont="1" applyNumberFormat="1">
      <alignment horizontal="center" shrinkToFit="1" vertical="center" wrapText="0"/>
    </xf>
    <xf borderId="4" fillId="5" fontId="13" numFmtId="0" xfId="0" applyAlignment="1" applyBorder="1" applyFont="1">
      <alignment horizontal="left" shrinkToFit="0" vertical="center" wrapText="1"/>
    </xf>
    <xf borderId="4" fillId="12" fontId="22" numFmtId="0" xfId="0" applyAlignment="1" applyBorder="1" applyFill="1" applyFont="1">
      <alignment readingOrder="0"/>
    </xf>
    <xf borderId="4" fillId="5" fontId="13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4" fillId="5" fontId="12" numFmtId="0" xfId="0" applyAlignment="1" applyBorder="1" applyFont="1">
      <alignment shrinkToFit="0" vertical="bottom" wrapText="1"/>
    </xf>
    <xf borderId="4" fillId="13" fontId="12" numFmtId="0" xfId="0" applyAlignment="1" applyBorder="1" applyFill="1" applyFont="1">
      <alignment vertical="bottom"/>
    </xf>
    <xf borderId="1" fillId="3" fontId="5" numFmtId="0" xfId="0" applyAlignment="1" applyBorder="1" applyFont="1">
      <alignment horizontal="center"/>
    </xf>
    <xf borderId="9" fillId="0" fontId="20" numFmtId="0" xfId="0" applyAlignment="1" applyBorder="1" applyFont="1">
      <alignment readingOrder="0" vertical="bottom"/>
    </xf>
    <xf borderId="4" fillId="5" fontId="5" numFmtId="0" xfId="0" applyAlignment="1" applyBorder="1" applyFont="1">
      <alignment horizontal="left" vertical="center"/>
    </xf>
    <xf borderId="4" fillId="5" fontId="12" numFmtId="0" xfId="0" applyAlignment="1" applyBorder="1" applyFont="1">
      <alignment readingOrder="0"/>
    </xf>
    <xf borderId="4" fillId="0" fontId="22" numFmtId="0" xfId="0" applyBorder="1" applyFont="1"/>
    <xf borderId="4" fillId="0" fontId="13" numFmtId="0" xfId="0" applyAlignment="1" applyBorder="1" applyFont="1">
      <alignment horizontal="left" vertical="center"/>
    </xf>
    <xf borderId="4" fillId="11" fontId="15" numFmtId="0" xfId="0" applyAlignment="1" applyBorder="1" applyFont="1">
      <alignment horizontal="center"/>
    </xf>
    <xf borderId="9" fillId="11" fontId="20" numFmtId="0" xfId="0" applyAlignment="1" applyBorder="1" applyFont="1">
      <alignment readingOrder="0" vertical="bottom"/>
    </xf>
    <xf borderId="4" fillId="5" fontId="5" numFmtId="0" xfId="0" applyAlignment="1" applyBorder="1" applyFont="1">
      <alignment vertical="center"/>
    </xf>
    <xf borderId="4" fillId="5" fontId="13" numFmtId="0" xfId="0" applyAlignment="1" applyBorder="1" applyFont="1">
      <alignment horizontal="left" vertical="center"/>
    </xf>
    <xf borderId="4" fillId="6" fontId="5" numFmtId="0" xfId="0" applyBorder="1" applyFont="1"/>
    <xf borderId="4" fillId="6" fontId="5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1" fillId="4" fontId="8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vertical="center"/>
    </xf>
    <xf borderId="4" fillId="5" fontId="5" numFmtId="0" xfId="0" applyAlignment="1" applyBorder="1" applyFont="1">
      <alignment shrinkToFit="0" wrapText="1"/>
    </xf>
    <xf borderId="4" fillId="5" fontId="5" numFmtId="0" xfId="0" applyBorder="1" applyFont="1"/>
    <xf borderId="4" fillId="3" fontId="15" numFmtId="0" xfId="0" applyAlignment="1" applyBorder="1" applyFont="1">
      <alignment horizontal="center"/>
    </xf>
    <xf borderId="4" fillId="6" fontId="5" numFmtId="0" xfId="0" applyAlignment="1" applyBorder="1" applyFont="1">
      <alignment horizontal="left" shrinkToFit="0" vertical="center" wrapText="1"/>
    </xf>
    <xf borderId="4" fillId="0" fontId="23" numFmtId="0" xfId="0" applyBorder="1" applyFont="1"/>
    <xf borderId="9" fillId="11" fontId="20" numFmtId="0" xfId="0" applyAlignment="1" applyBorder="1" applyFont="1">
      <alignment readingOrder="0"/>
    </xf>
    <xf borderId="4" fillId="8" fontId="12" numFmtId="0" xfId="0" applyAlignment="1" applyBorder="1" applyFont="1">
      <alignment shrinkToFit="0" wrapText="1"/>
    </xf>
    <xf borderId="4" fillId="0" fontId="12" numFmtId="0" xfId="0" applyAlignment="1" applyBorder="1" applyFont="1">
      <alignment readingOrder="0" shrinkToFit="0" wrapText="1"/>
    </xf>
    <xf borderId="4" fillId="8" fontId="12" numFmtId="0" xfId="0" applyBorder="1" applyFont="1"/>
    <xf borderId="0" fillId="0" fontId="20" numFmtId="0" xfId="0" applyAlignment="1" applyFont="1">
      <alignment readingOrder="0"/>
    </xf>
    <xf borderId="4" fillId="0" fontId="12" numFmtId="0" xfId="0" applyAlignment="1" applyBorder="1" applyFont="1">
      <alignment horizontal="left" vertical="center"/>
    </xf>
    <xf borderId="4" fillId="0" fontId="22" numFmtId="0" xfId="0" applyAlignment="1" applyBorder="1" applyFont="1">
      <alignment horizontal="left" shrinkToFit="0" vertical="center" wrapText="1"/>
    </xf>
    <xf borderId="1" fillId="4" fontId="13" numFmtId="0" xfId="0" applyAlignment="1" applyBorder="1" applyFont="1">
      <alignment horizontal="center" shrinkToFit="0" vertical="center" wrapText="1"/>
    </xf>
    <xf borderId="4" fillId="11" fontId="22" numFmtId="0" xfId="0" applyBorder="1" applyFont="1"/>
    <xf borderId="4" fillId="8" fontId="12" numFmtId="0" xfId="0" applyAlignment="1" applyBorder="1" applyFont="1">
      <alignment shrinkToFit="0" vertical="bottom" wrapText="1"/>
    </xf>
    <xf borderId="4" fillId="5" fontId="2" numFmtId="0" xfId="0" applyAlignment="1" applyBorder="1" applyFont="1">
      <alignment horizontal="left" vertical="center"/>
    </xf>
    <xf borderId="4" fillId="8" fontId="12" numFmtId="0" xfId="0" applyAlignment="1" applyBorder="1" applyFont="1">
      <alignment readingOrder="0"/>
    </xf>
    <xf borderId="4" fillId="0" fontId="2" numFmtId="0" xfId="0" applyAlignment="1" applyBorder="1" applyFont="1">
      <alignment horizontal="left" vertical="center"/>
    </xf>
    <xf borderId="4" fillId="0" fontId="13" numFmtId="0" xfId="0" applyAlignment="1" applyBorder="1" applyFont="1">
      <alignment horizontal="left" readingOrder="0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2" fontId="13" numFmtId="0" xfId="0" applyAlignment="1" applyBorder="1" applyFont="1">
      <alignment horizontal="center" vertical="bottom"/>
    </xf>
    <xf borderId="5" fillId="0" fontId="24" numFmtId="0" xfId="0" applyAlignment="1" applyBorder="1" applyFont="1">
      <alignment horizontal="center" vertical="bottom"/>
    </xf>
    <xf borderId="18" fillId="0" fontId="24" numFmtId="0" xfId="0" applyAlignment="1" applyBorder="1" applyFont="1">
      <alignment horizontal="center" vertical="bottom"/>
    </xf>
    <xf borderId="19" fillId="0" fontId="24" numFmtId="0" xfId="0" applyAlignment="1" applyBorder="1" applyFont="1">
      <alignment horizontal="center" vertical="bottom"/>
    </xf>
    <xf borderId="1" fillId="2" fontId="8" numFmtId="165" xfId="0" applyAlignment="1" applyBorder="1" applyFont="1" applyNumberFormat="1">
      <alignment horizontal="center" vertical="bottom"/>
    </xf>
    <xf borderId="1" fillId="2" fontId="13" numFmtId="165" xfId="0" applyAlignment="1" applyBorder="1" applyFont="1" applyNumberFormat="1">
      <alignment horizontal="center" readingOrder="0" vertical="bottom"/>
    </xf>
    <xf borderId="20" fillId="0" fontId="24" numFmtId="0" xfId="0" applyAlignment="1" applyBorder="1" applyFont="1">
      <alignment horizontal="center" vertical="bottom"/>
    </xf>
    <xf borderId="4" fillId="0" fontId="25" numFmtId="0" xfId="0" applyAlignment="1" applyBorder="1" applyFont="1">
      <alignment vertical="bottom"/>
    </xf>
    <xf borderId="4" fillId="0" fontId="25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left" vertical="center"/>
    </xf>
    <xf borderId="4" fillId="11" fontId="12" numFmtId="0" xfId="0" applyAlignment="1" applyBorder="1" applyFont="1">
      <alignment readingOrder="0" vertical="bottom"/>
    </xf>
    <xf borderId="4" fillId="11" fontId="11" numFmtId="0" xfId="0" applyBorder="1" applyFont="1"/>
    <xf borderId="4" fillId="11" fontId="11" numFmtId="0" xfId="0" applyAlignment="1" applyBorder="1" applyFont="1">
      <alignment readingOrder="0"/>
    </xf>
    <xf borderId="4" fillId="14" fontId="12" numFmtId="0" xfId="0" applyAlignment="1" applyBorder="1" applyFill="1" applyFont="1">
      <alignment shrinkToFit="0" wrapText="1"/>
    </xf>
    <xf borderId="4" fillId="6" fontId="11" numFmtId="0" xfId="0" applyBorder="1" applyFont="1"/>
    <xf borderId="4" fillId="0" fontId="14" numFmtId="0" xfId="0" applyAlignment="1" applyBorder="1" applyFont="1">
      <alignment horizontal="center"/>
    </xf>
    <xf borderId="4" fillId="0" fontId="26" numFmtId="0" xfId="0" applyAlignment="1" applyBorder="1" applyFont="1">
      <alignment horizontal="center"/>
    </xf>
    <xf borderId="1" fillId="4" fontId="13" numFmtId="16" xfId="0" applyAlignment="1" applyBorder="1" applyFont="1" applyNumberFormat="1">
      <alignment horizontal="center" shrinkToFit="0" vertical="center" wrapText="1"/>
    </xf>
    <xf borderId="4" fillId="5" fontId="26" numFmtId="0" xfId="0" applyAlignment="1" applyBorder="1" applyFont="1">
      <alignment horizontal="center"/>
    </xf>
    <xf borderId="1" fillId="2" fontId="13" numFmtId="0" xfId="0" applyAlignment="1" applyBorder="1" applyFont="1">
      <alignment horizontal="center" shrinkToFit="0" vertical="center" wrapText="1"/>
    </xf>
    <xf borderId="1" fillId="2" fontId="13" numFmtId="165" xfId="0" applyAlignment="1" applyBorder="1" applyFont="1" applyNumberFormat="1">
      <alignment horizontal="center" shrinkToFit="1" vertical="center" wrapText="0"/>
    </xf>
    <xf borderId="4" fillId="6" fontId="12" numFmtId="0" xfId="0" applyAlignment="1" applyBorder="1" applyFont="1">
      <alignment shrinkToFit="0" wrapText="1"/>
    </xf>
    <xf borderId="4" fillId="8" fontId="12" numFmtId="0" xfId="0" applyAlignment="1" applyBorder="1" applyFont="1">
      <alignment readingOrder="0" shrinkToFit="0" wrapText="1"/>
    </xf>
    <xf borderId="4" fillId="5" fontId="2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center"/>
    </xf>
    <xf borderId="4" fillId="0" fontId="13" numFmtId="0" xfId="0" applyBorder="1" applyFont="1"/>
    <xf borderId="4" fillId="5" fontId="13" numFmtId="0" xfId="0" applyAlignment="1" applyBorder="1" applyFont="1">
      <alignment shrinkToFit="0" vertical="center" wrapText="1"/>
    </xf>
    <xf borderId="4" fillId="0" fontId="13" numFmtId="0" xfId="0" applyAlignment="1" applyBorder="1" applyFont="1">
      <alignment horizontal="left"/>
    </xf>
    <xf borderId="4" fillId="5" fontId="6" numFmtId="0" xfId="0" applyAlignment="1" applyBorder="1" applyFont="1">
      <alignment horizontal="left" shrinkToFit="0" vertical="center" wrapText="1"/>
    </xf>
    <xf borderId="4" fillId="6" fontId="13" numFmtId="0" xfId="0" applyBorder="1" applyFont="1"/>
    <xf borderId="4" fillId="5" fontId="27" numFmtId="0" xfId="0" applyAlignment="1" applyBorder="1" applyFont="1">
      <alignment horizontal="left" shrinkToFit="0" vertical="center" wrapText="1"/>
    </xf>
    <xf borderId="4" fillId="5" fontId="12" numFmtId="0" xfId="0" applyAlignment="1" applyBorder="1" applyFont="1">
      <alignment horizontal="left" vertical="center"/>
    </xf>
    <xf borderId="4" fillId="5" fontId="12" numFmtId="0" xfId="0" applyAlignment="1" applyBorder="1" applyFont="1">
      <alignment horizontal="center" vertical="bottom"/>
    </xf>
    <xf borderId="4" fillId="5" fontId="5" numFmtId="0" xfId="0" applyAlignment="1" applyBorder="1" applyFont="1">
      <alignment horizontal="center" vertical="bottom"/>
    </xf>
    <xf borderId="4" fillId="5" fontId="2" numFmtId="0" xfId="0" applyAlignment="1" applyBorder="1" applyFont="1">
      <alignment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4" fillId="5" fontId="13" numFmtId="0" xfId="0" applyAlignment="1" applyBorder="1" applyFont="1">
      <alignment horizontal="left"/>
    </xf>
    <xf borderId="4" fillId="5" fontId="13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bottom"/>
    </xf>
    <xf borderId="6" fillId="0" fontId="24" numFmtId="0" xfId="0" applyAlignment="1" applyBorder="1" applyFont="1">
      <alignment horizontal="center" vertical="bottom"/>
    </xf>
    <xf borderId="4" fillId="5" fontId="13" numFmtId="0" xfId="0" applyAlignment="1" applyBorder="1" applyFont="1">
      <alignment horizontal="center"/>
    </xf>
    <xf borderId="21" fillId="0" fontId="25" numFmtId="0" xfId="0" applyAlignment="1" applyBorder="1" applyFont="1">
      <alignment horizontal="center" vertical="bottom"/>
    </xf>
    <xf borderId="4" fillId="5" fontId="5" numFmtId="0" xfId="0" applyAlignment="1" applyBorder="1" applyFont="1">
      <alignment horizontal="left"/>
    </xf>
    <xf borderId="4" fillId="0" fontId="12" numFmtId="0" xfId="0" applyAlignment="1" applyBorder="1" applyFont="1">
      <alignment horizontal="center" vertical="bottom"/>
    </xf>
    <xf borderId="4" fillId="0" fontId="22" numFmtId="0" xfId="0" applyAlignment="1" applyBorder="1" applyFont="1">
      <alignment horizontal="left"/>
    </xf>
    <xf borderId="4" fillId="0" fontId="12" numFmtId="0" xfId="0" applyAlignment="1" applyBorder="1" applyFont="1">
      <alignment horizontal="center" readingOrder="0" vertical="bottom"/>
    </xf>
    <xf borderId="4" fillId="8" fontId="22" numFmtId="0" xfId="0" applyAlignment="1" applyBorder="1" applyFont="1">
      <alignment readingOrder="0" vertical="bottom"/>
    </xf>
    <xf borderId="4" fillId="0" fontId="12" numFmtId="0" xfId="0" applyAlignment="1" applyBorder="1" applyFont="1">
      <alignment horizontal="center"/>
    </xf>
    <xf borderId="7" fillId="0" fontId="12" numFmtId="0" xfId="0" applyAlignment="1" applyBorder="1" applyFont="1">
      <alignment horizontal="center" vertical="center"/>
    </xf>
    <xf borderId="4" fillId="0" fontId="14" numFmtId="0" xfId="0" applyAlignment="1" applyBorder="1" applyFont="1">
      <alignment vertical="bottom"/>
    </xf>
    <xf borderId="4" fillId="3" fontId="22" numFmtId="0" xfId="0" applyBorder="1" applyFont="1"/>
    <xf borderId="4" fillId="3" fontId="12" numFmtId="0" xfId="0" applyAlignment="1" applyBorder="1" applyFont="1">
      <alignment readingOrder="0" vertical="bottom"/>
    </xf>
    <xf borderId="4" fillId="0" fontId="28" numFmtId="0" xfId="0" applyAlignment="1" applyBorder="1" applyFont="1">
      <alignment vertical="bottom"/>
    </xf>
    <xf borderId="4" fillId="0" fontId="22" numFmtId="0" xfId="0" applyAlignment="1" applyBorder="1" applyFont="1">
      <alignment horizontal="left" readingOrder="0" shrinkToFit="0" vertical="center" wrapText="1"/>
    </xf>
    <xf borderId="4" fillId="0" fontId="12" numFmtId="0" xfId="0" applyAlignment="1" applyBorder="1" applyFont="1">
      <alignment readingOrder="0" vertical="center"/>
    </xf>
    <xf borderId="4" fillId="5" fontId="1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4" fillId="6" fontId="28" numFmtId="0" xfId="0" applyAlignment="1" applyBorder="1" applyFont="1">
      <alignment shrinkToFit="0" wrapText="1"/>
    </xf>
    <xf borderId="4" fillId="0" fontId="13" numFmtId="0" xfId="0" applyAlignment="1" applyBorder="1" applyFont="1">
      <alignment horizontal="center" vertical="center"/>
    </xf>
    <xf borderId="1" fillId="10" fontId="8" numFmtId="0" xfId="0" applyAlignment="1" applyBorder="1" applyFont="1">
      <alignment horizontal="center" shrinkToFit="0" vertical="center" wrapText="1"/>
    </xf>
    <xf borderId="1" fillId="10" fontId="8" numFmtId="165" xfId="0" applyAlignment="1" applyBorder="1" applyFont="1" applyNumberFormat="1">
      <alignment horizontal="center" shrinkToFit="1" vertical="center" wrapText="0"/>
    </xf>
    <xf borderId="4" fillId="5" fontId="12" numFmtId="0" xfId="0" applyAlignment="1" applyBorder="1" applyFont="1">
      <alignment horizontal="center" readingOrder="0" vertical="bottom"/>
    </xf>
    <xf borderId="4" fillId="0" fontId="2" numFmtId="0" xfId="0" applyBorder="1" applyFont="1"/>
    <xf borderId="4" fillId="0" fontId="12" numFmtId="0" xfId="0" applyAlignment="1" applyBorder="1" applyFont="1">
      <alignment horizontal="center" readingOrder="0"/>
    </xf>
    <xf borderId="4" fillId="0" fontId="2" numFmtId="0" xfId="0" applyAlignment="1" applyBorder="1" applyFont="1">
      <alignment shrinkToFit="0" vertical="center" wrapText="1"/>
    </xf>
    <xf borderId="4" fillId="8" fontId="1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left" shrinkToFit="0" vertical="center" wrapText="1"/>
    </xf>
    <xf borderId="1" fillId="10" fontId="5" numFmtId="0" xfId="0" applyAlignment="1" applyBorder="1" applyFont="1">
      <alignment horizontal="center" shrinkToFit="0" vertical="center" wrapText="1"/>
    </xf>
    <xf borderId="1" fillId="10" fontId="5" numFmtId="165" xfId="0" applyAlignment="1" applyBorder="1" applyFont="1" applyNumberFormat="1">
      <alignment horizontal="center" shrinkToFit="1" vertical="center" wrapText="0"/>
    </xf>
    <xf borderId="4" fillId="5" fontId="2" numFmtId="0" xfId="0" applyAlignment="1" applyBorder="1" applyFont="1">
      <alignment horizontal="left" readingOrder="0" shrinkToFit="0" vertical="center" wrapText="1"/>
    </xf>
    <xf borderId="4" fillId="6" fontId="2" numFmtId="0" xfId="0" applyBorder="1" applyFont="1"/>
    <xf borderId="4" fillId="5" fontId="29" numFmtId="0" xfId="0" applyAlignment="1" applyBorder="1" applyFont="1">
      <alignment horizontal="left" vertical="center"/>
    </xf>
    <xf borderId="22" fillId="15" fontId="6" numFmtId="166" xfId="0" applyAlignment="1" applyBorder="1" applyFill="1" applyFont="1" applyNumberFormat="1">
      <alignment horizontal="left" shrinkToFit="0" vertical="center" wrapText="1"/>
    </xf>
    <xf borderId="23" fillId="0" fontId="7" numFmtId="0" xfId="0" applyBorder="1" applyFont="1"/>
    <xf borderId="4" fillId="0" fontId="24" numFmtId="0" xfId="0" applyBorder="1" applyFont="1"/>
    <xf borderId="4" fillId="0" fontId="24" numFmtId="0" xfId="0" applyAlignment="1" applyBorder="1" applyFont="1">
      <alignment horizontal="center"/>
    </xf>
    <xf borderId="4" fillId="0" fontId="19" numFmtId="0" xfId="0" applyBorder="1" applyFont="1"/>
    <xf borderId="4" fillId="0" fontId="14" numFmtId="0" xfId="0" applyBorder="1" applyFont="1"/>
    <xf borderId="4" fillId="0" fontId="25" numFmtId="0" xfId="0" applyAlignment="1" applyBorder="1" applyFont="1">
      <alignment horizontal="center"/>
    </xf>
    <xf borderId="4" fillId="0" fontId="25" numFmtId="0" xfId="0" applyAlignment="1" applyBorder="1" applyFont="1">
      <alignment horizontal="left" shrinkToFit="0" vertical="center" wrapText="1"/>
    </xf>
    <xf borderId="4" fillId="6" fontId="10" numFmtId="0" xfId="0" applyBorder="1" applyFont="1"/>
    <xf borderId="4" fillId="0" fontId="10" numFmtId="0" xfId="0" applyBorder="1" applyFont="1"/>
    <xf borderId="4" fillId="5" fontId="10" numFmtId="0" xfId="0" applyBorder="1" applyFont="1"/>
    <xf borderId="4" fillId="5" fontId="10" numFmtId="0" xfId="0" applyAlignment="1" applyBorder="1" applyFont="1">
      <alignment horizontal="center"/>
    </xf>
    <xf borderId="4" fillId="0" fontId="25" numFmtId="0" xfId="0" applyBorder="1" applyFont="1"/>
    <xf borderId="4" fillId="0" fontId="13" numFmtId="0" xfId="0" applyAlignment="1" applyBorder="1" applyFont="1">
      <alignment vertical="center"/>
    </xf>
    <xf borderId="4" fillId="0" fontId="13" numFmtId="0" xfId="0" applyAlignment="1" applyBorder="1" applyFont="1">
      <alignment horizontal="center"/>
    </xf>
    <xf borderId="17" fillId="0" fontId="14" numFmtId="0" xfId="0" applyBorder="1" applyFont="1"/>
    <xf borderId="4" fillId="0" fontId="12" numFmtId="0" xfId="0" applyAlignment="1" applyBorder="1" applyFont="1">
      <alignment horizontal="left" vertical="bottom"/>
    </xf>
    <xf borderId="4" fillId="6" fontId="12" numFmtId="0" xfId="0" applyAlignment="1" applyBorder="1" applyFont="1">
      <alignment horizontal="left" vertical="bottom"/>
    </xf>
    <xf borderId="7" fillId="0" fontId="25" numFmtId="0" xfId="0" applyAlignment="1" applyBorder="1" applyFont="1">
      <alignment horizontal="left" shrinkToFit="0" vertical="center" wrapText="1"/>
    </xf>
    <xf borderId="1" fillId="0" fontId="24" numFmtId="0" xfId="0" applyAlignment="1" applyBorder="1" applyFont="1">
      <alignment horizontal="center"/>
    </xf>
    <xf borderId="3" fillId="0" fontId="25" numFmtId="0" xfId="0" applyAlignment="1" applyBorder="1" applyFont="1">
      <alignment horizontal="center"/>
    </xf>
    <xf borderId="9" fillId="0" fontId="25" numFmtId="0" xfId="0" applyAlignment="1" applyBorder="1" applyFont="1">
      <alignment horizontal="left" shrinkToFit="0" vertical="center" wrapText="1"/>
    </xf>
    <xf borderId="4" fillId="0" fontId="23" numFmtId="0" xfId="0" applyAlignment="1" applyBorder="1" applyFont="1">
      <alignment readingOrder="0"/>
    </xf>
    <xf borderId="4" fillId="6" fontId="5" numFmtId="0" xfId="0" applyAlignment="1" applyBorder="1" applyFont="1">
      <alignment readingOrder="0"/>
    </xf>
    <xf borderId="4" fillId="2" fontId="12" numFmtId="0" xfId="0" applyBorder="1" applyFont="1"/>
    <xf borderId="4" fillId="2" fontId="5" numFmtId="0" xfId="0" applyBorder="1" applyFont="1"/>
    <xf borderId="24" fillId="15" fontId="6" numFmtId="166" xfId="0" applyAlignment="1" applyBorder="1" applyFont="1" applyNumberFormat="1">
      <alignment horizontal="left" shrinkToFit="0" vertical="center" wrapText="1"/>
    </xf>
    <xf borderId="25" fillId="0" fontId="7" numFmtId="0" xfId="0" applyBorder="1" applyFont="1"/>
    <xf borderId="4" fillId="0" fontId="24" numFmtId="0" xfId="0" applyAlignment="1" applyBorder="1" applyFont="1">
      <alignment horizontal="center" vertical="bottom"/>
    </xf>
    <xf borderId="4" fillId="5" fontId="30" numFmtId="0" xfId="0" applyAlignment="1" applyBorder="1" applyFont="1">
      <alignment vertical="bottom"/>
    </xf>
    <xf borderId="4" fillId="0" fontId="24" numFmtId="0" xfId="0" applyAlignment="1" applyBorder="1" applyFont="1">
      <alignment vertical="bottom"/>
    </xf>
    <xf borderId="4" fillId="11" fontId="12" numFmtId="0" xfId="0" applyAlignment="1" applyBorder="1" applyFont="1">
      <alignment readingOrder="0" shrinkToFit="0" wrapText="1"/>
    </xf>
    <xf borderId="4" fillId="5" fontId="13" numFmtId="0" xfId="0" applyAlignment="1" applyBorder="1" applyFont="1">
      <alignment readingOrder="0"/>
    </xf>
    <xf borderId="4" fillId="11" fontId="12" numFmtId="0" xfId="0" applyAlignment="1" applyBorder="1" applyFont="1">
      <alignment readingOrder="0"/>
    </xf>
    <xf borderId="4" fillId="11" fontId="12" numFmtId="0" xfId="0" applyBorder="1" applyFont="1"/>
    <xf borderId="1" fillId="3" fontId="5" numFmtId="0" xfId="0" applyAlignment="1" applyBorder="1" applyFont="1">
      <alignment horizontal="center" shrinkToFit="0" wrapText="1"/>
    </xf>
    <xf borderId="4" fillId="11" fontId="12" numFmtId="0" xfId="0" applyAlignment="1" applyBorder="1" applyFont="1">
      <alignment vertical="bottom"/>
    </xf>
    <xf borderId="0" fillId="12" fontId="23" numFmtId="0" xfId="0" applyAlignment="1" applyFont="1">
      <alignment readingOrder="0"/>
    </xf>
    <xf borderId="4" fillId="5" fontId="5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vertical="bottom" wrapText="1"/>
    </xf>
    <xf borderId="4" fillId="0" fontId="8" numFmtId="0" xfId="0" applyAlignment="1" applyBorder="1" applyFont="1">
      <alignment horizontal="center" shrinkToFit="0" vertical="center" wrapText="1"/>
    </xf>
    <xf borderId="4" fillId="6" fontId="30" numFmtId="0" xfId="0" applyAlignment="1" applyBorder="1" applyFont="1">
      <alignment vertical="bottom"/>
    </xf>
    <xf borderId="0" fillId="0" fontId="5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top" wrapText="1"/>
    </xf>
    <xf borderId="22" fillId="15" fontId="6" numFmtId="164" xfId="0" applyAlignment="1" applyBorder="1" applyFont="1" applyNumberFormat="1">
      <alignment horizontal="left" shrinkToFit="0" vertical="top" wrapText="1"/>
    </xf>
    <xf borderId="1" fillId="2" fontId="13" numFmtId="165" xfId="0" applyAlignment="1" applyBorder="1" applyFont="1" applyNumberFormat="1">
      <alignment horizontal="center" vertical="bottom"/>
    </xf>
    <xf borderId="4" fillId="5" fontId="22" numFmtId="0" xfId="0" applyBorder="1" applyFont="1"/>
    <xf borderId="3" fillId="0" fontId="12" numFmtId="0" xfId="0" applyAlignment="1" applyBorder="1" applyFont="1">
      <alignment vertical="bottom"/>
    </xf>
    <xf borderId="4" fillId="6" fontId="22" numFmtId="0" xfId="0" applyAlignment="1" applyBorder="1" applyFont="1">
      <alignment vertical="bottom"/>
    </xf>
    <xf borderId="4" fillId="6" fontId="12" numFmtId="0" xfId="0" applyAlignment="1" applyBorder="1" applyFont="1">
      <alignment horizontal="center" vertical="bottom"/>
    </xf>
    <xf borderId="4" fillId="5" fontId="22" numFmtId="0" xfId="0" applyAlignment="1" applyBorder="1" applyFont="1">
      <alignment readingOrder="0"/>
    </xf>
    <xf borderId="3" fillId="12" fontId="12" numFmtId="0" xfId="0" applyAlignment="1" applyBorder="1" applyFont="1">
      <alignment readingOrder="0" vertical="bottom"/>
    </xf>
    <xf borderId="4" fillId="12" fontId="12" numFmtId="0" xfId="0" applyAlignment="1" applyBorder="1" applyFont="1">
      <alignment readingOrder="0" vertical="bottom"/>
    </xf>
    <xf borderId="4" fillId="0" fontId="22" numFmtId="0" xfId="0" applyAlignment="1" applyBorder="1" applyFont="1">
      <alignment readingOrder="0"/>
    </xf>
    <xf borderId="4" fillId="5" fontId="13" numFmtId="0" xfId="0" applyAlignment="1" applyBorder="1" applyFont="1">
      <alignment vertical="bottom"/>
    </xf>
    <xf borderId="4" fillId="0" fontId="13" numFmtId="0" xfId="0" applyAlignment="1" applyBorder="1" applyFont="1">
      <alignment vertical="bottom"/>
    </xf>
    <xf borderId="4" fillId="0" fontId="31" numFmtId="0" xfId="0" applyAlignment="1" applyBorder="1" applyFont="1">
      <alignment horizontal="center"/>
    </xf>
    <xf borderId="4" fillId="0" fontId="14" numFmtId="0" xfId="0" applyAlignment="1" applyBorder="1" applyFont="1">
      <alignment horizontal="left" shrinkToFit="0" vertical="center" wrapText="1"/>
    </xf>
    <xf borderId="4" fillId="6" fontId="10" numFmtId="0" xfId="0" applyAlignment="1" applyBorder="1" applyFont="1">
      <alignment readingOrder="0"/>
    </xf>
    <xf borderId="0" fillId="0" fontId="24" numFmtId="0" xfId="0" applyAlignment="1" applyFont="1">
      <alignment horizontal="center"/>
    </xf>
    <xf borderId="4" fillId="6" fontId="13" numFmtId="0" xfId="0" applyAlignment="1" applyBorder="1" applyFont="1">
      <alignment readingOrder="0"/>
    </xf>
    <xf borderId="22" fillId="5" fontId="6" numFmtId="164" xfId="0" applyAlignment="1" applyBorder="1" applyFont="1" applyNumberFormat="1">
      <alignment horizontal="left" shrinkToFit="0" vertical="top" wrapText="1"/>
    </xf>
    <xf borderId="0" fillId="0" fontId="32" numFmtId="0" xfId="0" applyAlignment="1" applyFont="1">
      <alignment horizontal="center" shrinkToFit="0" vertical="center" wrapText="1"/>
    </xf>
    <xf borderId="17" fillId="0" fontId="22" numFmtId="0" xfId="0" applyBorder="1" applyFont="1"/>
    <xf borderId="4" fillId="5" fontId="13" numFmtId="0" xfId="0" applyAlignment="1" applyBorder="1" applyFont="1">
      <alignment vertical="center"/>
    </xf>
    <xf borderId="26" fillId="3" fontId="5" numFmtId="0" xfId="0" applyAlignment="1" applyBorder="1" applyFont="1">
      <alignment horizontal="center" vertical="bottom"/>
    </xf>
    <xf borderId="27" fillId="0" fontId="7" numFmtId="0" xfId="0" applyBorder="1" applyFont="1"/>
    <xf borderId="16" fillId="0" fontId="7" numFmtId="0" xfId="0" applyBorder="1" applyFont="1"/>
    <xf borderId="4" fillId="0" fontId="1" numFmtId="0" xfId="0" applyBorder="1" applyFont="1"/>
    <xf borderId="1" fillId="3" fontId="13" numFmtId="0" xfId="0" applyAlignment="1" applyBorder="1" applyFont="1">
      <alignment horizontal="center"/>
    </xf>
    <xf borderId="4" fillId="0" fontId="33" numFmtId="0" xfId="0" applyBorder="1" applyFont="1"/>
    <xf borderId="4" fillId="6" fontId="22" numFmtId="0" xfId="0" applyBorder="1" applyFont="1"/>
    <xf borderId="4" fillId="0" fontId="11" numFmtId="0" xfId="0" applyAlignment="1" applyBorder="1" applyFont="1">
      <alignment vertical="bottom"/>
    </xf>
    <xf borderId="4" fillId="0" fontId="10" numFmtId="0" xfId="0" applyAlignment="1" applyBorder="1" applyFont="1">
      <alignment readingOrder="0"/>
    </xf>
    <xf borderId="4" fillId="6" fontId="34" numFmtId="0" xfId="0" applyBorder="1" applyFont="1"/>
    <xf borderId="4" fillId="11" fontId="12" numFmtId="0" xfId="0" applyAlignment="1" applyBorder="1" applyFont="1">
      <alignment vertical="bottom"/>
    </xf>
    <xf borderId="4" fillId="5" fontId="10" numFmtId="0" xfId="0" applyAlignment="1" applyBorder="1" applyFont="1">
      <alignment readingOrder="0"/>
    </xf>
    <xf borderId="1" fillId="0" fontId="12" numFmtId="0" xfId="0" applyAlignment="1" applyBorder="1" applyFont="1">
      <alignment vertical="bottom"/>
    </xf>
    <xf borderId="4" fillId="0" fontId="12" numFmtId="0" xfId="0" applyAlignment="1" applyBorder="1" applyFont="1">
      <alignment readingOrder="0"/>
    </xf>
    <xf borderId="4" fillId="12" fontId="33" numFmtId="0" xfId="0" applyBorder="1" applyFont="1"/>
    <xf borderId="4" fillId="12" fontId="11" numFmtId="0" xfId="0" applyAlignment="1" applyBorder="1" applyFont="1">
      <alignment vertical="bottom"/>
    </xf>
    <xf borderId="4" fillId="2" fontId="10" numFmtId="0" xfId="0" applyBorder="1" applyFont="1"/>
    <xf borderId="4" fillId="0" fontId="22" numFmtId="0" xfId="0" applyAlignment="1" applyBorder="1" applyFont="1">
      <alignment vertical="bottom"/>
    </xf>
    <xf borderId="1" fillId="2" fontId="5" numFmtId="0" xfId="0" applyAlignment="1" applyBorder="1" applyFont="1">
      <alignment horizontal="center" readingOrder="0" shrinkToFit="0" vertical="center" wrapText="1"/>
    </xf>
    <xf borderId="3" fillId="8" fontId="12" numFmtId="0" xfId="0" applyAlignment="1" applyBorder="1" applyFont="1">
      <alignment vertical="bottom"/>
    </xf>
    <xf borderId="4" fillId="8" fontId="33" numFmtId="0" xfId="0" applyBorder="1" applyFont="1"/>
    <xf borderId="4" fillId="8" fontId="11" numFmtId="0" xfId="0" applyAlignment="1" applyBorder="1" applyFont="1">
      <alignment vertical="bottom"/>
    </xf>
    <xf borderId="4" fillId="6" fontId="1" numFmtId="0" xfId="0" applyBorder="1" applyFont="1"/>
    <xf borderId="4" fillId="0" fontId="13" numFmtId="0" xfId="0" applyAlignment="1" applyBorder="1" applyFont="1">
      <alignment readingOrder="0" vertical="center"/>
    </xf>
    <xf borderId="0" fillId="0" fontId="28" numFmtId="0" xfId="0" applyAlignment="1" applyFont="1">
      <alignment readingOrder="0" shrinkToFit="0" vertical="bottom" wrapText="1"/>
    </xf>
    <xf borderId="0" fillId="0" fontId="35" numFmtId="0" xfId="0" applyAlignment="1" applyFont="1">
      <alignment vertical="bottom"/>
    </xf>
    <xf borderId="0" fillId="0" fontId="5" numFmtId="0" xfId="0" applyAlignment="1" applyFont="1">
      <alignment horizontal="left" readingOrder="0" shrinkToFit="0" vertical="center" wrapText="1"/>
    </xf>
    <xf borderId="0" fillId="0" fontId="35" numFmtId="164" xfId="0" applyAlignment="1" applyFont="1" applyNumberFormat="1">
      <alignment vertical="bottom"/>
    </xf>
    <xf borderId="0" fillId="0" fontId="35" numFmtId="0" xfId="0" applyAlignment="1" applyFont="1">
      <alignment vertical="top"/>
    </xf>
    <xf borderId="4" fillId="0" fontId="35" numFmtId="0" xfId="0" applyAlignment="1" applyBorder="1" applyFont="1">
      <alignment vertical="bottom"/>
    </xf>
    <xf borderId="4" fillId="11" fontId="35" numFmtId="0" xfId="0" applyAlignment="1" applyBorder="1" applyFont="1">
      <alignment readingOrder="0" vertical="bottom"/>
    </xf>
    <xf borderId="4" fillId="0" fontId="35" numFmtId="0" xfId="0" applyAlignment="1" applyBorder="1" applyFont="1">
      <alignment readingOrder="0" vertical="bottom"/>
    </xf>
    <xf borderId="4" fillId="0" fontId="15" numFmtId="0" xfId="0" applyAlignment="1" applyBorder="1" applyFont="1">
      <alignment vertical="bottom"/>
    </xf>
    <xf borderId="4" fillId="11" fontId="15" numFmtId="0" xfId="0" applyAlignment="1" applyBorder="1" applyFont="1">
      <alignment vertical="bottom"/>
    </xf>
    <xf borderId="4" fillId="11" fontId="15" numFmtId="0" xfId="0" applyAlignment="1" applyBorder="1" applyFont="1">
      <alignment readingOrder="0" vertical="bottom"/>
    </xf>
    <xf borderId="4" fillId="11" fontId="35" numFmtId="0" xfId="0" applyAlignment="1" applyBorder="1" applyFont="1">
      <alignment vertical="bottom"/>
    </xf>
    <xf borderId="4" fillId="0" fontId="15" numFmtId="0" xfId="0" applyAlignment="1" applyBorder="1" applyFont="1">
      <alignment readingOrder="0" vertical="bottom"/>
    </xf>
    <xf borderId="4" fillId="16" fontId="35" numFmtId="0" xfId="0" applyAlignment="1" applyBorder="1" applyFill="1" applyFont="1">
      <alignment readingOrder="0" vertical="bottom"/>
    </xf>
    <xf borderId="4" fillId="8" fontId="22" numFmtId="0" xfId="0" applyBorder="1" applyFont="1"/>
    <xf borderId="0" fillId="0" fontId="23" numFmtId="0" xfId="0" applyAlignment="1" applyFont="1">
      <alignment readingOrder="0"/>
    </xf>
    <xf borderId="4" fillId="11" fontId="12" numFmtId="0" xfId="0" applyAlignment="1" applyBorder="1" applyFont="1">
      <alignment shrinkToFit="0" wrapText="1"/>
    </xf>
    <xf borderId="4" fillId="6" fontId="28" numFmtId="0" xfId="0" applyAlignment="1" applyBorder="1" applyFont="1">
      <alignment vertical="bottom"/>
    </xf>
    <xf borderId="4" fillId="0" fontId="28" numFmtId="0" xfId="0" applyAlignment="1" applyBorder="1" applyFont="1">
      <alignment shrinkToFit="0" vertical="bottom" wrapText="1"/>
    </xf>
    <xf borderId="4" fillId="6" fontId="35" numFmtId="0" xfId="0" applyAlignment="1" applyBorder="1" applyFont="1">
      <alignment vertical="bottom"/>
    </xf>
    <xf borderId="4" fillId="0" fontId="35" numFmtId="165" xfId="0" applyAlignment="1" applyBorder="1" applyFont="1" applyNumberFormat="1">
      <alignment vertical="bottom"/>
    </xf>
    <xf borderId="4" fillId="0" fontId="36" numFmtId="0" xfId="0" applyAlignment="1" applyBorder="1" applyFont="1">
      <alignment vertical="bottom"/>
    </xf>
    <xf borderId="1" fillId="2" fontId="35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1"/>
    </xf>
    <xf borderId="0" fillId="0" fontId="11" numFmtId="0" xfId="0" applyFont="1"/>
    <xf borderId="0" fillId="0" fontId="37" numFmtId="0" xfId="0" applyAlignment="1" applyFont="1">
      <alignment horizontal="center" readingOrder="0" shrinkToFit="0" wrapText="1"/>
    </xf>
    <xf borderId="0" fillId="0" fontId="28" numFmtId="0" xfId="0" applyAlignment="1" applyFont="1">
      <alignment shrinkToFit="0" wrapText="1"/>
    </xf>
    <xf borderId="1" fillId="2" fontId="11" numFmtId="165" xfId="0" applyAlignment="1" applyBorder="1" applyFont="1" applyNumberFormat="1">
      <alignment vertical="bottom"/>
    </xf>
    <xf borderId="1" fillId="2" fontId="8" numFmtId="167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14" fillId="0" fontId="24" numFmtId="0" xfId="0" applyAlignment="1" applyBorder="1" applyFont="1">
      <alignment horizontal="center" vertical="bottom"/>
    </xf>
    <xf borderId="13" fillId="0" fontId="24" numFmtId="0" xfId="0" applyAlignment="1" applyBorder="1" applyFont="1">
      <alignment vertical="bottom"/>
    </xf>
    <xf borderId="21" fillId="0" fontId="24" numFmtId="0" xfId="0" applyAlignment="1" applyBorder="1" applyFont="1">
      <alignment horizontal="center" vertical="bottom"/>
    </xf>
    <xf borderId="13" fillId="0" fontId="11" numFmtId="0" xfId="0" applyAlignment="1" applyBorder="1" applyFont="1">
      <alignment vertical="bottom"/>
    </xf>
    <xf borderId="1" fillId="4" fontId="5" numFmtId="0" xfId="0" applyAlignment="1" applyBorder="1" applyFont="1">
      <alignment horizontal="center" shrinkToFit="0" wrapText="1"/>
    </xf>
    <xf borderId="1" fillId="4" fontId="8" numFmtId="16" xfId="0" applyAlignment="1" applyBorder="1" applyFont="1" applyNumberFormat="1">
      <alignment horizontal="center" shrinkToFit="0" wrapText="1"/>
    </xf>
    <xf borderId="1" fillId="4" fontId="5" numFmtId="165" xfId="0" applyAlignment="1" applyBorder="1" applyFont="1" applyNumberFormat="1">
      <alignment horizontal="center"/>
    </xf>
    <xf borderId="1" fillId="4" fontId="8" numFmtId="165" xfId="0" applyAlignment="1" applyBorder="1" applyFont="1" applyNumberFormat="1">
      <alignment horizontal="center"/>
    </xf>
    <xf borderId="4" fillId="6" fontId="11" numFmtId="0" xfId="0" applyAlignment="1" applyBorder="1" applyFont="1">
      <alignment readingOrder="0" vertical="bottom"/>
    </xf>
    <xf borderId="1" fillId="2" fontId="5" numFmtId="0" xfId="0" applyAlignment="1" applyBorder="1" applyFont="1">
      <alignment horizontal="center" shrinkToFit="0" wrapText="1"/>
    </xf>
    <xf borderId="1" fillId="2" fontId="8" numFmtId="0" xfId="0" applyAlignment="1" applyBorder="1" applyFont="1">
      <alignment horizontal="center" shrinkToFit="0" wrapText="1"/>
    </xf>
    <xf borderId="1" fillId="2" fontId="8" numFmtId="165" xfId="0" applyAlignment="1" applyBorder="1" applyFont="1" applyNumberFormat="1">
      <alignment horizontal="center"/>
    </xf>
    <xf borderId="4" fillId="0" fontId="30" numFmtId="0" xfId="0" applyAlignment="1" applyBorder="1" applyFont="1">
      <alignment vertical="bottom"/>
    </xf>
    <xf borderId="7" fillId="0" fontId="5" numFmtId="0" xfId="0" applyAlignment="1" applyBorder="1" applyFont="1">
      <alignment horizontal="center" readingOrder="0" vertical="center"/>
    </xf>
    <xf borderId="28" fillId="17" fontId="5" numFmtId="0" xfId="0" applyAlignment="1" applyBorder="1" applyFill="1" applyFont="1">
      <alignment horizontal="center"/>
    </xf>
    <xf borderId="4" fillId="3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readingOrder="0" vertical="bottom"/>
    </xf>
    <xf borderId="4" fillId="3" fontId="36" numFmtId="0" xfId="0" applyAlignment="1" applyBorder="1" applyFont="1">
      <alignment vertical="bottom"/>
    </xf>
    <xf borderId="1" fillId="4" fontId="8" numFmtId="0" xfId="0" applyAlignment="1" applyBorder="1" applyFont="1">
      <alignment horizontal="center" shrinkToFit="0" wrapText="1"/>
    </xf>
    <xf borderId="1" fillId="10" fontId="8" numFmtId="0" xfId="0" applyAlignment="1" applyBorder="1" applyFont="1">
      <alignment horizontal="center" shrinkToFit="0" wrapText="1"/>
    </xf>
    <xf borderId="1" fillId="10" fontId="8" numFmtId="165" xfId="0" applyAlignment="1" applyBorder="1" applyFont="1" applyNumberFormat="1">
      <alignment horizontal="center"/>
    </xf>
    <xf borderId="4" fillId="6" fontId="11" numFmtId="0" xfId="0" applyAlignment="1" applyBorder="1" applyFont="1">
      <alignment vertical="bottom"/>
    </xf>
    <xf borderId="13" fillId="0" fontId="7" numFmtId="0" xfId="0" applyBorder="1" applyFont="1"/>
    <xf borderId="4" fillId="8" fontId="11" numFmtId="0" xfId="0" applyAlignment="1" applyBorder="1" applyFont="1">
      <alignment vertical="bottom"/>
    </xf>
    <xf borderId="1" fillId="10" fontId="5" numFmtId="0" xfId="0" applyAlignment="1" applyBorder="1" applyFont="1">
      <alignment horizontal="center" shrinkToFit="0" wrapText="1"/>
    </xf>
    <xf borderId="1" fillId="10" fontId="5" numFmtId="165" xfId="0" applyAlignment="1" applyBorder="1" applyFont="1" applyNumberFormat="1">
      <alignment horizontal="center"/>
    </xf>
    <xf borderId="0" fillId="0" fontId="12" numFmtId="0" xfId="0" applyAlignment="1" applyFont="1">
      <alignment vertical="top"/>
    </xf>
    <xf borderId="0" fillId="0" fontId="11" numFmtId="164" xfId="0" applyAlignment="1" applyFont="1" applyNumberFormat="1">
      <alignment vertical="bottom"/>
    </xf>
    <xf borderId="17" fillId="3" fontId="11" numFmtId="0" xfId="0" applyAlignment="1" applyBorder="1" applyFont="1">
      <alignment vertical="bottom"/>
    </xf>
    <xf borderId="17" fillId="0" fontId="11" numFmtId="0" xfId="0" applyAlignment="1" applyBorder="1" applyFont="1">
      <alignment vertical="bottom"/>
    </xf>
    <xf borderId="0" fillId="6" fontId="11" numFmtId="0" xfId="0" applyAlignment="1" applyFont="1">
      <alignment vertical="bottom"/>
    </xf>
    <xf borderId="17" fillId="2" fontId="11" numFmtId="0" xfId="0" applyAlignment="1" applyBorder="1" applyFont="1">
      <alignment vertical="bottom"/>
    </xf>
    <xf borderId="17" fillId="11" fontId="11" numFmtId="0" xfId="0" applyAlignment="1" applyBorder="1" applyFont="1">
      <alignment vertical="bottom"/>
    </xf>
    <xf borderId="0" fillId="0" fontId="28" numFmtId="0" xfId="0" applyAlignment="1" applyFont="1">
      <alignment shrinkToFit="0" vertical="bottom" wrapText="1"/>
    </xf>
    <xf borderId="1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4" fillId="11" fontId="5" numFmtId="0" xfId="0" applyAlignment="1" applyBorder="1" applyFont="1">
      <alignment shrinkToFit="0" vertical="bottom" wrapText="1"/>
    </xf>
    <xf borderId="4" fillId="5" fontId="13" numFmtId="0" xfId="0" applyAlignment="1" applyBorder="1" applyFont="1">
      <alignment horizontal="left" readingOrder="0" shrinkToFit="0" vertical="center" wrapText="1"/>
    </xf>
    <xf borderId="4" fillId="5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horizontal="center" readingOrder="0" vertical="bottom"/>
    </xf>
    <xf borderId="1" fillId="4" fontId="35" numFmtId="0" xfId="0" applyAlignment="1" applyBorder="1" applyFont="1">
      <alignment vertical="bottom"/>
    </xf>
    <xf borderId="1" fillId="4" fontId="35" numFmtId="165" xfId="0" applyAlignment="1" applyBorder="1" applyFont="1" applyNumberFormat="1">
      <alignment vertical="bottom"/>
    </xf>
    <xf borderId="4" fillId="8" fontId="25" numFmtId="0" xfId="0" applyAlignment="1" applyBorder="1" applyFont="1">
      <alignment horizontal="center"/>
    </xf>
    <xf borderId="4" fillId="14" fontId="38" numFmtId="0" xfId="0" applyAlignment="1" applyBorder="1" applyFont="1">
      <alignment shrinkToFit="0" wrapText="1"/>
    </xf>
    <xf borderId="4" fillId="8" fontId="39" numFmtId="0" xfId="0" applyAlignment="1" applyBorder="1" applyFont="1">
      <alignment horizontal="center"/>
    </xf>
    <xf borderId="4" fillId="14" fontId="12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vertical="bottom"/>
    </xf>
    <xf borderId="1" fillId="0" fontId="35" numFmtId="0" xfId="0" applyAlignment="1" applyBorder="1" applyFont="1">
      <alignment vertical="top"/>
    </xf>
    <xf borderId="1" fillId="2" fontId="5" numFmtId="165" xfId="0" applyAlignment="1" applyBorder="1" applyFont="1" applyNumberFormat="1">
      <alignment horizontal="center" readingOrder="0" vertical="bottom"/>
    </xf>
    <xf borderId="1" fillId="11" fontId="28" numFmtId="0" xfId="0" applyAlignment="1" applyBorder="1" applyFont="1">
      <alignment horizontal="center" readingOrder="0" vertical="bottom"/>
    </xf>
    <xf borderId="4" fillId="0" fontId="38" numFmtId="0" xfId="0" applyAlignment="1" applyBorder="1" applyFont="1">
      <alignment shrinkToFit="0" vertical="bottom" wrapText="1"/>
    </xf>
    <xf borderId="4" fillId="0" fontId="38" numFmtId="0" xfId="0" applyAlignment="1" applyBorder="1" applyFont="1">
      <alignment vertical="bottom"/>
    </xf>
    <xf borderId="4" fillId="6" fontId="38" numFmtId="0" xfId="0" applyAlignment="1" applyBorder="1" applyFont="1">
      <alignment vertical="bottom"/>
    </xf>
    <xf borderId="4" fillId="8" fontId="38" numFmtId="0" xfId="0" applyAlignment="1" applyBorder="1" applyFont="1">
      <alignment shrinkToFit="0" wrapText="1"/>
    </xf>
    <xf borderId="4" fillId="6" fontId="38" numFmtId="0" xfId="0" applyAlignment="1" applyBorder="1" applyFont="1">
      <alignment shrinkToFit="0" wrapText="1"/>
    </xf>
    <xf borderId="4" fillId="5" fontId="34" numFmtId="0" xfId="0" applyAlignment="1" applyBorder="1" applyFont="1">
      <alignment vertical="bottom"/>
    </xf>
    <xf borderId="4" fillId="0" fontId="40" numFmtId="0" xfId="0" applyAlignment="1" applyBorder="1" applyFont="1">
      <alignment readingOrder="0" vertical="bottom"/>
    </xf>
    <xf borderId="4" fillId="3" fontId="38" numFmtId="0" xfId="0" applyAlignment="1" applyBorder="1" applyFont="1">
      <alignment vertical="bottom"/>
    </xf>
    <xf borderId="4" fillId="6" fontId="34" numFmtId="0" xfId="0" applyAlignment="1" applyBorder="1" applyFont="1">
      <alignment readingOrder="0" vertical="bottom"/>
    </xf>
    <xf borderId="4" fillId="3" fontId="38" numFmtId="0" xfId="0" applyAlignment="1" applyBorder="1" applyFont="1">
      <alignment shrinkToFit="0" wrapText="1"/>
    </xf>
    <xf borderId="4" fillId="0" fontId="40" numFmtId="0" xfId="0" applyAlignment="1" applyBorder="1" applyFont="1">
      <alignment vertical="bottom"/>
    </xf>
    <xf borderId="28" fillId="0" fontId="5" numFmtId="0" xfId="0" applyAlignment="1" applyBorder="1" applyFont="1">
      <alignment horizontal="center"/>
    </xf>
    <xf borderId="7" fillId="0" fontId="5" numFmtId="0" xfId="0" applyAlignment="1" applyBorder="1" applyFont="1">
      <alignment horizontal="center" vertical="center"/>
    </xf>
    <xf borderId="29" fillId="0" fontId="5" numFmtId="0" xfId="0" applyAlignment="1" applyBorder="1" applyFont="1">
      <alignment horizontal="center"/>
    </xf>
    <xf borderId="29" fillId="17" fontId="5" numFmtId="0" xfId="0" applyAlignment="1" applyBorder="1" applyFont="1">
      <alignment horizontal="center"/>
    </xf>
    <xf borderId="9" fillId="0" fontId="5" numFmtId="0" xfId="0" applyAlignment="1" applyBorder="1" applyFont="1">
      <alignment horizontal="center" vertical="center"/>
    </xf>
    <xf borderId="0" fillId="0" fontId="24" numFmtId="0" xfId="0" applyAlignment="1" applyFont="1">
      <alignment horizontal="center" vertical="bottom"/>
    </xf>
    <xf borderId="0" fillId="0" fontId="25" numFmtId="0" xfId="0" applyAlignment="1" applyFont="1">
      <alignment horizontal="center" vertical="bottom"/>
    </xf>
    <xf borderId="0" fillId="0" fontId="22" numFmtId="0" xfId="0" applyFont="1"/>
    <xf borderId="0" fillId="0" fontId="12" numFmtId="0" xfId="0" applyAlignment="1" applyFont="1">
      <alignment shrinkToFit="0" wrapText="1"/>
    </xf>
    <xf borderId="4" fillId="17" fontId="5" numFmtId="0" xfId="0" applyAlignment="1" applyBorder="1" applyFont="1">
      <alignment horizontal="center"/>
    </xf>
    <xf borderId="1" fillId="0" fontId="35" numFmtId="0" xfId="0" applyAlignment="1" applyBorder="1" applyFont="1">
      <alignment horizontal="center" vertical="bottom"/>
    </xf>
    <xf borderId="2" fillId="0" fontId="35" numFmtId="0" xfId="0" applyAlignment="1" applyBorder="1" applyFont="1">
      <alignment horizontal="center" vertical="bottom"/>
    </xf>
    <xf borderId="3" fillId="0" fontId="35" numFmtId="0" xfId="0" applyAlignment="1" applyBorder="1" applyFont="1">
      <alignment horizontal="center" vertical="bottom"/>
    </xf>
    <xf borderId="0" fillId="0" fontId="12" numFmtId="0" xfId="0" applyAlignment="1" applyFont="1">
      <alignment readingOrder="0"/>
    </xf>
    <xf borderId="0" fillId="0" fontId="35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1" fillId="2" fontId="5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/>
    </xf>
    <xf borderId="0" fillId="6" fontId="12" numFmtId="0" xfId="0" applyAlignment="1" applyFont="1">
      <alignment shrinkToFit="0" wrapText="1"/>
    </xf>
    <xf borderId="0" fillId="0" fontId="14" numFmtId="0" xfId="0" applyAlignment="1" applyFont="1">
      <alignment vertical="bottom"/>
    </xf>
    <xf borderId="4" fillId="17" fontId="5" numFmtId="0" xfId="0" applyAlignment="1" applyBorder="1" applyFont="1">
      <alignment horizontal="center" readingOrder="0"/>
    </xf>
    <xf borderId="0" fillId="0" fontId="30" numFmtId="0" xfId="0" applyAlignment="1" applyFont="1">
      <alignment vertical="bottom"/>
    </xf>
    <xf borderId="0" fillId="0" fontId="30" numFmtId="0" xfId="0" applyAlignment="1" applyFont="1">
      <alignment vertical="top"/>
    </xf>
    <xf borderId="0" fillId="0" fontId="41" numFmtId="0" xfId="0" applyAlignment="1" applyFont="1">
      <alignment horizontal="center" readingOrder="0" vertical="bottom"/>
    </xf>
    <xf borderId="30" fillId="18" fontId="24" numFmtId="168" xfId="0" applyAlignment="1" applyBorder="1" applyFill="1" applyFont="1" applyNumberFormat="1">
      <alignment horizontal="center" vertical="top"/>
    </xf>
    <xf borderId="0" fillId="6" fontId="30" numFmtId="168" xfId="0" applyAlignment="1" applyFont="1" applyNumberFormat="1">
      <alignment vertical="top"/>
    </xf>
    <xf borderId="7" fillId="17" fontId="24" numFmtId="0" xfId="0" applyAlignment="1" applyBorder="1" applyFont="1">
      <alignment horizontal="center" vertical="bottom"/>
    </xf>
    <xf borderId="4" fillId="17" fontId="30" numFmtId="0" xfId="0" applyAlignment="1" applyBorder="1" applyFont="1">
      <alignment vertical="top"/>
    </xf>
    <xf borderId="4" fillId="17" fontId="42" numFmtId="0" xfId="0" applyAlignment="1" applyBorder="1" applyFont="1">
      <alignment horizontal="center" vertical="top"/>
    </xf>
    <xf borderId="4" fillId="17" fontId="24" numFmtId="0" xfId="0" applyAlignment="1" applyBorder="1" applyFont="1">
      <alignment horizontal="center" vertical="top"/>
    </xf>
    <xf borderId="3" fillId="17" fontId="24" numFmtId="0" xfId="0" applyAlignment="1" applyBorder="1" applyFont="1">
      <alignment horizontal="center" vertical="top"/>
    </xf>
    <xf borderId="31" fillId="17" fontId="42" numFmtId="0" xfId="0" applyAlignment="1" applyBorder="1" applyFont="1">
      <alignment horizontal="center" vertical="top"/>
    </xf>
    <xf borderId="3" fillId="17" fontId="42" numFmtId="0" xfId="0" applyAlignment="1" applyBorder="1" applyFont="1">
      <alignment horizontal="center" vertical="top"/>
    </xf>
    <xf borderId="31" fillId="17" fontId="24" numFmtId="0" xfId="0" applyAlignment="1" applyBorder="1" applyFont="1">
      <alignment horizontal="center" vertical="top"/>
    </xf>
    <xf borderId="0" fillId="6" fontId="30" numFmtId="0" xfId="0" applyAlignment="1" applyFont="1">
      <alignment vertical="top"/>
    </xf>
    <xf borderId="32" fillId="17" fontId="24" numFmtId="0" xfId="0" applyAlignment="1" applyBorder="1" applyFont="1">
      <alignment horizontal="center" vertical="top"/>
    </xf>
    <xf borderId="4" fillId="5" fontId="24" numFmtId="0" xfId="0" applyAlignment="1" applyBorder="1" applyFont="1">
      <alignment horizontal="center" vertical="bottom"/>
    </xf>
    <xf borderId="4" fillId="5" fontId="24" numFmtId="0" xfId="0" applyAlignment="1" applyBorder="1" applyFont="1">
      <alignment readingOrder="0" vertical="bottom"/>
    </xf>
    <xf borderId="4" fillId="5" fontId="30" numFmtId="0" xfId="0" applyAlignment="1" applyBorder="1" applyFont="1">
      <alignment vertical="bottom"/>
    </xf>
    <xf borderId="4" fillId="5" fontId="42" numFmtId="0" xfId="0" applyAlignment="1" applyBorder="1" applyFont="1">
      <alignment horizontal="center" vertical="bottom"/>
    </xf>
    <xf borderId="4" fillId="5" fontId="43" numFmtId="0" xfId="0" applyAlignment="1" applyBorder="1" applyFont="1">
      <alignment horizontal="center" vertical="bottom"/>
    </xf>
    <xf borderId="0" fillId="0" fontId="11" numFmtId="0" xfId="0" applyAlignment="1" applyFont="1">
      <alignment horizontal="right" vertical="bottom"/>
    </xf>
    <xf borderId="4" fillId="5" fontId="44" numFmtId="0" xfId="0" applyAlignment="1" applyBorder="1" applyFont="1">
      <alignment readingOrder="0" vertical="bottom"/>
    </xf>
    <xf borderId="4" fillId="5" fontId="43" numFmtId="0" xfId="0" applyAlignment="1" applyBorder="1" applyFont="1">
      <alignment horizontal="center" readingOrder="0" vertical="bottom"/>
    </xf>
    <xf borderId="4" fillId="5" fontId="44" numFmtId="0" xfId="0" applyAlignment="1" applyBorder="1" applyFont="1">
      <alignment vertical="bottom"/>
    </xf>
    <xf borderId="4" fillId="0" fontId="30" numFmtId="0" xfId="0" applyAlignment="1" applyBorder="1" applyFont="1">
      <alignment vertical="bottom"/>
    </xf>
    <xf borderId="4" fillId="0" fontId="24" numFmtId="0" xfId="0" applyAlignment="1" applyBorder="1" applyFont="1">
      <alignment horizontal="center" vertical="bottom"/>
    </xf>
    <xf borderId="4" fillId="0" fontId="42" numFmtId="0" xfId="0" applyAlignment="1" applyBorder="1" applyFont="1">
      <alignment horizontal="center" vertical="bottom"/>
    </xf>
    <xf borderId="4" fillId="0" fontId="43" numFmtId="0" xfId="0" applyAlignment="1" applyBorder="1" applyFont="1">
      <alignment horizontal="center" vertical="bottom"/>
    </xf>
    <xf borderId="4" fillId="6" fontId="30" numFmtId="0" xfId="0" applyAlignment="1" applyBorder="1" applyFont="1">
      <alignment vertical="bottom"/>
    </xf>
    <xf borderId="0" fillId="0" fontId="25" numFmtId="0" xfId="0" applyAlignment="1" applyFont="1">
      <alignment vertical="bottom"/>
    </xf>
    <xf borderId="0" fillId="0" fontId="25" numFmtId="0" xfId="0" applyAlignment="1" applyFont="1">
      <alignment horizontal="right" vertical="bottom"/>
    </xf>
    <xf borderId="28" fillId="0" fontId="24" numFmtId="0" xfId="0" applyAlignment="1" applyBorder="1" applyFont="1">
      <alignment vertical="top"/>
    </xf>
    <xf borderId="33" fillId="0" fontId="30" numFmtId="0" xfId="0" applyAlignment="1" applyBorder="1" applyFont="1">
      <alignment vertical="top"/>
    </xf>
    <xf borderId="1" fillId="0" fontId="30" numFmtId="0" xfId="0" applyAlignment="1" applyBorder="1" applyFont="1">
      <alignment vertical="bottom"/>
    </xf>
    <xf borderId="33" fillId="0" fontId="24" numFmtId="0" xfId="0" applyAlignment="1" applyBorder="1" applyFont="1">
      <alignment horizontal="center" vertical="bottom"/>
    </xf>
    <xf borderId="33" fillId="0" fontId="7" numFmtId="0" xfId="0" applyBorder="1" applyFont="1"/>
    <xf borderId="29" fillId="0" fontId="7" numFmtId="0" xfId="0" applyBorder="1" applyFont="1"/>
    <xf borderId="34" fillId="0" fontId="24" numFmtId="0" xfId="0" applyAlignment="1" applyBorder="1" applyFont="1">
      <alignment horizontal="center" vertical="top"/>
    </xf>
    <xf borderId="35" fillId="0" fontId="24" numFmtId="0" xfId="0" applyAlignment="1" applyBorder="1" applyFont="1">
      <alignment readingOrder="0" vertical="top"/>
    </xf>
    <xf borderId="36" fillId="0" fontId="30" numFmtId="0" xfId="0" applyAlignment="1" applyBorder="1" applyFont="1">
      <alignment vertical="bottom"/>
    </xf>
    <xf borderId="36" fillId="0" fontId="7" numFmtId="0" xfId="0" applyBorder="1" applyFont="1"/>
    <xf borderId="35" fillId="0" fontId="7" numFmtId="0" xfId="0" applyBorder="1" applyFont="1"/>
    <xf borderId="37" fillId="0" fontId="24" numFmtId="0" xfId="0" applyAlignment="1" applyBorder="1" applyFont="1">
      <alignment horizontal="center" readingOrder="0" vertical="top"/>
    </xf>
    <xf borderId="38" fillId="0" fontId="7" numFmtId="0" xfId="0" applyBorder="1" applyFont="1"/>
    <xf borderId="39" fillId="0" fontId="7" numFmtId="0" xfId="0" applyBorder="1" applyFont="1"/>
    <xf borderId="34" fillId="0" fontId="42" numFmtId="0" xfId="0" applyAlignment="1" applyBorder="1" applyFont="1">
      <alignment horizontal="center" vertical="bottom"/>
    </xf>
    <xf borderId="35" fillId="0" fontId="42" numFmtId="0" xfId="0" applyAlignment="1" applyBorder="1" applyFont="1">
      <alignment vertical="bottom"/>
    </xf>
    <xf borderId="40" fillId="0" fontId="7" numFmtId="0" xfId="0" applyBorder="1" applyFont="1"/>
    <xf borderId="41" fillId="0" fontId="7" numFmtId="0" xfId="0" applyBorder="1" applyFont="1"/>
    <xf borderId="34" fillId="0" fontId="24" numFmtId="0" xfId="0" applyAlignment="1" applyBorder="1" applyFont="1">
      <alignment horizontal="center" vertical="bottom"/>
    </xf>
    <xf borderId="35" fillId="0" fontId="24" numFmtId="0" xfId="0" applyAlignment="1" applyBorder="1" applyFont="1">
      <alignment vertical="top"/>
    </xf>
    <xf borderId="42" fillId="0" fontId="7" numFmtId="0" xfId="0" applyBorder="1" applyFont="1"/>
    <xf borderId="0" fillId="0" fontId="24" numFmtId="0" xfId="0" applyAlignment="1" applyFont="1">
      <alignment horizontal="center" vertical="bottom"/>
    </xf>
    <xf borderId="0" fillId="0" fontId="24" numFmtId="0" xfId="0" applyAlignment="1" applyFont="1">
      <alignment vertical="bottom"/>
    </xf>
    <xf borderId="43" fillId="17" fontId="24" numFmtId="0" xfId="0" applyAlignment="1" applyBorder="1" applyFont="1">
      <alignment horizontal="center" vertical="bottom"/>
    </xf>
    <xf borderId="44" fillId="0" fontId="25" numFmtId="0" xfId="0" applyAlignment="1" applyBorder="1" applyFont="1">
      <alignment horizontal="center" vertical="bottom"/>
    </xf>
    <xf borderId="44" fillId="0" fontId="7" numFmtId="0" xfId="0" applyBorder="1" applyFont="1"/>
    <xf borderId="45" fillId="0" fontId="7" numFmtId="0" xfId="0" applyBorder="1" applyFont="1"/>
    <xf borderId="34" fillId="0" fontId="25" numFmtId="0" xfId="0" applyAlignment="1" applyBorder="1" applyFont="1">
      <alignment horizontal="right" vertical="bottom"/>
    </xf>
    <xf borderId="35" fillId="0" fontId="25" numFmtId="0" xfId="0" applyAlignment="1" applyBorder="1" applyFont="1">
      <alignment readingOrder="0" vertical="bottom"/>
    </xf>
    <xf borderId="33" fillId="0" fontId="25" numFmtId="0" xfId="0" applyAlignment="1" applyBorder="1" applyFont="1">
      <alignment horizontal="center" vertical="bottom"/>
    </xf>
    <xf borderId="26" fillId="0" fontId="25" numFmtId="0" xfId="0" applyAlignment="1" applyBorder="1" applyFont="1">
      <alignment horizontal="center" vertical="bottom"/>
    </xf>
    <xf borderId="46" fillId="0" fontId="30" numFmtId="0" xfId="0" applyAlignment="1" applyBorder="1" applyFont="1">
      <alignment vertical="bottom"/>
    </xf>
    <xf borderId="47" fillId="0" fontId="7" numFmtId="0" xfId="0" applyBorder="1" applyFont="1"/>
    <xf borderId="48" fillId="0" fontId="7" numFmtId="0" xfId="0" applyBorder="1" applyFont="1"/>
    <xf borderId="49" fillId="0" fontId="7" numFmtId="0" xfId="0" applyBorder="1" applyFont="1"/>
    <xf borderId="50" fillId="0" fontId="7" numFmtId="0" xfId="0" applyBorder="1" applyFont="1"/>
    <xf borderId="34" fillId="0" fontId="30" numFmtId="0" xfId="0" applyAlignment="1" applyBorder="1" applyFont="1">
      <alignment vertical="bottom"/>
    </xf>
    <xf borderId="35" fillId="0" fontId="30" numFmtId="0" xfId="0" applyAlignment="1" applyBorder="1" applyFont="1">
      <alignment vertical="bottom"/>
    </xf>
    <xf borderId="38" fillId="0" fontId="25" numFmtId="0" xfId="0" applyAlignment="1" applyBorder="1" applyFont="1">
      <alignment horizontal="center" readingOrder="0" vertical="bottom"/>
    </xf>
    <xf borderId="51" fillId="0" fontId="7" numFmtId="0" xfId="0" applyBorder="1" applyFont="1"/>
    <xf borderId="36" fillId="0" fontId="25" numFmtId="0" xfId="0" applyAlignment="1" applyBorder="1" applyFont="1">
      <alignment vertical="bottom"/>
    </xf>
    <xf quotePrefix="1" borderId="52" fillId="0" fontId="25" numFmtId="0" xfId="0" applyAlignment="1" applyBorder="1" applyFont="1">
      <alignment horizontal="center" vertical="bottom"/>
    </xf>
    <xf borderId="53" fillId="0" fontId="7" numFmtId="0" xfId="0" applyBorder="1" applyFont="1"/>
    <xf borderId="54" fillId="0" fontId="7" numFmtId="0" xfId="0" applyBorder="1" applyFont="1"/>
    <xf borderId="55" fillId="0" fontId="7" numFmtId="0" xfId="0" applyBorder="1" applyFont="1"/>
    <xf borderId="56" fillId="0" fontId="7" numFmtId="0" xfId="0" applyBorder="1" applyFont="1"/>
    <xf borderId="57" fillId="0" fontId="7" numFmtId="0" xfId="0" applyBorder="1" applyFont="1"/>
    <xf borderId="26" fillId="0" fontId="25" numFmtId="0" xfId="0" applyAlignment="1" applyBorder="1" applyFont="1">
      <alignment horizontal="center" readingOrder="0" vertical="bottom"/>
    </xf>
    <xf borderId="33" fillId="0" fontId="30" numFmtId="0" xfId="0" applyAlignment="1" applyBorder="1" applyFont="1">
      <alignment vertical="bottom"/>
    </xf>
    <xf borderId="36" fillId="0" fontId="25" numFmtId="0" xfId="0" applyAlignment="1" applyBorder="1" applyFont="1">
      <alignment horizontal="center" readingOrder="0" vertical="bottom"/>
    </xf>
    <xf borderId="36" fillId="0" fontId="25" numFmtId="0" xfId="0" applyAlignment="1" applyBorder="1" applyFont="1">
      <alignment horizontal="center" vertical="bottom"/>
    </xf>
    <xf borderId="4" fillId="19" fontId="24" numFmtId="0" xfId="0" applyAlignment="1" applyBorder="1" applyFill="1" applyFont="1">
      <alignment horizontal="center" vertical="bottom"/>
    </xf>
    <xf borderId="4" fillId="20" fontId="24" numFmtId="0" xfId="0" applyAlignment="1" applyBorder="1" applyFill="1" applyFont="1">
      <alignment readingOrder="0" vertical="bottom"/>
    </xf>
    <xf borderId="4" fillId="20" fontId="30" numFmtId="0" xfId="0" applyAlignment="1" applyBorder="1" applyFont="1">
      <alignment vertical="bottom"/>
    </xf>
    <xf borderId="4" fillId="20" fontId="24" numFmtId="0" xfId="0" applyAlignment="1" applyBorder="1" applyFont="1">
      <alignment horizontal="center" vertical="bottom"/>
    </xf>
    <xf borderId="4" fillId="20" fontId="42" numFmtId="0" xfId="0" applyAlignment="1" applyBorder="1" applyFont="1">
      <alignment horizontal="center" vertical="bottom"/>
    </xf>
    <xf borderId="4" fillId="19" fontId="30" numFmtId="0" xfId="0" applyAlignment="1" applyBorder="1" applyFont="1">
      <alignment vertical="bottom"/>
    </xf>
    <xf borderId="4" fillId="20" fontId="44" numFmtId="0" xfId="0" applyAlignment="1" applyBorder="1" applyFont="1">
      <alignment readingOrder="0" vertical="bottom"/>
    </xf>
    <xf borderId="4" fillId="7" fontId="30" numFmtId="0" xfId="0" applyAlignment="1" applyBorder="1" applyFont="1">
      <alignment vertical="bottom"/>
    </xf>
    <xf borderId="4" fillId="6" fontId="44" numFmtId="0" xfId="0" applyAlignment="1" applyBorder="1" applyFont="1">
      <alignment readingOrder="0" vertical="bottom"/>
    </xf>
    <xf borderId="4" fillId="19" fontId="43" numFmtId="0" xfId="0" applyAlignment="1" applyBorder="1" applyFont="1">
      <alignment horizontal="center" vertical="bottom"/>
    </xf>
    <xf borderId="4" fillId="19" fontId="42" numFmtId="0" xfId="0" applyAlignment="1" applyBorder="1" applyFont="1">
      <alignment horizontal="center" vertical="bottom"/>
    </xf>
    <xf borderId="4" fillId="6" fontId="24" numFmtId="0" xfId="0" applyAlignment="1" applyBorder="1" applyFont="1">
      <alignment horizontal="center" vertical="bottom"/>
    </xf>
    <xf borderId="26" fillId="0" fontId="30" numFmtId="0" xfId="0" applyAlignment="1" applyBorder="1" applyFont="1">
      <alignment vertical="bottom"/>
    </xf>
    <xf borderId="4" fillId="3" fontId="12" numFmtId="0" xfId="0" applyAlignment="1" applyBorder="1" applyFont="1">
      <alignment shrinkToFit="0" vertical="bottom" wrapText="1"/>
    </xf>
    <xf borderId="1" fillId="0" fontId="35" numFmtId="0" xfId="0" applyAlignment="1" applyBorder="1" applyFont="1">
      <alignment vertical="bottom"/>
    </xf>
    <xf borderId="7" fillId="2" fontId="20" numFmtId="0" xfId="0" applyAlignment="1" applyBorder="1" applyFont="1">
      <alignment horizontal="center" readingOrder="0" shrinkToFit="0" wrapText="0"/>
    </xf>
    <xf borderId="58" fillId="2" fontId="20" numFmtId="0" xfId="0" applyAlignment="1" applyBorder="1" applyFont="1">
      <alignment horizontal="center" readingOrder="0" shrinkToFit="0" wrapText="0"/>
    </xf>
    <xf borderId="59" fillId="0" fontId="7" numFmtId="0" xfId="0" applyBorder="1" applyFont="1"/>
    <xf borderId="60" fillId="0" fontId="7" numFmtId="0" xfId="0" applyBorder="1" applyFont="1"/>
    <xf borderId="61" fillId="0" fontId="7" numFmtId="0" xfId="0" applyBorder="1" applyFont="1"/>
    <xf borderId="4" fillId="0" fontId="20" numFmtId="0" xfId="0" applyAlignment="1" applyBorder="1" applyFont="1">
      <alignment readingOrder="0" shrinkToFit="0" vertical="bottom" wrapText="0"/>
    </xf>
    <xf borderId="4" fillId="0" fontId="45" numFmtId="0" xfId="0" applyAlignment="1" applyBorder="1" applyFont="1">
      <alignment horizontal="right" readingOrder="0" shrinkToFit="0" vertical="bottom" wrapText="0"/>
    </xf>
    <xf borderId="4" fillId="0" fontId="20" numFmtId="0" xfId="0" applyAlignment="1" applyBorder="1" applyFont="1">
      <alignment shrinkToFit="0" vertical="bottom" wrapText="0"/>
    </xf>
    <xf borderId="4" fillId="0" fontId="45" numFmtId="0" xfId="0" applyAlignment="1" applyBorder="1" applyFont="1">
      <alignment readingOrder="0" shrinkToFit="0" vertical="bottom" wrapText="0"/>
    </xf>
    <xf borderId="4" fillId="0" fontId="46" numFmtId="0" xfId="0" applyAlignment="1" applyBorder="1" applyFont="1">
      <alignment horizontal="right" readingOrder="0" shrinkToFit="0" vertical="bottom" wrapText="0"/>
    </xf>
    <xf borderId="4" fillId="0" fontId="20" numFmtId="0" xfId="0" applyAlignment="1" applyBorder="1" applyFont="1">
      <alignment horizontal="right" readingOrder="0" shrinkToFit="0" vertical="bottom" wrapText="0"/>
    </xf>
    <xf borderId="0" fillId="0" fontId="10" numFmtId="0" xfId="0" applyAlignment="1" applyFont="1">
      <alignment shrinkToFit="0" vertical="bottom" wrapText="0"/>
    </xf>
    <xf borderId="4" fillId="0" fontId="47" numFmtId="0" xfId="0" applyAlignment="1" applyBorder="1" applyFon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4" fillId="0" fontId="48" numFmtId="0" xfId="0" applyAlignment="1" applyBorder="1" applyFont="1">
      <alignment horizontal="right" readingOrder="0" shrinkToFit="0" vertical="bottom" wrapText="0"/>
    </xf>
    <xf borderId="4" fillId="3" fontId="20" numFmtId="0" xfId="0" applyAlignment="1" applyBorder="1" applyFont="1">
      <alignment readingOrder="0" shrinkToFit="0" vertical="bottom" wrapText="0"/>
    </xf>
    <xf borderId="56" fillId="0" fontId="1" numFmtId="0" xfId="0" applyAlignment="1" applyBorder="1" applyFont="1">
      <alignment horizontal="left"/>
    </xf>
    <xf borderId="26" fillId="2" fontId="5" numFmtId="0" xfId="0" applyAlignment="1" applyBorder="1" applyFont="1">
      <alignment horizontal="center" shrinkToFit="0" vertical="center" wrapText="1"/>
    </xf>
    <xf borderId="26" fillId="2" fontId="5" numFmtId="0" xfId="0" applyAlignment="1" applyBorder="1" applyFont="1">
      <alignment horizontal="center" vertical="bottom"/>
    </xf>
    <xf borderId="26" fillId="2" fontId="8" numFmtId="0" xfId="0" applyAlignment="1" applyBorder="1" applyFont="1">
      <alignment horizontal="center" vertical="bottom"/>
    </xf>
    <xf borderId="26" fillId="2" fontId="5" numFmtId="165" xfId="0" applyAlignment="1" applyBorder="1" applyFont="1" applyNumberFormat="1">
      <alignment horizontal="center" shrinkToFit="1" vertical="center" wrapText="0"/>
    </xf>
    <xf borderId="26" fillId="2" fontId="5" numFmtId="165" xfId="0" applyAlignment="1" applyBorder="1" applyFont="1" applyNumberFormat="1">
      <alignment horizontal="center" vertical="bottom"/>
    </xf>
    <xf borderId="26" fillId="2" fontId="8" numFmtId="165" xfId="0" applyAlignment="1" applyBorder="1" applyFont="1" applyNumberFormat="1">
      <alignment horizontal="center" vertical="bottom"/>
    </xf>
    <xf borderId="62" fillId="5" fontId="2" numFmtId="0" xfId="0" applyAlignment="1" applyBorder="1" applyFont="1">
      <alignment shrinkToFit="0" vertical="center" wrapText="1"/>
    </xf>
    <xf borderId="17" fillId="6" fontId="5" numFmtId="0" xfId="0" applyAlignment="1" applyBorder="1" applyFont="1">
      <alignment vertical="bottom"/>
    </xf>
    <xf borderId="17" fillId="5" fontId="2" numFmtId="0" xfId="0" applyAlignment="1" applyBorder="1" applyFont="1">
      <alignment horizontal="left" shrinkToFit="0" vertical="center" wrapText="1"/>
    </xf>
    <xf borderId="17" fillId="5" fontId="6" numFmtId="0" xfId="0" applyAlignment="1" applyBorder="1" applyFont="1">
      <alignment horizontal="left" shrinkToFit="0" vertical="center" wrapText="1"/>
    </xf>
    <xf borderId="17" fillId="0" fontId="13" numFmtId="0" xfId="0" applyBorder="1" applyFont="1"/>
    <xf borderId="17" fillId="0" fontId="13" numFmtId="0" xfId="0" applyAlignment="1" applyBorder="1" applyFont="1">
      <alignment horizontal="left"/>
    </xf>
    <xf borderId="17" fillId="5" fontId="6" numFmtId="0" xfId="0" applyAlignment="1" applyBorder="1" applyFont="1">
      <alignment horizontal="left" vertical="center"/>
    </xf>
    <xf borderId="17" fillId="0" fontId="13" numFmtId="0" xfId="0" applyAlignment="1" applyBorder="1" applyFont="1">
      <alignment horizontal="left" shrinkToFit="0" vertical="center" wrapText="1"/>
    </xf>
    <xf borderId="17" fillId="11" fontId="13" numFmtId="0" xfId="0" applyBorder="1" applyFont="1"/>
    <xf borderId="17" fillId="0" fontId="5" numFmtId="0" xfId="0" applyAlignment="1" applyBorder="1" applyFont="1">
      <alignment horizontal="left" shrinkToFit="0" vertical="center" wrapText="1"/>
    </xf>
    <xf borderId="17" fillId="0" fontId="2" numFmtId="0" xfId="0" applyBorder="1" applyFont="1"/>
    <xf borderId="17" fillId="6" fontId="2" numFmtId="0" xfId="0" applyBorder="1" applyFont="1"/>
    <xf borderId="57" fillId="0" fontId="5" numFmtId="0" xfId="0" applyAlignment="1" applyBorder="1" applyFont="1">
      <alignment vertical="bottom"/>
    </xf>
    <xf borderId="17" fillId="0" fontId="5" numFmtId="0" xfId="0" applyAlignment="1" applyBorder="1" applyFont="1">
      <alignment horizontal="left" vertical="center"/>
    </xf>
    <xf borderId="17" fillId="5" fontId="5" numFmtId="0" xfId="0" applyAlignment="1" applyBorder="1" applyFont="1">
      <alignment horizontal="left" shrinkToFit="0" vertical="center" wrapText="1"/>
    </xf>
    <xf borderId="17" fillId="0" fontId="5" numFmtId="0" xfId="0" applyBorder="1" applyFont="1"/>
    <xf borderId="63" fillId="0" fontId="5" numFmtId="0" xfId="0" applyAlignment="1" applyBorder="1" applyFont="1">
      <alignment vertical="center"/>
    </xf>
    <xf borderId="17" fillId="5" fontId="13" numFmtId="0" xfId="0" applyAlignment="1" applyBorder="1" applyFont="1">
      <alignment horizontal="left" shrinkToFit="0" vertical="center" wrapText="1"/>
    </xf>
    <xf borderId="17" fillId="6" fontId="5" numFmtId="0" xfId="0" applyBorder="1" applyFont="1"/>
    <xf borderId="17" fillId="5" fontId="29" numFmtId="0" xfId="0" applyAlignment="1" applyBorder="1" applyFont="1">
      <alignment horizontal="left" vertical="center"/>
    </xf>
    <xf borderId="26" fillId="4" fontId="5" numFmtId="0" xfId="0" applyAlignment="1" applyBorder="1" applyFont="1">
      <alignment horizontal="center" shrinkToFit="0" vertical="center" wrapText="1"/>
    </xf>
    <xf borderId="26" fillId="4" fontId="8" numFmtId="16" xfId="0" applyAlignment="1" applyBorder="1" applyFont="1" applyNumberFormat="1">
      <alignment horizontal="center" shrinkToFit="0" vertical="center" wrapText="1"/>
    </xf>
    <xf borderId="26" fillId="4" fontId="13" numFmtId="165" xfId="0" applyAlignment="1" applyBorder="1" applyFont="1" applyNumberFormat="1">
      <alignment horizontal="center" shrinkToFit="1" vertical="center" wrapText="0"/>
    </xf>
    <xf borderId="26" fillId="4" fontId="5" numFmtId="165" xfId="0" applyAlignment="1" applyBorder="1" applyFont="1" applyNumberFormat="1">
      <alignment horizontal="center" shrinkToFit="1" vertical="center" wrapText="0"/>
    </xf>
    <xf borderId="26" fillId="4" fontId="8" numFmtId="165" xfId="0" applyAlignment="1" applyBorder="1" applyFont="1" applyNumberFormat="1">
      <alignment horizontal="center" shrinkToFit="1" vertical="center" wrapText="0"/>
    </xf>
    <xf borderId="17" fillId="0" fontId="5" numFmtId="0" xfId="0" applyAlignment="1" applyBorder="1" applyFont="1">
      <alignment shrinkToFit="0" vertical="bottom" wrapText="1"/>
    </xf>
    <xf borderId="63" fillId="0" fontId="5" numFmtId="0" xfId="0" applyAlignment="1" applyBorder="1" applyFont="1">
      <alignment vertical="bottom"/>
    </xf>
    <xf borderId="17" fillId="0" fontId="5" numFmtId="0" xfId="0" applyAlignment="1" applyBorder="1" applyFont="1">
      <alignment shrinkToFit="0" wrapText="1"/>
    </xf>
    <xf borderId="17" fillId="0" fontId="28" numFmtId="0" xfId="0" applyAlignment="1" applyBorder="1" applyFont="1">
      <alignment vertical="bottom"/>
    </xf>
    <xf borderId="26" fillId="0" fontId="13" numFmtId="0" xfId="0" applyAlignment="1" applyBorder="1" applyFont="1">
      <alignment horizontal="left"/>
    </xf>
    <xf borderId="16" fillId="5" fontId="6" numFmtId="0" xfId="0" applyAlignment="1" applyBorder="1" applyFont="1">
      <alignment horizontal="left" shrinkToFit="0" vertical="center" wrapText="1"/>
    </xf>
    <xf borderId="17" fillId="6" fontId="13" numFmtId="0" xfId="0" applyBorder="1" applyFont="1"/>
    <xf borderId="26" fillId="2" fontId="8" numFmtId="0" xfId="0" applyAlignment="1" applyBorder="1" applyFont="1">
      <alignment horizontal="center" shrinkToFit="0" vertical="center" wrapText="1"/>
    </xf>
    <xf borderId="26" fillId="2" fontId="8" numFmtId="165" xfId="0" applyAlignment="1" applyBorder="1" applyFont="1" applyNumberFormat="1">
      <alignment horizontal="center" shrinkToFit="1" vertical="center" wrapText="0"/>
    </xf>
    <xf borderId="17" fillId="6" fontId="1" numFmtId="0" xfId="0" applyBorder="1" applyFont="1"/>
    <xf borderId="17" fillId="0" fontId="13" numFmtId="0" xfId="0" applyAlignment="1" applyBorder="1" applyFont="1">
      <alignment horizontal="center" vertical="center"/>
    </xf>
    <xf borderId="17" fillId="5" fontId="2" numFmtId="0" xfId="0" applyAlignment="1" applyBorder="1" applyFont="1">
      <alignment shrinkToFit="0" vertical="center" wrapText="1"/>
    </xf>
    <xf borderId="17" fillId="0" fontId="13" numFmtId="0" xfId="0" applyAlignment="1" applyBorder="1" applyFont="1">
      <alignment horizontal="left" vertical="center"/>
    </xf>
    <xf borderId="57" fillId="6" fontId="5" numFmtId="0" xfId="0" applyAlignment="1" applyBorder="1" applyFont="1">
      <alignment vertical="bottom"/>
    </xf>
    <xf borderId="17" fillId="8" fontId="5" numFmtId="0" xfId="0" applyAlignment="1" applyBorder="1" applyFont="1">
      <alignment horizontal="left" vertical="center"/>
    </xf>
    <xf borderId="17" fillId="8" fontId="5" numFmtId="0" xfId="0" applyAlignment="1" applyBorder="1" applyFont="1">
      <alignment horizontal="left" shrinkToFit="0" vertical="center" wrapText="1"/>
    </xf>
    <xf borderId="26" fillId="10" fontId="5" numFmtId="0" xfId="0" applyAlignment="1" applyBorder="1" applyFont="1">
      <alignment horizontal="center" shrinkToFit="0" vertical="center" wrapText="1"/>
    </xf>
    <xf borderId="26" fillId="10" fontId="5" numFmtId="165" xfId="0" applyAlignment="1" applyBorder="1" applyFont="1" applyNumberFormat="1">
      <alignment horizontal="center" shrinkToFit="1" vertical="center" wrapText="0"/>
    </xf>
    <xf borderId="17" fillId="0" fontId="6" numFmtId="0" xfId="0" applyAlignment="1" applyBorder="1" applyFont="1">
      <alignment vertical="bottom"/>
    </xf>
    <xf borderId="64" fillId="0" fontId="5" numFmtId="0" xfId="0" applyAlignment="1" applyBorder="1" applyFont="1">
      <alignment vertical="bottom"/>
    </xf>
    <xf borderId="17" fillId="5" fontId="2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180975</xdr:colOff>
      <xdr:row>36</xdr:row>
      <xdr:rowOff>209550</xdr:rowOff>
    </xdr:from>
    <xdr:ext cx="1600200" cy="11430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114300</xdr:colOff>
      <xdr:row>37</xdr:row>
      <xdr:rowOff>28575</xdr:rowOff>
    </xdr:from>
    <xdr:ext cx="2686050" cy="11430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742950</xdr:colOff>
      <xdr:row>0</xdr:row>
      <xdr:rowOff>161925</xdr:rowOff>
    </xdr:from>
    <xdr:ext cx="1362075" cy="8858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314325</xdr:colOff>
      <xdr:row>0</xdr:row>
      <xdr:rowOff>0</xdr:rowOff>
    </xdr:from>
    <xdr:ext cx="1905000" cy="120015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1.43"/>
    <col customWidth="1" min="3" max="3" width="8.0"/>
    <col customWidth="1" min="4" max="4" width="17.29"/>
    <col customWidth="1" min="5" max="5" width="11.43"/>
    <col customWidth="1" min="6" max="6" width="8.71"/>
    <col customWidth="1" min="7" max="7" width="15.0"/>
    <col customWidth="1" min="8" max="8" width="11.29"/>
    <col customWidth="1" min="9" max="9" width="7.86"/>
    <col customWidth="1" min="10" max="10" width="18.86"/>
    <col customWidth="1" min="11" max="11" width="11.43"/>
    <col customWidth="1" min="12" max="12" width="7.71"/>
    <col customWidth="1" min="13" max="13" width="17.57"/>
    <col customWidth="1" min="14" max="14" width="11.43"/>
    <col customWidth="1" min="15" max="15" width="7.14"/>
    <col customWidth="1" min="16" max="16" width="17.57"/>
    <col customWidth="1" min="17" max="17" width="11.86"/>
    <col customWidth="1" min="18" max="18" width="6.71"/>
    <col customWidth="1" min="19" max="19" width="11.71"/>
    <col customWidth="1" min="20" max="20" width="10.71"/>
    <col customWidth="1" min="21" max="21" width="5.71"/>
    <col customWidth="1" min="22" max="23" width="8.71"/>
    <col customWidth="1" min="24" max="24" width="19.0"/>
    <col customWidth="1" min="25" max="25" width="12.14"/>
    <col customWidth="1" min="26" max="26" width="8.71"/>
  </cols>
  <sheetData>
    <row r="1" ht="15.0" customHeight="1">
      <c r="A1" s="1"/>
      <c r="C1" s="2" t="s">
        <v>0</v>
      </c>
      <c r="F1" s="3"/>
      <c r="G1" s="4" t="s">
        <v>1</v>
      </c>
      <c r="Q1" s="3"/>
      <c r="W1" s="5"/>
      <c r="Y1" s="5"/>
    </row>
    <row r="2" ht="15.0" customHeight="1">
      <c r="A2" s="6" t="s">
        <v>2</v>
      </c>
      <c r="C2" s="7" t="s">
        <v>3</v>
      </c>
      <c r="F2" s="3"/>
      <c r="Q2" s="3"/>
      <c r="W2" s="5"/>
      <c r="Y2" s="5"/>
    </row>
    <row r="3" ht="15.0" customHeight="1">
      <c r="A3" s="6" t="s">
        <v>4</v>
      </c>
      <c r="C3" s="8"/>
      <c r="F3" s="3"/>
      <c r="Q3" s="3"/>
      <c r="W3" s="5"/>
      <c r="Y3" s="5"/>
    </row>
    <row r="4" ht="15.0" customHeight="1">
      <c r="A4" s="6" t="s">
        <v>5</v>
      </c>
      <c r="C4" s="9"/>
      <c r="F4" s="3"/>
      <c r="G4" s="10"/>
      <c r="H4" s="10"/>
      <c r="I4" s="10"/>
      <c r="J4" s="10"/>
      <c r="K4" s="10"/>
      <c r="L4" s="10"/>
      <c r="M4" s="11"/>
      <c r="N4" s="10"/>
      <c r="O4" s="10"/>
      <c r="P4" s="10"/>
      <c r="Q4" s="3"/>
      <c r="W4" s="5"/>
      <c r="Y4" s="5"/>
    </row>
    <row r="5" ht="20.25" customHeight="1">
      <c r="A5" s="12" t="s">
        <v>6</v>
      </c>
      <c r="B5" s="13"/>
      <c r="C5" s="14"/>
      <c r="D5" s="12" t="s">
        <v>7</v>
      </c>
      <c r="E5" s="13"/>
      <c r="F5" s="14"/>
      <c r="G5" s="12" t="s">
        <v>8</v>
      </c>
      <c r="H5" s="13"/>
      <c r="I5" s="14"/>
      <c r="J5" s="12" t="s">
        <v>9</v>
      </c>
      <c r="K5" s="13"/>
      <c r="L5" s="14"/>
      <c r="M5" s="12" t="s">
        <v>10</v>
      </c>
      <c r="N5" s="13"/>
      <c r="O5" s="14"/>
      <c r="P5" s="12" t="s">
        <v>11</v>
      </c>
      <c r="Q5" s="13"/>
      <c r="R5" s="14"/>
      <c r="S5" s="15" t="s">
        <v>12</v>
      </c>
      <c r="T5" s="13"/>
      <c r="U5" s="14"/>
      <c r="W5" s="5"/>
      <c r="Y5" s="5"/>
    </row>
    <row r="6">
      <c r="A6" s="16"/>
      <c r="B6" s="13"/>
      <c r="C6" s="14"/>
      <c r="D6" s="16"/>
      <c r="E6" s="13"/>
      <c r="F6" s="14"/>
      <c r="G6" s="16"/>
      <c r="H6" s="13"/>
      <c r="I6" s="14"/>
      <c r="J6" s="16"/>
      <c r="K6" s="13"/>
      <c r="L6" s="14"/>
      <c r="M6" s="16"/>
      <c r="N6" s="13"/>
      <c r="O6" s="14"/>
      <c r="P6" s="16"/>
      <c r="Q6" s="13"/>
      <c r="R6" s="14"/>
      <c r="S6" s="17">
        <v>46082.0</v>
      </c>
      <c r="T6" s="13"/>
      <c r="U6" s="14"/>
      <c r="Y6" s="5"/>
    </row>
    <row r="7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W7" s="5"/>
      <c r="Y7" s="5"/>
    </row>
    <row r="8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W8" s="5"/>
      <c r="Y8" s="5"/>
    </row>
    <row r="9" ht="15.75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9" t="s">
        <v>13</v>
      </c>
      <c r="T9" s="13"/>
      <c r="U9" s="14"/>
      <c r="W9" s="20" t="s">
        <v>14</v>
      </c>
      <c r="X9" s="21" t="s">
        <v>15</v>
      </c>
      <c r="Y9" s="22" t="s">
        <v>16</v>
      </c>
    </row>
    <row r="10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W10" s="23">
        <v>1.0</v>
      </c>
      <c r="X10" s="24" t="s">
        <v>17</v>
      </c>
      <c r="Y10" s="25">
        <f t="shared" ref="Y10:Y37" si="1">COUNTIF($A$5:$U$52,X10)</f>
        <v>8</v>
      </c>
    </row>
    <row r="11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W11" s="23">
        <v>2.0</v>
      </c>
      <c r="X11" s="26" t="s">
        <v>18</v>
      </c>
      <c r="Y11" s="25">
        <f t="shared" si="1"/>
        <v>2</v>
      </c>
    </row>
    <row r="12" ht="15.0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W12" s="23">
        <v>3.0</v>
      </c>
      <c r="X12" s="26" t="s">
        <v>19</v>
      </c>
      <c r="Y12" s="25">
        <f t="shared" si="1"/>
        <v>2</v>
      </c>
    </row>
    <row r="13" ht="21.0" customHeight="1">
      <c r="A13" s="27" t="s">
        <v>6</v>
      </c>
      <c r="B13" s="13"/>
      <c r="C13" s="14"/>
      <c r="D13" s="27" t="s">
        <v>7</v>
      </c>
      <c r="E13" s="13"/>
      <c r="F13" s="14"/>
      <c r="G13" s="27" t="s">
        <v>8</v>
      </c>
      <c r="H13" s="13"/>
      <c r="I13" s="14"/>
      <c r="J13" s="28" t="s">
        <v>9</v>
      </c>
      <c r="K13" s="13"/>
      <c r="L13" s="14"/>
      <c r="M13" s="27" t="s">
        <v>10</v>
      </c>
      <c r="N13" s="13"/>
      <c r="O13" s="14"/>
      <c r="P13" s="27" t="s">
        <v>11</v>
      </c>
      <c r="Q13" s="13"/>
      <c r="R13" s="14"/>
      <c r="S13" s="29" t="s">
        <v>12</v>
      </c>
      <c r="T13" s="13"/>
      <c r="U13" s="14"/>
      <c r="W13" s="23">
        <v>4.0</v>
      </c>
      <c r="X13" s="26" t="s">
        <v>20</v>
      </c>
      <c r="Y13" s="25">
        <f t="shared" si="1"/>
        <v>2</v>
      </c>
    </row>
    <row r="14">
      <c r="A14" s="30">
        <f>S6+1</f>
        <v>46083</v>
      </c>
      <c r="B14" s="13"/>
      <c r="C14" s="14"/>
      <c r="D14" s="30">
        <f>A14+1</f>
        <v>46084</v>
      </c>
      <c r="E14" s="13"/>
      <c r="F14" s="14"/>
      <c r="G14" s="30">
        <f>D14+1</f>
        <v>46085</v>
      </c>
      <c r="H14" s="13"/>
      <c r="I14" s="14"/>
      <c r="J14" s="30">
        <f>G14+1</f>
        <v>46086</v>
      </c>
      <c r="K14" s="13"/>
      <c r="L14" s="14"/>
      <c r="M14" s="30">
        <f>J14+1</f>
        <v>46087</v>
      </c>
      <c r="N14" s="13"/>
      <c r="O14" s="14"/>
      <c r="P14" s="30">
        <f>M14+1</f>
        <v>46088</v>
      </c>
      <c r="Q14" s="13"/>
      <c r="R14" s="14"/>
      <c r="S14" s="31">
        <f>P14+1</f>
        <v>46089</v>
      </c>
      <c r="T14" s="13"/>
      <c r="U14" s="14"/>
      <c r="W14" s="23">
        <v>5.0</v>
      </c>
      <c r="X14" s="26" t="s">
        <v>21</v>
      </c>
      <c r="Y14" s="25">
        <f t="shared" si="1"/>
        <v>2</v>
      </c>
    </row>
    <row r="15" ht="15.75" customHeight="1">
      <c r="A15" s="32"/>
      <c r="B15" s="32"/>
      <c r="C15" s="32"/>
      <c r="D15" s="32"/>
      <c r="E15" s="32"/>
      <c r="F15" s="32"/>
      <c r="J15" s="32"/>
      <c r="K15" s="32"/>
      <c r="L15" s="32"/>
      <c r="M15" s="33"/>
      <c r="N15" s="33"/>
      <c r="O15" s="33"/>
      <c r="P15" s="34"/>
      <c r="Q15" s="34"/>
      <c r="R15" s="34"/>
      <c r="S15" s="35"/>
      <c r="T15" s="35"/>
      <c r="U15" s="35"/>
      <c r="W15" s="23">
        <v>6.0</v>
      </c>
      <c r="X15" s="26" t="s">
        <v>22</v>
      </c>
      <c r="Y15" s="25">
        <f t="shared" si="1"/>
        <v>3</v>
      </c>
    </row>
    <row r="16">
      <c r="A16" s="36" t="s">
        <v>23</v>
      </c>
      <c r="B16" s="36"/>
      <c r="C16" s="36" t="s">
        <v>24</v>
      </c>
      <c r="D16" s="37" t="s">
        <v>17</v>
      </c>
      <c r="E16" s="37" t="s">
        <v>25</v>
      </c>
      <c r="F16" s="37" t="s">
        <v>24</v>
      </c>
      <c r="G16" s="24" t="s">
        <v>21</v>
      </c>
      <c r="H16" s="24" t="s">
        <v>26</v>
      </c>
      <c r="I16" s="24" t="s">
        <v>27</v>
      </c>
      <c r="J16" s="24" t="s">
        <v>28</v>
      </c>
      <c r="K16" s="24" t="s">
        <v>29</v>
      </c>
      <c r="L16" s="24" t="s">
        <v>24</v>
      </c>
      <c r="M16" s="38" t="s">
        <v>30</v>
      </c>
      <c r="N16" s="39" t="s">
        <v>31</v>
      </c>
      <c r="O16" s="38" t="s">
        <v>24</v>
      </c>
      <c r="P16" s="37" t="s">
        <v>32</v>
      </c>
      <c r="Q16" s="40" t="s">
        <v>33</v>
      </c>
      <c r="R16" s="37" t="s">
        <v>24</v>
      </c>
      <c r="S16" s="35"/>
      <c r="T16" s="35"/>
      <c r="U16" s="35"/>
      <c r="W16" s="23">
        <v>7.0</v>
      </c>
      <c r="X16" s="26" t="s">
        <v>32</v>
      </c>
      <c r="Y16" s="25">
        <f t="shared" si="1"/>
        <v>4</v>
      </c>
    </row>
    <row r="17" ht="15.75" customHeight="1">
      <c r="A17" s="24" t="s">
        <v>34</v>
      </c>
      <c r="B17" s="37" t="s">
        <v>35</v>
      </c>
      <c r="C17" s="37" t="s">
        <v>24</v>
      </c>
      <c r="D17" s="41"/>
      <c r="E17" s="35"/>
      <c r="F17" s="42" t="s">
        <v>36</v>
      </c>
      <c r="G17" s="37" t="s">
        <v>37</v>
      </c>
      <c r="H17" s="43" t="s">
        <v>38</v>
      </c>
      <c r="I17" s="36" t="s">
        <v>24</v>
      </c>
      <c r="J17" s="44" t="s">
        <v>39</v>
      </c>
      <c r="K17" s="44" t="s">
        <v>40</v>
      </c>
      <c r="L17" s="45"/>
      <c r="M17" s="38" t="s">
        <v>41</v>
      </c>
      <c r="N17" s="46"/>
      <c r="O17" s="38" t="s">
        <v>42</v>
      </c>
      <c r="P17" s="24"/>
      <c r="Q17" s="24"/>
      <c r="R17" s="24"/>
      <c r="S17" s="19" t="s">
        <v>13</v>
      </c>
      <c r="T17" s="13"/>
      <c r="U17" s="14"/>
      <c r="W17" s="23">
        <v>20.0</v>
      </c>
      <c r="X17" s="26" t="s">
        <v>43</v>
      </c>
      <c r="Y17" s="25">
        <f t="shared" si="1"/>
        <v>0</v>
      </c>
    </row>
    <row r="18" ht="15.75" customHeight="1">
      <c r="A18" s="36" t="s">
        <v>20</v>
      </c>
      <c r="B18" s="47" t="s">
        <v>26</v>
      </c>
      <c r="C18" s="36" t="s">
        <v>27</v>
      </c>
      <c r="D18" s="24" t="s">
        <v>22</v>
      </c>
      <c r="E18" s="24"/>
      <c r="F18" s="24" t="s">
        <v>24</v>
      </c>
      <c r="G18" s="47" t="s">
        <v>19</v>
      </c>
      <c r="H18" s="47" t="s">
        <v>44</v>
      </c>
      <c r="I18" s="47" t="s">
        <v>24</v>
      </c>
      <c r="M18" s="38" t="s">
        <v>45</v>
      </c>
      <c r="N18" s="48"/>
      <c r="O18" s="38" t="s">
        <v>24</v>
      </c>
      <c r="P18" s="37" t="s">
        <v>46</v>
      </c>
      <c r="Q18" s="24" t="s">
        <v>35</v>
      </c>
      <c r="R18" s="37" t="s">
        <v>42</v>
      </c>
      <c r="S18" s="35"/>
      <c r="T18" s="35"/>
      <c r="U18" s="35"/>
      <c r="W18" s="23">
        <v>9.0</v>
      </c>
      <c r="X18" s="26" t="s">
        <v>41</v>
      </c>
      <c r="Y18" s="25">
        <f t="shared" si="1"/>
        <v>2</v>
      </c>
    </row>
    <row r="19" ht="15.75" customHeight="1">
      <c r="A19" s="24" t="s">
        <v>17</v>
      </c>
      <c r="B19" s="24" t="s">
        <v>47</v>
      </c>
      <c r="C19" s="49" t="s">
        <v>48</v>
      </c>
      <c r="D19" s="24" t="s">
        <v>18</v>
      </c>
      <c r="E19" s="24" t="s">
        <v>49</v>
      </c>
      <c r="F19" s="24" t="s">
        <v>24</v>
      </c>
      <c r="G19" s="34"/>
      <c r="H19" s="34" t="s">
        <v>50</v>
      </c>
      <c r="I19" s="34"/>
      <c r="J19" s="50" t="s">
        <v>51</v>
      </c>
      <c r="K19" s="50" t="s">
        <v>26</v>
      </c>
      <c r="L19" s="50" t="s">
        <v>24</v>
      </c>
      <c r="M19" s="24" t="s">
        <v>52</v>
      </c>
      <c r="N19" s="24" t="s">
        <v>26</v>
      </c>
      <c r="O19" s="24" t="s">
        <v>24</v>
      </c>
      <c r="P19" s="24" t="s">
        <v>51</v>
      </c>
      <c r="Q19" s="24"/>
      <c r="R19" s="24" t="s">
        <v>24</v>
      </c>
      <c r="S19" s="35"/>
      <c r="T19" s="35"/>
      <c r="U19" s="35"/>
      <c r="W19" s="23">
        <v>10.0</v>
      </c>
      <c r="X19" s="26" t="s">
        <v>30</v>
      </c>
      <c r="Y19" s="25">
        <f t="shared" si="1"/>
        <v>2</v>
      </c>
    </row>
    <row r="20" ht="15.75" customHeight="1">
      <c r="D20" s="34"/>
      <c r="E20" s="34"/>
      <c r="F20" s="49" t="s">
        <v>48</v>
      </c>
      <c r="G20" s="34"/>
      <c r="H20" s="34"/>
      <c r="I20" s="34"/>
      <c r="J20" s="32"/>
      <c r="K20" s="32"/>
      <c r="L20" s="32"/>
      <c r="M20" s="32"/>
      <c r="N20" s="32"/>
      <c r="O20" s="32"/>
      <c r="S20" s="35"/>
      <c r="T20" s="35"/>
      <c r="U20" s="35"/>
      <c r="W20" s="23">
        <v>11.0</v>
      </c>
      <c r="X20" s="26" t="s">
        <v>45</v>
      </c>
      <c r="Y20" s="25">
        <f t="shared" si="1"/>
        <v>2</v>
      </c>
    </row>
    <row r="21" ht="21.75" customHeight="1">
      <c r="A21" s="12" t="s">
        <v>6</v>
      </c>
      <c r="B21" s="13"/>
      <c r="C21" s="14"/>
      <c r="D21" s="12" t="s">
        <v>7</v>
      </c>
      <c r="E21" s="13"/>
      <c r="F21" s="14"/>
      <c r="G21" s="12" t="s">
        <v>8</v>
      </c>
      <c r="H21" s="13"/>
      <c r="I21" s="14"/>
      <c r="J21" s="12" t="s">
        <v>9</v>
      </c>
      <c r="K21" s="13"/>
      <c r="L21" s="14"/>
      <c r="M21" s="12" t="s">
        <v>10</v>
      </c>
      <c r="N21" s="13"/>
      <c r="O21" s="14"/>
      <c r="P21" s="12" t="s">
        <v>11</v>
      </c>
      <c r="Q21" s="13"/>
      <c r="R21" s="14"/>
      <c r="S21" s="15" t="s">
        <v>12</v>
      </c>
      <c r="T21" s="13"/>
      <c r="U21" s="14"/>
      <c r="W21" s="23">
        <v>12.0</v>
      </c>
      <c r="X21" s="26" t="s">
        <v>53</v>
      </c>
      <c r="Y21" s="25">
        <f t="shared" si="1"/>
        <v>4</v>
      </c>
    </row>
    <row r="22" ht="18.0" customHeight="1">
      <c r="A22" s="16">
        <f>S14+1</f>
        <v>46090</v>
      </c>
      <c r="B22" s="13"/>
      <c r="C22" s="14"/>
      <c r="D22" s="16">
        <f>A22+1</f>
        <v>46091</v>
      </c>
      <c r="E22" s="13"/>
      <c r="F22" s="14"/>
      <c r="G22" s="16">
        <f>D22+1</f>
        <v>46092</v>
      </c>
      <c r="H22" s="13"/>
      <c r="I22" s="14"/>
      <c r="J22" s="16">
        <f>G22+1</f>
        <v>46093</v>
      </c>
      <c r="K22" s="13"/>
      <c r="L22" s="14"/>
      <c r="M22" s="16">
        <f>J22+1</f>
        <v>46094</v>
      </c>
      <c r="N22" s="13"/>
      <c r="O22" s="14"/>
      <c r="P22" s="16">
        <f>M22+1</f>
        <v>46095</v>
      </c>
      <c r="Q22" s="13"/>
      <c r="R22" s="14"/>
      <c r="S22" s="16">
        <f>P22+1</f>
        <v>46096</v>
      </c>
      <c r="T22" s="13"/>
      <c r="U22" s="14"/>
      <c r="W22" s="23">
        <v>13.0</v>
      </c>
      <c r="X22" s="26" t="s">
        <v>54</v>
      </c>
      <c r="Y22" s="25">
        <f t="shared" si="1"/>
        <v>2</v>
      </c>
    </row>
    <row r="23" ht="15.75" customHeight="1">
      <c r="A23" s="34"/>
      <c r="B23" s="34"/>
      <c r="C23" s="34"/>
      <c r="D23" s="51"/>
      <c r="E23" s="51"/>
      <c r="F23" s="51"/>
      <c r="G23" s="33"/>
      <c r="H23" s="33"/>
      <c r="I23" s="33"/>
      <c r="J23" s="32"/>
      <c r="K23" s="34"/>
      <c r="L23" s="32"/>
      <c r="Q23" s="34"/>
      <c r="R23" s="34"/>
      <c r="S23" s="35"/>
      <c r="T23" s="35"/>
      <c r="U23" s="35"/>
      <c r="W23" s="23">
        <v>14.0</v>
      </c>
      <c r="X23" s="26" t="s">
        <v>55</v>
      </c>
      <c r="Y23" s="25">
        <f t="shared" si="1"/>
        <v>2</v>
      </c>
    </row>
    <row r="24">
      <c r="A24" s="24" t="s">
        <v>17</v>
      </c>
      <c r="B24" s="24" t="s">
        <v>25</v>
      </c>
      <c r="C24" s="24" t="s">
        <v>24</v>
      </c>
      <c r="D24" s="50" t="s">
        <v>56</v>
      </c>
      <c r="E24" s="52" t="s">
        <v>57</v>
      </c>
      <c r="F24" s="50" t="s">
        <v>42</v>
      </c>
      <c r="G24" s="24" t="s">
        <v>53</v>
      </c>
      <c r="H24" s="37" t="s">
        <v>58</v>
      </c>
      <c r="I24" s="37" t="s">
        <v>42</v>
      </c>
      <c r="J24" s="37" t="s">
        <v>17</v>
      </c>
      <c r="K24" s="37" t="s">
        <v>25</v>
      </c>
      <c r="L24" s="37" t="s">
        <v>24</v>
      </c>
      <c r="M24" s="24" t="s">
        <v>55</v>
      </c>
      <c r="N24" s="53" t="s">
        <v>59</v>
      </c>
      <c r="O24" s="24" t="s">
        <v>42</v>
      </c>
      <c r="P24" s="37" t="s">
        <v>32</v>
      </c>
      <c r="Q24" s="40" t="s">
        <v>60</v>
      </c>
      <c r="R24" s="37" t="s">
        <v>24</v>
      </c>
      <c r="S24" s="33"/>
      <c r="T24" s="33"/>
      <c r="U24" s="33"/>
      <c r="W24" s="23">
        <v>15.0</v>
      </c>
      <c r="X24" s="24" t="s">
        <v>61</v>
      </c>
      <c r="Y24" s="25">
        <f t="shared" si="1"/>
        <v>2</v>
      </c>
    </row>
    <row r="25" ht="15.75" customHeight="1">
      <c r="A25" s="24" t="s">
        <v>62</v>
      </c>
      <c r="B25" s="24" t="s">
        <v>26</v>
      </c>
      <c r="C25" s="24" t="s">
        <v>24</v>
      </c>
      <c r="D25" s="24" t="s">
        <v>34</v>
      </c>
      <c r="E25" s="37" t="s">
        <v>35</v>
      </c>
      <c r="F25" s="37" t="s">
        <v>24</v>
      </c>
      <c r="G25" s="37" t="s">
        <v>61</v>
      </c>
      <c r="H25" s="37" t="s">
        <v>57</v>
      </c>
      <c r="I25" s="37" t="s">
        <v>42</v>
      </c>
      <c r="J25" s="37" t="s">
        <v>23</v>
      </c>
      <c r="K25" s="53" t="s">
        <v>29</v>
      </c>
      <c r="L25" s="37" t="s">
        <v>24</v>
      </c>
      <c r="M25" s="54" t="s">
        <v>63</v>
      </c>
      <c r="N25" s="54" t="s">
        <v>64</v>
      </c>
      <c r="O25" s="54" t="s">
        <v>42</v>
      </c>
      <c r="P25" s="37" t="s">
        <v>54</v>
      </c>
      <c r="Q25" s="47" t="s">
        <v>57</v>
      </c>
      <c r="R25" s="37" t="s">
        <v>24</v>
      </c>
      <c r="S25" s="19" t="s">
        <v>13</v>
      </c>
      <c r="T25" s="13"/>
      <c r="U25" s="14"/>
      <c r="W25" s="23">
        <v>16.0</v>
      </c>
      <c r="X25" s="26" t="s">
        <v>51</v>
      </c>
      <c r="Y25" s="25">
        <f t="shared" si="1"/>
        <v>3</v>
      </c>
    </row>
    <row r="26" ht="15.75" customHeight="1">
      <c r="A26" s="34"/>
      <c r="B26" s="34" t="s">
        <v>50</v>
      </c>
      <c r="C26" s="34"/>
      <c r="G26" s="50" t="s">
        <v>65</v>
      </c>
      <c r="H26" s="50" t="s">
        <v>66</v>
      </c>
      <c r="I26" s="50" t="s">
        <v>24</v>
      </c>
      <c r="J26" s="50" t="s">
        <v>22</v>
      </c>
      <c r="K26" s="52" t="s">
        <v>26</v>
      </c>
      <c r="L26" s="50" t="s">
        <v>24</v>
      </c>
      <c r="M26" s="24" t="s">
        <v>67</v>
      </c>
      <c r="N26" s="53" t="s">
        <v>29</v>
      </c>
      <c r="O26" s="24" t="s">
        <v>24</v>
      </c>
      <c r="P26" s="47" t="s">
        <v>56</v>
      </c>
      <c r="Q26" s="24"/>
      <c r="R26" s="47" t="s">
        <v>42</v>
      </c>
      <c r="S26" s="35"/>
      <c r="T26" s="35"/>
      <c r="U26" s="35"/>
      <c r="W26" s="23">
        <v>17.0</v>
      </c>
      <c r="X26" s="26" t="s">
        <v>46</v>
      </c>
      <c r="Y26" s="25">
        <f t="shared" si="1"/>
        <v>1</v>
      </c>
    </row>
    <row r="27" ht="15.75" customHeight="1">
      <c r="A27" s="34"/>
      <c r="B27" s="34" t="s">
        <v>50</v>
      </c>
      <c r="C27" s="34"/>
      <c r="D27" s="34"/>
      <c r="E27" s="34" t="s">
        <v>50</v>
      </c>
      <c r="F27" s="34"/>
      <c r="G27" s="34"/>
      <c r="H27" s="34"/>
      <c r="I27" s="34"/>
      <c r="J27" s="24" t="s">
        <v>34</v>
      </c>
      <c r="K27" s="24" t="s">
        <v>47</v>
      </c>
      <c r="L27" s="24" t="s">
        <v>24</v>
      </c>
      <c r="M27" s="37"/>
      <c r="N27" s="37"/>
      <c r="O27" s="37"/>
      <c r="P27" s="32"/>
      <c r="Q27" s="34"/>
      <c r="R27" s="32"/>
      <c r="S27" s="35"/>
      <c r="T27" s="35"/>
      <c r="U27" s="35"/>
      <c r="W27" s="23">
        <v>18.0</v>
      </c>
      <c r="X27" s="55" t="s">
        <v>65</v>
      </c>
      <c r="Y27" s="25">
        <f t="shared" si="1"/>
        <v>2</v>
      </c>
    </row>
    <row r="28" ht="15.75" customHeight="1">
      <c r="A28" s="34" t="s">
        <v>50</v>
      </c>
      <c r="B28" s="34"/>
      <c r="C28" s="34"/>
      <c r="D28" s="34" t="s">
        <v>50</v>
      </c>
      <c r="E28" s="34"/>
      <c r="F28" s="34"/>
      <c r="G28" s="34"/>
      <c r="H28" s="34"/>
      <c r="I28" s="34"/>
      <c r="J28" s="56"/>
      <c r="K28" s="35"/>
      <c r="L28" s="49" t="s">
        <v>48</v>
      </c>
      <c r="M28" s="56"/>
      <c r="N28" s="35"/>
      <c r="O28" s="24"/>
      <c r="P28" s="32"/>
      <c r="Q28" s="34"/>
      <c r="R28" s="32"/>
      <c r="S28" s="35"/>
      <c r="T28" s="35"/>
      <c r="U28" s="35"/>
      <c r="W28" s="23">
        <v>19.0</v>
      </c>
      <c r="X28" s="26" t="s">
        <v>52</v>
      </c>
      <c r="Y28" s="25">
        <f t="shared" si="1"/>
        <v>2</v>
      </c>
    </row>
    <row r="29" ht="20.25" customHeight="1">
      <c r="A29" s="27" t="s">
        <v>6</v>
      </c>
      <c r="B29" s="13"/>
      <c r="C29" s="14"/>
      <c r="D29" s="27" t="s">
        <v>7</v>
      </c>
      <c r="E29" s="13"/>
      <c r="F29" s="14"/>
      <c r="G29" s="27" t="s">
        <v>8</v>
      </c>
      <c r="H29" s="13"/>
      <c r="I29" s="14"/>
      <c r="J29" s="29" t="s">
        <v>9</v>
      </c>
      <c r="K29" s="13"/>
      <c r="L29" s="14"/>
      <c r="M29" s="27" t="s">
        <v>10</v>
      </c>
      <c r="N29" s="13"/>
      <c r="O29" s="14"/>
      <c r="P29" s="29" t="s">
        <v>11</v>
      </c>
      <c r="Q29" s="13"/>
      <c r="R29" s="14"/>
      <c r="S29" s="29" t="s">
        <v>12</v>
      </c>
      <c r="T29" s="13"/>
      <c r="U29" s="14"/>
      <c r="W29" s="23">
        <v>24.0</v>
      </c>
      <c r="X29" s="26" t="s">
        <v>34</v>
      </c>
      <c r="Y29" s="25">
        <f t="shared" si="1"/>
        <v>5</v>
      </c>
    </row>
    <row r="30" ht="15.75" customHeight="1">
      <c r="A30" s="57">
        <f>S22+1</f>
        <v>46097</v>
      </c>
      <c r="B30" s="13"/>
      <c r="C30" s="14"/>
      <c r="D30" s="57">
        <f>A30+1</f>
        <v>46098</v>
      </c>
      <c r="E30" s="13"/>
      <c r="F30" s="14"/>
      <c r="G30" s="57">
        <f>D30+1</f>
        <v>46099</v>
      </c>
      <c r="H30" s="13"/>
      <c r="I30" s="14"/>
      <c r="J30" s="58">
        <f>G30+1</f>
        <v>46100</v>
      </c>
      <c r="K30" s="13"/>
      <c r="L30" s="14"/>
      <c r="M30" s="57">
        <f>J30+1</f>
        <v>46101</v>
      </c>
      <c r="N30" s="13"/>
      <c r="O30" s="14"/>
      <c r="P30" s="58">
        <f>M30+1</f>
        <v>46102</v>
      </c>
      <c r="Q30" s="13"/>
      <c r="R30" s="14"/>
      <c r="S30" s="58">
        <f>P30+1</f>
        <v>46103</v>
      </c>
      <c r="T30" s="13"/>
      <c r="U30" s="14"/>
      <c r="W30" s="23">
        <v>30.0</v>
      </c>
      <c r="X30" s="59" t="s">
        <v>68</v>
      </c>
      <c r="Y30" s="25">
        <f t="shared" si="1"/>
        <v>0</v>
      </c>
    </row>
    <row r="31" ht="15.75" customHeight="1">
      <c r="A31" s="32"/>
      <c r="B31" s="32"/>
      <c r="C31" s="32"/>
      <c r="D31" s="37"/>
      <c r="E31" s="37"/>
      <c r="F31" s="37"/>
      <c r="G31" s="24"/>
      <c r="H31" s="37"/>
      <c r="I31" s="37"/>
      <c r="J31" s="18"/>
      <c r="K31" s="18"/>
      <c r="L31" s="18"/>
      <c r="M31" s="36"/>
      <c r="N31" s="47"/>
      <c r="O31" s="36"/>
      <c r="P31" s="34"/>
      <c r="Q31" s="34"/>
      <c r="R31" s="34"/>
      <c r="S31" s="35"/>
      <c r="T31" s="35"/>
      <c r="U31" s="35"/>
      <c r="W31" s="23">
        <v>21.0</v>
      </c>
      <c r="X31" s="26" t="s">
        <v>23</v>
      </c>
      <c r="Y31" s="25">
        <f t="shared" si="1"/>
        <v>4</v>
      </c>
    </row>
    <row r="32">
      <c r="A32" s="36" t="s">
        <v>23</v>
      </c>
      <c r="B32" s="36"/>
      <c r="C32" s="36" t="s">
        <v>24</v>
      </c>
      <c r="D32" s="37" t="s">
        <v>17</v>
      </c>
      <c r="E32" s="37" t="s">
        <v>25</v>
      </c>
      <c r="F32" s="37" t="s">
        <v>24</v>
      </c>
      <c r="G32" s="24" t="s">
        <v>28</v>
      </c>
      <c r="H32" s="24" t="s">
        <v>29</v>
      </c>
      <c r="I32" s="24" t="s">
        <v>24</v>
      </c>
      <c r="J32" s="24"/>
      <c r="K32" s="24"/>
      <c r="L32" s="24"/>
      <c r="M32" s="24"/>
      <c r="N32" s="60"/>
      <c r="O32" s="24"/>
      <c r="P32" s="37"/>
      <c r="Q32" s="40"/>
      <c r="R32" s="37"/>
      <c r="S32" s="33"/>
      <c r="T32" s="33"/>
      <c r="U32" s="33"/>
      <c r="W32" s="23">
        <v>23.0</v>
      </c>
      <c r="X32" s="26" t="s">
        <v>28</v>
      </c>
      <c r="Y32" s="25">
        <f t="shared" si="1"/>
        <v>2</v>
      </c>
    </row>
    <row r="33" ht="15.75" customHeight="1">
      <c r="A33" s="24" t="s">
        <v>34</v>
      </c>
      <c r="B33" s="37" t="s">
        <v>35</v>
      </c>
      <c r="C33" s="37" t="s">
        <v>24</v>
      </c>
      <c r="D33" s="24" t="s">
        <v>52</v>
      </c>
      <c r="E33" s="24" t="s">
        <v>26</v>
      </c>
      <c r="F33" s="24" t="s">
        <v>24</v>
      </c>
      <c r="G33" s="24" t="s">
        <v>21</v>
      </c>
      <c r="H33" s="24" t="s">
        <v>26</v>
      </c>
      <c r="I33" s="24" t="s">
        <v>27</v>
      </c>
      <c r="J33" s="19" t="s">
        <v>13</v>
      </c>
      <c r="K33" s="13"/>
      <c r="L33" s="14"/>
      <c r="M33" s="61" t="s">
        <v>69</v>
      </c>
      <c r="N33" s="13"/>
      <c r="O33" s="14"/>
      <c r="P33" s="19" t="s">
        <v>13</v>
      </c>
      <c r="Q33" s="13"/>
      <c r="R33" s="14"/>
      <c r="S33" s="19" t="s">
        <v>13</v>
      </c>
      <c r="T33" s="13"/>
      <c r="U33" s="14"/>
      <c r="W33" s="23">
        <v>22.0</v>
      </c>
      <c r="X33" s="26" t="s">
        <v>62</v>
      </c>
      <c r="Y33" s="25">
        <f t="shared" si="1"/>
        <v>3</v>
      </c>
    </row>
    <row r="34" ht="15.75" customHeight="1">
      <c r="A34" s="36" t="s">
        <v>20</v>
      </c>
      <c r="B34" s="47" t="s">
        <v>26</v>
      </c>
      <c r="C34" s="36" t="s">
        <v>27</v>
      </c>
      <c r="D34" s="24" t="s">
        <v>18</v>
      </c>
      <c r="E34" s="53" t="s">
        <v>70</v>
      </c>
      <c r="F34" s="24" t="s">
        <v>24</v>
      </c>
      <c r="G34" s="37" t="s">
        <v>37</v>
      </c>
      <c r="H34" s="43" t="s">
        <v>38</v>
      </c>
      <c r="I34" s="36" t="s">
        <v>24</v>
      </c>
      <c r="J34" s="24"/>
      <c r="K34" s="24"/>
      <c r="L34" s="24"/>
      <c r="M34" s="24"/>
      <c r="N34" s="60"/>
      <c r="O34" s="24"/>
      <c r="P34" s="37"/>
      <c r="Q34" s="24"/>
      <c r="R34" s="37"/>
      <c r="S34" s="35"/>
      <c r="T34" s="35"/>
      <c r="U34" s="35"/>
      <c r="W34" s="23">
        <v>26.0</v>
      </c>
      <c r="X34" s="26" t="s">
        <v>37</v>
      </c>
      <c r="Y34" s="25">
        <f t="shared" si="1"/>
        <v>2</v>
      </c>
    </row>
    <row r="35" ht="15.75" customHeight="1">
      <c r="A35" s="51"/>
      <c r="B35" s="51"/>
      <c r="C35" s="51"/>
      <c r="D35" s="51"/>
      <c r="E35" s="51"/>
      <c r="F35" s="51"/>
      <c r="G35" s="47" t="s">
        <v>19</v>
      </c>
      <c r="H35" s="47" t="s">
        <v>44</v>
      </c>
      <c r="I35" s="47" t="s">
        <v>24</v>
      </c>
      <c r="J35" s="32"/>
      <c r="K35" s="32"/>
      <c r="L35" s="32"/>
      <c r="M35" s="24"/>
      <c r="N35" s="24"/>
      <c r="O35" s="24"/>
      <c r="P35" s="35"/>
      <c r="Q35" s="35"/>
      <c r="R35" s="35"/>
      <c r="S35" s="35"/>
      <c r="T35" s="35"/>
      <c r="U35" s="35"/>
      <c r="W35" s="23">
        <v>27.0</v>
      </c>
      <c r="X35" s="24" t="s">
        <v>71</v>
      </c>
      <c r="Y35" s="25">
        <f t="shared" si="1"/>
        <v>0</v>
      </c>
    </row>
    <row r="36" ht="15.75" customHeight="1">
      <c r="A36" s="51"/>
      <c r="B36" s="51"/>
      <c r="C36" s="51"/>
      <c r="D36" s="34"/>
      <c r="E36" s="34"/>
      <c r="F36" s="34"/>
      <c r="G36" s="62"/>
      <c r="H36" s="62"/>
      <c r="I36" s="49" t="s">
        <v>48</v>
      </c>
      <c r="J36" s="18"/>
      <c r="K36" s="18"/>
      <c r="L36" s="18"/>
      <c r="M36" s="24"/>
      <c r="N36" s="24"/>
      <c r="O36" s="24"/>
      <c r="P36" s="24"/>
      <c r="Q36" s="24"/>
      <c r="R36" s="24"/>
      <c r="S36" s="35"/>
      <c r="T36" s="35"/>
      <c r="U36" s="35"/>
      <c r="W36" s="23">
        <v>28.0</v>
      </c>
      <c r="X36" s="59" t="s">
        <v>63</v>
      </c>
      <c r="Y36" s="25">
        <f t="shared" si="1"/>
        <v>2</v>
      </c>
    </row>
    <row r="37" ht="22.5" customHeight="1">
      <c r="A37" s="12" t="s">
        <v>6</v>
      </c>
      <c r="B37" s="13"/>
      <c r="C37" s="14"/>
      <c r="D37" s="12" t="s">
        <v>7</v>
      </c>
      <c r="E37" s="13"/>
      <c r="F37" s="14"/>
      <c r="G37" s="12" t="s">
        <v>8</v>
      </c>
      <c r="H37" s="13"/>
      <c r="I37" s="14"/>
      <c r="J37" s="12" t="s">
        <v>9</v>
      </c>
      <c r="K37" s="13"/>
      <c r="L37" s="14"/>
      <c r="M37" s="12" t="s">
        <v>10</v>
      </c>
      <c r="N37" s="13"/>
      <c r="O37" s="14"/>
      <c r="P37" s="12" t="s">
        <v>11</v>
      </c>
      <c r="Q37" s="13"/>
      <c r="R37" s="14"/>
      <c r="S37" s="29" t="s">
        <v>12</v>
      </c>
      <c r="T37" s="13"/>
      <c r="U37" s="14"/>
      <c r="W37" s="23">
        <v>29.0</v>
      </c>
      <c r="X37" s="24" t="s">
        <v>67</v>
      </c>
      <c r="Y37" s="25">
        <f t="shared" si="1"/>
        <v>2</v>
      </c>
    </row>
    <row r="38" ht="15.75" customHeight="1">
      <c r="A38" s="16">
        <f>S30+1</f>
        <v>46104</v>
      </c>
      <c r="B38" s="13"/>
      <c r="C38" s="14"/>
      <c r="D38" s="16">
        <f>A38+1</f>
        <v>46105</v>
      </c>
      <c r="E38" s="13"/>
      <c r="F38" s="14"/>
      <c r="G38" s="16">
        <f>D38+1</f>
        <v>46106</v>
      </c>
      <c r="H38" s="13"/>
      <c r="I38" s="14"/>
      <c r="J38" s="16">
        <f>G38+1</f>
        <v>46107</v>
      </c>
      <c r="K38" s="13"/>
      <c r="L38" s="14"/>
      <c r="M38" s="16">
        <f>J38+1</f>
        <v>46108</v>
      </c>
      <c r="N38" s="13"/>
      <c r="O38" s="14"/>
      <c r="P38" s="16">
        <f>M38+1</f>
        <v>46109</v>
      </c>
      <c r="Q38" s="13"/>
      <c r="R38" s="14"/>
      <c r="S38" s="16">
        <f>P38+1</f>
        <v>46110</v>
      </c>
      <c r="T38" s="13"/>
      <c r="U38" s="14"/>
      <c r="V38" s="63">
        <v>30.0</v>
      </c>
      <c r="W38" s="64"/>
      <c r="X38" s="65"/>
      <c r="Y38" s="25"/>
    </row>
    <row r="39" ht="15.75" customHeight="1">
      <c r="A39" s="36"/>
      <c r="B39" s="36"/>
      <c r="C39" s="36"/>
      <c r="D39" s="37"/>
      <c r="E39" s="53"/>
      <c r="F39" s="37"/>
      <c r="G39" s="24"/>
      <c r="H39" s="37"/>
      <c r="I39" s="37"/>
      <c r="J39" s="24"/>
      <c r="K39" s="37"/>
      <c r="L39" s="37"/>
      <c r="M39" s="66"/>
      <c r="N39" s="66"/>
      <c r="O39" s="66"/>
      <c r="P39" s="67"/>
      <c r="Q39" s="67"/>
      <c r="R39" s="67"/>
      <c r="S39" s="35"/>
      <c r="T39" s="35"/>
      <c r="U39" s="35"/>
      <c r="W39" s="23"/>
      <c r="X39" s="68"/>
      <c r="Y39" s="25"/>
    </row>
    <row r="40">
      <c r="A40" s="24"/>
      <c r="B40" s="24"/>
      <c r="C40" s="24"/>
      <c r="D40" s="37" t="s">
        <v>32</v>
      </c>
      <c r="E40" s="40" t="s">
        <v>33</v>
      </c>
      <c r="F40" s="37" t="s">
        <v>24</v>
      </c>
      <c r="G40" s="24" t="s">
        <v>53</v>
      </c>
      <c r="H40" s="37" t="s">
        <v>58</v>
      </c>
      <c r="I40" s="37" t="s">
        <v>42</v>
      </c>
      <c r="M40" s="24" t="s">
        <v>55</v>
      </c>
      <c r="N40" s="53" t="s">
        <v>60</v>
      </c>
      <c r="O40" s="24" t="s">
        <v>42</v>
      </c>
      <c r="P40" s="50" t="s">
        <v>53</v>
      </c>
      <c r="Q40" s="54" t="s">
        <v>58</v>
      </c>
      <c r="R40" s="54" t="s">
        <v>42</v>
      </c>
      <c r="S40" s="33"/>
      <c r="T40" s="33"/>
      <c r="U40" s="33"/>
      <c r="W40" s="23"/>
      <c r="X40" s="69"/>
      <c r="Y40" s="25"/>
    </row>
    <row r="41" ht="15.75" customHeight="1">
      <c r="A41" s="61" t="s">
        <v>69</v>
      </c>
      <c r="B41" s="13"/>
      <c r="C41" s="14"/>
      <c r="D41" s="24" t="s">
        <v>34</v>
      </c>
      <c r="E41" s="24" t="s">
        <v>35</v>
      </c>
      <c r="F41" s="24" t="s">
        <v>24</v>
      </c>
      <c r="G41" s="37" t="s">
        <v>61</v>
      </c>
      <c r="H41" s="37" t="s">
        <v>57</v>
      </c>
      <c r="I41" s="37" t="s">
        <v>42</v>
      </c>
      <c r="J41" s="24" t="s">
        <v>65</v>
      </c>
      <c r="K41" s="24" t="s">
        <v>66</v>
      </c>
      <c r="L41" s="24" t="s">
        <v>24</v>
      </c>
      <c r="M41" s="37" t="s">
        <v>17</v>
      </c>
      <c r="N41" s="37" t="s">
        <v>25</v>
      </c>
      <c r="O41" s="37" t="s">
        <v>24</v>
      </c>
      <c r="P41" s="37" t="s">
        <v>54</v>
      </c>
      <c r="Q41" s="47" t="s">
        <v>57</v>
      </c>
      <c r="R41" s="37" t="s">
        <v>24</v>
      </c>
      <c r="S41" s="19" t="s">
        <v>13</v>
      </c>
      <c r="T41" s="13"/>
      <c r="U41" s="14"/>
      <c r="W41" s="23"/>
      <c r="X41" s="70"/>
      <c r="Y41" s="25"/>
    </row>
    <row r="42" ht="15.75" customHeight="1">
      <c r="A42" s="24"/>
      <c r="B42" s="24"/>
      <c r="C42" s="24"/>
      <c r="D42" s="50" t="s">
        <v>62</v>
      </c>
      <c r="E42" s="50" t="s">
        <v>26</v>
      </c>
      <c r="F42" s="50" t="s">
        <v>24</v>
      </c>
      <c r="G42" s="37" t="s">
        <v>63</v>
      </c>
      <c r="H42" s="53" t="s">
        <v>72</v>
      </c>
      <c r="I42" s="37" t="s">
        <v>42</v>
      </c>
      <c r="J42" s="51"/>
      <c r="K42" s="51"/>
      <c r="L42" s="51"/>
      <c r="P42" s="47" t="s">
        <v>56</v>
      </c>
      <c r="Q42" s="24" t="s">
        <v>73</v>
      </c>
      <c r="R42" s="47" t="s">
        <v>42</v>
      </c>
      <c r="S42" s="35"/>
      <c r="T42" s="35"/>
      <c r="U42" s="35"/>
      <c r="W42" s="23"/>
      <c r="X42" s="69"/>
      <c r="Y42" s="25"/>
    </row>
    <row r="43" ht="15.75" customHeight="1">
      <c r="A43" s="24"/>
      <c r="B43" s="24"/>
      <c r="C43" s="24"/>
      <c r="D43" s="24" t="s">
        <v>22</v>
      </c>
      <c r="E43" s="24"/>
      <c r="F43" s="24" t="s">
        <v>24</v>
      </c>
      <c r="J43" s="71" t="s">
        <v>74</v>
      </c>
      <c r="K43" s="13"/>
      <c r="L43" s="14"/>
      <c r="M43" s="24" t="s">
        <v>67</v>
      </c>
      <c r="N43" s="24" t="s">
        <v>29</v>
      </c>
      <c r="O43" s="24" t="s">
        <v>24</v>
      </c>
      <c r="P43" s="24" t="s">
        <v>51</v>
      </c>
      <c r="Q43" s="24" t="s">
        <v>26</v>
      </c>
      <c r="R43" s="24" t="s">
        <v>24</v>
      </c>
      <c r="S43" s="35"/>
      <c r="T43" s="35"/>
      <c r="U43" s="35"/>
      <c r="W43" s="23"/>
      <c r="X43" s="69"/>
      <c r="Y43" s="25"/>
    </row>
    <row r="44" ht="15.75" customHeight="1">
      <c r="A44" s="51"/>
      <c r="B44" s="51"/>
      <c r="C44" s="24"/>
      <c r="D44" s="72"/>
      <c r="E44" s="72"/>
      <c r="F44" s="72"/>
      <c r="G44" s="24" t="s">
        <v>62</v>
      </c>
      <c r="H44" s="24"/>
      <c r="I44" s="24" t="s">
        <v>24</v>
      </c>
      <c r="J44" s="18"/>
      <c r="K44" s="18"/>
      <c r="L44" s="18"/>
      <c r="M44" s="24"/>
      <c r="N44" s="47"/>
      <c r="O44" s="47"/>
      <c r="P44" s="24"/>
      <c r="Q44" s="24"/>
      <c r="R44" s="24"/>
      <c r="S44" s="41"/>
      <c r="T44" s="41"/>
      <c r="U44" s="41"/>
      <c r="W44" s="73"/>
      <c r="Y44" s="5">
        <f>SUM(Y10:Y43)</f>
        <v>67</v>
      </c>
    </row>
    <row r="45" ht="15.75" customHeight="1">
      <c r="A45" s="27" t="s">
        <v>6</v>
      </c>
      <c r="B45" s="13"/>
      <c r="C45" s="14"/>
      <c r="D45" s="28" t="s">
        <v>7</v>
      </c>
      <c r="E45" s="13"/>
      <c r="F45" s="14"/>
      <c r="G45" s="27" t="s">
        <v>8</v>
      </c>
      <c r="H45" s="13"/>
      <c r="I45" s="14"/>
      <c r="J45" s="27" t="s">
        <v>9</v>
      </c>
      <c r="K45" s="13"/>
      <c r="L45" s="14"/>
      <c r="M45" s="27" t="s">
        <v>10</v>
      </c>
      <c r="N45" s="13"/>
      <c r="O45" s="14"/>
      <c r="P45" s="27" t="s">
        <v>11</v>
      </c>
      <c r="Q45" s="13"/>
      <c r="R45" s="14"/>
      <c r="S45" s="29" t="s">
        <v>12</v>
      </c>
      <c r="T45" s="13"/>
      <c r="U45" s="14"/>
      <c r="V45" s="74"/>
      <c r="W45" s="75"/>
      <c r="X45" s="74"/>
      <c r="Y45" s="75"/>
      <c r="Z45" s="74"/>
    </row>
    <row r="46" ht="15.75" customHeight="1">
      <c r="A46" s="30">
        <f>S38+1</f>
        <v>46111</v>
      </c>
      <c r="B46" s="13"/>
      <c r="C46" s="14"/>
      <c r="D46" s="76">
        <f>A46+1</f>
        <v>46112</v>
      </c>
      <c r="E46" s="13"/>
      <c r="F46" s="14"/>
      <c r="G46" s="30">
        <f>D46+1</f>
        <v>46113</v>
      </c>
      <c r="H46" s="13"/>
      <c r="I46" s="14"/>
      <c r="J46" s="30">
        <f>G46+1</f>
        <v>46114</v>
      </c>
      <c r="K46" s="13"/>
      <c r="L46" s="14"/>
      <c r="M46" s="30">
        <f>J46+1</f>
        <v>46115</v>
      </c>
      <c r="N46" s="13"/>
      <c r="O46" s="14"/>
      <c r="P46" s="30">
        <f>M46+1</f>
        <v>46116</v>
      </c>
      <c r="Q46" s="13"/>
      <c r="R46" s="14"/>
      <c r="S46" s="31">
        <f>P46+1</f>
        <v>46117</v>
      </c>
      <c r="T46" s="13"/>
      <c r="U46" s="14"/>
      <c r="V46" s="74"/>
      <c r="W46" s="75"/>
      <c r="X46" s="74"/>
      <c r="Y46" s="75"/>
      <c r="Z46" s="74"/>
    </row>
    <row r="47" ht="15.75" customHeight="1">
      <c r="A47" s="54" t="s">
        <v>23</v>
      </c>
      <c r="B47" s="52" t="s">
        <v>60</v>
      </c>
      <c r="C47" s="54" t="s">
        <v>24</v>
      </c>
      <c r="D47" s="66"/>
      <c r="E47" s="66"/>
      <c r="F47" s="66"/>
      <c r="G47" s="66"/>
      <c r="H47" s="66"/>
      <c r="I47" s="66"/>
      <c r="J47" s="77"/>
      <c r="K47" s="77"/>
      <c r="L47" s="77"/>
      <c r="M47" s="77"/>
      <c r="N47" s="77"/>
      <c r="O47" s="77"/>
      <c r="P47" s="78"/>
      <c r="Q47" s="78"/>
      <c r="R47" s="78"/>
      <c r="S47" s="79"/>
      <c r="T47" s="79"/>
      <c r="U47" s="79"/>
      <c r="W47" s="5"/>
      <c r="Y47" s="5"/>
    </row>
    <row r="48" ht="15.75" customHeight="1">
      <c r="A48" s="24" t="s">
        <v>17</v>
      </c>
      <c r="B48" s="24" t="s">
        <v>25</v>
      </c>
      <c r="C48" s="24" t="s">
        <v>24</v>
      </c>
      <c r="D48" s="37" t="s">
        <v>32</v>
      </c>
      <c r="E48" s="40" t="s">
        <v>60</v>
      </c>
      <c r="F48" s="37" t="s">
        <v>24</v>
      </c>
      <c r="G48" s="51"/>
      <c r="H48" s="51"/>
      <c r="I48" s="51"/>
      <c r="J48" s="51"/>
      <c r="K48" s="51"/>
      <c r="L48" s="51"/>
      <c r="M48" s="51"/>
      <c r="N48" s="51"/>
      <c r="O48" s="51"/>
      <c r="P48" s="35"/>
      <c r="Q48" s="35"/>
      <c r="R48" s="35"/>
      <c r="S48" s="35"/>
      <c r="T48" s="35"/>
      <c r="U48" s="35"/>
      <c r="W48" s="5"/>
      <c r="Y48" s="5"/>
    </row>
    <row r="49" ht="15.75" customHeight="1">
      <c r="A49" s="38" t="s">
        <v>30</v>
      </c>
      <c r="B49" s="39" t="s">
        <v>31</v>
      </c>
      <c r="C49" s="38" t="s">
        <v>24</v>
      </c>
      <c r="D49" s="47"/>
      <c r="E49" s="47"/>
      <c r="F49" s="47"/>
      <c r="G49" s="18"/>
      <c r="H49" s="18"/>
      <c r="I49" s="18"/>
      <c r="J49" s="51"/>
      <c r="K49" s="51"/>
      <c r="L49" s="51"/>
      <c r="M49" s="51"/>
      <c r="N49" s="51"/>
      <c r="O49" s="51"/>
      <c r="P49" s="51"/>
      <c r="Q49" s="35"/>
      <c r="R49" s="51"/>
      <c r="S49" s="35"/>
      <c r="T49" s="35"/>
      <c r="U49" s="35"/>
      <c r="W49" s="5"/>
      <c r="Y49" s="5"/>
    </row>
    <row r="50" ht="15.75" customHeight="1">
      <c r="A50" s="38" t="s">
        <v>41</v>
      </c>
      <c r="B50" s="46"/>
      <c r="C50" s="38" t="s">
        <v>42</v>
      </c>
      <c r="D50" s="80" t="s">
        <v>53</v>
      </c>
      <c r="E50" s="81" t="s">
        <v>75</v>
      </c>
      <c r="F50" s="80" t="s">
        <v>42</v>
      </c>
      <c r="G50" s="18"/>
      <c r="H50" s="18"/>
      <c r="I50" s="18"/>
      <c r="J50" s="51"/>
      <c r="K50" s="51"/>
      <c r="L50" s="51"/>
      <c r="M50" s="51"/>
      <c r="N50" s="51"/>
      <c r="O50" s="51"/>
      <c r="P50" s="82"/>
      <c r="Q50" s="82"/>
      <c r="R50" s="82"/>
      <c r="S50" s="41"/>
      <c r="T50" s="41"/>
      <c r="U50" s="41"/>
      <c r="W50" s="5"/>
      <c r="Y50" s="5"/>
    </row>
    <row r="51" ht="15.75" customHeight="1">
      <c r="A51" s="38" t="s">
        <v>45</v>
      </c>
      <c r="B51" s="48"/>
      <c r="C51" s="38" t="s">
        <v>24</v>
      </c>
      <c r="D51" s="24" t="s">
        <v>17</v>
      </c>
      <c r="E51" s="24" t="s">
        <v>47</v>
      </c>
      <c r="F51" s="49" t="s">
        <v>48</v>
      </c>
      <c r="G51" s="41"/>
      <c r="H51" s="41"/>
      <c r="I51" s="41"/>
      <c r="J51" s="51"/>
      <c r="K51" s="51"/>
      <c r="L51" s="51"/>
      <c r="M51" s="51"/>
      <c r="N51" s="51"/>
      <c r="O51" s="72"/>
      <c r="P51" s="51"/>
      <c r="Q51" s="51"/>
      <c r="R51" s="72"/>
      <c r="S51" s="35"/>
      <c r="T51" s="35"/>
      <c r="U51" s="35"/>
      <c r="W51" s="5"/>
      <c r="Y51" s="5"/>
    </row>
    <row r="52" ht="15.75" customHeight="1">
      <c r="A52" s="51"/>
      <c r="B52" s="51"/>
      <c r="C52" s="72"/>
      <c r="D52" s="72"/>
      <c r="E52" s="72"/>
      <c r="F52" s="72"/>
      <c r="G52" s="51"/>
      <c r="H52" s="51"/>
      <c r="I52" s="72"/>
      <c r="J52" s="72"/>
      <c r="K52" s="72"/>
      <c r="L52" s="72"/>
      <c r="M52" s="51"/>
      <c r="N52" s="51"/>
      <c r="O52" s="51"/>
      <c r="P52" s="35"/>
      <c r="Q52" s="35"/>
      <c r="R52" s="35"/>
      <c r="S52" s="41"/>
      <c r="T52" s="41"/>
      <c r="U52" s="41"/>
      <c r="W52" s="5"/>
      <c r="Y52" s="5"/>
    </row>
    <row r="53" ht="15.75" customHeight="1">
      <c r="W53" s="5"/>
      <c r="Y53" s="5"/>
    </row>
    <row r="54" ht="15.75" customHeight="1">
      <c r="A54" s="83" t="s">
        <v>76</v>
      </c>
      <c r="B54" s="84"/>
      <c r="W54" s="5"/>
      <c r="Y54" s="5"/>
    </row>
    <row r="55" ht="15.75" customHeight="1">
      <c r="A55" s="85"/>
      <c r="B55" s="86" t="s">
        <v>77</v>
      </c>
      <c r="C55" s="87"/>
      <c r="D55" s="88"/>
      <c r="I55" s="89"/>
      <c r="J55" s="89"/>
      <c r="K55" s="89"/>
      <c r="M55" s="90"/>
      <c r="N55" s="91"/>
      <c r="O55" s="90"/>
      <c r="W55" s="5"/>
      <c r="Y55" s="5"/>
    </row>
    <row r="56" ht="15.75" customHeight="1">
      <c r="A56" s="92"/>
      <c r="B56" s="86" t="s">
        <v>78</v>
      </c>
      <c r="C56" s="87"/>
      <c r="I56" s="93"/>
      <c r="J56" s="93"/>
      <c r="K56" s="93"/>
      <c r="M56" s="94"/>
      <c r="N56" s="93"/>
      <c r="O56" s="93"/>
      <c r="W56" s="5"/>
      <c r="Y56" s="5"/>
    </row>
    <row r="57" ht="15.75" customHeight="1">
      <c r="A57" s="95"/>
      <c r="B57" s="86" t="s">
        <v>79</v>
      </c>
      <c r="C57" s="87"/>
      <c r="I57" s="93"/>
      <c r="J57" s="93"/>
      <c r="K57" s="93"/>
      <c r="M57" s="93"/>
      <c r="N57" s="93"/>
      <c r="O57" s="93"/>
      <c r="W57" s="5"/>
      <c r="Y57" s="5"/>
    </row>
    <row r="58" ht="15.75" customHeight="1">
      <c r="A58" s="96"/>
      <c r="B58" s="86" t="s">
        <v>80</v>
      </c>
      <c r="C58" s="87"/>
      <c r="I58" s="90"/>
      <c r="J58" s="91"/>
      <c r="K58" s="90"/>
      <c r="M58" s="97"/>
      <c r="N58" s="93"/>
      <c r="O58" s="97"/>
      <c r="W58" s="5"/>
      <c r="Y58" s="5"/>
    </row>
    <row r="59" ht="15.75" customHeight="1">
      <c r="I59" s="97"/>
      <c r="J59" s="98"/>
      <c r="K59" s="97"/>
      <c r="M59" s="56"/>
      <c r="N59" s="56"/>
      <c r="O59" s="56"/>
      <c r="W59" s="5"/>
      <c r="Y59" s="5"/>
    </row>
    <row r="60" ht="15.75" customHeight="1">
      <c r="I60" s="93"/>
      <c r="J60" s="93"/>
      <c r="K60" s="93"/>
      <c r="W60" s="5"/>
      <c r="Y60" s="5"/>
    </row>
    <row r="61" ht="15.75" customHeight="1">
      <c r="W61" s="5"/>
      <c r="Y61" s="5"/>
    </row>
    <row r="62" ht="15.75" customHeight="1">
      <c r="W62" s="5"/>
      <c r="Y62" s="5"/>
    </row>
    <row r="63" ht="15.75" customHeight="1">
      <c r="W63" s="5"/>
      <c r="Y63" s="5"/>
    </row>
    <row r="64" ht="15.75" customHeight="1">
      <c r="W64" s="5"/>
      <c r="Y64" s="5"/>
    </row>
    <row r="65" ht="15.75" customHeight="1">
      <c r="W65" s="5"/>
      <c r="Y65" s="5"/>
    </row>
    <row r="66" ht="15.75" customHeight="1">
      <c r="W66" s="5"/>
      <c r="Y66" s="5"/>
    </row>
    <row r="67" ht="15.75" customHeight="1">
      <c r="W67" s="5"/>
      <c r="Y67" s="5"/>
    </row>
    <row r="68" ht="15.75" customHeight="1">
      <c r="W68" s="5"/>
      <c r="Y68" s="5"/>
    </row>
    <row r="69" ht="15.75" customHeight="1">
      <c r="W69" s="5"/>
      <c r="Y69" s="5"/>
    </row>
    <row r="70" ht="15.75" customHeight="1">
      <c r="W70" s="5"/>
      <c r="Y70" s="5"/>
    </row>
    <row r="71" ht="15.75" customHeight="1">
      <c r="W71" s="5"/>
      <c r="Y71" s="5"/>
    </row>
    <row r="72" ht="15.75" customHeight="1">
      <c r="W72" s="5"/>
      <c r="Y72" s="5"/>
    </row>
    <row r="73" ht="15.75" customHeight="1">
      <c r="W73" s="5"/>
      <c r="Y73" s="5"/>
    </row>
    <row r="74" ht="15.75" customHeight="1">
      <c r="W74" s="5"/>
      <c r="Y74" s="5"/>
    </row>
    <row r="75" ht="15.75" customHeight="1">
      <c r="W75" s="5"/>
      <c r="Y75" s="5"/>
    </row>
    <row r="76" ht="15.75" customHeight="1">
      <c r="W76" s="5"/>
      <c r="Y76" s="5"/>
    </row>
    <row r="77" ht="15.75" customHeight="1">
      <c r="W77" s="5"/>
      <c r="Y77" s="5"/>
    </row>
    <row r="78" ht="15.75" customHeight="1">
      <c r="W78" s="5"/>
      <c r="Y78" s="5"/>
    </row>
    <row r="79" ht="15.75" customHeight="1">
      <c r="W79" s="5"/>
      <c r="Y79" s="5"/>
    </row>
    <row r="80" ht="15.75" customHeight="1">
      <c r="W80" s="5"/>
      <c r="Y80" s="5"/>
    </row>
    <row r="81" ht="15.75" customHeight="1">
      <c r="W81" s="5"/>
      <c r="Y81" s="5"/>
    </row>
    <row r="82" ht="15.75" customHeight="1">
      <c r="W82" s="5"/>
      <c r="Y82" s="5"/>
    </row>
    <row r="83" ht="15.75" customHeight="1">
      <c r="W83" s="5"/>
      <c r="Y83" s="5"/>
    </row>
    <row r="84" ht="15.75" customHeight="1">
      <c r="W84" s="5"/>
      <c r="Y84" s="5"/>
    </row>
    <row r="85" ht="15.75" customHeight="1">
      <c r="W85" s="5"/>
      <c r="Y85" s="5"/>
    </row>
    <row r="86" ht="15.75" customHeight="1">
      <c r="W86" s="5"/>
      <c r="Y86" s="5"/>
    </row>
    <row r="87" ht="15.75" customHeight="1">
      <c r="W87" s="5"/>
      <c r="Y87" s="5"/>
    </row>
    <row r="88" ht="15.75" customHeight="1">
      <c r="W88" s="5"/>
      <c r="Y88" s="5"/>
    </row>
    <row r="89" ht="15.75" customHeight="1">
      <c r="W89" s="5"/>
      <c r="Y89" s="5"/>
    </row>
    <row r="90" ht="15.75" customHeight="1">
      <c r="W90" s="5"/>
      <c r="Y90" s="5"/>
    </row>
    <row r="91" ht="15.75" customHeight="1">
      <c r="W91" s="5"/>
      <c r="Y91" s="5"/>
    </row>
    <row r="92" ht="15.75" customHeight="1">
      <c r="W92" s="5"/>
      <c r="Y92" s="5"/>
    </row>
    <row r="93" ht="15.75" customHeight="1">
      <c r="W93" s="5"/>
      <c r="Y93" s="5"/>
    </row>
    <row r="94" ht="15.75" customHeight="1">
      <c r="W94" s="5"/>
      <c r="Y94" s="5"/>
    </row>
    <row r="95" ht="15.75" customHeight="1">
      <c r="W95" s="5"/>
      <c r="Y95" s="5"/>
    </row>
    <row r="96" ht="15.75" customHeight="1">
      <c r="W96" s="5"/>
      <c r="Y96" s="5"/>
    </row>
    <row r="97" ht="15.75" customHeight="1">
      <c r="W97" s="5"/>
      <c r="Y97" s="5"/>
    </row>
    <row r="98" ht="15.75" customHeight="1">
      <c r="W98" s="5"/>
      <c r="Y98" s="5"/>
    </row>
    <row r="99" ht="15.75" customHeight="1">
      <c r="W99" s="5"/>
      <c r="Y99" s="5"/>
    </row>
    <row r="100" ht="15.75" customHeight="1">
      <c r="W100" s="5"/>
      <c r="Y100" s="5"/>
    </row>
    <row r="101" ht="15.75" customHeight="1">
      <c r="W101" s="5"/>
      <c r="Y101" s="5"/>
    </row>
    <row r="102" ht="15.75" customHeight="1">
      <c r="W102" s="5"/>
      <c r="Y102" s="5"/>
    </row>
    <row r="103" ht="15.75" customHeight="1">
      <c r="W103" s="5"/>
      <c r="Y103" s="5"/>
    </row>
    <row r="104" ht="15.75" customHeight="1">
      <c r="W104" s="5"/>
      <c r="Y104" s="5"/>
    </row>
    <row r="105" ht="15.75" customHeight="1">
      <c r="W105" s="5"/>
      <c r="Y105" s="5"/>
    </row>
    <row r="106" ht="15.75" customHeight="1">
      <c r="W106" s="5"/>
      <c r="Y106" s="5"/>
    </row>
    <row r="107" ht="15.75" customHeight="1">
      <c r="W107" s="5"/>
      <c r="Y107" s="5"/>
    </row>
    <row r="108" ht="15.75" customHeight="1">
      <c r="W108" s="5"/>
      <c r="Y108" s="5"/>
    </row>
    <row r="109" ht="15.75" customHeight="1">
      <c r="W109" s="5"/>
      <c r="Y109" s="5"/>
    </row>
    <row r="110" ht="15.75" customHeight="1">
      <c r="W110" s="5"/>
      <c r="Y110" s="5"/>
    </row>
    <row r="111" ht="15.75" customHeight="1">
      <c r="W111" s="5"/>
      <c r="Y111" s="5"/>
    </row>
    <row r="112" ht="15.75" customHeight="1">
      <c r="W112" s="5"/>
      <c r="Y112" s="5"/>
    </row>
    <row r="113" ht="15.75" customHeight="1">
      <c r="W113" s="5"/>
      <c r="Y113" s="5"/>
    </row>
    <row r="114" ht="15.75" customHeight="1">
      <c r="W114" s="5"/>
      <c r="Y114" s="5"/>
    </row>
    <row r="115" ht="15.75" customHeight="1">
      <c r="W115" s="5"/>
      <c r="Y115" s="5"/>
    </row>
    <row r="116" ht="15.75" customHeight="1">
      <c r="W116" s="5"/>
      <c r="Y116" s="5"/>
    </row>
    <row r="117" ht="15.75" customHeight="1">
      <c r="W117" s="5"/>
      <c r="Y117" s="5"/>
    </row>
    <row r="118" ht="15.75" customHeight="1">
      <c r="W118" s="5"/>
      <c r="Y118" s="5"/>
    </row>
    <row r="119" ht="15.75" customHeight="1">
      <c r="W119" s="5"/>
      <c r="Y119" s="5"/>
    </row>
    <row r="120" ht="15.75" customHeight="1">
      <c r="W120" s="5"/>
      <c r="Y120" s="5"/>
    </row>
    <row r="121" ht="15.75" customHeight="1">
      <c r="W121" s="5"/>
      <c r="Y121" s="5"/>
    </row>
    <row r="122" ht="15.75" customHeight="1">
      <c r="W122" s="5"/>
      <c r="Y122" s="5"/>
    </row>
    <row r="123" ht="15.75" customHeight="1">
      <c r="W123" s="5"/>
      <c r="Y123" s="5"/>
    </row>
    <row r="124" ht="15.75" customHeight="1">
      <c r="W124" s="5"/>
      <c r="Y124" s="5"/>
    </row>
    <row r="125" ht="15.75" customHeight="1">
      <c r="W125" s="5"/>
      <c r="Y125" s="5"/>
    </row>
    <row r="126" ht="15.75" customHeight="1">
      <c r="W126" s="5"/>
      <c r="Y126" s="5"/>
    </row>
    <row r="127" ht="15.75" customHeight="1">
      <c r="W127" s="5"/>
      <c r="Y127" s="5"/>
    </row>
    <row r="128" ht="15.75" customHeight="1">
      <c r="W128" s="5"/>
      <c r="Y128" s="5"/>
    </row>
    <row r="129" ht="15.75" customHeight="1">
      <c r="W129" s="5"/>
      <c r="Y129" s="5"/>
    </row>
    <row r="130" ht="15.75" customHeight="1">
      <c r="W130" s="5"/>
      <c r="Y130" s="5"/>
    </row>
    <row r="131" ht="15.75" customHeight="1">
      <c r="W131" s="5"/>
      <c r="Y131" s="5"/>
    </row>
    <row r="132" ht="15.75" customHeight="1">
      <c r="W132" s="5"/>
      <c r="Y132" s="5"/>
    </row>
    <row r="133" ht="15.75" customHeight="1">
      <c r="W133" s="5"/>
      <c r="Y133" s="5"/>
    </row>
    <row r="134" ht="15.75" customHeight="1">
      <c r="W134" s="5"/>
      <c r="Y134" s="5"/>
    </row>
    <row r="135" ht="15.75" customHeight="1">
      <c r="W135" s="5"/>
      <c r="Y135" s="5"/>
    </row>
    <row r="136" ht="15.75" customHeight="1">
      <c r="W136" s="5"/>
      <c r="Y136" s="5"/>
    </row>
    <row r="137" ht="15.75" customHeight="1">
      <c r="W137" s="5"/>
      <c r="Y137" s="5"/>
    </row>
    <row r="138" ht="15.75" customHeight="1">
      <c r="W138" s="5"/>
      <c r="Y138" s="5"/>
    </row>
    <row r="139" ht="15.75" customHeight="1">
      <c r="W139" s="5"/>
      <c r="Y139" s="5"/>
    </row>
    <row r="140" ht="15.75" customHeight="1">
      <c r="W140" s="5"/>
      <c r="Y140" s="5"/>
    </row>
    <row r="141" ht="15.75" customHeight="1">
      <c r="W141" s="5"/>
      <c r="Y141" s="5"/>
    </row>
    <row r="142" ht="15.75" customHeight="1">
      <c r="W142" s="5"/>
      <c r="Y142" s="5"/>
    </row>
    <row r="143" ht="15.75" customHeight="1">
      <c r="W143" s="5"/>
      <c r="Y143" s="5"/>
    </row>
    <row r="144" ht="15.75" customHeight="1">
      <c r="W144" s="5"/>
      <c r="Y144" s="5"/>
    </row>
    <row r="145" ht="15.75" customHeight="1">
      <c r="W145" s="5"/>
      <c r="Y145" s="5"/>
    </row>
    <row r="146" ht="15.75" customHeight="1">
      <c r="W146" s="5"/>
      <c r="Y146" s="5"/>
    </row>
    <row r="147" ht="15.75" customHeight="1">
      <c r="W147" s="5"/>
      <c r="Y147" s="5"/>
    </row>
    <row r="148" ht="15.75" customHeight="1">
      <c r="W148" s="5"/>
      <c r="Y148" s="5"/>
    </row>
    <row r="149" ht="15.75" customHeight="1">
      <c r="W149" s="5"/>
      <c r="Y149" s="5"/>
    </row>
    <row r="150" ht="15.75" customHeight="1">
      <c r="W150" s="5"/>
      <c r="Y150" s="5"/>
    </row>
    <row r="151" ht="15.75" customHeight="1">
      <c r="W151" s="5"/>
      <c r="Y151" s="5"/>
    </row>
    <row r="152" ht="15.75" customHeight="1">
      <c r="W152" s="5"/>
      <c r="Y152" s="5"/>
    </row>
    <row r="153" ht="15.75" customHeight="1">
      <c r="W153" s="5"/>
      <c r="Y153" s="5"/>
    </row>
    <row r="154" ht="15.75" customHeight="1">
      <c r="W154" s="5"/>
      <c r="Y154" s="5"/>
    </row>
    <row r="155" ht="15.75" customHeight="1">
      <c r="W155" s="5"/>
      <c r="Y155" s="5"/>
    </row>
    <row r="156" ht="15.75" customHeight="1">
      <c r="W156" s="5"/>
      <c r="Y156" s="5"/>
    </row>
    <row r="157" ht="15.75" customHeight="1">
      <c r="W157" s="5"/>
      <c r="Y157" s="5"/>
    </row>
    <row r="158" ht="15.75" customHeight="1">
      <c r="W158" s="5"/>
      <c r="Y158" s="5"/>
    </row>
    <row r="159" ht="15.75" customHeight="1">
      <c r="W159" s="5"/>
      <c r="Y159" s="5"/>
    </row>
    <row r="160" ht="15.75" customHeight="1">
      <c r="W160" s="5"/>
      <c r="Y160" s="5"/>
    </row>
    <row r="161" ht="15.75" customHeight="1">
      <c r="W161" s="5"/>
      <c r="Y161" s="5"/>
    </row>
    <row r="162" ht="15.75" customHeight="1">
      <c r="W162" s="5"/>
      <c r="Y162" s="5"/>
    </row>
    <row r="163" ht="15.75" customHeight="1">
      <c r="W163" s="5"/>
      <c r="Y163" s="5"/>
    </row>
    <row r="164" ht="15.75" customHeight="1">
      <c r="W164" s="5"/>
      <c r="Y164" s="5"/>
    </row>
    <row r="165" ht="15.75" customHeight="1">
      <c r="W165" s="5"/>
      <c r="Y165" s="5"/>
    </row>
    <row r="166" ht="15.75" customHeight="1">
      <c r="W166" s="5"/>
      <c r="Y166" s="5"/>
    </row>
    <row r="167" ht="15.75" customHeight="1">
      <c r="W167" s="5"/>
      <c r="Y167" s="5"/>
    </row>
    <row r="168" ht="15.75" customHeight="1">
      <c r="W168" s="5"/>
      <c r="Y168" s="5"/>
    </row>
    <row r="169" ht="15.75" customHeight="1">
      <c r="W169" s="5"/>
      <c r="Y169" s="5"/>
    </row>
    <row r="170" ht="15.75" customHeight="1">
      <c r="W170" s="5"/>
      <c r="Y170" s="5"/>
    </row>
    <row r="171" ht="15.75" customHeight="1">
      <c r="W171" s="5"/>
      <c r="Y171" s="5"/>
    </row>
    <row r="172" ht="15.75" customHeight="1">
      <c r="W172" s="5"/>
      <c r="Y172" s="5"/>
    </row>
    <row r="173" ht="15.75" customHeight="1">
      <c r="W173" s="5"/>
      <c r="Y173" s="5"/>
    </row>
    <row r="174" ht="15.75" customHeight="1">
      <c r="W174" s="5"/>
      <c r="Y174" s="5"/>
    </row>
    <row r="175" ht="15.75" customHeight="1">
      <c r="W175" s="5"/>
      <c r="Y175" s="5"/>
    </row>
    <row r="176" ht="15.75" customHeight="1">
      <c r="W176" s="5"/>
      <c r="Y176" s="5"/>
    </row>
    <row r="177" ht="15.75" customHeight="1">
      <c r="W177" s="5"/>
      <c r="Y177" s="5"/>
    </row>
    <row r="178" ht="15.75" customHeight="1">
      <c r="W178" s="5"/>
      <c r="Y178" s="5"/>
    </row>
    <row r="179" ht="15.75" customHeight="1">
      <c r="W179" s="5"/>
      <c r="Y179" s="5"/>
    </row>
    <row r="180" ht="15.75" customHeight="1">
      <c r="W180" s="5"/>
      <c r="Y180" s="5"/>
    </row>
    <row r="181" ht="15.75" customHeight="1">
      <c r="W181" s="5"/>
      <c r="Y181" s="5"/>
    </row>
    <row r="182" ht="15.75" customHeight="1">
      <c r="W182" s="5"/>
      <c r="Y182" s="5"/>
    </row>
    <row r="183" ht="15.75" customHeight="1">
      <c r="W183" s="5"/>
      <c r="Y183" s="5"/>
    </row>
    <row r="184" ht="15.75" customHeight="1">
      <c r="W184" s="5"/>
      <c r="Y184" s="5"/>
    </row>
    <row r="185" ht="15.75" customHeight="1">
      <c r="W185" s="5"/>
      <c r="Y185" s="5"/>
    </row>
    <row r="186" ht="15.75" customHeight="1">
      <c r="W186" s="5"/>
      <c r="Y186" s="5"/>
    </row>
    <row r="187" ht="15.75" customHeight="1">
      <c r="W187" s="5"/>
      <c r="Y187" s="5"/>
    </row>
    <row r="188" ht="15.75" customHeight="1">
      <c r="W188" s="5"/>
      <c r="Y188" s="5"/>
    </row>
    <row r="189" ht="15.75" customHeight="1">
      <c r="W189" s="5"/>
      <c r="Y189" s="5"/>
    </row>
    <row r="190" ht="15.75" customHeight="1">
      <c r="W190" s="5"/>
      <c r="Y190" s="5"/>
    </row>
    <row r="191" ht="15.75" customHeight="1">
      <c r="W191" s="5"/>
      <c r="Y191" s="5"/>
    </row>
    <row r="192" ht="15.75" customHeight="1">
      <c r="W192" s="5"/>
      <c r="Y192" s="5"/>
    </row>
    <row r="193" ht="15.75" customHeight="1">
      <c r="W193" s="5"/>
      <c r="Y193" s="5"/>
    </row>
    <row r="194" ht="15.75" customHeight="1">
      <c r="W194" s="5"/>
      <c r="Y194" s="5"/>
    </row>
    <row r="195" ht="15.75" customHeight="1">
      <c r="W195" s="5"/>
      <c r="Y195" s="5"/>
    </row>
    <row r="196" ht="15.75" customHeight="1">
      <c r="W196" s="5"/>
      <c r="Y196" s="5"/>
    </row>
    <row r="197" ht="15.75" customHeight="1">
      <c r="W197" s="5"/>
      <c r="Y197" s="5"/>
    </row>
    <row r="198" ht="15.75" customHeight="1">
      <c r="W198" s="5"/>
      <c r="Y198" s="5"/>
    </row>
    <row r="199" ht="15.75" customHeight="1">
      <c r="W199" s="5"/>
      <c r="Y199" s="5"/>
    </row>
    <row r="200" ht="15.75" customHeight="1">
      <c r="W200" s="5"/>
      <c r="Y200" s="5"/>
    </row>
    <row r="201" ht="15.75" customHeight="1">
      <c r="W201" s="5"/>
      <c r="Y201" s="5"/>
    </row>
    <row r="202" ht="15.75" customHeight="1">
      <c r="W202" s="5"/>
      <c r="Y202" s="5"/>
    </row>
    <row r="203" ht="15.75" customHeight="1">
      <c r="W203" s="5"/>
      <c r="Y203" s="5"/>
    </row>
    <row r="204" ht="15.75" customHeight="1">
      <c r="W204" s="5"/>
      <c r="Y204" s="5"/>
    </row>
    <row r="205" ht="15.75" customHeight="1">
      <c r="W205" s="5"/>
      <c r="Y205" s="5"/>
    </row>
    <row r="206" ht="15.75" customHeight="1">
      <c r="W206" s="5"/>
      <c r="Y206" s="5"/>
    </row>
    <row r="207" ht="15.75" customHeight="1">
      <c r="W207" s="5"/>
      <c r="Y207" s="5"/>
    </row>
    <row r="208" ht="15.75" customHeight="1">
      <c r="W208" s="5"/>
      <c r="Y208" s="5"/>
    </row>
    <row r="209" ht="15.75" customHeight="1">
      <c r="W209" s="5"/>
      <c r="Y209" s="5"/>
    </row>
    <row r="210" ht="15.75" customHeight="1">
      <c r="W210" s="5"/>
      <c r="Y210" s="5"/>
    </row>
    <row r="211" ht="15.75" customHeight="1">
      <c r="W211" s="5"/>
      <c r="Y211" s="5"/>
    </row>
    <row r="212" ht="15.75" customHeight="1">
      <c r="W212" s="5"/>
      <c r="Y212" s="5"/>
    </row>
    <row r="213" ht="15.75" customHeight="1">
      <c r="W213" s="5"/>
      <c r="Y213" s="5"/>
    </row>
    <row r="214" ht="15.75" customHeight="1">
      <c r="W214" s="5"/>
      <c r="Y214" s="5"/>
    </row>
    <row r="215" ht="15.75" customHeight="1">
      <c r="W215" s="5"/>
      <c r="Y215" s="5"/>
    </row>
    <row r="216" ht="15.75" customHeight="1">
      <c r="W216" s="5"/>
      <c r="Y216" s="5"/>
    </row>
    <row r="217" ht="15.75" customHeight="1">
      <c r="W217" s="5"/>
      <c r="Y217" s="5"/>
    </row>
    <row r="218" ht="15.75" customHeight="1">
      <c r="W218" s="5"/>
      <c r="Y218" s="5"/>
    </row>
    <row r="219" ht="15.75" customHeight="1">
      <c r="W219" s="5"/>
      <c r="Y219" s="5"/>
    </row>
    <row r="220" ht="15.75" customHeight="1">
      <c r="W220" s="5"/>
      <c r="Y220" s="5"/>
    </row>
    <row r="221" ht="15.75" customHeight="1">
      <c r="W221" s="5"/>
      <c r="Y221" s="5"/>
    </row>
    <row r="222" ht="15.75" customHeight="1">
      <c r="W222" s="5"/>
      <c r="Y222" s="5"/>
    </row>
    <row r="223" ht="15.75" customHeight="1">
      <c r="W223" s="5"/>
      <c r="Y223" s="5"/>
    </row>
    <row r="224" ht="15.75" customHeight="1">
      <c r="W224" s="5"/>
      <c r="Y224" s="5"/>
    </row>
    <row r="225" ht="15.75" customHeight="1">
      <c r="W225" s="5"/>
      <c r="Y225" s="5"/>
    </row>
    <row r="226" ht="15.75" customHeight="1">
      <c r="W226" s="5"/>
      <c r="Y226" s="5"/>
    </row>
    <row r="227" ht="15.75" customHeight="1">
      <c r="W227" s="5"/>
      <c r="Y227" s="5"/>
    </row>
    <row r="228" ht="15.75" customHeight="1">
      <c r="W228" s="5"/>
      <c r="Y228" s="5"/>
    </row>
    <row r="229" ht="15.75" customHeight="1">
      <c r="W229" s="5"/>
      <c r="Y229" s="5"/>
    </row>
    <row r="230" ht="15.75" customHeight="1">
      <c r="W230" s="5"/>
      <c r="Y230" s="5"/>
    </row>
    <row r="231" ht="15.75" customHeight="1">
      <c r="W231" s="5"/>
      <c r="Y231" s="5"/>
    </row>
    <row r="232" ht="15.75" customHeight="1">
      <c r="W232" s="5"/>
      <c r="Y232" s="5"/>
    </row>
    <row r="233" ht="15.75" customHeight="1">
      <c r="W233" s="5"/>
      <c r="Y233" s="5"/>
    </row>
    <row r="234" ht="15.75" customHeight="1">
      <c r="W234" s="5"/>
      <c r="Y234" s="5"/>
    </row>
    <row r="235" ht="15.75" customHeight="1">
      <c r="W235" s="5"/>
      <c r="Y235" s="5"/>
    </row>
    <row r="236" ht="15.75" customHeight="1">
      <c r="W236" s="5"/>
      <c r="Y236" s="5"/>
    </row>
    <row r="237" ht="15.75" customHeight="1">
      <c r="W237" s="5"/>
      <c r="Y237" s="5"/>
    </row>
    <row r="238" ht="15.75" customHeight="1">
      <c r="W238" s="5"/>
      <c r="Y238" s="5"/>
    </row>
    <row r="239" ht="15.75" customHeight="1">
      <c r="W239" s="5"/>
      <c r="Y239" s="5"/>
    </row>
    <row r="240" ht="15.75" customHeight="1">
      <c r="W240" s="5"/>
      <c r="Y240" s="5"/>
    </row>
    <row r="241" ht="15.75" customHeight="1">
      <c r="W241" s="5"/>
      <c r="Y241" s="5"/>
    </row>
    <row r="242" ht="15.75" customHeight="1">
      <c r="W242" s="5"/>
      <c r="Y242" s="5"/>
    </row>
    <row r="243" ht="15.75" customHeight="1">
      <c r="W243" s="5"/>
      <c r="Y243" s="5"/>
    </row>
    <row r="244" ht="15.75" customHeight="1">
      <c r="W244" s="5"/>
      <c r="Y244" s="5"/>
    </row>
    <row r="245" ht="15.75" customHeight="1">
      <c r="W245" s="5"/>
      <c r="Y245" s="5"/>
    </row>
    <row r="246" ht="15.75" customHeight="1">
      <c r="W246" s="5"/>
      <c r="Y246" s="5"/>
    </row>
    <row r="247" ht="15.75" customHeight="1">
      <c r="W247" s="5"/>
      <c r="Y247" s="5"/>
    </row>
    <row r="248" ht="15.75" customHeight="1">
      <c r="W248" s="5"/>
      <c r="Y248" s="5"/>
    </row>
    <row r="249" ht="15.75" customHeight="1">
      <c r="W249" s="5"/>
      <c r="Y249" s="5"/>
    </row>
    <row r="250" ht="15.75" customHeight="1">
      <c r="W250" s="5"/>
      <c r="Y250" s="5"/>
    </row>
    <row r="251" ht="15.75" customHeight="1">
      <c r="W251" s="5"/>
      <c r="Y251" s="5"/>
    </row>
    <row r="252" ht="15.75" customHeight="1">
      <c r="W252" s="5"/>
      <c r="Y252" s="5"/>
    </row>
    <row r="253" ht="15.75" customHeight="1">
      <c r="W253" s="5"/>
      <c r="Y253" s="5"/>
    </row>
    <row r="254" ht="15.75" customHeight="1">
      <c r="W254" s="5"/>
      <c r="Y254" s="5"/>
    </row>
    <row r="255" ht="15.75" customHeight="1">
      <c r="W255" s="5"/>
      <c r="Y255" s="5"/>
    </row>
    <row r="256" ht="15.75" customHeight="1">
      <c r="W256" s="5"/>
      <c r="Y256" s="5"/>
    </row>
    <row r="257" ht="15.75" customHeight="1">
      <c r="W257" s="5"/>
      <c r="Y257" s="5"/>
    </row>
    <row r="258" ht="15.75" customHeight="1">
      <c r="W258" s="5"/>
      <c r="Y258" s="5"/>
    </row>
    <row r="259" ht="15.75" customHeight="1">
      <c r="W259" s="5"/>
      <c r="Y259" s="5"/>
    </row>
    <row r="260" ht="15.75" customHeight="1">
      <c r="W260" s="5"/>
      <c r="Y260" s="5"/>
    </row>
    <row r="261" ht="15.75" customHeight="1">
      <c r="W261" s="5"/>
      <c r="Y261" s="5"/>
    </row>
    <row r="262" ht="15.75" customHeight="1">
      <c r="W262" s="5"/>
      <c r="Y262" s="5"/>
    </row>
    <row r="263" ht="15.75" customHeight="1">
      <c r="W263" s="5"/>
      <c r="Y263" s="5"/>
    </row>
    <row r="264" ht="15.75" customHeight="1">
      <c r="W264" s="5"/>
      <c r="Y264" s="5"/>
    </row>
    <row r="265" ht="15.75" customHeight="1">
      <c r="W265" s="5"/>
      <c r="Y265" s="5"/>
    </row>
    <row r="266" ht="15.75" customHeight="1">
      <c r="W266" s="5"/>
      <c r="Y266" s="5"/>
    </row>
    <row r="267" ht="15.75" customHeight="1">
      <c r="W267" s="5"/>
      <c r="Y267" s="5"/>
    </row>
    <row r="268" ht="15.75" customHeight="1">
      <c r="W268" s="5"/>
      <c r="Y268" s="5"/>
    </row>
    <row r="269" ht="15.75" customHeight="1">
      <c r="W269" s="5"/>
      <c r="Y269" s="5"/>
    </row>
    <row r="270" ht="15.75" customHeight="1">
      <c r="W270" s="5"/>
      <c r="Y270" s="5"/>
    </row>
    <row r="271" ht="15.75" customHeight="1">
      <c r="W271" s="5"/>
      <c r="Y271" s="5"/>
    </row>
    <row r="272" ht="15.75" customHeight="1">
      <c r="W272" s="5"/>
      <c r="Y272" s="5"/>
    </row>
    <row r="273" ht="15.75" customHeight="1">
      <c r="W273" s="5"/>
      <c r="Y273" s="5"/>
    </row>
    <row r="274" ht="15.75" customHeight="1">
      <c r="W274" s="5"/>
      <c r="Y274" s="5"/>
    </row>
    <row r="275" ht="15.75" customHeight="1">
      <c r="W275" s="5"/>
      <c r="Y275" s="5"/>
    </row>
    <row r="276" ht="15.75" customHeight="1">
      <c r="W276" s="5"/>
      <c r="Y276" s="5"/>
    </row>
    <row r="277" ht="15.75" customHeight="1">
      <c r="W277" s="5"/>
      <c r="Y277" s="5"/>
    </row>
    <row r="278" ht="15.75" customHeight="1">
      <c r="W278" s="5"/>
      <c r="Y278" s="5"/>
    </row>
    <row r="279" ht="15.75" customHeight="1">
      <c r="W279" s="5"/>
      <c r="Y279" s="5"/>
    </row>
    <row r="280" ht="15.75" customHeight="1">
      <c r="W280" s="5"/>
      <c r="Y280" s="5"/>
    </row>
    <row r="281" ht="15.75" customHeight="1">
      <c r="W281" s="5"/>
      <c r="Y281" s="5"/>
    </row>
    <row r="282" ht="15.75" customHeight="1">
      <c r="W282" s="5"/>
      <c r="Y282" s="5"/>
    </row>
    <row r="283" ht="15.75" customHeight="1">
      <c r="W283" s="5"/>
      <c r="Y283" s="5"/>
    </row>
    <row r="284" ht="15.75" customHeight="1">
      <c r="W284" s="5"/>
      <c r="Y284" s="5"/>
    </row>
    <row r="285" ht="15.75" customHeight="1">
      <c r="W285" s="5"/>
      <c r="Y285" s="5"/>
    </row>
    <row r="286" ht="15.75" customHeight="1">
      <c r="W286" s="5"/>
      <c r="Y286" s="5"/>
    </row>
    <row r="287" ht="15.75" customHeight="1">
      <c r="W287" s="5"/>
      <c r="Y287" s="5"/>
    </row>
    <row r="288" ht="15.75" customHeight="1">
      <c r="W288" s="5"/>
      <c r="Y288" s="5"/>
    </row>
    <row r="289" ht="15.75" customHeight="1">
      <c r="W289" s="5"/>
      <c r="Y289" s="5"/>
    </row>
    <row r="290" ht="15.75" customHeight="1">
      <c r="W290" s="5"/>
      <c r="Y290" s="5"/>
    </row>
    <row r="291" ht="15.75" customHeight="1">
      <c r="W291" s="5"/>
      <c r="Y291" s="5"/>
    </row>
    <row r="292" ht="15.75" customHeight="1">
      <c r="W292" s="5"/>
      <c r="Y292" s="5"/>
    </row>
    <row r="293" ht="15.75" customHeight="1">
      <c r="W293" s="5"/>
      <c r="Y293" s="5"/>
    </row>
    <row r="294" ht="15.75" customHeight="1">
      <c r="W294" s="5"/>
      <c r="Y294" s="5"/>
    </row>
    <row r="295" ht="15.75" customHeight="1">
      <c r="W295" s="5"/>
      <c r="Y295" s="5"/>
    </row>
    <row r="296" ht="15.75" customHeight="1">
      <c r="W296" s="5"/>
      <c r="Y296" s="5"/>
    </row>
    <row r="297" ht="15.75" customHeight="1">
      <c r="W297" s="5"/>
      <c r="Y297" s="5"/>
    </row>
    <row r="298" ht="15.75" customHeight="1">
      <c r="W298" s="5"/>
      <c r="Y298" s="5"/>
    </row>
    <row r="299" ht="15.75" customHeight="1">
      <c r="W299" s="5"/>
      <c r="Y299" s="5"/>
    </row>
    <row r="300" ht="15.75" customHeight="1">
      <c r="W300" s="5"/>
      <c r="Y300" s="5"/>
    </row>
    <row r="301" ht="15.75" customHeight="1">
      <c r="W301" s="5"/>
      <c r="Y301" s="5"/>
    </row>
    <row r="302" ht="15.75" customHeight="1">
      <c r="W302" s="5"/>
      <c r="Y302" s="5"/>
    </row>
    <row r="303" ht="15.75" customHeight="1">
      <c r="W303" s="5"/>
      <c r="Y303" s="5"/>
    </row>
    <row r="304" ht="15.75" customHeight="1">
      <c r="W304" s="5"/>
      <c r="Y304" s="5"/>
    </row>
    <row r="305" ht="15.75" customHeight="1">
      <c r="W305" s="5"/>
      <c r="Y305" s="5"/>
    </row>
    <row r="306" ht="15.75" customHeight="1">
      <c r="W306" s="5"/>
      <c r="Y306" s="5"/>
    </row>
    <row r="307" ht="15.75" customHeight="1">
      <c r="W307" s="5"/>
      <c r="Y307" s="5"/>
    </row>
    <row r="308" ht="15.75" customHeight="1">
      <c r="W308" s="5"/>
      <c r="Y308" s="5"/>
    </row>
    <row r="309" ht="15.75" customHeight="1">
      <c r="W309" s="5"/>
      <c r="Y309" s="5"/>
    </row>
    <row r="310" ht="15.75" customHeight="1">
      <c r="W310" s="5"/>
      <c r="Y310" s="5"/>
    </row>
    <row r="311" ht="15.75" customHeight="1">
      <c r="W311" s="5"/>
      <c r="Y311" s="5"/>
    </row>
    <row r="312" ht="15.75" customHeight="1">
      <c r="W312" s="5"/>
      <c r="Y312" s="5"/>
    </row>
    <row r="313" ht="15.75" customHeight="1">
      <c r="W313" s="5"/>
      <c r="Y313" s="5"/>
    </row>
    <row r="314" ht="15.75" customHeight="1">
      <c r="W314" s="5"/>
      <c r="Y314" s="5"/>
    </row>
    <row r="315" ht="15.75" customHeight="1">
      <c r="W315" s="5"/>
      <c r="Y315" s="5"/>
    </row>
    <row r="316" ht="15.75" customHeight="1">
      <c r="W316" s="5"/>
      <c r="Y316" s="5"/>
    </row>
    <row r="317" ht="15.75" customHeight="1">
      <c r="W317" s="5"/>
      <c r="Y317" s="5"/>
    </row>
    <row r="318" ht="15.75" customHeight="1">
      <c r="W318" s="5"/>
      <c r="Y318" s="5"/>
    </row>
    <row r="319" ht="15.75" customHeight="1">
      <c r="W319" s="5"/>
      <c r="Y319" s="5"/>
    </row>
    <row r="320" ht="15.75" customHeight="1">
      <c r="W320" s="5"/>
      <c r="Y320" s="5"/>
    </row>
    <row r="321" ht="15.75" customHeight="1">
      <c r="W321" s="5"/>
      <c r="Y321" s="5"/>
    </row>
    <row r="322" ht="15.75" customHeight="1">
      <c r="W322" s="5"/>
      <c r="Y322" s="5"/>
    </row>
    <row r="323" ht="15.75" customHeight="1">
      <c r="W323" s="5"/>
      <c r="Y323" s="5"/>
    </row>
    <row r="324" ht="15.75" customHeight="1">
      <c r="W324" s="5"/>
      <c r="Y324" s="5"/>
    </row>
    <row r="325" ht="15.75" customHeight="1">
      <c r="W325" s="5"/>
      <c r="Y325" s="5"/>
    </row>
    <row r="326" ht="15.75" customHeight="1">
      <c r="W326" s="5"/>
      <c r="Y326" s="5"/>
    </row>
    <row r="327" ht="15.75" customHeight="1">
      <c r="W327" s="5"/>
      <c r="Y327" s="5"/>
    </row>
    <row r="328" ht="15.75" customHeight="1">
      <c r="W328" s="5"/>
      <c r="Y328" s="5"/>
    </row>
    <row r="329" ht="15.75" customHeight="1">
      <c r="W329" s="5"/>
      <c r="Y329" s="5"/>
    </row>
    <row r="330" ht="15.75" customHeight="1">
      <c r="W330" s="5"/>
      <c r="Y330" s="5"/>
    </row>
    <row r="331" ht="15.75" customHeight="1">
      <c r="W331" s="5"/>
      <c r="Y331" s="5"/>
    </row>
    <row r="332" ht="15.75" customHeight="1">
      <c r="W332" s="5"/>
      <c r="Y332" s="5"/>
    </row>
    <row r="333" ht="15.75" customHeight="1">
      <c r="W333" s="5"/>
      <c r="Y333" s="5"/>
    </row>
    <row r="334" ht="15.75" customHeight="1">
      <c r="W334" s="5"/>
      <c r="Y334" s="5"/>
    </row>
    <row r="335" ht="15.75" customHeight="1">
      <c r="W335" s="5"/>
      <c r="Y335" s="5"/>
    </row>
    <row r="336" ht="15.75" customHeight="1">
      <c r="W336" s="5"/>
      <c r="Y336" s="5"/>
    </row>
    <row r="337" ht="15.75" customHeight="1">
      <c r="W337" s="5"/>
      <c r="Y337" s="5"/>
    </row>
    <row r="338" ht="15.75" customHeight="1">
      <c r="W338" s="5"/>
      <c r="Y338" s="5"/>
    </row>
    <row r="339" ht="15.75" customHeight="1">
      <c r="W339" s="5"/>
      <c r="Y339" s="5"/>
    </row>
    <row r="340" ht="15.75" customHeight="1">
      <c r="W340" s="5"/>
      <c r="Y340" s="5"/>
    </row>
    <row r="341" ht="15.75" customHeight="1">
      <c r="W341" s="5"/>
      <c r="Y341" s="5"/>
    </row>
    <row r="342" ht="15.75" customHeight="1">
      <c r="W342" s="5"/>
      <c r="Y342" s="5"/>
    </row>
    <row r="343" ht="15.75" customHeight="1">
      <c r="W343" s="5"/>
      <c r="Y343" s="5"/>
    </row>
    <row r="344" ht="15.75" customHeight="1">
      <c r="W344" s="5"/>
      <c r="Y344" s="5"/>
    </row>
    <row r="345" ht="15.75" customHeight="1">
      <c r="W345" s="5"/>
      <c r="Y345" s="5"/>
    </row>
    <row r="346" ht="15.75" customHeight="1">
      <c r="W346" s="5"/>
      <c r="Y346" s="5"/>
    </row>
    <row r="347" ht="15.75" customHeight="1">
      <c r="W347" s="5"/>
      <c r="Y347" s="5"/>
    </row>
    <row r="348" ht="15.75" customHeight="1">
      <c r="W348" s="5"/>
      <c r="Y348" s="5"/>
    </row>
    <row r="349" ht="15.75" customHeight="1">
      <c r="W349" s="5"/>
      <c r="Y349" s="5"/>
    </row>
    <row r="350" ht="15.75" customHeight="1">
      <c r="W350" s="5"/>
      <c r="Y350" s="5"/>
    </row>
    <row r="351" ht="15.75" customHeight="1">
      <c r="W351" s="5"/>
      <c r="Y351" s="5"/>
    </row>
    <row r="352" ht="15.75" customHeight="1">
      <c r="W352" s="5"/>
      <c r="Y352" s="5"/>
    </row>
    <row r="353" ht="15.75" customHeight="1">
      <c r="W353" s="5"/>
      <c r="Y353" s="5"/>
    </row>
    <row r="354" ht="15.75" customHeight="1">
      <c r="W354" s="5"/>
      <c r="Y354" s="5"/>
    </row>
    <row r="355" ht="15.75" customHeight="1">
      <c r="W355" s="5"/>
      <c r="Y355" s="5"/>
    </row>
    <row r="356" ht="15.75" customHeight="1">
      <c r="W356" s="5"/>
      <c r="Y356" s="5"/>
    </row>
    <row r="357" ht="15.75" customHeight="1">
      <c r="W357" s="5"/>
      <c r="Y357" s="5"/>
    </row>
    <row r="358" ht="15.75" customHeight="1">
      <c r="W358" s="5"/>
      <c r="Y358" s="5"/>
    </row>
    <row r="359" ht="15.75" customHeight="1">
      <c r="W359" s="5"/>
      <c r="Y359" s="5"/>
    </row>
    <row r="360" ht="15.75" customHeight="1">
      <c r="W360" s="5"/>
      <c r="Y360" s="5"/>
    </row>
    <row r="361" ht="15.75" customHeight="1">
      <c r="W361" s="5"/>
      <c r="Y361" s="5"/>
    </row>
    <row r="362" ht="15.75" customHeight="1">
      <c r="W362" s="5"/>
      <c r="Y362" s="5"/>
    </row>
    <row r="363" ht="15.75" customHeight="1">
      <c r="W363" s="5"/>
      <c r="Y363" s="5"/>
    </row>
    <row r="364" ht="15.75" customHeight="1">
      <c r="W364" s="5"/>
      <c r="Y364" s="5"/>
    </row>
    <row r="365" ht="15.75" customHeight="1">
      <c r="W365" s="5"/>
      <c r="Y365" s="5"/>
    </row>
    <row r="366" ht="15.75" customHeight="1">
      <c r="W366" s="5"/>
      <c r="Y366" s="5"/>
    </row>
    <row r="367" ht="15.75" customHeight="1">
      <c r="W367" s="5"/>
      <c r="Y367" s="5"/>
    </row>
    <row r="368" ht="15.75" customHeight="1">
      <c r="W368" s="5"/>
      <c r="Y368" s="5"/>
    </row>
    <row r="369" ht="15.75" customHeight="1">
      <c r="W369" s="5"/>
      <c r="Y369" s="5"/>
    </row>
    <row r="370" ht="15.75" customHeight="1">
      <c r="W370" s="5"/>
      <c r="Y370" s="5"/>
    </row>
    <row r="371" ht="15.75" customHeight="1">
      <c r="W371" s="5"/>
      <c r="Y371" s="5"/>
    </row>
    <row r="372" ht="15.75" customHeight="1">
      <c r="W372" s="5"/>
      <c r="Y372" s="5"/>
    </row>
    <row r="373" ht="15.75" customHeight="1">
      <c r="W373" s="5"/>
      <c r="Y373" s="5"/>
    </row>
    <row r="374" ht="15.75" customHeight="1">
      <c r="W374" s="5"/>
      <c r="Y374" s="5"/>
    </row>
    <row r="375" ht="15.75" customHeight="1">
      <c r="W375" s="5"/>
      <c r="Y375" s="5"/>
    </row>
    <row r="376" ht="15.75" customHeight="1">
      <c r="W376" s="5"/>
      <c r="Y376" s="5"/>
    </row>
    <row r="377" ht="15.75" customHeight="1">
      <c r="W377" s="5"/>
      <c r="Y377" s="5"/>
    </row>
    <row r="378" ht="15.75" customHeight="1">
      <c r="W378" s="5"/>
      <c r="Y378" s="5"/>
    </row>
    <row r="379" ht="15.75" customHeight="1">
      <c r="W379" s="5"/>
      <c r="Y379" s="5"/>
    </row>
    <row r="380" ht="15.75" customHeight="1">
      <c r="W380" s="5"/>
      <c r="Y380" s="5"/>
    </row>
    <row r="381" ht="15.75" customHeight="1">
      <c r="W381" s="5"/>
      <c r="Y381" s="5"/>
    </row>
    <row r="382" ht="15.75" customHeight="1">
      <c r="W382" s="5"/>
      <c r="Y382" s="5"/>
    </row>
    <row r="383" ht="15.75" customHeight="1">
      <c r="W383" s="5"/>
      <c r="Y383" s="5"/>
    </row>
    <row r="384" ht="15.75" customHeight="1">
      <c r="W384" s="5"/>
      <c r="Y384" s="5"/>
    </row>
    <row r="385" ht="15.75" customHeight="1">
      <c r="W385" s="5"/>
      <c r="Y385" s="5"/>
    </row>
    <row r="386" ht="15.75" customHeight="1">
      <c r="W386" s="5"/>
      <c r="Y386" s="5"/>
    </row>
    <row r="387" ht="15.75" customHeight="1">
      <c r="W387" s="5"/>
      <c r="Y387" s="5"/>
    </row>
    <row r="388" ht="15.75" customHeight="1">
      <c r="W388" s="5"/>
      <c r="Y388" s="5"/>
    </row>
    <row r="389" ht="15.75" customHeight="1">
      <c r="W389" s="5"/>
      <c r="Y389" s="5"/>
    </row>
    <row r="390" ht="15.75" customHeight="1">
      <c r="W390" s="5"/>
      <c r="Y390" s="5"/>
    </row>
    <row r="391" ht="15.75" customHeight="1">
      <c r="W391" s="5"/>
      <c r="Y391" s="5"/>
    </row>
    <row r="392" ht="15.75" customHeight="1">
      <c r="W392" s="5"/>
      <c r="Y392" s="5"/>
    </row>
    <row r="393" ht="15.75" customHeight="1">
      <c r="W393" s="5"/>
      <c r="Y393" s="5"/>
    </row>
    <row r="394" ht="15.75" customHeight="1">
      <c r="W394" s="5"/>
      <c r="Y394" s="5"/>
    </row>
    <row r="395" ht="15.75" customHeight="1">
      <c r="W395" s="5"/>
      <c r="Y395" s="5"/>
    </row>
    <row r="396" ht="15.75" customHeight="1">
      <c r="W396" s="5"/>
      <c r="Y396" s="5"/>
    </row>
    <row r="397" ht="15.75" customHeight="1">
      <c r="W397" s="5"/>
      <c r="Y397" s="5"/>
    </row>
    <row r="398" ht="15.75" customHeight="1">
      <c r="W398" s="5"/>
      <c r="Y398" s="5"/>
    </row>
    <row r="399" ht="15.75" customHeight="1">
      <c r="W399" s="5"/>
      <c r="Y399" s="5"/>
    </row>
    <row r="400" ht="15.75" customHeight="1">
      <c r="W400" s="5"/>
      <c r="Y400" s="5"/>
    </row>
    <row r="401" ht="15.75" customHeight="1">
      <c r="W401" s="5"/>
      <c r="Y401" s="5"/>
    </row>
    <row r="402" ht="15.75" customHeight="1">
      <c r="W402" s="5"/>
      <c r="Y402" s="5"/>
    </row>
    <row r="403" ht="15.75" customHeight="1">
      <c r="W403" s="5"/>
      <c r="Y403" s="5"/>
    </row>
    <row r="404" ht="15.75" customHeight="1">
      <c r="W404" s="5"/>
      <c r="Y404" s="5"/>
    </row>
    <row r="405" ht="15.75" customHeight="1">
      <c r="W405" s="5"/>
      <c r="Y405" s="5"/>
    </row>
    <row r="406" ht="15.75" customHeight="1">
      <c r="W406" s="5"/>
      <c r="Y406" s="5"/>
    </row>
    <row r="407" ht="15.75" customHeight="1">
      <c r="W407" s="5"/>
      <c r="Y407" s="5"/>
    </row>
    <row r="408" ht="15.75" customHeight="1">
      <c r="W408" s="5"/>
      <c r="Y408" s="5"/>
    </row>
    <row r="409" ht="15.75" customHeight="1">
      <c r="W409" s="5"/>
      <c r="Y409" s="5"/>
    </row>
    <row r="410" ht="15.75" customHeight="1">
      <c r="W410" s="5"/>
      <c r="Y410" s="5"/>
    </row>
    <row r="411" ht="15.75" customHeight="1">
      <c r="W411" s="5"/>
      <c r="Y411" s="5"/>
    </row>
    <row r="412" ht="15.75" customHeight="1">
      <c r="W412" s="5"/>
      <c r="Y412" s="5"/>
    </row>
    <row r="413" ht="15.75" customHeight="1">
      <c r="W413" s="5"/>
      <c r="Y413" s="5"/>
    </row>
    <row r="414" ht="15.75" customHeight="1">
      <c r="W414" s="5"/>
      <c r="Y414" s="5"/>
    </row>
    <row r="415" ht="15.75" customHeight="1">
      <c r="W415" s="5"/>
      <c r="Y415" s="5"/>
    </row>
    <row r="416" ht="15.75" customHeight="1">
      <c r="W416" s="5"/>
      <c r="Y416" s="5"/>
    </row>
    <row r="417" ht="15.75" customHeight="1">
      <c r="W417" s="5"/>
      <c r="Y417" s="5"/>
    </row>
    <row r="418" ht="15.75" customHeight="1">
      <c r="W418" s="5"/>
      <c r="Y418" s="5"/>
    </row>
    <row r="419" ht="15.75" customHeight="1">
      <c r="W419" s="5"/>
      <c r="Y419" s="5"/>
    </row>
    <row r="420" ht="15.75" customHeight="1">
      <c r="W420" s="5"/>
      <c r="Y420" s="5"/>
    </row>
    <row r="421" ht="15.75" customHeight="1">
      <c r="W421" s="5"/>
      <c r="Y421" s="5"/>
    </row>
    <row r="422" ht="15.75" customHeight="1">
      <c r="W422" s="5"/>
      <c r="Y422" s="5"/>
    </row>
    <row r="423" ht="15.75" customHeight="1">
      <c r="W423" s="5"/>
      <c r="Y423" s="5"/>
    </row>
    <row r="424" ht="15.75" customHeight="1">
      <c r="W424" s="5"/>
      <c r="Y424" s="5"/>
    </row>
    <row r="425" ht="15.75" customHeight="1">
      <c r="W425" s="5"/>
      <c r="Y425" s="5"/>
    </row>
    <row r="426" ht="15.75" customHeight="1">
      <c r="W426" s="5"/>
      <c r="Y426" s="5"/>
    </row>
    <row r="427" ht="15.75" customHeight="1">
      <c r="W427" s="5"/>
      <c r="Y427" s="5"/>
    </row>
    <row r="428" ht="15.75" customHeight="1">
      <c r="W428" s="5"/>
      <c r="Y428" s="5"/>
    </row>
    <row r="429" ht="15.75" customHeight="1">
      <c r="W429" s="5"/>
      <c r="Y429" s="5"/>
    </row>
    <row r="430" ht="15.75" customHeight="1">
      <c r="W430" s="5"/>
      <c r="Y430" s="5"/>
    </row>
    <row r="431" ht="15.75" customHeight="1">
      <c r="W431" s="5"/>
      <c r="Y431" s="5"/>
    </row>
    <row r="432" ht="15.75" customHeight="1">
      <c r="W432" s="5"/>
      <c r="Y432" s="5"/>
    </row>
    <row r="433" ht="15.75" customHeight="1">
      <c r="W433" s="5"/>
      <c r="Y433" s="5"/>
    </row>
    <row r="434" ht="15.75" customHeight="1">
      <c r="W434" s="5"/>
      <c r="Y434" s="5"/>
    </row>
    <row r="435" ht="15.75" customHeight="1">
      <c r="W435" s="5"/>
      <c r="Y435" s="5"/>
    </row>
    <row r="436" ht="15.75" customHeight="1">
      <c r="W436" s="5"/>
      <c r="Y436" s="5"/>
    </row>
    <row r="437" ht="15.75" customHeight="1">
      <c r="W437" s="5"/>
      <c r="Y437" s="5"/>
    </row>
    <row r="438" ht="15.75" customHeight="1">
      <c r="W438" s="5"/>
      <c r="Y438" s="5"/>
    </row>
    <row r="439" ht="15.75" customHeight="1">
      <c r="W439" s="5"/>
      <c r="Y439" s="5"/>
    </row>
    <row r="440" ht="15.75" customHeight="1">
      <c r="W440" s="5"/>
      <c r="Y440" s="5"/>
    </row>
    <row r="441" ht="15.75" customHeight="1">
      <c r="W441" s="5"/>
      <c r="Y441" s="5"/>
    </row>
    <row r="442" ht="15.75" customHeight="1">
      <c r="W442" s="5"/>
      <c r="Y442" s="5"/>
    </row>
    <row r="443" ht="15.75" customHeight="1">
      <c r="W443" s="5"/>
      <c r="Y443" s="5"/>
    </row>
    <row r="444" ht="15.75" customHeight="1">
      <c r="W444" s="5"/>
      <c r="Y444" s="5"/>
    </row>
    <row r="445" ht="15.75" customHeight="1">
      <c r="W445" s="5"/>
      <c r="Y445" s="5"/>
    </row>
    <row r="446" ht="15.75" customHeight="1">
      <c r="W446" s="5"/>
      <c r="Y446" s="5"/>
    </row>
    <row r="447" ht="15.75" customHeight="1">
      <c r="W447" s="5"/>
      <c r="Y447" s="5"/>
    </row>
    <row r="448" ht="15.75" customHeight="1">
      <c r="W448" s="5"/>
      <c r="Y448" s="5"/>
    </row>
    <row r="449" ht="15.75" customHeight="1">
      <c r="W449" s="5"/>
      <c r="Y449" s="5"/>
    </row>
    <row r="450" ht="15.75" customHeight="1">
      <c r="W450" s="5"/>
      <c r="Y450" s="5"/>
    </row>
    <row r="451" ht="15.75" customHeight="1">
      <c r="W451" s="5"/>
      <c r="Y451" s="5"/>
    </row>
    <row r="452" ht="15.75" customHeight="1">
      <c r="W452" s="5"/>
      <c r="Y452" s="5"/>
    </row>
    <row r="453" ht="15.75" customHeight="1">
      <c r="W453" s="5"/>
      <c r="Y453" s="5"/>
    </row>
    <row r="454" ht="15.75" customHeight="1">
      <c r="W454" s="5"/>
      <c r="Y454" s="5"/>
    </row>
    <row r="455" ht="15.75" customHeight="1">
      <c r="W455" s="5"/>
      <c r="Y455" s="5"/>
    </row>
    <row r="456" ht="15.75" customHeight="1">
      <c r="W456" s="5"/>
      <c r="Y456" s="5"/>
    </row>
    <row r="457" ht="15.75" customHeight="1">
      <c r="W457" s="5"/>
      <c r="Y457" s="5"/>
    </row>
    <row r="458" ht="15.75" customHeight="1">
      <c r="W458" s="5"/>
      <c r="Y458" s="5"/>
    </row>
    <row r="459" ht="15.75" customHeight="1">
      <c r="W459" s="5"/>
      <c r="Y459" s="5"/>
    </row>
    <row r="460" ht="15.75" customHeight="1">
      <c r="W460" s="5"/>
      <c r="Y460" s="5"/>
    </row>
    <row r="461" ht="15.75" customHeight="1">
      <c r="W461" s="5"/>
      <c r="Y461" s="5"/>
    </row>
    <row r="462" ht="15.75" customHeight="1">
      <c r="W462" s="5"/>
      <c r="Y462" s="5"/>
    </row>
    <row r="463" ht="15.75" customHeight="1">
      <c r="W463" s="5"/>
      <c r="Y463" s="5"/>
    </row>
    <row r="464" ht="15.75" customHeight="1">
      <c r="W464" s="5"/>
      <c r="Y464" s="5"/>
    </row>
    <row r="465" ht="15.75" customHeight="1">
      <c r="W465" s="5"/>
      <c r="Y465" s="5"/>
    </row>
    <row r="466" ht="15.75" customHeight="1">
      <c r="W466" s="5"/>
      <c r="Y466" s="5"/>
    </row>
    <row r="467" ht="15.75" customHeight="1">
      <c r="W467" s="5"/>
      <c r="Y467" s="5"/>
    </row>
    <row r="468" ht="15.75" customHeight="1">
      <c r="W468" s="5"/>
      <c r="Y468" s="5"/>
    </row>
    <row r="469" ht="15.75" customHeight="1">
      <c r="W469" s="5"/>
      <c r="Y469" s="5"/>
    </row>
    <row r="470" ht="15.75" customHeight="1">
      <c r="W470" s="5"/>
      <c r="Y470" s="5"/>
    </row>
    <row r="471" ht="15.75" customHeight="1">
      <c r="W471" s="5"/>
      <c r="Y471" s="5"/>
    </row>
    <row r="472" ht="15.75" customHeight="1">
      <c r="W472" s="5"/>
      <c r="Y472" s="5"/>
    </row>
    <row r="473" ht="15.75" customHeight="1">
      <c r="W473" s="5"/>
      <c r="Y473" s="5"/>
    </row>
    <row r="474" ht="15.75" customHeight="1">
      <c r="W474" s="5"/>
      <c r="Y474" s="5"/>
    </row>
    <row r="475" ht="15.75" customHeight="1">
      <c r="W475" s="5"/>
      <c r="Y475" s="5"/>
    </row>
    <row r="476" ht="15.75" customHeight="1">
      <c r="W476" s="5"/>
      <c r="Y476" s="5"/>
    </row>
    <row r="477" ht="15.75" customHeight="1">
      <c r="W477" s="5"/>
      <c r="Y477" s="5"/>
    </row>
    <row r="478" ht="15.75" customHeight="1">
      <c r="W478" s="5"/>
      <c r="Y478" s="5"/>
    </row>
    <row r="479" ht="15.75" customHeight="1">
      <c r="W479" s="5"/>
      <c r="Y479" s="5"/>
    </row>
    <row r="480" ht="15.75" customHeight="1">
      <c r="W480" s="5"/>
      <c r="Y480" s="5"/>
    </row>
    <row r="481" ht="15.75" customHeight="1">
      <c r="W481" s="5"/>
      <c r="Y481" s="5"/>
    </row>
    <row r="482" ht="15.75" customHeight="1">
      <c r="W482" s="5"/>
      <c r="Y482" s="5"/>
    </row>
    <row r="483" ht="15.75" customHeight="1">
      <c r="W483" s="5"/>
      <c r="Y483" s="5"/>
    </row>
    <row r="484" ht="15.75" customHeight="1">
      <c r="W484" s="5"/>
      <c r="Y484" s="5"/>
    </row>
    <row r="485" ht="15.75" customHeight="1">
      <c r="W485" s="5"/>
      <c r="Y485" s="5"/>
    </row>
    <row r="486" ht="15.75" customHeight="1">
      <c r="W486" s="5"/>
      <c r="Y486" s="5"/>
    </row>
    <row r="487" ht="15.75" customHeight="1">
      <c r="W487" s="5"/>
      <c r="Y487" s="5"/>
    </row>
    <row r="488" ht="15.75" customHeight="1">
      <c r="W488" s="5"/>
      <c r="Y488" s="5"/>
    </row>
    <row r="489" ht="15.75" customHeight="1">
      <c r="W489" s="5"/>
      <c r="Y489" s="5"/>
    </row>
    <row r="490" ht="15.75" customHeight="1">
      <c r="W490" s="5"/>
      <c r="Y490" s="5"/>
    </row>
    <row r="491" ht="15.75" customHeight="1">
      <c r="W491" s="5"/>
      <c r="Y491" s="5"/>
    </row>
    <row r="492" ht="15.75" customHeight="1">
      <c r="W492" s="5"/>
      <c r="Y492" s="5"/>
    </row>
    <row r="493" ht="15.75" customHeight="1">
      <c r="W493" s="5"/>
      <c r="Y493" s="5"/>
    </row>
    <row r="494" ht="15.75" customHeight="1">
      <c r="W494" s="5"/>
      <c r="Y494" s="5"/>
    </row>
    <row r="495" ht="15.75" customHeight="1">
      <c r="W495" s="5"/>
      <c r="Y495" s="5"/>
    </row>
    <row r="496" ht="15.75" customHeight="1">
      <c r="W496" s="5"/>
      <c r="Y496" s="5"/>
    </row>
    <row r="497" ht="15.75" customHeight="1">
      <c r="W497" s="5"/>
      <c r="Y497" s="5"/>
    </row>
    <row r="498" ht="15.75" customHeight="1">
      <c r="W498" s="5"/>
      <c r="Y498" s="5"/>
    </row>
    <row r="499" ht="15.75" customHeight="1">
      <c r="W499" s="5"/>
      <c r="Y499" s="5"/>
    </row>
    <row r="500" ht="15.75" customHeight="1">
      <c r="W500" s="5"/>
      <c r="Y500" s="5"/>
    </row>
    <row r="501" ht="15.75" customHeight="1">
      <c r="W501" s="5"/>
      <c r="Y501" s="5"/>
    </row>
    <row r="502" ht="15.75" customHeight="1">
      <c r="W502" s="5"/>
      <c r="Y502" s="5"/>
    </row>
    <row r="503" ht="15.75" customHeight="1">
      <c r="W503" s="5"/>
      <c r="Y503" s="5"/>
    </row>
    <row r="504" ht="15.75" customHeight="1">
      <c r="W504" s="5"/>
      <c r="Y504" s="5"/>
    </row>
    <row r="505" ht="15.75" customHeight="1">
      <c r="W505" s="5"/>
      <c r="Y505" s="5"/>
    </row>
    <row r="506" ht="15.75" customHeight="1">
      <c r="W506" s="5"/>
      <c r="Y506" s="5"/>
    </row>
    <row r="507" ht="15.75" customHeight="1">
      <c r="W507" s="5"/>
      <c r="Y507" s="5"/>
    </row>
    <row r="508" ht="15.75" customHeight="1">
      <c r="W508" s="5"/>
      <c r="Y508" s="5"/>
    </row>
    <row r="509" ht="15.75" customHeight="1">
      <c r="W509" s="5"/>
      <c r="Y509" s="5"/>
    </row>
    <row r="510" ht="15.75" customHeight="1">
      <c r="W510" s="5"/>
      <c r="Y510" s="5"/>
    </row>
    <row r="511" ht="15.75" customHeight="1">
      <c r="W511" s="5"/>
      <c r="Y511" s="5"/>
    </row>
    <row r="512" ht="15.75" customHeight="1">
      <c r="W512" s="5"/>
      <c r="Y512" s="5"/>
    </row>
    <row r="513" ht="15.75" customHeight="1">
      <c r="W513" s="5"/>
      <c r="Y513" s="5"/>
    </row>
    <row r="514" ht="15.75" customHeight="1">
      <c r="W514" s="5"/>
      <c r="Y514" s="5"/>
    </row>
    <row r="515" ht="15.75" customHeight="1">
      <c r="W515" s="5"/>
      <c r="Y515" s="5"/>
    </row>
    <row r="516" ht="15.75" customHeight="1">
      <c r="W516" s="5"/>
      <c r="Y516" s="5"/>
    </row>
    <row r="517" ht="15.75" customHeight="1">
      <c r="W517" s="5"/>
      <c r="Y517" s="5"/>
    </row>
    <row r="518" ht="15.75" customHeight="1">
      <c r="W518" s="5"/>
      <c r="Y518" s="5"/>
    </row>
    <row r="519" ht="15.75" customHeight="1">
      <c r="W519" s="5"/>
      <c r="Y519" s="5"/>
    </row>
    <row r="520" ht="15.75" customHeight="1">
      <c r="W520" s="5"/>
      <c r="Y520" s="5"/>
    </row>
    <row r="521" ht="15.75" customHeight="1">
      <c r="W521" s="5"/>
      <c r="Y521" s="5"/>
    </row>
    <row r="522" ht="15.75" customHeight="1">
      <c r="W522" s="5"/>
      <c r="Y522" s="5"/>
    </row>
    <row r="523" ht="15.75" customHeight="1">
      <c r="W523" s="5"/>
      <c r="Y523" s="5"/>
    </row>
    <row r="524" ht="15.75" customHeight="1">
      <c r="W524" s="5"/>
      <c r="Y524" s="5"/>
    </row>
    <row r="525" ht="15.75" customHeight="1">
      <c r="W525" s="5"/>
      <c r="Y525" s="5"/>
    </row>
    <row r="526" ht="15.75" customHeight="1">
      <c r="W526" s="5"/>
      <c r="Y526" s="5"/>
    </row>
    <row r="527" ht="15.75" customHeight="1">
      <c r="W527" s="5"/>
      <c r="Y527" s="5"/>
    </row>
    <row r="528" ht="15.75" customHeight="1">
      <c r="W528" s="5"/>
      <c r="Y528" s="5"/>
    </row>
    <row r="529" ht="15.75" customHeight="1">
      <c r="W529" s="5"/>
      <c r="Y529" s="5"/>
    </row>
    <row r="530" ht="15.75" customHeight="1">
      <c r="W530" s="5"/>
      <c r="Y530" s="5"/>
    </row>
    <row r="531" ht="15.75" customHeight="1">
      <c r="W531" s="5"/>
      <c r="Y531" s="5"/>
    </row>
    <row r="532" ht="15.75" customHeight="1">
      <c r="W532" s="5"/>
      <c r="Y532" s="5"/>
    </row>
    <row r="533" ht="15.75" customHeight="1">
      <c r="W533" s="5"/>
      <c r="Y533" s="5"/>
    </row>
    <row r="534" ht="15.75" customHeight="1">
      <c r="W534" s="5"/>
      <c r="Y534" s="5"/>
    </row>
    <row r="535" ht="15.75" customHeight="1">
      <c r="W535" s="5"/>
      <c r="Y535" s="5"/>
    </row>
    <row r="536" ht="15.75" customHeight="1">
      <c r="W536" s="5"/>
      <c r="Y536" s="5"/>
    </row>
    <row r="537" ht="15.75" customHeight="1">
      <c r="W537" s="5"/>
      <c r="Y537" s="5"/>
    </row>
    <row r="538" ht="15.75" customHeight="1">
      <c r="W538" s="5"/>
      <c r="Y538" s="5"/>
    </row>
    <row r="539" ht="15.75" customHeight="1">
      <c r="W539" s="5"/>
      <c r="Y539" s="5"/>
    </row>
    <row r="540" ht="15.75" customHeight="1">
      <c r="W540" s="5"/>
      <c r="Y540" s="5"/>
    </row>
    <row r="541" ht="15.75" customHeight="1">
      <c r="W541" s="5"/>
      <c r="Y541" s="5"/>
    </row>
    <row r="542" ht="15.75" customHeight="1">
      <c r="W542" s="5"/>
      <c r="Y542" s="5"/>
    </row>
    <row r="543" ht="15.75" customHeight="1">
      <c r="W543" s="5"/>
      <c r="Y543" s="5"/>
    </row>
    <row r="544" ht="15.75" customHeight="1">
      <c r="W544" s="5"/>
      <c r="Y544" s="5"/>
    </row>
    <row r="545" ht="15.75" customHeight="1">
      <c r="W545" s="5"/>
      <c r="Y545" s="5"/>
    </row>
    <row r="546" ht="15.75" customHeight="1">
      <c r="W546" s="5"/>
      <c r="Y546" s="5"/>
    </row>
    <row r="547" ht="15.75" customHeight="1">
      <c r="W547" s="5"/>
      <c r="Y547" s="5"/>
    </row>
    <row r="548" ht="15.75" customHeight="1">
      <c r="W548" s="5"/>
      <c r="Y548" s="5"/>
    </row>
    <row r="549" ht="15.75" customHeight="1">
      <c r="W549" s="5"/>
      <c r="Y549" s="5"/>
    </row>
    <row r="550" ht="15.75" customHeight="1">
      <c r="W550" s="5"/>
      <c r="Y550" s="5"/>
    </row>
    <row r="551" ht="15.75" customHeight="1">
      <c r="W551" s="5"/>
      <c r="Y551" s="5"/>
    </row>
    <row r="552" ht="15.75" customHeight="1">
      <c r="W552" s="5"/>
      <c r="Y552" s="5"/>
    </row>
    <row r="553" ht="15.75" customHeight="1">
      <c r="W553" s="5"/>
      <c r="Y553" s="5"/>
    </row>
    <row r="554" ht="15.75" customHeight="1">
      <c r="W554" s="5"/>
      <c r="Y554" s="5"/>
    </row>
    <row r="555" ht="15.75" customHeight="1">
      <c r="W555" s="5"/>
      <c r="Y555" s="5"/>
    </row>
    <row r="556" ht="15.75" customHeight="1">
      <c r="W556" s="5"/>
      <c r="Y556" s="5"/>
    </row>
    <row r="557" ht="15.75" customHeight="1">
      <c r="W557" s="5"/>
      <c r="Y557" s="5"/>
    </row>
    <row r="558" ht="15.75" customHeight="1">
      <c r="W558" s="5"/>
      <c r="Y558" s="5"/>
    </row>
    <row r="559" ht="15.75" customHeight="1">
      <c r="W559" s="5"/>
      <c r="Y559" s="5"/>
    </row>
    <row r="560" ht="15.75" customHeight="1">
      <c r="W560" s="5"/>
      <c r="Y560" s="5"/>
    </row>
    <row r="561" ht="15.75" customHeight="1">
      <c r="W561" s="5"/>
      <c r="Y561" s="5"/>
    </row>
    <row r="562" ht="15.75" customHeight="1">
      <c r="W562" s="5"/>
      <c r="Y562" s="5"/>
    </row>
    <row r="563" ht="15.75" customHeight="1">
      <c r="W563" s="5"/>
      <c r="Y563" s="5"/>
    </row>
    <row r="564" ht="15.75" customHeight="1">
      <c r="W564" s="5"/>
      <c r="Y564" s="5"/>
    </row>
    <row r="565" ht="15.75" customHeight="1">
      <c r="W565" s="5"/>
      <c r="Y565" s="5"/>
    </row>
    <row r="566" ht="15.75" customHeight="1">
      <c r="W566" s="5"/>
      <c r="Y566" s="5"/>
    </row>
    <row r="567" ht="15.75" customHeight="1">
      <c r="W567" s="5"/>
      <c r="Y567" s="5"/>
    </row>
    <row r="568" ht="15.75" customHeight="1">
      <c r="W568" s="5"/>
      <c r="Y568" s="5"/>
    </row>
    <row r="569" ht="15.75" customHeight="1">
      <c r="W569" s="5"/>
      <c r="Y569" s="5"/>
    </row>
    <row r="570" ht="15.75" customHeight="1">
      <c r="W570" s="5"/>
      <c r="Y570" s="5"/>
    </row>
    <row r="571" ht="15.75" customHeight="1">
      <c r="W571" s="5"/>
      <c r="Y571" s="5"/>
    </row>
    <row r="572" ht="15.75" customHeight="1">
      <c r="W572" s="5"/>
      <c r="Y572" s="5"/>
    </row>
    <row r="573" ht="15.75" customHeight="1">
      <c r="W573" s="5"/>
      <c r="Y573" s="5"/>
    </row>
    <row r="574" ht="15.75" customHeight="1">
      <c r="W574" s="5"/>
      <c r="Y574" s="5"/>
    </row>
    <row r="575" ht="15.75" customHeight="1">
      <c r="W575" s="5"/>
      <c r="Y575" s="5"/>
    </row>
    <row r="576" ht="15.75" customHeight="1">
      <c r="W576" s="5"/>
      <c r="Y576" s="5"/>
    </row>
    <row r="577" ht="15.75" customHeight="1">
      <c r="W577" s="5"/>
      <c r="Y577" s="5"/>
    </row>
    <row r="578" ht="15.75" customHeight="1">
      <c r="W578" s="5"/>
      <c r="Y578" s="5"/>
    </row>
    <row r="579" ht="15.75" customHeight="1">
      <c r="W579" s="5"/>
      <c r="Y579" s="5"/>
    </row>
    <row r="580" ht="15.75" customHeight="1">
      <c r="W580" s="5"/>
      <c r="Y580" s="5"/>
    </row>
    <row r="581" ht="15.75" customHeight="1">
      <c r="W581" s="5"/>
      <c r="Y581" s="5"/>
    </row>
    <row r="582" ht="15.75" customHeight="1">
      <c r="W582" s="5"/>
      <c r="Y582" s="5"/>
    </row>
    <row r="583" ht="15.75" customHeight="1">
      <c r="W583" s="5"/>
      <c r="Y583" s="5"/>
    </row>
    <row r="584" ht="15.75" customHeight="1">
      <c r="W584" s="5"/>
      <c r="Y584" s="5"/>
    </row>
    <row r="585" ht="15.75" customHeight="1">
      <c r="W585" s="5"/>
      <c r="Y585" s="5"/>
    </row>
    <row r="586" ht="15.75" customHeight="1">
      <c r="W586" s="5"/>
      <c r="Y586" s="5"/>
    </row>
    <row r="587" ht="15.75" customHeight="1">
      <c r="W587" s="5"/>
      <c r="Y587" s="5"/>
    </row>
    <row r="588" ht="15.75" customHeight="1">
      <c r="W588" s="5"/>
      <c r="Y588" s="5"/>
    </row>
    <row r="589" ht="15.75" customHeight="1">
      <c r="W589" s="5"/>
      <c r="Y589" s="5"/>
    </row>
    <row r="590" ht="15.75" customHeight="1">
      <c r="W590" s="5"/>
      <c r="Y590" s="5"/>
    </row>
    <row r="591" ht="15.75" customHeight="1">
      <c r="W591" s="5"/>
      <c r="Y591" s="5"/>
    </row>
    <row r="592" ht="15.75" customHeight="1">
      <c r="W592" s="5"/>
      <c r="Y592" s="5"/>
    </row>
    <row r="593" ht="15.75" customHeight="1">
      <c r="W593" s="5"/>
      <c r="Y593" s="5"/>
    </row>
    <row r="594" ht="15.75" customHeight="1">
      <c r="W594" s="5"/>
      <c r="Y594" s="5"/>
    </row>
    <row r="595" ht="15.75" customHeight="1">
      <c r="W595" s="5"/>
      <c r="Y595" s="5"/>
    </row>
    <row r="596" ht="15.75" customHeight="1">
      <c r="W596" s="5"/>
      <c r="Y596" s="5"/>
    </row>
    <row r="597" ht="15.75" customHeight="1">
      <c r="W597" s="5"/>
      <c r="Y597" s="5"/>
    </row>
    <row r="598" ht="15.75" customHeight="1">
      <c r="W598" s="5"/>
      <c r="Y598" s="5"/>
    </row>
    <row r="599" ht="15.75" customHeight="1">
      <c r="W599" s="5"/>
      <c r="Y599" s="5"/>
    </row>
    <row r="600" ht="15.75" customHeight="1">
      <c r="W600" s="5"/>
      <c r="Y600" s="5"/>
    </row>
    <row r="601" ht="15.75" customHeight="1">
      <c r="W601" s="5"/>
      <c r="Y601" s="5"/>
    </row>
    <row r="602" ht="15.75" customHeight="1">
      <c r="W602" s="5"/>
      <c r="Y602" s="5"/>
    </row>
    <row r="603" ht="15.75" customHeight="1">
      <c r="W603" s="5"/>
      <c r="Y603" s="5"/>
    </row>
    <row r="604" ht="15.75" customHeight="1">
      <c r="W604" s="5"/>
      <c r="Y604" s="5"/>
    </row>
    <row r="605" ht="15.75" customHeight="1">
      <c r="W605" s="5"/>
      <c r="Y605" s="5"/>
    </row>
    <row r="606" ht="15.75" customHeight="1">
      <c r="W606" s="5"/>
      <c r="Y606" s="5"/>
    </row>
    <row r="607" ht="15.75" customHeight="1">
      <c r="W607" s="5"/>
      <c r="Y607" s="5"/>
    </row>
    <row r="608" ht="15.75" customHeight="1">
      <c r="W608" s="5"/>
      <c r="Y608" s="5"/>
    </row>
    <row r="609" ht="15.75" customHeight="1">
      <c r="W609" s="5"/>
      <c r="Y609" s="5"/>
    </row>
    <row r="610" ht="15.75" customHeight="1">
      <c r="W610" s="5"/>
      <c r="Y610" s="5"/>
    </row>
    <row r="611" ht="15.75" customHeight="1">
      <c r="W611" s="5"/>
      <c r="Y611" s="5"/>
    </row>
    <row r="612" ht="15.75" customHeight="1">
      <c r="W612" s="5"/>
      <c r="Y612" s="5"/>
    </row>
    <row r="613" ht="15.75" customHeight="1">
      <c r="W613" s="5"/>
      <c r="Y613" s="5"/>
    </row>
    <row r="614" ht="15.75" customHeight="1">
      <c r="W614" s="5"/>
      <c r="Y614" s="5"/>
    </row>
    <row r="615" ht="15.75" customHeight="1">
      <c r="W615" s="5"/>
      <c r="Y615" s="5"/>
    </row>
    <row r="616" ht="15.75" customHeight="1">
      <c r="W616" s="5"/>
      <c r="Y616" s="5"/>
    </row>
    <row r="617" ht="15.75" customHeight="1">
      <c r="W617" s="5"/>
      <c r="Y617" s="5"/>
    </row>
    <row r="618" ht="15.75" customHeight="1">
      <c r="W618" s="5"/>
      <c r="Y618" s="5"/>
    </row>
    <row r="619" ht="15.75" customHeight="1">
      <c r="W619" s="5"/>
      <c r="Y619" s="5"/>
    </row>
    <row r="620" ht="15.75" customHeight="1">
      <c r="W620" s="5"/>
      <c r="Y620" s="5"/>
    </row>
    <row r="621" ht="15.75" customHeight="1">
      <c r="W621" s="5"/>
      <c r="Y621" s="5"/>
    </row>
    <row r="622" ht="15.75" customHeight="1">
      <c r="W622" s="5"/>
      <c r="Y622" s="5"/>
    </row>
    <row r="623" ht="15.75" customHeight="1">
      <c r="W623" s="5"/>
      <c r="Y623" s="5"/>
    </row>
    <row r="624" ht="15.75" customHeight="1">
      <c r="W624" s="5"/>
      <c r="Y624" s="5"/>
    </row>
    <row r="625" ht="15.75" customHeight="1">
      <c r="W625" s="5"/>
      <c r="Y625" s="5"/>
    </row>
    <row r="626" ht="15.75" customHeight="1">
      <c r="W626" s="5"/>
      <c r="Y626" s="5"/>
    </row>
    <row r="627" ht="15.75" customHeight="1">
      <c r="W627" s="5"/>
      <c r="Y627" s="5"/>
    </row>
    <row r="628" ht="15.75" customHeight="1">
      <c r="W628" s="5"/>
      <c r="Y628" s="5"/>
    </row>
    <row r="629" ht="15.75" customHeight="1">
      <c r="W629" s="5"/>
      <c r="Y629" s="5"/>
    </row>
    <row r="630" ht="15.75" customHeight="1">
      <c r="W630" s="5"/>
      <c r="Y630" s="5"/>
    </row>
    <row r="631" ht="15.75" customHeight="1">
      <c r="W631" s="5"/>
      <c r="Y631" s="5"/>
    </row>
    <row r="632" ht="15.75" customHeight="1">
      <c r="W632" s="5"/>
      <c r="Y632" s="5"/>
    </row>
    <row r="633" ht="15.75" customHeight="1">
      <c r="W633" s="5"/>
      <c r="Y633" s="5"/>
    </row>
    <row r="634" ht="15.75" customHeight="1">
      <c r="W634" s="5"/>
      <c r="Y634" s="5"/>
    </row>
    <row r="635" ht="15.75" customHeight="1">
      <c r="W635" s="5"/>
      <c r="Y635" s="5"/>
    </row>
    <row r="636" ht="15.75" customHeight="1">
      <c r="W636" s="5"/>
      <c r="Y636" s="5"/>
    </row>
    <row r="637" ht="15.75" customHeight="1">
      <c r="W637" s="5"/>
      <c r="Y637" s="5"/>
    </row>
    <row r="638" ht="15.75" customHeight="1">
      <c r="W638" s="5"/>
      <c r="Y638" s="5"/>
    </row>
    <row r="639" ht="15.75" customHeight="1">
      <c r="W639" s="5"/>
      <c r="Y639" s="5"/>
    </row>
    <row r="640" ht="15.75" customHeight="1">
      <c r="W640" s="5"/>
      <c r="Y640" s="5"/>
    </row>
    <row r="641" ht="15.75" customHeight="1">
      <c r="W641" s="5"/>
      <c r="Y641" s="5"/>
    </row>
    <row r="642" ht="15.75" customHeight="1">
      <c r="W642" s="5"/>
      <c r="Y642" s="5"/>
    </row>
    <row r="643" ht="15.75" customHeight="1">
      <c r="W643" s="5"/>
      <c r="Y643" s="5"/>
    </row>
    <row r="644" ht="15.75" customHeight="1">
      <c r="W644" s="5"/>
      <c r="Y644" s="5"/>
    </row>
    <row r="645" ht="15.75" customHeight="1">
      <c r="W645" s="5"/>
      <c r="Y645" s="5"/>
    </row>
    <row r="646" ht="15.75" customHeight="1">
      <c r="W646" s="5"/>
      <c r="Y646" s="5"/>
    </row>
    <row r="647" ht="15.75" customHeight="1">
      <c r="W647" s="5"/>
      <c r="Y647" s="5"/>
    </row>
    <row r="648" ht="15.75" customHeight="1">
      <c r="W648" s="5"/>
      <c r="Y648" s="5"/>
    </row>
    <row r="649" ht="15.75" customHeight="1">
      <c r="W649" s="5"/>
      <c r="Y649" s="5"/>
    </row>
    <row r="650" ht="15.75" customHeight="1">
      <c r="W650" s="5"/>
      <c r="Y650" s="5"/>
    </row>
    <row r="651" ht="15.75" customHeight="1">
      <c r="W651" s="5"/>
      <c r="Y651" s="5"/>
    </row>
    <row r="652" ht="15.75" customHeight="1">
      <c r="W652" s="5"/>
      <c r="Y652" s="5"/>
    </row>
    <row r="653" ht="15.75" customHeight="1">
      <c r="W653" s="5"/>
      <c r="Y653" s="5"/>
    </row>
    <row r="654" ht="15.75" customHeight="1">
      <c r="W654" s="5"/>
      <c r="Y654" s="5"/>
    </row>
    <row r="655" ht="15.75" customHeight="1">
      <c r="W655" s="5"/>
      <c r="Y655" s="5"/>
    </row>
    <row r="656" ht="15.75" customHeight="1">
      <c r="W656" s="5"/>
      <c r="Y656" s="5"/>
    </row>
    <row r="657" ht="15.75" customHeight="1">
      <c r="W657" s="5"/>
      <c r="Y657" s="5"/>
    </row>
    <row r="658" ht="15.75" customHeight="1">
      <c r="W658" s="5"/>
      <c r="Y658" s="5"/>
    </row>
    <row r="659" ht="15.75" customHeight="1">
      <c r="W659" s="5"/>
      <c r="Y659" s="5"/>
    </row>
    <row r="660" ht="15.75" customHeight="1">
      <c r="W660" s="5"/>
      <c r="Y660" s="5"/>
    </row>
    <row r="661" ht="15.75" customHeight="1">
      <c r="W661" s="5"/>
      <c r="Y661" s="5"/>
    </row>
    <row r="662" ht="15.75" customHeight="1">
      <c r="W662" s="5"/>
      <c r="Y662" s="5"/>
    </row>
    <row r="663" ht="15.75" customHeight="1">
      <c r="W663" s="5"/>
      <c r="Y663" s="5"/>
    </row>
    <row r="664" ht="15.75" customHeight="1">
      <c r="W664" s="5"/>
      <c r="Y664" s="5"/>
    </row>
    <row r="665" ht="15.75" customHeight="1">
      <c r="W665" s="5"/>
      <c r="Y665" s="5"/>
    </row>
    <row r="666" ht="15.75" customHeight="1">
      <c r="W666" s="5"/>
      <c r="Y666" s="5"/>
    </row>
    <row r="667" ht="15.75" customHeight="1">
      <c r="W667" s="5"/>
      <c r="Y667" s="5"/>
    </row>
    <row r="668" ht="15.75" customHeight="1">
      <c r="W668" s="5"/>
      <c r="Y668" s="5"/>
    </row>
    <row r="669" ht="15.75" customHeight="1">
      <c r="W669" s="5"/>
      <c r="Y669" s="5"/>
    </row>
    <row r="670" ht="15.75" customHeight="1">
      <c r="W670" s="5"/>
      <c r="Y670" s="5"/>
    </row>
    <row r="671" ht="15.75" customHeight="1">
      <c r="W671" s="5"/>
      <c r="Y671" s="5"/>
    </row>
    <row r="672" ht="15.75" customHeight="1">
      <c r="W672" s="5"/>
      <c r="Y672" s="5"/>
    </row>
    <row r="673" ht="15.75" customHeight="1">
      <c r="W673" s="5"/>
      <c r="Y673" s="5"/>
    </row>
    <row r="674" ht="15.75" customHeight="1">
      <c r="W674" s="5"/>
      <c r="Y674" s="5"/>
    </row>
    <row r="675" ht="15.75" customHeight="1">
      <c r="W675" s="5"/>
      <c r="Y675" s="5"/>
    </row>
    <row r="676" ht="15.75" customHeight="1">
      <c r="W676" s="5"/>
      <c r="Y676" s="5"/>
    </row>
    <row r="677" ht="15.75" customHeight="1">
      <c r="W677" s="5"/>
      <c r="Y677" s="5"/>
    </row>
    <row r="678" ht="15.75" customHeight="1">
      <c r="W678" s="5"/>
      <c r="Y678" s="5"/>
    </row>
    <row r="679" ht="15.75" customHeight="1">
      <c r="W679" s="5"/>
      <c r="Y679" s="5"/>
    </row>
    <row r="680" ht="15.75" customHeight="1">
      <c r="W680" s="5"/>
      <c r="Y680" s="5"/>
    </row>
    <row r="681" ht="15.75" customHeight="1">
      <c r="W681" s="5"/>
      <c r="Y681" s="5"/>
    </row>
    <row r="682" ht="15.75" customHeight="1">
      <c r="W682" s="5"/>
      <c r="Y682" s="5"/>
    </row>
    <row r="683" ht="15.75" customHeight="1">
      <c r="W683" s="5"/>
      <c r="Y683" s="5"/>
    </row>
    <row r="684" ht="15.75" customHeight="1">
      <c r="W684" s="5"/>
      <c r="Y684" s="5"/>
    </row>
    <row r="685" ht="15.75" customHeight="1">
      <c r="W685" s="5"/>
      <c r="Y685" s="5"/>
    </row>
    <row r="686" ht="15.75" customHeight="1">
      <c r="W686" s="5"/>
      <c r="Y686" s="5"/>
    </row>
    <row r="687" ht="15.75" customHeight="1">
      <c r="W687" s="5"/>
      <c r="Y687" s="5"/>
    </row>
    <row r="688" ht="15.75" customHeight="1">
      <c r="W688" s="5"/>
      <c r="Y688" s="5"/>
    </row>
    <row r="689" ht="15.75" customHeight="1">
      <c r="W689" s="5"/>
      <c r="Y689" s="5"/>
    </row>
    <row r="690" ht="15.75" customHeight="1">
      <c r="W690" s="5"/>
      <c r="Y690" s="5"/>
    </row>
    <row r="691" ht="15.75" customHeight="1">
      <c r="W691" s="5"/>
      <c r="Y691" s="5"/>
    </row>
    <row r="692" ht="15.75" customHeight="1">
      <c r="W692" s="5"/>
      <c r="Y692" s="5"/>
    </row>
    <row r="693" ht="15.75" customHeight="1">
      <c r="W693" s="5"/>
      <c r="Y693" s="5"/>
    </row>
    <row r="694" ht="15.75" customHeight="1">
      <c r="W694" s="5"/>
      <c r="Y694" s="5"/>
    </row>
    <row r="695" ht="15.75" customHeight="1">
      <c r="W695" s="5"/>
      <c r="Y695" s="5"/>
    </row>
    <row r="696" ht="15.75" customHeight="1">
      <c r="W696" s="5"/>
      <c r="Y696" s="5"/>
    </row>
    <row r="697" ht="15.75" customHeight="1">
      <c r="W697" s="5"/>
      <c r="Y697" s="5"/>
    </row>
    <row r="698" ht="15.75" customHeight="1">
      <c r="W698" s="5"/>
      <c r="Y698" s="5"/>
    </row>
    <row r="699" ht="15.75" customHeight="1">
      <c r="W699" s="5"/>
      <c r="Y699" s="5"/>
    </row>
    <row r="700" ht="15.75" customHeight="1">
      <c r="W700" s="5"/>
      <c r="Y700" s="5"/>
    </row>
    <row r="701" ht="15.75" customHeight="1">
      <c r="W701" s="5"/>
      <c r="Y701" s="5"/>
    </row>
    <row r="702" ht="15.75" customHeight="1">
      <c r="W702" s="5"/>
      <c r="Y702" s="5"/>
    </row>
    <row r="703" ht="15.75" customHeight="1">
      <c r="W703" s="5"/>
      <c r="Y703" s="5"/>
    </row>
    <row r="704" ht="15.75" customHeight="1">
      <c r="W704" s="5"/>
      <c r="Y704" s="5"/>
    </row>
    <row r="705" ht="15.75" customHeight="1">
      <c r="W705" s="5"/>
      <c r="Y705" s="5"/>
    </row>
    <row r="706" ht="15.75" customHeight="1">
      <c r="W706" s="5"/>
      <c r="Y706" s="5"/>
    </row>
    <row r="707" ht="15.75" customHeight="1">
      <c r="W707" s="5"/>
      <c r="Y707" s="5"/>
    </row>
    <row r="708" ht="15.75" customHeight="1">
      <c r="W708" s="5"/>
      <c r="Y708" s="5"/>
    </row>
    <row r="709" ht="15.75" customHeight="1">
      <c r="W709" s="5"/>
      <c r="Y709" s="5"/>
    </row>
    <row r="710" ht="15.75" customHeight="1">
      <c r="W710" s="5"/>
      <c r="Y710" s="5"/>
    </row>
    <row r="711" ht="15.75" customHeight="1">
      <c r="W711" s="5"/>
      <c r="Y711" s="5"/>
    </row>
    <row r="712" ht="15.75" customHeight="1">
      <c r="W712" s="5"/>
      <c r="Y712" s="5"/>
    </row>
    <row r="713" ht="15.75" customHeight="1">
      <c r="W713" s="5"/>
      <c r="Y713" s="5"/>
    </row>
    <row r="714" ht="15.75" customHeight="1">
      <c r="W714" s="5"/>
      <c r="Y714" s="5"/>
    </row>
    <row r="715" ht="15.75" customHeight="1">
      <c r="W715" s="5"/>
      <c r="Y715" s="5"/>
    </row>
    <row r="716" ht="15.75" customHeight="1">
      <c r="W716" s="5"/>
      <c r="Y716" s="5"/>
    </row>
    <row r="717" ht="15.75" customHeight="1">
      <c r="W717" s="5"/>
      <c r="Y717" s="5"/>
    </row>
    <row r="718" ht="15.75" customHeight="1">
      <c r="W718" s="5"/>
      <c r="Y718" s="5"/>
    </row>
    <row r="719" ht="15.75" customHeight="1">
      <c r="W719" s="5"/>
      <c r="Y719" s="5"/>
    </row>
    <row r="720" ht="15.75" customHeight="1">
      <c r="W720" s="5"/>
      <c r="Y720" s="5"/>
    </row>
    <row r="721" ht="15.75" customHeight="1">
      <c r="W721" s="5"/>
      <c r="Y721" s="5"/>
    </row>
    <row r="722" ht="15.75" customHeight="1">
      <c r="W722" s="5"/>
      <c r="Y722" s="5"/>
    </row>
    <row r="723" ht="15.75" customHeight="1">
      <c r="W723" s="5"/>
      <c r="Y723" s="5"/>
    </row>
    <row r="724" ht="15.75" customHeight="1">
      <c r="W724" s="5"/>
      <c r="Y724" s="5"/>
    </row>
    <row r="725" ht="15.75" customHeight="1">
      <c r="W725" s="5"/>
      <c r="Y725" s="5"/>
    </row>
    <row r="726" ht="15.75" customHeight="1">
      <c r="W726" s="5"/>
      <c r="Y726" s="5"/>
    </row>
    <row r="727" ht="15.75" customHeight="1">
      <c r="W727" s="5"/>
      <c r="Y727" s="5"/>
    </row>
    <row r="728" ht="15.75" customHeight="1">
      <c r="W728" s="5"/>
      <c r="Y728" s="5"/>
    </row>
    <row r="729" ht="15.75" customHeight="1">
      <c r="W729" s="5"/>
      <c r="Y729" s="5"/>
    </row>
    <row r="730" ht="15.75" customHeight="1">
      <c r="W730" s="5"/>
      <c r="Y730" s="5"/>
    </row>
    <row r="731" ht="15.75" customHeight="1">
      <c r="W731" s="5"/>
      <c r="Y731" s="5"/>
    </row>
    <row r="732" ht="15.75" customHeight="1">
      <c r="W732" s="5"/>
      <c r="Y732" s="5"/>
    </row>
    <row r="733" ht="15.75" customHeight="1">
      <c r="W733" s="5"/>
      <c r="Y733" s="5"/>
    </row>
    <row r="734" ht="15.75" customHeight="1">
      <c r="W734" s="5"/>
      <c r="Y734" s="5"/>
    </row>
    <row r="735" ht="15.75" customHeight="1">
      <c r="W735" s="5"/>
      <c r="Y735" s="5"/>
    </row>
    <row r="736" ht="15.75" customHeight="1">
      <c r="W736" s="5"/>
      <c r="Y736" s="5"/>
    </row>
    <row r="737" ht="15.75" customHeight="1">
      <c r="W737" s="5"/>
      <c r="Y737" s="5"/>
    </row>
    <row r="738" ht="15.75" customHeight="1">
      <c r="W738" s="5"/>
      <c r="Y738" s="5"/>
    </row>
    <row r="739" ht="15.75" customHeight="1">
      <c r="W739" s="5"/>
      <c r="Y739" s="5"/>
    </row>
    <row r="740" ht="15.75" customHeight="1">
      <c r="W740" s="5"/>
      <c r="Y740" s="5"/>
    </row>
    <row r="741" ht="15.75" customHeight="1">
      <c r="W741" s="5"/>
      <c r="Y741" s="5"/>
    </row>
    <row r="742" ht="15.75" customHeight="1">
      <c r="W742" s="5"/>
      <c r="Y742" s="5"/>
    </row>
    <row r="743" ht="15.75" customHeight="1">
      <c r="W743" s="5"/>
      <c r="Y743" s="5"/>
    </row>
    <row r="744" ht="15.75" customHeight="1">
      <c r="W744" s="5"/>
      <c r="Y744" s="5"/>
    </row>
    <row r="745" ht="15.75" customHeight="1">
      <c r="W745" s="5"/>
      <c r="Y745" s="5"/>
    </row>
    <row r="746" ht="15.75" customHeight="1">
      <c r="W746" s="5"/>
      <c r="Y746" s="5"/>
    </row>
    <row r="747" ht="15.75" customHeight="1">
      <c r="W747" s="5"/>
      <c r="Y747" s="5"/>
    </row>
    <row r="748" ht="15.75" customHeight="1">
      <c r="W748" s="5"/>
      <c r="Y748" s="5"/>
    </row>
    <row r="749" ht="15.75" customHeight="1">
      <c r="W749" s="5"/>
      <c r="Y749" s="5"/>
    </row>
    <row r="750" ht="15.75" customHeight="1">
      <c r="W750" s="5"/>
      <c r="Y750" s="5"/>
    </row>
    <row r="751" ht="15.75" customHeight="1">
      <c r="W751" s="5"/>
      <c r="Y751" s="5"/>
    </row>
    <row r="752" ht="15.75" customHeight="1">
      <c r="W752" s="5"/>
      <c r="Y752" s="5"/>
    </row>
    <row r="753" ht="15.75" customHeight="1">
      <c r="W753" s="5"/>
      <c r="Y753" s="5"/>
    </row>
    <row r="754" ht="15.75" customHeight="1">
      <c r="W754" s="5"/>
      <c r="Y754" s="5"/>
    </row>
    <row r="755" ht="15.75" customHeight="1">
      <c r="W755" s="5"/>
      <c r="Y755" s="5"/>
    </row>
    <row r="756" ht="15.75" customHeight="1">
      <c r="W756" s="5"/>
      <c r="Y756" s="5"/>
    </row>
    <row r="757" ht="15.75" customHeight="1">
      <c r="W757" s="5"/>
      <c r="Y757" s="5"/>
    </row>
    <row r="758" ht="15.75" customHeight="1">
      <c r="W758" s="5"/>
      <c r="Y758" s="5"/>
    </row>
    <row r="759" ht="15.75" customHeight="1">
      <c r="W759" s="5"/>
      <c r="Y759" s="5"/>
    </row>
    <row r="760" ht="15.75" customHeight="1">
      <c r="W760" s="5"/>
      <c r="Y760" s="5"/>
    </row>
    <row r="761" ht="15.75" customHeight="1">
      <c r="W761" s="5"/>
      <c r="Y761" s="5"/>
    </row>
    <row r="762" ht="15.75" customHeight="1">
      <c r="W762" s="5"/>
      <c r="Y762" s="5"/>
    </row>
    <row r="763" ht="15.75" customHeight="1">
      <c r="W763" s="5"/>
      <c r="Y763" s="5"/>
    </row>
    <row r="764" ht="15.75" customHeight="1">
      <c r="W764" s="5"/>
      <c r="Y764" s="5"/>
    </row>
    <row r="765" ht="15.75" customHeight="1">
      <c r="W765" s="5"/>
      <c r="Y765" s="5"/>
    </row>
    <row r="766" ht="15.75" customHeight="1">
      <c r="W766" s="5"/>
      <c r="Y766" s="5"/>
    </row>
    <row r="767" ht="15.75" customHeight="1">
      <c r="W767" s="5"/>
      <c r="Y767" s="5"/>
    </row>
    <row r="768" ht="15.75" customHeight="1">
      <c r="W768" s="5"/>
      <c r="Y768" s="5"/>
    </row>
    <row r="769" ht="15.75" customHeight="1">
      <c r="W769" s="5"/>
      <c r="Y769" s="5"/>
    </row>
    <row r="770" ht="15.75" customHeight="1">
      <c r="W770" s="5"/>
      <c r="Y770" s="5"/>
    </row>
    <row r="771" ht="15.75" customHeight="1">
      <c r="W771" s="5"/>
      <c r="Y771" s="5"/>
    </row>
    <row r="772" ht="15.75" customHeight="1">
      <c r="W772" s="5"/>
      <c r="Y772" s="5"/>
    </row>
    <row r="773" ht="15.75" customHeight="1">
      <c r="W773" s="5"/>
      <c r="Y773" s="5"/>
    </row>
    <row r="774" ht="15.75" customHeight="1">
      <c r="W774" s="5"/>
      <c r="Y774" s="5"/>
    </row>
    <row r="775" ht="15.75" customHeight="1">
      <c r="W775" s="5"/>
      <c r="Y775" s="5"/>
    </row>
    <row r="776" ht="15.75" customHeight="1">
      <c r="W776" s="5"/>
      <c r="Y776" s="5"/>
    </row>
    <row r="777" ht="15.75" customHeight="1">
      <c r="W777" s="5"/>
      <c r="Y777" s="5"/>
    </row>
    <row r="778" ht="15.75" customHeight="1">
      <c r="W778" s="5"/>
      <c r="Y778" s="5"/>
    </row>
    <row r="779" ht="15.75" customHeight="1">
      <c r="W779" s="5"/>
      <c r="Y779" s="5"/>
    </row>
    <row r="780" ht="15.75" customHeight="1">
      <c r="W780" s="5"/>
      <c r="Y780" s="5"/>
    </row>
    <row r="781" ht="15.75" customHeight="1">
      <c r="W781" s="5"/>
      <c r="Y781" s="5"/>
    </row>
    <row r="782" ht="15.75" customHeight="1">
      <c r="W782" s="5"/>
      <c r="Y782" s="5"/>
    </row>
    <row r="783" ht="15.75" customHeight="1">
      <c r="W783" s="5"/>
      <c r="Y783" s="5"/>
    </row>
    <row r="784" ht="15.75" customHeight="1">
      <c r="W784" s="5"/>
      <c r="Y784" s="5"/>
    </row>
    <row r="785" ht="15.75" customHeight="1">
      <c r="W785" s="5"/>
      <c r="Y785" s="5"/>
    </row>
    <row r="786" ht="15.75" customHeight="1">
      <c r="W786" s="5"/>
      <c r="Y786" s="5"/>
    </row>
    <row r="787" ht="15.75" customHeight="1">
      <c r="W787" s="5"/>
      <c r="Y787" s="5"/>
    </row>
    <row r="788" ht="15.75" customHeight="1">
      <c r="W788" s="5"/>
      <c r="Y788" s="5"/>
    </row>
    <row r="789" ht="15.75" customHeight="1">
      <c r="W789" s="5"/>
      <c r="Y789" s="5"/>
    </row>
    <row r="790" ht="15.75" customHeight="1">
      <c r="W790" s="5"/>
      <c r="Y790" s="5"/>
    </row>
    <row r="791" ht="15.75" customHeight="1">
      <c r="W791" s="5"/>
      <c r="Y791" s="5"/>
    </row>
    <row r="792" ht="15.75" customHeight="1">
      <c r="W792" s="5"/>
      <c r="Y792" s="5"/>
    </row>
    <row r="793" ht="15.75" customHeight="1">
      <c r="W793" s="5"/>
      <c r="Y793" s="5"/>
    </row>
    <row r="794" ht="15.75" customHeight="1">
      <c r="W794" s="5"/>
      <c r="Y794" s="5"/>
    </row>
    <row r="795" ht="15.75" customHeight="1">
      <c r="W795" s="5"/>
      <c r="Y795" s="5"/>
    </row>
    <row r="796" ht="15.75" customHeight="1">
      <c r="W796" s="5"/>
      <c r="Y796" s="5"/>
    </row>
    <row r="797" ht="15.75" customHeight="1">
      <c r="W797" s="5"/>
      <c r="Y797" s="5"/>
    </row>
    <row r="798" ht="15.75" customHeight="1">
      <c r="W798" s="5"/>
      <c r="Y798" s="5"/>
    </row>
    <row r="799" ht="15.75" customHeight="1">
      <c r="W799" s="5"/>
      <c r="Y799" s="5"/>
    </row>
    <row r="800" ht="15.75" customHeight="1">
      <c r="W800" s="5"/>
      <c r="Y800" s="5"/>
    </row>
    <row r="801" ht="15.75" customHeight="1">
      <c r="W801" s="5"/>
      <c r="Y801" s="5"/>
    </row>
    <row r="802" ht="15.75" customHeight="1">
      <c r="W802" s="5"/>
      <c r="Y802" s="5"/>
    </row>
    <row r="803" ht="15.75" customHeight="1">
      <c r="W803" s="5"/>
      <c r="Y803" s="5"/>
    </row>
    <row r="804" ht="15.75" customHeight="1">
      <c r="W804" s="5"/>
      <c r="Y804" s="5"/>
    </row>
    <row r="805" ht="15.75" customHeight="1">
      <c r="W805" s="5"/>
      <c r="Y805" s="5"/>
    </row>
    <row r="806" ht="15.75" customHeight="1">
      <c r="W806" s="5"/>
      <c r="Y806" s="5"/>
    </row>
    <row r="807" ht="15.75" customHeight="1">
      <c r="W807" s="5"/>
      <c r="Y807" s="5"/>
    </row>
    <row r="808" ht="15.75" customHeight="1">
      <c r="W808" s="5"/>
      <c r="Y808" s="5"/>
    </row>
    <row r="809" ht="15.75" customHeight="1">
      <c r="W809" s="5"/>
      <c r="Y809" s="5"/>
    </row>
    <row r="810" ht="15.75" customHeight="1">
      <c r="W810" s="5"/>
      <c r="Y810" s="5"/>
    </row>
    <row r="811" ht="15.75" customHeight="1">
      <c r="W811" s="5"/>
      <c r="Y811" s="5"/>
    </row>
    <row r="812" ht="15.75" customHeight="1">
      <c r="W812" s="5"/>
      <c r="Y812" s="5"/>
    </row>
    <row r="813" ht="15.75" customHeight="1">
      <c r="W813" s="5"/>
      <c r="Y813" s="5"/>
    </row>
    <row r="814" ht="15.75" customHeight="1">
      <c r="W814" s="5"/>
      <c r="Y814" s="5"/>
    </row>
    <row r="815" ht="15.75" customHeight="1">
      <c r="W815" s="5"/>
      <c r="Y815" s="5"/>
    </row>
    <row r="816" ht="15.75" customHeight="1">
      <c r="W816" s="5"/>
      <c r="Y816" s="5"/>
    </row>
    <row r="817" ht="15.75" customHeight="1">
      <c r="W817" s="5"/>
      <c r="Y817" s="5"/>
    </row>
    <row r="818" ht="15.75" customHeight="1">
      <c r="W818" s="5"/>
      <c r="Y818" s="5"/>
    </row>
    <row r="819" ht="15.75" customHeight="1">
      <c r="W819" s="5"/>
      <c r="Y819" s="5"/>
    </row>
    <row r="820" ht="15.75" customHeight="1">
      <c r="W820" s="5"/>
      <c r="Y820" s="5"/>
    </row>
    <row r="821" ht="15.75" customHeight="1">
      <c r="W821" s="5"/>
      <c r="Y821" s="5"/>
    </row>
    <row r="822" ht="15.75" customHeight="1">
      <c r="W822" s="5"/>
      <c r="Y822" s="5"/>
    </row>
    <row r="823" ht="15.75" customHeight="1">
      <c r="W823" s="5"/>
      <c r="Y823" s="5"/>
    </row>
    <row r="824" ht="15.75" customHeight="1">
      <c r="W824" s="5"/>
      <c r="Y824" s="5"/>
    </row>
    <row r="825" ht="15.75" customHeight="1">
      <c r="W825" s="5"/>
      <c r="Y825" s="5"/>
    </row>
    <row r="826" ht="15.75" customHeight="1">
      <c r="W826" s="5"/>
      <c r="Y826" s="5"/>
    </row>
    <row r="827" ht="15.75" customHeight="1">
      <c r="W827" s="5"/>
      <c r="Y827" s="5"/>
    </row>
    <row r="828" ht="15.75" customHeight="1">
      <c r="W828" s="5"/>
      <c r="Y828" s="5"/>
    </row>
    <row r="829" ht="15.75" customHeight="1">
      <c r="W829" s="5"/>
      <c r="Y829" s="5"/>
    </row>
    <row r="830" ht="15.75" customHeight="1">
      <c r="W830" s="5"/>
      <c r="Y830" s="5"/>
    </row>
    <row r="831" ht="15.75" customHeight="1">
      <c r="W831" s="5"/>
      <c r="Y831" s="5"/>
    </row>
    <row r="832" ht="15.75" customHeight="1">
      <c r="W832" s="5"/>
      <c r="Y832" s="5"/>
    </row>
    <row r="833" ht="15.75" customHeight="1">
      <c r="W833" s="5"/>
      <c r="Y833" s="5"/>
    </row>
    <row r="834" ht="15.75" customHeight="1">
      <c r="W834" s="5"/>
      <c r="Y834" s="5"/>
    </row>
    <row r="835" ht="15.75" customHeight="1">
      <c r="W835" s="5"/>
      <c r="Y835" s="5"/>
    </row>
    <row r="836" ht="15.75" customHeight="1">
      <c r="W836" s="5"/>
      <c r="Y836" s="5"/>
    </row>
    <row r="837" ht="15.75" customHeight="1">
      <c r="W837" s="5"/>
      <c r="Y837" s="5"/>
    </row>
    <row r="838" ht="15.75" customHeight="1">
      <c r="W838" s="5"/>
      <c r="Y838" s="5"/>
    </row>
    <row r="839" ht="15.75" customHeight="1">
      <c r="W839" s="5"/>
      <c r="Y839" s="5"/>
    </row>
    <row r="840" ht="15.75" customHeight="1">
      <c r="W840" s="5"/>
      <c r="Y840" s="5"/>
    </row>
    <row r="841" ht="15.75" customHeight="1">
      <c r="W841" s="5"/>
      <c r="Y841" s="5"/>
    </row>
    <row r="842" ht="15.75" customHeight="1">
      <c r="W842" s="5"/>
      <c r="Y842" s="5"/>
    </row>
    <row r="843" ht="15.75" customHeight="1">
      <c r="W843" s="5"/>
      <c r="Y843" s="5"/>
    </row>
    <row r="844" ht="15.75" customHeight="1">
      <c r="W844" s="5"/>
      <c r="Y844" s="5"/>
    </row>
    <row r="845" ht="15.75" customHeight="1">
      <c r="W845" s="5"/>
      <c r="Y845" s="5"/>
    </row>
    <row r="846" ht="15.75" customHeight="1">
      <c r="W846" s="5"/>
      <c r="Y846" s="5"/>
    </row>
    <row r="847" ht="15.75" customHeight="1">
      <c r="W847" s="5"/>
      <c r="Y847" s="5"/>
    </row>
    <row r="848" ht="15.75" customHeight="1">
      <c r="W848" s="5"/>
      <c r="Y848" s="5"/>
    </row>
    <row r="849" ht="15.75" customHeight="1">
      <c r="W849" s="5"/>
      <c r="Y849" s="5"/>
    </row>
    <row r="850" ht="15.75" customHeight="1">
      <c r="W850" s="5"/>
      <c r="Y850" s="5"/>
    </row>
    <row r="851" ht="15.75" customHeight="1">
      <c r="W851" s="5"/>
      <c r="Y851" s="5"/>
    </row>
    <row r="852" ht="15.75" customHeight="1">
      <c r="W852" s="5"/>
      <c r="Y852" s="5"/>
    </row>
    <row r="853" ht="15.75" customHeight="1">
      <c r="W853" s="5"/>
      <c r="Y853" s="5"/>
    </row>
    <row r="854" ht="15.75" customHeight="1">
      <c r="W854" s="5"/>
      <c r="Y854" s="5"/>
    </row>
    <row r="855" ht="15.75" customHeight="1">
      <c r="W855" s="5"/>
      <c r="Y855" s="5"/>
    </row>
    <row r="856" ht="15.75" customHeight="1">
      <c r="W856" s="5"/>
      <c r="Y856" s="5"/>
    </row>
    <row r="857" ht="15.75" customHeight="1">
      <c r="W857" s="5"/>
      <c r="Y857" s="5"/>
    </row>
    <row r="858" ht="15.75" customHeight="1">
      <c r="W858" s="5"/>
      <c r="Y858" s="5"/>
    </row>
    <row r="859" ht="15.75" customHeight="1">
      <c r="W859" s="5"/>
      <c r="Y859" s="5"/>
    </row>
    <row r="860" ht="15.75" customHeight="1">
      <c r="W860" s="5"/>
      <c r="Y860" s="5"/>
    </row>
    <row r="861" ht="15.75" customHeight="1">
      <c r="W861" s="5"/>
      <c r="Y861" s="5"/>
    </row>
    <row r="862" ht="15.75" customHeight="1">
      <c r="W862" s="5"/>
      <c r="Y862" s="5"/>
    </row>
    <row r="863" ht="15.75" customHeight="1">
      <c r="W863" s="5"/>
      <c r="Y863" s="5"/>
    </row>
    <row r="864" ht="15.75" customHeight="1">
      <c r="W864" s="5"/>
      <c r="Y864" s="5"/>
    </row>
    <row r="865" ht="15.75" customHeight="1">
      <c r="W865" s="5"/>
      <c r="Y865" s="5"/>
    </row>
    <row r="866" ht="15.75" customHeight="1">
      <c r="W866" s="5"/>
      <c r="Y866" s="5"/>
    </row>
    <row r="867" ht="15.75" customHeight="1">
      <c r="W867" s="5"/>
      <c r="Y867" s="5"/>
    </row>
    <row r="868" ht="15.75" customHeight="1">
      <c r="W868" s="5"/>
      <c r="Y868" s="5"/>
    </row>
    <row r="869" ht="15.75" customHeight="1">
      <c r="W869" s="5"/>
      <c r="Y869" s="5"/>
    </row>
    <row r="870" ht="15.75" customHeight="1">
      <c r="W870" s="5"/>
      <c r="Y870" s="5"/>
    </row>
    <row r="871" ht="15.75" customHeight="1">
      <c r="W871" s="5"/>
      <c r="Y871" s="5"/>
    </row>
    <row r="872" ht="15.75" customHeight="1">
      <c r="W872" s="5"/>
      <c r="Y872" s="5"/>
    </row>
    <row r="873" ht="15.75" customHeight="1">
      <c r="W873" s="5"/>
      <c r="Y873" s="5"/>
    </row>
    <row r="874" ht="15.75" customHeight="1">
      <c r="W874" s="5"/>
      <c r="Y874" s="5"/>
    </row>
    <row r="875" ht="15.75" customHeight="1">
      <c r="W875" s="5"/>
      <c r="Y875" s="5"/>
    </row>
    <row r="876" ht="15.75" customHeight="1">
      <c r="W876" s="5"/>
      <c r="Y876" s="5"/>
    </row>
    <row r="877" ht="15.75" customHeight="1">
      <c r="W877" s="5"/>
      <c r="Y877" s="5"/>
    </row>
    <row r="878" ht="15.75" customHeight="1">
      <c r="W878" s="5"/>
      <c r="Y878" s="5"/>
    </row>
    <row r="879" ht="15.75" customHeight="1">
      <c r="W879" s="5"/>
      <c r="Y879" s="5"/>
    </row>
    <row r="880" ht="15.75" customHeight="1">
      <c r="W880" s="5"/>
      <c r="Y880" s="5"/>
    </row>
    <row r="881" ht="15.75" customHeight="1">
      <c r="W881" s="5"/>
      <c r="Y881" s="5"/>
    </row>
    <row r="882" ht="15.75" customHeight="1">
      <c r="W882" s="5"/>
      <c r="Y882" s="5"/>
    </row>
    <row r="883" ht="15.75" customHeight="1">
      <c r="W883" s="5"/>
      <c r="Y883" s="5"/>
    </row>
    <row r="884" ht="15.75" customHeight="1">
      <c r="W884" s="5"/>
      <c r="Y884" s="5"/>
    </row>
    <row r="885" ht="15.75" customHeight="1">
      <c r="W885" s="5"/>
      <c r="Y885" s="5"/>
    </row>
    <row r="886" ht="15.75" customHeight="1">
      <c r="W886" s="5"/>
      <c r="Y886" s="5"/>
    </row>
    <row r="887" ht="15.75" customHeight="1">
      <c r="W887" s="5"/>
      <c r="Y887" s="5"/>
    </row>
    <row r="888" ht="15.75" customHeight="1">
      <c r="W888" s="5"/>
      <c r="Y888" s="5"/>
    </row>
    <row r="889" ht="15.75" customHeight="1">
      <c r="W889" s="5"/>
      <c r="Y889" s="5"/>
    </row>
    <row r="890" ht="15.75" customHeight="1">
      <c r="W890" s="5"/>
      <c r="Y890" s="5"/>
    </row>
    <row r="891" ht="15.75" customHeight="1">
      <c r="W891" s="5"/>
      <c r="Y891" s="5"/>
    </row>
    <row r="892" ht="15.75" customHeight="1">
      <c r="W892" s="5"/>
      <c r="Y892" s="5"/>
    </row>
    <row r="893" ht="15.75" customHeight="1">
      <c r="W893" s="5"/>
      <c r="Y893" s="5"/>
    </row>
    <row r="894" ht="15.75" customHeight="1">
      <c r="W894" s="5"/>
      <c r="Y894" s="5"/>
    </row>
    <row r="895" ht="15.75" customHeight="1">
      <c r="W895" s="5"/>
      <c r="Y895" s="5"/>
    </row>
    <row r="896" ht="15.75" customHeight="1">
      <c r="W896" s="5"/>
      <c r="Y896" s="5"/>
    </row>
    <row r="897" ht="15.75" customHeight="1">
      <c r="W897" s="5"/>
      <c r="Y897" s="5"/>
    </row>
    <row r="898" ht="15.75" customHeight="1">
      <c r="W898" s="5"/>
      <c r="Y898" s="5"/>
    </row>
    <row r="899" ht="15.75" customHeight="1">
      <c r="W899" s="5"/>
      <c r="Y899" s="5"/>
    </row>
    <row r="900" ht="15.75" customHeight="1">
      <c r="W900" s="5"/>
      <c r="Y900" s="5"/>
    </row>
    <row r="901" ht="15.75" customHeight="1">
      <c r="W901" s="5"/>
      <c r="Y901" s="5"/>
    </row>
    <row r="902" ht="15.75" customHeight="1">
      <c r="W902" s="5"/>
      <c r="Y902" s="5"/>
    </row>
    <row r="903" ht="15.75" customHeight="1">
      <c r="W903" s="5"/>
      <c r="Y903" s="5"/>
    </row>
    <row r="904" ht="15.75" customHeight="1">
      <c r="W904" s="5"/>
      <c r="Y904" s="5"/>
    </row>
    <row r="905" ht="15.75" customHeight="1">
      <c r="W905" s="5"/>
      <c r="Y905" s="5"/>
    </row>
    <row r="906" ht="15.75" customHeight="1">
      <c r="W906" s="5"/>
      <c r="Y906" s="5"/>
    </row>
    <row r="907" ht="15.75" customHeight="1">
      <c r="W907" s="5"/>
      <c r="Y907" s="5"/>
    </row>
    <row r="908" ht="15.75" customHeight="1">
      <c r="W908" s="5"/>
      <c r="Y908" s="5"/>
    </row>
    <row r="909" ht="15.75" customHeight="1">
      <c r="W909" s="5"/>
      <c r="Y909" s="5"/>
    </row>
    <row r="910" ht="15.75" customHeight="1">
      <c r="W910" s="5"/>
      <c r="Y910" s="5"/>
    </row>
    <row r="911" ht="15.75" customHeight="1">
      <c r="W911" s="5"/>
      <c r="Y911" s="5"/>
    </row>
    <row r="912" ht="15.75" customHeight="1">
      <c r="W912" s="5"/>
      <c r="Y912" s="5"/>
    </row>
    <row r="913" ht="15.75" customHeight="1">
      <c r="W913" s="5"/>
      <c r="Y913" s="5"/>
    </row>
    <row r="914" ht="15.75" customHeight="1">
      <c r="W914" s="5"/>
      <c r="Y914" s="5"/>
    </row>
    <row r="915" ht="15.75" customHeight="1">
      <c r="W915" s="5"/>
      <c r="Y915" s="5"/>
    </row>
    <row r="916" ht="15.75" customHeight="1">
      <c r="W916" s="5"/>
      <c r="Y916" s="5"/>
    </row>
    <row r="917" ht="15.75" customHeight="1">
      <c r="W917" s="5"/>
      <c r="Y917" s="5"/>
    </row>
    <row r="918" ht="15.75" customHeight="1">
      <c r="W918" s="5"/>
      <c r="Y918" s="5"/>
    </row>
    <row r="919" ht="15.75" customHeight="1">
      <c r="W919" s="5"/>
      <c r="Y919" s="5"/>
    </row>
    <row r="920" ht="15.75" customHeight="1">
      <c r="W920" s="5"/>
      <c r="Y920" s="5"/>
    </row>
    <row r="921" ht="15.75" customHeight="1">
      <c r="W921" s="5"/>
      <c r="Y921" s="5"/>
    </row>
    <row r="922" ht="15.75" customHeight="1">
      <c r="W922" s="5"/>
      <c r="Y922" s="5"/>
    </row>
    <row r="923" ht="15.75" customHeight="1">
      <c r="W923" s="5"/>
      <c r="Y923" s="5"/>
    </row>
    <row r="924" ht="15.75" customHeight="1">
      <c r="W924" s="5"/>
      <c r="Y924" s="5"/>
    </row>
    <row r="925" ht="15.75" customHeight="1">
      <c r="W925" s="5"/>
      <c r="Y925" s="5"/>
    </row>
    <row r="926" ht="15.75" customHeight="1">
      <c r="W926" s="5"/>
      <c r="Y926" s="5"/>
    </row>
    <row r="927" ht="15.75" customHeight="1">
      <c r="W927" s="5"/>
      <c r="Y927" s="5"/>
    </row>
    <row r="928" ht="15.75" customHeight="1">
      <c r="W928" s="5"/>
      <c r="Y928" s="5"/>
    </row>
    <row r="929" ht="15.75" customHeight="1">
      <c r="W929" s="5"/>
      <c r="Y929" s="5"/>
    </row>
    <row r="930" ht="15.75" customHeight="1">
      <c r="W930" s="5"/>
      <c r="Y930" s="5"/>
    </row>
    <row r="931" ht="15.75" customHeight="1">
      <c r="W931" s="5"/>
      <c r="Y931" s="5"/>
    </row>
    <row r="932" ht="15.75" customHeight="1">
      <c r="W932" s="5"/>
      <c r="Y932" s="5"/>
    </row>
    <row r="933" ht="15.75" customHeight="1">
      <c r="W933" s="5"/>
      <c r="Y933" s="5"/>
    </row>
    <row r="934" ht="15.75" customHeight="1">
      <c r="W934" s="5"/>
      <c r="Y934" s="5"/>
    </row>
    <row r="935" ht="15.75" customHeight="1">
      <c r="W935" s="5"/>
      <c r="Y935" s="5"/>
    </row>
    <row r="936" ht="15.75" customHeight="1">
      <c r="W936" s="5"/>
      <c r="Y936" s="5"/>
    </row>
    <row r="937" ht="15.75" customHeight="1">
      <c r="W937" s="5"/>
      <c r="Y937" s="5"/>
    </row>
    <row r="938" ht="15.75" customHeight="1">
      <c r="W938" s="5"/>
      <c r="Y938" s="5"/>
    </row>
    <row r="939" ht="15.75" customHeight="1">
      <c r="W939" s="5"/>
      <c r="Y939" s="5"/>
    </row>
    <row r="940" ht="15.75" customHeight="1">
      <c r="W940" s="5"/>
      <c r="Y940" s="5"/>
    </row>
    <row r="941" ht="15.75" customHeight="1">
      <c r="W941" s="5"/>
      <c r="Y941" s="5"/>
    </row>
    <row r="942" ht="15.75" customHeight="1">
      <c r="W942" s="5"/>
      <c r="Y942" s="5"/>
    </row>
    <row r="943" ht="15.75" customHeight="1">
      <c r="W943" s="5"/>
      <c r="Y943" s="5"/>
    </row>
    <row r="944" ht="15.75" customHeight="1">
      <c r="W944" s="5"/>
      <c r="Y944" s="5"/>
    </row>
    <row r="945" ht="15.75" customHeight="1">
      <c r="W945" s="5"/>
      <c r="Y945" s="5"/>
    </row>
    <row r="946" ht="15.75" customHeight="1">
      <c r="W946" s="5"/>
      <c r="Y946" s="5"/>
    </row>
    <row r="947" ht="15.75" customHeight="1">
      <c r="W947" s="5"/>
      <c r="Y947" s="5"/>
    </row>
    <row r="948" ht="15.75" customHeight="1">
      <c r="W948" s="5"/>
      <c r="Y948" s="5"/>
    </row>
    <row r="949" ht="15.75" customHeight="1">
      <c r="W949" s="5"/>
      <c r="Y949" s="5"/>
    </row>
    <row r="950" ht="15.75" customHeight="1">
      <c r="W950" s="5"/>
      <c r="Y950" s="5"/>
    </row>
    <row r="951" ht="15.75" customHeight="1">
      <c r="W951" s="5"/>
      <c r="Y951" s="5"/>
    </row>
    <row r="952" ht="15.75" customHeight="1">
      <c r="W952" s="5"/>
      <c r="Y952" s="5"/>
    </row>
    <row r="953" ht="15.75" customHeight="1">
      <c r="W953" s="5"/>
      <c r="Y953" s="5"/>
    </row>
    <row r="954" ht="15.75" customHeight="1">
      <c r="W954" s="5"/>
      <c r="Y954" s="5"/>
    </row>
    <row r="955" ht="15.75" customHeight="1">
      <c r="W955" s="5"/>
      <c r="Y955" s="5"/>
    </row>
    <row r="956" ht="15.75" customHeight="1">
      <c r="W956" s="5"/>
      <c r="Y956" s="5"/>
    </row>
    <row r="957" ht="15.75" customHeight="1">
      <c r="W957" s="5"/>
      <c r="Y957" s="5"/>
    </row>
    <row r="958" ht="15.75" customHeight="1">
      <c r="W958" s="5"/>
      <c r="Y958" s="5"/>
    </row>
    <row r="959" ht="15.75" customHeight="1">
      <c r="W959" s="5"/>
      <c r="Y959" s="5"/>
    </row>
    <row r="960" ht="15.75" customHeight="1">
      <c r="W960" s="5"/>
      <c r="Y960" s="5"/>
    </row>
    <row r="961" ht="15.75" customHeight="1">
      <c r="W961" s="5"/>
      <c r="Y961" s="5"/>
    </row>
    <row r="962" ht="15.75" customHeight="1">
      <c r="W962" s="5"/>
      <c r="Y962" s="5"/>
    </row>
    <row r="963" ht="15.75" customHeight="1">
      <c r="W963" s="5"/>
      <c r="Y963" s="5"/>
    </row>
    <row r="964" ht="15.75" customHeight="1">
      <c r="W964" s="5"/>
      <c r="Y964" s="5"/>
    </row>
    <row r="965" ht="15.75" customHeight="1">
      <c r="W965" s="5"/>
      <c r="Y965" s="5"/>
    </row>
    <row r="966" ht="15.75" customHeight="1">
      <c r="W966" s="5"/>
      <c r="Y966" s="5"/>
    </row>
    <row r="967" ht="15.75" customHeight="1">
      <c r="W967" s="5"/>
      <c r="Y967" s="5"/>
    </row>
    <row r="968" ht="15.75" customHeight="1">
      <c r="W968" s="5"/>
      <c r="Y968" s="5"/>
    </row>
    <row r="969" ht="15.75" customHeight="1">
      <c r="W969" s="5"/>
      <c r="Y969" s="5"/>
    </row>
    <row r="970" ht="15.75" customHeight="1">
      <c r="W970" s="5"/>
      <c r="Y970" s="5"/>
    </row>
    <row r="971" ht="15.75" customHeight="1">
      <c r="W971" s="5"/>
      <c r="Y971" s="5"/>
    </row>
  </sheetData>
  <autoFilter ref="$W$9:$Y$44">
    <sortState ref="W9:Y44">
      <sortCondition ref="X9:X44"/>
    </sortState>
  </autoFilter>
  <mergeCells count="109"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9:U9"/>
    <mergeCell ref="N16:N18"/>
    <mergeCell ref="S17:U17"/>
    <mergeCell ref="V6:X6"/>
    <mergeCell ref="Y6:Z6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G37:I37"/>
    <mergeCell ref="J37:L37"/>
    <mergeCell ref="A38:C38"/>
    <mergeCell ref="D38:F38"/>
    <mergeCell ref="G38:I38"/>
    <mergeCell ref="J38:L38"/>
    <mergeCell ref="J43:L43"/>
    <mergeCell ref="A41:C41"/>
    <mergeCell ref="D45:F45"/>
    <mergeCell ref="G45:I45"/>
    <mergeCell ref="J45:L45"/>
    <mergeCell ref="M45:O45"/>
    <mergeCell ref="P45:R45"/>
    <mergeCell ref="S45:U45"/>
    <mergeCell ref="A21:C21"/>
    <mergeCell ref="D21:F21"/>
    <mergeCell ref="G21:I21"/>
    <mergeCell ref="J21:L21"/>
    <mergeCell ref="M21:O21"/>
    <mergeCell ref="P21:R21"/>
    <mergeCell ref="S21:U21"/>
    <mergeCell ref="D22:F22"/>
    <mergeCell ref="G22:I22"/>
    <mergeCell ref="J22:L22"/>
    <mergeCell ref="M22:O22"/>
    <mergeCell ref="P22:R22"/>
    <mergeCell ref="S22:U22"/>
    <mergeCell ref="S25:U25"/>
    <mergeCell ref="A22:C22"/>
    <mergeCell ref="D29:F29"/>
    <mergeCell ref="G29:I29"/>
    <mergeCell ref="J29:L29"/>
    <mergeCell ref="M29:O29"/>
    <mergeCell ref="P29:R29"/>
    <mergeCell ref="S29:U29"/>
    <mergeCell ref="A29:C29"/>
    <mergeCell ref="A30:C30"/>
    <mergeCell ref="D30:F30"/>
    <mergeCell ref="G30:I30"/>
    <mergeCell ref="M30:O30"/>
    <mergeCell ref="P30:R30"/>
    <mergeCell ref="S30:U30"/>
    <mergeCell ref="M37:O37"/>
    <mergeCell ref="P37:R37"/>
    <mergeCell ref="M38:O38"/>
    <mergeCell ref="P38:R38"/>
    <mergeCell ref="S38:U38"/>
    <mergeCell ref="V38:X38"/>
    <mergeCell ref="S41:U41"/>
    <mergeCell ref="J30:L30"/>
    <mergeCell ref="J33:L33"/>
    <mergeCell ref="M33:O33"/>
    <mergeCell ref="P33:R33"/>
    <mergeCell ref="S33:U33"/>
    <mergeCell ref="A37:C37"/>
    <mergeCell ref="D37:F37"/>
    <mergeCell ref="S37:U37"/>
    <mergeCell ref="A46:C46"/>
    <mergeCell ref="B49:B51"/>
    <mergeCell ref="B54:D54"/>
    <mergeCell ref="A45:C45"/>
    <mergeCell ref="D46:F46"/>
    <mergeCell ref="G46:I46"/>
    <mergeCell ref="J46:L46"/>
    <mergeCell ref="M46:O46"/>
    <mergeCell ref="P46:R46"/>
    <mergeCell ref="S46:U46"/>
  </mergeCells>
  <printOptions horizontalCentered="1" verticalCentered="1"/>
  <pageMargins bottom="0.0" footer="0.0" header="0.0" left="0.0" right="0.0" top="0.0"/>
  <pageSetup fitToHeight="0" paperSize="11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1.43"/>
    <col customWidth="1" min="3" max="3" width="6.57"/>
    <col customWidth="1" min="4" max="4" width="21.57"/>
    <col customWidth="1" min="5" max="5" width="11.71"/>
    <col customWidth="1" min="6" max="6" width="7.57"/>
    <col customWidth="1" min="7" max="7" width="20.71"/>
    <col customWidth="1" min="8" max="8" width="11.71"/>
    <col customWidth="1" min="9" max="9" width="7.86"/>
    <col customWidth="1" min="10" max="10" width="18.29"/>
    <col customWidth="1" min="11" max="11" width="12.43"/>
    <col customWidth="1" min="12" max="12" width="5.57"/>
    <col customWidth="1" min="13" max="13" width="18.29"/>
    <col customWidth="1" min="14" max="14" width="12.29"/>
    <col customWidth="1" min="15" max="15" width="5.57"/>
    <col customWidth="1" min="16" max="16" width="19.86"/>
    <col customWidth="1" min="17" max="17" width="11.43"/>
    <col customWidth="1" min="18" max="18" width="7.71"/>
    <col customWidth="1" min="19" max="19" width="11.29"/>
    <col customWidth="1" min="20" max="20" width="11.57"/>
    <col customWidth="1" min="21" max="21" width="9.86"/>
    <col customWidth="1" min="22" max="23" width="8.71"/>
    <col customWidth="1" min="24" max="24" width="19.71"/>
    <col customWidth="1" min="25" max="25" width="14.29"/>
    <col customWidth="1" min="26" max="26" width="8.71"/>
  </cols>
  <sheetData>
    <row r="1" ht="15.0" customHeight="1">
      <c r="A1" s="6"/>
      <c r="C1" s="2" t="s">
        <v>81</v>
      </c>
      <c r="F1" s="3"/>
      <c r="G1" s="4" t="s">
        <v>1</v>
      </c>
      <c r="Q1" s="3"/>
    </row>
    <row r="2" ht="15.0" customHeight="1">
      <c r="A2" s="6" t="s">
        <v>2</v>
      </c>
      <c r="C2" s="7" t="s">
        <v>82</v>
      </c>
      <c r="F2" s="3"/>
      <c r="Q2" s="3"/>
    </row>
    <row r="3" ht="15.0" customHeight="1">
      <c r="A3" s="6" t="s">
        <v>4</v>
      </c>
      <c r="C3" s="2" t="s">
        <v>83</v>
      </c>
      <c r="F3" s="3"/>
      <c r="Q3" s="3"/>
    </row>
    <row r="4" ht="15.0" customHeight="1">
      <c r="A4" s="6" t="s">
        <v>5</v>
      </c>
      <c r="C4" s="2" t="s">
        <v>83</v>
      </c>
      <c r="F4" s="3"/>
      <c r="G4" s="3"/>
      <c r="H4" s="3"/>
      <c r="I4" s="3"/>
      <c r="J4" s="3"/>
      <c r="K4" s="3"/>
      <c r="L4" s="3"/>
      <c r="M4" s="3"/>
      <c r="N4" s="3"/>
      <c r="O4" s="99"/>
      <c r="P4" s="100"/>
      <c r="Q4" s="101"/>
    </row>
    <row r="5" ht="19.5" customHeight="1">
      <c r="A5" s="12" t="s">
        <v>6</v>
      </c>
      <c r="B5" s="13"/>
      <c r="C5" s="14"/>
      <c r="D5" s="12" t="s">
        <v>7</v>
      </c>
      <c r="E5" s="13"/>
      <c r="F5" s="14"/>
      <c r="G5" s="12" t="s">
        <v>8</v>
      </c>
      <c r="H5" s="13"/>
      <c r="I5" s="14"/>
      <c r="J5" s="12" t="s">
        <v>9</v>
      </c>
      <c r="K5" s="13"/>
      <c r="L5" s="14"/>
      <c r="M5" s="12" t="s">
        <v>10</v>
      </c>
      <c r="N5" s="13"/>
      <c r="O5" s="14"/>
      <c r="P5" s="12" t="s">
        <v>11</v>
      </c>
      <c r="Q5" s="13"/>
      <c r="R5" s="14"/>
      <c r="S5" s="15" t="s">
        <v>12</v>
      </c>
      <c r="T5" s="13"/>
      <c r="U5" s="14"/>
    </row>
    <row r="6">
      <c r="A6" s="16"/>
      <c r="B6" s="13"/>
      <c r="C6" s="14"/>
      <c r="D6" s="16"/>
      <c r="E6" s="13"/>
      <c r="F6" s="14"/>
      <c r="G6" s="16"/>
      <c r="H6" s="13"/>
      <c r="I6" s="14"/>
      <c r="J6" s="16"/>
      <c r="K6" s="13"/>
      <c r="L6" s="14"/>
      <c r="M6" s="16"/>
      <c r="N6" s="13"/>
      <c r="O6" s="14"/>
      <c r="P6" s="16"/>
      <c r="Q6" s="13"/>
      <c r="R6" s="14"/>
      <c r="S6" s="17">
        <v>46082.0</v>
      </c>
      <c r="T6" s="13"/>
      <c r="U6" s="14"/>
      <c r="W6" s="102">
        <f>COUNTA(#REF!,#REF!,M13:M35,#REF!,D23:D28,#REF!,#REF!,#REF!,#REF!,P13:P14,S23:S28,M33,M15:M20,#REF!,J15:J20,G15:G20,#REF!,A23:A28,D31:D36,#REF!,J24:J28,P13:P14,#REF!,#REF!,G21:G44,J39:J44,M29:M38)</f>
        <v>80</v>
      </c>
    </row>
    <row r="7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</row>
    <row r="8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</row>
    <row r="9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19" t="s">
        <v>13</v>
      </c>
      <c r="T9" s="13"/>
      <c r="U9" s="14"/>
    </row>
    <row r="10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W10" s="103" t="s">
        <v>84</v>
      </c>
    </row>
    <row r="11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</row>
    <row r="12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</row>
    <row r="13" ht="20.25" customHeight="1">
      <c r="A13" s="104" t="s">
        <v>6</v>
      </c>
      <c r="B13" s="13"/>
      <c r="C13" s="14"/>
      <c r="D13" s="104" t="s">
        <v>7</v>
      </c>
      <c r="E13" s="13"/>
      <c r="F13" s="14"/>
      <c r="G13" s="104" t="s">
        <v>8</v>
      </c>
      <c r="H13" s="13"/>
      <c r="I13" s="14"/>
      <c r="J13" s="104" t="s">
        <v>9</v>
      </c>
      <c r="K13" s="13"/>
      <c r="L13" s="14"/>
      <c r="M13" s="104" t="s">
        <v>85</v>
      </c>
      <c r="N13" s="13"/>
      <c r="O13" s="14"/>
      <c r="P13" s="104" t="s">
        <v>86</v>
      </c>
      <c r="Q13" s="13"/>
      <c r="R13" s="14"/>
      <c r="S13" s="105" t="s">
        <v>12</v>
      </c>
      <c r="T13" s="13"/>
      <c r="U13" s="14"/>
    </row>
    <row r="14">
      <c r="A14" s="106">
        <f>S6+1</f>
        <v>46083</v>
      </c>
      <c r="B14" s="13"/>
      <c r="C14" s="14"/>
      <c r="D14" s="106">
        <f>A14+1</f>
        <v>46084</v>
      </c>
      <c r="E14" s="13"/>
      <c r="F14" s="14"/>
      <c r="G14" s="106">
        <f>D14+1</f>
        <v>46085</v>
      </c>
      <c r="H14" s="13"/>
      <c r="I14" s="14"/>
      <c r="J14" s="106">
        <f>G14+1</f>
        <v>46086</v>
      </c>
      <c r="K14" s="13"/>
      <c r="L14" s="14"/>
      <c r="M14" s="107">
        <f>J14+1</f>
        <v>46087</v>
      </c>
      <c r="N14" s="13"/>
      <c r="O14" s="14"/>
      <c r="P14" s="106">
        <f>M14+1</f>
        <v>46088</v>
      </c>
      <c r="Q14" s="13"/>
      <c r="R14" s="14"/>
      <c r="S14" s="108">
        <f>P14+1</f>
        <v>46089</v>
      </c>
      <c r="T14" s="13"/>
      <c r="U14" s="14"/>
      <c r="W14" s="59" t="s">
        <v>14</v>
      </c>
      <c r="X14" s="59" t="s">
        <v>15</v>
      </c>
      <c r="Y14" s="59" t="s">
        <v>16</v>
      </c>
    </row>
    <row r="15">
      <c r="A15" s="109" t="s">
        <v>87</v>
      </c>
      <c r="B15" s="109" t="s">
        <v>88</v>
      </c>
      <c r="C15" s="109" t="s">
        <v>24</v>
      </c>
      <c r="D15" s="110" t="s">
        <v>89</v>
      </c>
      <c r="E15" s="110" t="s">
        <v>33</v>
      </c>
      <c r="F15" s="110" t="s">
        <v>42</v>
      </c>
      <c r="G15" s="111" t="s">
        <v>90</v>
      </c>
      <c r="H15" s="111" t="s">
        <v>57</v>
      </c>
      <c r="I15" s="111" t="s">
        <v>42</v>
      </c>
      <c r="J15" s="112"/>
      <c r="K15" s="112"/>
      <c r="L15" s="112"/>
      <c r="M15" s="113"/>
      <c r="N15" s="113"/>
      <c r="O15" s="113"/>
      <c r="P15" s="112" t="s">
        <v>91</v>
      </c>
      <c r="Q15" s="112" t="s">
        <v>60</v>
      </c>
      <c r="R15" s="112" t="s">
        <v>27</v>
      </c>
      <c r="S15" s="114"/>
      <c r="T15" s="115"/>
      <c r="U15" s="115"/>
      <c r="W15" s="116">
        <v>1.0</v>
      </c>
      <c r="X15" s="117" t="s">
        <v>92</v>
      </c>
      <c r="Y15" s="116">
        <f t="shared" ref="Y15:Y47" si="1">COUNTIF($A$5:$U$52,X15)</f>
        <v>4</v>
      </c>
    </row>
    <row r="16">
      <c r="A16" s="109" t="s">
        <v>92</v>
      </c>
      <c r="B16" s="109" t="s">
        <v>93</v>
      </c>
      <c r="C16" s="109" t="s">
        <v>24</v>
      </c>
      <c r="D16" s="118"/>
      <c r="E16" s="118"/>
      <c r="F16" s="118"/>
      <c r="G16" s="111" t="s">
        <v>94</v>
      </c>
      <c r="H16" s="119" t="s">
        <v>95</v>
      </c>
      <c r="I16" s="111" t="s">
        <v>42</v>
      </c>
      <c r="J16" s="112"/>
      <c r="K16" s="112"/>
      <c r="L16" s="112"/>
      <c r="M16" s="120"/>
      <c r="N16" s="120"/>
      <c r="O16" s="120"/>
      <c r="P16" s="121" t="s">
        <v>96</v>
      </c>
      <c r="Q16" s="122" t="s">
        <v>64</v>
      </c>
      <c r="R16" s="121" t="s">
        <v>42</v>
      </c>
      <c r="S16" s="114"/>
      <c r="T16" s="115"/>
      <c r="U16" s="115"/>
      <c r="W16" s="116">
        <v>2.0</v>
      </c>
      <c r="X16" s="117" t="s">
        <v>87</v>
      </c>
      <c r="Y16" s="116">
        <f t="shared" si="1"/>
        <v>4</v>
      </c>
    </row>
    <row r="17">
      <c r="A17" s="120" t="s">
        <v>97</v>
      </c>
      <c r="B17" s="120" t="s">
        <v>29</v>
      </c>
      <c r="C17" s="120" t="s">
        <v>42</v>
      </c>
      <c r="D17" s="47" t="s">
        <v>98</v>
      </c>
      <c r="E17" s="47" t="s">
        <v>35</v>
      </c>
      <c r="F17" s="120" t="s">
        <v>42</v>
      </c>
      <c r="G17" s="41"/>
      <c r="H17" s="35"/>
      <c r="I17" s="41"/>
      <c r="J17" s="24" t="s">
        <v>99</v>
      </c>
      <c r="K17" s="112" t="s">
        <v>64</v>
      </c>
      <c r="L17" s="123" t="s">
        <v>42</v>
      </c>
      <c r="M17" s="24" t="s">
        <v>100</v>
      </c>
      <c r="N17" s="24" t="s">
        <v>59</v>
      </c>
      <c r="O17" s="24" t="s">
        <v>42</v>
      </c>
      <c r="P17" s="114"/>
      <c r="Q17" s="115"/>
      <c r="R17" s="115"/>
      <c r="S17" s="19" t="s">
        <v>13</v>
      </c>
      <c r="T17" s="13"/>
      <c r="U17" s="14"/>
      <c r="W17" s="116">
        <v>3.0</v>
      </c>
      <c r="X17" s="117" t="s">
        <v>101</v>
      </c>
      <c r="Y17" s="116">
        <f t="shared" si="1"/>
        <v>2</v>
      </c>
    </row>
    <row r="18">
      <c r="A18" s="124"/>
      <c r="B18" s="124"/>
      <c r="C18" s="124"/>
      <c r="G18" s="47" t="s">
        <v>102</v>
      </c>
      <c r="H18" s="40" t="s">
        <v>103</v>
      </c>
      <c r="I18" s="47" t="s">
        <v>42</v>
      </c>
      <c r="J18" s="24" t="s">
        <v>104</v>
      </c>
      <c r="K18" s="47" t="s">
        <v>105</v>
      </c>
      <c r="L18" s="47" t="s">
        <v>42</v>
      </c>
      <c r="M18" s="112" t="s">
        <v>106</v>
      </c>
      <c r="N18" s="125" t="s">
        <v>103</v>
      </c>
      <c r="O18" s="125" t="s">
        <v>24</v>
      </c>
      <c r="P18" s="114"/>
      <c r="Q18" s="115"/>
      <c r="R18" s="115"/>
      <c r="S18" s="114"/>
      <c r="T18" s="115"/>
      <c r="U18" s="115"/>
      <c r="W18" s="116">
        <v>4.0</v>
      </c>
      <c r="X18" s="126" t="s">
        <v>107</v>
      </c>
      <c r="Y18" s="116">
        <f t="shared" si="1"/>
        <v>3</v>
      </c>
    </row>
    <row r="19">
      <c r="A19" s="127"/>
      <c r="B19" s="127"/>
      <c r="C19" s="127"/>
      <c r="D19" s="128" t="s">
        <v>108</v>
      </c>
      <c r="E19" s="128"/>
      <c r="F19" s="128" t="s">
        <v>24</v>
      </c>
      <c r="G19" s="110" t="s">
        <v>109</v>
      </c>
      <c r="H19" s="110" t="s">
        <v>110</v>
      </c>
      <c r="I19" s="110" t="s">
        <v>27</v>
      </c>
      <c r="J19" s="44" t="s">
        <v>39</v>
      </c>
      <c r="K19" s="44" t="s">
        <v>40</v>
      </c>
      <c r="L19" s="45"/>
      <c r="M19" s="129" t="s">
        <v>108</v>
      </c>
      <c r="N19" s="129" t="s">
        <v>111</v>
      </c>
      <c r="O19" s="129" t="s">
        <v>24</v>
      </c>
      <c r="P19" s="130" t="s">
        <v>112</v>
      </c>
      <c r="Q19" s="130" t="s">
        <v>113</v>
      </c>
      <c r="R19" s="49" t="s">
        <v>48</v>
      </c>
      <c r="S19" s="114"/>
      <c r="T19" s="115"/>
      <c r="U19" s="115"/>
      <c r="W19" s="116">
        <v>5.0</v>
      </c>
      <c r="X19" s="126" t="s">
        <v>102</v>
      </c>
      <c r="Y19" s="116">
        <f t="shared" si="1"/>
        <v>3</v>
      </c>
      <c r="Z19" s="102" t="s">
        <v>114</v>
      </c>
    </row>
    <row r="20">
      <c r="A20" s="114"/>
      <c r="B20" s="115"/>
      <c r="C20" s="115"/>
      <c r="D20" s="114"/>
      <c r="E20" s="115"/>
      <c r="F20" s="115"/>
      <c r="G20" s="41"/>
      <c r="H20" s="35"/>
      <c r="I20" s="41"/>
      <c r="J20" s="110" t="s">
        <v>115</v>
      </c>
      <c r="K20" s="110" t="s">
        <v>116</v>
      </c>
      <c r="L20" s="110" t="s">
        <v>27</v>
      </c>
      <c r="M20" s="131"/>
      <c r="N20" s="131"/>
      <c r="O20" s="131"/>
      <c r="P20" s="132"/>
      <c r="Q20" s="130"/>
      <c r="R20" s="49" t="s">
        <v>117</v>
      </c>
      <c r="S20" s="114"/>
      <c r="T20" s="115"/>
      <c r="U20" s="115"/>
      <c r="W20" s="116">
        <v>7.0</v>
      </c>
      <c r="X20" s="126" t="s">
        <v>96</v>
      </c>
      <c r="Y20" s="116">
        <f t="shared" si="1"/>
        <v>4</v>
      </c>
    </row>
    <row r="21" ht="21.75" customHeight="1">
      <c r="A21" s="133" t="s">
        <v>118</v>
      </c>
      <c r="B21" s="13"/>
      <c r="C21" s="14"/>
      <c r="D21" s="133" t="s">
        <v>7</v>
      </c>
      <c r="E21" s="13"/>
      <c r="F21" s="14"/>
      <c r="G21" s="133" t="s">
        <v>119</v>
      </c>
      <c r="H21" s="13"/>
      <c r="I21" s="14"/>
      <c r="J21" s="133" t="s">
        <v>9</v>
      </c>
      <c r="K21" s="13"/>
      <c r="L21" s="14"/>
      <c r="M21" s="133" t="s">
        <v>10</v>
      </c>
      <c r="N21" s="13"/>
      <c r="O21" s="14"/>
      <c r="P21" s="133" t="s">
        <v>86</v>
      </c>
      <c r="Q21" s="13"/>
      <c r="R21" s="14"/>
      <c r="S21" s="134" t="s">
        <v>120</v>
      </c>
      <c r="T21" s="13"/>
      <c r="U21" s="14"/>
      <c r="W21" s="116">
        <v>21.0</v>
      </c>
      <c r="X21" s="135" t="s">
        <v>121</v>
      </c>
      <c r="Y21" s="116">
        <f t="shared" si="1"/>
        <v>2</v>
      </c>
    </row>
    <row r="22" ht="15.75" customHeight="1">
      <c r="A22" s="136">
        <f>S14+1</f>
        <v>46090</v>
      </c>
      <c r="B22" s="13"/>
      <c r="C22" s="14"/>
      <c r="D22" s="136">
        <f>A22+1</f>
        <v>46091</v>
      </c>
      <c r="E22" s="13"/>
      <c r="F22" s="14"/>
      <c r="G22" s="136">
        <f>D22+1</f>
        <v>46092</v>
      </c>
      <c r="H22" s="13"/>
      <c r="I22" s="14"/>
      <c r="J22" s="136">
        <f>G22+1</f>
        <v>46093</v>
      </c>
      <c r="K22" s="13"/>
      <c r="L22" s="14"/>
      <c r="M22" s="136">
        <f>J22+1</f>
        <v>46094</v>
      </c>
      <c r="N22" s="13"/>
      <c r="O22" s="14"/>
      <c r="P22" s="136">
        <f>M22+1</f>
        <v>46095</v>
      </c>
      <c r="Q22" s="13"/>
      <c r="R22" s="14"/>
      <c r="S22" s="137">
        <f>P22+1</f>
        <v>46096</v>
      </c>
      <c r="T22" s="13"/>
      <c r="U22" s="14"/>
      <c r="W22" s="116">
        <v>8.0</v>
      </c>
      <c r="X22" s="126" t="s">
        <v>94</v>
      </c>
      <c r="Y22" s="116">
        <f t="shared" si="1"/>
        <v>2</v>
      </c>
    </row>
    <row r="23" ht="15.75" customHeight="1">
      <c r="A23" s="40" t="s">
        <v>87</v>
      </c>
      <c r="B23" s="40" t="s">
        <v>88</v>
      </c>
      <c r="C23" s="40" t="s">
        <v>24</v>
      </c>
      <c r="D23" s="138"/>
      <c r="E23" s="138"/>
      <c r="F23" s="113"/>
      <c r="G23" s="139" t="s">
        <v>122</v>
      </c>
      <c r="H23" s="139" t="s">
        <v>57</v>
      </c>
      <c r="I23" s="139" t="s">
        <v>27</v>
      </c>
      <c r="J23" s="140"/>
      <c r="K23" s="140"/>
      <c r="L23" s="140"/>
      <c r="M23" s="141"/>
      <c r="N23" s="141"/>
      <c r="O23" s="131"/>
      <c r="P23" s="121" t="s">
        <v>96</v>
      </c>
      <c r="Q23" s="122" t="s">
        <v>64</v>
      </c>
      <c r="R23" s="121" t="s">
        <v>42</v>
      </c>
      <c r="S23" s="141"/>
      <c r="T23" s="141"/>
      <c r="U23" s="141"/>
      <c r="W23" s="116">
        <v>9.0</v>
      </c>
      <c r="X23" s="126" t="s">
        <v>90</v>
      </c>
      <c r="Y23" s="116">
        <f t="shared" si="1"/>
        <v>2</v>
      </c>
    </row>
    <row r="24" ht="15.75" customHeight="1">
      <c r="A24" s="40" t="s">
        <v>92</v>
      </c>
      <c r="B24" s="40" t="s">
        <v>93</v>
      </c>
      <c r="C24" s="40" t="s">
        <v>24</v>
      </c>
      <c r="D24" s="40" t="s">
        <v>107</v>
      </c>
      <c r="E24" s="120" t="s">
        <v>75</v>
      </c>
      <c r="F24" s="120" t="s">
        <v>42</v>
      </c>
      <c r="G24" s="142" t="s">
        <v>121</v>
      </c>
      <c r="H24" s="121" t="s">
        <v>35</v>
      </c>
      <c r="I24" s="121" t="s">
        <v>42</v>
      </c>
      <c r="J24" s="120" t="s">
        <v>123</v>
      </c>
      <c r="K24" s="120" t="s">
        <v>124</v>
      </c>
      <c r="L24" s="40" t="s">
        <v>42</v>
      </c>
      <c r="M24" s="141"/>
      <c r="N24" s="141"/>
      <c r="O24" s="131"/>
      <c r="P24" s="120" t="s">
        <v>125</v>
      </c>
      <c r="Q24" s="40"/>
      <c r="R24" s="40" t="s">
        <v>27</v>
      </c>
      <c r="S24" s="131"/>
      <c r="T24" s="131"/>
      <c r="U24" s="131"/>
      <c r="W24" s="116">
        <v>10.0</v>
      </c>
      <c r="X24" s="117" t="s">
        <v>126</v>
      </c>
      <c r="Y24" s="116">
        <f t="shared" si="1"/>
        <v>2</v>
      </c>
    </row>
    <row r="25">
      <c r="A25" s="118"/>
      <c r="B25" s="118"/>
      <c r="C25" s="118"/>
      <c r="D25" s="118"/>
      <c r="E25" s="118"/>
      <c r="F25" s="118"/>
      <c r="G25" s="35"/>
      <c r="H25" s="35"/>
      <c r="I25" s="35"/>
      <c r="J25" s="120" t="s">
        <v>127</v>
      </c>
      <c r="K25" s="120" t="s">
        <v>73</v>
      </c>
      <c r="L25" s="120" t="s">
        <v>24</v>
      </c>
      <c r="M25" s="122" t="s">
        <v>100</v>
      </c>
      <c r="N25" s="122" t="s">
        <v>59</v>
      </c>
      <c r="O25" s="122" t="s">
        <v>42</v>
      </c>
      <c r="P25" s="120"/>
      <c r="Q25" s="40"/>
      <c r="R25" s="143" t="s">
        <v>48</v>
      </c>
      <c r="S25" s="144" t="s">
        <v>13</v>
      </c>
      <c r="T25" s="13"/>
      <c r="U25" s="14"/>
      <c r="W25" s="116">
        <v>31.0</v>
      </c>
      <c r="X25" s="126" t="s">
        <v>115</v>
      </c>
      <c r="Y25" s="116">
        <f t="shared" si="1"/>
        <v>2</v>
      </c>
    </row>
    <row r="26">
      <c r="A26" s="40" t="s">
        <v>128</v>
      </c>
      <c r="B26" s="40" t="s">
        <v>111</v>
      </c>
      <c r="C26" s="40" t="s">
        <v>24</v>
      </c>
      <c r="D26" s="109" t="s">
        <v>129</v>
      </c>
      <c r="E26" s="109" t="s">
        <v>66</v>
      </c>
      <c r="F26" s="109" t="s">
        <v>27</v>
      </c>
      <c r="G26" s="120" t="s">
        <v>130</v>
      </c>
      <c r="H26" s="120" t="s">
        <v>131</v>
      </c>
      <c r="I26" s="120" t="s">
        <v>24</v>
      </c>
      <c r="J26" s="109" t="s">
        <v>126</v>
      </c>
      <c r="K26" s="109" t="s">
        <v>132</v>
      </c>
      <c r="L26" s="109" t="s">
        <v>24</v>
      </c>
      <c r="M26" s="120"/>
      <c r="N26" s="120"/>
      <c r="O26" s="120"/>
      <c r="P26" s="120"/>
      <c r="Q26" s="40"/>
      <c r="R26" s="120"/>
      <c r="S26" s="141"/>
      <c r="T26" s="141"/>
      <c r="U26" s="141"/>
      <c r="W26" s="116">
        <v>28.0</v>
      </c>
      <c r="X26" s="145" t="s">
        <v>100</v>
      </c>
      <c r="Y26" s="116">
        <f t="shared" si="1"/>
        <v>4</v>
      </c>
    </row>
    <row r="27" ht="15.75" customHeight="1">
      <c r="A27" s="118"/>
      <c r="B27" s="118"/>
      <c r="C27" s="118"/>
      <c r="D27" s="146"/>
      <c r="E27" s="146"/>
      <c r="F27" s="146"/>
      <c r="G27" s="109" t="s">
        <v>101</v>
      </c>
      <c r="H27" s="147" t="s">
        <v>133</v>
      </c>
      <c r="I27" s="109" t="s">
        <v>27</v>
      </c>
      <c r="J27" s="138"/>
      <c r="K27" s="113"/>
      <c r="L27" s="138"/>
      <c r="M27" s="148" t="s">
        <v>134</v>
      </c>
      <c r="N27" s="148" t="s">
        <v>111</v>
      </c>
      <c r="O27" s="148" t="s">
        <v>24</v>
      </c>
      <c r="P27" s="149"/>
      <c r="Q27" s="82"/>
      <c r="R27" s="24"/>
      <c r="S27" s="141"/>
      <c r="T27" s="141"/>
      <c r="U27" s="141"/>
      <c r="W27" s="150">
        <v>6.0</v>
      </c>
      <c r="X27" s="151" t="s">
        <v>91</v>
      </c>
      <c r="Y27" s="150">
        <f t="shared" si="1"/>
        <v>3</v>
      </c>
    </row>
    <row r="28" ht="15.75" customHeight="1">
      <c r="A28" s="141"/>
      <c r="B28" s="141"/>
      <c r="C28" s="141"/>
      <c r="D28" s="141"/>
      <c r="E28" s="141"/>
      <c r="F28" s="141"/>
      <c r="G28" s="146"/>
      <c r="H28" s="146"/>
      <c r="I28" s="152"/>
      <c r="J28" s="149"/>
      <c r="K28" s="149"/>
      <c r="L28" s="149"/>
      <c r="M28" s="153"/>
      <c r="N28" s="154"/>
      <c r="O28" s="155"/>
      <c r="P28" s="156"/>
      <c r="Q28" s="82"/>
      <c r="R28" s="141"/>
      <c r="S28" s="131"/>
      <c r="T28" s="131"/>
      <c r="U28" s="131"/>
      <c r="W28" s="116">
        <v>11.0</v>
      </c>
      <c r="X28" s="126" t="s">
        <v>104</v>
      </c>
      <c r="Y28" s="116">
        <f t="shared" si="1"/>
        <v>2</v>
      </c>
    </row>
    <row r="29" ht="20.25" customHeight="1">
      <c r="A29" s="104" t="s">
        <v>118</v>
      </c>
      <c r="B29" s="13"/>
      <c r="C29" s="14"/>
      <c r="D29" s="104" t="s">
        <v>7</v>
      </c>
      <c r="E29" s="13"/>
      <c r="F29" s="14"/>
      <c r="G29" s="104" t="s">
        <v>119</v>
      </c>
      <c r="H29" s="13"/>
      <c r="I29" s="14"/>
      <c r="J29" s="157" t="s">
        <v>9</v>
      </c>
      <c r="K29" s="13"/>
      <c r="L29" s="14"/>
      <c r="M29" s="104" t="s">
        <v>10</v>
      </c>
      <c r="N29" s="13"/>
      <c r="O29" s="14"/>
      <c r="P29" s="157" t="s">
        <v>86</v>
      </c>
      <c r="Q29" s="13"/>
      <c r="R29" s="14"/>
      <c r="S29" s="105" t="s">
        <v>120</v>
      </c>
      <c r="T29" s="13"/>
      <c r="U29" s="14"/>
      <c r="W29" s="116">
        <v>12.0</v>
      </c>
      <c r="X29" s="126" t="s">
        <v>129</v>
      </c>
      <c r="Y29" s="116">
        <f t="shared" si="1"/>
        <v>2</v>
      </c>
    </row>
    <row r="30" ht="15.75" customHeight="1">
      <c r="A30" s="107">
        <f>S22+1</f>
        <v>46097</v>
      </c>
      <c r="B30" s="13"/>
      <c r="C30" s="14"/>
      <c r="D30" s="107">
        <f>A30+1</f>
        <v>46098</v>
      </c>
      <c r="E30" s="13"/>
      <c r="F30" s="14"/>
      <c r="G30" s="106">
        <f>D30+1</f>
        <v>46099</v>
      </c>
      <c r="H30" s="13"/>
      <c r="I30" s="14"/>
      <c r="J30" s="108">
        <f>G30+1</f>
        <v>46100</v>
      </c>
      <c r="K30" s="13"/>
      <c r="L30" s="14"/>
      <c r="M30" s="107">
        <f>J30+1</f>
        <v>46101</v>
      </c>
      <c r="N30" s="13"/>
      <c r="O30" s="14"/>
      <c r="P30" s="108">
        <f>M30+1</f>
        <v>46102</v>
      </c>
      <c r="Q30" s="13"/>
      <c r="R30" s="14"/>
      <c r="S30" s="108">
        <f>P30+1</f>
        <v>46103</v>
      </c>
      <c r="T30" s="13"/>
      <c r="U30" s="14"/>
      <c r="W30" s="116">
        <v>13.0</v>
      </c>
      <c r="X30" s="126" t="s">
        <v>135</v>
      </c>
      <c r="Y30" s="116">
        <f t="shared" si="1"/>
        <v>0</v>
      </c>
    </row>
    <row r="31" ht="15.75" customHeight="1">
      <c r="A31" s="40" t="s">
        <v>87</v>
      </c>
      <c r="B31" s="40" t="s">
        <v>88</v>
      </c>
      <c r="C31" s="40" t="s">
        <v>24</v>
      </c>
      <c r="D31" s="120"/>
      <c r="E31" s="120"/>
      <c r="F31" s="120"/>
      <c r="G31" s="120" t="s">
        <v>89</v>
      </c>
      <c r="H31" s="120" t="s">
        <v>33</v>
      </c>
      <c r="I31" s="120" t="s">
        <v>42</v>
      </c>
      <c r="J31" s="112"/>
      <c r="K31" s="112"/>
      <c r="L31" s="112"/>
      <c r="M31" s="112"/>
      <c r="N31" s="112"/>
      <c r="O31" s="112"/>
      <c r="P31" s="113"/>
      <c r="Q31" s="113"/>
      <c r="R31" s="113"/>
      <c r="S31" s="114"/>
      <c r="T31" s="115"/>
      <c r="U31" s="115"/>
      <c r="W31" s="116">
        <v>14.0</v>
      </c>
      <c r="X31" s="117" t="s">
        <v>125</v>
      </c>
      <c r="Y31" s="116">
        <f t="shared" si="1"/>
        <v>1</v>
      </c>
    </row>
    <row r="32" ht="15.75" customHeight="1">
      <c r="A32" s="40" t="s">
        <v>92</v>
      </c>
      <c r="B32" s="40" t="s">
        <v>93</v>
      </c>
      <c r="C32" s="40" t="s">
        <v>24</v>
      </c>
      <c r="D32" s="49" t="s">
        <v>100</v>
      </c>
      <c r="E32" s="49" t="s">
        <v>59</v>
      </c>
      <c r="F32" s="49" t="s">
        <v>42</v>
      </c>
      <c r="G32" s="120" t="s">
        <v>90</v>
      </c>
      <c r="H32" s="120" t="s">
        <v>57</v>
      </c>
      <c r="I32" s="120" t="s">
        <v>42</v>
      </c>
      <c r="J32" s="112"/>
      <c r="K32" s="112"/>
      <c r="L32" s="112"/>
      <c r="M32" s="120"/>
      <c r="N32" s="120"/>
      <c r="O32" s="120"/>
      <c r="P32" s="51"/>
      <c r="Q32" s="51"/>
      <c r="R32" s="51"/>
      <c r="S32" s="114"/>
      <c r="T32" s="115"/>
      <c r="U32" s="115"/>
      <c r="W32" s="116">
        <v>15.0</v>
      </c>
      <c r="X32" s="126" t="s">
        <v>123</v>
      </c>
      <c r="Y32" s="116">
        <f t="shared" si="1"/>
        <v>2</v>
      </c>
    </row>
    <row r="33" ht="15.75" customHeight="1">
      <c r="A33" s="120" t="s">
        <v>97</v>
      </c>
      <c r="B33" s="120" t="s">
        <v>29</v>
      </c>
      <c r="C33" s="120" t="s">
        <v>42</v>
      </c>
      <c r="D33" s="24" t="s">
        <v>98</v>
      </c>
      <c r="E33" s="24" t="s">
        <v>35</v>
      </c>
      <c r="F33" s="120" t="s">
        <v>42</v>
      </c>
      <c r="G33" s="132" t="s">
        <v>94</v>
      </c>
      <c r="H33" s="49" t="s">
        <v>95</v>
      </c>
      <c r="I33" s="132" t="s">
        <v>42</v>
      </c>
      <c r="J33" s="19" t="s">
        <v>13</v>
      </c>
      <c r="K33" s="13"/>
      <c r="L33" s="14"/>
      <c r="M33" s="61" t="s">
        <v>69</v>
      </c>
      <c r="N33" s="13"/>
      <c r="O33" s="14"/>
      <c r="P33" s="19" t="s">
        <v>13</v>
      </c>
      <c r="Q33" s="13"/>
      <c r="R33" s="14"/>
      <c r="S33" s="19" t="s">
        <v>13</v>
      </c>
      <c r="T33" s="13"/>
      <c r="U33" s="14"/>
      <c r="W33" s="116">
        <v>16.0</v>
      </c>
      <c r="X33" s="126" t="s">
        <v>97</v>
      </c>
      <c r="Y33" s="116">
        <f t="shared" si="1"/>
        <v>2</v>
      </c>
    </row>
    <row r="34" ht="15.75" customHeight="1">
      <c r="A34" s="120" t="s">
        <v>115</v>
      </c>
      <c r="B34" s="120" t="s">
        <v>116</v>
      </c>
      <c r="C34" s="120" t="s">
        <v>27</v>
      </c>
      <c r="D34" s="128" t="s">
        <v>108</v>
      </c>
      <c r="E34" s="128" t="s">
        <v>111</v>
      </c>
      <c r="F34" s="128" t="s">
        <v>24</v>
      </c>
      <c r="G34" s="24" t="s">
        <v>102</v>
      </c>
      <c r="H34" s="40"/>
      <c r="I34" s="24" t="s">
        <v>42</v>
      </c>
      <c r="J34" s="40"/>
      <c r="K34" s="40"/>
      <c r="L34" s="40"/>
      <c r="M34" s="120"/>
      <c r="N34" s="120"/>
      <c r="O34" s="120"/>
      <c r="P34" s="40"/>
      <c r="Q34" s="40"/>
      <c r="R34" s="120"/>
      <c r="S34" s="114"/>
      <c r="T34" s="115"/>
      <c r="U34" s="115"/>
      <c r="W34" s="116">
        <v>17.0</v>
      </c>
      <c r="X34" s="117" t="s">
        <v>99</v>
      </c>
      <c r="Y34" s="116">
        <f t="shared" si="1"/>
        <v>2</v>
      </c>
    </row>
    <row r="35" ht="15.75" customHeight="1">
      <c r="A35" s="149"/>
      <c r="B35" s="149"/>
      <c r="C35" s="149"/>
      <c r="D35" s="149"/>
      <c r="E35" s="149"/>
      <c r="F35" s="149"/>
      <c r="G35" s="120" t="s">
        <v>109</v>
      </c>
      <c r="H35" s="120" t="s">
        <v>110</v>
      </c>
      <c r="I35" s="120" t="s">
        <v>27</v>
      </c>
      <c r="J35" s="40"/>
      <c r="K35" s="40"/>
      <c r="L35" s="120"/>
      <c r="M35" s="120"/>
      <c r="N35" s="120"/>
      <c r="O35" s="120"/>
      <c r="P35" s="120"/>
      <c r="Q35" s="40"/>
      <c r="R35" s="40"/>
      <c r="S35" s="114"/>
      <c r="T35" s="115"/>
      <c r="U35" s="115"/>
      <c r="W35" s="116">
        <v>27.0</v>
      </c>
      <c r="X35" s="126" t="s">
        <v>130</v>
      </c>
      <c r="Y35" s="116">
        <f t="shared" si="1"/>
        <v>3</v>
      </c>
    </row>
    <row r="36" ht="15.75" customHeight="1">
      <c r="A36" s="149"/>
      <c r="B36" s="149"/>
      <c r="C36" s="149"/>
      <c r="D36" s="149"/>
      <c r="E36" s="149"/>
      <c r="F36" s="149"/>
      <c r="G36" s="131"/>
      <c r="H36" s="131"/>
      <c r="I36" s="158"/>
      <c r="J36" s="149"/>
      <c r="K36" s="149"/>
      <c r="L36" s="149"/>
      <c r="M36" s="114"/>
      <c r="N36" s="115"/>
      <c r="O36" s="115"/>
      <c r="P36" s="159"/>
      <c r="Q36" s="160"/>
      <c r="R36" s="113"/>
      <c r="S36" s="114"/>
      <c r="T36" s="115"/>
      <c r="U36" s="115"/>
      <c r="W36" s="116">
        <v>26.0</v>
      </c>
      <c r="X36" s="126" t="s">
        <v>98</v>
      </c>
      <c r="Y36" s="161">
        <f t="shared" si="1"/>
        <v>2</v>
      </c>
    </row>
    <row r="37" ht="21.0" customHeight="1">
      <c r="A37" s="133" t="s">
        <v>118</v>
      </c>
      <c r="B37" s="13"/>
      <c r="C37" s="14"/>
      <c r="D37" s="133" t="s">
        <v>7</v>
      </c>
      <c r="E37" s="13"/>
      <c r="F37" s="14"/>
      <c r="G37" s="133" t="s">
        <v>119</v>
      </c>
      <c r="H37" s="13"/>
      <c r="I37" s="14"/>
      <c r="J37" s="133" t="s">
        <v>9</v>
      </c>
      <c r="K37" s="13"/>
      <c r="L37" s="14"/>
      <c r="M37" s="133" t="s">
        <v>136</v>
      </c>
      <c r="N37" s="13"/>
      <c r="O37" s="14"/>
      <c r="P37" s="133" t="s">
        <v>11</v>
      </c>
      <c r="Q37" s="13"/>
      <c r="R37" s="14"/>
      <c r="S37" s="134" t="s">
        <v>120</v>
      </c>
      <c r="T37" s="13"/>
      <c r="U37" s="14"/>
      <c r="W37" s="116">
        <v>19.0</v>
      </c>
      <c r="X37" s="126" t="s">
        <v>109</v>
      </c>
      <c r="Y37" s="116">
        <f t="shared" si="1"/>
        <v>2</v>
      </c>
    </row>
    <row r="38" ht="15.75" customHeight="1">
      <c r="A38" s="136">
        <f>S30+1</f>
        <v>46104</v>
      </c>
      <c r="B38" s="13"/>
      <c r="C38" s="14"/>
      <c r="D38" s="136">
        <f>A38+1</f>
        <v>46105</v>
      </c>
      <c r="E38" s="13"/>
      <c r="F38" s="14"/>
      <c r="G38" s="136">
        <f>D38+1</f>
        <v>46106</v>
      </c>
      <c r="H38" s="13"/>
      <c r="I38" s="14"/>
      <c r="J38" s="136">
        <f>G38+1</f>
        <v>46107</v>
      </c>
      <c r="K38" s="13"/>
      <c r="L38" s="14"/>
      <c r="M38" s="136">
        <f>J38+1</f>
        <v>46108</v>
      </c>
      <c r="N38" s="13"/>
      <c r="O38" s="14"/>
      <c r="P38" s="136">
        <f>M38+1</f>
        <v>46109</v>
      </c>
      <c r="Q38" s="13"/>
      <c r="R38" s="14"/>
      <c r="S38" s="137">
        <f>P38+1</f>
        <v>46110</v>
      </c>
      <c r="T38" s="13"/>
      <c r="U38" s="14"/>
      <c r="W38" s="116">
        <v>20.0</v>
      </c>
      <c r="X38" s="126" t="s">
        <v>128</v>
      </c>
      <c r="Y38" s="116">
        <f t="shared" si="1"/>
        <v>2</v>
      </c>
    </row>
    <row r="39" ht="15.75" customHeight="1">
      <c r="A39" s="40"/>
      <c r="B39" s="40"/>
      <c r="C39" s="40"/>
      <c r="D39" s="149"/>
      <c r="E39" s="149"/>
      <c r="F39" s="149"/>
      <c r="G39" s="149"/>
      <c r="H39" s="149"/>
      <c r="I39" s="149"/>
      <c r="J39" s="149"/>
      <c r="K39" s="149"/>
      <c r="L39" s="149"/>
      <c r="M39" s="49" t="s">
        <v>100</v>
      </c>
      <c r="N39" s="49" t="s">
        <v>59</v>
      </c>
      <c r="O39" s="49" t="s">
        <v>42</v>
      </c>
      <c r="P39" s="112" t="s">
        <v>91</v>
      </c>
      <c r="Q39" s="112"/>
      <c r="R39" s="112" t="s">
        <v>27</v>
      </c>
      <c r="S39" s="162"/>
      <c r="T39" s="162"/>
      <c r="U39" s="162"/>
      <c r="W39" s="116">
        <v>22.0</v>
      </c>
      <c r="X39" s="151" t="s">
        <v>134</v>
      </c>
      <c r="Y39" s="116">
        <f t="shared" si="1"/>
        <v>2</v>
      </c>
    </row>
    <row r="40" ht="15.75" customHeight="1">
      <c r="A40" s="40"/>
      <c r="B40" s="40"/>
      <c r="C40" s="40"/>
      <c r="D40" s="112" t="s">
        <v>106</v>
      </c>
      <c r="E40" s="112" t="s">
        <v>59</v>
      </c>
      <c r="F40" s="112" t="s">
        <v>24</v>
      </c>
      <c r="G40" s="142" t="s">
        <v>121</v>
      </c>
      <c r="H40" s="147" t="s">
        <v>75</v>
      </c>
      <c r="I40" s="121" t="s">
        <v>42</v>
      </c>
      <c r="J40" s="120"/>
      <c r="K40" s="120"/>
      <c r="L40" s="120"/>
      <c r="M40" s="163"/>
      <c r="N40" s="163"/>
      <c r="O40" s="163"/>
      <c r="P40" s="47" t="s">
        <v>96</v>
      </c>
      <c r="Q40" s="47" t="s">
        <v>59</v>
      </c>
      <c r="R40" s="47" t="s">
        <v>42</v>
      </c>
      <c r="S40" s="162"/>
      <c r="T40" s="162"/>
      <c r="U40" s="162"/>
      <c r="W40" s="116">
        <v>23.0</v>
      </c>
      <c r="X40" s="164" t="s">
        <v>108</v>
      </c>
      <c r="Y40" s="116">
        <f t="shared" si="1"/>
        <v>3</v>
      </c>
    </row>
    <row r="41" ht="15.75" customHeight="1">
      <c r="A41" s="61" t="s">
        <v>69</v>
      </c>
      <c r="B41" s="13"/>
      <c r="C41" s="14"/>
      <c r="D41" s="40" t="s">
        <v>104</v>
      </c>
      <c r="E41" s="40" t="s">
        <v>35</v>
      </c>
      <c r="F41" s="40" t="s">
        <v>42</v>
      </c>
      <c r="G41" s="165" t="s">
        <v>127</v>
      </c>
      <c r="H41" s="165" t="s">
        <v>73</v>
      </c>
      <c r="I41" s="165" t="s">
        <v>24</v>
      </c>
      <c r="J41" s="120" t="s">
        <v>123</v>
      </c>
      <c r="K41" s="166" t="s">
        <v>57</v>
      </c>
      <c r="L41" s="40" t="s">
        <v>42</v>
      </c>
      <c r="M41" s="40" t="s">
        <v>107</v>
      </c>
      <c r="N41" s="166" t="s">
        <v>35</v>
      </c>
      <c r="O41" s="120" t="s">
        <v>42</v>
      </c>
      <c r="P41" s="130" t="s">
        <v>112</v>
      </c>
      <c r="Q41" s="130" t="s">
        <v>95</v>
      </c>
      <c r="R41" s="132" t="s">
        <v>42</v>
      </c>
      <c r="S41" s="19" t="s">
        <v>13</v>
      </c>
      <c r="T41" s="13"/>
      <c r="U41" s="14"/>
      <c r="W41" s="116">
        <v>24.0</v>
      </c>
      <c r="X41" s="126" t="s">
        <v>137</v>
      </c>
      <c r="Y41" s="116">
        <f t="shared" si="1"/>
        <v>0</v>
      </c>
    </row>
    <row r="42" ht="15.75" customHeight="1">
      <c r="A42" s="40"/>
      <c r="B42" s="40"/>
      <c r="C42" s="40"/>
      <c r="D42" s="40" t="s">
        <v>99</v>
      </c>
      <c r="E42" s="40" t="s">
        <v>138</v>
      </c>
      <c r="F42" s="120" t="s">
        <v>24</v>
      </c>
      <c r="G42" s="110" t="s">
        <v>130</v>
      </c>
      <c r="H42" s="110"/>
      <c r="I42" s="110" t="s">
        <v>24</v>
      </c>
      <c r="J42" s="120" t="s">
        <v>127</v>
      </c>
      <c r="K42" s="120"/>
      <c r="L42" s="120" t="s">
        <v>24</v>
      </c>
      <c r="M42" s="167" t="s">
        <v>129</v>
      </c>
      <c r="N42" s="167" t="s">
        <v>66</v>
      </c>
      <c r="O42" s="167" t="s">
        <v>27</v>
      </c>
      <c r="P42" s="148" t="s">
        <v>134</v>
      </c>
      <c r="Q42" s="148" t="s">
        <v>111</v>
      </c>
      <c r="R42" s="148" t="s">
        <v>24</v>
      </c>
      <c r="S42" s="127"/>
      <c r="T42" s="127"/>
      <c r="U42" s="127"/>
      <c r="W42" s="116">
        <v>29.0</v>
      </c>
      <c r="X42" s="168" t="s">
        <v>89</v>
      </c>
      <c r="Y42" s="116">
        <f t="shared" si="1"/>
        <v>2</v>
      </c>
    </row>
    <row r="43" ht="15.75" customHeight="1">
      <c r="A43" s="118"/>
      <c r="B43" s="118"/>
      <c r="C43" s="118"/>
      <c r="D43" s="149"/>
      <c r="E43" s="149"/>
      <c r="F43" s="149"/>
      <c r="G43" s="121" t="s">
        <v>101</v>
      </c>
      <c r="H43" s="147" t="s">
        <v>133</v>
      </c>
      <c r="I43" s="121" t="s">
        <v>27</v>
      </c>
      <c r="J43" s="165" t="s">
        <v>130</v>
      </c>
      <c r="K43" s="165" t="s">
        <v>131</v>
      </c>
      <c r="L43" s="165" t="s">
        <v>24</v>
      </c>
      <c r="M43" s="153"/>
      <c r="N43" s="153"/>
      <c r="O43" s="153"/>
      <c r="P43" s="153"/>
      <c r="Q43" s="153"/>
      <c r="R43" s="153"/>
      <c r="S43" s="146"/>
      <c r="T43" s="146"/>
      <c r="U43" s="146"/>
      <c r="W43" s="116">
        <v>25.0</v>
      </c>
      <c r="X43" s="169" t="s">
        <v>139</v>
      </c>
      <c r="Y43" s="116">
        <f t="shared" si="1"/>
        <v>0</v>
      </c>
    </row>
    <row r="44" ht="15.75" customHeight="1">
      <c r="A44" s="149"/>
      <c r="B44" s="149"/>
      <c r="C44" s="149"/>
      <c r="D44" s="149"/>
      <c r="E44" s="149"/>
      <c r="F44" s="149"/>
      <c r="G44" s="149"/>
      <c r="H44" s="149"/>
      <c r="I44" s="149"/>
      <c r="J44" s="109" t="s">
        <v>126</v>
      </c>
      <c r="K44" s="109" t="s">
        <v>132</v>
      </c>
      <c r="L44" s="109" t="s">
        <v>24</v>
      </c>
      <c r="M44" s="153"/>
      <c r="N44" s="153"/>
      <c r="O44" s="153"/>
      <c r="P44" s="153"/>
      <c r="Q44" s="153"/>
      <c r="R44" s="153"/>
      <c r="S44" s="149"/>
      <c r="T44" s="149"/>
      <c r="U44" s="149"/>
      <c r="W44" s="116">
        <v>18.0</v>
      </c>
      <c r="X44" s="170" t="s">
        <v>127</v>
      </c>
      <c r="Y44" s="116">
        <f t="shared" si="1"/>
        <v>3</v>
      </c>
    </row>
    <row r="45" ht="15.75" customHeight="1">
      <c r="A45" s="104" t="s">
        <v>118</v>
      </c>
      <c r="B45" s="13"/>
      <c r="C45" s="14"/>
      <c r="D45" s="171" t="s">
        <v>7</v>
      </c>
      <c r="E45" s="13"/>
      <c r="F45" s="14"/>
      <c r="G45" s="104" t="s">
        <v>119</v>
      </c>
      <c r="H45" s="13"/>
      <c r="I45" s="14"/>
      <c r="J45" s="171" t="s">
        <v>9</v>
      </c>
      <c r="K45" s="13"/>
      <c r="L45" s="14"/>
      <c r="M45" s="104" t="s">
        <v>10</v>
      </c>
      <c r="N45" s="13"/>
      <c r="O45" s="14"/>
      <c r="P45" s="104" t="s">
        <v>86</v>
      </c>
      <c r="Q45" s="13"/>
      <c r="R45" s="14"/>
      <c r="S45" s="105" t="s">
        <v>120</v>
      </c>
      <c r="T45" s="13"/>
      <c r="U45" s="14"/>
      <c r="W45" s="116">
        <v>30.0</v>
      </c>
      <c r="X45" s="170" t="s">
        <v>89</v>
      </c>
      <c r="Y45" s="116">
        <f t="shared" si="1"/>
        <v>2</v>
      </c>
    </row>
    <row r="46" ht="15.75" customHeight="1">
      <c r="A46" s="107">
        <f>S38+1</f>
        <v>46111</v>
      </c>
      <c r="B46" s="13"/>
      <c r="C46" s="14"/>
      <c r="D46" s="106">
        <f>A46+1</f>
        <v>46112</v>
      </c>
      <c r="E46" s="13"/>
      <c r="F46" s="14"/>
      <c r="G46" s="106">
        <f>D46+1</f>
        <v>46113</v>
      </c>
      <c r="H46" s="13"/>
      <c r="I46" s="14"/>
      <c r="J46" s="106">
        <f>G46+1</f>
        <v>46114</v>
      </c>
      <c r="K46" s="13"/>
      <c r="L46" s="14"/>
      <c r="M46" s="106">
        <f>J46+1</f>
        <v>46115</v>
      </c>
      <c r="N46" s="13"/>
      <c r="O46" s="14"/>
      <c r="P46" s="107">
        <f>M46+1</f>
        <v>46116</v>
      </c>
      <c r="Q46" s="13"/>
      <c r="R46" s="14"/>
      <c r="S46" s="108">
        <f>P46+1</f>
        <v>46117</v>
      </c>
      <c r="T46" s="13"/>
      <c r="U46" s="14"/>
      <c r="W46" s="116">
        <v>32.0</v>
      </c>
      <c r="X46" s="172" t="s">
        <v>134</v>
      </c>
      <c r="Y46" s="116">
        <f t="shared" si="1"/>
        <v>2</v>
      </c>
    </row>
    <row r="47" ht="15.75" customHeight="1">
      <c r="A47" s="40" t="s">
        <v>87</v>
      </c>
      <c r="B47" s="40" t="s">
        <v>88</v>
      </c>
      <c r="C47" s="40" t="s">
        <v>24</v>
      </c>
      <c r="D47" s="173" t="s">
        <v>91</v>
      </c>
      <c r="E47" s="173" t="s">
        <v>60</v>
      </c>
      <c r="F47" s="173" t="s">
        <v>27</v>
      </c>
      <c r="G47" s="141"/>
      <c r="H47" s="141"/>
      <c r="I47" s="141"/>
      <c r="J47" s="113"/>
      <c r="K47" s="113"/>
      <c r="L47" s="113"/>
      <c r="M47" s="141"/>
      <c r="N47" s="141"/>
      <c r="O47" s="141"/>
      <c r="P47" s="141"/>
      <c r="Q47" s="141"/>
      <c r="R47" s="141"/>
      <c r="S47" s="174"/>
      <c r="T47" s="174"/>
      <c r="U47" s="174"/>
      <c r="W47" s="116">
        <v>33.0</v>
      </c>
      <c r="X47" s="142" t="s">
        <v>121</v>
      </c>
      <c r="Y47" s="116">
        <f t="shared" si="1"/>
        <v>2</v>
      </c>
    </row>
    <row r="48" ht="15.75" customHeight="1">
      <c r="A48" s="40" t="s">
        <v>92</v>
      </c>
      <c r="B48" s="40" t="s">
        <v>93</v>
      </c>
      <c r="C48" s="40" t="s">
        <v>24</v>
      </c>
      <c r="D48" s="47" t="s">
        <v>96</v>
      </c>
      <c r="E48" s="175" t="s">
        <v>59</v>
      </c>
      <c r="F48" s="47" t="s">
        <v>42</v>
      </c>
      <c r="G48" s="131"/>
      <c r="H48" s="131"/>
      <c r="I48" s="141"/>
      <c r="J48" s="51"/>
      <c r="K48" s="51"/>
      <c r="L48" s="51"/>
      <c r="M48" s="141"/>
      <c r="N48" s="141"/>
      <c r="O48" s="141"/>
      <c r="P48" s="131"/>
      <c r="Q48" s="131"/>
      <c r="R48" s="141"/>
      <c r="S48" s="176"/>
      <c r="T48" s="176"/>
      <c r="U48" s="176"/>
      <c r="X48" s="74"/>
    </row>
    <row r="49" ht="15.75" customHeight="1">
      <c r="A49" s="50" t="s">
        <v>102</v>
      </c>
      <c r="B49" s="175" t="s">
        <v>140</v>
      </c>
      <c r="C49" s="50" t="s">
        <v>42</v>
      </c>
      <c r="D49" s="141"/>
      <c r="E49" s="141"/>
      <c r="F49" s="141"/>
      <c r="G49" s="146"/>
      <c r="H49" s="146"/>
      <c r="I49" s="152"/>
      <c r="J49" s="127"/>
      <c r="K49" s="127"/>
      <c r="L49" s="127"/>
      <c r="M49" s="51"/>
      <c r="N49" s="51"/>
      <c r="O49" s="51"/>
      <c r="P49" s="131"/>
      <c r="Q49" s="131"/>
      <c r="R49" s="158"/>
      <c r="S49" s="114"/>
      <c r="T49" s="114"/>
      <c r="U49" s="114"/>
      <c r="Y49" s="5">
        <f>SUM(Y15:Y48)</f>
        <v>73</v>
      </c>
    </row>
    <row r="50" ht="15.75" customHeight="1">
      <c r="A50" s="40" t="s">
        <v>128</v>
      </c>
      <c r="B50" s="40" t="s">
        <v>111</v>
      </c>
      <c r="C50" s="40" t="s">
        <v>24</v>
      </c>
      <c r="D50" s="40" t="s">
        <v>107</v>
      </c>
      <c r="E50" s="166" t="s">
        <v>35</v>
      </c>
      <c r="F50" s="120" t="s">
        <v>42</v>
      </c>
      <c r="G50" s="141"/>
      <c r="H50" s="141"/>
      <c r="I50" s="141"/>
      <c r="J50" s="141"/>
      <c r="K50" s="141"/>
      <c r="L50" s="141"/>
      <c r="M50" s="155"/>
      <c r="N50" s="155"/>
      <c r="O50" s="155"/>
      <c r="P50" s="131"/>
      <c r="Q50" s="131"/>
      <c r="R50" s="158"/>
      <c r="S50" s="176"/>
      <c r="T50" s="176"/>
      <c r="U50" s="176"/>
    </row>
    <row r="51" ht="15.75" customHeight="1">
      <c r="A51" s="141"/>
      <c r="B51" s="141"/>
      <c r="C51" s="141"/>
      <c r="D51" s="112"/>
      <c r="E51" s="112"/>
      <c r="F51" s="112"/>
      <c r="G51" s="146"/>
      <c r="H51" s="146"/>
      <c r="I51" s="152"/>
      <c r="J51" s="146"/>
      <c r="K51" s="146"/>
      <c r="L51" s="146"/>
      <c r="M51" s="141"/>
      <c r="N51" s="141"/>
      <c r="O51" s="141"/>
      <c r="P51" s="131"/>
      <c r="Q51" s="131"/>
      <c r="R51" s="158"/>
      <c r="S51" s="114"/>
      <c r="T51" s="114"/>
      <c r="U51" s="114"/>
    </row>
    <row r="52" ht="15.75" customHeight="1">
      <c r="A52" s="131"/>
      <c r="B52" s="131"/>
      <c r="C52" s="131"/>
      <c r="D52" s="149"/>
      <c r="E52" s="149"/>
      <c r="F52" s="169"/>
      <c r="G52" s="146"/>
      <c r="H52" s="146"/>
      <c r="I52" s="152"/>
      <c r="J52" s="146"/>
      <c r="K52" s="146"/>
      <c r="L52" s="146"/>
      <c r="M52" s="141"/>
      <c r="N52" s="141"/>
      <c r="O52" s="141"/>
      <c r="P52" s="177" t="s">
        <v>50</v>
      </c>
      <c r="Q52" s="131"/>
      <c r="R52" s="141"/>
      <c r="S52" s="176"/>
      <c r="T52" s="176"/>
      <c r="U52" s="176"/>
    </row>
    <row r="53" ht="15.75" customHeight="1"/>
    <row r="54" ht="15.75" customHeight="1"/>
    <row r="55" ht="15.75" customHeight="1">
      <c r="A55" s="83" t="s">
        <v>76</v>
      </c>
      <c r="B55" s="84"/>
    </row>
    <row r="56" ht="15.75" customHeight="1">
      <c r="A56" s="85"/>
      <c r="B56" s="86" t="s">
        <v>77</v>
      </c>
      <c r="C56" s="87"/>
      <c r="D56" s="88"/>
    </row>
    <row r="57" ht="15.75" customHeight="1">
      <c r="A57" s="92"/>
      <c r="B57" s="86" t="s">
        <v>78</v>
      </c>
      <c r="C57" s="87"/>
    </row>
    <row r="58" ht="15.75" customHeight="1">
      <c r="A58" s="95"/>
      <c r="B58" s="86" t="s">
        <v>79</v>
      </c>
      <c r="C58" s="87"/>
    </row>
    <row r="59" ht="15.75" customHeight="1">
      <c r="A59" s="96"/>
      <c r="B59" s="86" t="s">
        <v>80</v>
      </c>
      <c r="C59" s="87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14:$Y$45">
    <sortState ref="W14:Y45">
      <sortCondition ref="X14:X45"/>
    </sortState>
  </autoFilter>
  <mergeCells count="103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J30:L30"/>
    <mergeCell ref="M30:O30"/>
    <mergeCell ref="P30:R30"/>
    <mergeCell ref="S30:U30"/>
    <mergeCell ref="P37:R37"/>
    <mergeCell ref="S37:U37"/>
    <mergeCell ref="J33:L33"/>
    <mergeCell ref="M33:O33"/>
    <mergeCell ref="P33:R33"/>
    <mergeCell ref="S33:U33"/>
    <mergeCell ref="A37:C37"/>
    <mergeCell ref="D37:F37"/>
    <mergeCell ref="G37:I37"/>
    <mergeCell ref="P38:R38"/>
    <mergeCell ref="S38:U38"/>
    <mergeCell ref="S41:U41"/>
    <mergeCell ref="J37:L37"/>
    <mergeCell ref="M37:O37"/>
    <mergeCell ref="A38:C38"/>
    <mergeCell ref="D38:F38"/>
    <mergeCell ref="G38:I38"/>
    <mergeCell ref="J38:L38"/>
    <mergeCell ref="M38:O38"/>
    <mergeCell ref="A41:C41"/>
    <mergeCell ref="D45:F45"/>
    <mergeCell ref="G45:I45"/>
    <mergeCell ref="J45:L45"/>
    <mergeCell ref="M45:O45"/>
    <mergeCell ref="P45:R45"/>
    <mergeCell ref="S45:U45"/>
    <mergeCell ref="A45:C45"/>
    <mergeCell ref="D46:F46"/>
    <mergeCell ref="G46:I46"/>
    <mergeCell ref="J46:L46"/>
    <mergeCell ref="M46:O46"/>
    <mergeCell ref="P46:R46"/>
    <mergeCell ref="S46:U46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9:U9"/>
    <mergeCell ref="S17:U17"/>
    <mergeCell ref="S25:U2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46:C46"/>
    <mergeCell ref="B55:D55"/>
  </mergeCells>
  <printOptions horizontalCentered="1" verticalCentered="1"/>
  <pageMargins bottom="0.0" footer="0.0" header="0.0" left="0.0" right="0.0" top="0.0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1.57"/>
    <col customWidth="1" min="3" max="3" width="8.14"/>
    <col customWidth="1" min="4" max="4" width="19.86"/>
    <col customWidth="1" min="5" max="5" width="11.57"/>
    <col customWidth="1" min="6" max="6" width="7.43"/>
    <col customWidth="1" min="7" max="7" width="19.29"/>
    <col customWidth="1" min="8" max="8" width="11.57"/>
    <col customWidth="1" min="9" max="9" width="7.43"/>
    <col customWidth="1" min="10" max="10" width="18.86"/>
    <col customWidth="1" min="11" max="11" width="11.57"/>
    <col customWidth="1" min="12" max="12" width="7.57"/>
    <col customWidth="1" min="13" max="13" width="16.71"/>
    <col customWidth="1" min="14" max="14" width="11.43"/>
    <col customWidth="1" min="15" max="15" width="7.71"/>
    <col customWidth="1" min="16" max="16" width="10.0"/>
    <col customWidth="1" min="17" max="17" width="8.14"/>
    <col customWidth="1" min="18" max="18" width="7.43"/>
    <col customWidth="1" min="19" max="19" width="19.0"/>
    <col customWidth="1" min="20" max="20" width="11.57"/>
    <col customWidth="1" min="21" max="21" width="8.43"/>
    <col customWidth="1" min="22" max="22" width="8.71"/>
    <col customWidth="1" min="23" max="23" width="4.0"/>
    <col customWidth="1" min="24" max="24" width="18.86"/>
    <col customWidth="1" min="25" max="25" width="12.29"/>
    <col customWidth="1" min="26" max="26" width="8.71"/>
  </cols>
  <sheetData>
    <row r="1" ht="22.5" customHeight="1">
      <c r="A1" s="6" t="s">
        <v>141</v>
      </c>
      <c r="C1" s="178" t="s">
        <v>142</v>
      </c>
      <c r="F1" s="3"/>
      <c r="G1" s="4" t="s">
        <v>1</v>
      </c>
      <c r="Q1" s="3"/>
    </row>
    <row r="2">
      <c r="A2" s="6" t="s">
        <v>2</v>
      </c>
      <c r="C2" s="7" t="s">
        <v>143</v>
      </c>
      <c r="F2" s="3"/>
      <c r="Q2" s="3"/>
    </row>
    <row r="3">
      <c r="A3" s="6" t="s">
        <v>4</v>
      </c>
      <c r="C3" s="179" t="s">
        <v>83</v>
      </c>
      <c r="F3" s="3"/>
      <c r="Q3" s="3"/>
    </row>
    <row r="4">
      <c r="A4" s="6" t="s">
        <v>5</v>
      </c>
      <c r="C4" s="179" t="s">
        <v>83</v>
      </c>
      <c r="F4" s="3"/>
      <c r="G4" s="3"/>
      <c r="H4" s="3"/>
      <c r="I4" s="3"/>
      <c r="J4" s="3"/>
      <c r="K4" s="3"/>
      <c r="L4" s="3"/>
      <c r="M4" s="3"/>
      <c r="N4" s="3"/>
      <c r="O4" s="99"/>
      <c r="P4" s="100"/>
      <c r="Q4" s="101"/>
    </row>
    <row r="5" ht="21.75" customHeight="1">
      <c r="A5" s="12" t="s">
        <v>6</v>
      </c>
      <c r="B5" s="13"/>
      <c r="C5" s="14"/>
      <c r="D5" s="12" t="s">
        <v>7</v>
      </c>
      <c r="E5" s="13"/>
      <c r="F5" s="14"/>
      <c r="G5" s="12" t="s">
        <v>8</v>
      </c>
      <c r="H5" s="13"/>
      <c r="I5" s="14"/>
      <c r="J5" s="12" t="s">
        <v>9</v>
      </c>
      <c r="K5" s="13"/>
      <c r="L5" s="14"/>
      <c r="M5" s="12" t="s">
        <v>10</v>
      </c>
      <c r="N5" s="13"/>
      <c r="O5" s="14"/>
      <c r="P5" s="15" t="s">
        <v>11</v>
      </c>
      <c r="Q5" s="13"/>
      <c r="R5" s="14"/>
      <c r="S5" s="180" t="s">
        <v>12</v>
      </c>
      <c r="T5" s="13"/>
      <c r="U5" s="14"/>
      <c r="W5" s="181" t="s">
        <v>14</v>
      </c>
      <c r="X5" s="182" t="s">
        <v>144</v>
      </c>
      <c r="Y5" s="183" t="s">
        <v>16</v>
      </c>
    </row>
    <row r="6">
      <c r="A6" s="16"/>
      <c r="B6" s="13"/>
      <c r="C6" s="14"/>
      <c r="D6" s="16"/>
      <c r="E6" s="13"/>
      <c r="F6" s="14"/>
      <c r="G6" s="16"/>
      <c r="H6" s="13"/>
      <c r="I6" s="14"/>
      <c r="J6" s="16"/>
      <c r="K6" s="13"/>
      <c r="L6" s="14"/>
      <c r="M6" s="16"/>
      <c r="N6" s="13"/>
      <c r="O6" s="14"/>
      <c r="P6" s="184"/>
      <c r="Q6" s="13"/>
      <c r="R6" s="14"/>
      <c r="S6" s="185">
        <v>46082.0</v>
      </c>
      <c r="T6" s="13"/>
      <c r="U6" s="14"/>
      <c r="W6" s="186">
        <v>1.0</v>
      </c>
      <c r="X6" s="187" t="s">
        <v>145</v>
      </c>
      <c r="Y6" s="188">
        <f t="shared" ref="Y6:Y12" si="1">COUNTIF($A$5:$U$51,X6)</f>
        <v>1</v>
      </c>
    </row>
    <row r="7">
      <c r="A7" s="35"/>
      <c r="B7" s="35"/>
      <c r="C7" s="35"/>
      <c r="D7" s="120"/>
      <c r="E7" s="120"/>
      <c r="F7" s="120"/>
      <c r="G7" s="118"/>
      <c r="H7" s="118"/>
      <c r="I7" s="118"/>
      <c r="J7" s="118"/>
      <c r="K7" s="118"/>
      <c r="L7" s="118"/>
      <c r="M7" s="118"/>
      <c r="N7" s="118"/>
      <c r="O7" s="35"/>
      <c r="P7" s="189"/>
      <c r="Q7" s="115"/>
      <c r="R7" s="115"/>
      <c r="S7" s="190" t="s">
        <v>146</v>
      </c>
      <c r="T7" s="191" t="s">
        <v>33</v>
      </c>
      <c r="U7" s="192" t="s">
        <v>27</v>
      </c>
      <c r="W7" s="186">
        <v>2.0</v>
      </c>
      <c r="X7" s="24"/>
      <c r="Y7" s="188">
        <f t="shared" si="1"/>
        <v>0</v>
      </c>
    </row>
    <row r="8">
      <c r="A8" s="35"/>
      <c r="B8" s="35"/>
      <c r="C8" s="35"/>
      <c r="D8" s="118"/>
      <c r="E8" s="118"/>
      <c r="F8" s="35"/>
      <c r="G8" s="120"/>
      <c r="H8" s="120"/>
      <c r="I8" s="120"/>
      <c r="J8" s="118"/>
      <c r="K8" s="118"/>
      <c r="L8" s="118"/>
      <c r="M8" s="118"/>
      <c r="N8" s="118"/>
      <c r="O8" s="35"/>
      <c r="P8" s="189"/>
      <c r="Q8" s="115"/>
      <c r="R8" s="115"/>
      <c r="S8" s="193" t="s">
        <v>147</v>
      </c>
      <c r="T8" s="193" t="s">
        <v>148</v>
      </c>
      <c r="U8" s="193" t="s">
        <v>24</v>
      </c>
      <c r="W8" s="186">
        <v>3.0</v>
      </c>
      <c r="X8" s="187" t="s">
        <v>149</v>
      </c>
      <c r="Y8" s="188">
        <f t="shared" si="1"/>
        <v>2</v>
      </c>
    </row>
    <row r="9">
      <c r="A9" s="120"/>
      <c r="B9" s="120"/>
      <c r="C9" s="120"/>
      <c r="D9" s="24"/>
      <c r="E9" s="24"/>
      <c r="F9" s="24"/>
      <c r="G9" s="35"/>
      <c r="H9" s="35"/>
      <c r="I9" s="120"/>
      <c r="J9" s="120"/>
      <c r="K9" s="120"/>
      <c r="L9" s="120"/>
      <c r="M9" s="120"/>
      <c r="N9" s="120"/>
      <c r="O9" s="120"/>
      <c r="P9" s="19" t="s">
        <v>13</v>
      </c>
      <c r="Q9" s="13"/>
      <c r="R9" s="14"/>
      <c r="S9" s="194"/>
      <c r="T9" s="194"/>
      <c r="U9" s="194"/>
      <c r="W9" s="186">
        <v>4.0</v>
      </c>
      <c r="X9" s="187" t="s">
        <v>150</v>
      </c>
      <c r="Y9" s="188">
        <f t="shared" si="1"/>
        <v>2</v>
      </c>
    </row>
    <row r="10">
      <c r="A10" s="24"/>
      <c r="B10" s="24"/>
      <c r="C10" s="24"/>
      <c r="D10" s="24"/>
      <c r="E10" s="24"/>
      <c r="F10" s="24"/>
      <c r="G10" s="24"/>
      <c r="H10" s="24"/>
      <c r="I10" s="112"/>
      <c r="J10" s="118"/>
      <c r="K10" s="118"/>
      <c r="L10" s="120"/>
      <c r="M10" s="118"/>
      <c r="N10" s="118"/>
      <c r="O10" s="118"/>
      <c r="P10" s="189"/>
      <c r="Q10" s="115"/>
      <c r="R10" s="115"/>
      <c r="S10" s="165" t="s">
        <v>151</v>
      </c>
      <c r="T10" s="165" t="s">
        <v>152</v>
      </c>
      <c r="U10" s="165" t="s">
        <v>24</v>
      </c>
      <c r="W10" s="186">
        <v>5.0</v>
      </c>
      <c r="X10" s="187" t="s">
        <v>151</v>
      </c>
      <c r="Y10" s="188">
        <f t="shared" si="1"/>
        <v>16</v>
      </c>
    </row>
    <row r="11">
      <c r="A11" s="24"/>
      <c r="B11" s="24"/>
      <c r="C11" s="24"/>
      <c r="D11" s="141"/>
      <c r="E11" s="141"/>
      <c r="F11" s="141"/>
      <c r="G11" s="35"/>
      <c r="H11" s="35"/>
      <c r="I11" s="35"/>
      <c r="J11" s="118"/>
      <c r="K11" s="118"/>
      <c r="L11" s="118"/>
      <c r="M11" s="120"/>
      <c r="N11" s="120"/>
      <c r="O11" s="120"/>
      <c r="P11" s="189"/>
      <c r="Q11" s="115"/>
      <c r="R11" s="115"/>
      <c r="S11" s="194"/>
      <c r="T11" s="194"/>
      <c r="U11" s="42" t="s">
        <v>36</v>
      </c>
      <c r="W11" s="186">
        <v>6.0</v>
      </c>
      <c r="X11" s="187" t="s">
        <v>147</v>
      </c>
      <c r="Y11" s="188">
        <f t="shared" si="1"/>
        <v>16</v>
      </c>
    </row>
    <row r="12">
      <c r="A12" s="118"/>
      <c r="B12" s="118"/>
      <c r="C12" s="118"/>
      <c r="D12" s="141"/>
      <c r="E12" s="141"/>
      <c r="F12" s="141"/>
      <c r="G12" s="35"/>
      <c r="H12" s="35"/>
      <c r="I12" s="35"/>
      <c r="J12" s="24"/>
      <c r="K12" s="24"/>
      <c r="L12" s="24"/>
      <c r="M12" s="118"/>
      <c r="N12" s="118"/>
      <c r="O12" s="195"/>
      <c r="P12" s="189"/>
      <c r="Q12" s="115"/>
      <c r="R12" s="115"/>
      <c r="S12" s="141"/>
      <c r="T12" s="141"/>
      <c r="U12" s="196"/>
      <c r="W12" s="186">
        <v>7.0</v>
      </c>
      <c r="X12" s="187" t="s">
        <v>153</v>
      </c>
      <c r="Y12" s="188">
        <f t="shared" si="1"/>
        <v>3</v>
      </c>
    </row>
    <row r="13" ht="21.75" customHeight="1">
      <c r="A13" s="104" t="s">
        <v>6</v>
      </c>
      <c r="B13" s="13"/>
      <c r="C13" s="14"/>
      <c r="D13" s="104" t="s">
        <v>7</v>
      </c>
      <c r="E13" s="13"/>
      <c r="F13" s="14"/>
      <c r="G13" s="104" t="s">
        <v>8</v>
      </c>
      <c r="H13" s="13"/>
      <c r="I13" s="14"/>
      <c r="J13" s="104" t="s">
        <v>9</v>
      </c>
      <c r="K13" s="13"/>
      <c r="L13" s="14"/>
      <c r="M13" s="104" t="s">
        <v>85</v>
      </c>
      <c r="N13" s="13"/>
      <c r="O13" s="14"/>
      <c r="P13" s="157" t="s">
        <v>86</v>
      </c>
      <c r="Q13" s="13"/>
      <c r="R13" s="14"/>
      <c r="S13" s="197" t="s">
        <v>12</v>
      </c>
      <c r="T13" s="13"/>
      <c r="U13" s="14"/>
      <c r="W13" s="186">
        <v>8.0</v>
      </c>
      <c r="X13" s="24"/>
      <c r="Y13" s="188"/>
    </row>
    <row r="14">
      <c r="A14" s="106">
        <f>S6+1</f>
        <v>46083</v>
      </c>
      <c r="B14" s="13"/>
      <c r="C14" s="14"/>
      <c r="D14" s="106">
        <f>A14+1</f>
        <v>46084</v>
      </c>
      <c r="E14" s="13"/>
      <c r="F14" s="14"/>
      <c r="G14" s="106">
        <f>D14+1</f>
        <v>46085</v>
      </c>
      <c r="H14" s="13"/>
      <c r="I14" s="14"/>
      <c r="J14" s="106">
        <f>G14+1</f>
        <v>46086</v>
      </c>
      <c r="K14" s="13"/>
      <c r="L14" s="14"/>
      <c r="M14" s="107">
        <f>J14+1</f>
        <v>46087</v>
      </c>
      <c r="N14" s="13"/>
      <c r="O14" s="14"/>
      <c r="P14" s="108">
        <f>M14+1</f>
        <v>46088</v>
      </c>
      <c r="Q14" s="13"/>
      <c r="R14" s="14"/>
      <c r="S14" s="106">
        <f>P14+1</f>
        <v>46089</v>
      </c>
      <c r="T14" s="13"/>
      <c r="U14" s="14"/>
      <c r="W14" s="186">
        <v>9.0</v>
      </c>
      <c r="X14" s="187" t="s">
        <v>154</v>
      </c>
      <c r="Y14" s="188">
        <f t="shared" ref="Y14:Y34" si="2">COUNTIF($A$5:$U$51,X14)</f>
        <v>2</v>
      </c>
    </row>
    <row r="15">
      <c r="A15" s="35"/>
      <c r="B15" s="35"/>
      <c r="C15" s="35"/>
      <c r="D15" s="193" t="s">
        <v>147</v>
      </c>
      <c r="E15" s="193" t="s">
        <v>155</v>
      </c>
      <c r="F15" s="193" t="s">
        <v>24</v>
      </c>
      <c r="G15" s="194"/>
      <c r="H15" s="194"/>
      <c r="I15" s="194"/>
      <c r="J15" s="194"/>
      <c r="K15" s="194"/>
      <c r="L15" s="194"/>
      <c r="M15" s="194"/>
      <c r="N15" s="194"/>
      <c r="O15" s="41"/>
      <c r="P15" s="114"/>
      <c r="Q15" s="115"/>
      <c r="R15" s="115"/>
      <c r="S15" s="187" t="s">
        <v>145</v>
      </c>
      <c r="T15" s="194" t="s">
        <v>33</v>
      </c>
      <c r="U15" s="194" t="s">
        <v>24</v>
      </c>
      <c r="W15" s="186">
        <v>10.0</v>
      </c>
      <c r="X15" s="187" t="s">
        <v>156</v>
      </c>
      <c r="Y15" s="188">
        <f t="shared" si="2"/>
        <v>2</v>
      </c>
    </row>
    <row r="16">
      <c r="A16" s="24"/>
      <c r="B16" s="24"/>
      <c r="C16" s="112"/>
      <c r="D16" s="194"/>
      <c r="E16" s="194"/>
      <c r="F16" s="41"/>
      <c r="G16" s="165" t="s">
        <v>151</v>
      </c>
      <c r="H16" s="165" t="s">
        <v>155</v>
      </c>
      <c r="I16" s="165" t="s">
        <v>24</v>
      </c>
      <c r="J16" s="194"/>
      <c r="K16" s="194"/>
      <c r="L16" s="194"/>
      <c r="M16" s="194"/>
      <c r="N16" s="194"/>
      <c r="O16" s="41"/>
      <c r="P16" s="114"/>
      <c r="Q16" s="115"/>
      <c r="R16" s="115"/>
      <c r="S16" s="193" t="s">
        <v>147</v>
      </c>
      <c r="T16" s="193" t="s">
        <v>148</v>
      </c>
      <c r="U16" s="193" t="s">
        <v>24</v>
      </c>
      <c r="W16" s="186">
        <v>11.0</v>
      </c>
      <c r="X16" s="190" t="s">
        <v>146</v>
      </c>
      <c r="Y16" s="188">
        <f t="shared" si="2"/>
        <v>2</v>
      </c>
    </row>
    <row r="17">
      <c r="A17" s="165" t="s">
        <v>151</v>
      </c>
      <c r="B17" s="165" t="s">
        <v>148</v>
      </c>
      <c r="C17" s="165" t="s">
        <v>24</v>
      </c>
      <c r="D17" s="24" t="s">
        <v>156</v>
      </c>
      <c r="E17" s="24" t="s">
        <v>26</v>
      </c>
      <c r="F17" s="24" t="s">
        <v>27</v>
      </c>
      <c r="G17" s="24" t="s">
        <v>157</v>
      </c>
      <c r="H17" s="24" t="s">
        <v>103</v>
      </c>
      <c r="I17" s="112" t="s">
        <v>42</v>
      </c>
      <c r="J17" s="193" t="s">
        <v>147</v>
      </c>
      <c r="K17" s="193" t="s">
        <v>155</v>
      </c>
      <c r="L17" s="193" t="s">
        <v>24</v>
      </c>
      <c r="M17" s="165" t="s">
        <v>151</v>
      </c>
      <c r="N17" s="165" t="s">
        <v>155</v>
      </c>
      <c r="O17" s="165" t="s">
        <v>24</v>
      </c>
      <c r="P17" s="19" t="s">
        <v>13</v>
      </c>
      <c r="Q17" s="13"/>
      <c r="R17" s="14"/>
      <c r="S17" s="194"/>
      <c r="T17" s="194"/>
      <c r="U17" s="41"/>
      <c r="W17" s="186">
        <v>12.0</v>
      </c>
      <c r="X17" s="187"/>
      <c r="Y17" s="188">
        <f t="shared" si="2"/>
        <v>0</v>
      </c>
    </row>
    <row r="18">
      <c r="A18" s="47"/>
      <c r="B18" s="47"/>
      <c r="C18" s="195"/>
      <c r="D18" s="24" t="s">
        <v>158</v>
      </c>
      <c r="E18" s="24" t="s">
        <v>111</v>
      </c>
      <c r="F18" s="24" t="s">
        <v>27</v>
      </c>
      <c r="G18" s="122"/>
      <c r="H18" s="122"/>
      <c r="I18" s="142"/>
      <c r="J18" s="44" t="s">
        <v>39</v>
      </c>
      <c r="K18" s="44" t="s">
        <v>40</v>
      </c>
      <c r="L18" s="45"/>
      <c r="M18" s="194"/>
      <c r="N18" s="194"/>
      <c r="O18" s="194"/>
      <c r="P18" s="114"/>
      <c r="Q18" s="115"/>
      <c r="R18" s="115"/>
      <c r="S18" s="165" t="s">
        <v>151</v>
      </c>
      <c r="T18" s="165" t="s">
        <v>152</v>
      </c>
      <c r="U18" s="132" t="s">
        <v>48</v>
      </c>
      <c r="W18" s="186">
        <v>13.0</v>
      </c>
      <c r="X18" s="187" t="s">
        <v>159</v>
      </c>
      <c r="Y18" s="188">
        <f t="shared" si="2"/>
        <v>4</v>
      </c>
    </row>
    <row r="19" ht="15.0" customHeight="1">
      <c r="A19" s="122" t="s">
        <v>159</v>
      </c>
      <c r="B19" s="122" t="s">
        <v>160</v>
      </c>
      <c r="C19" s="142" t="s">
        <v>27</v>
      </c>
      <c r="D19" s="113" t="s">
        <v>50</v>
      </c>
      <c r="E19" s="113"/>
      <c r="F19" s="113"/>
      <c r="G19" s="122"/>
      <c r="H19" s="122"/>
      <c r="I19" s="142"/>
      <c r="J19" s="194"/>
      <c r="K19" s="194"/>
      <c r="L19" s="194"/>
      <c r="M19" s="193" t="s">
        <v>147</v>
      </c>
      <c r="N19" s="193" t="s">
        <v>152</v>
      </c>
      <c r="O19" s="132" t="s">
        <v>48</v>
      </c>
      <c r="P19" s="114"/>
      <c r="Q19" s="115"/>
      <c r="R19" s="115"/>
      <c r="S19" s="138"/>
      <c r="T19" s="138"/>
      <c r="U19" s="138"/>
      <c r="W19" s="186">
        <v>14.0</v>
      </c>
      <c r="X19" s="24" t="s">
        <v>161</v>
      </c>
      <c r="Y19" s="188">
        <f t="shared" si="2"/>
        <v>2</v>
      </c>
    </row>
    <row r="20" ht="15.0" customHeight="1">
      <c r="A20" s="194"/>
      <c r="B20" s="194"/>
      <c r="C20" s="194"/>
      <c r="D20" s="113"/>
      <c r="E20" s="113"/>
      <c r="F20" s="113"/>
      <c r="G20" s="41"/>
      <c r="H20" s="41"/>
      <c r="I20" s="41"/>
      <c r="J20" s="47" t="s">
        <v>149</v>
      </c>
      <c r="K20" s="47" t="s">
        <v>132</v>
      </c>
      <c r="L20" s="47" t="s">
        <v>24</v>
      </c>
      <c r="M20" s="194"/>
      <c r="N20" s="194"/>
      <c r="O20" s="195"/>
      <c r="P20" s="114"/>
      <c r="Q20" s="115"/>
      <c r="R20" s="115"/>
      <c r="S20" s="113"/>
      <c r="T20" s="113"/>
      <c r="U20" s="198"/>
      <c r="W20" s="186">
        <v>15.0</v>
      </c>
      <c r="X20" s="24" t="s">
        <v>157</v>
      </c>
      <c r="Y20" s="188">
        <f t="shared" si="2"/>
        <v>5</v>
      </c>
    </row>
    <row r="21" ht="21.0" customHeight="1">
      <c r="A21" s="133" t="s">
        <v>118</v>
      </c>
      <c r="B21" s="13"/>
      <c r="C21" s="14"/>
      <c r="D21" s="133" t="s">
        <v>7</v>
      </c>
      <c r="E21" s="13"/>
      <c r="F21" s="14"/>
      <c r="G21" s="133" t="s">
        <v>119</v>
      </c>
      <c r="H21" s="13"/>
      <c r="I21" s="14"/>
      <c r="J21" s="133" t="s">
        <v>9</v>
      </c>
      <c r="K21" s="13"/>
      <c r="L21" s="14"/>
      <c r="M21" s="133" t="s">
        <v>10</v>
      </c>
      <c r="N21" s="13"/>
      <c r="O21" s="14"/>
      <c r="P21" s="134" t="s">
        <v>86</v>
      </c>
      <c r="Q21" s="13"/>
      <c r="R21" s="14"/>
      <c r="S21" s="199" t="s">
        <v>120</v>
      </c>
      <c r="T21" s="13"/>
      <c r="U21" s="14"/>
      <c r="W21" s="186">
        <v>16.0</v>
      </c>
      <c r="X21" s="187"/>
      <c r="Y21" s="188">
        <f t="shared" si="2"/>
        <v>0</v>
      </c>
    </row>
    <row r="22" ht="15.75" customHeight="1">
      <c r="A22" s="136">
        <f>S14+1</f>
        <v>46090</v>
      </c>
      <c r="B22" s="13"/>
      <c r="C22" s="14"/>
      <c r="D22" s="136">
        <f>A22+1</f>
        <v>46091</v>
      </c>
      <c r="E22" s="13"/>
      <c r="F22" s="14"/>
      <c r="G22" s="136">
        <f>D22+1</f>
        <v>46092</v>
      </c>
      <c r="H22" s="13"/>
      <c r="I22" s="14"/>
      <c r="J22" s="136">
        <f>G22+1</f>
        <v>46093</v>
      </c>
      <c r="K22" s="13"/>
      <c r="L22" s="14"/>
      <c r="M22" s="136">
        <f>J22+1</f>
        <v>46094</v>
      </c>
      <c r="N22" s="13"/>
      <c r="O22" s="14"/>
      <c r="P22" s="137">
        <f>M22+1</f>
        <v>46095</v>
      </c>
      <c r="Q22" s="13"/>
      <c r="R22" s="14"/>
      <c r="S22" s="200">
        <f>P22+1</f>
        <v>46096</v>
      </c>
      <c r="T22" s="13"/>
      <c r="U22" s="14"/>
      <c r="W22" s="186">
        <v>17.0</v>
      </c>
      <c r="X22" s="187"/>
      <c r="Y22" s="188">
        <f t="shared" si="2"/>
        <v>0</v>
      </c>
    </row>
    <row r="23" ht="15.75" customHeight="1">
      <c r="A23" s="163"/>
      <c r="B23" s="163"/>
      <c r="C23" s="163"/>
      <c r="D23" s="194"/>
      <c r="E23" s="194"/>
      <c r="F23" s="194"/>
      <c r="G23" s="201"/>
      <c r="H23" s="201"/>
      <c r="I23" s="201"/>
      <c r="J23" s="194"/>
      <c r="K23" s="194"/>
      <c r="L23" s="41"/>
      <c r="M23" s="165" t="s">
        <v>153</v>
      </c>
      <c r="N23" s="202" t="s">
        <v>33</v>
      </c>
      <c r="O23" s="165" t="s">
        <v>24</v>
      </c>
      <c r="P23" s="114"/>
      <c r="Q23" s="115"/>
      <c r="R23" s="115"/>
      <c r="S23" s="190" t="s">
        <v>146</v>
      </c>
      <c r="T23" s="191" t="s">
        <v>33</v>
      </c>
      <c r="U23" s="192" t="s">
        <v>27</v>
      </c>
      <c r="W23" s="186">
        <v>18.0</v>
      </c>
      <c r="X23" s="187"/>
      <c r="Y23" s="188">
        <f t="shared" si="2"/>
        <v>0</v>
      </c>
    </row>
    <row r="24" ht="15.75" customHeight="1">
      <c r="A24" s="165" t="s">
        <v>151</v>
      </c>
      <c r="B24" s="165" t="s">
        <v>148</v>
      </c>
      <c r="C24" s="165" t="s">
        <v>24</v>
      </c>
      <c r="D24" s="194"/>
      <c r="E24" s="194"/>
      <c r="F24" s="194"/>
      <c r="G24" s="165" t="s">
        <v>151</v>
      </c>
      <c r="H24" s="165" t="s">
        <v>155</v>
      </c>
      <c r="I24" s="165" t="s">
        <v>24</v>
      </c>
      <c r="J24" s="118"/>
      <c r="K24" s="118"/>
      <c r="L24" s="118"/>
      <c r="M24" s="165" t="s">
        <v>151</v>
      </c>
      <c r="N24" s="165" t="s">
        <v>155</v>
      </c>
      <c r="O24" s="165" t="s">
        <v>24</v>
      </c>
      <c r="P24" s="114"/>
      <c r="Q24" s="115"/>
      <c r="R24" s="115"/>
      <c r="S24" s="193" t="s">
        <v>147</v>
      </c>
      <c r="T24" s="193" t="s">
        <v>148</v>
      </c>
      <c r="U24" s="193" t="s">
        <v>24</v>
      </c>
      <c r="W24" s="186">
        <v>19.0</v>
      </c>
      <c r="X24" s="187"/>
      <c r="Y24" s="188">
        <f t="shared" si="2"/>
        <v>0</v>
      </c>
    </row>
    <row r="25" ht="15.75" customHeight="1">
      <c r="A25" s="194"/>
      <c r="B25" s="194"/>
      <c r="D25" s="194"/>
      <c r="E25" s="194"/>
      <c r="F25" s="194"/>
      <c r="G25" s="122"/>
      <c r="H25" s="122"/>
      <c r="I25" s="24"/>
      <c r="J25" s="165" t="s">
        <v>153</v>
      </c>
      <c r="K25" s="202"/>
      <c r="L25" s="165" t="s">
        <v>24</v>
      </c>
      <c r="M25" s="194"/>
      <c r="N25" s="194"/>
      <c r="O25" s="194"/>
      <c r="P25" s="19" t="s">
        <v>13</v>
      </c>
      <c r="Q25" s="13"/>
      <c r="R25" s="14"/>
      <c r="S25" s="194"/>
      <c r="T25" s="194"/>
      <c r="U25" s="194"/>
      <c r="W25" s="186">
        <v>20.0</v>
      </c>
      <c r="X25" s="187"/>
      <c r="Y25" s="188">
        <f t="shared" si="2"/>
        <v>0</v>
      </c>
    </row>
    <row r="26" ht="15.75" customHeight="1">
      <c r="A26" s="122"/>
      <c r="B26" s="122"/>
      <c r="C26" s="142"/>
      <c r="D26" s="193" t="s">
        <v>147</v>
      </c>
      <c r="E26" s="193" t="s">
        <v>155</v>
      </c>
      <c r="F26" s="193" t="s">
        <v>24</v>
      </c>
      <c r="G26" s="122" t="s">
        <v>159</v>
      </c>
      <c r="H26" s="122" t="s">
        <v>160</v>
      </c>
      <c r="I26" s="142" t="s">
        <v>27</v>
      </c>
      <c r="J26" s="193" t="s">
        <v>147</v>
      </c>
      <c r="K26" s="193" t="s">
        <v>148</v>
      </c>
      <c r="L26" s="193" t="s">
        <v>24</v>
      </c>
      <c r="M26" s="193" t="s">
        <v>147</v>
      </c>
      <c r="N26" s="193" t="s">
        <v>152</v>
      </c>
      <c r="O26" s="193" t="s">
        <v>24</v>
      </c>
      <c r="P26" s="114"/>
      <c r="Q26" s="115"/>
      <c r="R26" s="115"/>
      <c r="S26" s="165" t="s">
        <v>151</v>
      </c>
      <c r="T26" s="165" t="s">
        <v>152</v>
      </c>
      <c r="U26" s="165" t="s">
        <v>24</v>
      </c>
      <c r="W26" s="186">
        <v>21.0</v>
      </c>
      <c r="X26" s="187"/>
      <c r="Y26" s="188">
        <f t="shared" si="2"/>
        <v>0</v>
      </c>
    </row>
    <row r="27" ht="15.75" customHeight="1">
      <c r="A27" s="24" t="s">
        <v>157</v>
      </c>
      <c r="B27" s="24" t="s">
        <v>103</v>
      </c>
      <c r="C27" s="112" t="s">
        <v>42</v>
      </c>
      <c r="D27" s="120" t="s">
        <v>154</v>
      </c>
      <c r="E27" s="120" t="s">
        <v>103</v>
      </c>
      <c r="F27" s="120" t="s">
        <v>42</v>
      </c>
      <c r="G27" s="47" t="s">
        <v>161</v>
      </c>
      <c r="H27" s="47" t="s">
        <v>132</v>
      </c>
      <c r="I27" s="123" t="s">
        <v>24</v>
      </c>
      <c r="J27" s="24" t="s">
        <v>150</v>
      </c>
      <c r="K27" s="24" t="s">
        <v>132</v>
      </c>
      <c r="L27" s="24" t="s">
        <v>24</v>
      </c>
      <c r="M27" s="194"/>
      <c r="N27" s="194"/>
      <c r="O27" s="42" t="s">
        <v>36</v>
      </c>
      <c r="P27" s="114"/>
      <c r="Q27" s="115"/>
      <c r="R27" s="115"/>
      <c r="S27" s="194"/>
      <c r="T27" s="194"/>
      <c r="U27" s="42" t="s">
        <v>36</v>
      </c>
      <c r="W27" s="186">
        <v>22.0</v>
      </c>
      <c r="X27" s="187"/>
      <c r="Y27" s="188">
        <f t="shared" si="2"/>
        <v>0</v>
      </c>
    </row>
    <row r="28" ht="15.75" customHeight="1">
      <c r="A28" s="160"/>
      <c r="B28" s="160"/>
      <c r="C28" s="160"/>
      <c r="D28" s="194"/>
      <c r="E28" s="194"/>
      <c r="F28" s="194"/>
      <c r="G28" s="122"/>
      <c r="H28" s="122"/>
      <c r="I28" s="110"/>
      <c r="J28" s="24"/>
      <c r="K28" s="24"/>
      <c r="L28" s="24"/>
      <c r="M28" s="118"/>
      <c r="N28" s="118"/>
      <c r="O28" s="118"/>
      <c r="P28" s="114"/>
      <c r="Q28" s="115"/>
      <c r="R28" s="115"/>
      <c r="S28" s="120"/>
      <c r="T28" s="120"/>
      <c r="U28" s="120"/>
      <c r="W28" s="186">
        <v>23.0</v>
      </c>
      <c r="X28" s="187"/>
      <c r="Y28" s="188">
        <f t="shared" si="2"/>
        <v>0</v>
      </c>
    </row>
    <row r="29" ht="20.25" customHeight="1">
      <c r="A29" s="104" t="s">
        <v>118</v>
      </c>
      <c r="B29" s="13"/>
      <c r="C29" s="14"/>
      <c r="D29" s="104" t="s">
        <v>7</v>
      </c>
      <c r="E29" s="13"/>
      <c r="F29" s="14"/>
      <c r="G29" s="104" t="s">
        <v>119</v>
      </c>
      <c r="H29" s="13"/>
      <c r="I29" s="14"/>
      <c r="J29" s="157" t="s">
        <v>9</v>
      </c>
      <c r="K29" s="13"/>
      <c r="L29" s="14"/>
      <c r="M29" s="104" t="s">
        <v>85</v>
      </c>
      <c r="N29" s="13"/>
      <c r="O29" s="14"/>
      <c r="P29" s="157" t="s">
        <v>86</v>
      </c>
      <c r="Q29" s="13"/>
      <c r="R29" s="14"/>
      <c r="S29" s="105" t="s">
        <v>12</v>
      </c>
      <c r="T29" s="13"/>
      <c r="U29" s="14"/>
      <c r="W29" s="186">
        <v>24.0</v>
      </c>
      <c r="X29" s="187"/>
      <c r="Y29" s="188">
        <f t="shared" si="2"/>
        <v>0</v>
      </c>
    </row>
    <row r="30" ht="15.75" customHeight="1">
      <c r="A30" s="107">
        <f>S22+1</f>
        <v>46097</v>
      </c>
      <c r="B30" s="13"/>
      <c r="C30" s="14"/>
      <c r="D30" s="107">
        <f>A30+1</f>
        <v>46098</v>
      </c>
      <c r="E30" s="13"/>
      <c r="F30" s="14"/>
      <c r="G30" s="106">
        <f>D30+1</f>
        <v>46099</v>
      </c>
      <c r="H30" s="13"/>
      <c r="I30" s="14"/>
      <c r="J30" s="108">
        <f>G30+1</f>
        <v>46100</v>
      </c>
      <c r="K30" s="13"/>
      <c r="L30" s="14"/>
      <c r="M30" s="107">
        <f>J30+1</f>
        <v>46101</v>
      </c>
      <c r="N30" s="13"/>
      <c r="O30" s="14"/>
      <c r="P30" s="108">
        <f>M30+1</f>
        <v>46102</v>
      </c>
      <c r="Q30" s="13"/>
      <c r="R30" s="14"/>
      <c r="S30" s="108">
        <f>P30+1</f>
        <v>46103</v>
      </c>
      <c r="T30" s="13"/>
      <c r="U30" s="14"/>
      <c r="W30" s="186">
        <v>25.0</v>
      </c>
      <c r="X30" s="187"/>
      <c r="Y30" s="188">
        <f t="shared" si="2"/>
        <v>0</v>
      </c>
    </row>
    <row r="31" ht="15.75" customHeight="1">
      <c r="A31" s="35"/>
      <c r="B31" s="35"/>
      <c r="C31" s="35"/>
      <c r="D31" s="193" t="s">
        <v>147</v>
      </c>
      <c r="E31" s="193" t="s">
        <v>148</v>
      </c>
      <c r="F31" s="193" t="s">
        <v>24</v>
      </c>
      <c r="G31" s="194"/>
      <c r="H31" s="194"/>
      <c r="I31" s="194"/>
      <c r="J31" s="194"/>
      <c r="K31" s="194"/>
      <c r="L31" s="194"/>
      <c r="M31" s="114"/>
      <c r="N31" s="115"/>
      <c r="O31" s="115"/>
      <c r="P31" s="114"/>
      <c r="Q31" s="115"/>
      <c r="R31" s="115"/>
      <c r="S31" s="113"/>
      <c r="T31" s="113"/>
      <c r="U31" s="113"/>
      <c r="W31" s="186">
        <v>26.0</v>
      </c>
      <c r="X31" s="187"/>
      <c r="Y31" s="188">
        <f t="shared" si="2"/>
        <v>0</v>
      </c>
    </row>
    <row r="32" ht="15.75" customHeight="1">
      <c r="A32" s="165" t="s">
        <v>151</v>
      </c>
      <c r="B32" s="165" t="s">
        <v>148</v>
      </c>
      <c r="C32" s="165" t="s">
        <v>24</v>
      </c>
      <c r="D32" s="194"/>
      <c r="E32" s="194"/>
      <c r="F32" s="41"/>
      <c r="G32" s="165" t="s">
        <v>151</v>
      </c>
      <c r="H32" s="165" t="s">
        <v>155</v>
      </c>
      <c r="I32" s="165" t="s">
        <v>24</v>
      </c>
      <c r="J32" s="194"/>
      <c r="K32" s="194"/>
      <c r="L32" s="194"/>
      <c r="M32" s="120"/>
      <c r="N32" s="120"/>
      <c r="O32" s="120"/>
      <c r="P32" s="114"/>
      <c r="Q32" s="115"/>
      <c r="R32" s="115"/>
      <c r="S32" s="187"/>
      <c r="T32" s="194"/>
      <c r="U32" s="194"/>
      <c r="W32" s="186">
        <v>27.0</v>
      </c>
      <c r="X32" s="187"/>
      <c r="Y32" s="188">
        <f t="shared" si="2"/>
        <v>0</v>
      </c>
    </row>
    <row r="33" ht="15.75" customHeight="1">
      <c r="A33" s="201"/>
      <c r="B33" s="201"/>
      <c r="C33" s="42" t="s">
        <v>36</v>
      </c>
      <c r="D33" s="24" t="s">
        <v>156</v>
      </c>
      <c r="E33" s="24" t="s">
        <v>26</v>
      </c>
      <c r="F33" s="24" t="s">
        <v>27</v>
      </c>
      <c r="G33" s="62"/>
      <c r="H33" s="62"/>
      <c r="I33" s="42" t="s">
        <v>162</v>
      </c>
      <c r="J33" s="193" t="s">
        <v>147</v>
      </c>
      <c r="K33" s="193" t="s">
        <v>155</v>
      </c>
      <c r="L33" s="193" t="s">
        <v>24</v>
      </c>
      <c r="M33" s="19" t="s">
        <v>13</v>
      </c>
      <c r="N33" s="13"/>
      <c r="O33" s="14"/>
      <c r="P33" s="19" t="s">
        <v>13</v>
      </c>
      <c r="Q33" s="13"/>
      <c r="R33" s="14"/>
      <c r="S33" s="19" t="s">
        <v>13</v>
      </c>
      <c r="T33" s="13"/>
      <c r="U33" s="14"/>
      <c r="W33" s="186">
        <v>28.0</v>
      </c>
      <c r="X33" s="187"/>
      <c r="Y33" s="188">
        <f t="shared" si="2"/>
        <v>0</v>
      </c>
    </row>
    <row r="34" ht="15.0" customHeight="1">
      <c r="A34" s="24" t="s">
        <v>157</v>
      </c>
      <c r="B34" s="24" t="s">
        <v>103</v>
      </c>
      <c r="C34" s="112" t="s">
        <v>42</v>
      </c>
      <c r="D34" s="24" t="s">
        <v>158</v>
      </c>
      <c r="E34" s="24" t="s">
        <v>111</v>
      </c>
      <c r="F34" s="24" t="s">
        <v>27</v>
      </c>
      <c r="G34" s="24"/>
      <c r="H34" s="24"/>
      <c r="I34" s="112"/>
      <c r="J34" s="194"/>
      <c r="K34" s="194"/>
      <c r="L34" s="195"/>
      <c r="M34" s="120"/>
      <c r="N34" s="120"/>
      <c r="O34" s="120"/>
      <c r="P34" s="114"/>
      <c r="Q34" s="115"/>
      <c r="R34" s="115"/>
      <c r="S34" s="120"/>
      <c r="T34" s="120"/>
      <c r="U34" s="120"/>
      <c r="W34" s="186">
        <v>29.0</v>
      </c>
      <c r="X34" s="187"/>
      <c r="Y34" s="188">
        <f t="shared" si="2"/>
        <v>0</v>
      </c>
    </row>
    <row r="35" ht="15.75" customHeight="1">
      <c r="A35" s="194"/>
      <c r="B35" s="194"/>
      <c r="C35" s="194"/>
      <c r="D35" s="113"/>
      <c r="E35" s="113"/>
      <c r="F35" s="113"/>
      <c r="G35" s="122" t="s">
        <v>159</v>
      </c>
      <c r="H35" s="122" t="s">
        <v>160</v>
      </c>
      <c r="I35" s="142" t="s">
        <v>27</v>
      </c>
      <c r="J35" s="47" t="s">
        <v>149</v>
      </c>
      <c r="K35" s="47" t="s">
        <v>132</v>
      </c>
      <c r="L35" s="47" t="s">
        <v>24</v>
      </c>
      <c r="M35" s="194"/>
      <c r="N35" s="194"/>
      <c r="O35" s="24"/>
      <c r="P35" s="114"/>
      <c r="Q35" s="115"/>
      <c r="R35" s="115"/>
      <c r="S35" s="120"/>
      <c r="T35" s="120"/>
      <c r="U35" s="120"/>
      <c r="X35" s="74"/>
      <c r="Y35" s="75">
        <f>SUM(Y1:Y34)</f>
        <v>57</v>
      </c>
    </row>
    <row r="36" ht="14.25" customHeight="1">
      <c r="A36" s="194"/>
      <c r="B36" s="194"/>
      <c r="C36" s="194"/>
      <c r="D36" s="160"/>
      <c r="E36" s="160"/>
      <c r="F36" s="160"/>
      <c r="G36" s="194"/>
      <c r="H36" s="194"/>
      <c r="I36" s="24"/>
      <c r="J36" s="47"/>
      <c r="K36" s="47"/>
      <c r="L36" s="47"/>
      <c r="M36" s="114"/>
      <c r="N36" s="115"/>
      <c r="O36" s="115"/>
      <c r="P36" s="114"/>
      <c r="Q36" s="115"/>
      <c r="R36" s="115"/>
      <c r="S36" s="138"/>
      <c r="T36" s="138"/>
      <c r="U36" s="138"/>
    </row>
    <row r="37" ht="22.5" customHeight="1">
      <c r="A37" s="133" t="s">
        <v>118</v>
      </c>
      <c r="B37" s="13"/>
      <c r="C37" s="14"/>
      <c r="D37" s="133" t="s">
        <v>7</v>
      </c>
      <c r="E37" s="13"/>
      <c r="F37" s="14"/>
      <c r="G37" s="133" t="s">
        <v>119</v>
      </c>
      <c r="H37" s="13"/>
      <c r="I37" s="14"/>
      <c r="J37" s="133" t="s">
        <v>9</v>
      </c>
      <c r="K37" s="13"/>
      <c r="L37" s="14"/>
      <c r="M37" s="133" t="s">
        <v>136</v>
      </c>
      <c r="N37" s="13"/>
      <c r="O37" s="14"/>
      <c r="P37" s="134" t="s">
        <v>11</v>
      </c>
      <c r="Q37" s="13"/>
      <c r="R37" s="14"/>
      <c r="S37" s="199" t="s">
        <v>12</v>
      </c>
      <c r="T37" s="13"/>
      <c r="U37" s="14"/>
    </row>
    <row r="38" ht="15.75" customHeight="1">
      <c r="A38" s="136">
        <f>S30+1</f>
        <v>46104</v>
      </c>
      <c r="B38" s="13"/>
      <c r="C38" s="14"/>
      <c r="D38" s="136">
        <f>A38+1</f>
        <v>46105</v>
      </c>
      <c r="E38" s="13"/>
      <c r="F38" s="14"/>
      <c r="G38" s="136">
        <f>D38+1</f>
        <v>46106</v>
      </c>
      <c r="H38" s="13"/>
      <c r="I38" s="14"/>
      <c r="J38" s="136">
        <f>G38+1</f>
        <v>46107</v>
      </c>
      <c r="K38" s="13"/>
      <c r="L38" s="14"/>
      <c r="M38" s="136">
        <f>J38+1</f>
        <v>46108</v>
      </c>
      <c r="N38" s="13"/>
      <c r="O38" s="14"/>
      <c r="P38" s="137">
        <f>M38+1</f>
        <v>46109</v>
      </c>
      <c r="Q38" s="13"/>
      <c r="R38" s="14"/>
      <c r="S38" s="200">
        <f>P38+1</f>
        <v>46110</v>
      </c>
      <c r="T38" s="13"/>
      <c r="U38" s="14"/>
    </row>
    <row r="39" ht="15.75" customHeight="1">
      <c r="A39" s="120"/>
      <c r="B39" s="120"/>
      <c r="C39" s="120"/>
      <c r="D39" s="194"/>
      <c r="E39" s="194"/>
      <c r="F39" s="194"/>
      <c r="G39" s="122"/>
      <c r="H39" s="122"/>
      <c r="I39" s="142"/>
      <c r="J39" s="194"/>
      <c r="K39" s="194"/>
      <c r="L39" s="41"/>
      <c r="M39" s="194"/>
      <c r="N39" s="194"/>
      <c r="O39" s="41"/>
      <c r="P39" s="114"/>
      <c r="Q39" s="115"/>
      <c r="R39" s="115"/>
      <c r="S39" s="203"/>
      <c r="T39" s="203"/>
      <c r="U39" s="203"/>
    </row>
    <row r="40" ht="15.75" customHeight="1">
      <c r="A40" s="120"/>
      <c r="B40" s="120"/>
      <c r="C40" s="120"/>
      <c r="D40" s="193" t="s">
        <v>147</v>
      </c>
      <c r="E40" s="193" t="s">
        <v>155</v>
      </c>
      <c r="F40" s="193" t="s">
        <v>24</v>
      </c>
      <c r="G40" s="165" t="s">
        <v>151</v>
      </c>
      <c r="H40" s="165" t="s">
        <v>155</v>
      </c>
      <c r="I40" s="165" t="s">
        <v>24</v>
      </c>
      <c r="J40" s="194"/>
      <c r="K40" s="194"/>
      <c r="L40" s="194"/>
      <c r="M40" s="187"/>
      <c r="N40" s="194"/>
      <c r="O40" s="194"/>
      <c r="P40" s="114"/>
      <c r="Q40" s="115"/>
      <c r="R40" s="115"/>
      <c r="S40" s="203"/>
      <c r="T40" s="203"/>
      <c r="U40" s="203"/>
    </row>
    <row r="41" ht="15.75" customHeight="1">
      <c r="A41" s="204" t="s">
        <v>69</v>
      </c>
      <c r="B41" s="13"/>
      <c r="C41" s="14"/>
      <c r="D41" s="120" t="s">
        <v>154</v>
      </c>
      <c r="E41" s="120" t="s">
        <v>103</v>
      </c>
      <c r="F41" s="120" t="s">
        <v>42</v>
      </c>
      <c r="G41" s="122"/>
      <c r="H41" s="122"/>
      <c r="I41" s="122"/>
      <c r="J41" s="193" t="s">
        <v>147</v>
      </c>
      <c r="K41" s="193" t="s">
        <v>155</v>
      </c>
      <c r="L41" s="193" t="s">
        <v>24</v>
      </c>
      <c r="M41" s="165" t="s">
        <v>151</v>
      </c>
      <c r="N41" s="165" t="s">
        <v>155</v>
      </c>
      <c r="O41" s="165" t="s">
        <v>24</v>
      </c>
      <c r="P41" s="19" t="s">
        <v>13</v>
      </c>
      <c r="Q41" s="13"/>
      <c r="R41" s="14"/>
      <c r="S41" s="193" t="s">
        <v>147</v>
      </c>
      <c r="T41" s="193" t="s">
        <v>148</v>
      </c>
      <c r="U41" s="193" t="s">
        <v>24</v>
      </c>
    </row>
    <row r="42" ht="15.75" customHeight="1">
      <c r="A42" s="24"/>
      <c r="B42" s="24"/>
      <c r="C42" s="112"/>
      <c r="D42" s="205"/>
      <c r="E42" s="205"/>
      <c r="F42" s="205"/>
      <c r="G42" s="24" t="s">
        <v>157</v>
      </c>
      <c r="H42" s="24"/>
      <c r="I42" s="112" t="s">
        <v>42</v>
      </c>
      <c r="J42" s="41"/>
      <c r="K42" s="41"/>
      <c r="L42" s="42" t="s">
        <v>162</v>
      </c>
      <c r="M42" s="24"/>
      <c r="N42" s="24"/>
      <c r="O42" s="112"/>
      <c r="P42" s="114"/>
      <c r="Q42" s="115"/>
      <c r="R42" s="115"/>
      <c r="S42" s="194"/>
      <c r="T42" s="194"/>
      <c r="U42" s="41"/>
    </row>
    <row r="43" ht="15.75" customHeight="1">
      <c r="A43" s="205"/>
      <c r="B43" s="205"/>
      <c r="C43" s="205"/>
      <c r="D43" s="205"/>
      <c r="E43" s="205"/>
      <c r="F43" s="205"/>
      <c r="G43" s="122" t="s">
        <v>161</v>
      </c>
      <c r="H43" s="122" t="s">
        <v>132</v>
      </c>
      <c r="I43" s="110" t="s">
        <v>24</v>
      </c>
      <c r="J43" s="194"/>
      <c r="K43" s="194"/>
      <c r="L43" s="194"/>
      <c r="M43" s="193" t="s">
        <v>147</v>
      </c>
      <c r="N43" s="193" t="s">
        <v>152</v>
      </c>
      <c r="O43" s="132" t="s">
        <v>48</v>
      </c>
      <c r="P43" s="114"/>
      <c r="Q43" s="115"/>
      <c r="R43" s="115"/>
      <c r="S43" s="165" t="s">
        <v>151</v>
      </c>
      <c r="T43" s="165" t="s">
        <v>152</v>
      </c>
      <c r="U43" s="132" t="s">
        <v>48</v>
      </c>
    </row>
    <row r="44" ht="15.75" customHeight="1">
      <c r="A44" s="113"/>
      <c r="B44" s="113"/>
      <c r="C44" s="113"/>
      <c r="D44" s="205"/>
      <c r="E44" s="205"/>
      <c r="F44" s="205"/>
      <c r="G44" s="194"/>
      <c r="H44" s="194"/>
      <c r="I44" s="194"/>
      <c r="J44" s="24" t="s">
        <v>150</v>
      </c>
      <c r="K44" s="24" t="s">
        <v>132</v>
      </c>
      <c r="L44" s="24" t="s">
        <v>24</v>
      </c>
      <c r="M44" s="138"/>
      <c r="N44" s="138"/>
      <c r="O44" s="138"/>
      <c r="P44" s="114"/>
      <c r="Q44" s="115"/>
      <c r="R44" s="115"/>
      <c r="S44" s="203"/>
      <c r="T44" s="203"/>
      <c r="U44" s="203"/>
    </row>
    <row r="45" ht="15.75" customHeight="1">
      <c r="A45" s="104" t="s">
        <v>118</v>
      </c>
      <c r="B45" s="13"/>
      <c r="C45" s="14"/>
      <c r="D45" s="104" t="s">
        <v>7</v>
      </c>
      <c r="E45" s="13"/>
      <c r="F45" s="14"/>
      <c r="G45" s="104" t="s">
        <v>119</v>
      </c>
      <c r="H45" s="13"/>
      <c r="I45" s="14"/>
      <c r="J45" s="171" t="s">
        <v>9</v>
      </c>
      <c r="K45" s="13"/>
      <c r="L45" s="14"/>
      <c r="M45" s="104" t="s">
        <v>85</v>
      </c>
      <c r="N45" s="13"/>
      <c r="O45" s="14"/>
      <c r="P45" s="157" t="s">
        <v>86</v>
      </c>
      <c r="Q45" s="13"/>
      <c r="R45" s="14"/>
      <c r="S45" s="197" t="s">
        <v>12</v>
      </c>
      <c r="T45" s="13"/>
      <c r="U45" s="14"/>
    </row>
    <row r="46" ht="15.75" customHeight="1">
      <c r="A46" s="107">
        <f>S38+1</f>
        <v>46111</v>
      </c>
      <c r="B46" s="13"/>
      <c r="C46" s="14"/>
      <c r="D46" s="107">
        <f>A46+1</f>
        <v>46112</v>
      </c>
      <c r="E46" s="13"/>
      <c r="F46" s="14"/>
      <c r="G46" s="106">
        <f>D46+1</f>
        <v>46113</v>
      </c>
      <c r="H46" s="13"/>
      <c r="I46" s="14"/>
      <c r="J46" s="106">
        <f>G46+1</f>
        <v>46114</v>
      </c>
      <c r="K46" s="13"/>
      <c r="L46" s="14"/>
      <c r="M46" s="106">
        <f>J46+1</f>
        <v>46115</v>
      </c>
      <c r="N46" s="13"/>
      <c r="O46" s="14"/>
      <c r="P46" s="108">
        <f>M46+1</f>
        <v>46116</v>
      </c>
      <c r="Q46" s="13"/>
      <c r="R46" s="14"/>
      <c r="S46" s="106">
        <f>P46+1</f>
        <v>46117</v>
      </c>
      <c r="T46" s="13"/>
      <c r="U46" s="14"/>
    </row>
    <row r="47" ht="15.75" customHeight="1">
      <c r="A47" s="201" t="s">
        <v>153</v>
      </c>
      <c r="B47" s="201" t="s">
        <v>59</v>
      </c>
      <c r="C47" s="201" t="s">
        <v>24</v>
      </c>
      <c r="D47" s="113"/>
      <c r="E47" s="113"/>
      <c r="F47" s="113"/>
      <c r="G47" s="206"/>
      <c r="H47" s="206"/>
      <c r="I47" s="206"/>
      <c r="J47" s="113"/>
      <c r="K47" s="113"/>
      <c r="L47" s="155"/>
      <c r="M47" s="113"/>
      <c r="N47" s="113"/>
      <c r="O47" s="155"/>
      <c r="P47" s="206"/>
      <c r="Q47" s="206"/>
      <c r="R47" s="206"/>
      <c r="S47" s="203"/>
      <c r="T47" s="203"/>
      <c r="U47" s="203"/>
    </row>
    <row r="48" ht="15.75" customHeight="1">
      <c r="A48" s="165" t="s">
        <v>151</v>
      </c>
      <c r="B48" s="165" t="s">
        <v>148</v>
      </c>
      <c r="C48" s="165" t="s">
        <v>24</v>
      </c>
      <c r="D48" s="165" t="s">
        <v>151</v>
      </c>
      <c r="E48" s="165" t="s">
        <v>155</v>
      </c>
      <c r="F48" s="165" t="s">
        <v>24</v>
      </c>
      <c r="G48" s="207"/>
      <c r="H48" s="207"/>
      <c r="I48" s="207"/>
      <c r="J48" s="113"/>
      <c r="K48" s="113"/>
      <c r="L48" s="113"/>
      <c r="M48" s="138"/>
      <c r="N48" s="138"/>
      <c r="O48" s="138"/>
      <c r="P48" s="206"/>
      <c r="Q48" s="206"/>
      <c r="R48" s="206"/>
      <c r="S48" s="203"/>
      <c r="T48" s="203"/>
      <c r="U48" s="203"/>
    </row>
    <row r="49" ht="15.75" customHeight="1">
      <c r="A49" s="194"/>
      <c r="B49" s="194"/>
      <c r="C49" s="24"/>
      <c r="D49" s="50" t="s">
        <v>157</v>
      </c>
      <c r="E49" s="50" t="s">
        <v>103</v>
      </c>
      <c r="F49" s="173" t="s">
        <v>42</v>
      </c>
      <c r="G49" s="138"/>
      <c r="H49" s="138"/>
      <c r="I49" s="138"/>
      <c r="J49" s="138"/>
      <c r="K49" s="138"/>
      <c r="L49" s="138"/>
      <c r="M49" s="138"/>
      <c r="N49" s="138"/>
      <c r="O49" s="138"/>
      <c r="P49" s="206"/>
      <c r="Q49" s="206"/>
      <c r="R49" s="206"/>
      <c r="S49" s="208"/>
      <c r="T49" s="208"/>
      <c r="U49" s="208"/>
    </row>
    <row r="50" ht="15.75" customHeight="1">
      <c r="A50" s="122" t="s">
        <v>159</v>
      </c>
      <c r="B50" s="122" t="s">
        <v>160</v>
      </c>
      <c r="C50" s="142" t="s">
        <v>27</v>
      </c>
      <c r="D50" s="193" t="s">
        <v>147</v>
      </c>
      <c r="E50" s="193" t="s">
        <v>152</v>
      </c>
      <c r="F50" s="132" t="s">
        <v>48</v>
      </c>
      <c r="G50" s="154"/>
      <c r="H50" s="154"/>
      <c r="I50" s="154"/>
      <c r="J50" s="154"/>
      <c r="K50" s="154"/>
      <c r="L50" s="154"/>
      <c r="M50" s="138"/>
      <c r="N50" s="138"/>
      <c r="O50" s="138"/>
      <c r="P50" s="113"/>
      <c r="Q50" s="113"/>
      <c r="R50" s="113"/>
      <c r="S50" s="203"/>
      <c r="T50" s="203"/>
      <c r="U50" s="203"/>
    </row>
    <row r="51" ht="15.75" customHeight="1">
      <c r="A51" s="127"/>
      <c r="B51" s="127"/>
      <c r="C51" s="127"/>
      <c r="D51" s="194"/>
      <c r="F51" s="209"/>
      <c r="G51" s="209"/>
      <c r="H51" s="209"/>
      <c r="I51" s="209"/>
      <c r="J51" s="141"/>
      <c r="K51" s="141"/>
      <c r="L51" s="141"/>
      <c r="M51" s="113"/>
      <c r="N51" s="113"/>
      <c r="O51" s="113"/>
      <c r="P51" s="113"/>
      <c r="Q51" s="113"/>
      <c r="R51" s="113"/>
      <c r="S51" s="208"/>
      <c r="T51" s="208"/>
      <c r="U51" s="210"/>
    </row>
    <row r="52" ht="15.75" customHeight="1">
      <c r="A52" s="113"/>
      <c r="B52" s="113"/>
      <c r="C52" s="113"/>
      <c r="D52" s="138"/>
      <c r="E52" s="138"/>
      <c r="F52" s="138"/>
      <c r="G52" s="113"/>
      <c r="H52" s="113"/>
      <c r="I52" s="113"/>
      <c r="J52" s="154"/>
      <c r="K52" s="154"/>
      <c r="L52" s="154"/>
      <c r="M52" s="138"/>
      <c r="N52" s="138"/>
      <c r="O52" s="211"/>
      <c r="P52" s="113"/>
      <c r="Q52" s="113"/>
      <c r="R52" s="113"/>
      <c r="S52" s="203"/>
      <c r="T52" s="203"/>
      <c r="U52" s="203"/>
    </row>
    <row r="53" ht="15.75" customHeight="1"/>
    <row r="54" ht="15.75" customHeight="1"/>
    <row r="55" ht="15.75" customHeight="1">
      <c r="A55" s="83" t="s">
        <v>76</v>
      </c>
      <c r="B55" s="84"/>
    </row>
    <row r="56" ht="15.75" customHeight="1">
      <c r="A56" s="85"/>
      <c r="B56" s="86" t="s">
        <v>77</v>
      </c>
      <c r="C56" s="87"/>
      <c r="D56" s="88"/>
    </row>
    <row r="57" ht="15.75" customHeight="1">
      <c r="A57" s="92"/>
      <c r="B57" s="86" t="s">
        <v>78</v>
      </c>
      <c r="C57" s="87"/>
    </row>
    <row r="58" ht="15.75" customHeight="1">
      <c r="A58" s="95"/>
      <c r="B58" s="86" t="s">
        <v>79</v>
      </c>
      <c r="C58" s="87"/>
    </row>
    <row r="59" ht="15.75" customHeight="1">
      <c r="A59" s="96"/>
      <c r="B59" s="86" t="s">
        <v>80</v>
      </c>
      <c r="C59" s="87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4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J30:L30"/>
    <mergeCell ref="M30:O30"/>
    <mergeCell ref="P30:R30"/>
    <mergeCell ref="S30:U30"/>
    <mergeCell ref="M37:O37"/>
    <mergeCell ref="P37:R37"/>
    <mergeCell ref="V38:X38"/>
    <mergeCell ref="Y38:Z38"/>
    <mergeCell ref="M33:O33"/>
    <mergeCell ref="P33:R33"/>
    <mergeCell ref="S33:U33"/>
    <mergeCell ref="D37:F37"/>
    <mergeCell ref="G37:I37"/>
    <mergeCell ref="J37:L37"/>
    <mergeCell ref="S37:U37"/>
    <mergeCell ref="M45:O45"/>
    <mergeCell ref="P45:R45"/>
    <mergeCell ref="S45:U45"/>
    <mergeCell ref="A46:C46"/>
    <mergeCell ref="D46:F46"/>
    <mergeCell ref="G46:I46"/>
    <mergeCell ref="J46:L46"/>
    <mergeCell ref="M46:O46"/>
    <mergeCell ref="P46:R46"/>
    <mergeCell ref="S46:U46"/>
    <mergeCell ref="A38:C38"/>
    <mergeCell ref="A41:C41"/>
    <mergeCell ref="P41:R41"/>
    <mergeCell ref="A45:C45"/>
    <mergeCell ref="D45:F45"/>
    <mergeCell ref="G45:I45"/>
    <mergeCell ref="J45:L45"/>
    <mergeCell ref="B55:D5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P9:R9"/>
    <mergeCell ref="P17:R17"/>
    <mergeCell ref="P25:R2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37:C37"/>
    <mergeCell ref="D38:F38"/>
    <mergeCell ref="G38:I38"/>
    <mergeCell ref="J38:L38"/>
    <mergeCell ref="M38:O38"/>
    <mergeCell ref="P38:R38"/>
    <mergeCell ref="S38:U38"/>
  </mergeCells>
  <printOptions/>
  <pageMargins bottom="0.15" footer="0.0" header="0.0" left="0.46" right="0.34" top="0.28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2.57"/>
    <col customWidth="1" min="3" max="3" width="7.86"/>
    <col customWidth="1" min="4" max="4" width="19.29"/>
    <col customWidth="1" min="5" max="5" width="11.43"/>
    <col customWidth="1" min="6" max="6" width="7.43"/>
    <col customWidth="1" min="7" max="7" width="22.43"/>
    <col customWidth="1" min="8" max="8" width="11.43"/>
    <col customWidth="1" min="9" max="9" width="7.14"/>
    <col customWidth="1" min="10" max="10" width="17.0"/>
    <col customWidth="1" min="11" max="11" width="11.43"/>
    <col customWidth="1" min="12" max="12" width="7.71"/>
    <col customWidth="1" min="13" max="13" width="20.86"/>
    <col customWidth="1" min="14" max="14" width="11.43"/>
    <col customWidth="1" min="15" max="15" width="7.71"/>
    <col customWidth="1" min="16" max="16" width="17.29"/>
    <col customWidth="1" min="17" max="17" width="11.71"/>
    <col customWidth="1" min="18" max="18" width="7.71"/>
    <col customWidth="1" min="19" max="19" width="16.71"/>
    <col customWidth="1" min="20" max="20" width="11.57"/>
    <col customWidth="1" min="21" max="21" width="7.14"/>
    <col customWidth="1" min="22" max="22" width="8.71"/>
    <col customWidth="1" min="23" max="23" width="4.0"/>
    <col customWidth="1" min="24" max="24" width="20.43"/>
    <col customWidth="1" min="25" max="25" width="12.29"/>
    <col customWidth="1" min="26" max="26" width="8.71"/>
  </cols>
  <sheetData>
    <row r="1" ht="22.5" customHeight="1">
      <c r="A1" s="1" t="s">
        <v>163</v>
      </c>
      <c r="C1" s="2" t="s">
        <v>164</v>
      </c>
      <c r="F1" s="3"/>
      <c r="G1" s="4" t="s">
        <v>1</v>
      </c>
      <c r="Q1" s="3"/>
    </row>
    <row r="2">
      <c r="A2" s="6" t="s">
        <v>2</v>
      </c>
      <c r="C2" s="7" t="s">
        <v>82</v>
      </c>
      <c r="F2" s="3"/>
      <c r="Q2" s="3"/>
    </row>
    <row r="3">
      <c r="A3" s="6" t="s">
        <v>4</v>
      </c>
      <c r="C3" s="2" t="s">
        <v>83</v>
      </c>
      <c r="F3" s="3"/>
      <c r="Q3" s="3"/>
    </row>
    <row r="4">
      <c r="A4" s="6" t="s">
        <v>5</v>
      </c>
      <c r="C4" s="2" t="s">
        <v>83</v>
      </c>
      <c r="F4" s="3"/>
      <c r="G4" s="3"/>
      <c r="H4" s="3"/>
      <c r="I4" s="3"/>
      <c r="J4" s="3"/>
      <c r="K4" s="3"/>
      <c r="L4" s="3"/>
      <c r="M4" s="3"/>
      <c r="N4" s="3"/>
      <c r="O4" s="99"/>
      <c r="P4" s="100"/>
      <c r="Q4" s="101"/>
    </row>
    <row r="5">
      <c r="A5" s="12" t="s">
        <v>6</v>
      </c>
      <c r="B5" s="13"/>
      <c r="C5" s="14"/>
      <c r="D5" s="12" t="s">
        <v>7</v>
      </c>
      <c r="E5" s="13"/>
      <c r="F5" s="14"/>
      <c r="G5" s="12" t="s">
        <v>8</v>
      </c>
      <c r="H5" s="13"/>
      <c r="I5" s="14"/>
      <c r="J5" s="12" t="s">
        <v>9</v>
      </c>
      <c r="K5" s="13"/>
      <c r="L5" s="14"/>
      <c r="M5" s="12" t="s">
        <v>10</v>
      </c>
      <c r="N5" s="13"/>
      <c r="O5" s="14"/>
      <c r="P5" s="12" t="s">
        <v>11</v>
      </c>
      <c r="Q5" s="13"/>
      <c r="R5" s="14"/>
      <c r="S5" s="15" t="s">
        <v>12</v>
      </c>
      <c r="T5" s="13"/>
      <c r="U5" s="14"/>
    </row>
    <row r="6">
      <c r="A6" s="16">
        <v>46055.0</v>
      </c>
      <c r="B6" s="13"/>
      <c r="C6" s="14"/>
      <c r="D6" s="16">
        <v>46056.0</v>
      </c>
      <c r="E6" s="13"/>
      <c r="F6" s="14"/>
      <c r="G6" s="16">
        <f>D6+1</f>
        <v>46057</v>
      </c>
      <c r="H6" s="13"/>
      <c r="I6" s="14"/>
      <c r="J6" s="16">
        <f>G6+1</f>
        <v>46058</v>
      </c>
      <c r="K6" s="13"/>
      <c r="L6" s="14"/>
      <c r="M6" s="16">
        <f>J6+1</f>
        <v>46059</v>
      </c>
      <c r="N6" s="13"/>
      <c r="O6" s="14"/>
      <c r="P6" s="16">
        <f>M6+1</f>
        <v>46060</v>
      </c>
      <c r="Q6" s="13"/>
      <c r="R6" s="14"/>
      <c r="S6" s="17">
        <v>46082.0</v>
      </c>
      <c r="T6" s="13"/>
      <c r="U6" s="14"/>
    </row>
    <row r="7">
      <c r="A7" s="122"/>
      <c r="B7" s="212"/>
      <c r="C7" s="122"/>
      <c r="D7" s="110"/>
      <c r="E7" s="142"/>
      <c r="F7" s="142"/>
      <c r="G7" s="122"/>
      <c r="H7" s="122"/>
      <c r="I7" s="122"/>
      <c r="J7" s="34"/>
      <c r="K7" s="34"/>
      <c r="L7" s="34"/>
      <c r="M7" s="34"/>
      <c r="N7" s="213"/>
      <c r="O7" s="34"/>
      <c r="P7" s="24"/>
      <c r="Q7" s="24"/>
      <c r="R7" s="24"/>
      <c r="S7" s="214"/>
      <c r="T7" s="214"/>
      <c r="U7" s="214"/>
    </row>
    <row r="8">
      <c r="A8" s="62"/>
      <c r="B8" s="62"/>
      <c r="C8" s="62"/>
      <c r="D8" s="122"/>
      <c r="E8" s="212"/>
      <c r="F8" s="122"/>
      <c r="G8" s="110"/>
      <c r="H8" s="110"/>
      <c r="I8" s="110"/>
      <c r="J8" s="34"/>
      <c r="K8" s="34"/>
      <c r="L8" s="34"/>
      <c r="M8" s="34"/>
      <c r="N8" s="213"/>
      <c r="O8" s="34"/>
      <c r="P8" s="24"/>
      <c r="Q8" s="24"/>
      <c r="R8" s="24"/>
      <c r="S8" s="215"/>
      <c r="T8" s="13"/>
      <c r="U8" s="14"/>
    </row>
    <row r="9">
      <c r="A9" s="122"/>
      <c r="B9" s="122"/>
      <c r="C9" s="122"/>
      <c r="D9" s="62"/>
      <c r="E9" s="62"/>
      <c r="F9" s="62"/>
      <c r="G9" s="122"/>
      <c r="H9" s="212"/>
      <c r="I9" s="122"/>
      <c r="J9" s="34"/>
      <c r="K9" s="34"/>
      <c r="L9" s="34"/>
      <c r="M9" s="216"/>
      <c r="N9" s="217"/>
      <c r="O9" s="153"/>
      <c r="P9" s="24"/>
      <c r="Q9" s="24"/>
      <c r="R9" s="24"/>
      <c r="S9" s="218" t="s">
        <v>13</v>
      </c>
      <c r="T9" s="13"/>
      <c r="U9" s="14"/>
      <c r="W9" s="181" t="s">
        <v>14</v>
      </c>
      <c r="X9" s="182" t="s">
        <v>144</v>
      </c>
      <c r="Y9" s="219" t="s">
        <v>16</v>
      </c>
    </row>
    <row r="10">
      <c r="A10" s="122"/>
      <c r="B10" s="122"/>
      <c r="C10" s="122"/>
      <c r="D10" s="62"/>
      <c r="E10" s="62"/>
      <c r="F10" s="62"/>
      <c r="G10" s="138"/>
      <c r="H10" s="138"/>
      <c r="I10" s="138"/>
      <c r="J10" s="216"/>
      <c r="K10" s="220"/>
      <c r="L10" s="216"/>
      <c r="M10" s="34"/>
      <c r="N10" s="213"/>
      <c r="O10" s="34"/>
      <c r="P10" s="140"/>
      <c r="Q10" s="140"/>
      <c r="R10" s="140"/>
      <c r="S10" s="203"/>
      <c r="T10" s="203"/>
      <c r="U10" s="208"/>
      <c r="W10" s="186">
        <v>1.0</v>
      </c>
      <c r="X10" s="170" t="s">
        <v>165</v>
      </c>
      <c r="Y10" s="221">
        <f t="shared" ref="Y10:Y11" si="1">COUNTIF($A$5:$U$51,X10)</f>
        <v>2</v>
      </c>
    </row>
    <row r="11">
      <c r="A11" s="122"/>
      <c r="B11" s="122"/>
      <c r="C11" s="122"/>
      <c r="D11" s="122"/>
      <c r="E11" s="62"/>
      <c r="F11" s="122"/>
      <c r="G11" s="216"/>
      <c r="H11" s="220"/>
      <c r="I11" s="216"/>
      <c r="J11" s="160"/>
      <c r="K11" s="222"/>
      <c r="L11" s="160"/>
      <c r="M11" s="216"/>
      <c r="N11" s="220"/>
      <c r="O11" s="216"/>
      <c r="P11" s="138"/>
      <c r="Q11" s="138"/>
      <c r="R11" s="138"/>
      <c r="S11" s="138"/>
      <c r="T11" s="138"/>
      <c r="U11" s="113"/>
      <c r="W11" s="186">
        <v>2.0</v>
      </c>
      <c r="X11" s="148" t="s">
        <v>166</v>
      </c>
      <c r="Y11" s="221">
        <f t="shared" si="1"/>
        <v>4</v>
      </c>
    </row>
    <row r="12">
      <c r="A12" s="216"/>
      <c r="B12" s="216"/>
      <c r="C12" s="216"/>
      <c r="D12" s="122"/>
      <c r="E12" s="62"/>
      <c r="F12" s="122"/>
      <c r="G12" s="216"/>
      <c r="H12" s="220"/>
      <c r="I12" s="220"/>
      <c r="J12" s="140"/>
      <c r="K12" s="216"/>
      <c r="L12" s="216"/>
      <c r="M12" s="140"/>
      <c r="N12" s="217"/>
      <c r="O12" s="216"/>
      <c r="P12" s="138"/>
      <c r="Q12" s="152"/>
      <c r="R12" s="113"/>
      <c r="S12" s="208"/>
      <c r="T12" s="208"/>
      <c r="U12" s="208"/>
      <c r="W12" s="186">
        <v>3.0</v>
      </c>
      <c r="X12" s="120"/>
      <c r="Y12" s="221"/>
    </row>
    <row r="13">
      <c r="A13" s="104" t="s">
        <v>6</v>
      </c>
      <c r="B13" s="13"/>
      <c r="C13" s="14"/>
      <c r="D13" s="104" t="s">
        <v>7</v>
      </c>
      <c r="E13" s="13"/>
      <c r="F13" s="14"/>
      <c r="G13" s="104" t="s">
        <v>8</v>
      </c>
      <c r="H13" s="13"/>
      <c r="I13" s="14"/>
      <c r="J13" s="104" t="s">
        <v>9</v>
      </c>
      <c r="K13" s="13"/>
      <c r="L13" s="14"/>
      <c r="M13" s="104" t="s">
        <v>85</v>
      </c>
      <c r="N13" s="13"/>
      <c r="O13" s="14"/>
      <c r="P13" s="104" t="s">
        <v>86</v>
      </c>
      <c r="Q13" s="13"/>
      <c r="R13" s="14"/>
      <c r="S13" s="105" t="s">
        <v>12</v>
      </c>
      <c r="T13" s="13"/>
      <c r="U13" s="14"/>
      <c r="W13" s="186">
        <v>4.0</v>
      </c>
      <c r="X13" s="187" t="s">
        <v>167</v>
      </c>
      <c r="Y13" s="221">
        <f t="shared" ref="Y13:Y39" si="2">COUNTIF($A$5:$U$51,X13)</f>
        <v>4</v>
      </c>
    </row>
    <row r="14">
      <c r="A14" s="106">
        <f>S6+1</f>
        <v>46083</v>
      </c>
      <c r="B14" s="13"/>
      <c r="C14" s="14"/>
      <c r="D14" s="106">
        <f>A14+1</f>
        <v>46084</v>
      </c>
      <c r="E14" s="13"/>
      <c r="F14" s="14"/>
      <c r="G14" s="106">
        <f>D14+1</f>
        <v>46085</v>
      </c>
      <c r="H14" s="13"/>
      <c r="I14" s="14"/>
      <c r="J14" s="106">
        <f>G14+1</f>
        <v>46086</v>
      </c>
      <c r="K14" s="13"/>
      <c r="L14" s="14"/>
      <c r="M14" s="107">
        <f>J14+1</f>
        <v>46087</v>
      </c>
      <c r="N14" s="13"/>
      <c r="O14" s="14"/>
      <c r="P14" s="106">
        <f>M14+1</f>
        <v>46088</v>
      </c>
      <c r="Q14" s="13"/>
      <c r="R14" s="14"/>
      <c r="S14" s="108">
        <f>P14+1</f>
        <v>46089</v>
      </c>
      <c r="T14" s="13"/>
      <c r="U14" s="14"/>
      <c r="W14" s="186">
        <v>5.0</v>
      </c>
      <c r="X14" s="187" t="s">
        <v>168</v>
      </c>
      <c r="Y14" s="221">
        <f t="shared" si="2"/>
        <v>0</v>
      </c>
    </row>
    <row r="15">
      <c r="A15" s="24"/>
      <c r="B15" s="223"/>
      <c r="C15" s="24"/>
      <c r="D15" s="74"/>
      <c r="E15" s="74"/>
      <c r="F15" s="74"/>
      <c r="J15" s="127"/>
      <c r="K15" s="127"/>
      <c r="L15" s="127"/>
      <c r="M15" s="115"/>
      <c r="N15" s="115"/>
      <c r="O15" s="115"/>
      <c r="P15" s="24"/>
      <c r="Q15" s="24"/>
      <c r="R15" s="24"/>
      <c r="S15" s="214"/>
      <c r="T15" s="214"/>
      <c r="U15" s="214"/>
      <c r="W15" s="186">
        <v>6.0</v>
      </c>
      <c r="X15" s="224" t="s">
        <v>169</v>
      </c>
      <c r="Y15" s="221">
        <f t="shared" si="2"/>
        <v>2</v>
      </c>
    </row>
    <row r="16">
      <c r="A16" s="24" t="s">
        <v>170</v>
      </c>
      <c r="B16" s="24" t="s">
        <v>25</v>
      </c>
      <c r="C16" s="24" t="s">
        <v>24</v>
      </c>
      <c r="D16" s="120" t="s">
        <v>167</v>
      </c>
      <c r="E16" s="112" t="s">
        <v>171</v>
      </c>
      <c r="F16" s="112" t="s">
        <v>24</v>
      </c>
      <c r="G16" s="24" t="s">
        <v>172</v>
      </c>
      <c r="H16" s="24" t="s">
        <v>29</v>
      </c>
      <c r="I16" s="24" t="s">
        <v>42</v>
      </c>
      <c r="J16" s="24" t="s">
        <v>173</v>
      </c>
      <c r="K16" s="225" t="s">
        <v>103</v>
      </c>
      <c r="L16" s="24" t="s">
        <v>174</v>
      </c>
      <c r="P16" s="24" t="s">
        <v>166</v>
      </c>
      <c r="Q16" s="24" t="s">
        <v>175</v>
      </c>
      <c r="R16" s="24" t="s">
        <v>24</v>
      </c>
      <c r="S16" s="218" t="s">
        <v>13</v>
      </c>
      <c r="T16" s="13"/>
      <c r="U16" s="14"/>
      <c r="W16" s="186">
        <v>7.0</v>
      </c>
      <c r="X16" s="170" t="s">
        <v>176</v>
      </c>
      <c r="Y16" s="221">
        <f t="shared" si="2"/>
        <v>2</v>
      </c>
    </row>
    <row r="17">
      <c r="A17" s="226" t="s">
        <v>177</v>
      </c>
      <c r="B17" s="226" t="s">
        <v>29</v>
      </c>
      <c r="C17" s="24"/>
      <c r="D17" s="24" t="s">
        <v>169</v>
      </c>
      <c r="E17" s="223" t="s">
        <v>59</v>
      </c>
      <c r="F17" s="24" t="s">
        <v>27</v>
      </c>
      <c r="G17" s="24" t="s">
        <v>178</v>
      </c>
      <c r="H17" s="223" t="s">
        <v>26</v>
      </c>
      <c r="I17" s="24" t="s">
        <v>24</v>
      </c>
      <c r="J17" s="44" t="s">
        <v>39</v>
      </c>
      <c r="K17" s="44" t="s">
        <v>40</v>
      </c>
      <c r="L17" s="45"/>
      <c r="M17" s="24" t="s">
        <v>179</v>
      </c>
      <c r="N17" s="227" t="s">
        <v>113</v>
      </c>
      <c r="O17" s="40" t="s">
        <v>24</v>
      </c>
      <c r="P17" s="205"/>
      <c r="Q17" s="140"/>
      <c r="R17" s="49" t="s">
        <v>48</v>
      </c>
      <c r="S17" s="24"/>
      <c r="T17" s="24"/>
      <c r="U17" s="24"/>
      <c r="W17" s="186">
        <v>8.0</v>
      </c>
      <c r="X17" s="24" t="s">
        <v>178</v>
      </c>
      <c r="Y17" s="221">
        <f t="shared" si="2"/>
        <v>2</v>
      </c>
    </row>
    <row r="18">
      <c r="A18" s="24" t="s">
        <v>180</v>
      </c>
      <c r="B18" s="24" t="s">
        <v>181</v>
      </c>
      <c r="C18" s="24" t="s">
        <v>24</v>
      </c>
      <c r="D18" s="24" t="s">
        <v>182</v>
      </c>
      <c r="E18" s="228" t="s">
        <v>183</v>
      </c>
      <c r="F18" s="24" t="s">
        <v>24</v>
      </c>
      <c r="G18" s="24" t="s">
        <v>170</v>
      </c>
      <c r="H18" s="223" t="s">
        <v>184</v>
      </c>
      <c r="I18" s="24" t="s">
        <v>24</v>
      </c>
      <c r="J18" s="24" t="s">
        <v>185</v>
      </c>
      <c r="K18" s="223" t="s">
        <v>186</v>
      </c>
      <c r="L18" s="24" t="s">
        <v>24</v>
      </c>
      <c r="M18" s="112" t="s">
        <v>187</v>
      </c>
      <c r="N18" s="112" t="s">
        <v>186</v>
      </c>
      <c r="O18" s="112" t="s">
        <v>24</v>
      </c>
      <c r="P18" s="120" t="s">
        <v>165</v>
      </c>
      <c r="Q18" s="120" t="s">
        <v>132</v>
      </c>
      <c r="R18" s="120" t="s">
        <v>24</v>
      </c>
      <c r="S18" s="205"/>
      <c r="T18" s="205"/>
      <c r="U18" s="24"/>
      <c r="W18" s="186">
        <v>9.0</v>
      </c>
      <c r="X18" s="148"/>
      <c r="Y18" s="221">
        <f t="shared" si="2"/>
        <v>0</v>
      </c>
    </row>
    <row r="19" ht="15.0" customHeight="1">
      <c r="A19" s="24"/>
      <c r="B19" s="24"/>
      <c r="C19" s="24"/>
      <c r="D19" s="24" t="s">
        <v>188</v>
      </c>
      <c r="E19" s="48"/>
      <c r="F19" s="24" t="s">
        <v>27</v>
      </c>
      <c r="G19" s="205"/>
      <c r="H19" s="205"/>
      <c r="I19" s="42" t="s">
        <v>36</v>
      </c>
      <c r="J19" s="24"/>
      <c r="K19" s="24"/>
      <c r="L19" s="24"/>
      <c r="M19" s="115"/>
      <c r="N19" s="115"/>
      <c r="O19" s="115"/>
      <c r="S19" s="120"/>
      <c r="T19" s="120"/>
      <c r="U19" s="120"/>
      <c r="W19" s="186">
        <v>10.0</v>
      </c>
      <c r="X19" s="229" t="s">
        <v>170</v>
      </c>
      <c r="Y19" s="221">
        <f t="shared" si="2"/>
        <v>8</v>
      </c>
    </row>
    <row r="20" ht="15.0" customHeight="1">
      <c r="A20" s="120"/>
      <c r="B20" s="207"/>
      <c r="C20" s="196"/>
      <c r="D20" s="120"/>
      <c r="E20" s="207"/>
      <c r="F20" s="196"/>
      <c r="G20" s="120"/>
      <c r="H20" s="207"/>
      <c r="I20" s="196"/>
      <c r="J20" s="205"/>
      <c r="K20" s="207"/>
      <c r="L20" s="207"/>
      <c r="M20" s="115"/>
      <c r="N20" s="115"/>
      <c r="O20" s="115"/>
      <c r="P20" s="120"/>
      <c r="Q20" s="207"/>
      <c r="R20" s="196"/>
      <c r="S20" s="208"/>
      <c r="T20" s="208"/>
      <c r="U20" s="208"/>
      <c r="W20" s="186">
        <v>11.0</v>
      </c>
      <c r="X20" s="24" t="s">
        <v>189</v>
      </c>
      <c r="Y20" s="221">
        <f t="shared" si="2"/>
        <v>2</v>
      </c>
    </row>
    <row r="21" ht="15.75" customHeight="1">
      <c r="A21" s="133" t="s">
        <v>118</v>
      </c>
      <c r="B21" s="13"/>
      <c r="C21" s="14"/>
      <c r="D21" s="199" t="s">
        <v>7</v>
      </c>
      <c r="E21" s="13"/>
      <c r="F21" s="14"/>
      <c r="G21" s="133" t="s">
        <v>119</v>
      </c>
      <c r="H21" s="13"/>
      <c r="I21" s="14"/>
      <c r="J21" s="133" t="s">
        <v>9</v>
      </c>
      <c r="K21" s="13"/>
      <c r="L21" s="14"/>
      <c r="M21" s="133" t="s">
        <v>10</v>
      </c>
      <c r="N21" s="13"/>
      <c r="O21" s="14"/>
      <c r="P21" s="133" t="s">
        <v>86</v>
      </c>
      <c r="Q21" s="13"/>
      <c r="R21" s="14"/>
      <c r="S21" s="134" t="s">
        <v>120</v>
      </c>
      <c r="T21" s="13"/>
      <c r="U21" s="14"/>
      <c r="W21" s="186">
        <v>12.0</v>
      </c>
      <c r="X21" s="229" t="s">
        <v>180</v>
      </c>
      <c r="Y21" s="221">
        <f t="shared" si="2"/>
        <v>4</v>
      </c>
    </row>
    <row r="22" ht="15.75" customHeight="1">
      <c r="A22" s="136">
        <f>S14+1</f>
        <v>46090</v>
      </c>
      <c r="B22" s="13"/>
      <c r="C22" s="14"/>
      <c r="D22" s="200">
        <f>A22+1</f>
        <v>46091</v>
      </c>
      <c r="E22" s="13"/>
      <c r="F22" s="14"/>
      <c r="G22" s="136">
        <f>D22+1</f>
        <v>46092</v>
      </c>
      <c r="H22" s="13"/>
      <c r="I22" s="14"/>
      <c r="J22" s="136">
        <f>G22+1</f>
        <v>46093</v>
      </c>
      <c r="K22" s="13"/>
      <c r="L22" s="14"/>
      <c r="M22" s="136">
        <f>J22+1</f>
        <v>46094</v>
      </c>
      <c r="N22" s="13"/>
      <c r="O22" s="14"/>
      <c r="P22" s="136">
        <f>M22+1</f>
        <v>46095</v>
      </c>
      <c r="Q22" s="13"/>
      <c r="R22" s="14"/>
      <c r="S22" s="137">
        <f>P22+1</f>
        <v>46096</v>
      </c>
      <c r="T22" s="13"/>
      <c r="U22" s="14"/>
      <c r="W22" s="186">
        <v>13.0</v>
      </c>
      <c r="X22" s="187" t="s">
        <v>188</v>
      </c>
      <c r="Y22" s="221">
        <f t="shared" si="2"/>
        <v>2</v>
      </c>
    </row>
    <row r="23" ht="15.75" customHeight="1">
      <c r="A23" s="24"/>
      <c r="B23" s="223"/>
      <c r="C23" s="24"/>
      <c r="D23" s="110"/>
      <c r="E23" s="110"/>
      <c r="F23" s="110"/>
      <c r="G23" s="24"/>
      <c r="H23" s="24"/>
      <c r="I23" s="24"/>
      <c r="J23" s="120"/>
      <c r="K23" s="120"/>
      <c r="L23" s="120"/>
      <c r="M23" s="74"/>
      <c r="N23" s="74"/>
      <c r="O23" s="74"/>
      <c r="P23" s="230" t="s">
        <v>190</v>
      </c>
      <c r="Q23" s="231" t="s">
        <v>57</v>
      </c>
      <c r="R23" s="230" t="s">
        <v>27</v>
      </c>
      <c r="S23" s="232"/>
      <c r="T23" s="232"/>
      <c r="U23" s="232"/>
      <c r="W23" s="186">
        <v>14.0</v>
      </c>
      <c r="X23" s="229" t="s">
        <v>187</v>
      </c>
      <c r="Y23" s="221">
        <f t="shared" si="2"/>
        <v>3</v>
      </c>
    </row>
    <row r="24" ht="15.75" customHeight="1">
      <c r="A24" s="24" t="s">
        <v>170</v>
      </c>
      <c r="B24" s="24" t="s">
        <v>25</v>
      </c>
      <c r="C24" s="24" t="s">
        <v>24</v>
      </c>
      <c r="D24" s="120"/>
      <c r="E24" s="120"/>
      <c r="F24" s="120"/>
      <c r="G24" s="24" t="s">
        <v>170</v>
      </c>
      <c r="H24" s="24" t="s">
        <v>25</v>
      </c>
      <c r="I24" s="53" t="s">
        <v>24</v>
      </c>
      <c r="J24" s="24" t="s">
        <v>185</v>
      </c>
      <c r="K24" s="223" t="s">
        <v>191</v>
      </c>
      <c r="L24" s="24" t="s">
        <v>24</v>
      </c>
      <c r="M24" s="24" t="s">
        <v>189</v>
      </c>
      <c r="N24" s="148" t="s">
        <v>57</v>
      </c>
      <c r="O24" s="24" t="s">
        <v>24</v>
      </c>
      <c r="P24" s="233" t="s">
        <v>192</v>
      </c>
      <c r="Q24" s="234" t="s">
        <v>59</v>
      </c>
      <c r="R24" s="235" t="s">
        <v>27</v>
      </c>
      <c r="S24" s="232"/>
      <c r="T24" s="232"/>
      <c r="U24" s="232"/>
      <c r="W24" s="186">
        <v>15.0</v>
      </c>
      <c r="X24" s="229" t="s">
        <v>193</v>
      </c>
      <c r="Y24" s="221">
        <f t="shared" si="2"/>
        <v>2</v>
      </c>
    </row>
    <row r="25" ht="15.75" customHeight="1">
      <c r="A25" s="24" t="s">
        <v>180</v>
      </c>
      <c r="B25" s="24" t="s">
        <v>181</v>
      </c>
      <c r="C25" s="24" t="s">
        <v>24</v>
      </c>
      <c r="D25" s="120" t="s">
        <v>194</v>
      </c>
      <c r="E25" s="120" t="s">
        <v>29</v>
      </c>
      <c r="F25" s="120" t="s">
        <v>24</v>
      </c>
      <c r="G25" s="24"/>
      <c r="H25" s="24"/>
      <c r="I25" s="42" t="s">
        <v>36</v>
      </c>
      <c r="J25" s="24" t="s">
        <v>195</v>
      </c>
      <c r="K25" s="24" t="s">
        <v>64</v>
      </c>
      <c r="L25" s="24" t="s">
        <v>42</v>
      </c>
      <c r="M25" s="24" t="s">
        <v>196</v>
      </c>
      <c r="N25" s="53" t="s">
        <v>95</v>
      </c>
      <c r="O25" s="24" t="s">
        <v>42</v>
      </c>
      <c r="P25" s="24" t="s">
        <v>197</v>
      </c>
      <c r="Q25" s="24" t="s">
        <v>95</v>
      </c>
      <c r="R25" s="24" t="s">
        <v>42</v>
      </c>
      <c r="S25" s="236"/>
      <c r="T25" s="13"/>
      <c r="U25" s="14"/>
      <c r="W25" s="186">
        <v>16.0</v>
      </c>
      <c r="X25" s="229" t="s">
        <v>166</v>
      </c>
      <c r="Y25" s="221">
        <f t="shared" si="2"/>
        <v>4</v>
      </c>
    </row>
    <row r="26" ht="15.75" customHeight="1">
      <c r="A26" s="24" t="s">
        <v>198</v>
      </c>
      <c r="B26" s="24" t="s">
        <v>111</v>
      </c>
      <c r="C26" s="24" t="s">
        <v>27</v>
      </c>
      <c r="D26" s="120" t="s">
        <v>167</v>
      </c>
      <c r="E26" s="120" t="s">
        <v>199</v>
      </c>
      <c r="F26" s="120" t="s">
        <v>24</v>
      </c>
      <c r="G26" s="24" t="s">
        <v>193</v>
      </c>
      <c r="H26" s="24" t="s">
        <v>29</v>
      </c>
      <c r="I26" s="24" t="s">
        <v>24</v>
      </c>
      <c r="J26" s="24" t="s">
        <v>200</v>
      </c>
      <c r="K26" s="24" t="s">
        <v>59</v>
      </c>
      <c r="L26" s="24" t="s">
        <v>42</v>
      </c>
      <c r="M26" s="120" t="s">
        <v>176</v>
      </c>
      <c r="N26" s="120" t="s">
        <v>132</v>
      </c>
      <c r="O26" s="120" t="s">
        <v>24</v>
      </c>
      <c r="P26" s="24" t="s">
        <v>166</v>
      </c>
      <c r="Q26" s="24" t="s">
        <v>175</v>
      </c>
      <c r="R26" s="24" t="s">
        <v>24</v>
      </c>
      <c r="S26" s="237"/>
      <c r="T26" s="237"/>
      <c r="U26" s="237"/>
      <c r="W26" s="186">
        <v>17.0</v>
      </c>
      <c r="X26" s="229" t="s">
        <v>185</v>
      </c>
      <c r="Y26" s="221">
        <f t="shared" si="2"/>
        <v>4</v>
      </c>
    </row>
    <row r="27" ht="15.75" customHeight="1">
      <c r="A27" s="120"/>
      <c r="B27" s="207"/>
      <c r="C27" s="196"/>
      <c r="D27" s="120"/>
      <c r="E27" s="207"/>
      <c r="F27" s="196"/>
      <c r="G27" s="120"/>
      <c r="H27" s="120"/>
      <c r="I27" s="120"/>
      <c r="J27" s="24" t="s">
        <v>201</v>
      </c>
      <c r="K27" s="223" t="s">
        <v>111</v>
      </c>
      <c r="L27" s="24" t="s">
        <v>27</v>
      </c>
      <c r="M27" s="127"/>
      <c r="N27" s="158"/>
      <c r="O27" s="113"/>
      <c r="P27" s="127"/>
      <c r="Q27" s="158"/>
      <c r="R27" s="113"/>
      <c r="S27" s="208"/>
      <c r="T27" s="208"/>
      <c r="U27" s="208"/>
      <c r="W27" s="186">
        <v>18.0</v>
      </c>
      <c r="X27" s="229" t="s">
        <v>179</v>
      </c>
      <c r="Y27" s="221">
        <f t="shared" si="2"/>
        <v>2</v>
      </c>
    </row>
    <row r="28" ht="15.75" customHeight="1">
      <c r="A28" s="207"/>
      <c r="B28" s="207"/>
      <c r="C28" s="207"/>
      <c r="D28" s="120"/>
      <c r="E28" s="207"/>
      <c r="F28" s="196"/>
      <c r="G28" s="205"/>
      <c r="H28" s="205"/>
      <c r="I28" s="205"/>
      <c r="J28" s="35"/>
      <c r="K28" s="35"/>
      <c r="L28" s="35"/>
      <c r="M28" s="205"/>
      <c r="N28" s="238"/>
      <c r="O28" s="207"/>
      <c r="P28" s="127"/>
      <c r="Q28" s="158"/>
      <c r="R28" s="113"/>
      <c r="S28" s="208"/>
      <c r="T28" s="208"/>
      <c r="U28" s="208"/>
      <c r="W28" s="186">
        <v>19.0</v>
      </c>
      <c r="X28" s="229" t="s">
        <v>198</v>
      </c>
      <c r="Y28" s="221">
        <f t="shared" si="2"/>
        <v>2</v>
      </c>
    </row>
    <row r="29" ht="15.75" customHeight="1">
      <c r="A29" s="104" t="s">
        <v>118</v>
      </c>
      <c r="B29" s="13"/>
      <c r="C29" s="14"/>
      <c r="D29" s="104" t="s">
        <v>7</v>
      </c>
      <c r="E29" s="13"/>
      <c r="F29" s="14"/>
      <c r="G29" s="104" t="s">
        <v>119</v>
      </c>
      <c r="H29" s="13"/>
      <c r="I29" s="14"/>
      <c r="J29" s="157" t="s">
        <v>9</v>
      </c>
      <c r="K29" s="13"/>
      <c r="L29" s="14"/>
      <c r="M29" s="104" t="s">
        <v>85</v>
      </c>
      <c r="N29" s="13"/>
      <c r="O29" s="14"/>
      <c r="P29" s="239" t="s">
        <v>86</v>
      </c>
      <c r="Q29" s="13"/>
      <c r="R29" s="14"/>
      <c r="S29" s="105" t="s">
        <v>12</v>
      </c>
      <c r="T29" s="13"/>
      <c r="U29" s="14"/>
      <c r="W29" s="186">
        <v>20.0</v>
      </c>
      <c r="X29" s="148"/>
      <c r="Y29" s="221">
        <f t="shared" si="2"/>
        <v>0</v>
      </c>
    </row>
    <row r="30" ht="15.75" customHeight="1">
      <c r="A30" s="107">
        <f>S22+1</f>
        <v>46097</v>
      </c>
      <c r="B30" s="13"/>
      <c r="C30" s="14"/>
      <c r="D30" s="107">
        <f>A30+1</f>
        <v>46098</v>
      </c>
      <c r="E30" s="13"/>
      <c r="F30" s="14"/>
      <c r="G30" s="106">
        <f>D30+1</f>
        <v>46099</v>
      </c>
      <c r="H30" s="13"/>
      <c r="I30" s="14"/>
      <c r="J30" s="108">
        <f>G30+1</f>
        <v>46100</v>
      </c>
      <c r="K30" s="13"/>
      <c r="L30" s="14"/>
      <c r="M30" s="107">
        <f>J30+1</f>
        <v>46101</v>
      </c>
      <c r="N30" s="13"/>
      <c r="O30" s="14"/>
      <c r="P30" s="240">
        <f>M30+1</f>
        <v>46102</v>
      </c>
      <c r="Q30" s="13"/>
      <c r="R30" s="14"/>
      <c r="S30" s="108">
        <f>P30+1</f>
        <v>46103</v>
      </c>
      <c r="T30" s="13"/>
      <c r="U30" s="14"/>
      <c r="W30" s="186">
        <v>21.0</v>
      </c>
      <c r="X30" s="187" t="s">
        <v>196</v>
      </c>
      <c r="Y30" s="221">
        <f t="shared" si="2"/>
        <v>2</v>
      </c>
    </row>
    <row r="31" ht="15.75" customHeight="1">
      <c r="A31" s="24"/>
      <c r="B31" s="223"/>
      <c r="C31" s="24"/>
      <c r="D31" s="120" t="s">
        <v>167</v>
      </c>
      <c r="E31" s="112" t="s">
        <v>171</v>
      </c>
      <c r="F31" s="112" t="s">
        <v>24</v>
      </c>
      <c r="G31" s="74"/>
      <c r="H31" s="74"/>
      <c r="I31" s="74"/>
      <c r="J31" s="74"/>
      <c r="K31" s="74"/>
      <c r="L31" s="74"/>
      <c r="M31" s="74"/>
      <c r="N31" s="74"/>
      <c r="O31" s="74"/>
      <c r="P31" s="24"/>
      <c r="Q31" s="24"/>
      <c r="R31" s="24"/>
      <c r="S31" s="205"/>
      <c r="T31" s="205"/>
      <c r="U31" s="205"/>
      <c r="W31" s="186">
        <v>22.0</v>
      </c>
      <c r="X31" s="24" t="s">
        <v>197</v>
      </c>
      <c r="Y31" s="221">
        <f t="shared" si="2"/>
        <v>3</v>
      </c>
    </row>
    <row r="32" ht="15.75" customHeight="1">
      <c r="A32" s="24" t="s">
        <v>170</v>
      </c>
      <c r="B32" s="24" t="s">
        <v>25</v>
      </c>
      <c r="C32" s="24" t="s">
        <v>24</v>
      </c>
      <c r="D32" s="24" t="s">
        <v>169</v>
      </c>
      <c r="E32" s="223" t="s">
        <v>59</v>
      </c>
      <c r="F32" s="24" t="s">
        <v>27</v>
      </c>
      <c r="G32" s="24" t="s">
        <v>172</v>
      </c>
      <c r="H32" s="53" t="s">
        <v>95</v>
      </c>
      <c r="I32" s="24" t="s">
        <v>42</v>
      </c>
      <c r="J32" s="19" t="s">
        <v>13</v>
      </c>
      <c r="K32" s="13"/>
      <c r="L32" s="14"/>
      <c r="M32" s="204" t="s">
        <v>69</v>
      </c>
      <c r="N32" s="13"/>
      <c r="O32" s="14"/>
      <c r="P32" s="19" t="s">
        <v>13</v>
      </c>
      <c r="Q32" s="13"/>
      <c r="R32" s="14"/>
      <c r="S32" s="236" t="s">
        <v>13</v>
      </c>
      <c r="T32" s="13"/>
      <c r="U32" s="14"/>
      <c r="W32" s="186">
        <v>23.0</v>
      </c>
      <c r="X32" s="229" t="s">
        <v>182</v>
      </c>
      <c r="Y32" s="221">
        <f t="shared" si="2"/>
        <v>2</v>
      </c>
    </row>
    <row r="33" ht="15.75" customHeight="1">
      <c r="A33" s="24" t="s">
        <v>180</v>
      </c>
      <c r="B33" s="24" t="s">
        <v>181</v>
      </c>
      <c r="C33" s="24" t="s">
        <v>24</v>
      </c>
      <c r="D33" s="24" t="s">
        <v>166</v>
      </c>
      <c r="E33" s="24" t="s">
        <v>175</v>
      </c>
      <c r="F33" s="24" t="s">
        <v>24</v>
      </c>
      <c r="G33" s="122" t="s">
        <v>173</v>
      </c>
      <c r="H33" s="241" t="s">
        <v>103</v>
      </c>
      <c r="I33" s="122" t="s">
        <v>174</v>
      </c>
      <c r="J33" s="112"/>
      <c r="K33" s="112"/>
      <c r="L33" s="112"/>
      <c r="M33" s="112"/>
      <c r="N33" s="112"/>
      <c r="O33" s="112"/>
      <c r="P33" s="24"/>
      <c r="Q33" s="24"/>
      <c r="R33" s="24"/>
      <c r="S33" s="242"/>
      <c r="T33" s="242"/>
      <c r="U33" s="242"/>
      <c r="W33" s="186">
        <v>24.0</v>
      </c>
      <c r="X33" s="229" t="s">
        <v>201</v>
      </c>
      <c r="Y33" s="221">
        <f t="shared" si="2"/>
        <v>2</v>
      </c>
    </row>
    <row r="34" ht="15.0" customHeight="1">
      <c r="A34" s="24" t="s">
        <v>178</v>
      </c>
      <c r="B34" s="223" t="s">
        <v>26</v>
      </c>
      <c r="C34" s="24" t="s">
        <v>24</v>
      </c>
      <c r="D34" s="205"/>
      <c r="E34" s="140"/>
      <c r="F34" s="49" t="s">
        <v>48</v>
      </c>
      <c r="G34" s="24" t="s">
        <v>179</v>
      </c>
      <c r="H34" s="243" t="s">
        <v>202</v>
      </c>
      <c r="I34" s="40" t="s">
        <v>24</v>
      </c>
      <c r="J34" s="24"/>
      <c r="K34" s="24"/>
      <c r="L34" s="24"/>
      <c r="M34" s="24"/>
      <c r="N34" s="223"/>
      <c r="O34" s="24"/>
      <c r="P34" s="205"/>
      <c r="Q34" s="205"/>
      <c r="R34" s="24"/>
      <c r="S34" s="203"/>
      <c r="T34" s="203"/>
      <c r="U34" s="203"/>
      <c r="W34" s="186">
        <v>25.0</v>
      </c>
      <c r="X34" s="120" t="s">
        <v>194</v>
      </c>
      <c r="Y34" s="221">
        <f t="shared" si="2"/>
        <v>2</v>
      </c>
    </row>
    <row r="35" ht="15.75" customHeight="1">
      <c r="A35" s="24"/>
      <c r="B35" s="223"/>
      <c r="C35" s="24"/>
      <c r="D35" s="24" t="s">
        <v>182</v>
      </c>
      <c r="E35" s="228" t="s">
        <v>183</v>
      </c>
      <c r="F35" s="24" t="s">
        <v>24</v>
      </c>
      <c r="G35" s="24" t="s">
        <v>170</v>
      </c>
      <c r="H35" s="223" t="s">
        <v>184</v>
      </c>
      <c r="I35" s="24" t="s">
        <v>24</v>
      </c>
      <c r="J35" s="205"/>
      <c r="K35" s="207"/>
      <c r="L35" s="205"/>
      <c r="M35" s="112"/>
      <c r="N35" s="112"/>
      <c r="O35" s="112"/>
      <c r="P35" s="120"/>
      <c r="Q35" s="120"/>
      <c r="R35" s="120"/>
      <c r="S35" s="203"/>
      <c r="T35" s="203"/>
      <c r="U35" s="203"/>
      <c r="W35" s="186">
        <v>26.0</v>
      </c>
      <c r="X35" s="94" t="s">
        <v>173</v>
      </c>
      <c r="Y35" s="221">
        <f t="shared" si="2"/>
        <v>3</v>
      </c>
    </row>
    <row r="36" ht="14.25" customHeight="1">
      <c r="A36" s="35"/>
      <c r="B36" s="35"/>
      <c r="C36" s="35"/>
      <c r="D36" s="24" t="s">
        <v>188</v>
      </c>
      <c r="E36" s="48"/>
      <c r="F36" s="24" t="s">
        <v>27</v>
      </c>
      <c r="J36" s="205"/>
      <c r="K36" s="207"/>
      <c r="L36" s="205"/>
      <c r="M36" s="205"/>
      <c r="N36" s="207"/>
      <c r="O36" s="205"/>
      <c r="P36" s="244"/>
      <c r="Q36" s="244"/>
      <c r="R36" s="244"/>
      <c r="S36" s="208"/>
      <c r="T36" s="208"/>
      <c r="U36" s="208"/>
      <c r="W36" s="186">
        <v>27.0</v>
      </c>
      <c r="X36" s="24" t="s">
        <v>195</v>
      </c>
      <c r="Y36" s="221">
        <f t="shared" si="2"/>
        <v>3</v>
      </c>
    </row>
    <row r="37" ht="15.75" customHeight="1">
      <c r="A37" s="133" t="s">
        <v>118</v>
      </c>
      <c r="B37" s="13"/>
      <c r="C37" s="14"/>
      <c r="D37" s="133" t="s">
        <v>7</v>
      </c>
      <c r="E37" s="13"/>
      <c r="F37" s="14"/>
      <c r="G37" s="133" t="s">
        <v>119</v>
      </c>
      <c r="H37" s="13"/>
      <c r="I37" s="14"/>
      <c r="J37" s="133" t="s">
        <v>9</v>
      </c>
      <c r="K37" s="13"/>
      <c r="L37" s="14"/>
      <c r="M37" s="133" t="s">
        <v>10</v>
      </c>
      <c r="N37" s="13"/>
      <c r="O37" s="14"/>
      <c r="P37" s="133" t="s">
        <v>86</v>
      </c>
      <c r="Q37" s="13"/>
      <c r="R37" s="14"/>
      <c r="S37" s="134" t="s">
        <v>120</v>
      </c>
      <c r="T37" s="13"/>
      <c r="U37" s="14"/>
      <c r="W37" s="186">
        <v>28.0</v>
      </c>
      <c r="X37" s="148" t="s">
        <v>190</v>
      </c>
      <c r="Y37" s="221">
        <f t="shared" si="2"/>
        <v>2</v>
      </c>
    </row>
    <row r="38" ht="15.75" customHeight="1">
      <c r="A38" s="136">
        <f>S30+1</f>
        <v>46104</v>
      </c>
      <c r="B38" s="13"/>
      <c r="C38" s="14"/>
      <c r="D38" s="136">
        <f>A38+1</f>
        <v>46105</v>
      </c>
      <c r="E38" s="13"/>
      <c r="F38" s="14"/>
      <c r="G38" s="136">
        <f>D38+1</f>
        <v>46106</v>
      </c>
      <c r="H38" s="13"/>
      <c r="I38" s="14"/>
      <c r="J38" s="136">
        <f>G38+1</f>
        <v>46107</v>
      </c>
      <c r="K38" s="13"/>
      <c r="L38" s="14"/>
      <c r="M38" s="136">
        <f>J38+1</f>
        <v>46108</v>
      </c>
      <c r="N38" s="13"/>
      <c r="O38" s="14"/>
      <c r="P38" s="136">
        <f>M38+1</f>
        <v>46109</v>
      </c>
      <c r="Q38" s="13"/>
      <c r="R38" s="14"/>
      <c r="S38" s="137">
        <f>P38+1</f>
        <v>46110</v>
      </c>
      <c r="T38" s="13"/>
      <c r="U38" s="14"/>
      <c r="W38" s="186">
        <v>29.0</v>
      </c>
      <c r="X38" s="24" t="s">
        <v>200</v>
      </c>
      <c r="Y38" s="221">
        <f t="shared" si="2"/>
        <v>2</v>
      </c>
    </row>
    <row r="39" ht="15.75" customHeight="1">
      <c r="A39" s="24"/>
      <c r="B39" s="223"/>
      <c r="C39" s="24"/>
      <c r="D39" s="50" t="s">
        <v>173</v>
      </c>
      <c r="E39" s="245" t="s">
        <v>60</v>
      </c>
      <c r="F39" s="50" t="s">
        <v>174</v>
      </c>
      <c r="G39" s="156"/>
      <c r="H39" s="156"/>
      <c r="I39" s="156"/>
      <c r="J39" s="165" t="s">
        <v>167</v>
      </c>
      <c r="K39" s="202" t="s">
        <v>203</v>
      </c>
      <c r="L39" s="165" t="s">
        <v>24</v>
      </c>
      <c r="M39" s="120"/>
      <c r="N39" s="120"/>
      <c r="O39" s="120"/>
      <c r="P39" s="244"/>
      <c r="Q39" s="244"/>
      <c r="R39" s="244"/>
      <c r="S39" s="214"/>
      <c r="T39" s="214"/>
      <c r="U39" s="214"/>
      <c r="Y39" s="221">
        <f t="shared" si="2"/>
        <v>0</v>
      </c>
    </row>
    <row r="40" ht="15.75" customHeight="1">
      <c r="A40" s="35"/>
      <c r="B40" s="35"/>
      <c r="C40" s="35"/>
      <c r="D40" s="120" t="s">
        <v>194</v>
      </c>
      <c r="E40" s="120" t="s">
        <v>64</v>
      </c>
      <c r="F40" s="120" t="s">
        <v>24</v>
      </c>
      <c r="G40" s="24" t="s">
        <v>170</v>
      </c>
      <c r="H40" s="24" t="s">
        <v>25</v>
      </c>
      <c r="I40" s="24" t="s">
        <v>24</v>
      </c>
      <c r="J40" s="24" t="s">
        <v>195</v>
      </c>
      <c r="K40" s="24"/>
      <c r="L40" s="24" t="s">
        <v>42</v>
      </c>
      <c r="M40" s="24" t="s">
        <v>189</v>
      </c>
      <c r="N40" s="148" t="s">
        <v>57</v>
      </c>
      <c r="O40" s="24" t="s">
        <v>24</v>
      </c>
      <c r="P40" s="230" t="s">
        <v>190</v>
      </c>
      <c r="Q40" s="231" t="s">
        <v>57</v>
      </c>
      <c r="R40" s="230" t="s">
        <v>27</v>
      </c>
      <c r="S40" s="236" t="s">
        <v>13</v>
      </c>
      <c r="T40" s="13"/>
      <c r="U40" s="14"/>
      <c r="Y40" s="102">
        <f>SUM(Y10:Y38)</f>
        <v>70</v>
      </c>
    </row>
    <row r="41" ht="15.75" customHeight="1">
      <c r="A41" s="204" t="s">
        <v>69</v>
      </c>
      <c r="B41" s="13"/>
      <c r="C41" s="14"/>
      <c r="D41" s="24"/>
      <c r="E41" s="225"/>
      <c r="F41" s="24"/>
      <c r="G41" s="24" t="s">
        <v>193</v>
      </c>
      <c r="H41" s="24" t="s">
        <v>29</v>
      </c>
      <c r="I41" s="24" t="s">
        <v>24</v>
      </c>
      <c r="J41" s="24" t="s">
        <v>200</v>
      </c>
      <c r="K41" s="24" t="s">
        <v>59</v>
      </c>
      <c r="L41" s="24" t="s">
        <v>42</v>
      </c>
      <c r="M41" s="24" t="s">
        <v>196</v>
      </c>
      <c r="N41" s="53" t="s">
        <v>95</v>
      </c>
      <c r="O41" s="24" t="s">
        <v>42</v>
      </c>
      <c r="P41" s="24" t="s">
        <v>197</v>
      </c>
      <c r="Q41" s="24" t="s">
        <v>95</v>
      </c>
      <c r="R41" s="24" t="s">
        <v>42</v>
      </c>
      <c r="S41" s="242"/>
      <c r="T41" s="242"/>
      <c r="U41" s="242"/>
      <c r="X41" s="102" t="s">
        <v>50</v>
      </c>
    </row>
    <row r="42" ht="15.75" customHeight="1">
      <c r="A42" s="24"/>
      <c r="B42" s="24"/>
      <c r="C42" s="24"/>
      <c r="D42" s="120" t="s">
        <v>165</v>
      </c>
      <c r="E42" s="120" t="s">
        <v>132</v>
      </c>
      <c r="F42" s="120" t="s">
        <v>24</v>
      </c>
      <c r="G42" s="24" t="s">
        <v>185</v>
      </c>
      <c r="H42" s="223" t="s">
        <v>186</v>
      </c>
      <c r="I42" s="24" t="s">
        <v>24</v>
      </c>
      <c r="J42" s="24" t="s">
        <v>201</v>
      </c>
      <c r="K42" s="223" t="s">
        <v>111</v>
      </c>
      <c r="L42" s="24" t="s">
        <v>27</v>
      </c>
      <c r="M42" s="120" t="s">
        <v>176</v>
      </c>
      <c r="N42" s="120" t="s">
        <v>132</v>
      </c>
      <c r="O42" s="120" t="s">
        <v>24</v>
      </c>
      <c r="P42" s="24" t="s">
        <v>166</v>
      </c>
      <c r="Q42" s="24" t="s">
        <v>175</v>
      </c>
      <c r="R42" s="24" t="s">
        <v>24</v>
      </c>
      <c r="S42" s="203"/>
      <c r="T42" s="203"/>
      <c r="U42" s="208"/>
    </row>
    <row r="43" ht="15.75" customHeight="1">
      <c r="A43" s="24"/>
      <c r="B43" s="24"/>
      <c r="C43" s="24"/>
      <c r="D43" s="156"/>
      <c r="E43" s="156"/>
      <c r="F43" s="156"/>
      <c r="G43" s="156"/>
      <c r="H43" s="156"/>
      <c r="I43" s="156"/>
      <c r="J43" s="246"/>
      <c r="K43" s="246"/>
      <c r="L43" s="246"/>
      <c r="M43" s="246"/>
      <c r="N43" s="246"/>
      <c r="O43" s="246"/>
      <c r="P43" s="112" t="s">
        <v>187</v>
      </c>
      <c r="Q43" s="112"/>
      <c r="R43" s="112" t="s">
        <v>24</v>
      </c>
      <c r="S43" s="138"/>
      <c r="T43" s="138"/>
      <c r="U43" s="113"/>
    </row>
    <row r="44" ht="15.75" customHeight="1">
      <c r="A44" s="156"/>
      <c r="B44" s="156"/>
      <c r="C44" s="156"/>
      <c r="D44" s="156"/>
      <c r="E44" s="156"/>
      <c r="F44" s="156"/>
      <c r="G44" s="156"/>
      <c r="H44" s="156"/>
      <c r="I44" s="156"/>
      <c r="J44" s="35"/>
      <c r="K44" s="35"/>
      <c r="L44" s="35"/>
      <c r="M44" s="246"/>
      <c r="N44" s="246"/>
      <c r="O44" s="246"/>
      <c r="P44" s="115"/>
      <c r="Q44" s="115"/>
      <c r="R44" s="115"/>
      <c r="S44" s="208"/>
      <c r="T44" s="208"/>
      <c r="U44" s="208"/>
    </row>
    <row r="45" ht="15.75" customHeight="1">
      <c r="A45" s="104" t="s">
        <v>118</v>
      </c>
      <c r="B45" s="13"/>
      <c r="C45" s="14"/>
      <c r="D45" s="104" t="s">
        <v>7</v>
      </c>
      <c r="E45" s="13"/>
      <c r="F45" s="14"/>
      <c r="G45" s="104" t="s">
        <v>119</v>
      </c>
      <c r="H45" s="13"/>
      <c r="I45" s="14"/>
      <c r="J45" s="171" t="s">
        <v>9</v>
      </c>
      <c r="K45" s="13"/>
      <c r="L45" s="14"/>
      <c r="M45" s="104" t="s">
        <v>85</v>
      </c>
      <c r="N45" s="13"/>
      <c r="O45" s="14"/>
      <c r="P45" s="247" t="s">
        <v>86</v>
      </c>
      <c r="Q45" s="13"/>
      <c r="R45" s="14"/>
      <c r="S45" s="105" t="s">
        <v>12</v>
      </c>
      <c r="T45" s="13"/>
      <c r="U45" s="14"/>
    </row>
    <row r="46" ht="15.75" customHeight="1">
      <c r="A46" s="107">
        <f>S38+1</f>
        <v>46111</v>
      </c>
      <c r="B46" s="13"/>
      <c r="C46" s="14"/>
      <c r="D46" s="107">
        <f>A46+1</f>
        <v>46112</v>
      </c>
      <c r="E46" s="13"/>
      <c r="F46" s="14"/>
      <c r="G46" s="106">
        <f>D46+1</f>
        <v>46113</v>
      </c>
      <c r="H46" s="13"/>
      <c r="I46" s="14"/>
      <c r="J46" s="106">
        <f>G46+1</f>
        <v>46114</v>
      </c>
      <c r="K46" s="13"/>
      <c r="L46" s="14"/>
      <c r="M46" s="106">
        <f>J46+1</f>
        <v>46115</v>
      </c>
      <c r="N46" s="13"/>
      <c r="O46" s="14"/>
      <c r="P46" s="248">
        <f>M46+1</f>
        <v>46116</v>
      </c>
      <c r="Q46" s="13"/>
      <c r="R46" s="14"/>
      <c r="S46" s="108">
        <f>P46+1</f>
        <v>46117</v>
      </c>
      <c r="T46" s="13"/>
      <c r="U46" s="14"/>
    </row>
    <row r="47" ht="15.75" customHeight="1">
      <c r="A47" s="120"/>
      <c r="B47" s="207"/>
      <c r="C47" s="196"/>
      <c r="G47" s="203"/>
      <c r="H47" s="203"/>
      <c r="I47" s="208"/>
      <c r="J47" s="203"/>
      <c r="K47" s="203"/>
      <c r="L47" s="203"/>
      <c r="M47" s="203"/>
      <c r="N47" s="203"/>
      <c r="O47" s="203"/>
      <c r="P47" s="214"/>
      <c r="Q47" s="214"/>
      <c r="R47" s="214"/>
      <c r="S47" s="203"/>
      <c r="T47" s="203"/>
      <c r="U47" s="203"/>
    </row>
    <row r="48" ht="15.75" customHeight="1">
      <c r="A48" s="24" t="s">
        <v>185</v>
      </c>
      <c r="B48" s="223" t="s">
        <v>191</v>
      </c>
      <c r="C48" s="24" t="s">
        <v>24</v>
      </c>
      <c r="D48" s="50" t="s">
        <v>197</v>
      </c>
      <c r="E48" s="52" t="s">
        <v>59</v>
      </c>
      <c r="F48" s="50" t="s">
        <v>42</v>
      </c>
      <c r="G48" s="203"/>
      <c r="H48" s="203"/>
      <c r="I48" s="208"/>
      <c r="J48" s="203"/>
      <c r="K48" s="203"/>
      <c r="L48" s="203"/>
      <c r="M48" s="203"/>
      <c r="N48" s="203"/>
      <c r="O48" s="203"/>
      <c r="P48" s="214"/>
      <c r="Q48" s="214"/>
      <c r="R48" s="214"/>
      <c r="S48" s="203"/>
      <c r="T48" s="203"/>
      <c r="U48" s="203"/>
    </row>
    <row r="49" ht="15.75" customHeight="1">
      <c r="A49" s="24" t="s">
        <v>170</v>
      </c>
      <c r="B49" s="24" t="s">
        <v>25</v>
      </c>
      <c r="C49" s="24" t="s">
        <v>24</v>
      </c>
      <c r="D49" s="166" t="s">
        <v>204</v>
      </c>
      <c r="E49" s="166" t="s">
        <v>57</v>
      </c>
      <c r="F49" s="120" t="s">
        <v>24</v>
      </c>
      <c r="G49" s="249" t="s">
        <v>205</v>
      </c>
      <c r="H49" s="203"/>
      <c r="I49" s="203"/>
      <c r="J49" s="205"/>
      <c r="K49" s="207"/>
      <c r="L49" s="203"/>
      <c r="M49" s="208"/>
      <c r="N49" s="208"/>
      <c r="O49" s="208"/>
      <c r="P49" s="214"/>
      <c r="Q49" s="214"/>
      <c r="R49" s="214"/>
      <c r="S49" s="208"/>
      <c r="T49" s="208"/>
      <c r="U49" s="208"/>
    </row>
    <row r="50" ht="15.75" customHeight="1">
      <c r="A50" s="24" t="s">
        <v>180</v>
      </c>
      <c r="B50" s="24" t="s">
        <v>181</v>
      </c>
      <c r="C50" s="24" t="s">
        <v>24</v>
      </c>
      <c r="D50" s="50" t="s">
        <v>195</v>
      </c>
      <c r="E50" s="50" t="s">
        <v>64</v>
      </c>
      <c r="F50" s="50" t="s">
        <v>42</v>
      </c>
      <c r="G50" s="250"/>
      <c r="H50" s="250"/>
      <c r="I50" s="250"/>
      <c r="J50" s="203"/>
      <c r="K50" s="203"/>
      <c r="L50" s="203"/>
      <c r="M50" s="203"/>
      <c r="N50" s="203"/>
      <c r="O50" s="203"/>
      <c r="P50" s="250"/>
      <c r="Q50" s="242"/>
      <c r="R50" s="208"/>
      <c r="S50" s="203"/>
      <c r="T50" s="203"/>
      <c r="U50" s="203"/>
    </row>
    <row r="51" ht="15.75" customHeight="1">
      <c r="A51" s="24" t="s">
        <v>198</v>
      </c>
      <c r="B51" s="24" t="s">
        <v>111</v>
      </c>
      <c r="C51" s="24" t="s">
        <v>27</v>
      </c>
      <c r="D51" s="173" t="s">
        <v>187</v>
      </c>
      <c r="E51" s="173" t="s">
        <v>186</v>
      </c>
      <c r="F51" s="173" t="s">
        <v>24</v>
      </c>
      <c r="G51" s="208"/>
      <c r="H51" s="208"/>
      <c r="I51" s="208"/>
      <c r="J51" s="208"/>
      <c r="K51" s="208"/>
      <c r="L51" s="210"/>
      <c r="M51" s="208"/>
      <c r="N51" s="208"/>
      <c r="O51" s="210"/>
      <c r="P51" s="154"/>
      <c r="Q51" s="154"/>
      <c r="R51" s="154"/>
      <c r="S51" s="208"/>
      <c r="T51" s="208"/>
      <c r="U51" s="210"/>
    </row>
    <row r="52" ht="15.75" customHeight="1">
      <c r="A52" s="208"/>
      <c r="B52" s="208"/>
      <c r="C52" s="208"/>
      <c r="D52" s="203"/>
      <c r="E52" s="203"/>
      <c r="F52" s="203"/>
      <c r="G52" s="203"/>
      <c r="H52" s="203"/>
      <c r="I52" s="251"/>
      <c r="J52" s="246"/>
      <c r="K52" s="203"/>
      <c r="L52" s="203"/>
      <c r="M52" s="203"/>
      <c r="N52" s="203"/>
      <c r="O52" s="203"/>
      <c r="P52" s="208"/>
      <c r="Q52" s="208"/>
      <c r="R52" s="208"/>
      <c r="S52" s="203"/>
      <c r="T52" s="203"/>
      <c r="U52" s="203"/>
    </row>
    <row r="53" ht="15.75" customHeight="1"/>
    <row r="54" ht="15.75" customHeight="1"/>
    <row r="55" ht="15.75" customHeight="1">
      <c r="A55" s="83" t="s">
        <v>76</v>
      </c>
      <c r="B55" s="84"/>
    </row>
    <row r="56" ht="15.75" customHeight="1">
      <c r="A56" s="85"/>
      <c r="B56" s="86" t="s">
        <v>77</v>
      </c>
      <c r="C56" s="87"/>
      <c r="D56" s="88"/>
    </row>
    <row r="57" ht="15.75" customHeight="1">
      <c r="A57" s="92"/>
      <c r="B57" s="86" t="s">
        <v>78</v>
      </c>
      <c r="C57" s="87"/>
    </row>
    <row r="58" ht="15.75" customHeight="1">
      <c r="A58" s="95"/>
      <c r="B58" s="86" t="s">
        <v>79</v>
      </c>
      <c r="C58" s="87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6">
    <mergeCell ref="A14:C14"/>
    <mergeCell ref="G14:I14"/>
    <mergeCell ref="J14:L14"/>
    <mergeCell ref="M14:O14"/>
    <mergeCell ref="P14:R14"/>
    <mergeCell ref="S14:U14"/>
    <mergeCell ref="S16:U16"/>
    <mergeCell ref="D14:F14"/>
    <mergeCell ref="E18:E19"/>
    <mergeCell ref="A21:C21"/>
    <mergeCell ref="D21:F21"/>
    <mergeCell ref="G21:I21"/>
    <mergeCell ref="J21:L21"/>
    <mergeCell ref="M21:O21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J30:L30"/>
    <mergeCell ref="M30:O30"/>
    <mergeCell ref="P30:R30"/>
    <mergeCell ref="S30:U30"/>
    <mergeCell ref="M37:O37"/>
    <mergeCell ref="P37:R37"/>
    <mergeCell ref="M38:O38"/>
    <mergeCell ref="P38:R38"/>
    <mergeCell ref="S38:U38"/>
    <mergeCell ref="S40:U40"/>
    <mergeCell ref="J32:L32"/>
    <mergeCell ref="M32:O32"/>
    <mergeCell ref="P32:R32"/>
    <mergeCell ref="S32:U32"/>
    <mergeCell ref="E35:E36"/>
    <mergeCell ref="A37:C37"/>
    <mergeCell ref="D37:F37"/>
    <mergeCell ref="S37:U37"/>
    <mergeCell ref="G37:I37"/>
    <mergeCell ref="J37:L37"/>
    <mergeCell ref="A38:C38"/>
    <mergeCell ref="D38:F38"/>
    <mergeCell ref="G38:I38"/>
    <mergeCell ref="J38:L38"/>
    <mergeCell ref="A41:C41"/>
    <mergeCell ref="B55:D55"/>
    <mergeCell ref="A46:C46"/>
    <mergeCell ref="D46:F46"/>
    <mergeCell ref="G46:I46"/>
    <mergeCell ref="J46:L46"/>
    <mergeCell ref="M46:O46"/>
    <mergeCell ref="P46:R46"/>
    <mergeCell ref="S46:U46"/>
    <mergeCell ref="A45:C45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8:U8"/>
    <mergeCell ref="S9:U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P21:R21"/>
    <mergeCell ref="S21:U21"/>
    <mergeCell ref="S25:U25"/>
    <mergeCell ref="A22:C22"/>
    <mergeCell ref="D22:F22"/>
    <mergeCell ref="G22:I22"/>
    <mergeCell ref="J22:L22"/>
    <mergeCell ref="M22:O22"/>
    <mergeCell ref="P22:R22"/>
    <mergeCell ref="S22:U22"/>
  </mergeCells>
  <printOptions/>
  <pageMargins bottom="0.15" footer="0.0" header="0.0" left="0.46" right="0.34" top="0.28"/>
  <pageSetup fitToHeight="0" paperSize="11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1.43"/>
    <col customWidth="1" min="3" max="3" width="9.29"/>
    <col customWidth="1" min="4" max="4" width="17.57"/>
    <col customWidth="1" min="5" max="5" width="13.14"/>
    <col customWidth="1" min="6" max="6" width="7.71"/>
    <col customWidth="1" min="7" max="7" width="18.57"/>
    <col customWidth="1" min="8" max="8" width="11.14"/>
    <col customWidth="1" min="9" max="9" width="7.71"/>
    <col customWidth="1" min="10" max="10" width="16.43"/>
    <col customWidth="1" min="11" max="11" width="11.71"/>
    <col customWidth="1" min="12" max="12" width="7.71"/>
    <col customWidth="1" min="13" max="13" width="17.71"/>
    <col customWidth="1" min="14" max="14" width="11.43"/>
    <col customWidth="1" min="15" max="15" width="7.71"/>
    <col customWidth="1" min="16" max="16" width="15.0"/>
    <col customWidth="1" min="17" max="17" width="11.43"/>
    <col customWidth="1" min="18" max="19" width="7.71"/>
    <col customWidth="1" min="20" max="20" width="7.57"/>
    <col customWidth="1" min="21" max="21" width="7.43"/>
    <col customWidth="1" min="22" max="23" width="8.71"/>
    <col customWidth="1" min="24" max="24" width="19.0"/>
    <col customWidth="1" min="25" max="25" width="15.14"/>
    <col customWidth="1" min="26" max="29" width="8.71"/>
  </cols>
  <sheetData>
    <row r="1">
      <c r="A1" s="6" t="s">
        <v>206</v>
      </c>
      <c r="C1" s="178" t="s">
        <v>207</v>
      </c>
      <c r="F1" s="3"/>
      <c r="G1" s="4" t="s">
        <v>1</v>
      </c>
      <c r="Q1" s="10"/>
    </row>
    <row r="2">
      <c r="A2" s="6" t="s">
        <v>2</v>
      </c>
      <c r="C2" s="7" t="s">
        <v>82</v>
      </c>
      <c r="F2" s="3"/>
      <c r="Q2" s="10"/>
    </row>
    <row r="3">
      <c r="A3" s="6" t="s">
        <v>4</v>
      </c>
      <c r="C3" s="252"/>
      <c r="D3" s="253"/>
      <c r="E3" s="253"/>
      <c r="F3" s="3"/>
      <c r="Q3" s="10"/>
    </row>
    <row r="4">
      <c r="A4" s="6" t="s">
        <v>5</v>
      </c>
      <c r="C4" s="179"/>
      <c r="E4" s="3"/>
      <c r="F4" s="3"/>
      <c r="G4" s="3"/>
      <c r="H4" s="3"/>
      <c r="I4" s="3"/>
      <c r="J4" s="3"/>
      <c r="K4" s="3"/>
      <c r="L4" s="3"/>
      <c r="M4" s="3"/>
      <c r="N4" s="3"/>
      <c r="O4" s="99"/>
      <c r="P4" s="100"/>
      <c r="Q4" s="100"/>
    </row>
    <row r="5" ht="15.75" customHeight="1">
      <c r="A5" s="12" t="s">
        <v>6</v>
      </c>
      <c r="B5" s="13"/>
      <c r="C5" s="14"/>
      <c r="D5" s="12" t="s">
        <v>7</v>
      </c>
      <c r="E5" s="13"/>
      <c r="F5" s="14"/>
      <c r="G5" s="12" t="s">
        <v>8</v>
      </c>
      <c r="H5" s="13"/>
      <c r="I5" s="14"/>
      <c r="J5" s="12" t="s">
        <v>9</v>
      </c>
      <c r="K5" s="13"/>
      <c r="L5" s="14"/>
      <c r="M5" s="12" t="s">
        <v>10</v>
      </c>
      <c r="N5" s="13"/>
      <c r="O5" s="14"/>
      <c r="P5" s="12" t="s">
        <v>11</v>
      </c>
      <c r="Q5" s="13"/>
      <c r="R5" s="14"/>
      <c r="S5" s="15" t="s">
        <v>12</v>
      </c>
      <c r="T5" s="13"/>
      <c r="U5" s="14"/>
      <c r="W5" s="102" t="s">
        <v>205</v>
      </c>
    </row>
    <row r="6">
      <c r="A6" s="16"/>
      <c r="B6" s="13"/>
      <c r="C6" s="14"/>
      <c r="D6" s="16"/>
      <c r="E6" s="13"/>
      <c r="F6" s="14"/>
      <c r="G6" s="16"/>
      <c r="H6" s="13"/>
      <c r="I6" s="14"/>
      <c r="J6" s="16"/>
      <c r="K6" s="13"/>
      <c r="L6" s="14"/>
      <c r="M6" s="16"/>
      <c r="N6" s="13"/>
      <c r="O6" s="14"/>
      <c r="P6" s="16"/>
      <c r="Q6" s="13"/>
      <c r="R6" s="14"/>
      <c r="S6" s="17">
        <v>46082.0</v>
      </c>
      <c r="T6" s="13"/>
      <c r="U6" s="14"/>
      <c r="W6" s="102">
        <f>COUNTA(#REF!,#REF!,#REF!,#REF!,#REF!,#REF!,#REF!,P33:P36,D23:D28,#REF!,G15:G20,#REF!,M24:M28,P39:P44,A23:A28,D31:D36,G23:G28,#REF!,P15:P25,A31:A36,D39:D44,J42:J44,J32:J36)</f>
        <v>52</v>
      </c>
    </row>
    <row r="7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</row>
    <row r="8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</row>
    <row r="9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19" t="s">
        <v>13</v>
      </c>
      <c r="T9" s="13"/>
      <c r="U9" s="14"/>
      <c r="W9" s="254" t="s">
        <v>14</v>
      </c>
      <c r="X9" s="254" t="s">
        <v>15</v>
      </c>
      <c r="Y9" s="255" t="s">
        <v>16</v>
      </c>
      <c r="Z9" s="256" t="s">
        <v>208</v>
      </c>
    </row>
    <row r="10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W10" s="255">
        <v>2.0</v>
      </c>
      <c r="X10" s="257" t="s">
        <v>180</v>
      </c>
      <c r="Y10" s="258">
        <f t="shared" ref="Y10:Y27" si="1">countif($A$5:$U$52,X10)</f>
        <v>4</v>
      </c>
      <c r="Z10" s="75">
        <f t="shared" ref="Z10:Z27" si="2">COUNTIF($A$5:$U$51,X10)</f>
        <v>4</v>
      </c>
    </row>
    <row r="11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W11" s="255">
        <v>3.0</v>
      </c>
      <c r="X11" s="257" t="s">
        <v>209</v>
      </c>
      <c r="Y11" s="258">
        <f t="shared" si="1"/>
        <v>9</v>
      </c>
      <c r="Z11" s="75">
        <f t="shared" si="2"/>
        <v>9</v>
      </c>
    </row>
    <row r="12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W12" s="255">
        <v>4.0</v>
      </c>
      <c r="X12" s="257" t="s">
        <v>210</v>
      </c>
      <c r="Y12" s="258">
        <f t="shared" si="1"/>
        <v>2</v>
      </c>
      <c r="Z12" s="75">
        <f t="shared" si="2"/>
        <v>2</v>
      </c>
    </row>
    <row r="13" ht="15.75" customHeight="1">
      <c r="A13" s="104" t="s">
        <v>6</v>
      </c>
      <c r="B13" s="13"/>
      <c r="C13" s="14"/>
      <c r="D13" s="104" t="s">
        <v>7</v>
      </c>
      <c r="E13" s="13"/>
      <c r="F13" s="14"/>
      <c r="G13" s="104" t="s">
        <v>8</v>
      </c>
      <c r="H13" s="13"/>
      <c r="I13" s="14"/>
      <c r="J13" s="104" t="s">
        <v>9</v>
      </c>
      <c r="K13" s="13"/>
      <c r="L13" s="14"/>
      <c r="M13" s="104" t="s">
        <v>85</v>
      </c>
      <c r="N13" s="13"/>
      <c r="O13" s="14"/>
      <c r="P13" s="104" t="s">
        <v>86</v>
      </c>
      <c r="Q13" s="13"/>
      <c r="R13" s="14"/>
      <c r="S13" s="105" t="s">
        <v>12</v>
      </c>
      <c r="T13" s="13"/>
      <c r="U13" s="14"/>
      <c r="W13" s="255">
        <v>5.0</v>
      </c>
      <c r="X13" s="257" t="s">
        <v>211</v>
      </c>
      <c r="Y13" s="258">
        <f t="shared" si="1"/>
        <v>3</v>
      </c>
      <c r="Z13" s="75">
        <f t="shared" si="2"/>
        <v>3</v>
      </c>
    </row>
    <row r="14">
      <c r="A14" s="106">
        <f>S6+1</f>
        <v>46083</v>
      </c>
      <c r="B14" s="13"/>
      <c r="C14" s="14"/>
      <c r="D14" s="106">
        <f>A14+1</f>
        <v>46084</v>
      </c>
      <c r="E14" s="13"/>
      <c r="F14" s="14"/>
      <c r="G14" s="106">
        <f>D14+1</f>
        <v>46085</v>
      </c>
      <c r="H14" s="13"/>
      <c r="I14" s="14"/>
      <c r="J14" s="106">
        <f>G14+1</f>
        <v>46086</v>
      </c>
      <c r="K14" s="13"/>
      <c r="L14" s="14"/>
      <c r="M14" s="107">
        <f>J14+1</f>
        <v>46087</v>
      </c>
      <c r="N14" s="13"/>
      <c r="O14" s="14"/>
      <c r="P14" s="106">
        <f>M14+1</f>
        <v>46088</v>
      </c>
      <c r="Q14" s="13"/>
      <c r="R14" s="14"/>
      <c r="S14" s="108">
        <f>P14+1</f>
        <v>46089</v>
      </c>
      <c r="T14" s="13"/>
      <c r="U14" s="14"/>
      <c r="W14" s="255">
        <v>6.0</v>
      </c>
      <c r="X14" s="259" t="s">
        <v>212</v>
      </c>
      <c r="Y14" s="258">
        <f t="shared" si="1"/>
        <v>2</v>
      </c>
      <c r="Z14" s="75">
        <f t="shared" si="2"/>
        <v>2</v>
      </c>
    </row>
    <row r="15">
      <c r="A15" s="24" t="s">
        <v>213</v>
      </c>
      <c r="B15" s="24" t="s">
        <v>57</v>
      </c>
      <c r="C15" s="24" t="s">
        <v>42</v>
      </c>
      <c r="D15" s="205"/>
      <c r="E15" s="205"/>
      <c r="F15" s="205"/>
      <c r="G15" s="35"/>
      <c r="H15" s="35"/>
      <c r="I15" s="35"/>
      <c r="J15" s="207"/>
      <c r="K15" s="207"/>
      <c r="L15" s="207"/>
      <c r="M15" s="205"/>
      <c r="N15" s="205"/>
      <c r="O15" s="205"/>
      <c r="P15" s="205"/>
      <c r="Q15" s="205"/>
      <c r="R15" s="205"/>
      <c r="S15" s="260"/>
      <c r="T15" s="260"/>
      <c r="U15" s="261"/>
      <c r="W15" s="255">
        <v>7.0</v>
      </c>
      <c r="X15" s="257" t="s">
        <v>214</v>
      </c>
      <c r="Y15" s="258">
        <f t="shared" si="1"/>
        <v>3</v>
      </c>
      <c r="Z15" s="75">
        <f t="shared" si="2"/>
        <v>3</v>
      </c>
    </row>
    <row r="16">
      <c r="A16" s="216"/>
      <c r="B16" s="216"/>
      <c r="C16" s="216"/>
      <c r="D16" s="24" t="s">
        <v>209</v>
      </c>
      <c r="E16" s="24" t="s">
        <v>25</v>
      </c>
      <c r="F16" s="24" t="s">
        <v>24</v>
      </c>
      <c r="G16" s="24" t="s">
        <v>210</v>
      </c>
      <c r="H16" s="24" t="s">
        <v>33</v>
      </c>
      <c r="I16" s="24" t="s">
        <v>24</v>
      </c>
      <c r="J16" s="24" t="s">
        <v>209</v>
      </c>
      <c r="K16" s="24" t="s">
        <v>25</v>
      </c>
      <c r="L16" s="24" t="s">
        <v>24</v>
      </c>
      <c r="M16" s="24" t="s">
        <v>215</v>
      </c>
      <c r="N16" s="24" t="s">
        <v>57</v>
      </c>
      <c r="O16" s="24" t="s">
        <v>24</v>
      </c>
      <c r="P16" s="205"/>
      <c r="Q16" s="205"/>
      <c r="R16" s="205"/>
      <c r="S16" s="260"/>
      <c r="T16" s="260"/>
      <c r="U16" s="260"/>
      <c r="W16" s="255">
        <v>8.0</v>
      </c>
      <c r="X16" s="187" t="s">
        <v>213</v>
      </c>
      <c r="Y16" s="258">
        <f t="shared" si="1"/>
        <v>2</v>
      </c>
      <c r="Z16" s="75">
        <f t="shared" si="2"/>
        <v>2</v>
      </c>
    </row>
    <row r="17">
      <c r="A17" s="24" t="s">
        <v>180</v>
      </c>
      <c r="B17" s="24" t="s">
        <v>181</v>
      </c>
      <c r="C17" s="24" t="s">
        <v>24</v>
      </c>
      <c r="D17" s="24" t="s">
        <v>216</v>
      </c>
      <c r="E17" s="24" t="s">
        <v>103</v>
      </c>
      <c r="F17" s="24" t="s">
        <v>42</v>
      </c>
      <c r="G17" s="24" t="s">
        <v>212</v>
      </c>
      <c r="H17" s="24" t="s">
        <v>57</v>
      </c>
      <c r="I17" s="24" t="s">
        <v>27</v>
      </c>
      <c r="J17" s="122" t="s">
        <v>217</v>
      </c>
      <c r="K17" s="24"/>
      <c r="L17" s="24" t="s">
        <v>42</v>
      </c>
      <c r="M17" s="24" t="s">
        <v>218</v>
      </c>
      <c r="N17" s="24" t="s">
        <v>95</v>
      </c>
      <c r="O17" s="24" t="s">
        <v>42</v>
      </c>
      <c r="P17" s="24" t="s">
        <v>219</v>
      </c>
      <c r="Q17" s="223" t="s">
        <v>220</v>
      </c>
      <c r="R17" s="24" t="s">
        <v>27</v>
      </c>
      <c r="S17" s="19" t="s">
        <v>13</v>
      </c>
      <c r="T17" s="13"/>
      <c r="U17" s="14"/>
      <c r="W17" s="255">
        <v>24.0</v>
      </c>
      <c r="X17" s="257" t="s">
        <v>221</v>
      </c>
      <c r="Y17" s="258">
        <f t="shared" si="1"/>
        <v>2</v>
      </c>
      <c r="Z17" s="75">
        <f t="shared" si="2"/>
        <v>2</v>
      </c>
    </row>
    <row r="18">
      <c r="A18" s="47" t="s">
        <v>222</v>
      </c>
      <c r="B18" s="43" t="s">
        <v>223</v>
      </c>
      <c r="C18" s="47" t="s">
        <v>24</v>
      </c>
      <c r="D18" s="24" t="s">
        <v>224</v>
      </c>
      <c r="E18" s="24" t="s">
        <v>66</v>
      </c>
      <c r="F18" s="24" t="s">
        <v>27</v>
      </c>
      <c r="G18" s="24" t="s">
        <v>211</v>
      </c>
      <c r="H18" s="24" t="s">
        <v>95</v>
      </c>
      <c r="I18" s="24" t="s">
        <v>27</v>
      </c>
      <c r="J18" s="44" t="s">
        <v>39</v>
      </c>
      <c r="K18" s="44" t="s">
        <v>40</v>
      </c>
      <c r="L18" s="45"/>
      <c r="M18" s="50" t="s">
        <v>217</v>
      </c>
      <c r="N18" s="50" t="s">
        <v>103</v>
      </c>
      <c r="O18" s="50" t="s">
        <v>42</v>
      </c>
      <c r="P18" s="24"/>
      <c r="Q18" s="223"/>
      <c r="R18" s="24"/>
      <c r="S18" s="260"/>
      <c r="T18" s="260"/>
      <c r="U18" s="260"/>
      <c r="W18" s="255">
        <v>9.0</v>
      </c>
      <c r="X18" s="257" t="s">
        <v>225</v>
      </c>
      <c r="Y18" s="258">
        <f t="shared" si="1"/>
        <v>2</v>
      </c>
      <c r="Z18" s="75">
        <f t="shared" si="2"/>
        <v>2</v>
      </c>
    </row>
    <row r="19">
      <c r="A19" s="140"/>
      <c r="B19" s="220"/>
      <c r="C19" s="216"/>
      <c r="D19" s="205"/>
      <c r="E19" s="205"/>
      <c r="F19" s="205"/>
      <c r="G19" s="24" t="s">
        <v>226</v>
      </c>
      <c r="H19" s="24" t="s">
        <v>227</v>
      </c>
      <c r="I19" s="49" t="s">
        <v>48</v>
      </c>
      <c r="J19" s="24" t="s">
        <v>228</v>
      </c>
      <c r="K19" s="24" t="s">
        <v>229</v>
      </c>
      <c r="L19" s="24" t="s">
        <v>24</v>
      </c>
      <c r="M19" s="24" t="s">
        <v>209</v>
      </c>
      <c r="N19" s="24" t="s">
        <v>230</v>
      </c>
      <c r="O19" s="49" t="s">
        <v>48</v>
      </c>
      <c r="P19" s="24" t="s">
        <v>231</v>
      </c>
      <c r="Q19" s="223" t="s">
        <v>232</v>
      </c>
      <c r="R19" s="47" t="s">
        <v>24</v>
      </c>
      <c r="S19" s="260"/>
      <c r="T19" s="260"/>
      <c r="U19" s="260"/>
      <c r="W19" s="255">
        <v>10.0</v>
      </c>
      <c r="X19" s="259" t="s">
        <v>233</v>
      </c>
      <c r="Y19" s="258">
        <f t="shared" si="1"/>
        <v>0</v>
      </c>
      <c r="Z19" s="75">
        <f t="shared" si="2"/>
        <v>0</v>
      </c>
    </row>
    <row r="20">
      <c r="A20" s="113"/>
      <c r="B20" s="113"/>
      <c r="C20" s="113"/>
      <c r="D20" s="140"/>
      <c r="E20" s="140"/>
      <c r="F20" s="140"/>
      <c r="G20" s="140"/>
      <c r="H20" s="140"/>
      <c r="I20" s="140"/>
      <c r="J20" s="216"/>
      <c r="K20" s="216"/>
      <c r="L20" s="216"/>
      <c r="M20" s="205"/>
      <c r="N20" s="205"/>
      <c r="O20" s="205"/>
      <c r="P20" s="262"/>
      <c r="Q20" s="263"/>
      <c r="R20" s="262"/>
      <c r="S20" s="260"/>
      <c r="T20" s="260"/>
      <c r="U20" s="260"/>
      <c r="W20" s="255">
        <v>11.0</v>
      </c>
      <c r="X20" s="257" t="s">
        <v>224</v>
      </c>
      <c r="Y20" s="258">
        <f t="shared" si="1"/>
        <v>2</v>
      </c>
      <c r="Z20" s="75">
        <f t="shared" si="2"/>
        <v>2</v>
      </c>
    </row>
    <row r="21" ht="15.75" customHeight="1">
      <c r="A21" s="133" t="s">
        <v>118</v>
      </c>
      <c r="B21" s="13"/>
      <c r="C21" s="14"/>
      <c r="D21" s="133" t="s">
        <v>7</v>
      </c>
      <c r="E21" s="13"/>
      <c r="F21" s="14"/>
      <c r="G21" s="133" t="s">
        <v>119</v>
      </c>
      <c r="H21" s="13"/>
      <c r="I21" s="14"/>
      <c r="J21" s="133" t="s">
        <v>9</v>
      </c>
      <c r="K21" s="13"/>
      <c r="L21" s="14"/>
      <c r="M21" s="133" t="s">
        <v>85</v>
      </c>
      <c r="N21" s="13"/>
      <c r="O21" s="14"/>
      <c r="P21" s="133" t="s">
        <v>86</v>
      </c>
      <c r="Q21" s="13"/>
      <c r="R21" s="14"/>
      <c r="S21" s="134" t="s">
        <v>12</v>
      </c>
      <c r="T21" s="13"/>
      <c r="U21" s="14"/>
      <c r="W21" s="255">
        <v>12.0</v>
      </c>
      <c r="X21" s="257" t="s">
        <v>234</v>
      </c>
      <c r="Y21" s="258">
        <f t="shared" si="1"/>
        <v>2</v>
      </c>
      <c r="Z21" s="75">
        <f t="shared" si="2"/>
        <v>2</v>
      </c>
    </row>
    <row r="22" ht="15.75" customHeight="1">
      <c r="A22" s="136">
        <f>S14+1</f>
        <v>46090</v>
      </c>
      <c r="B22" s="13"/>
      <c r="C22" s="14"/>
      <c r="D22" s="136">
        <f>A22+1</f>
        <v>46091</v>
      </c>
      <c r="E22" s="13"/>
      <c r="F22" s="14"/>
      <c r="G22" s="136">
        <f>D22+1</f>
        <v>46092</v>
      </c>
      <c r="H22" s="13"/>
      <c r="I22" s="14"/>
      <c r="J22" s="136">
        <f>G22+1</f>
        <v>46093</v>
      </c>
      <c r="K22" s="13"/>
      <c r="L22" s="14"/>
      <c r="M22" s="136">
        <f>J22+1</f>
        <v>46094</v>
      </c>
      <c r="N22" s="13"/>
      <c r="O22" s="14"/>
      <c r="P22" s="136">
        <f>M22+1</f>
        <v>46095</v>
      </c>
      <c r="Q22" s="13"/>
      <c r="R22" s="14"/>
      <c r="S22" s="137">
        <f>P22+1</f>
        <v>46096</v>
      </c>
      <c r="T22" s="13"/>
      <c r="U22" s="14"/>
      <c r="W22" s="255">
        <v>13.0</v>
      </c>
      <c r="X22" s="257" t="s">
        <v>235</v>
      </c>
      <c r="Y22" s="258">
        <f t="shared" si="1"/>
        <v>2</v>
      </c>
      <c r="Z22" s="75">
        <f t="shared" si="2"/>
        <v>2</v>
      </c>
    </row>
    <row r="23" ht="15.75" customHeight="1">
      <c r="A23" s="47" t="s">
        <v>222</v>
      </c>
      <c r="B23" s="47" t="s">
        <v>35</v>
      </c>
      <c r="C23" s="47" t="s">
        <v>24</v>
      </c>
      <c r="D23" s="141"/>
      <c r="E23" s="141"/>
      <c r="F23" s="141"/>
      <c r="G23" s="35"/>
      <c r="H23" s="35"/>
      <c r="I23" s="35"/>
      <c r="J23" s="205"/>
      <c r="K23" s="205"/>
      <c r="L23" s="205"/>
      <c r="M23" s="205"/>
      <c r="N23" s="205"/>
      <c r="O23" s="205"/>
      <c r="P23" s="74"/>
      <c r="Q23" s="74"/>
      <c r="R23" s="74"/>
      <c r="S23" s="260"/>
      <c r="T23" s="260"/>
      <c r="U23" s="261"/>
      <c r="W23" s="255">
        <v>14.0</v>
      </c>
      <c r="X23" s="257" t="s">
        <v>218</v>
      </c>
      <c r="Y23" s="258">
        <f t="shared" si="1"/>
        <v>2</v>
      </c>
      <c r="Z23" s="75">
        <f t="shared" si="2"/>
        <v>2</v>
      </c>
    </row>
    <row r="24" ht="15.75" customHeight="1">
      <c r="A24" s="41"/>
      <c r="B24" s="41"/>
      <c r="C24" s="41"/>
      <c r="D24" s="24" t="s">
        <v>209</v>
      </c>
      <c r="E24" s="24" t="s">
        <v>25</v>
      </c>
      <c r="F24" s="24" t="s">
        <v>24</v>
      </c>
      <c r="G24" s="24" t="s">
        <v>236</v>
      </c>
      <c r="H24" s="24" t="s">
        <v>171</v>
      </c>
      <c r="I24" s="24" t="s">
        <v>27</v>
      </c>
      <c r="J24" s="24" t="s">
        <v>209</v>
      </c>
      <c r="K24" s="24" t="s">
        <v>25</v>
      </c>
      <c r="L24" s="24" t="s">
        <v>24</v>
      </c>
      <c r="M24" s="24" t="s">
        <v>234</v>
      </c>
      <c r="N24" s="228" t="s">
        <v>237</v>
      </c>
      <c r="O24" s="228" t="s">
        <v>42</v>
      </c>
      <c r="P24" s="24" t="s">
        <v>225</v>
      </c>
      <c r="Q24" s="223" t="s">
        <v>238</v>
      </c>
      <c r="R24" s="122" t="s">
        <v>42</v>
      </c>
      <c r="S24" s="260"/>
      <c r="T24" s="260"/>
      <c r="U24" s="260"/>
      <c r="W24" s="255">
        <v>15.0</v>
      </c>
      <c r="X24" s="259" t="s">
        <v>239</v>
      </c>
      <c r="Y24" s="258">
        <f t="shared" si="1"/>
        <v>2</v>
      </c>
      <c r="Z24" s="75">
        <f t="shared" si="2"/>
        <v>2</v>
      </c>
    </row>
    <row r="25" ht="15.75" customHeight="1">
      <c r="A25" s="24" t="s">
        <v>180</v>
      </c>
      <c r="B25" s="24" t="s">
        <v>181</v>
      </c>
      <c r="C25" s="24" t="s">
        <v>24</v>
      </c>
      <c r="D25" s="24" t="s">
        <v>216</v>
      </c>
      <c r="E25" s="24" t="s">
        <v>103</v>
      </c>
      <c r="F25" s="24" t="s">
        <v>42</v>
      </c>
      <c r="G25" s="24" t="s">
        <v>228</v>
      </c>
      <c r="H25" s="40" t="s">
        <v>33</v>
      </c>
      <c r="I25" s="40" t="s">
        <v>24</v>
      </c>
      <c r="J25" s="24" t="s">
        <v>214</v>
      </c>
      <c r="K25" s="24" t="s">
        <v>29</v>
      </c>
      <c r="L25" s="24" t="s">
        <v>24</v>
      </c>
      <c r="M25" s="24" t="s">
        <v>235</v>
      </c>
      <c r="N25" s="48"/>
      <c r="O25" s="48"/>
      <c r="P25" s="50" t="s">
        <v>214</v>
      </c>
      <c r="Q25" s="50" t="s">
        <v>29</v>
      </c>
      <c r="R25" s="50" t="s">
        <v>24</v>
      </c>
      <c r="S25" s="19" t="s">
        <v>13</v>
      </c>
      <c r="T25" s="13"/>
      <c r="U25" s="14"/>
      <c r="W25" s="255">
        <v>16.0</v>
      </c>
      <c r="X25" s="257" t="s">
        <v>231</v>
      </c>
      <c r="Y25" s="258">
        <f t="shared" si="1"/>
        <v>4</v>
      </c>
      <c r="Z25" s="75">
        <f t="shared" si="2"/>
        <v>4</v>
      </c>
    </row>
    <row r="26" ht="15.75" customHeight="1">
      <c r="A26" s="120"/>
      <c r="B26" s="120"/>
      <c r="C26" s="120"/>
      <c r="D26" s="24" t="s">
        <v>239</v>
      </c>
      <c r="E26" s="24" t="s">
        <v>240</v>
      </c>
      <c r="F26" s="24" t="s">
        <v>24</v>
      </c>
      <c r="G26" s="24" t="s">
        <v>217</v>
      </c>
      <c r="H26" s="24" t="s">
        <v>57</v>
      </c>
      <c r="I26" s="24" t="s">
        <v>42</v>
      </c>
      <c r="J26" s="24" t="s">
        <v>241</v>
      </c>
      <c r="K26" s="24" t="s">
        <v>73</v>
      </c>
      <c r="L26" s="24" t="s">
        <v>24</v>
      </c>
      <c r="M26" s="35"/>
      <c r="N26" s="35"/>
      <c r="O26" s="35" t="s">
        <v>242</v>
      </c>
      <c r="P26" s="24" t="s">
        <v>231</v>
      </c>
      <c r="Q26" s="223" t="s">
        <v>243</v>
      </c>
      <c r="R26" s="24" t="s">
        <v>24</v>
      </c>
      <c r="S26" s="260"/>
      <c r="T26" s="260"/>
      <c r="U26" s="260"/>
      <c r="W26" s="255">
        <v>25.0</v>
      </c>
      <c r="X26" s="40" t="s">
        <v>244</v>
      </c>
      <c r="Y26" s="258">
        <f t="shared" si="1"/>
        <v>0</v>
      </c>
      <c r="Z26" s="75">
        <f t="shared" si="2"/>
        <v>0</v>
      </c>
    </row>
    <row r="27" ht="15.75" customHeight="1">
      <c r="A27" s="122" t="s">
        <v>221</v>
      </c>
      <c r="B27" s="212" t="s">
        <v>245</v>
      </c>
      <c r="C27" s="122" t="s">
        <v>27</v>
      </c>
      <c r="D27" s="140"/>
      <c r="E27" s="140"/>
      <c r="F27" s="140"/>
      <c r="G27" s="47" t="s">
        <v>226</v>
      </c>
      <c r="H27" s="47" t="s">
        <v>227</v>
      </c>
      <c r="I27" s="47" t="s">
        <v>24</v>
      </c>
      <c r="J27" s="24"/>
      <c r="K27" s="24"/>
      <c r="L27" s="24"/>
      <c r="M27" s="122"/>
      <c r="N27" s="122"/>
      <c r="O27" s="122"/>
      <c r="P27" s="205"/>
      <c r="Q27" s="205"/>
      <c r="R27" s="205"/>
      <c r="S27" s="260"/>
      <c r="T27" s="260"/>
      <c r="U27" s="260"/>
      <c r="W27" s="255">
        <v>18.0</v>
      </c>
      <c r="X27" s="257" t="s">
        <v>222</v>
      </c>
      <c r="Y27" s="258">
        <f t="shared" si="1"/>
        <v>4</v>
      </c>
      <c r="Z27" s="75">
        <f t="shared" si="2"/>
        <v>4</v>
      </c>
    </row>
    <row r="28" ht="15.75" customHeight="1">
      <c r="A28" s="209"/>
      <c r="B28" s="209"/>
      <c r="C28" s="209"/>
      <c r="D28" s="209"/>
      <c r="E28" s="209"/>
      <c r="F28" s="209"/>
      <c r="G28" s="154"/>
      <c r="H28" s="154"/>
      <c r="I28" s="154"/>
      <c r="J28" s="141"/>
      <c r="K28" s="141"/>
      <c r="L28" s="141"/>
      <c r="M28" s="140"/>
      <c r="N28" s="140"/>
      <c r="O28" s="140"/>
      <c r="P28" s="205"/>
      <c r="Q28" s="205"/>
      <c r="R28" s="205"/>
      <c r="S28" s="260"/>
      <c r="T28" s="260"/>
      <c r="U28" s="260"/>
      <c r="W28" s="255">
        <v>19.0</v>
      </c>
      <c r="X28" s="264"/>
      <c r="Y28" s="258"/>
      <c r="Z28" s="75"/>
    </row>
    <row r="29" ht="15.75" customHeight="1">
      <c r="A29" s="104" t="s">
        <v>118</v>
      </c>
      <c r="B29" s="13"/>
      <c r="C29" s="14"/>
      <c r="D29" s="104" t="s">
        <v>7</v>
      </c>
      <c r="E29" s="13"/>
      <c r="F29" s="14"/>
      <c r="G29" s="104" t="s">
        <v>119</v>
      </c>
      <c r="H29" s="13"/>
      <c r="I29" s="14"/>
      <c r="J29" s="157" t="s">
        <v>9</v>
      </c>
      <c r="K29" s="13"/>
      <c r="L29" s="14"/>
      <c r="M29" s="157" t="s">
        <v>85</v>
      </c>
      <c r="N29" s="13"/>
      <c r="O29" s="14"/>
      <c r="P29" s="157" t="s">
        <v>86</v>
      </c>
      <c r="Q29" s="13"/>
      <c r="R29" s="14"/>
      <c r="S29" s="157" t="s">
        <v>12</v>
      </c>
      <c r="T29" s="13"/>
      <c r="U29" s="14"/>
      <c r="W29" s="255">
        <v>20.0</v>
      </c>
      <c r="X29" s="187" t="s">
        <v>219</v>
      </c>
      <c r="Y29" s="258">
        <f t="shared" ref="Y29:Y40" si="3">countif($A$5:$U$52,X29)</f>
        <v>2</v>
      </c>
      <c r="Z29" s="75">
        <f t="shared" ref="Z29:Z36" si="4">COUNTIF($A$5:$U$51,X29)</f>
        <v>2</v>
      </c>
    </row>
    <row r="30" ht="15.75" customHeight="1">
      <c r="A30" s="107">
        <f>S22+1</f>
        <v>46097</v>
      </c>
      <c r="B30" s="13"/>
      <c r="C30" s="14"/>
      <c r="D30" s="107">
        <f>A30+1</f>
        <v>46098</v>
      </c>
      <c r="E30" s="13"/>
      <c r="F30" s="14"/>
      <c r="G30" s="106">
        <f>D30+1</f>
        <v>46099</v>
      </c>
      <c r="H30" s="13"/>
      <c r="I30" s="14"/>
      <c r="J30" s="108">
        <f>G30+1</f>
        <v>46100</v>
      </c>
      <c r="K30" s="13"/>
      <c r="L30" s="14"/>
      <c r="M30" s="108">
        <f>J30+1</f>
        <v>46101</v>
      </c>
      <c r="N30" s="13"/>
      <c r="O30" s="14"/>
      <c r="P30" s="108">
        <f>M30+1</f>
        <v>46102</v>
      </c>
      <c r="Q30" s="13"/>
      <c r="R30" s="14"/>
      <c r="S30" s="108">
        <f>P30+1</f>
        <v>46103</v>
      </c>
      <c r="T30" s="13"/>
      <c r="U30" s="14"/>
      <c r="W30" s="255">
        <v>21.0</v>
      </c>
      <c r="X30" s="264" t="s">
        <v>226</v>
      </c>
      <c r="Y30" s="258">
        <f t="shared" si="3"/>
        <v>4</v>
      </c>
      <c r="Z30" s="75">
        <f t="shared" si="4"/>
        <v>4</v>
      </c>
    </row>
    <row r="31" ht="15.75" customHeight="1">
      <c r="A31" s="24" t="s">
        <v>213</v>
      </c>
      <c r="B31" s="24" t="s">
        <v>57</v>
      </c>
      <c r="C31" s="24" t="s">
        <v>42</v>
      </c>
      <c r="D31" s="205"/>
      <c r="E31" s="265"/>
      <c r="F31" s="265"/>
      <c r="G31" s="35"/>
      <c r="H31" s="35"/>
      <c r="I31" s="35"/>
      <c r="J31" s="35"/>
      <c r="K31" s="35"/>
      <c r="L31" s="35"/>
      <c r="M31" s="205"/>
      <c r="N31" s="205"/>
      <c r="O31" s="205"/>
      <c r="P31" s="205"/>
      <c r="Q31" s="266"/>
      <c r="R31" s="140"/>
      <c r="S31" s="260"/>
      <c r="T31" s="260"/>
      <c r="U31" s="261"/>
      <c r="W31" s="255">
        <v>26.0</v>
      </c>
      <c r="X31" s="224" t="s">
        <v>236</v>
      </c>
      <c r="Y31" s="258">
        <f t="shared" si="3"/>
        <v>2</v>
      </c>
      <c r="Z31" s="75">
        <f t="shared" si="4"/>
        <v>2</v>
      </c>
    </row>
    <row r="32" ht="15.75" customHeight="1">
      <c r="A32" s="122"/>
      <c r="B32" s="122"/>
      <c r="C32" s="122"/>
      <c r="D32" s="24" t="s">
        <v>218</v>
      </c>
      <c r="E32" s="53" t="s">
        <v>59</v>
      </c>
      <c r="F32" s="24" t="s">
        <v>42</v>
      </c>
      <c r="G32" s="24" t="s">
        <v>210</v>
      </c>
      <c r="H32" s="24" t="s">
        <v>33</v>
      </c>
      <c r="I32" s="24" t="s">
        <v>24</v>
      </c>
      <c r="J32" s="24"/>
      <c r="K32" s="24"/>
      <c r="L32" s="24"/>
      <c r="M32" s="205"/>
      <c r="N32" s="205"/>
      <c r="O32" s="205"/>
      <c r="P32" s="24"/>
      <c r="Q32" s="223"/>
      <c r="R32" s="122"/>
      <c r="S32" s="260"/>
      <c r="T32" s="260"/>
      <c r="U32" s="260"/>
      <c r="W32" s="255">
        <v>22.0</v>
      </c>
      <c r="X32" s="257" t="s">
        <v>228</v>
      </c>
      <c r="Y32" s="258">
        <f t="shared" si="3"/>
        <v>4</v>
      </c>
      <c r="Z32" s="75">
        <f t="shared" si="4"/>
        <v>4</v>
      </c>
    </row>
    <row r="33" ht="15.0" customHeight="1">
      <c r="A33" s="24" t="s">
        <v>180</v>
      </c>
      <c r="B33" s="24" t="s">
        <v>181</v>
      </c>
      <c r="C33" s="24" t="s">
        <v>24</v>
      </c>
      <c r="D33" s="205"/>
      <c r="E33" s="265"/>
      <c r="F33" s="265"/>
      <c r="G33" s="24" t="s">
        <v>212</v>
      </c>
      <c r="H33" s="24" t="s">
        <v>57</v>
      </c>
      <c r="I33" s="24" t="s">
        <v>27</v>
      </c>
      <c r="J33" s="19" t="s">
        <v>13</v>
      </c>
      <c r="K33" s="13"/>
      <c r="L33" s="14"/>
      <c r="M33" s="204" t="s">
        <v>69</v>
      </c>
      <c r="N33" s="13"/>
      <c r="O33" s="14"/>
      <c r="P33" s="19" t="s">
        <v>13</v>
      </c>
      <c r="Q33" s="13"/>
      <c r="R33" s="14"/>
      <c r="S33" s="19" t="s">
        <v>13</v>
      </c>
      <c r="T33" s="13"/>
      <c r="U33" s="14"/>
      <c r="W33" s="255">
        <v>23.0</v>
      </c>
      <c r="X33" s="257" t="s">
        <v>215</v>
      </c>
      <c r="Y33" s="258">
        <f t="shared" si="3"/>
        <v>2</v>
      </c>
      <c r="Z33" s="75">
        <f t="shared" si="4"/>
        <v>2</v>
      </c>
    </row>
    <row r="34" ht="15.75" customHeight="1">
      <c r="A34" s="47" t="s">
        <v>222</v>
      </c>
      <c r="B34" s="43" t="s">
        <v>223</v>
      </c>
      <c r="C34" s="47" t="s">
        <v>24</v>
      </c>
      <c r="D34" s="24" t="s">
        <v>217</v>
      </c>
      <c r="E34" s="24" t="s">
        <v>103</v>
      </c>
      <c r="F34" s="24" t="s">
        <v>42</v>
      </c>
      <c r="G34" s="24" t="s">
        <v>211</v>
      </c>
      <c r="H34" s="24" t="s">
        <v>95</v>
      </c>
      <c r="I34" s="24" t="s">
        <v>27</v>
      </c>
      <c r="J34" s="24"/>
      <c r="L34" s="24"/>
      <c r="M34" s="24"/>
      <c r="N34" s="24"/>
      <c r="O34" s="24"/>
      <c r="P34" s="24"/>
      <c r="Q34" s="223"/>
      <c r="R34" s="47"/>
      <c r="S34" s="260"/>
      <c r="T34" s="260"/>
      <c r="U34" s="260"/>
      <c r="W34" s="255">
        <v>17.0</v>
      </c>
      <c r="X34" s="267" t="s">
        <v>241</v>
      </c>
      <c r="Y34" s="258">
        <f t="shared" si="3"/>
        <v>2</v>
      </c>
      <c r="Z34" s="75">
        <f t="shared" si="4"/>
        <v>2</v>
      </c>
    </row>
    <row r="35" ht="15.75" customHeight="1">
      <c r="A35" s="24" t="s">
        <v>209</v>
      </c>
      <c r="B35" s="24" t="s">
        <v>230</v>
      </c>
      <c r="C35" s="49" t="s">
        <v>48</v>
      </c>
      <c r="D35" s="268" t="s">
        <v>231</v>
      </c>
      <c r="E35" s="268" t="s">
        <v>232</v>
      </c>
      <c r="F35" s="269" t="s">
        <v>24</v>
      </c>
      <c r="G35" s="24" t="s">
        <v>226</v>
      </c>
      <c r="H35" s="24" t="s">
        <v>227</v>
      </c>
      <c r="I35" s="49" t="s">
        <v>48</v>
      </c>
      <c r="J35" s="24"/>
      <c r="K35" s="24"/>
      <c r="L35" s="24"/>
      <c r="M35" s="205"/>
      <c r="N35" s="205"/>
      <c r="O35" s="205"/>
      <c r="P35" s="140"/>
      <c r="Q35" s="220"/>
      <c r="R35" s="216"/>
      <c r="S35" s="260"/>
      <c r="T35" s="260"/>
      <c r="U35" s="260"/>
      <c r="W35" s="255">
        <v>1.0</v>
      </c>
      <c r="X35" s="267" t="s">
        <v>216</v>
      </c>
      <c r="Y35" s="258">
        <f t="shared" si="3"/>
        <v>5</v>
      </c>
      <c r="Z35" s="75">
        <f t="shared" si="4"/>
        <v>5</v>
      </c>
    </row>
    <row r="36" ht="15.75" customHeight="1">
      <c r="A36" s="140"/>
      <c r="B36" s="220"/>
      <c r="C36" s="216"/>
      <c r="D36" s="24" t="s">
        <v>228</v>
      </c>
      <c r="E36" s="24" t="s">
        <v>229</v>
      </c>
      <c r="F36" s="24" t="s">
        <v>24</v>
      </c>
      <c r="G36" s="140"/>
      <c r="H36" s="140"/>
      <c r="I36" s="140"/>
      <c r="J36" s="216"/>
      <c r="K36" s="216"/>
      <c r="L36" s="216"/>
      <c r="M36" s="209"/>
      <c r="N36" s="209"/>
      <c r="O36" s="209"/>
      <c r="P36" s="262"/>
      <c r="Q36" s="263"/>
      <c r="R36" s="262"/>
      <c r="S36" s="260"/>
      <c r="T36" s="260"/>
      <c r="U36" s="260"/>
      <c r="W36" s="255">
        <v>27.0</v>
      </c>
      <c r="X36" s="270" t="s">
        <v>217</v>
      </c>
      <c r="Y36" s="258">
        <f t="shared" si="3"/>
        <v>6</v>
      </c>
      <c r="Z36" s="75">
        <f t="shared" si="4"/>
        <v>6</v>
      </c>
    </row>
    <row r="37" ht="15.75" customHeight="1">
      <c r="A37" s="134" t="s">
        <v>118</v>
      </c>
      <c r="B37" s="13"/>
      <c r="C37" s="14"/>
      <c r="D37" s="133" t="s">
        <v>7</v>
      </c>
      <c r="E37" s="13"/>
      <c r="F37" s="14"/>
      <c r="G37" s="133" t="s">
        <v>119</v>
      </c>
      <c r="H37" s="13"/>
      <c r="I37" s="14"/>
      <c r="J37" s="133" t="s">
        <v>9</v>
      </c>
      <c r="K37" s="13"/>
      <c r="L37" s="14"/>
      <c r="M37" s="133" t="s">
        <v>136</v>
      </c>
      <c r="N37" s="13"/>
      <c r="O37" s="14"/>
      <c r="P37" s="133" t="s">
        <v>11</v>
      </c>
      <c r="Q37" s="13"/>
      <c r="R37" s="14"/>
      <c r="S37" s="134" t="s">
        <v>12</v>
      </c>
      <c r="T37" s="13"/>
      <c r="U37" s="14"/>
      <c r="W37" s="271">
        <v>28.0</v>
      </c>
      <c r="X37" s="148"/>
      <c r="Y37" s="272">
        <f t="shared" si="3"/>
        <v>0</v>
      </c>
      <c r="Z37" s="75"/>
    </row>
    <row r="38" ht="15.75" customHeight="1">
      <c r="A38" s="137">
        <f>S30+1</f>
        <v>46104</v>
      </c>
      <c r="B38" s="13"/>
      <c r="C38" s="14"/>
      <c r="D38" s="136">
        <f>A38+1</f>
        <v>46105</v>
      </c>
      <c r="E38" s="13"/>
      <c r="F38" s="14"/>
      <c r="G38" s="136">
        <f>D38+1</f>
        <v>46106</v>
      </c>
      <c r="H38" s="13"/>
      <c r="I38" s="14"/>
      <c r="J38" s="136">
        <f>G38+1</f>
        <v>46107</v>
      </c>
      <c r="K38" s="13"/>
      <c r="L38" s="14"/>
      <c r="M38" s="136">
        <f>J38+1</f>
        <v>46108</v>
      </c>
      <c r="N38" s="13"/>
      <c r="O38" s="14"/>
      <c r="P38" s="136">
        <f>M38+1</f>
        <v>46109</v>
      </c>
      <c r="Q38" s="13"/>
      <c r="R38" s="14"/>
      <c r="S38" s="137">
        <f>P38+1</f>
        <v>46110</v>
      </c>
      <c r="T38" s="13"/>
      <c r="U38" s="14"/>
      <c r="W38" s="255">
        <v>29.0</v>
      </c>
      <c r="X38" s="273"/>
      <c r="Y38" s="258">
        <f t="shared" si="3"/>
        <v>0</v>
      </c>
      <c r="Z38" s="75"/>
    </row>
    <row r="39" ht="15.75" customHeight="1">
      <c r="A39" s="47"/>
      <c r="B39" s="47"/>
      <c r="C39" s="47"/>
      <c r="D39" s="216"/>
      <c r="E39" s="216"/>
      <c r="F39" s="216"/>
      <c r="G39" s="35"/>
      <c r="H39" s="35"/>
      <c r="I39" s="35"/>
      <c r="J39" s="207"/>
      <c r="K39" s="207"/>
      <c r="L39" s="207"/>
      <c r="M39" s="140"/>
      <c r="N39" s="140"/>
      <c r="O39" s="140"/>
      <c r="P39" s="74"/>
      <c r="Q39" s="74"/>
      <c r="R39" s="74"/>
      <c r="S39" s="260"/>
      <c r="T39" s="260"/>
      <c r="U39" s="261"/>
      <c r="W39" s="255">
        <v>30.0</v>
      </c>
      <c r="X39" s="259"/>
      <c r="Y39" s="258">
        <f t="shared" si="3"/>
        <v>0</v>
      </c>
      <c r="Z39" s="75"/>
    </row>
    <row r="40" ht="15.75" customHeight="1">
      <c r="A40" s="41"/>
      <c r="B40" s="41"/>
      <c r="C40" s="41"/>
      <c r="D40" s="24" t="s">
        <v>209</v>
      </c>
      <c r="E40" s="24" t="s">
        <v>25</v>
      </c>
      <c r="F40" s="24" t="s">
        <v>24</v>
      </c>
      <c r="G40" s="24" t="s">
        <v>236</v>
      </c>
      <c r="H40" s="24" t="s">
        <v>171</v>
      </c>
      <c r="I40" s="24" t="s">
        <v>27</v>
      </c>
      <c r="J40" s="24" t="s">
        <v>209</v>
      </c>
      <c r="K40" s="24" t="s">
        <v>25</v>
      </c>
      <c r="L40" s="24" t="s">
        <v>24</v>
      </c>
      <c r="M40" s="24" t="s">
        <v>234</v>
      </c>
      <c r="N40" s="228" t="s">
        <v>237</v>
      </c>
      <c r="O40" s="228" t="s">
        <v>42</v>
      </c>
      <c r="P40" s="24" t="s">
        <v>225</v>
      </c>
      <c r="Q40" s="223" t="s">
        <v>238</v>
      </c>
      <c r="R40" s="122" t="s">
        <v>42</v>
      </c>
      <c r="S40" s="260"/>
      <c r="T40" s="260"/>
      <c r="U40" s="260"/>
      <c r="W40" s="255">
        <v>31.0</v>
      </c>
      <c r="X40" s="259"/>
      <c r="Y40" s="258">
        <f t="shared" si="3"/>
        <v>0</v>
      </c>
      <c r="Z40" s="75"/>
    </row>
    <row r="41" ht="15.75" customHeight="1">
      <c r="A41" s="204" t="s">
        <v>69</v>
      </c>
      <c r="B41" s="13"/>
      <c r="C41" s="14"/>
      <c r="D41" s="50" t="s">
        <v>217</v>
      </c>
      <c r="E41" s="52" t="s">
        <v>29</v>
      </c>
      <c r="F41" s="50" t="s">
        <v>42</v>
      </c>
      <c r="G41" s="24" t="s">
        <v>228</v>
      </c>
      <c r="H41" s="40" t="s">
        <v>33</v>
      </c>
      <c r="I41" s="40" t="s">
        <v>24</v>
      </c>
      <c r="J41" s="24" t="s">
        <v>214</v>
      </c>
      <c r="K41" s="24" t="s">
        <v>29</v>
      </c>
      <c r="L41" s="24" t="s">
        <v>24</v>
      </c>
      <c r="M41" s="24" t="s">
        <v>235</v>
      </c>
      <c r="N41" s="48"/>
      <c r="O41" s="48"/>
      <c r="P41" s="50" t="s">
        <v>216</v>
      </c>
      <c r="Q41" s="52" t="s">
        <v>29</v>
      </c>
      <c r="R41" s="50" t="s">
        <v>42</v>
      </c>
      <c r="S41" s="19" t="s">
        <v>13</v>
      </c>
      <c r="T41" s="13"/>
      <c r="U41" s="14"/>
    </row>
    <row r="42" ht="15.75" customHeight="1">
      <c r="A42" s="122"/>
      <c r="B42" s="212"/>
      <c r="C42" s="122"/>
      <c r="D42" s="49" t="s">
        <v>216</v>
      </c>
      <c r="E42" s="49" t="s">
        <v>103</v>
      </c>
      <c r="F42" s="49" t="s">
        <v>42</v>
      </c>
      <c r="G42" s="24" t="s">
        <v>217</v>
      </c>
      <c r="H42" s="24"/>
      <c r="I42" s="24" t="s">
        <v>42</v>
      </c>
      <c r="J42" s="24" t="s">
        <v>241</v>
      </c>
      <c r="K42" s="24" t="s">
        <v>73</v>
      </c>
      <c r="L42" s="24" t="s">
        <v>24</v>
      </c>
      <c r="P42" s="24" t="s">
        <v>219</v>
      </c>
      <c r="Q42" s="223" t="s">
        <v>220</v>
      </c>
      <c r="R42" s="24" t="s">
        <v>27</v>
      </c>
      <c r="S42" s="260"/>
      <c r="T42" s="260"/>
      <c r="U42" s="260"/>
    </row>
    <row r="43" ht="15.75" customHeight="1">
      <c r="A43" s="160"/>
      <c r="B43" s="160"/>
      <c r="C43" s="160"/>
      <c r="D43" s="49" t="s">
        <v>239</v>
      </c>
      <c r="E43" s="49" t="s">
        <v>240</v>
      </c>
      <c r="F43" s="49" t="s">
        <v>24</v>
      </c>
      <c r="G43" s="47" t="s">
        <v>226</v>
      </c>
      <c r="H43" s="47" t="s">
        <v>227</v>
      </c>
      <c r="I43" s="47" t="s">
        <v>24</v>
      </c>
      <c r="J43" s="50" t="s">
        <v>224</v>
      </c>
      <c r="K43" s="50" t="s">
        <v>66</v>
      </c>
      <c r="L43" s="50" t="s">
        <v>27</v>
      </c>
      <c r="M43" s="24"/>
      <c r="N43" s="24"/>
      <c r="O43" s="24"/>
      <c r="P43" s="24" t="s">
        <v>231</v>
      </c>
      <c r="Q43" s="223" t="s">
        <v>243</v>
      </c>
      <c r="R43" s="24" t="s">
        <v>24</v>
      </c>
      <c r="S43" s="260"/>
      <c r="T43" s="260"/>
      <c r="U43" s="260"/>
      <c r="Y43" s="102">
        <f t="shared" ref="Y43:Z43" si="5">SUM(Y10:Y42)</f>
        <v>74</v>
      </c>
      <c r="Z43" s="102">
        <f t="shared" si="5"/>
        <v>74</v>
      </c>
    </row>
    <row r="44" ht="15.75" customHeight="1">
      <c r="A44" s="205"/>
      <c r="B44" s="205"/>
      <c r="C44" s="205"/>
      <c r="D44" s="205"/>
      <c r="E44" s="205"/>
      <c r="F44" s="205"/>
      <c r="G44" s="154"/>
      <c r="H44" s="154"/>
      <c r="I44" s="154"/>
      <c r="J44" s="207"/>
      <c r="K44" s="207"/>
      <c r="L44" s="207"/>
      <c r="M44" s="140"/>
      <c r="N44" s="140"/>
      <c r="O44" s="140"/>
      <c r="P44" s="205"/>
      <c r="Q44" s="205"/>
      <c r="R44" s="205"/>
      <c r="S44" s="260"/>
      <c r="T44" s="260"/>
      <c r="U44" s="260"/>
    </row>
    <row r="45" ht="15.75" customHeight="1">
      <c r="A45" s="104" t="s">
        <v>118</v>
      </c>
      <c r="B45" s="13"/>
      <c r="C45" s="14"/>
      <c r="D45" s="104" t="s">
        <v>7</v>
      </c>
      <c r="E45" s="13"/>
      <c r="F45" s="14"/>
      <c r="G45" s="104" t="s">
        <v>119</v>
      </c>
      <c r="H45" s="13"/>
      <c r="I45" s="14"/>
      <c r="J45" s="104" t="s">
        <v>9</v>
      </c>
      <c r="K45" s="13"/>
      <c r="L45" s="14"/>
      <c r="M45" s="104" t="s">
        <v>85</v>
      </c>
      <c r="N45" s="13"/>
      <c r="O45" s="14"/>
      <c r="P45" s="104" t="s">
        <v>86</v>
      </c>
      <c r="Q45" s="13"/>
      <c r="R45" s="14"/>
      <c r="S45" s="157" t="s">
        <v>12</v>
      </c>
      <c r="T45" s="13"/>
      <c r="U45" s="14"/>
    </row>
    <row r="46" ht="15.75" customHeight="1">
      <c r="A46" s="107">
        <f>S38+1</f>
        <v>46111</v>
      </c>
      <c r="B46" s="13"/>
      <c r="C46" s="14"/>
      <c r="D46" s="107">
        <f>A46+1</f>
        <v>46112</v>
      </c>
      <c r="E46" s="13"/>
      <c r="F46" s="14"/>
      <c r="G46" s="106">
        <f>D46+1</f>
        <v>46113</v>
      </c>
      <c r="H46" s="13"/>
      <c r="I46" s="14"/>
      <c r="J46" s="107">
        <f>G46+1</f>
        <v>46114</v>
      </c>
      <c r="K46" s="13"/>
      <c r="L46" s="14"/>
      <c r="M46" s="107">
        <f>J46+1</f>
        <v>46115</v>
      </c>
      <c r="N46" s="13"/>
      <c r="O46" s="14"/>
      <c r="P46" s="107">
        <f>M46+1</f>
        <v>46116</v>
      </c>
      <c r="Q46" s="13"/>
      <c r="R46" s="14"/>
      <c r="S46" s="108">
        <f>P46+1</f>
        <v>46117</v>
      </c>
      <c r="T46" s="13"/>
      <c r="U46" s="14"/>
    </row>
    <row r="47" ht="15.75" customHeight="1">
      <c r="A47" s="24" t="s">
        <v>215</v>
      </c>
      <c r="B47" s="53" t="s">
        <v>57</v>
      </c>
      <c r="C47" s="24" t="s">
        <v>24</v>
      </c>
      <c r="D47" s="24" t="s">
        <v>211</v>
      </c>
      <c r="E47" s="53" t="s">
        <v>246</v>
      </c>
      <c r="F47" s="24" t="s">
        <v>27</v>
      </c>
      <c r="G47" s="154"/>
      <c r="H47" s="154"/>
      <c r="I47" s="154"/>
      <c r="J47" s="209"/>
      <c r="K47" s="209"/>
      <c r="L47" s="209"/>
      <c r="M47" s="209"/>
      <c r="N47" s="209"/>
      <c r="O47" s="209"/>
      <c r="P47" s="209"/>
      <c r="Q47" s="209"/>
      <c r="R47" s="209"/>
      <c r="S47" s="208"/>
      <c r="T47" s="208"/>
      <c r="U47" s="203"/>
    </row>
    <row r="48" ht="15.75" customHeight="1">
      <c r="A48" s="47" t="s">
        <v>222</v>
      </c>
      <c r="B48" s="47" t="s">
        <v>35</v>
      </c>
      <c r="C48" s="47" t="s">
        <v>24</v>
      </c>
      <c r="D48" s="24" t="s">
        <v>209</v>
      </c>
      <c r="E48" s="24" t="s">
        <v>25</v>
      </c>
      <c r="F48" s="24" t="s">
        <v>24</v>
      </c>
      <c r="G48" s="154"/>
      <c r="H48" s="154"/>
      <c r="I48" s="154"/>
      <c r="J48" s="209"/>
      <c r="K48" s="209"/>
      <c r="L48" s="209"/>
      <c r="M48" s="209"/>
      <c r="N48" s="209"/>
      <c r="O48" s="209"/>
      <c r="P48" s="209"/>
      <c r="Q48" s="209"/>
      <c r="R48" s="209"/>
      <c r="S48" s="203"/>
      <c r="T48" s="203"/>
      <c r="U48" s="203"/>
    </row>
    <row r="49" ht="15.75" customHeight="1">
      <c r="A49" s="24" t="s">
        <v>180</v>
      </c>
      <c r="B49" s="24" t="s">
        <v>181</v>
      </c>
      <c r="C49" s="24" t="s">
        <v>24</v>
      </c>
      <c r="D49" s="24" t="s">
        <v>216</v>
      </c>
      <c r="E49" s="24" t="s">
        <v>103</v>
      </c>
      <c r="F49" s="24" t="s">
        <v>42</v>
      </c>
      <c r="G49" s="154"/>
      <c r="H49" s="154"/>
      <c r="I49" s="154"/>
      <c r="J49" s="209"/>
      <c r="K49" s="209"/>
      <c r="L49" s="209"/>
      <c r="M49" s="209"/>
      <c r="N49" s="209"/>
      <c r="O49" s="209"/>
      <c r="P49" s="205"/>
      <c r="Q49" s="205"/>
      <c r="R49" s="207"/>
      <c r="S49" s="203"/>
      <c r="T49" s="203"/>
      <c r="U49" s="203"/>
    </row>
    <row r="50" ht="15.75" customHeight="1">
      <c r="A50" s="122" t="s">
        <v>221</v>
      </c>
      <c r="B50" s="212" t="s">
        <v>245</v>
      </c>
      <c r="C50" s="122" t="s">
        <v>27</v>
      </c>
      <c r="D50" s="53" t="s">
        <v>247</v>
      </c>
      <c r="E50" s="274" t="s">
        <v>26</v>
      </c>
      <c r="F50" s="275" t="s">
        <v>27</v>
      </c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09"/>
      <c r="S50" s="208"/>
      <c r="T50" s="208"/>
      <c r="U50" s="203"/>
    </row>
    <row r="51" ht="15.75" customHeight="1">
      <c r="A51" s="260"/>
      <c r="B51" s="260"/>
      <c r="C51" s="260"/>
      <c r="D51" s="203"/>
      <c r="E51" s="203"/>
      <c r="F51" s="203"/>
      <c r="G51" s="154"/>
      <c r="H51" s="154"/>
      <c r="I51" s="154"/>
      <c r="J51" s="209"/>
      <c r="K51" s="209"/>
      <c r="L51" s="209"/>
      <c r="M51" s="209"/>
      <c r="N51" s="209"/>
      <c r="O51" s="209"/>
      <c r="P51" s="209"/>
      <c r="Q51" s="209"/>
      <c r="R51" s="209"/>
      <c r="S51" s="203"/>
      <c r="T51" s="203"/>
      <c r="U51" s="203"/>
    </row>
    <row r="52" ht="15.75" customHeight="1">
      <c r="A52" s="260"/>
      <c r="B52" s="260"/>
      <c r="C52" s="260"/>
      <c r="D52" s="246"/>
      <c r="E52" s="246"/>
      <c r="F52" s="246"/>
      <c r="G52" s="209"/>
      <c r="H52" s="209"/>
      <c r="I52" s="209"/>
      <c r="J52" s="260"/>
      <c r="K52" s="260"/>
      <c r="L52" s="260"/>
      <c r="M52" s="209"/>
      <c r="N52" s="209"/>
      <c r="O52" s="209"/>
      <c r="P52" s="260"/>
      <c r="Q52" s="260"/>
      <c r="R52" s="260"/>
      <c r="S52" s="246"/>
      <c r="T52" s="246"/>
      <c r="U52" s="246"/>
    </row>
    <row r="53" ht="15.75" customHeight="1"/>
    <row r="54" ht="15.75" customHeight="1">
      <c r="E54" s="154" t="s">
        <v>248</v>
      </c>
      <c r="F54" s="154"/>
    </row>
    <row r="55" ht="15.75" customHeight="1">
      <c r="A55" s="83" t="s">
        <v>76</v>
      </c>
      <c r="B55" s="84"/>
      <c r="E55" s="276" t="s">
        <v>249</v>
      </c>
      <c r="F55" s="276"/>
    </row>
    <row r="56" ht="15.75" customHeight="1">
      <c r="A56" s="85"/>
      <c r="B56" s="86" t="s">
        <v>77</v>
      </c>
      <c r="C56" s="87"/>
      <c r="D56" s="88"/>
      <c r="E56" s="276" t="s">
        <v>250</v>
      </c>
      <c r="F56" s="277"/>
      <c r="I56" s="103"/>
    </row>
    <row r="57" ht="15.75" customHeight="1">
      <c r="A57" s="92"/>
      <c r="B57" s="86" t="s">
        <v>78</v>
      </c>
      <c r="C57" s="87"/>
    </row>
    <row r="58" ht="15.75" customHeight="1">
      <c r="A58" s="95"/>
      <c r="B58" s="86" t="s">
        <v>79</v>
      </c>
      <c r="C58" s="87"/>
    </row>
    <row r="59" ht="15.75" customHeight="1">
      <c r="A59" s="96"/>
      <c r="B59" s="86" t="s">
        <v>80</v>
      </c>
      <c r="C59" s="87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9:$Y$35">
    <sortState ref="W9:Y35">
      <sortCondition ref="X9:X35"/>
    </sortState>
  </autoFilter>
  <mergeCells count="107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M29:O29"/>
    <mergeCell ref="P29:R29"/>
    <mergeCell ref="N24:N25"/>
    <mergeCell ref="O24:O25"/>
    <mergeCell ref="S25:U25"/>
    <mergeCell ref="D29:F29"/>
    <mergeCell ref="G29:I29"/>
    <mergeCell ref="J29:L29"/>
    <mergeCell ref="S29:U29"/>
    <mergeCell ref="A29:C29"/>
    <mergeCell ref="A30:C30"/>
    <mergeCell ref="D30:F30"/>
    <mergeCell ref="G30:I30"/>
    <mergeCell ref="M30:O30"/>
    <mergeCell ref="P30:R30"/>
    <mergeCell ref="S30:U30"/>
    <mergeCell ref="M37:O37"/>
    <mergeCell ref="P37:R37"/>
    <mergeCell ref="J30:L30"/>
    <mergeCell ref="J33:L33"/>
    <mergeCell ref="M33:O33"/>
    <mergeCell ref="P33:R33"/>
    <mergeCell ref="S33:U33"/>
    <mergeCell ref="A37:C37"/>
    <mergeCell ref="D37:F37"/>
    <mergeCell ref="S37:U37"/>
    <mergeCell ref="P38:R38"/>
    <mergeCell ref="S38:U38"/>
    <mergeCell ref="N40:N41"/>
    <mergeCell ref="O40:O41"/>
    <mergeCell ref="S41:U41"/>
    <mergeCell ref="G37:I37"/>
    <mergeCell ref="J37:L37"/>
    <mergeCell ref="A38:C38"/>
    <mergeCell ref="D38:F38"/>
    <mergeCell ref="G38:I38"/>
    <mergeCell ref="J38:L38"/>
    <mergeCell ref="M38:O38"/>
    <mergeCell ref="A41:C41"/>
    <mergeCell ref="D45:F45"/>
    <mergeCell ref="G45:I45"/>
    <mergeCell ref="J45:L45"/>
    <mergeCell ref="M45:O45"/>
    <mergeCell ref="P45:R45"/>
    <mergeCell ref="S45:U45"/>
    <mergeCell ref="A45:C45"/>
    <mergeCell ref="D46:F46"/>
    <mergeCell ref="G46:I46"/>
    <mergeCell ref="J46:L46"/>
    <mergeCell ref="M46:O46"/>
    <mergeCell ref="P46:R46"/>
    <mergeCell ref="S46:U46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9:U9"/>
    <mergeCell ref="S17:U17"/>
    <mergeCell ref="A6:C6"/>
    <mergeCell ref="D6:F6"/>
    <mergeCell ref="G6:I6"/>
    <mergeCell ref="J6:L6"/>
    <mergeCell ref="M6:O6"/>
    <mergeCell ref="P6:R6"/>
    <mergeCell ref="S6:U6"/>
    <mergeCell ref="A4:B4"/>
    <mergeCell ref="C4:D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46:C46"/>
    <mergeCell ref="B55:D55"/>
  </mergeCells>
  <printOptions/>
  <pageMargins bottom="0.3167068834137669" footer="0.0" header="0.0" left="0.20002540005080013" right="0.25003175006350015" top="0.21669418338836682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1.57"/>
    <col customWidth="1" min="3" max="3" width="7.29"/>
    <col customWidth="1" min="4" max="4" width="16.86"/>
    <col customWidth="1" min="5" max="5" width="11.71"/>
    <col customWidth="1" min="6" max="6" width="6.86"/>
    <col customWidth="1" min="7" max="7" width="22.43"/>
    <col customWidth="1" min="8" max="8" width="11.43"/>
    <col customWidth="1" min="9" max="9" width="7.71"/>
    <col customWidth="1" min="10" max="10" width="25.43"/>
    <col customWidth="1" min="11" max="11" width="11.43"/>
    <col customWidth="1" min="12" max="12" width="7.0"/>
    <col customWidth="1" min="13" max="13" width="25.43"/>
    <col customWidth="1" min="14" max="14" width="11.43"/>
    <col customWidth="1" min="15" max="15" width="7.71"/>
    <col customWidth="1" min="16" max="16" width="17.0"/>
    <col customWidth="1" min="17" max="17" width="13.57"/>
    <col customWidth="1" min="18" max="18" width="9.29"/>
    <col customWidth="1" min="19" max="19" width="13.43"/>
    <col customWidth="1" min="20" max="20" width="10.86"/>
    <col customWidth="1" min="21" max="21" width="9.0"/>
    <col customWidth="1" min="22" max="23" width="8.71"/>
    <col customWidth="1" min="24" max="24" width="27.43"/>
    <col customWidth="1" min="25" max="25" width="12.29"/>
    <col customWidth="1" min="26" max="26" width="8.71"/>
  </cols>
  <sheetData>
    <row r="1" ht="15.75" customHeight="1">
      <c r="A1" s="1" t="s">
        <v>205</v>
      </c>
      <c r="C1" s="2" t="s">
        <v>251</v>
      </c>
      <c r="F1" s="3"/>
      <c r="G1" s="4" t="s">
        <v>1</v>
      </c>
      <c r="Q1" s="3"/>
    </row>
    <row r="2" ht="15.75" customHeight="1">
      <c r="A2" s="6" t="s">
        <v>2</v>
      </c>
      <c r="C2" s="7" t="s">
        <v>82</v>
      </c>
      <c r="F2" s="3"/>
      <c r="Q2" s="3"/>
    </row>
    <row r="3" ht="15.75" customHeight="1">
      <c r="A3" s="6" t="s">
        <v>4</v>
      </c>
      <c r="C3" s="278"/>
      <c r="D3" s="279"/>
      <c r="E3" s="279"/>
      <c r="F3" s="3"/>
      <c r="Q3" s="3"/>
    </row>
    <row r="4" ht="15.75" customHeight="1">
      <c r="A4" s="6" t="s">
        <v>5</v>
      </c>
      <c r="C4" s="179" t="s">
        <v>252</v>
      </c>
      <c r="E4" s="3"/>
      <c r="F4" s="3"/>
      <c r="G4" s="10"/>
      <c r="H4" s="10"/>
      <c r="I4" s="10"/>
      <c r="J4" s="10"/>
      <c r="K4" s="10"/>
      <c r="L4" s="10"/>
      <c r="M4" s="10"/>
      <c r="N4" s="10"/>
      <c r="O4" s="10"/>
      <c r="P4" s="10"/>
      <c r="Q4" s="3"/>
    </row>
    <row r="5" ht="15.75" customHeight="1">
      <c r="A5" s="179"/>
      <c r="B5" s="179"/>
      <c r="C5" s="179"/>
      <c r="D5" s="179"/>
      <c r="E5" s="179"/>
      <c r="F5" s="3"/>
      <c r="G5" s="10"/>
      <c r="H5" s="10"/>
      <c r="I5" s="10"/>
      <c r="J5" s="10"/>
      <c r="K5" s="10"/>
      <c r="L5" s="10"/>
      <c r="M5" s="10"/>
      <c r="N5" s="10"/>
      <c r="O5" s="10"/>
      <c r="P5" s="10"/>
      <c r="Q5" s="3"/>
    </row>
    <row r="6" ht="15.75" customHeight="1">
      <c r="A6" s="12" t="s">
        <v>6</v>
      </c>
      <c r="B6" s="13"/>
      <c r="C6" s="14"/>
      <c r="D6" s="12" t="s">
        <v>7</v>
      </c>
      <c r="E6" s="13"/>
      <c r="F6" s="14"/>
      <c r="G6" s="12" t="s">
        <v>8</v>
      </c>
      <c r="H6" s="13"/>
      <c r="I6" s="14"/>
      <c r="J6" s="12" t="s">
        <v>9</v>
      </c>
      <c r="K6" s="13"/>
      <c r="L6" s="14"/>
      <c r="M6" s="12" t="s">
        <v>10</v>
      </c>
      <c r="N6" s="13"/>
      <c r="O6" s="14"/>
      <c r="P6" s="12" t="s">
        <v>11</v>
      </c>
      <c r="Q6" s="13"/>
      <c r="R6" s="14"/>
      <c r="S6" s="15" t="s">
        <v>12</v>
      </c>
      <c r="T6" s="13"/>
      <c r="U6" s="14"/>
      <c r="W6" s="181" t="s">
        <v>14</v>
      </c>
      <c r="X6" s="182" t="s">
        <v>144</v>
      </c>
      <c r="Y6" s="183" t="s">
        <v>16</v>
      </c>
    </row>
    <row r="7" ht="15.75" customHeight="1">
      <c r="A7" s="16"/>
      <c r="B7" s="13"/>
      <c r="C7" s="14"/>
      <c r="D7" s="16"/>
      <c r="E7" s="13"/>
      <c r="F7" s="14"/>
      <c r="G7" s="16"/>
      <c r="H7" s="13"/>
      <c r="I7" s="14"/>
      <c r="J7" s="16"/>
      <c r="K7" s="13"/>
      <c r="L7" s="14"/>
      <c r="M7" s="16"/>
      <c r="N7" s="13"/>
      <c r="O7" s="14"/>
      <c r="P7" s="16"/>
      <c r="Q7" s="13"/>
      <c r="R7" s="14"/>
      <c r="S7" s="17">
        <v>46082.0</v>
      </c>
      <c r="T7" s="13"/>
      <c r="U7" s="14"/>
      <c r="W7" s="186">
        <v>14.0</v>
      </c>
      <c r="X7" s="141" t="s">
        <v>253</v>
      </c>
      <c r="Y7" s="280">
        <f t="shared" ref="Y7:Y30" si="1">COUNTIF($A$5:$U$58,X7)</f>
        <v>2</v>
      </c>
    </row>
    <row r="8" ht="15.75" customHeight="1">
      <c r="A8" s="24"/>
      <c r="B8" s="24"/>
      <c r="C8" s="35"/>
      <c r="D8" s="128"/>
      <c r="E8" s="128"/>
      <c r="F8" s="128"/>
      <c r="G8" s="40"/>
      <c r="H8" s="40"/>
      <c r="I8" s="40"/>
      <c r="J8" s="120"/>
      <c r="K8" s="120"/>
      <c r="L8" s="120"/>
      <c r="M8" s="281"/>
      <c r="N8" s="281"/>
      <c r="O8" s="281"/>
      <c r="P8" s="34"/>
      <c r="Q8" s="140"/>
      <c r="R8" s="140"/>
      <c r="S8" s="113"/>
      <c r="T8" s="113"/>
      <c r="U8" s="113"/>
      <c r="W8" s="186">
        <v>19.0</v>
      </c>
      <c r="X8" s="127" t="s">
        <v>254</v>
      </c>
      <c r="Y8" s="280">
        <f t="shared" si="1"/>
        <v>2</v>
      </c>
    </row>
    <row r="9" ht="15.75" customHeight="1">
      <c r="A9" s="24"/>
      <c r="B9" s="24"/>
      <c r="C9" s="24"/>
      <c r="D9" s="24"/>
      <c r="E9" s="24"/>
      <c r="F9" s="24"/>
      <c r="G9" s="194"/>
      <c r="H9" s="194"/>
      <c r="I9" s="194"/>
      <c r="J9" s="47"/>
      <c r="K9" s="112"/>
      <c r="L9" s="112"/>
      <c r="M9" s="120"/>
      <c r="N9" s="120"/>
      <c r="O9" s="120"/>
      <c r="P9" s="109"/>
      <c r="Q9" s="47"/>
      <c r="R9" s="109"/>
      <c r="S9" s="113"/>
      <c r="T9" s="113"/>
      <c r="U9" s="113"/>
      <c r="W9" s="186">
        <v>15.0</v>
      </c>
      <c r="X9" s="141" t="s">
        <v>255</v>
      </c>
      <c r="Y9" s="280">
        <f t="shared" si="1"/>
        <v>2</v>
      </c>
    </row>
    <row r="10" ht="15.75" customHeight="1">
      <c r="A10" s="24"/>
      <c r="B10" s="24"/>
      <c r="C10" s="24"/>
      <c r="D10" s="40"/>
      <c r="E10" s="24"/>
      <c r="F10" s="112"/>
      <c r="G10" s="194"/>
      <c r="H10" s="194"/>
      <c r="I10" s="194"/>
      <c r="J10" s="120"/>
      <c r="K10" s="120"/>
      <c r="L10" s="120"/>
      <c r="M10" s="40"/>
      <c r="N10" s="40"/>
      <c r="O10" s="40"/>
      <c r="P10" s="120"/>
      <c r="Q10" s="120"/>
      <c r="R10" s="120"/>
      <c r="S10" s="19" t="s">
        <v>13</v>
      </c>
      <c r="T10" s="13"/>
      <c r="U10" s="14"/>
      <c r="W10" s="186">
        <v>21.0</v>
      </c>
      <c r="X10" s="282" t="s">
        <v>256</v>
      </c>
      <c r="Y10" s="280">
        <f t="shared" si="1"/>
        <v>2</v>
      </c>
    </row>
    <row r="11" ht="15.75" customHeight="1">
      <c r="A11" s="120"/>
      <c r="B11" s="120"/>
      <c r="C11" s="120"/>
      <c r="D11" s="74"/>
      <c r="E11" s="74"/>
      <c r="F11" s="74"/>
      <c r="G11" s="201"/>
      <c r="H11" s="201"/>
      <c r="I11" s="201"/>
      <c r="J11" s="24"/>
      <c r="K11" s="112"/>
      <c r="L11" s="112"/>
      <c r="M11" s="120"/>
      <c r="N11" s="120"/>
      <c r="O11" s="120"/>
      <c r="P11" s="34"/>
      <c r="Q11" s="34"/>
      <c r="R11" s="113"/>
      <c r="S11" s="113"/>
      <c r="T11" s="113"/>
      <c r="U11" s="113"/>
      <c r="W11" s="186">
        <v>6.0</v>
      </c>
      <c r="X11" s="282" t="s">
        <v>257</v>
      </c>
      <c r="Y11" s="280">
        <f t="shared" si="1"/>
        <v>3</v>
      </c>
    </row>
    <row r="12" ht="15.75" customHeight="1">
      <c r="A12" s="113"/>
      <c r="B12" s="138"/>
      <c r="C12" s="138"/>
      <c r="D12" s="74"/>
      <c r="E12" s="74"/>
      <c r="F12" s="74"/>
      <c r="G12" s="138"/>
      <c r="H12" s="138"/>
      <c r="I12" s="138"/>
      <c r="J12" s="24"/>
      <c r="K12" s="112"/>
      <c r="L12" s="112"/>
      <c r="M12" s="160"/>
      <c r="N12" s="160"/>
      <c r="O12" s="160"/>
      <c r="P12" s="138"/>
      <c r="Q12" s="138"/>
      <c r="R12" s="138"/>
      <c r="S12" s="113"/>
      <c r="T12" s="113"/>
      <c r="U12" s="113"/>
      <c r="W12" s="186">
        <v>7.0</v>
      </c>
      <c r="X12" s="282" t="s">
        <v>258</v>
      </c>
      <c r="Y12" s="280">
        <f t="shared" si="1"/>
        <v>5</v>
      </c>
    </row>
    <row r="13" ht="15.75" customHeight="1">
      <c r="A13" s="141"/>
      <c r="B13" s="113"/>
      <c r="C13" s="138"/>
      <c r="D13" s="201"/>
      <c r="E13" s="201"/>
      <c r="F13" s="201"/>
      <c r="G13" s="74"/>
      <c r="H13" s="74"/>
      <c r="I13" s="74"/>
      <c r="J13" s="74"/>
      <c r="K13" s="74"/>
      <c r="L13" s="74"/>
      <c r="M13" s="113"/>
      <c r="N13" s="113"/>
      <c r="O13" s="113"/>
      <c r="P13" s="138"/>
      <c r="Q13" s="138"/>
      <c r="R13" s="138"/>
      <c r="S13" s="113"/>
      <c r="T13" s="113"/>
      <c r="U13" s="113"/>
      <c r="W13" s="186">
        <v>8.0</v>
      </c>
      <c r="X13" s="283" t="s">
        <v>259</v>
      </c>
      <c r="Y13" s="280">
        <f t="shared" si="1"/>
        <v>2</v>
      </c>
    </row>
    <row r="14" ht="15.75" customHeight="1">
      <c r="A14" s="127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13"/>
      <c r="T14" s="113"/>
      <c r="U14" s="113"/>
      <c r="W14" s="186"/>
      <c r="X14" s="282" t="s">
        <v>260</v>
      </c>
      <c r="Y14" s="280">
        <f t="shared" si="1"/>
        <v>4</v>
      </c>
    </row>
    <row r="15" ht="15.75" customHeight="1">
      <c r="A15" s="104" t="s">
        <v>118</v>
      </c>
      <c r="B15" s="13"/>
      <c r="C15" s="14"/>
      <c r="D15" s="104" t="s">
        <v>7</v>
      </c>
      <c r="E15" s="13"/>
      <c r="F15" s="14"/>
      <c r="G15" s="104" t="s">
        <v>119</v>
      </c>
      <c r="H15" s="13"/>
      <c r="I15" s="14"/>
      <c r="J15" s="104" t="s">
        <v>9</v>
      </c>
      <c r="K15" s="13"/>
      <c r="L15" s="14"/>
      <c r="M15" s="104" t="s">
        <v>85</v>
      </c>
      <c r="N15" s="13"/>
      <c r="O15" s="14"/>
      <c r="P15" s="104" t="s">
        <v>86</v>
      </c>
      <c r="Q15" s="13"/>
      <c r="R15" s="14"/>
      <c r="S15" s="157" t="s">
        <v>12</v>
      </c>
      <c r="T15" s="13"/>
      <c r="U15" s="14"/>
      <c r="W15" s="186">
        <v>20.0</v>
      </c>
      <c r="X15" s="282" t="s">
        <v>261</v>
      </c>
      <c r="Y15" s="280">
        <f t="shared" si="1"/>
        <v>2</v>
      </c>
    </row>
    <row r="16" ht="15.75" customHeight="1">
      <c r="A16" s="106">
        <f>S7+1</f>
        <v>46083</v>
      </c>
      <c r="B16" s="13"/>
      <c r="C16" s="14"/>
      <c r="D16" s="106">
        <f>A16+1</f>
        <v>46084</v>
      </c>
      <c r="E16" s="13"/>
      <c r="F16" s="14"/>
      <c r="G16" s="106">
        <f>D16+1</f>
        <v>46085</v>
      </c>
      <c r="H16" s="13"/>
      <c r="I16" s="14"/>
      <c r="J16" s="106">
        <f>G16+1</f>
        <v>46086</v>
      </c>
      <c r="K16" s="13"/>
      <c r="L16" s="14"/>
      <c r="M16" s="107">
        <f>J16+1</f>
        <v>46087</v>
      </c>
      <c r="N16" s="13"/>
      <c r="O16" s="14"/>
      <c r="P16" s="106">
        <f>M16+1</f>
        <v>46088</v>
      </c>
      <c r="Q16" s="13"/>
      <c r="R16" s="14"/>
      <c r="S16" s="108">
        <f>P16+1</f>
        <v>46089</v>
      </c>
      <c r="T16" s="13"/>
      <c r="U16" s="14"/>
      <c r="W16" s="186">
        <v>9.0</v>
      </c>
      <c r="X16" s="51" t="s">
        <v>262</v>
      </c>
      <c r="Y16" s="280">
        <f t="shared" si="1"/>
        <v>2</v>
      </c>
    </row>
    <row r="17" ht="15.75" customHeight="1">
      <c r="A17" s="24" t="s">
        <v>263</v>
      </c>
      <c r="B17" s="24" t="s">
        <v>264</v>
      </c>
      <c r="C17" s="35"/>
      <c r="D17" s="120" t="s">
        <v>258</v>
      </c>
      <c r="E17" s="120" t="s">
        <v>265</v>
      </c>
      <c r="F17" s="120" t="s">
        <v>24</v>
      </c>
      <c r="G17" s="40" t="s">
        <v>266</v>
      </c>
      <c r="H17" s="40" t="s">
        <v>35</v>
      </c>
      <c r="I17" s="40" t="s">
        <v>42</v>
      </c>
      <c r="J17" s="120" t="s">
        <v>253</v>
      </c>
      <c r="K17" s="120" t="s">
        <v>59</v>
      </c>
      <c r="L17" s="120" t="s">
        <v>42</v>
      </c>
      <c r="M17" s="120"/>
      <c r="N17" s="120"/>
      <c r="O17" s="120"/>
      <c r="P17" s="34"/>
      <c r="Q17" s="284"/>
      <c r="R17" s="140"/>
      <c r="S17" s="74"/>
      <c r="T17" s="74"/>
      <c r="U17" s="74"/>
      <c r="W17" s="186">
        <v>16.0</v>
      </c>
      <c r="X17" s="282" t="s">
        <v>267</v>
      </c>
      <c r="Y17" s="280">
        <f t="shared" si="1"/>
        <v>2</v>
      </c>
    </row>
    <row r="18" ht="15.75" customHeight="1">
      <c r="A18" s="24" t="s">
        <v>268</v>
      </c>
      <c r="B18" s="24" t="s">
        <v>29</v>
      </c>
      <c r="C18" s="24" t="s">
        <v>27</v>
      </c>
      <c r="D18" s="128" t="s">
        <v>260</v>
      </c>
      <c r="E18" s="128" t="s">
        <v>269</v>
      </c>
      <c r="F18" s="128" t="s">
        <v>24</v>
      </c>
      <c r="G18" s="194"/>
      <c r="H18" s="194"/>
      <c r="I18" s="194"/>
      <c r="J18" s="47" t="s">
        <v>270</v>
      </c>
      <c r="K18" s="112" t="s">
        <v>57</v>
      </c>
      <c r="L18" s="112" t="s">
        <v>42</v>
      </c>
      <c r="M18" s="285" t="s">
        <v>271</v>
      </c>
      <c r="N18" s="285" t="s">
        <v>57</v>
      </c>
      <c r="O18" s="286" t="s">
        <v>42</v>
      </c>
      <c r="P18" s="109" t="s">
        <v>272</v>
      </c>
      <c r="Q18" s="47" t="s">
        <v>273</v>
      </c>
      <c r="R18" s="109" t="s">
        <v>42</v>
      </c>
      <c r="S18" s="113"/>
      <c r="T18" s="113"/>
      <c r="U18" s="113"/>
      <c r="W18" s="186">
        <v>5.0</v>
      </c>
      <c r="X18" s="282" t="s">
        <v>274</v>
      </c>
      <c r="Y18" s="280">
        <f t="shared" si="1"/>
        <v>4</v>
      </c>
    </row>
    <row r="19" ht="15.75" customHeight="1">
      <c r="A19" s="24"/>
      <c r="B19" s="24"/>
      <c r="C19" s="24"/>
      <c r="D19" s="24" t="s">
        <v>274</v>
      </c>
      <c r="E19" s="24" t="s">
        <v>138</v>
      </c>
      <c r="F19" s="24" t="s">
        <v>27</v>
      </c>
      <c r="G19" s="50" t="s">
        <v>275</v>
      </c>
      <c r="H19" s="50" t="s">
        <v>111</v>
      </c>
      <c r="I19" s="50" t="s">
        <v>27</v>
      </c>
      <c r="J19" s="120" t="s">
        <v>255</v>
      </c>
      <c r="K19" s="120" t="s">
        <v>64</v>
      </c>
      <c r="L19" s="120" t="s">
        <v>42</v>
      </c>
      <c r="M19" s="283" t="s">
        <v>259</v>
      </c>
      <c r="N19" s="283" t="s">
        <v>95</v>
      </c>
      <c r="O19" s="283" t="s">
        <v>27</v>
      </c>
      <c r="P19" s="120" t="s">
        <v>276</v>
      </c>
      <c r="Q19" s="120" t="s">
        <v>199</v>
      </c>
      <c r="R19" s="120" t="s">
        <v>24</v>
      </c>
      <c r="S19" s="287"/>
      <c r="T19" s="13"/>
      <c r="U19" s="14"/>
      <c r="W19" s="186">
        <v>13.0</v>
      </c>
      <c r="X19" s="282" t="s">
        <v>65</v>
      </c>
      <c r="Y19" s="280">
        <f t="shared" si="1"/>
        <v>2</v>
      </c>
    </row>
    <row r="20" ht="15.75" customHeight="1">
      <c r="A20" s="120" t="s">
        <v>256</v>
      </c>
      <c r="B20" s="120" t="s">
        <v>132</v>
      </c>
      <c r="C20" s="120" t="s">
        <v>27</v>
      </c>
      <c r="D20" s="40"/>
      <c r="E20" s="24"/>
      <c r="F20" s="112"/>
      <c r="J20" s="24" t="s">
        <v>261</v>
      </c>
      <c r="K20" s="112" t="s">
        <v>95</v>
      </c>
      <c r="L20" s="112" t="s">
        <v>42</v>
      </c>
      <c r="P20" s="201" t="s">
        <v>254</v>
      </c>
      <c r="Q20" s="201" t="s">
        <v>277</v>
      </c>
      <c r="R20" s="201" t="s">
        <v>27</v>
      </c>
      <c r="S20" s="113"/>
      <c r="T20" s="113"/>
      <c r="U20" s="113"/>
      <c r="W20" s="186">
        <v>1.0</v>
      </c>
      <c r="X20" s="51" t="s">
        <v>275</v>
      </c>
      <c r="Y20" s="280">
        <f t="shared" si="1"/>
        <v>2</v>
      </c>
    </row>
    <row r="21" ht="15.75" customHeight="1">
      <c r="A21" s="113"/>
      <c r="B21" s="138"/>
      <c r="C21" s="138"/>
      <c r="D21" s="74"/>
      <c r="E21" s="74"/>
      <c r="F21" s="74"/>
      <c r="G21" s="138"/>
      <c r="H21" s="138"/>
      <c r="I21" s="138"/>
      <c r="J21" s="24" t="s">
        <v>262</v>
      </c>
      <c r="K21" s="112" t="s">
        <v>103</v>
      </c>
      <c r="L21" s="112" t="s">
        <v>42</v>
      </c>
      <c r="M21" s="40" t="s">
        <v>257</v>
      </c>
      <c r="N21" s="40" t="s">
        <v>26</v>
      </c>
      <c r="O21" s="40" t="s">
        <v>27</v>
      </c>
      <c r="S21" s="138"/>
      <c r="T21" s="138"/>
      <c r="U21" s="138"/>
      <c r="W21" s="186">
        <v>17.0</v>
      </c>
      <c r="X21" s="24" t="s">
        <v>268</v>
      </c>
      <c r="Y21" s="280">
        <f t="shared" si="1"/>
        <v>4</v>
      </c>
    </row>
    <row r="22" ht="15.75" customHeight="1">
      <c r="A22" s="113"/>
      <c r="B22" s="138"/>
      <c r="C22" s="138"/>
      <c r="D22" s="113"/>
      <c r="E22" s="138"/>
      <c r="F22" s="138"/>
      <c r="G22" s="113"/>
      <c r="H22" s="138"/>
      <c r="I22" s="138"/>
      <c r="J22" s="44" t="s">
        <v>39</v>
      </c>
      <c r="K22" s="44" t="s">
        <v>40</v>
      </c>
      <c r="L22" s="45"/>
      <c r="M22" s="281"/>
      <c r="N22" s="281"/>
      <c r="O22" s="281"/>
      <c r="P22" s="113"/>
      <c r="Q22" s="138"/>
      <c r="R22" s="138"/>
      <c r="S22" s="138"/>
      <c r="T22" s="138"/>
      <c r="U22" s="138"/>
      <c r="W22" s="186">
        <v>3.0</v>
      </c>
      <c r="X22" s="190" t="s">
        <v>278</v>
      </c>
      <c r="Y22" s="280">
        <f t="shared" si="1"/>
        <v>3</v>
      </c>
    </row>
    <row r="23" ht="15.75" customHeight="1">
      <c r="A23" s="12" t="s">
        <v>6</v>
      </c>
      <c r="B23" s="13"/>
      <c r="C23" s="14"/>
      <c r="D23" s="12" t="s">
        <v>7</v>
      </c>
      <c r="E23" s="13"/>
      <c r="F23" s="14"/>
      <c r="G23" s="12" t="s">
        <v>8</v>
      </c>
      <c r="H23" s="13"/>
      <c r="I23" s="14"/>
      <c r="J23" s="12" t="s">
        <v>9</v>
      </c>
      <c r="K23" s="13"/>
      <c r="L23" s="14"/>
      <c r="M23" s="133" t="s">
        <v>10</v>
      </c>
      <c r="N23" s="13"/>
      <c r="O23" s="14"/>
      <c r="P23" s="133" t="s">
        <v>86</v>
      </c>
      <c r="Q23" s="13"/>
      <c r="R23" s="14"/>
      <c r="S23" s="134" t="s">
        <v>120</v>
      </c>
      <c r="T23" s="13"/>
      <c r="U23" s="14"/>
      <c r="W23" s="186">
        <v>2.0</v>
      </c>
      <c r="X23" s="51" t="s">
        <v>276</v>
      </c>
      <c r="Y23" s="280">
        <f t="shared" si="1"/>
        <v>2</v>
      </c>
    </row>
    <row r="24" ht="15.75" customHeight="1">
      <c r="A24" s="136">
        <f>S16+1</f>
        <v>46090</v>
      </c>
      <c r="B24" s="13"/>
      <c r="C24" s="14"/>
      <c r="D24" s="136">
        <f>A24+1</f>
        <v>46091</v>
      </c>
      <c r="E24" s="13"/>
      <c r="F24" s="14"/>
      <c r="G24" s="136">
        <f>D24+1</f>
        <v>46092</v>
      </c>
      <c r="H24" s="13"/>
      <c r="I24" s="14"/>
      <c r="J24" s="136">
        <f>G24+1</f>
        <v>46093</v>
      </c>
      <c r="K24" s="13"/>
      <c r="L24" s="14"/>
      <c r="M24" s="136">
        <f>J24+1</f>
        <v>46094</v>
      </c>
      <c r="N24" s="13"/>
      <c r="O24" s="14"/>
      <c r="P24" s="136">
        <f>M24+1</f>
        <v>46095</v>
      </c>
      <c r="Q24" s="13"/>
      <c r="R24" s="14"/>
      <c r="S24" s="137">
        <f>P24+1</f>
        <v>46096</v>
      </c>
      <c r="T24" s="13"/>
      <c r="U24" s="14"/>
      <c r="W24" s="186">
        <v>12.0</v>
      </c>
      <c r="X24" s="282" t="s">
        <v>270</v>
      </c>
      <c r="Y24" s="280">
        <f t="shared" si="1"/>
        <v>4</v>
      </c>
    </row>
    <row r="25" ht="15.75" customHeight="1">
      <c r="A25" s="24" t="s">
        <v>263</v>
      </c>
      <c r="B25" s="24" t="s">
        <v>264</v>
      </c>
      <c r="C25" s="35"/>
      <c r="D25" s="288" t="s">
        <v>271</v>
      </c>
      <c r="E25" s="288" t="s">
        <v>57</v>
      </c>
      <c r="F25" s="288" t="s">
        <v>42</v>
      </c>
      <c r="G25" s="113"/>
      <c r="H25" s="113"/>
      <c r="I25" s="113"/>
      <c r="J25" s="120"/>
      <c r="K25" s="120"/>
      <c r="L25" s="120"/>
      <c r="M25" s="120"/>
      <c r="N25" s="120"/>
      <c r="O25" s="120"/>
      <c r="P25" s="120"/>
      <c r="Q25" s="120"/>
      <c r="R25" s="120"/>
      <c r="S25" s="113"/>
      <c r="T25" s="113"/>
      <c r="U25" s="113"/>
      <c r="W25" s="186">
        <v>11.0</v>
      </c>
      <c r="X25" s="282" t="s">
        <v>263</v>
      </c>
      <c r="Y25" s="280">
        <f t="shared" si="1"/>
        <v>4</v>
      </c>
    </row>
    <row r="26" ht="15.75" customHeight="1">
      <c r="A26" s="120"/>
      <c r="B26" s="120"/>
      <c r="C26" s="120"/>
      <c r="D26" s="128" t="s">
        <v>260</v>
      </c>
      <c r="E26" s="128" t="s">
        <v>269</v>
      </c>
      <c r="F26" s="128" t="s">
        <v>24</v>
      </c>
      <c r="G26" s="289" t="s">
        <v>279</v>
      </c>
      <c r="H26" s="289" t="s">
        <v>59</v>
      </c>
      <c r="I26" s="289" t="s">
        <v>27</v>
      </c>
      <c r="J26" s="47" t="s">
        <v>270</v>
      </c>
      <c r="K26" s="112" t="s">
        <v>103</v>
      </c>
      <c r="L26" s="112" t="s">
        <v>42</v>
      </c>
      <c r="M26" s="190" t="s">
        <v>278</v>
      </c>
      <c r="N26" s="190" t="s">
        <v>103</v>
      </c>
      <c r="O26" s="190" t="s">
        <v>42</v>
      </c>
      <c r="P26" s="109" t="s">
        <v>272</v>
      </c>
      <c r="Q26" s="47" t="s">
        <v>273</v>
      </c>
      <c r="R26" s="109" t="s">
        <v>24</v>
      </c>
      <c r="S26" s="113"/>
      <c r="T26" s="113"/>
      <c r="U26" s="113"/>
      <c r="W26" s="186">
        <v>10.0</v>
      </c>
      <c r="X26" s="282" t="s">
        <v>266</v>
      </c>
      <c r="Y26" s="280">
        <f t="shared" si="1"/>
        <v>4</v>
      </c>
    </row>
    <row r="27" ht="15.75" customHeight="1">
      <c r="A27" s="24" t="s">
        <v>268</v>
      </c>
      <c r="B27" s="24" t="s">
        <v>29</v>
      </c>
      <c r="C27" s="24" t="s">
        <v>27</v>
      </c>
      <c r="D27" s="24" t="s">
        <v>274</v>
      </c>
      <c r="E27" s="24" t="s">
        <v>138</v>
      </c>
      <c r="F27" s="24" t="s">
        <v>27</v>
      </c>
      <c r="G27" s="40" t="s">
        <v>266</v>
      </c>
      <c r="H27" s="40" t="s">
        <v>35</v>
      </c>
      <c r="I27" s="40" t="s">
        <v>42</v>
      </c>
      <c r="J27" s="50" t="s">
        <v>65</v>
      </c>
      <c r="K27" s="173" t="s">
        <v>66</v>
      </c>
      <c r="L27" s="173" t="s">
        <v>27</v>
      </c>
      <c r="M27" s="120" t="s">
        <v>280</v>
      </c>
      <c r="N27" s="120" t="s">
        <v>26</v>
      </c>
      <c r="O27" s="120" t="s">
        <v>27</v>
      </c>
      <c r="S27" s="287"/>
      <c r="T27" s="13"/>
      <c r="U27" s="14"/>
      <c r="W27" s="186">
        <v>23.0</v>
      </c>
      <c r="X27" s="282" t="s">
        <v>280</v>
      </c>
      <c r="Y27" s="280">
        <f t="shared" si="1"/>
        <v>2</v>
      </c>
    </row>
    <row r="28" ht="15.75" customHeight="1">
      <c r="A28" s="125" t="s">
        <v>281</v>
      </c>
      <c r="B28" s="112" t="s">
        <v>199</v>
      </c>
      <c r="C28" s="112" t="s">
        <v>24</v>
      </c>
      <c r="D28" s="74"/>
      <c r="E28" s="74"/>
      <c r="F28" s="74"/>
      <c r="G28" s="24" t="s">
        <v>267</v>
      </c>
      <c r="H28" s="24" t="s">
        <v>73</v>
      </c>
      <c r="I28" s="201" t="s">
        <v>42</v>
      </c>
      <c r="J28" s="24"/>
      <c r="K28" s="112"/>
      <c r="L28" s="112"/>
      <c r="M28" s="24" t="s">
        <v>282</v>
      </c>
      <c r="N28" s="24" t="s">
        <v>283</v>
      </c>
      <c r="O28" s="47" t="s">
        <v>24</v>
      </c>
      <c r="P28" s="120" t="s">
        <v>256</v>
      </c>
      <c r="Q28" s="120" t="s">
        <v>132</v>
      </c>
      <c r="R28" s="120" t="s">
        <v>27</v>
      </c>
      <c r="S28" s="113"/>
      <c r="T28" s="113"/>
      <c r="U28" s="113"/>
      <c r="W28" s="186">
        <v>18.0</v>
      </c>
      <c r="X28" s="285" t="s">
        <v>271</v>
      </c>
      <c r="Y28" s="280">
        <f t="shared" si="1"/>
        <v>3</v>
      </c>
    </row>
    <row r="29" ht="15.75" customHeight="1">
      <c r="A29" s="112"/>
      <c r="B29" s="112"/>
      <c r="C29" s="112"/>
      <c r="D29" s="74"/>
      <c r="E29" s="74"/>
      <c r="F29" s="74"/>
      <c r="G29" s="201" t="s">
        <v>258</v>
      </c>
      <c r="H29" s="201" t="s">
        <v>284</v>
      </c>
      <c r="I29" s="201" t="s">
        <v>24</v>
      </c>
      <c r="J29" s="24"/>
      <c r="K29" s="112"/>
      <c r="L29" s="112"/>
      <c r="M29" s="120"/>
      <c r="N29" s="120"/>
      <c r="O29" s="120"/>
      <c r="S29" s="138"/>
      <c r="T29" s="138"/>
      <c r="U29" s="138"/>
      <c r="W29" s="186">
        <v>4.0</v>
      </c>
      <c r="X29" s="82" t="s">
        <v>282</v>
      </c>
      <c r="Y29" s="280">
        <f t="shared" si="1"/>
        <v>2</v>
      </c>
    </row>
    <row r="30" ht="15.75" customHeight="1">
      <c r="A30" s="113"/>
      <c r="B30" s="138"/>
      <c r="C30" s="138"/>
      <c r="D30" s="201"/>
      <c r="E30" s="201"/>
      <c r="F30" s="201"/>
      <c r="G30" s="120"/>
      <c r="H30" s="201"/>
      <c r="I30" s="201"/>
      <c r="J30" s="34"/>
      <c r="K30" s="290"/>
      <c r="L30" s="290"/>
      <c r="M30" s="47"/>
      <c r="N30" s="112"/>
      <c r="O30" s="112"/>
      <c r="P30" s="113"/>
      <c r="Q30" s="113"/>
      <c r="R30" s="113"/>
      <c r="S30" s="113"/>
      <c r="T30" s="113"/>
      <c r="U30" s="113"/>
      <c r="W30" s="186">
        <v>22.0</v>
      </c>
      <c r="X30" s="291" t="s">
        <v>281</v>
      </c>
      <c r="Y30" s="280">
        <f t="shared" si="1"/>
        <v>2</v>
      </c>
    </row>
    <row r="31" ht="15.75" customHeight="1">
      <c r="A31" s="113"/>
      <c r="B31" s="138"/>
      <c r="C31" s="138"/>
      <c r="D31" s="201"/>
      <c r="E31" s="201"/>
      <c r="F31" s="201"/>
      <c r="G31" s="120"/>
      <c r="H31" s="201"/>
      <c r="I31" s="201"/>
      <c r="J31" s="34"/>
      <c r="K31" s="290"/>
      <c r="L31" s="290"/>
      <c r="M31" s="47"/>
      <c r="N31" s="112"/>
      <c r="O31" s="112"/>
      <c r="P31" s="113"/>
      <c r="Q31" s="113"/>
      <c r="R31" s="113"/>
      <c r="S31" s="138"/>
      <c r="T31" s="138"/>
      <c r="U31" s="138"/>
      <c r="W31" s="186"/>
      <c r="X31" s="190"/>
      <c r="Y31" s="280"/>
    </row>
    <row r="32" ht="15.75" customHeight="1">
      <c r="A32" s="104" t="s">
        <v>118</v>
      </c>
      <c r="B32" s="13"/>
      <c r="C32" s="14"/>
      <c r="D32" s="104" t="s">
        <v>7</v>
      </c>
      <c r="E32" s="13"/>
      <c r="F32" s="14"/>
      <c r="G32" s="104" t="s">
        <v>119</v>
      </c>
      <c r="H32" s="13"/>
      <c r="I32" s="14"/>
      <c r="J32" s="157" t="s">
        <v>9</v>
      </c>
      <c r="K32" s="13"/>
      <c r="L32" s="14"/>
      <c r="M32" s="157" t="s">
        <v>10</v>
      </c>
      <c r="N32" s="13"/>
      <c r="O32" s="14"/>
      <c r="P32" s="157" t="s">
        <v>86</v>
      </c>
      <c r="Q32" s="13"/>
      <c r="R32" s="14"/>
      <c r="S32" s="105" t="s">
        <v>120</v>
      </c>
      <c r="T32" s="13"/>
      <c r="U32" s="14"/>
      <c r="W32" s="186"/>
      <c r="X32" s="127"/>
      <c r="Y32" s="280"/>
    </row>
    <row r="33" ht="15.75" customHeight="1">
      <c r="A33" s="107">
        <f>S24+1</f>
        <v>46097</v>
      </c>
      <c r="B33" s="13"/>
      <c r="C33" s="14"/>
      <c r="D33" s="107">
        <f>A33+1</f>
        <v>46098</v>
      </c>
      <c r="E33" s="13"/>
      <c r="F33" s="14"/>
      <c r="G33" s="106">
        <f>D33+1</f>
        <v>46099</v>
      </c>
      <c r="H33" s="13"/>
      <c r="I33" s="14"/>
      <c r="J33" s="108">
        <f>G33+1</f>
        <v>46100</v>
      </c>
      <c r="K33" s="13"/>
      <c r="L33" s="14"/>
      <c r="M33" s="108">
        <f>J33+1</f>
        <v>46101</v>
      </c>
      <c r="N33" s="13"/>
      <c r="O33" s="14"/>
      <c r="P33" s="108">
        <f>M33+1</f>
        <v>46102</v>
      </c>
      <c r="Q33" s="13"/>
      <c r="R33" s="14"/>
      <c r="S33" s="108">
        <f>P33+1</f>
        <v>46103</v>
      </c>
      <c r="T33" s="13"/>
      <c r="U33" s="14"/>
      <c r="W33" s="186">
        <v>26.0</v>
      </c>
      <c r="X33" s="127"/>
      <c r="Y33" s="280"/>
    </row>
    <row r="34" ht="15.75" customHeight="1">
      <c r="A34" s="24" t="s">
        <v>263</v>
      </c>
      <c r="B34" s="24" t="s">
        <v>264</v>
      </c>
      <c r="C34" s="35"/>
      <c r="D34" s="120" t="s">
        <v>258</v>
      </c>
      <c r="E34" s="120" t="s">
        <v>265</v>
      </c>
      <c r="F34" s="120" t="s">
        <v>24</v>
      </c>
      <c r="G34" s="120" t="s">
        <v>253</v>
      </c>
      <c r="H34" s="120" t="s">
        <v>59</v>
      </c>
      <c r="I34" s="120" t="s">
        <v>42</v>
      </c>
      <c r="J34" s="120"/>
      <c r="K34" s="120"/>
      <c r="L34" s="120"/>
      <c r="M34" s="138"/>
      <c r="N34" s="138"/>
      <c r="O34" s="138"/>
      <c r="P34" s="138"/>
      <c r="Q34" s="138"/>
      <c r="R34" s="138"/>
      <c r="S34" s="113"/>
      <c r="T34" s="113"/>
      <c r="U34" s="113"/>
      <c r="W34" s="186"/>
      <c r="X34" s="127"/>
      <c r="Y34" s="280"/>
    </row>
    <row r="35" ht="15.75" customHeight="1">
      <c r="A35" s="109"/>
      <c r="B35" s="47"/>
      <c r="C35" s="109"/>
      <c r="D35" s="40" t="s">
        <v>266</v>
      </c>
      <c r="E35" s="40" t="s">
        <v>35</v>
      </c>
      <c r="F35" s="40" t="s">
        <v>42</v>
      </c>
      <c r="G35" s="47" t="s">
        <v>270</v>
      </c>
      <c r="H35" s="112" t="s">
        <v>57</v>
      </c>
      <c r="I35" s="112" t="s">
        <v>42</v>
      </c>
      <c r="J35" s="47"/>
      <c r="K35" s="112"/>
      <c r="L35" s="112"/>
      <c r="M35" s="40"/>
      <c r="N35" s="40"/>
      <c r="O35" s="40"/>
      <c r="P35" s="109"/>
      <c r="Q35" s="47"/>
      <c r="R35" s="109"/>
      <c r="S35" s="113"/>
      <c r="T35" s="113"/>
      <c r="U35" s="113"/>
      <c r="W35" s="186"/>
      <c r="X35" s="141"/>
      <c r="Y35" s="280"/>
    </row>
    <row r="36" ht="15.75" customHeight="1">
      <c r="A36" s="24" t="s">
        <v>268</v>
      </c>
      <c r="B36" s="24" t="s">
        <v>29</v>
      </c>
      <c r="C36" s="24" t="s">
        <v>27</v>
      </c>
      <c r="D36" s="128" t="s">
        <v>260</v>
      </c>
      <c r="E36" s="128" t="s">
        <v>269</v>
      </c>
      <c r="F36" s="128" t="s">
        <v>24</v>
      </c>
      <c r="G36" s="120" t="s">
        <v>255</v>
      </c>
      <c r="H36" s="120" t="s">
        <v>64</v>
      </c>
      <c r="I36" s="120" t="s">
        <v>42</v>
      </c>
      <c r="J36" s="287" t="s">
        <v>13</v>
      </c>
      <c r="K36" s="13"/>
      <c r="L36" s="14"/>
      <c r="M36" s="204" t="s">
        <v>69</v>
      </c>
      <c r="N36" s="13"/>
      <c r="O36" s="14"/>
      <c r="P36" s="287" t="s">
        <v>13</v>
      </c>
      <c r="Q36" s="13"/>
      <c r="R36" s="14"/>
      <c r="S36" s="287" t="s">
        <v>13</v>
      </c>
      <c r="T36" s="13"/>
      <c r="U36" s="14"/>
      <c r="W36" s="186"/>
      <c r="X36" s="141"/>
      <c r="Y36" s="280"/>
    </row>
    <row r="37" ht="15.75" customHeight="1">
      <c r="A37" s="24" t="s">
        <v>274</v>
      </c>
      <c r="B37" s="24" t="s">
        <v>138</v>
      </c>
      <c r="C37" s="24" t="s">
        <v>27</v>
      </c>
      <c r="D37" s="50" t="s">
        <v>275</v>
      </c>
      <c r="E37" s="50" t="s">
        <v>111</v>
      </c>
      <c r="F37" s="50" t="s">
        <v>27</v>
      </c>
      <c r="G37" s="24" t="s">
        <v>261</v>
      </c>
      <c r="H37" s="112" t="s">
        <v>95</v>
      </c>
      <c r="I37" s="112" t="s">
        <v>42</v>
      </c>
      <c r="J37" s="24"/>
      <c r="K37" s="112"/>
      <c r="L37" s="112"/>
      <c r="M37" s="201"/>
      <c r="N37" s="201"/>
      <c r="O37" s="201"/>
      <c r="S37" s="113"/>
      <c r="T37" s="113"/>
      <c r="U37" s="113"/>
      <c r="Y37" s="102">
        <f>SUM(Y7:Y36)</f>
        <v>66</v>
      </c>
    </row>
    <row r="38" ht="15.75" customHeight="1">
      <c r="A38" s="24"/>
      <c r="B38" s="24"/>
      <c r="C38" s="24"/>
      <c r="D38" s="292"/>
      <c r="E38" s="293"/>
      <c r="F38" s="293"/>
      <c r="G38" s="24" t="s">
        <v>262</v>
      </c>
      <c r="H38" s="112" t="s">
        <v>103</v>
      </c>
      <c r="I38" s="112" t="s">
        <v>42</v>
      </c>
      <c r="J38" s="24"/>
      <c r="K38" s="112"/>
      <c r="L38" s="112"/>
      <c r="M38" s="160"/>
      <c r="N38" s="160"/>
      <c r="O38" s="160"/>
      <c r="P38" s="138"/>
      <c r="Q38" s="138"/>
      <c r="R38" s="138"/>
      <c r="S38" s="113"/>
      <c r="T38" s="113"/>
      <c r="U38" s="113"/>
    </row>
    <row r="39" ht="15.75" customHeight="1">
      <c r="A39" s="141"/>
      <c r="B39" s="113"/>
      <c r="C39" s="138"/>
      <c r="D39" s="293"/>
      <c r="E39" s="293"/>
      <c r="F39" s="293"/>
      <c r="J39" s="51"/>
      <c r="K39" s="294"/>
      <c r="L39" s="294"/>
      <c r="M39" s="281"/>
      <c r="N39" s="281"/>
      <c r="O39" s="281"/>
      <c r="P39" s="138"/>
      <c r="Q39" s="138"/>
      <c r="R39" s="138"/>
      <c r="S39" s="295"/>
      <c r="T39" s="295"/>
      <c r="U39" s="295"/>
    </row>
    <row r="40" ht="15.75" customHeight="1">
      <c r="A40" s="292"/>
      <c r="B40" s="293"/>
      <c r="C40" s="293"/>
      <c r="D40" s="293"/>
      <c r="E40" s="293"/>
      <c r="F40" s="293"/>
      <c r="G40" s="293"/>
      <c r="H40" s="293"/>
      <c r="I40" s="293"/>
      <c r="J40" s="292"/>
      <c r="K40" s="292"/>
      <c r="L40" s="292"/>
      <c r="M40" s="141"/>
      <c r="N40" s="141"/>
      <c r="O40" s="141"/>
      <c r="P40" s="194"/>
      <c r="Q40" s="194"/>
      <c r="R40" s="194"/>
      <c r="S40" s="295"/>
      <c r="T40" s="295"/>
      <c r="U40" s="295"/>
    </row>
    <row r="41" ht="15.75" customHeight="1">
      <c r="A41" s="134" t="s">
        <v>118</v>
      </c>
      <c r="B41" s="13"/>
      <c r="C41" s="14"/>
      <c r="D41" s="133" t="s">
        <v>7</v>
      </c>
      <c r="E41" s="13"/>
      <c r="F41" s="14"/>
      <c r="G41" s="133" t="s">
        <v>119</v>
      </c>
      <c r="H41" s="13"/>
      <c r="I41" s="14"/>
      <c r="J41" s="133" t="s">
        <v>9</v>
      </c>
      <c r="K41" s="13"/>
      <c r="L41" s="14"/>
      <c r="M41" s="133" t="s">
        <v>136</v>
      </c>
      <c r="N41" s="13"/>
      <c r="O41" s="14"/>
      <c r="P41" s="133" t="s">
        <v>11</v>
      </c>
      <c r="Q41" s="13"/>
      <c r="R41" s="14"/>
      <c r="S41" s="134" t="s">
        <v>120</v>
      </c>
      <c r="T41" s="13"/>
      <c r="U41" s="14"/>
    </row>
    <row r="42" ht="15.75" customHeight="1">
      <c r="A42" s="137">
        <f>S33+1</f>
        <v>46104</v>
      </c>
      <c r="B42" s="13"/>
      <c r="C42" s="14"/>
      <c r="D42" s="136">
        <f>A42+1</f>
        <v>46105</v>
      </c>
      <c r="E42" s="13"/>
      <c r="F42" s="14"/>
      <c r="G42" s="136">
        <f>D42+1</f>
        <v>46106</v>
      </c>
      <c r="H42" s="13"/>
      <c r="I42" s="14"/>
      <c r="J42" s="136">
        <f>G42+1</f>
        <v>46107</v>
      </c>
      <c r="K42" s="13"/>
      <c r="L42" s="14"/>
      <c r="M42" s="136">
        <f>J42+1</f>
        <v>46108</v>
      </c>
      <c r="N42" s="13"/>
      <c r="O42" s="14"/>
      <c r="P42" s="136">
        <f>M42+1</f>
        <v>46109</v>
      </c>
      <c r="Q42" s="13"/>
      <c r="R42" s="14"/>
      <c r="S42" s="137">
        <f>P42+1</f>
        <v>46110</v>
      </c>
      <c r="T42" s="13"/>
      <c r="U42" s="14"/>
    </row>
    <row r="43" ht="15.75" customHeight="1">
      <c r="A43" s="24"/>
      <c r="B43" s="24"/>
      <c r="C43" s="35"/>
      <c r="D43" s="123"/>
      <c r="E43" s="123"/>
      <c r="F43" s="123"/>
      <c r="G43" s="24"/>
      <c r="H43" s="112"/>
      <c r="I43" s="112"/>
      <c r="J43" s="141"/>
      <c r="K43" s="141"/>
      <c r="L43" s="141"/>
      <c r="M43" s="141"/>
      <c r="N43" s="141"/>
      <c r="O43" s="141"/>
      <c r="P43" s="138"/>
      <c r="Q43" s="138"/>
      <c r="R43" s="138"/>
      <c r="S43" s="113"/>
      <c r="T43" s="113"/>
      <c r="U43" s="113"/>
    </row>
    <row r="44" ht="15.75" customHeight="1">
      <c r="A44" s="120"/>
      <c r="B44" s="120"/>
      <c r="C44" s="120"/>
      <c r="D44" s="40" t="s">
        <v>266</v>
      </c>
      <c r="E44" s="40" t="s">
        <v>35</v>
      </c>
      <c r="F44" s="40" t="s">
        <v>42</v>
      </c>
      <c r="G44" s="141"/>
      <c r="H44" s="141"/>
      <c r="I44" s="141"/>
      <c r="J44" s="47" t="s">
        <v>270</v>
      </c>
      <c r="K44" s="112" t="s">
        <v>103</v>
      </c>
      <c r="L44" s="112" t="s">
        <v>42</v>
      </c>
      <c r="M44" s="285" t="s">
        <v>271</v>
      </c>
      <c r="N44" s="285" t="s">
        <v>95</v>
      </c>
      <c r="O44" s="286" t="s">
        <v>42</v>
      </c>
      <c r="P44" s="50" t="s">
        <v>268</v>
      </c>
      <c r="Q44" s="50" t="s">
        <v>29</v>
      </c>
      <c r="R44" s="50" t="s">
        <v>27</v>
      </c>
      <c r="S44" s="113"/>
      <c r="T44" s="113"/>
      <c r="U44" s="113"/>
    </row>
    <row r="45" ht="15.75" customHeight="1">
      <c r="A45" s="204" t="s">
        <v>69</v>
      </c>
      <c r="B45" s="13"/>
      <c r="C45" s="14"/>
      <c r="D45" s="109" t="s">
        <v>272</v>
      </c>
      <c r="E45" s="43"/>
      <c r="F45" s="109" t="s">
        <v>42</v>
      </c>
      <c r="G45" s="24" t="s">
        <v>267</v>
      </c>
      <c r="H45" s="24" t="s">
        <v>73</v>
      </c>
      <c r="I45" s="201" t="s">
        <v>42</v>
      </c>
      <c r="J45" s="50" t="s">
        <v>65</v>
      </c>
      <c r="K45" s="173" t="s">
        <v>66</v>
      </c>
      <c r="L45" s="173" t="s">
        <v>27</v>
      </c>
      <c r="M45" s="167" t="s">
        <v>272</v>
      </c>
      <c r="N45" s="52" t="s">
        <v>73</v>
      </c>
      <c r="O45" s="167" t="s">
        <v>42</v>
      </c>
      <c r="P45" s="109" t="s">
        <v>272</v>
      </c>
      <c r="Q45" s="47"/>
      <c r="R45" s="109" t="s">
        <v>24</v>
      </c>
      <c r="S45" s="51"/>
      <c r="T45" s="294"/>
      <c r="U45" s="294"/>
    </row>
    <row r="46" ht="15.75" customHeight="1">
      <c r="A46" s="112"/>
      <c r="B46" s="112"/>
      <c r="C46" s="112"/>
      <c r="D46" s="52" t="s">
        <v>278</v>
      </c>
      <c r="E46" s="52" t="s">
        <v>285</v>
      </c>
      <c r="F46" s="52" t="s">
        <v>42</v>
      </c>
      <c r="G46" s="53" t="s">
        <v>278</v>
      </c>
      <c r="H46" s="53"/>
      <c r="I46" s="53" t="s">
        <v>42</v>
      </c>
      <c r="J46" s="120"/>
      <c r="K46" s="120"/>
      <c r="L46" s="120"/>
      <c r="M46" s="40" t="s">
        <v>257</v>
      </c>
      <c r="N46" s="40"/>
      <c r="O46" s="40" t="s">
        <v>27</v>
      </c>
      <c r="P46" s="120" t="s">
        <v>276</v>
      </c>
      <c r="Q46" s="120" t="s">
        <v>199</v>
      </c>
      <c r="R46" s="120" t="s">
        <v>24</v>
      </c>
      <c r="S46" s="287" t="s">
        <v>13</v>
      </c>
      <c r="T46" s="13"/>
      <c r="U46" s="14"/>
    </row>
    <row r="47" ht="15.75" customHeight="1">
      <c r="A47" s="112"/>
      <c r="B47" s="112"/>
      <c r="C47" s="112"/>
      <c r="D47" s="47" t="s">
        <v>274</v>
      </c>
      <c r="E47" s="47" t="s">
        <v>138</v>
      </c>
      <c r="F47" s="47" t="s">
        <v>27</v>
      </c>
      <c r="G47" s="120" t="s">
        <v>258</v>
      </c>
      <c r="H47" s="120"/>
      <c r="I47" s="120" t="s">
        <v>24</v>
      </c>
      <c r="J47" s="24"/>
      <c r="K47" s="112"/>
      <c r="L47" s="112"/>
      <c r="M47" s="165" t="s">
        <v>258</v>
      </c>
      <c r="N47" s="165" t="s">
        <v>284</v>
      </c>
      <c r="O47" s="165" t="s">
        <v>24</v>
      </c>
      <c r="P47" s="120" t="s">
        <v>254</v>
      </c>
      <c r="Q47" s="120" t="s">
        <v>277</v>
      </c>
      <c r="R47" s="120" t="s">
        <v>27</v>
      </c>
      <c r="S47" s="113"/>
      <c r="T47" s="113"/>
      <c r="U47" s="113"/>
    </row>
    <row r="48" ht="15.75" customHeight="1">
      <c r="A48" s="127"/>
      <c r="B48" s="127"/>
      <c r="C48" s="127"/>
      <c r="D48" s="120"/>
      <c r="E48" s="120"/>
      <c r="F48" s="202" t="s">
        <v>36</v>
      </c>
      <c r="G48" s="167" t="s">
        <v>257</v>
      </c>
      <c r="H48" s="167" t="s">
        <v>26</v>
      </c>
      <c r="I48" s="167" t="s">
        <v>27</v>
      </c>
      <c r="J48" s="24"/>
      <c r="K48" s="112"/>
      <c r="L48" s="112"/>
      <c r="M48" s="24" t="s">
        <v>282</v>
      </c>
      <c r="N48" s="24" t="s">
        <v>283</v>
      </c>
      <c r="O48" s="47" t="s">
        <v>24</v>
      </c>
      <c r="P48" s="296"/>
      <c r="Q48" s="296"/>
      <c r="R48" s="296"/>
      <c r="S48" s="113"/>
      <c r="T48" s="113"/>
      <c r="U48" s="113"/>
    </row>
    <row r="49" ht="15.75" customHeight="1">
      <c r="A49" s="127"/>
      <c r="B49" s="127"/>
      <c r="C49" s="127"/>
      <c r="D49" s="141"/>
      <c r="E49" s="141"/>
      <c r="F49" s="141"/>
      <c r="G49" s="141"/>
      <c r="H49" s="141"/>
      <c r="I49" s="141"/>
      <c r="J49" s="141"/>
      <c r="K49" s="141"/>
      <c r="L49" s="141"/>
      <c r="M49" s="296"/>
      <c r="N49" s="296"/>
      <c r="O49" s="296"/>
      <c r="P49" s="296"/>
      <c r="Q49" s="296"/>
      <c r="R49" s="296"/>
      <c r="S49" s="113"/>
      <c r="T49" s="113"/>
      <c r="U49" s="113"/>
    </row>
    <row r="50" ht="15.75" customHeight="1">
      <c r="A50" s="104" t="s">
        <v>118</v>
      </c>
      <c r="B50" s="13"/>
      <c r="C50" s="14"/>
      <c r="D50" s="104" t="s">
        <v>7</v>
      </c>
      <c r="E50" s="13"/>
      <c r="F50" s="14"/>
      <c r="G50" s="104" t="s">
        <v>119</v>
      </c>
      <c r="H50" s="13"/>
      <c r="I50" s="14"/>
      <c r="J50" s="171" t="s">
        <v>9</v>
      </c>
      <c r="K50" s="13"/>
      <c r="L50" s="14"/>
      <c r="M50" s="104" t="s">
        <v>10</v>
      </c>
      <c r="N50" s="13"/>
      <c r="O50" s="14"/>
      <c r="P50" s="104" t="s">
        <v>86</v>
      </c>
      <c r="Q50" s="13"/>
      <c r="R50" s="14"/>
      <c r="S50" s="105" t="s">
        <v>120</v>
      </c>
      <c r="T50" s="13"/>
      <c r="U50" s="14"/>
    </row>
    <row r="51" ht="15.75" customHeight="1">
      <c r="A51" s="107">
        <f>S42+1</f>
        <v>46111</v>
      </c>
      <c r="B51" s="13"/>
      <c r="C51" s="14"/>
      <c r="D51" s="107">
        <f>A51+1</f>
        <v>46112</v>
      </c>
      <c r="E51" s="13"/>
      <c r="F51" s="14"/>
      <c r="G51" s="106">
        <f>D51+1</f>
        <v>46113</v>
      </c>
      <c r="H51" s="13"/>
      <c r="I51" s="14"/>
      <c r="J51" s="106">
        <f>G51+1</f>
        <v>46114</v>
      </c>
      <c r="K51" s="13"/>
      <c r="L51" s="14"/>
      <c r="M51" s="106">
        <f>J51+1</f>
        <v>46115</v>
      </c>
      <c r="N51" s="13"/>
      <c r="O51" s="14"/>
      <c r="P51" s="106">
        <f>M51+1</f>
        <v>46116</v>
      </c>
      <c r="Q51" s="13"/>
      <c r="R51" s="14"/>
      <c r="S51" s="108">
        <f>P51+1</f>
        <v>46117</v>
      </c>
      <c r="T51" s="13"/>
      <c r="U51" s="14"/>
    </row>
    <row r="52" ht="15.75" customHeight="1">
      <c r="A52" s="24" t="s">
        <v>263</v>
      </c>
      <c r="B52" s="24" t="s">
        <v>264</v>
      </c>
      <c r="C52" s="35"/>
      <c r="D52" s="141"/>
      <c r="E52" s="141"/>
      <c r="F52" s="141"/>
      <c r="G52" s="141"/>
      <c r="H52" s="141"/>
      <c r="I52" s="141"/>
      <c r="J52" s="138"/>
      <c r="K52" s="138"/>
      <c r="L52" s="138"/>
      <c r="M52" s="138"/>
      <c r="N52" s="138"/>
      <c r="O52" s="138"/>
      <c r="P52" s="138"/>
      <c r="Q52" s="141"/>
      <c r="R52" s="141"/>
      <c r="S52" s="138"/>
      <c r="T52" s="141"/>
      <c r="U52" s="141"/>
    </row>
    <row r="53" ht="15.75" customHeight="1">
      <c r="A53" s="120" t="s">
        <v>260</v>
      </c>
      <c r="B53" s="120" t="s">
        <v>269</v>
      </c>
      <c r="C53" s="120" t="s">
        <v>24</v>
      </c>
      <c r="D53" s="283" t="s">
        <v>259</v>
      </c>
      <c r="E53" s="283" t="s">
        <v>95</v>
      </c>
      <c r="F53" s="283" t="s">
        <v>27</v>
      </c>
      <c r="G53" s="127"/>
      <c r="H53" s="127"/>
      <c r="I53" s="127"/>
      <c r="J53" s="138"/>
      <c r="K53" s="138"/>
      <c r="L53" s="138"/>
      <c r="M53" s="138"/>
      <c r="N53" s="138"/>
      <c r="O53" s="138"/>
      <c r="P53" s="138"/>
      <c r="Q53" s="127"/>
      <c r="R53" s="169"/>
      <c r="S53" s="138"/>
      <c r="T53" s="127"/>
      <c r="U53" s="169"/>
    </row>
    <row r="54" ht="15.75" customHeight="1">
      <c r="D54" s="167" t="s">
        <v>272</v>
      </c>
      <c r="E54" s="52" t="s">
        <v>73</v>
      </c>
      <c r="F54" s="167" t="s">
        <v>42</v>
      </c>
      <c r="G54" s="141"/>
      <c r="H54" s="141"/>
      <c r="I54" s="141"/>
      <c r="J54" s="113"/>
      <c r="K54" s="113"/>
      <c r="L54" s="113"/>
      <c r="M54" s="113"/>
      <c r="N54" s="113"/>
      <c r="O54" s="113"/>
      <c r="P54" s="113"/>
      <c r="Q54" s="127"/>
      <c r="R54" s="131"/>
      <c r="S54" s="113"/>
      <c r="T54" s="127"/>
      <c r="U54" s="131"/>
    </row>
    <row r="55" ht="15.75" customHeight="1">
      <c r="A55" s="125" t="s">
        <v>281</v>
      </c>
      <c r="B55" s="112" t="s">
        <v>199</v>
      </c>
      <c r="C55" s="112" t="s">
        <v>24</v>
      </c>
      <c r="D55" s="201" t="s">
        <v>280</v>
      </c>
      <c r="E55" s="201" t="s">
        <v>26</v>
      </c>
      <c r="F55" s="201" t="s">
        <v>27</v>
      </c>
      <c r="G55" s="141"/>
      <c r="H55" s="141"/>
      <c r="I55" s="141"/>
      <c r="J55" s="113"/>
      <c r="K55" s="113"/>
      <c r="L55" s="113"/>
      <c r="M55" s="113"/>
      <c r="N55" s="113"/>
      <c r="O55" s="113"/>
      <c r="P55" s="113"/>
      <c r="Q55" s="127"/>
      <c r="R55" s="131"/>
      <c r="S55" s="113"/>
      <c r="T55" s="127"/>
      <c r="U55" s="131"/>
    </row>
    <row r="56" ht="15.75" customHeight="1">
      <c r="A56" s="138"/>
      <c r="B56" s="138"/>
      <c r="C56" s="138"/>
      <c r="D56" s="113"/>
      <c r="E56" s="113"/>
      <c r="F56" s="113"/>
      <c r="G56" s="127"/>
      <c r="H56" s="127"/>
      <c r="I56" s="127"/>
      <c r="J56" s="138"/>
      <c r="K56" s="138"/>
      <c r="L56" s="138"/>
      <c r="M56" s="113"/>
      <c r="N56" s="138"/>
      <c r="O56" s="138"/>
      <c r="P56" s="138"/>
      <c r="Q56" s="127"/>
      <c r="R56" s="169"/>
      <c r="S56" s="138"/>
      <c r="T56" s="127"/>
      <c r="U56" s="169"/>
    </row>
    <row r="57" ht="15.75" customHeight="1">
      <c r="A57" s="113"/>
      <c r="B57" s="113"/>
      <c r="C57" s="113"/>
      <c r="D57" s="113"/>
      <c r="E57" s="113"/>
      <c r="F57" s="113"/>
      <c r="G57" s="127"/>
      <c r="H57" s="127"/>
      <c r="I57" s="127"/>
      <c r="J57" s="113"/>
      <c r="K57" s="113"/>
      <c r="L57" s="113"/>
      <c r="M57" s="113"/>
      <c r="N57" s="113"/>
      <c r="O57" s="113"/>
      <c r="P57" s="113"/>
      <c r="Q57" s="113"/>
      <c r="R57" s="146"/>
      <c r="S57" s="113"/>
      <c r="T57" s="113"/>
      <c r="U57" s="146"/>
    </row>
    <row r="58" ht="15.75" customHeight="1">
      <c r="A58" s="127"/>
      <c r="B58" s="127"/>
      <c r="C58" s="127"/>
      <c r="D58" s="138"/>
      <c r="E58" s="138"/>
      <c r="F58" s="138"/>
      <c r="G58" s="141"/>
      <c r="H58" s="138"/>
      <c r="I58" s="138"/>
      <c r="J58" s="138"/>
      <c r="K58" s="138"/>
      <c r="L58" s="138"/>
      <c r="M58" s="113"/>
      <c r="N58" s="138"/>
      <c r="O58" s="138"/>
      <c r="P58" s="138"/>
      <c r="Q58" s="127"/>
      <c r="R58" s="169"/>
      <c r="S58" s="138"/>
      <c r="T58" s="127"/>
      <c r="U58" s="169"/>
    </row>
    <row r="59" ht="15.75" customHeight="1">
      <c r="A59" s="297"/>
      <c r="B59" s="84"/>
    </row>
    <row r="60" ht="15.75" customHeight="1"/>
    <row r="61" ht="15.75" customHeight="1">
      <c r="A61" s="83" t="s">
        <v>76</v>
      </c>
      <c r="B61" s="84"/>
    </row>
    <row r="62" ht="15.75" customHeight="1">
      <c r="A62" s="85"/>
      <c r="B62" s="86" t="s">
        <v>77</v>
      </c>
      <c r="C62" s="87"/>
      <c r="D62" s="88"/>
    </row>
    <row r="63" ht="15.75" customHeight="1">
      <c r="A63" s="92"/>
      <c r="B63" s="86" t="s">
        <v>78</v>
      </c>
      <c r="C63" s="87"/>
    </row>
    <row r="64" ht="15.75" customHeight="1">
      <c r="A64" s="95"/>
      <c r="B64" s="86" t="s">
        <v>79</v>
      </c>
      <c r="C64" s="87"/>
    </row>
    <row r="65" ht="15.75" customHeight="1">
      <c r="A65" s="96"/>
      <c r="B65" s="86" t="s">
        <v>80</v>
      </c>
      <c r="C65" s="87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autoFilter ref="$W$6:$Y$33">
    <sortState ref="W6:Y33">
      <sortCondition ref="X6:X33"/>
    </sortState>
  </autoFilter>
  <mergeCells count="104">
    <mergeCell ref="A23:C23"/>
    <mergeCell ref="D23:F23"/>
    <mergeCell ref="G23:I23"/>
    <mergeCell ref="J23:L23"/>
    <mergeCell ref="M23:O23"/>
    <mergeCell ref="P23:R23"/>
    <mergeCell ref="S23:U23"/>
    <mergeCell ref="A24:C24"/>
    <mergeCell ref="D24:F24"/>
    <mergeCell ref="G24:I24"/>
    <mergeCell ref="J24:L24"/>
    <mergeCell ref="M24:O24"/>
    <mergeCell ref="P24:R24"/>
    <mergeCell ref="S24:U24"/>
    <mergeCell ref="A32:C32"/>
    <mergeCell ref="D32:F32"/>
    <mergeCell ref="G32:I32"/>
    <mergeCell ref="J32:L32"/>
    <mergeCell ref="M32:O32"/>
    <mergeCell ref="P32:R32"/>
    <mergeCell ref="S32:U32"/>
    <mergeCell ref="A33:C33"/>
    <mergeCell ref="D33:F33"/>
    <mergeCell ref="G33:I33"/>
    <mergeCell ref="J33:L33"/>
    <mergeCell ref="M33:O33"/>
    <mergeCell ref="P33:R33"/>
    <mergeCell ref="S33:U33"/>
    <mergeCell ref="P41:R41"/>
    <mergeCell ref="S41:U41"/>
    <mergeCell ref="J36:L36"/>
    <mergeCell ref="M36:O36"/>
    <mergeCell ref="P36:R36"/>
    <mergeCell ref="S36:U36"/>
    <mergeCell ref="A41:C41"/>
    <mergeCell ref="D41:F41"/>
    <mergeCell ref="G41:I41"/>
    <mergeCell ref="P42:R42"/>
    <mergeCell ref="S42:U42"/>
    <mergeCell ref="S46:U46"/>
    <mergeCell ref="J41:L41"/>
    <mergeCell ref="M41:O41"/>
    <mergeCell ref="A42:C42"/>
    <mergeCell ref="D42:F42"/>
    <mergeCell ref="G42:I42"/>
    <mergeCell ref="J42:L42"/>
    <mergeCell ref="M42:O42"/>
    <mergeCell ref="A45:C45"/>
    <mergeCell ref="D50:F50"/>
    <mergeCell ref="G50:I50"/>
    <mergeCell ref="J50:L50"/>
    <mergeCell ref="M50:O50"/>
    <mergeCell ref="P50:R50"/>
    <mergeCell ref="S50:U50"/>
    <mergeCell ref="A50:C50"/>
    <mergeCell ref="D51:F51"/>
    <mergeCell ref="G51:I51"/>
    <mergeCell ref="J51:L51"/>
    <mergeCell ref="M51:O51"/>
    <mergeCell ref="P51:R51"/>
    <mergeCell ref="S51:U51"/>
    <mergeCell ref="A1:B1"/>
    <mergeCell ref="C1:E1"/>
    <mergeCell ref="G1:P3"/>
    <mergeCell ref="A2:B2"/>
    <mergeCell ref="C2:E2"/>
    <mergeCell ref="A3:B3"/>
    <mergeCell ref="C3:E3"/>
    <mergeCell ref="P6:R6"/>
    <mergeCell ref="S6:U6"/>
    <mergeCell ref="S10:U10"/>
    <mergeCell ref="S19:U19"/>
    <mergeCell ref="S27:U27"/>
    <mergeCell ref="A7:C7"/>
    <mergeCell ref="D7:F7"/>
    <mergeCell ref="G7:I7"/>
    <mergeCell ref="J7:L7"/>
    <mergeCell ref="M7:O7"/>
    <mergeCell ref="P7:R7"/>
    <mergeCell ref="S7:U7"/>
    <mergeCell ref="A4:B4"/>
    <mergeCell ref="C4:D4"/>
    <mergeCell ref="A6:C6"/>
    <mergeCell ref="D6:F6"/>
    <mergeCell ref="G6:I6"/>
    <mergeCell ref="J6:L6"/>
    <mergeCell ref="M6:O6"/>
    <mergeCell ref="A15:C15"/>
    <mergeCell ref="D15:F15"/>
    <mergeCell ref="G15:I15"/>
    <mergeCell ref="J15:L15"/>
    <mergeCell ref="M15:O15"/>
    <mergeCell ref="P15:R15"/>
    <mergeCell ref="S15:U15"/>
    <mergeCell ref="A16:C16"/>
    <mergeCell ref="D16:F16"/>
    <mergeCell ref="G16:I16"/>
    <mergeCell ref="J16:L16"/>
    <mergeCell ref="M16:O16"/>
    <mergeCell ref="P16:R16"/>
    <mergeCell ref="S16:U16"/>
    <mergeCell ref="A51:C51"/>
    <mergeCell ref="B59:D59"/>
    <mergeCell ref="B61:D61"/>
  </mergeCells>
  <printOptions horizontalCentered="1" verticalCentered="1"/>
  <pageMargins bottom="0.0" footer="0.0" header="0.0" left="0.0" right="0.0" top="0.0"/>
  <pageSetup fitToHeight="0" paperSize="9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11.57"/>
    <col customWidth="1" min="3" max="3" width="8.14"/>
    <col customWidth="1" min="4" max="4" width="17.57"/>
    <col customWidth="1" min="5" max="5" width="11.57"/>
    <col customWidth="1" min="6" max="6" width="9.86"/>
    <col customWidth="1" min="7" max="7" width="15.43"/>
    <col customWidth="1" min="8" max="8" width="11.43"/>
    <col customWidth="1" min="9" max="9" width="7.0"/>
    <col customWidth="1" min="10" max="10" width="20.29"/>
    <col customWidth="1" min="11" max="11" width="11.57"/>
    <col customWidth="1" min="12" max="12" width="5.57"/>
    <col customWidth="1" min="13" max="13" width="19.86"/>
    <col customWidth="1" min="14" max="14" width="11.57"/>
    <col customWidth="1" min="15" max="15" width="7.29"/>
    <col customWidth="1" min="16" max="16" width="18.43"/>
    <col customWidth="1" min="17" max="17" width="11.57"/>
    <col customWidth="1" min="18" max="18" width="5.57"/>
    <col customWidth="1" min="19" max="19" width="18.14"/>
    <col customWidth="1" min="20" max="20" width="11.57"/>
    <col customWidth="1" min="21" max="21" width="7.14"/>
    <col customWidth="1" min="22" max="23" width="8.71"/>
    <col customWidth="1" min="24" max="24" width="21.43"/>
    <col customWidth="1" min="25" max="25" width="15.14"/>
    <col customWidth="1" min="26" max="26" width="8.71"/>
  </cols>
  <sheetData>
    <row r="1" ht="15.75" customHeight="1">
      <c r="A1" s="6"/>
      <c r="C1" s="298" t="s">
        <v>286</v>
      </c>
      <c r="F1" s="3"/>
      <c r="G1" s="4" t="s">
        <v>1</v>
      </c>
      <c r="Q1" s="3"/>
    </row>
    <row r="2" ht="15.75" customHeight="1">
      <c r="A2" s="6" t="s">
        <v>2</v>
      </c>
      <c r="C2" s="7" t="s">
        <v>82</v>
      </c>
      <c r="F2" s="3"/>
      <c r="Q2" s="3"/>
    </row>
    <row r="3" ht="15.75" customHeight="1">
      <c r="A3" s="6" t="s">
        <v>4</v>
      </c>
      <c r="C3" s="299"/>
      <c r="D3" s="253"/>
      <c r="E3" s="253"/>
      <c r="F3" s="3"/>
      <c r="Q3" s="3"/>
    </row>
    <row r="4" ht="15.75" customHeight="1">
      <c r="A4" s="6" t="s">
        <v>5</v>
      </c>
      <c r="C4" s="9"/>
      <c r="E4" s="3"/>
      <c r="F4" s="3"/>
      <c r="G4" s="3"/>
      <c r="H4" s="3"/>
      <c r="I4" s="3"/>
      <c r="J4" s="3"/>
      <c r="K4" s="3"/>
      <c r="L4" s="3"/>
      <c r="M4" s="3"/>
      <c r="N4" s="3"/>
      <c r="O4" s="99"/>
      <c r="P4" s="100"/>
      <c r="Q4" s="101"/>
    </row>
    <row r="5" ht="15.75" customHeight="1">
      <c r="A5" s="12" t="s">
        <v>6</v>
      </c>
      <c r="B5" s="13"/>
      <c r="C5" s="14"/>
      <c r="D5" s="12" t="s">
        <v>7</v>
      </c>
      <c r="E5" s="13"/>
      <c r="F5" s="14"/>
      <c r="G5" s="180" t="s">
        <v>8</v>
      </c>
      <c r="H5" s="13"/>
      <c r="I5" s="14"/>
      <c r="J5" s="12" t="s">
        <v>9</v>
      </c>
      <c r="K5" s="13"/>
      <c r="L5" s="14"/>
      <c r="M5" s="12" t="s">
        <v>10</v>
      </c>
      <c r="N5" s="13"/>
      <c r="O5" s="14"/>
      <c r="P5" s="12" t="s">
        <v>11</v>
      </c>
      <c r="Q5" s="13"/>
      <c r="R5" s="14"/>
      <c r="S5" s="180" t="s">
        <v>12</v>
      </c>
      <c r="T5" s="13"/>
      <c r="U5" s="14"/>
    </row>
    <row r="6" ht="15.75" customHeight="1">
      <c r="A6" s="16"/>
      <c r="B6" s="13"/>
      <c r="C6" s="14"/>
      <c r="D6" s="16"/>
      <c r="E6" s="13"/>
      <c r="F6" s="14"/>
      <c r="G6" s="300"/>
      <c r="H6" s="13"/>
      <c r="I6" s="14"/>
      <c r="J6" s="16"/>
      <c r="K6" s="13"/>
      <c r="L6" s="14"/>
      <c r="M6" s="16"/>
      <c r="N6" s="13"/>
      <c r="O6" s="14"/>
      <c r="P6" s="16"/>
      <c r="Q6" s="13"/>
      <c r="R6" s="14"/>
      <c r="S6" s="185">
        <v>46082.0</v>
      </c>
      <c r="T6" s="13"/>
      <c r="U6" s="14"/>
      <c r="W6" s="102">
        <f>COUNTA(#REF!,M7:M17,P8:P12,S7:S14,#REF!,#REF!,M15:M17,P15:P20,#REF!,A15:A20,D15:D20,#REF!,#REF!,P24:P28,S7:S20,S7:S19,A23:A34,D23:D28,M31:M36,P39:P44,S23:S28,A32:A36,D39:D44,#REF!)</f>
        <v>73</v>
      </c>
    </row>
    <row r="7" ht="15.75" customHeight="1">
      <c r="A7" s="47"/>
      <c r="B7" s="47"/>
      <c r="C7" s="47"/>
      <c r="D7" s="301"/>
      <c r="E7" s="301"/>
      <c r="F7" s="301"/>
      <c r="G7" s="262"/>
      <c r="H7" s="262"/>
      <c r="I7" s="262"/>
      <c r="J7" s="262"/>
      <c r="K7" s="262"/>
      <c r="L7" s="262"/>
      <c r="M7" s="140"/>
      <c r="N7" s="140"/>
      <c r="O7" s="140"/>
      <c r="P7" s="140"/>
      <c r="Q7" s="140"/>
      <c r="R7" s="140"/>
      <c r="S7" s="47" t="s">
        <v>287</v>
      </c>
      <c r="T7" s="47" t="s">
        <v>60</v>
      </c>
      <c r="U7" s="47" t="s">
        <v>24</v>
      </c>
    </row>
    <row r="8" ht="15.75" customHeight="1">
      <c r="A8" s="41"/>
      <c r="B8" s="41"/>
      <c r="C8" s="195"/>
      <c r="D8" s="47"/>
      <c r="E8" s="47"/>
      <c r="F8" s="47"/>
      <c r="G8" s="262"/>
      <c r="H8" s="262"/>
      <c r="I8" s="262"/>
      <c r="J8" s="47"/>
      <c r="K8" s="47"/>
      <c r="L8" s="47"/>
      <c r="M8" s="41"/>
      <c r="N8" s="41"/>
      <c r="O8" s="41"/>
      <c r="P8" s="24"/>
      <c r="Q8" s="24"/>
      <c r="R8" s="24"/>
      <c r="S8" s="24" t="s">
        <v>288</v>
      </c>
      <c r="T8" s="24" t="s">
        <v>289</v>
      </c>
      <c r="U8" s="24" t="s">
        <v>24</v>
      </c>
    </row>
    <row r="9" ht="15.75" customHeight="1">
      <c r="A9" s="41"/>
      <c r="B9" s="41"/>
      <c r="C9" s="41"/>
      <c r="D9" s="47"/>
      <c r="E9" s="47"/>
      <c r="F9" s="47"/>
      <c r="G9" s="262"/>
      <c r="H9" s="262"/>
      <c r="I9" s="262"/>
      <c r="J9" s="47"/>
      <c r="K9" s="24"/>
      <c r="L9" s="24"/>
      <c r="M9" s="302"/>
      <c r="N9" s="24"/>
      <c r="O9" s="24"/>
      <c r="P9" s="122"/>
      <c r="Q9" s="122"/>
      <c r="R9" s="122"/>
      <c r="S9" s="24"/>
      <c r="T9" s="24"/>
      <c r="U9" s="24"/>
    </row>
    <row r="10" ht="15.75" customHeight="1">
      <c r="A10" s="47"/>
      <c r="B10" s="47"/>
      <c r="C10" s="47"/>
      <c r="D10" s="140"/>
      <c r="E10" s="140"/>
      <c r="F10" s="140"/>
      <c r="G10" s="262"/>
      <c r="H10" s="262"/>
      <c r="I10" s="262"/>
      <c r="J10" s="140"/>
      <c r="K10" s="140"/>
      <c r="L10" s="140"/>
      <c r="M10" s="24"/>
      <c r="N10" s="47"/>
      <c r="O10" s="24"/>
      <c r="P10" s="24"/>
      <c r="Q10" s="24"/>
      <c r="R10" s="24"/>
      <c r="S10" s="47" t="s">
        <v>290</v>
      </c>
      <c r="T10" s="47" t="s">
        <v>26</v>
      </c>
      <c r="U10" s="47" t="s">
        <v>42</v>
      </c>
    </row>
    <row r="11" ht="15.75" customHeight="1">
      <c r="A11" s="34"/>
      <c r="B11" s="34"/>
      <c r="C11" s="34"/>
      <c r="D11" s="140"/>
      <c r="E11" s="140"/>
      <c r="F11" s="140"/>
      <c r="G11" s="262"/>
      <c r="H11" s="262"/>
      <c r="I11" s="262"/>
      <c r="J11" s="140"/>
      <c r="K11" s="140"/>
      <c r="L11" s="140"/>
      <c r="M11" s="120"/>
      <c r="N11" s="120"/>
      <c r="O11" s="120"/>
      <c r="P11" s="47"/>
      <c r="Q11" s="47"/>
      <c r="R11" s="47"/>
      <c r="S11" s="303" t="s">
        <v>291</v>
      </c>
      <c r="T11" s="304" t="s">
        <v>111</v>
      </c>
      <c r="U11" s="304" t="s">
        <v>24</v>
      </c>
    </row>
    <row r="12" ht="15.75" customHeight="1">
      <c r="A12" s="140"/>
      <c r="B12" s="140"/>
      <c r="C12" s="140"/>
      <c r="D12" s="140"/>
      <c r="E12" s="140"/>
      <c r="F12" s="140"/>
      <c r="G12" s="262"/>
      <c r="H12" s="262"/>
      <c r="I12" s="262"/>
      <c r="J12" s="262"/>
      <c r="K12" s="262"/>
      <c r="L12" s="262"/>
      <c r="M12" s="140"/>
      <c r="N12" s="140"/>
      <c r="O12" s="140"/>
      <c r="P12" s="140"/>
      <c r="Q12" s="140"/>
      <c r="R12" s="140"/>
      <c r="S12" s="24" t="s">
        <v>292</v>
      </c>
      <c r="T12" s="223" t="s">
        <v>293</v>
      </c>
      <c r="U12" s="24" t="s">
        <v>24</v>
      </c>
    </row>
    <row r="13" ht="15.75" customHeight="1">
      <c r="A13" s="104" t="s">
        <v>6</v>
      </c>
      <c r="B13" s="13"/>
      <c r="C13" s="14"/>
      <c r="D13" s="104" t="s">
        <v>7</v>
      </c>
      <c r="E13" s="13"/>
      <c r="F13" s="14"/>
      <c r="G13" s="171" t="s">
        <v>8</v>
      </c>
      <c r="H13" s="13"/>
      <c r="I13" s="14"/>
      <c r="J13" s="104" t="s">
        <v>9</v>
      </c>
      <c r="K13" s="13"/>
      <c r="L13" s="14"/>
      <c r="M13" s="104" t="s">
        <v>85</v>
      </c>
      <c r="N13" s="13"/>
      <c r="O13" s="14"/>
      <c r="P13" s="104" t="s">
        <v>86</v>
      </c>
      <c r="Q13" s="13"/>
      <c r="R13" s="14"/>
      <c r="S13" s="197" t="s">
        <v>12</v>
      </c>
      <c r="T13" s="13"/>
      <c r="U13" s="14"/>
      <c r="W13" s="254" t="s">
        <v>14</v>
      </c>
      <c r="X13" s="254" t="s">
        <v>15</v>
      </c>
      <c r="Y13" s="255" t="s">
        <v>16</v>
      </c>
    </row>
    <row r="14" ht="15.75" customHeight="1">
      <c r="A14" s="106">
        <f>S6+1</f>
        <v>46083</v>
      </c>
      <c r="B14" s="13"/>
      <c r="C14" s="14"/>
      <c r="D14" s="106">
        <f>A14+1</f>
        <v>46084</v>
      </c>
      <c r="E14" s="13"/>
      <c r="F14" s="14"/>
      <c r="G14" s="106">
        <f>D14+1</f>
        <v>46085</v>
      </c>
      <c r="H14" s="13"/>
      <c r="I14" s="14"/>
      <c r="J14" s="106">
        <f>G14+1</f>
        <v>46086</v>
      </c>
      <c r="K14" s="13"/>
      <c r="L14" s="14"/>
      <c r="M14" s="107">
        <f>J14+1</f>
        <v>46087</v>
      </c>
      <c r="N14" s="13"/>
      <c r="O14" s="14"/>
      <c r="P14" s="106">
        <f>M14+1</f>
        <v>46088</v>
      </c>
      <c r="Q14" s="13"/>
      <c r="R14" s="14"/>
      <c r="S14" s="106">
        <f>P14+1</f>
        <v>46089</v>
      </c>
      <c r="T14" s="13"/>
      <c r="U14" s="14"/>
      <c r="W14" s="255">
        <v>2.0</v>
      </c>
      <c r="X14" s="257" t="s">
        <v>288</v>
      </c>
      <c r="Y14" s="258">
        <f t="shared" ref="Y14:Y41" si="1">countif($A$5:$U$52,X14)</f>
        <v>8</v>
      </c>
      <c r="Z14" s="102">
        <v>4.0</v>
      </c>
    </row>
    <row r="15" ht="15.75" customHeight="1">
      <c r="A15" s="47" t="s">
        <v>288</v>
      </c>
      <c r="B15" s="47" t="s">
        <v>25</v>
      </c>
      <c r="C15" s="47" t="s">
        <v>24</v>
      </c>
      <c r="D15" s="301" t="s">
        <v>294</v>
      </c>
      <c r="E15" s="301" t="s">
        <v>57</v>
      </c>
      <c r="F15" s="305" t="s">
        <v>42</v>
      </c>
      <c r="G15" s="262"/>
      <c r="H15" s="262"/>
      <c r="I15" s="262"/>
      <c r="J15" s="262"/>
      <c r="K15" s="262"/>
      <c r="L15" s="262"/>
      <c r="M15" s="140"/>
      <c r="N15" s="140"/>
      <c r="O15" s="140"/>
      <c r="P15" s="140"/>
      <c r="Q15" s="140"/>
      <c r="R15" s="140"/>
      <c r="S15" s="24" t="s">
        <v>295</v>
      </c>
      <c r="T15" s="24" t="s">
        <v>265</v>
      </c>
      <c r="U15" s="24" t="s">
        <v>296</v>
      </c>
      <c r="W15" s="255">
        <v>3.0</v>
      </c>
      <c r="X15" s="229" t="s">
        <v>287</v>
      </c>
      <c r="Y15" s="258">
        <f t="shared" si="1"/>
        <v>4</v>
      </c>
      <c r="Z15" s="102">
        <v>4.0</v>
      </c>
    </row>
    <row r="16" ht="15.75" customHeight="1">
      <c r="A16" s="41"/>
      <c r="B16" s="41"/>
      <c r="C16" s="195"/>
      <c r="D16" s="47" t="s">
        <v>297</v>
      </c>
      <c r="E16" s="47" t="s">
        <v>64</v>
      </c>
      <c r="F16" s="47" t="s">
        <v>42</v>
      </c>
      <c r="G16" s="262"/>
      <c r="H16" s="262"/>
      <c r="I16" s="262"/>
      <c r="J16" s="47" t="s">
        <v>298</v>
      </c>
      <c r="K16" s="47" t="s">
        <v>238</v>
      </c>
      <c r="L16" s="47" t="s">
        <v>42</v>
      </c>
      <c r="M16" s="41"/>
      <c r="N16" s="41"/>
      <c r="O16" s="41"/>
      <c r="P16" s="24" t="s">
        <v>299</v>
      </c>
      <c r="Q16" s="24" t="s">
        <v>57</v>
      </c>
      <c r="R16" s="24" t="s">
        <v>24</v>
      </c>
      <c r="S16" s="41"/>
      <c r="T16" s="41"/>
      <c r="U16" s="41"/>
      <c r="W16" s="255">
        <v>6.0</v>
      </c>
      <c r="X16" s="148" t="s">
        <v>294</v>
      </c>
      <c r="Y16" s="258">
        <f t="shared" si="1"/>
        <v>1</v>
      </c>
      <c r="Z16" s="102">
        <v>8.0</v>
      </c>
    </row>
    <row r="17" ht="15.75" customHeight="1">
      <c r="A17" s="41"/>
      <c r="B17" s="41"/>
      <c r="C17" s="41"/>
      <c r="D17" s="47" t="s">
        <v>300</v>
      </c>
      <c r="E17" s="47" t="s">
        <v>140</v>
      </c>
      <c r="F17" s="47" t="s">
        <v>42</v>
      </c>
      <c r="G17" s="218" t="s">
        <v>13</v>
      </c>
      <c r="H17" s="13"/>
      <c r="I17" s="14"/>
      <c r="J17" s="47" t="s">
        <v>301</v>
      </c>
      <c r="K17" s="24" t="s">
        <v>103</v>
      </c>
      <c r="L17" s="24" t="s">
        <v>42</v>
      </c>
      <c r="M17" s="302"/>
      <c r="N17" s="24"/>
      <c r="O17" s="24"/>
      <c r="P17" s="24" t="s">
        <v>302</v>
      </c>
      <c r="Q17" s="24" t="s">
        <v>95</v>
      </c>
      <c r="R17" s="24" t="s">
        <v>24</v>
      </c>
      <c r="S17" s="47"/>
      <c r="T17" s="47"/>
      <c r="U17" s="47"/>
      <c r="W17" s="255">
        <v>4.0</v>
      </c>
      <c r="X17" s="257" t="s">
        <v>299</v>
      </c>
      <c r="Y17" s="258">
        <f t="shared" si="1"/>
        <v>4</v>
      </c>
      <c r="Z17" s="102">
        <v>4.0</v>
      </c>
    </row>
    <row r="18" ht="15.75" customHeight="1">
      <c r="A18" s="47" t="s">
        <v>303</v>
      </c>
      <c r="B18" s="47" t="s">
        <v>304</v>
      </c>
      <c r="C18" s="47" t="s">
        <v>24</v>
      </c>
      <c r="D18" s="140"/>
      <c r="E18" s="140"/>
      <c r="F18" s="140"/>
      <c r="G18" s="262"/>
      <c r="H18" s="262"/>
      <c r="I18" s="262"/>
      <c r="J18" s="140"/>
      <c r="K18" s="140"/>
      <c r="L18" s="140"/>
      <c r="M18" s="24" t="s">
        <v>305</v>
      </c>
      <c r="N18" s="47" t="s">
        <v>95</v>
      </c>
      <c r="O18" s="24" t="s">
        <v>24</v>
      </c>
      <c r="P18" s="24" t="s">
        <v>306</v>
      </c>
      <c r="Q18" s="24" t="s">
        <v>307</v>
      </c>
      <c r="R18" s="24" t="s">
        <v>27</v>
      </c>
      <c r="S18" s="303" t="s">
        <v>291</v>
      </c>
      <c r="T18" s="304" t="s">
        <v>111</v>
      </c>
      <c r="U18" s="304" t="s">
        <v>24</v>
      </c>
      <c r="W18" s="255">
        <v>5.0</v>
      </c>
      <c r="X18" s="257" t="s">
        <v>300</v>
      </c>
      <c r="Y18" s="258">
        <f t="shared" si="1"/>
        <v>2</v>
      </c>
      <c r="Z18" s="102">
        <v>4.0</v>
      </c>
    </row>
    <row r="19" ht="15.75" customHeight="1">
      <c r="A19" s="34"/>
      <c r="B19" s="34"/>
      <c r="C19" s="34"/>
      <c r="D19" s="140"/>
      <c r="E19" s="140"/>
      <c r="F19" s="140"/>
      <c r="G19" s="262"/>
      <c r="H19" s="262"/>
      <c r="I19" s="262"/>
      <c r="J19" s="44" t="s">
        <v>39</v>
      </c>
      <c r="K19" s="44" t="s">
        <v>40</v>
      </c>
      <c r="L19" s="45"/>
      <c r="M19" s="120" t="s">
        <v>308</v>
      </c>
      <c r="N19" s="120" t="s">
        <v>132</v>
      </c>
      <c r="O19" s="120" t="s">
        <v>27</v>
      </c>
      <c r="P19" s="24" t="s">
        <v>287</v>
      </c>
      <c r="Q19" s="24" t="s">
        <v>229</v>
      </c>
      <c r="R19" s="24" t="s">
        <v>24</v>
      </c>
      <c r="S19" s="24" t="s">
        <v>292</v>
      </c>
      <c r="T19" s="223" t="s">
        <v>293</v>
      </c>
      <c r="U19" s="24" t="s">
        <v>24</v>
      </c>
      <c r="W19" s="255">
        <v>8.0</v>
      </c>
      <c r="X19" s="257" t="s">
        <v>302</v>
      </c>
      <c r="Y19" s="258">
        <f t="shared" si="1"/>
        <v>2</v>
      </c>
      <c r="Z19" s="102">
        <v>2.0</v>
      </c>
    </row>
    <row r="20" ht="15.75" customHeight="1">
      <c r="A20" s="140"/>
      <c r="B20" s="140"/>
      <c r="C20" s="140"/>
      <c r="D20" s="140"/>
      <c r="E20" s="140"/>
      <c r="F20" s="140"/>
      <c r="G20" s="262"/>
      <c r="H20" s="262"/>
      <c r="I20" s="262"/>
      <c r="J20" s="262"/>
      <c r="K20" s="262"/>
      <c r="L20" s="262"/>
      <c r="M20" s="140"/>
      <c r="N20" s="140"/>
      <c r="O20" s="140"/>
      <c r="P20" s="140"/>
      <c r="Q20" s="140"/>
      <c r="R20" s="140"/>
      <c r="S20" s="24"/>
      <c r="T20" s="24"/>
      <c r="U20" s="24"/>
      <c r="W20" s="255">
        <v>9.0</v>
      </c>
      <c r="X20" s="257" t="s">
        <v>309</v>
      </c>
      <c r="Y20" s="258">
        <f t="shared" si="1"/>
        <v>2</v>
      </c>
      <c r="Z20" s="102">
        <v>2.0</v>
      </c>
    </row>
    <row r="21" ht="15.75" customHeight="1">
      <c r="A21" s="133" t="s">
        <v>118</v>
      </c>
      <c r="B21" s="13"/>
      <c r="C21" s="14"/>
      <c r="D21" s="199" t="s">
        <v>7</v>
      </c>
      <c r="E21" s="13"/>
      <c r="F21" s="14"/>
      <c r="G21" s="133" t="s">
        <v>119</v>
      </c>
      <c r="H21" s="13"/>
      <c r="I21" s="14"/>
      <c r="J21" s="133" t="s">
        <v>9</v>
      </c>
      <c r="K21" s="13"/>
      <c r="L21" s="14"/>
      <c r="M21" s="133" t="s">
        <v>85</v>
      </c>
      <c r="N21" s="13"/>
      <c r="O21" s="14"/>
      <c r="P21" s="133" t="s">
        <v>86</v>
      </c>
      <c r="Q21" s="13"/>
      <c r="R21" s="14"/>
      <c r="S21" s="199" t="s">
        <v>12</v>
      </c>
      <c r="T21" s="13"/>
      <c r="U21" s="14"/>
      <c r="W21" s="255">
        <v>10.0</v>
      </c>
      <c r="X21" s="187" t="s">
        <v>310</v>
      </c>
      <c r="Y21" s="258">
        <f t="shared" si="1"/>
        <v>2</v>
      </c>
      <c r="Z21" s="102">
        <v>4.0</v>
      </c>
    </row>
    <row r="22" ht="15.75" customHeight="1">
      <c r="A22" s="136">
        <f>S14+1</f>
        <v>46090</v>
      </c>
      <c r="B22" s="13"/>
      <c r="C22" s="14"/>
      <c r="D22" s="200">
        <f>A22+1</f>
        <v>46091</v>
      </c>
      <c r="E22" s="13"/>
      <c r="F22" s="14"/>
      <c r="G22" s="136">
        <f>D22+1</f>
        <v>46092</v>
      </c>
      <c r="H22" s="13"/>
      <c r="I22" s="14"/>
      <c r="J22" s="136">
        <f>G22+1</f>
        <v>46093</v>
      </c>
      <c r="K22" s="13"/>
      <c r="L22" s="14"/>
      <c r="M22" s="136">
        <f>J22+1</f>
        <v>46094</v>
      </c>
      <c r="N22" s="13"/>
      <c r="O22" s="14"/>
      <c r="P22" s="136">
        <f>M22+1</f>
        <v>46095</v>
      </c>
      <c r="Q22" s="13"/>
      <c r="R22" s="14"/>
      <c r="S22" s="200">
        <f>P22+1</f>
        <v>46096</v>
      </c>
      <c r="T22" s="13"/>
      <c r="U22" s="14"/>
      <c r="W22" s="255">
        <v>11.0</v>
      </c>
      <c r="X22" s="190"/>
      <c r="Y22" s="258">
        <f t="shared" si="1"/>
        <v>0</v>
      </c>
      <c r="Z22" s="102">
        <v>4.0</v>
      </c>
    </row>
    <row r="23" ht="15.75" customHeight="1">
      <c r="A23" s="41"/>
      <c r="B23" s="41"/>
      <c r="C23" s="41"/>
      <c r="D23" s="140"/>
      <c r="E23" s="140"/>
      <c r="F23" s="140"/>
      <c r="G23" s="262"/>
      <c r="H23" s="262"/>
      <c r="I23" s="262"/>
      <c r="J23" s="262"/>
      <c r="K23" s="262"/>
      <c r="L23" s="262"/>
      <c r="M23" s="140"/>
      <c r="N23" s="140"/>
      <c r="O23" s="140"/>
      <c r="P23" s="122"/>
      <c r="Q23" s="122"/>
      <c r="R23" s="122"/>
      <c r="S23" s="47" t="s">
        <v>287</v>
      </c>
      <c r="T23" s="47" t="s">
        <v>60</v>
      </c>
      <c r="U23" s="47" t="s">
        <v>24</v>
      </c>
      <c r="W23" s="255">
        <v>12.0</v>
      </c>
      <c r="X23" s="257" t="s">
        <v>297</v>
      </c>
      <c r="Y23" s="258">
        <f t="shared" si="1"/>
        <v>2</v>
      </c>
      <c r="Z23" s="102">
        <v>2.0</v>
      </c>
    </row>
    <row r="24" ht="15.75" customHeight="1">
      <c r="A24" s="41"/>
      <c r="B24" s="41"/>
      <c r="C24" s="41"/>
      <c r="D24" s="47" t="s">
        <v>303</v>
      </c>
      <c r="E24" s="47" t="s">
        <v>311</v>
      </c>
      <c r="F24" s="47" t="s">
        <v>24</v>
      </c>
      <c r="G24" s="262"/>
      <c r="H24" s="262"/>
      <c r="I24" s="262"/>
      <c r="J24" s="262"/>
      <c r="K24" s="262"/>
      <c r="L24" s="262"/>
      <c r="M24" s="306" t="s">
        <v>312</v>
      </c>
      <c r="N24" s="307" t="s">
        <v>59</v>
      </c>
      <c r="O24" s="307" t="s">
        <v>27</v>
      </c>
      <c r="P24" s="24" t="s">
        <v>299</v>
      </c>
      <c r="Q24" s="24" t="s">
        <v>57</v>
      </c>
      <c r="R24" s="24" t="s">
        <v>24</v>
      </c>
      <c r="S24" s="24" t="s">
        <v>288</v>
      </c>
      <c r="T24" s="24" t="s">
        <v>289</v>
      </c>
      <c r="U24" s="24" t="s">
        <v>24</v>
      </c>
      <c r="W24" s="255">
        <v>13.0</v>
      </c>
      <c r="X24" s="257" t="s">
        <v>313</v>
      </c>
      <c r="Y24" s="258">
        <f t="shared" si="1"/>
        <v>1</v>
      </c>
      <c r="Z24" s="102">
        <v>2.0</v>
      </c>
    </row>
    <row r="25" ht="15.75" customHeight="1">
      <c r="A25" s="47" t="s">
        <v>288</v>
      </c>
      <c r="B25" s="47" t="s">
        <v>25</v>
      </c>
      <c r="C25" s="47" t="s">
        <v>24</v>
      </c>
      <c r="D25" s="308"/>
      <c r="E25" s="308"/>
      <c r="F25" s="308"/>
      <c r="G25" s="218" t="s">
        <v>13</v>
      </c>
      <c r="H25" s="13"/>
      <c r="I25" s="14"/>
      <c r="J25" s="47" t="s">
        <v>301</v>
      </c>
      <c r="K25" s="24" t="s">
        <v>59</v>
      </c>
      <c r="L25" s="24" t="s">
        <v>42</v>
      </c>
      <c r="M25" s="24" t="s">
        <v>305</v>
      </c>
      <c r="N25" s="47" t="s">
        <v>95</v>
      </c>
      <c r="O25" s="24" t="s">
        <v>24</v>
      </c>
      <c r="P25" s="53"/>
      <c r="Q25" s="53"/>
      <c r="R25" s="53"/>
      <c r="S25" s="24"/>
      <c r="T25" s="24"/>
      <c r="U25" s="24"/>
      <c r="W25" s="255">
        <v>25.0</v>
      </c>
      <c r="X25" s="257" t="s">
        <v>312</v>
      </c>
      <c r="Y25" s="258">
        <f t="shared" si="1"/>
        <v>1</v>
      </c>
      <c r="Z25" s="102">
        <v>2.0</v>
      </c>
    </row>
    <row r="26" ht="15.75" customHeight="1">
      <c r="A26" s="41"/>
      <c r="B26" s="41"/>
      <c r="C26" s="42" t="s">
        <v>36</v>
      </c>
      <c r="D26" s="49" t="s">
        <v>314</v>
      </c>
      <c r="E26" s="49" t="s">
        <v>64</v>
      </c>
      <c r="F26" s="49" t="s">
        <v>42</v>
      </c>
      <c r="G26" s="47"/>
      <c r="H26" s="47"/>
      <c r="I26" s="47"/>
      <c r="J26" s="47" t="s">
        <v>298</v>
      </c>
      <c r="K26" s="47" t="s">
        <v>315</v>
      </c>
      <c r="L26" s="47" t="s">
        <v>42</v>
      </c>
      <c r="M26" s="24" t="s">
        <v>288</v>
      </c>
      <c r="N26" s="24" t="s">
        <v>47</v>
      </c>
      <c r="O26" s="24" t="s">
        <v>24</v>
      </c>
      <c r="P26" s="47" t="s">
        <v>309</v>
      </c>
      <c r="Q26" s="47" t="s">
        <v>186</v>
      </c>
      <c r="R26" s="47" t="s">
        <v>24</v>
      </c>
      <c r="S26" s="47" t="s">
        <v>290</v>
      </c>
      <c r="T26" s="47" t="s">
        <v>26</v>
      </c>
      <c r="U26" s="47" t="s">
        <v>42</v>
      </c>
      <c r="W26" s="255">
        <v>1.0</v>
      </c>
      <c r="X26" s="187" t="s">
        <v>316</v>
      </c>
      <c r="Y26" s="258">
        <f t="shared" si="1"/>
        <v>1</v>
      </c>
      <c r="Z26" s="102">
        <v>2.0</v>
      </c>
    </row>
    <row r="27" ht="15.75" customHeight="1">
      <c r="A27" s="24" t="s">
        <v>310</v>
      </c>
      <c r="B27" s="24" t="s">
        <v>26</v>
      </c>
      <c r="C27" s="24" t="s">
        <v>27</v>
      </c>
      <c r="D27" s="24" t="s">
        <v>313</v>
      </c>
      <c r="E27" s="24" t="s">
        <v>103</v>
      </c>
      <c r="F27" s="24" t="s">
        <v>27</v>
      </c>
      <c r="G27" s="262"/>
      <c r="H27" s="262"/>
      <c r="I27" s="262"/>
      <c r="J27" s="140"/>
      <c r="K27" s="140"/>
      <c r="L27" s="140"/>
      <c r="M27" s="113"/>
      <c r="N27" s="138"/>
      <c r="O27" s="195"/>
      <c r="P27" s="141"/>
      <c r="Q27" s="127"/>
      <c r="R27" s="195"/>
      <c r="S27" s="303" t="s">
        <v>291</v>
      </c>
      <c r="T27" s="304" t="s">
        <v>111</v>
      </c>
      <c r="U27" s="304" t="s">
        <v>24</v>
      </c>
      <c r="W27" s="255">
        <v>14.0</v>
      </c>
      <c r="X27" s="24" t="s">
        <v>295</v>
      </c>
      <c r="Y27" s="258">
        <f t="shared" si="1"/>
        <v>2</v>
      </c>
      <c r="Z27" s="102">
        <v>2.0</v>
      </c>
    </row>
    <row r="28" ht="15.75" customHeight="1">
      <c r="A28" s="24" t="s">
        <v>317</v>
      </c>
      <c r="B28" s="24" t="s">
        <v>318</v>
      </c>
      <c r="C28" s="24" t="s">
        <v>24</v>
      </c>
      <c r="D28" s="260"/>
      <c r="E28" s="260"/>
      <c r="F28" s="260"/>
      <c r="G28" s="209"/>
      <c r="H28" s="260"/>
      <c r="I28" s="260"/>
      <c r="J28" s="209"/>
      <c r="K28" s="209"/>
      <c r="L28" s="209"/>
      <c r="M28" s="140"/>
      <c r="N28" s="140"/>
      <c r="O28" s="140"/>
      <c r="P28" s="309"/>
      <c r="Q28" s="310"/>
      <c r="R28" s="310"/>
      <c r="S28" s="24" t="s">
        <v>292</v>
      </c>
      <c r="T28" s="223" t="s">
        <v>293</v>
      </c>
      <c r="U28" s="24" t="s">
        <v>24</v>
      </c>
      <c r="W28" s="255">
        <v>15.0</v>
      </c>
      <c r="X28" s="264" t="s">
        <v>301</v>
      </c>
      <c r="Y28" s="258">
        <f t="shared" si="1"/>
        <v>4</v>
      </c>
      <c r="Z28" s="102">
        <v>2.0</v>
      </c>
    </row>
    <row r="29" ht="15.75" customHeight="1">
      <c r="A29" s="104" t="s">
        <v>118</v>
      </c>
      <c r="B29" s="13"/>
      <c r="C29" s="14"/>
      <c r="D29" s="104" t="s">
        <v>7</v>
      </c>
      <c r="E29" s="13"/>
      <c r="F29" s="14"/>
      <c r="G29" s="104" t="s">
        <v>119</v>
      </c>
      <c r="H29" s="13"/>
      <c r="I29" s="14"/>
      <c r="J29" s="171" t="s">
        <v>9</v>
      </c>
      <c r="K29" s="13"/>
      <c r="L29" s="14"/>
      <c r="M29" s="104" t="s">
        <v>85</v>
      </c>
      <c r="N29" s="13"/>
      <c r="O29" s="14"/>
      <c r="P29" s="104" t="s">
        <v>86</v>
      </c>
      <c r="Q29" s="13"/>
      <c r="R29" s="14"/>
      <c r="S29" s="197" t="s">
        <v>12</v>
      </c>
      <c r="T29" s="13"/>
      <c r="U29" s="14"/>
      <c r="W29" s="311">
        <v>26.0</v>
      </c>
      <c r="X29" s="148" t="s">
        <v>298</v>
      </c>
      <c r="Y29" s="258">
        <f t="shared" si="1"/>
        <v>4</v>
      </c>
      <c r="Z29" s="102">
        <v>2.0</v>
      </c>
    </row>
    <row r="30" ht="15.75" customHeight="1">
      <c r="A30" s="107">
        <f>S22+1</f>
        <v>46097</v>
      </c>
      <c r="B30" s="13"/>
      <c r="C30" s="14"/>
      <c r="D30" s="107">
        <f>A30+1</f>
        <v>46098</v>
      </c>
      <c r="E30" s="13"/>
      <c r="F30" s="14"/>
      <c r="G30" s="107">
        <f>D30+1</f>
        <v>46099</v>
      </c>
      <c r="H30" s="13"/>
      <c r="I30" s="14"/>
      <c r="J30" s="106">
        <f>G30+1</f>
        <v>46100</v>
      </c>
      <c r="K30" s="13"/>
      <c r="L30" s="14"/>
      <c r="M30" s="106">
        <f>J30+1</f>
        <v>46101</v>
      </c>
      <c r="N30" s="13"/>
      <c r="O30" s="14"/>
      <c r="P30" s="107">
        <f>M30+1</f>
        <v>46102</v>
      </c>
      <c r="Q30" s="13"/>
      <c r="R30" s="14"/>
      <c r="S30" s="106">
        <f>P30+1</f>
        <v>46103</v>
      </c>
      <c r="T30" s="13"/>
      <c r="U30" s="14"/>
      <c r="W30" s="255">
        <v>16.0</v>
      </c>
      <c r="X30" s="148" t="s">
        <v>306</v>
      </c>
      <c r="Y30" s="258">
        <f t="shared" si="1"/>
        <v>2</v>
      </c>
      <c r="Z30" s="102">
        <v>1.0</v>
      </c>
    </row>
    <row r="31" ht="15.75" customHeight="1">
      <c r="D31" s="47"/>
      <c r="E31" s="47"/>
      <c r="F31" s="47"/>
      <c r="G31" s="262"/>
      <c r="H31" s="262"/>
      <c r="I31" s="262"/>
      <c r="J31" s="262"/>
      <c r="K31" s="262"/>
      <c r="L31" s="262"/>
      <c r="M31" s="47"/>
      <c r="N31" s="47"/>
      <c r="O31" s="47"/>
      <c r="P31" s="24"/>
      <c r="Q31" s="24"/>
      <c r="R31" s="24"/>
      <c r="S31" s="24"/>
      <c r="T31" s="24"/>
      <c r="U31" s="24"/>
      <c r="W31" s="255">
        <v>17.0</v>
      </c>
      <c r="X31" s="312" t="s">
        <v>308</v>
      </c>
      <c r="Y31" s="258">
        <f t="shared" si="1"/>
        <v>2</v>
      </c>
      <c r="Z31" s="102">
        <v>2.0</v>
      </c>
    </row>
    <row r="32" ht="15.75" customHeight="1">
      <c r="A32" s="47" t="s">
        <v>288</v>
      </c>
      <c r="B32" s="47" t="s">
        <v>25</v>
      </c>
      <c r="C32" s="47" t="s">
        <v>24</v>
      </c>
      <c r="D32" s="24" t="s">
        <v>305</v>
      </c>
      <c r="E32" s="24" t="s">
        <v>95</v>
      </c>
      <c r="F32" s="24" t="s">
        <v>24</v>
      </c>
      <c r="G32" s="43" t="s">
        <v>301</v>
      </c>
      <c r="H32" s="43" t="s">
        <v>265</v>
      </c>
      <c r="I32" s="47" t="s">
        <v>42</v>
      </c>
      <c r="J32" s="47"/>
      <c r="K32" s="47"/>
      <c r="L32" s="47"/>
      <c r="M32" s="24"/>
      <c r="N32" s="24"/>
      <c r="O32" s="24"/>
      <c r="P32" s="122"/>
      <c r="Q32" s="122"/>
      <c r="R32" s="122"/>
      <c r="S32" s="41"/>
      <c r="T32" s="41"/>
      <c r="U32" s="41"/>
      <c r="W32" s="255">
        <v>18.0</v>
      </c>
      <c r="X32" s="257" t="s">
        <v>305</v>
      </c>
      <c r="Y32" s="258">
        <f t="shared" si="1"/>
        <v>4</v>
      </c>
      <c r="Z32" s="102">
        <v>4.0</v>
      </c>
    </row>
    <row r="33" ht="15.75" customHeight="1">
      <c r="A33" s="47" t="s">
        <v>300</v>
      </c>
      <c r="B33" s="47" t="s">
        <v>140</v>
      </c>
      <c r="C33" s="47" t="s">
        <v>42</v>
      </c>
      <c r="D33" s="47" t="s">
        <v>297</v>
      </c>
      <c r="E33" s="47" t="s">
        <v>64</v>
      </c>
      <c r="F33" s="47" t="s">
        <v>42</v>
      </c>
      <c r="G33" s="47" t="s">
        <v>298</v>
      </c>
      <c r="H33" s="53" t="s">
        <v>31</v>
      </c>
      <c r="I33" s="24" t="s">
        <v>42</v>
      </c>
      <c r="J33" s="218" t="s">
        <v>13</v>
      </c>
      <c r="K33" s="13"/>
      <c r="L33" s="14"/>
      <c r="M33" s="204" t="s">
        <v>69</v>
      </c>
      <c r="N33" s="13"/>
      <c r="O33" s="14"/>
      <c r="P33" s="218" t="s">
        <v>13</v>
      </c>
      <c r="Q33" s="13"/>
      <c r="R33" s="14"/>
      <c r="S33" s="218" t="s">
        <v>13</v>
      </c>
      <c r="T33" s="13"/>
      <c r="U33" s="14"/>
      <c r="W33" s="255">
        <v>19.0</v>
      </c>
      <c r="X33" s="257" t="s">
        <v>319</v>
      </c>
      <c r="Y33" s="258">
        <f t="shared" si="1"/>
        <v>0</v>
      </c>
      <c r="Z33" s="102">
        <v>2.0</v>
      </c>
    </row>
    <row r="34" ht="15.75" customHeight="1">
      <c r="A34" s="24" t="s">
        <v>316</v>
      </c>
      <c r="B34" s="24" t="s">
        <v>29</v>
      </c>
      <c r="C34" s="24" t="s">
        <v>27</v>
      </c>
      <c r="D34" s="120" t="s">
        <v>308</v>
      </c>
      <c r="E34" s="120" t="s">
        <v>132</v>
      </c>
      <c r="F34" s="120" t="s">
        <v>27</v>
      </c>
      <c r="G34" s="47"/>
      <c r="H34" s="47"/>
      <c r="I34" s="47"/>
      <c r="J34" s="262"/>
      <c r="K34" s="262"/>
      <c r="L34" s="262"/>
      <c r="M34" s="120"/>
      <c r="N34" s="120"/>
      <c r="O34" s="120"/>
      <c r="P34" s="24"/>
      <c r="Q34" s="24"/>
      <c r="R34" s="24"/>
      <c r="S34" s="303"/>
      <c r="T34" s="304"/>
      <c r="U34" s="304"/>
      <c r="W34" s="255">
        <v>20.0</v>
      </c>
      <c r="X34" s="187" t="s">
        <v>317</v>
      </c>
      <c r="Y34" s="258">
        <f t="shared" si="1"/>
        <v>2</v>
      </c>
      <c r="Z34" s="102">
        <v>4.0</v>
      </c>
    </row>
    <row r="35" ht="15.75" customHeight="1">
      <c r="A35" s="47" t="s">
        <v>303</v>
      </c>
      <c r="B35" s="47" t="s">
        <v>304</v>
      </c>
      <c r="C35" s="47" t="s">
        <v>24</v>
      </c>
      <c r="D35" s="47"/>
      <c r="E35" s="47"/>
      <c r="F35" s="47"/>
      <c r="G35" s="47"/>
      <c r="H35" s="47"/>
      <c r="I35" s="47"/>
      <c r="J35" s="262"/>
      <c r="K35" s="262"/>
      <c r="L35" s="262"/>
      <c r="M35" s="140"/>
      <c r="N35" s="205"/>
      <c r="O35" s="209"/>
      <c r="P35" s="24"/>
      <c r="Q35" s="24"/>
      <c r="R35" s="24"/>
      <c r="S35" s="24"/>
      <c r="T35" s="223"/>
      <c r="U35" s="24"/>
      <c r="W35" s="255">
        <v>21.0</v>
      </c>
      <c r="X35" s="257" t="s">
        <v>303</v>
      </c>
      <c r="Y35" s="258">
        <f t="shared" si="1"/>
        <v>4</v>
      </c>
      <c r="Z35" s="102">
        <v>1.0</v>
      </c>
    </row>
    <row r="36" ht="15.75" customHeight="1">
      <c r="A36" s="140"/>
      <c r="B36" s="140"/>
      <c r="C36" s="140"/>
      <c r="D36" s="262"/>
      <c r="E36" s="262"/>
      <c r="F36" s="262"/>
      <c r="G36" s="262"/>
      <c r="H36" s="262"/>
      <c r="I36" s="262"/>
      <c r="J36" s="262"/>
      <c r="K36" s="262"/>
      <c r="L36" s="262"/>
      <c r="M36" s="209"/>
      <c r="N36" s="209"/>
      <c r="O36" s="51"/>
      <c r="P36" s="113"/>
      <c r="Q36" s="138"/>
      <c r="R36" s="195"/>
      <c r="S36" s="24"/>
      <c r="T36" s="24"/>
      <c r="U36" s="24"/>
      <c r="W36" s="255">
        <v>22.0</v>
      </c>
      <c r="X36" s="257" t="s">
        <v>292</v>
      </c>
      <c r="Y36" s="258">
        <f t="shared" si="1"/>
        <v>4</v>
      </c>
      <c r="Z36" s="102">
        <v>2.0</v>
      </c>
    </row>
    <row r="37" ht="15.75" customHeight="1">
      <c r="A37" s="133" t="s">
        <v>118</v>
      </c>
      <c r="B37" s="13"/>
      <c r="C37" s="14"/>
      <c r="D37" s="133" t="s">
        <v>7</v>
      </c>
      <c r="E37" s="13"/>
      <c r="F37" s="14"/>
      <c r="G37" s="133" t="s">
        <v>119</v>
      </c>
      <c r="H37" s="13"/>
      <c r="I37" s="14"/>
      <c r="J37" s="133" t="s">
        <v>9</v>
      </c>
      <c r="K37" s="13"/>
      <c r="L37" s="14"/>
      <c r="M37" s="133" t="s">
        <v>136</v>
      </c>
      <c r="N37" s="13"/>
      <c r="O37" s="14"/>
      <c r="P37" s="133" t="s">
        <v>11</v>
      </c>
      <c r="Q37" s="13"/>
      <c r="R37" s="14"/>
      <c r="S37" s="199" t="s">
        <v>12</v>
      </c>
      <c r="T37" s="13"/>
      <c r="U37" s="14"/>
      <c r="W37" s="255">
        <v>23.0</v>
      </c>
      <c r="X37" s="257" t="s">
        <v>320</v>
      </c>
      <c r="Y37" s="258">
        <f t="shared" si="1"/>
        <v>0</v>
      </c>
    </row>
    <row r="38" ht="15.75" customHeight="1">
      <c r="A38" s="136">
        <f>S30+1</f>
        <v>46104</v>
      </c>
      <c r="B38" s="13"/>
      <c r="C38" s="14"/>
      <c r="D38" s="136">
        <f>A38+1</f>
        <v>46105</v>
      </c>
      <c r="E38" s="13"/>
      <c r="F38" s="14"/>
      <c r="G38" s="136">
        <f>D38+1</f>
        <v>46106</v>
      </c>
      <c r="H38" s="13"/>
      <c r="I38" s="14"/>
      <c r="J38" s="136">
        <f>G38+1</f>
        <v>46107</v>
      </c>
      <c r="K38" s="13"/>
      <c r="L38" s="14"/>
      <c r="M38" s="136">
        <f>J38+1</f>
        <v>46108</v>
      </c>
      <c r="N38" s="13"/>
      <c r="O38" s="14"/>
      <c r="P38" s="136">
        <f>M38+1</f>
        <v>46109</v>
      </c>
      <c r="Q38" s="13"/>
      <c r="R38" s="14"/>
      <c r="S38" s="136">
        <f>P38+1</f>
        <v>46110</v>
      </c>
      <c r="T38" s="13"/>
      <c r="U38" s="14"/>
      <c r="W38" s="255">
        <v>24.0</v>
      </c>
      <c r="X38" s="257" t="s">
        <v>290</v>
      </c>
      <c r="Y38" s="258">
        <f t="shared" si="1"/>
        <v>2</v>
      </c>
    </row>
    <row r="39" ht="15.75" customHeight="1">
      <c r="A39" s="41"/>
      <c r="B39" s="41"/>
      <c r="C39" s="41"/>
      <c r="D39" s="140"/>
      <c r="E39" s="140"/>
      <c r="F39" s="140"/>
      <c r="G39" s="140"/>
      <c r="H39" s="140"/>
      <c r="I39" s="140"/>
      <c r="J39" s="260"/>
      <c r="K39" s="260"/>
      <c r="L39" s="260"/>
      <c r="M39" s="140"/>
      <c r="N39" s="140"/>
      <c r="O39" s="140"/>
      <c r="P39" s="122"/>
      <c r="Q39" s="122"/>
      <c r="R39" s="122"/>
      <c r="S39" s="24"/>
      <c r="T39" s="24"/>
      <c r="U39" s="24"/>
      <c r="W39" s="255">
        <v>7.0</v>
      </c>
      <c r="X39" s="257"/>
      <c r="Y39" s="258">
        <f t="shared" si="1"/>
        <v>0</v>
      </c>
    </row>
    <row r="40" ht="15.75" customHeight="1">
      <c r="A40" s="47"/>
      <c r="B40" s="47"/>
      <c r="C40" s="47"/>
      <c r="D40" s="47"/>
      <c r="E40" s="47"/>
      <c r="F40" s="47"/>
      <c r="G40" s="47" t="s">
        <v>298</v>
      </c>
      <c r="H40" s="47" t="s">
        <v>238</v>
      </c>
      <c r="I40" s="47" t="s">
        <v>42</v>
      </c>
      <c r="J40" s="47" t="s">
        <v>303</v>
      </c>
      <c r="K40" s="47" t="s">
        <v>311</v>
      </c>
      <c r="L40" s="47" t="s">
        <v>24</v>
      </c>
      <c r="M40" s="24" t="s">
        <v>305</v>
      </c>
      <c r="N40" s="47" t="s">
        <v>95</v>
      </c>
      <c r="O40" s="24" t="s">
        <v>24</v>
      </c>
      <c r="P40" s="24" t="s">
        <v>299</v>
      </c>
      <c r="Q40" s="24" t="s">
        <v>57</v>
      </c>
      <c r="R40" s="24" t="s">
        <v>24</v>
      </c>
      <c r="S40" s="24" t="s">
        <v>295</v>
      </c>
      <c r="T40" s="24" t="s">
        <v>265</v>
      </c>
      <c r="U40" s="24" t="s">
        <v>296</v>
      </c>
      <c r="W40" s="255">
        <v>27.0</v>
      </c>
      <c r="X40" s="264"/>
      <c r="Y40" s="258">
        <f t="shared" si="1"/>
        <v>0</v>
      </c>
    </row>
    <row r="41" ht="15.75" customHeight="1">
      <c r="A41" s="204" t="s">
        <v>69</v>
      </c>
      <c r="B41" s="13"/>
      <c r="C41" s="14"/>
      <c r="D41" s="218" t="s">
        <v>13</v>
      </c>
      <c r="E41" s="13"/>
      <c r="F41" s="14"/>
      <c r="G41" s="47" t="s">
        <v>301</v>
      </c>
      <c r="H41" s="24" t="s">
        <v>103</v>
      </c>
      <c r="I41" s="24" t="s">
        <v>42</v>
      </c>
      <c r="J41" s="41"/>
      <c r="K41" s="41"/>
      <c r="L41" s="41"/>
      <c r="M41" s="41"/>
      <c r="N41" s="41"/>
      <c r="O41" s="41"/>
      <c r="P41" s="24" t="s">
        <v>302</v>
      </c>
      <c r="Q41" s="24" t="s">
        <v>95</v>
      </c>
      <c r="R41" s="24" t="s">
        <v>24</v>
      </c>
      <c r="S41" s="41"/>
      <c r="T41" s="41"/>
      <c r="U41" s="41"/>
      <c r="W41" s="311">
        <v>28.0</v>
      </c>
      <c r="X41" s="257"/>
      <c r="Y41" s="258">
        <f t="shared" si="1"/>
        <v>0</v>
      </c>
    </row>
    <row r="42" ht="15.75" customHeight="1">
      <c r="A42" s="24"/>
      <c r="B42" s="24"/>
      <c r="C42" s="24"/>
      <c r="D42" s="47"/>
      <c r="E42" s="47"/>
      <c r="F42" s="47"/>
      <c r="G42" s="47"/>
      <c r="H42" s="47"/>
      <c r="I42" s="47"/>
      <c r="J42" s="190" t="s">
        <v>321</v>
      </c>
      <c r="K42" s="190" t="s">
        <v>59</v>
      </c>
      <c r="L42" s="190" t="s">
        <v>27</v>
      </c>
      <c r="M42" s="24" t="s">
        <v>288</v>
      </c>
      <c r="N42" s="24" t="s">
        <v>47</v>
      </c>
      <c r="O42" s="24" t="s">
        <v>24</v>
      </c>
      <c r="P42" s="231" t="s">
        <v>278</v>
      </c>
      <c r="Q42" s="231" t="s">
        <v>103</v>
      </c>
      <c r="R42" s="231" t="s">
        <v>42</v>
      </c>
      <c r="S42" s="47"/>
      <c r="T42" s="47"/>
      <c r="U42" s="47"/>
    </row>
    <row r="43" ht="15.75" customHeight="1">
      <c r="A43" s="24"/>
      <c r="B43" s="24"/>
      <c r="C43" s="24"/>
      <c r="D43" s="140"/>
      <c r="E43" s="140"/>
      <c r="F43" s="140"/>
      <c r="G43" s="140"/>
      <c r="H43" s="140"/>
      <c r="I43" s="140"/>
      <c r="J43" s="313"/>
      <c r="K43" s="260"/>
      <c r="L43" s="260"/>
      <c r="M43" s="113"/>
      <c r="N43" s="138"/>
      <c r="O43" s="42" t="s">
        <v>36</v>
      </c>
      <c r="P43" s="47" t="s">
        <v>309</v>
      </c>
      <c r="Q43" s="47" t="s">
        <v>186</v>
      </c>
      <c r="R43" s="47" t="s">
        <v>24</v>
      </c>
      <c r="S43" s="303" t="s">
        <v>291</v>
      </c>
      <c r="T43" s="304" t="s">
        <v>111</v>
      </c>
      <c r="U43" s="304" t="s">
        <v>24</v>
      </c>
      <c r="W43" s="314"/>
      <c r="Y43" s="314">
        <f>SUM(Y14:Y42)</f>
        <v>60</v>
      </c>
    </row>
    <row r="44" ht="15.75" customHeight="1">
      <c r="A44" s="209"/>
      <c r="B44" s="209"/>
      <c r="C44" s="209"/>
      <c r="D44" s="209"/>
      <c r="E44" s="72"/>
      <c r="F44" s="209"/>
      <c r="G44" s="113"/>
      <c r="H44" s="138"/>
      <c r="I44" s="138"/>
      <c r="J44" s="260"/>
      <c r="K44" s="260"/>
      <c r="L44" s="260"/>
      <c r="M44" s="138"/>
      <c r="N44" s="138"/>
      <c r="O44" s="138"/>
      <c r="P44" s="309"/>
      <c r="Q44" s="309"/>
      <c r="R44" s="310"/>
      <c r="S44" s="24" t="s">
        <v>292</v>
      </c>
      <c r="T44" s="223" t="s">
        <v>293</v>
      </c>
      <c r="U44" s="24" t="s">
        <v>24</v>
      </c>
    </row>
    <row r="45" ht="15.75" customHeight="1">
      <c r="A45" s="104" t="s">
        <v>118</v>
      </c>
      <c r="B45" s="13"/>
      <c r="C45" s="14"/>
      <c r="D45" s="104" t="s">
        <v>7</v>
      </c>
      <c r="E45" s="13"/>
      <c r="F45" s="14"/>
      <c r="G45" s="104" t="s">
        <v>119</v>
      </c>
      <c r="H45" s="13"/>
      <c r="I45" s="14"/>
      <c r="J45" s="171" t="s">
        <v>9</v>
      </c>
      <c r="K45" s="13"/>
      <c r="L45" s="14"/>
      <c r="M45" s="104" t="s">
        <v>85</v>
      </c>
      <c r="N45" s="13"/>
      <c r="O45" s="14"/>
      <c r="P45" s="104" t="s">
        <v>86</v>
      </c>
      <c r="Q45" s="13"/>
      <c r="R45" s="14"/>
      <c r="S45" s="197" t="s">
        <v>12</v>
      </c>
      <c r="T45" s="13"/>
      <c r="U45" s="14"/>
    </row>
    <row r="46" ht="15.75" customHeight="1">
      <c r="A46" s="107">
        <f>S38+1</f>
        <v>46111</v>
      </c>
      <c r="B46" s="13"/>
      <c r="C46" s="14"/>
      <c r="D46" s="107">
        <f>A46+1</f>
        <v>46112</v>
      </c>
      <c r="E46" s="13"/>
      <c r="F46" s="14"/>
      <c r="G46" s="107">
        <f>D46+1</f>
        <v>46113</v>
      </c>
      <c r="H46" s="13"/>
      <c r="I46" s="14"/>
      <c r="J46" s="106">
        <f>G46+1</f>
        <v>46114</v>
      </c>
      <c r="K46" s="13"/>
      <c r="L46" s="14"/>
      <c r="M46" s="106">
        <f>J46+1</f>
        <v>46115</v>
      </c>
      <c r="N46" s="13"/>
      <c r="O46" s="14"/>
      <c r="P46" s="107">
        <f>M46+1</f>
        <v>46116</v>
      </c>
      <c r="Q46" s="13"/>
      <c r="R46" s="14"/>
      <c r="S46" s="106">
        <f>P46+1</f>
        <v>46117</v>
      </c>
      <c r="T46" s="13"/>
      <c r="U46" s="14"/>
      <c r="W46" s="314"/>
      <c r="Y46" s="314"/>
    </row>
    <row r="47" ht="15.75" customHeight="1">
      <c r="A47" s="41"/>
      <c r="B47" s="41"/>
      <c r="C47" s="41"/>
      <c r="D47" s="209"/>
      <c r="E47" s="209"/>
      <c r="F47" s="209"/>
      <c r="G47" s="113"/>
      <c r="H47" s="138"/>
      <c r="I47" s="138"/>
      <c r="J47" s="209"/>
      <c r="K47" s="209"/>
      <c r="L47" s="209"/>
      <c r="M47" s="205"/>
      <c r="N47" s="205"/>
      <c r="O47" s="205"/>
      <c r="P47" s="209"/>
      <c r="Q47" s="209"/>
      <c r="R47" s="209"/>
      <c r="S47" s="113"/>
      <c r="T47" s="138"/>
      <c r="U47" s="138"/>
    </row>
    <row r="48" ht="15.75" customHeight="1">
      <c r="A48" s="47" t="s">
        <v>288</v>
      </c>
      <c r="B48" s="47" t="s">
        <v>25</v>
      </c>
      <c r="C48" s="47" t="s">
        <v>24</v>
      </c>
      <c r="D48" s="24" t="s">
        <v>299</v>
      </c>
      <c r="E48" s="24" t="s">
        <v>57</v>
      </c>
      <c r="F48" s="24" t="s">
        <v>24</v>
      </c>
      <c r="G48" s="47"/>
      <c r="H48" s="47"/>
      <c r="I48" s="47"/>
      <c r="J48" s="315" t="s">
        <v>206</v>
      </c>
      <c r="K48" s="209"/>
      <c r="L48" s="209"/>
      <c r="M48" s="209"/>
      <c r="N48" s="209"/>
      <c r="O48" s="209"/>
      <c r="P48" s="205"/>
      <c r="Q48" s="205"/>
      <c r="R48" s="205"/>
      <c r="S48" s="113"/>
      <c r="T48" s="138"/>
      <c r="U48" s="138"/>
    </row>
    <row r="49" ht="15.75" customHeight="1">
      <c r="A49" s="41"/>
      <c r="B49" s="41"/>
      <c r="C49" s="41"/>
      <c r="G49" s="41"/>
      <c r="H49" s="41"/>
      <c r="I49" s="41"/>
      <c r="J49" s="209"/>
      <c r="K49" s="209"/>
      <c r="L49" s="209"/>
      <c r="M49" s="205"/>
      <c r="N49" s="205"/>
      <c r="O49" s="205"/>
      <c r="P49" s="209"/>
      <c r="Q49" s="209"/>
      <c r="R49" s="209"/>
      <c r="S49" s="113"/>
      <c r="T49" s="138"/>
      <c r="U49" s="138"/>
      <c r="W49" s="314"/>
      <c r="Y49" s="314"/>
    </row>
    <row r="50" ht="15.75" customHeight="1">
      <c r="A50" s="24" t="s">
        <v>310</v>
      </c>
      <c r="B50" s="24" t="s">
        <v>26</v>
      </c>
      <c r="C50" s="24" t="s">
        <v>27</v>
      </c>
      <c r="D50" s="24"/>
      <c r="E50" s="24"/>
      <c r="F50" s="24"/>
      <c r="G50" s="24"/>
      <c r="H50" s="24"/>
      <c r="I50" s="24"/>
      <c r="J50" s="209"/>
      <c r="K50" s="209"/>
      <c r="L50" s="209"/>
      <c r="M50" s="205"/>
      <c r="N50" s="205"/>
      <c r="O50" s="205"/>
      <c r="P50" s="209"/>
      <c r="Q50" s="209"/>
      <c r="R50" s="260"/>
      <c r="S50" s="113"/>
      <c r="T50" s="138"/>
      <c r="U50" s="138"/>
    </row>
    <row r="51" ht="15.75" customHeight="1">
      <c r="A51" s="24" t="s">
        <v>317</v>
      </c>
      <c r="B51" s="24" t="s">
        <v>318</v>
      </c>
      <c r="C51" s="24" t="s">
        <v>24</v>
      </c>
      <c r="D51" s="24" t="s">
        <v>306</v>
      </c>
      <c r="E51" s="24" t="s">
        <v>307</v>
      </c>
      <c r="F51" s="24" t="s">
        <v>27</v>
      </c>
      <c r="G51" s="24"/>
      <c r="H51" s="24"/>
      <c r="I51" s="24"/>
      <c r="J51" s="209"/>
      <c r="K51" s="209"/>
      <c r="L51" s="209"/>
      <c r="M51" s="72"/>
      <c r="N51" s="72"/>
      <c r="O51" s="72"/>
      <c r="P51" s="310"/>
      <c r="Q51" s="310"/>
      <c r="R51" s="310"/>
      <c r="S51" s="113"/>
      <c r="T51" s="138"/>
      <c r="U51" s="138"/>
      <c r="W51" s="314"/>
      <c r="Y51" s="314"/>
    </row>
    <row r="52" ht="15.75" customHeight="1">
      <c r="A52" s="24"/>
      <c r="B52" s="24"/>
      <c r="C52" s="24"/>
      <c r="D52" s="24" t="s">
        <v>287</v>
      </c>
      <c r="E52" s="24" t="s">
        <v>229</v>
      </c>
      <c r="F52" s="24" t="s">
        <v>24</v>
      </c>
      <c r="G52" s="260"/>
      <c r="H52" s="260"/>
      <c r="I52" s="260"/>
      <c r="J52" s="209"/>
      <c r="K52" s="209"/>
      <c r="L52" s="209"/>
      <c r="M52" s="51"/>
      <c r="N52" s="51"/>
      <c r="O52" s="51"/>
      <c r="P52" s="260"/>
      <c r="Q52" s="260"/>
      <c r="R52" s="261"/>
      <c r="S52" s="138"/>
      <c r="T52" s="138"/>
      <c r="U52" s="138"/>
    </row>
    <row r="53" ht="15.75" customHeight="1"/>
    <row r="54" ht="15.75" customHeight="1"/>
    <row r="55" ht="15.75" customHeight="1">
      <c r="A55" s="83" t="s">
        <v>76</v>
      </c>
      <c r="B55" s="84"/>
    </row>
    <row r="56" ht="15.75" customHeight="1">
      <c r="A56" s="85"/>
      <c r="B56" s="86" t="s">
        <v>77</v>
      </c>
      <c r="C56" s="87"/>
      <c r="D56" s="88"/>
    </row>
    <row r="57" ht="15.75" customHeight="1">
      <c r="A57" s="92"/>
      <c r="B57" s="86" t="s">
        <v>78</v>
      </c>
      <c r="C57" s="87"/>
      <c r="W57" s="314"/>
      <c r="Y57" s="314"/>
    </row>
    <row r="58" ht="15.75" customHeight="1">
      <c r="A58" s="95"/>
      <c r="B58" s="86" t="s">
        <v>79</v>
      </c>
      <c r="C58" s="87"/>
    </row>
    <row r="59" ht="15.75" customHeight="1">
      <c r="A59" s="96"/>
      <c r="B59" s="86" t="s">
        <v>80</v>
      </c>
      <c r="C59" s="87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>
      <c r="W67" s="314"/>
      <c r="Y67" s="314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>
      <c r="W73" s="314"/>
      <c r="Y73" s="314"/>
    </row>
    <row r="74" ht="15.75" customHeight="1"/>
    <row r="75" ht="15.75" customHeight="1">
      <c r="W75" s="314"/>
      <c r="Y75" s="314"/>
    </row>
    <row r="76" ht="15.75" customHeight="1"/>
    <row r="77" ht="15.75" customHeight="1"/>
    <row r="78" ht="15.75" customHeight="1"/>
    <row r="79" ht="15.75" customHeight="1">
      <c r="W79" s="314"/>
      <c r="Y79" s="314"/>
    </row>
    <row r="80" ht="15.75" customHeight="1"/>
    <row r="81" ht="15.75" customHeight="1"/>
    <row r="82" ht="15.75" customHeight="1"/>
    <row r="83" ht="15.75" customHeight="1">
      <c r="W83" s="314"/>
      <c r="Y83" s="314"/>
    </row>
    <row r="84" ht="15.75" customHeight="1"/>
    <row r="85" ht="15.75" customHeight="1">
      <c r="W85" s="314"/>
      <c r="Y85" s="314"/>
    </row>
    <row r="86" ht="15.75" customHeight="1">
      <c r="W86" s="314"/>
      <c r="Y86" s="314"/>
    </row>
    <row r="87" ht="15.75" customHeight="1">
      <c r="W87" s="314"/>
      <c r="Y87" s="314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W$13:$Y$41">
    <sortState ref="W13:Y41">
      <sortCondition ref="X13:X41"/>
    </sortState>
  </autoFilter>
  <mergeCells count="102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J22:L22"/>
    <mergeCell ref="M22:O22"/>
    <mergeCell ref="P22:R22"/>
    <mergeCell ref="S22:U22"/>
    <mergeCell ref="G22:I22"/>
    <mergeCell ref="G25:I25"/>
    <mergeCell ref="A29:C29"/>
    <mergeCell ref="D29:F29"/>
    <mergeCell ref="G29:I29"/>
    <mergeCell ref="J29:L29"/>
    <mergeCell ref="M29:O29"/>
    <mergeCell ref="P33:R33"/>
    <mergeCell ref="S33:U33"/>
    <mergeCell ref="A30:C30"/>
    <mergeCell ref="D30:F30"/>
    <mergeCell ref="G30:I30"/>
    <mergeCell ref="J30:L30"/>
    <mergeCell ref="M30:O30"/>
    <mergeCell ref="J33:L33"/>
    <mergeCell ref="M33:O33"/>
    <mergeCell ref="A37:C37"/>
    <mergeCell ref="D37:F37"/>
    <mergeCell ref="G37:I37"/>
    <mergeCell ref="J37:L37"/>
    <mergeCell ref="M37:O37"/>
    <mergeCell ref="P37:R37"/>
    <mergeCell ref="S37:U37"/>
    <mergeCell ref="A38:C38"/>
    <mergeCell ref="D38:F38"/>
    <mergeCell ref="G38:I38"/>
    <mergeCell ref="J38:L38"/>
    <mergeCell ref="M38:O38"/>
    <mergeCell ref="P38:R38"/>
    <mergeCell ref="S38:U38"/>
    <mergeCell ref="P45:R45"/>
    <mergeCell ref="S45:U45"/>
    <mergeCell ref="A46:C46"/>
    <mergeCell ref="D46:F46"/>
    <mergeCell ref="G46:I46"/>
    <mergeCell ref="J46:L46"/>
    <mergeCell ref="M46:O46"/>
    <mergeCell ref="P46:R46"/>
    <mergeCell ref="S46:U46"/>
    <mergeCell ref="A41:C41"/>
    <mergeCell ref="D41:F41"/>
    <mergeCell ref="A45:C45"/>
    <mergeCell ref="D45:F45"/>
    <mergeCell ref="G45:I45"/>
    <mergeCell ref="J45:L45"/>
    <mergeCell ref="M45:O45"/>
    <mergeCell ref="B55:D5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D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G17:I17"/>
    <mergeCell ref="P29:R29"/>
    <mergeCell ref="S29:U29"/>
    <mergeCell ref="P30:R30"/>
    <mergeCell ref="S30:U30"/>
  </mergeCells>
  <printOptions horizontalCentered="1" verticalCentered="1"/>
  <pageMargins bottom="0.0" footer="0.0" header="0.0" left="0.0" right="0.0" top="0.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1.43"/>
    <col customWidth="1" min="3" max="3" width="5.57"/>
    <col customWidth="1" min="4" max="4" width="16.43"/>
    <col customWidth="1" min="5" max="5" width="11.71"/>
    <col customWidth="1" min="6" max="6" width="6.14"/>
    <col customWidth="1" min="7" max="7" width="18.43"/>
    <col customWidth="1" min="8" max="8" width="11.43"/>
    <col customWidth="1" min="9" max="9" width="6.86"/>
    <col customWidth="1" min="10" max="10" width="17.29"/>
    <col customWidth="1" min="11" max="11" width="11.57"/>
    <col customWidth="1" min="12" max="12" width="7.71"/>
    <col customWidth="1" min="13" max="13" width="20.86"/>
    <col customWidth="1" min="14" max="14" width="11.57"/>
    <col customWidth="1" min="15" max="15" width="7.43"/>
    <col customWidth="1" min="16" max="16" width="15.29"/>
    <col customWidth="1" min="17" max="17" width="11.43"/>
    <col customWidth="1" min="18" max="18" width="7.43"/>
    <col customWidth="1" min="19" max="19" width="13.86"/>
    <col customWidth="1" min="20" max="20" width="11.57"/>
    <col customWidth="1" min="21" max="21" width="5.57"/>
    <col customWidth="1" min="22" max="23" width="8.71"/>
    <col customWidth="1" min="24" max="24" width="18.86"/>
    <col customWidth="1" min="25" max="25" width="15.14"/>
    <col customWidth="1" min="26" max="26" width="8.71"/>
  </cols>
  <sheetData>
    <row r="1" ht="15.75" customHeight="1">
      <c r="A1" s="6" t="s">
        <v>50</v>
      </c>
      <c r="C1" s="298" t="s">
        <v>322</v>
      </c>
      <c r="F1" s="3"/>
      <c r="G1" s="4" t="s">
        <v>1</v>
      </c>
      <c r="Q1" s="3"/>
    </row>
    <row r="2" ht="15.75" customHeight="1">
      <c r="A2" s="6" t="s">
        <v>2</v>
      </c>
      <c r="C2" s="7" t="s">
        <v>82</v>
      </c>
      <c r="F2" s="3"/>
      <c r="Q2" s="3"/>
    </row>
    <row r="3" ht="15.75" customHeight="1">
      <c r="A3" s="6" t="s">
        <v>4</v>
      </c>
      <c r="C3" s="316"/>
      <c r="D3" s="253"/>
      <c r="E3" s="253"/>
      <c r="F3" s="3"/>
      <c r="Q3" s="3"/>
    </row>
    <row r="4" ht="15.75" customHeight="1">
      <c r="A4" s="6" t="s">
        <v>5</v>
      </c>
      <c r="C4" s="9"/>
      <c r="E4" s="3"/>
      <c r="F4" s="3"/>
      <c r="G4" s="3"/>
      <c r="H4" s="3"/>
      <c r="I4" s="3"/>
      <c r="J4" s="3"/>
      <c r="K4" s="3"/>
      <c r="L4" s="3"/>
      <c r="M4" s="3"/>
      <c r="N4" s="3"/>
      <c r="O4" s="99"/>
      <c r="P4" s="100"/>
      <c r="Q4" s="317"/>
    </row>
    <row r="5" ht="15.75" customHeight="1">
      <c r="A5" s="12" t="s">
        <v>6</v>
      </c>
      <c r="B5" s="13"/>
      <c r="C5" s="14"/>
      <c r="D5" s="12" t="s">
        <v>7</v>
      </c>
      <c r="E5" s="13"/>
      <c r="F5" s="14"/>
      <c r="G5" s="12" t="s">
        <v>8</v>
      </c>
      <c r="H5" s="13"/>
      <c r="I5" s="14"/>
      <c r="J5" s="12" t="s">
        <v>9</v>
      </c>
      <c r="K5" s="13"/>
      <c r="L5" s="14"/>
      <c r="M5" s="12" t="s">
        <v>10</v>
      </c>
      <c r="N5" s="13"/>
      <c r="O5" s="14"/>
      <c r="P5" s="12" t="s">
        <v>11</v>
      </c>
      <c r="Q5" s="13"/>
      <c r="R5" s="14"/>
      <c r="S5" s="15" t="s">
        <v>12</v>
      </c>
      <c r="T5" s="13"/>
      <c r="U5" s="14"/>
    </row>
    <row r="6" ht="15.75" customHeight="1">
      <c r="A6" s="16"/>
      <c r="B6" s="13"/>
      <c r="C6" s="14"/>
      <c r="D6" s="16"/>
      <c r="E6" s="13"/>
      <c r="F6" s="14"/>
      <c r="G6" s="16"/>
      <c r="H6" s="13"/>
      <c r="I6" s="14"/>
      <c r="J6" s="16"/>
      <c r="K6" s="13"/>
      <c r="L6" s="14"/>
      <c r="M6" s="16"/>
      <c r="N6" s="13"/>
      <c r="O6" s="14"/>
      <c r="P6" s="16"/>
      <c r="Q6" s="13"/>
      <c r="R6" s="14"/>
      <c r="S6" s="17">
        <v>46082.0</v>
      </c>
      <c r="T6" s="13"/>
      <c r="U6" s="14"/>
      <c r="W6" s="102">
        <f>COUNTA(#REF!,M24:M28,P31:P36,#REF!,D16:D19,D7:D12,#REF!,P7:P12,A24:A28,#REF!,#REF!,#REF!,M13:M14,P23:P28,D24:D28,G15:G20,J7:J17,#REF!,#REF!,A32:A36,#REF!,G23:G28,J17:J20,#REF!)</f>
        <v>43</v>
      </c>
    </row>
    <row r="7" ht="15.75" customHeight="1">
      <c r="A7" s="24"/>
      <c r="B7" s="24"/>
      <c r="C7" s="24"/>
      <c r="D7" s="148"/>
      <c r="E7" s="148"/>
      <c r="F7" s="148"/>
      <c r="G7" s="24"/>
      <c r="H7" s="24"/>
      <c r="I7" s="24"/>
      <c r="J7" s="318"/>
      <c r="K7" s="24"/>
      <c r="L7" s="24"/>
      <c r="M7" s="24"/>
      <c r="N7" s="24"/>
      <c r="O7" s="24"/>
      <c r="P7" s="34"/>
      <c r="Q7" s="319"/>
      <c r="R7" s="34"/>
      <c r="S7" s="260"/>
      <c r="T7" s="260"/>
      <c r="U7" s="260"/>
    </row>
    <row r="8" ht="15.75" customHeight="1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40"/>
      <c r="O8" s="24"/>
      <c r="P8" s="47"/>
      <c r="Q8" s="47"/>
      <c r="R8" s="47"/>
      <c r="S8" s="320" t="s">
        <v>13</v>
      </c>
      <c r="T8" s="321"/>
      <c r="U8" s="322"/>
    </row>
    <row r="9" ht="15.75" customHeight="1">
      <c r="A9" s="323"/>
      <c r="B9" s="40"/>
      <c r="C9" s="24"/>
      <c r="D9" s="24"/>
      <c r="E9" s="24"/>
      <c r="F9" s="24"/>
      <c r="G9" s="35"/>
      <c r="H9" s="35"/>
      <c r="I9" s="35"/>
      <c r="J9" s="24"/>
      <c r="K9" s="24"/>
      <c r="L9" s="24"/>
      <c r="M9" s="302"/>
      <c r="N9" s="24"/>
      <c r="O9" s="24"/>
      <c r="P9" s="24"/>
      <c r="Q9" s="24"/>
      <c r="R9" s="24"/>
      <c r="S9" s="324"/>
      <c r="T9" s="13"/>
      <c r="U9" s="14"/>
    </row>
    <row r="10" ht="15.75" customHeight="1">
      <c r="A10" s="24"/>
      <c r="B10" s="40"/>
      <c r="C10" s="24"/>
      <c r="D10" s="24"/>
      <c r="E10" s="40"/>
      <c r="F10" s="24"/>
      <c r="G10" s="35"/>
      <c r="H10" s="35"/>
      <c r="I10" s="35"/>
      <c r="J10" s="24"/>
      <c r="K10" s="24"/>
      <c r="L10" s="24"/>
      <c r="M10" s="24"/>
      <c r="N10" s="24"/>
      <c r="O10" s="24"/>
      <c r="P10" s="140"/>
      <c r="Q10" s="140"/>
      <c r="R10" s="140"/>
      <c r="S10" s="260"/>
      <c r="T10" s="260"/>
      <c r="U10" s="260"/>
    </row>
    <row r="11" ht="15.75" customHeight="1">
      <c r="A11" s="261"/>
      <c r="B11" s="261"/>
      <c r="C11" s="261"/>
      <c r="D11" s="261"/>
      <c r="E11" s="261"/>
      <c r="F11" s="261"/>
      <c r="G11" s="35"/>
      <c r="H11" s="35"/>
      <c r="I11" s="35"/>
      <c r="J11" s="205"/>
      <c r="K11" s="205"/>
      <c r="L11" s="205"/>
      <c r="M11" s="140"/>
      <c r="N11" s="140"/>
      <c r="O11" s="140"/>
      <c r="P11" s="140"/>
      <c r="Q11" s="140"/>
      <c r="R11" s="140"/>
      <c r="S11" s="260"/>
      <c r="T11" s="260"/>
      <c r="U11" s="260"/>
    </row>
    <row r="12" ht="15.75" customHeight="1">
      <c r="A12" s="261"/>
      <c r="B12" s="261"/>
      <c r="C12" s="261"/>
      <c r="D12" s="24"/>
      <c r="E12" s="24"/>
      <c r="F12" s="24"/>
      <c r="G12" s="205"/>
      <c r="H12" s="205"/>
      <c r="I12" s="205"/>
      <c r="J12" s="261"/>
      <c r="K12" s="261"/>
      <c r="L12" s="261"/>
      <c r="M12" s="140"/>
      <c r="N12" s="140"/>
      <c r="O12" s="140"/>
      <c r="P12" s="140"/>
      <c r="Q12" s="140"/>
      <c r="R12" s="140"/>
      <c r="S12" s="260"/>
      <c r="T12" s="260"/>
      <c r="U12" s="260"/>
    </row>
    <row r="13" ht="15.75" customHeight="1">
      <c r="A13" s="104" t="s">
        <v>6</v>
      </c>
      <c r="B13" s="13"/>
      <c r="C13" s="14"/>
      <c r="D13" s="104" t="s">
        <v>7</v>
      </c>
      <c r="E13" s="13"/>
      <c r="F13" s="14"/>
      <c r="G13" s="104" t="s">
        <v>8</v>
      </c>
      <c r="H13" s="13"/>
      <c r="I13" s="14"/>
      <c r="J13" s="104" t="s">
        <v>9</v>
      </c>
      <c r="K13" s="13"/>
      <c r="L13" s="14"/>
      <c r="M13" s="104" t="s">
        <v>85</v>
      </c>
      <c r="N13" s="13"/>
      <c r="O13" s="14"/>
      <c r="P13" s="104" t="s">
        <v>86</v>
      </c>
      <c r="Q13" s="13"/>
      <c r="R13" s="14"/>
      <c r="S13" s="105" t="s">
        <v>12</v>
      </c>
      <c r="T13" s="13"/>
      <c r="U13" s="14"/>
      <c r="W13" s="254" t="s">
        <v>14</v>
      </c>
      <c r="X13" s="254" t="s">
        <v>15</v>
      </c>
      <c r="Y13" s="255" t="s">
        <v>16</v>
      </c>
    </row>
    <row r="14" ht="15.75" customHeight="1">
      <c r="A14" s="106">
        <f>S6+1</f>
        <v>46083</v>
      </c>
      <c r="B14" s="13"/>
      <c r="C14" s="14"/>
      <c r="D14" s="106">
        <f>A14+1</f>
        <v>46084</v>
      </c>
      <c r="E14" s="13"/>
      <c r="F14" s="14"/>
      <c r="G14" s="106">
        <f>D14+1</f>
        <v>46085</v>
      </c>
      <c r="H14" s="13"/>
      <c r="I14" s="14"/>
      <c r="J14" s="106">
        <f>G14+1</f>
        <v>46086</v>
      </c>
      <c r="K14" s="13"/>
      <c r="L14" s="14"/>
      <c r="M14" s="107">
        <f>J14+1</f>
        <v>46087</v>
      </c>
      <c r="N14" s="13"/>
      <c r="O14" s="14"/>
      <c r="P14" s="106">
        <f>M14+1</f>
        <v>46088</v>
      </c>
      <c r="Q14" s="13"/>
      <c r="R14" s="14"/>
      <c r="S14" s="108">
        <f>P14+1</f>
        <v>46089</v>
      </c>
      <c r="T14" s="13"/>
      <c r="U14" s="14"/>
      <c r="W14" s="255">
        <v>1.0</v>
      </c>
      <c r="X14" s="325" t="s">
        <v>323</v>
      </c>
      <c r="Y14" s="258">
        <f t="shared" ref="Y14:Y35" si="1">countif($A$5:$U$52,X14)</f>
        <v>3</v>
      </c>
    </row>
    <row r="15" ht="15.75" customHeight="1">
      <c r="A15" s="24" t="s">
        <v>324</v>
      </c>
      <c r="B15" s="24" t="s">
        <v>325</v>
      </c>
      <c r="C15" s="24" t="s">
        <v>24</v>
      </c>
      <c r="D15" s="326" t="s">
        <v>326</v>
      </c>
      <c r="E15" s="326" t="s">
        <v>33</v>
      </c>
      <c r="F15" s="326" t="s">
        <v>24</v>
      </c>
      <c r="G15" s="24" t="s">
        <v>327</v>
      </c>
      <c r="H15" s="24" t="s">
        <v>25</v>
      </c>
      <c r="I15" s="24" t="s">
        <v>24</v>
      </c>
      <c r="J15" s="148" t="s">
        <v>328</v>
      </c>
      <c r="K15" s="24" t="s">
        <v>265</v>
      </c>
      <c r="L15" s="24" t="s">
        <v>24</v>
      </c>
      <c r="M15" s="325"/>
      <c r="N15" s="35"/>
      <c r="O15" s="35"/>
      <c r="P15" s="327"/>
      <c r="Q15" s="327"/>
      <c r="R15" s="327"/>
      <c r="S15" s="47"/>
      <c r="T15" s="47"/>
      <c r="U15" s="47"/>
      <c r="W15" s="255">
        <v>2.0</v>
      </c>
      <c r="X15" s="325" t="s">
        <v>327</v>
      </c>
      <c r="Y15" s="258">
        <f t="shared" si="1"/>
        <v>10</v>
      </c>
    </row>
    <row r="16" ht="15.75" customHeight="1">
      <c r="A16" s="24" t="s">
        <v>329</v>
      </c>
      <c r="B16" s="24" t="s">
        <v>64</v>
      </c>
      <c r="C16" s="24" t="s">
        <v>42</v>
      </c>
      <c r="D16" s="24" t="s">
        <v>330</v>
      </c>
      <c r="E16" s="24" t="s">
        <v>57</v>
      </c>
      <c r="F16" s="24" t="s">
        <v>42</v>
      </c>
      <c r="G16" s="24" t="s">
        <v>331</v>
      </c>
      <c r="H16" s="24" t="s">
        <v>29</v>
      </c>
      <c r="I16" s="24" t="s">
        <v>42</v>
      </c>
      <c r="J16" s="328" t="s">
        <v>166</v>
      </c>
      <c r="K16" s="328" t="s">
        <v>64</v>
      </c>
      <c r="L16" s="328" t="s">
        <v>332</v>
      </c>
      <c r="M16" s="325"/>
      <c r="N16" s="35"/>
      <c r="O16" s="35"/>
      <c r="P16" s="24" t="s">
        <v>333</v>
      </c>
      <c r="Q16" s="24" t="s">
        <v>95</v>
      </c>
      <c r="R16" s="47" t="s">
        <v>42</v>
      </c>
      <c r="S16" s="24"/>
      <c r="T16" s="24"/>
      <c r="U16" s="24"/>
      <c r="W16" s="255">
        <v>3.0</v>
      </c>
      <c r="X16" s="325" t="s">
        <v>331</v>
      </c>
      <c r="Y16" s="258">
        <f t="shared" si="1"/>
        <v>3</v>
      </c>
    </row>
    <row r="17" ht="15.75" customHeight="1">
      <c r="A17" s="323"/>
      <c r="B17" s="40"/>
      <c r="C17" s="24"/>
      <c r="D17" s="24" t="s">
        <v>334</v>
      </c>
      <c r="E17" s="24"/>
      <c r="F17" s="24" t="s">
        <v>27</v>
      </c>
      <c r="G17" s="24" t="s">
        <v>335</v>
      </c>
      <c r="H17" s="24" t="s">
        <v>307</v>
      </c>
      <c r="I17" s="24" t="s">
        <v>27</v>
      </c>
      <c r="J17" s="44" t="s">
        <v>39</v>
      </c>
      <c r="K17" s="44" t="s">
        <v>40</v>
      </c>
      <c r="L17" s="45"/>
      <c r="M17" s="24" t="s">
        <v>336</v>
      </c>
      <c r="N17" s="40" t="s">
        <v>111</v>
      </c>
      <c r="O17" s="24" t="s">
        <v>24</v>
      </c>
      <c r="P17" s="24" t="s">
        <v>166</v>
      </c>
      <c r="Q17" s="24" t="s">
        <v>175</v>
      </c>
      <c r="R17" s="24" t="s">
        <v>24</v>
      </c>
      <c r="S17" s="329"/>
      <c r="T17" s="329"/>
      <c r="U17" s="329"/>
      <c r="W17" s="255">
        <v>5.0</v>
      </c>
      <c r="X17" s="325" t="s">
        <v>166</v>
      </c>
      <c r="Y17" s="258">
        <f t="shared" si="1"/>
        <v>5</v>
      </c>
    </row>
    <row r="18" ht="15.75" customHeight="1">
      <c r="A18" s="325"/>
      <c r="B18" s="35"/>
      <c r="C18" s="35"/>
      <c r="D18" s="24"/>
      <c r="E18" s="40"/>
      <c r="F18" s="24"/>
      <c r="G18" s="24" t="s">
        <v>337</v>
      </c>
      <c r="H18" s="24" t="s">
        <v>338</v>
      </c>
      <c r="I18" s="24" t="s">
        <v>27</v>
      </c>
      <c r="J18" s="24" t="s">
        <v>327</v>
      </c>
      <c r="K18" s="24" t="s">
        <v>339</v>
      </c>
      <c r="L18" s="330" t="s">
        <v>296</v>
      </c>
      <c r="M18" s="24" t="s">
        <v>327</v>
      </c>
      <c r="N18" s="24" t="s">
        <v>339</v>
      </c>
      <c r="O18" s="49" t="s">
        <v>48</v>
      </c>
      <c r="P18" s="205"/>
      <c r="Q18" s="205"/>
      <c r="R18" s="49" t="s">
        <v>48</v>
      </c>
      <c r="S18" s="320" t="s">
        <v>13</v>
      </c>
      <c r="T18" s="321"/>
      <c r="U18" s="322"/>
      <c r="W18" s="255">
        <v>4.0</v>
      </c>
      <c r="X18" s="325" t="s">
        <v>340</v>
      </c>
      <c r="Y18" s="258">
        <f t="shared" si="1"/>
        <v>3</v>
      </c>
    </row>
    <row r="19" ht="15.75" customHeight="1">
      <c r="A19" s="261"/>
      <c r="B19" s="261"/>
      <c r="C19" s="261"/>
      <c r="D19" s="24" t="s">
        <v>341</v>
      </c>
      <c r="E19" s="24" t="s">
        <v>132</v>
      </c>
      <c r="F19" s="24" t="s">
        <v>24</v>
      </c>
      <c r="G19" s="35"/>
      <c r="H19" s="35"/>
      <c r="I19" s="35"/>
      <c r="J19" s="205"/>
      <c r="K19" s="205"/>
      <c r="L19" s="205"/>
      <c r="M19" s="205"/>
      <c r="N19" s="265"/>
      <c r="O19" s="205"/>
      <c r="P19" s="205"/>
      <c r="Q19" s="140"/>
      <c r="R19" s="140"/>
      <c r="S19" s="260"/>
      <c r="T19" s="260"/>
      <c r="U19" s="260"/>
      <c r="W19" s="255">
        <v>6.0</v>
      </c>
      <c r="X19" s="325" t="s">
        <v>330</v>
      </c>
      <c r="Y19" s="258">
        <f t="shared" si="1"/>
        <v>2</v>
      </c>
    </row>
    <row r="20" ht="15.75" customHeight="1">
      <c r="A20" s="261"/>
      <c r="B20" s="261"/>
      <c r="C20" s="261"/>
      <c r="D20" s="74"/>
      <c r="E20" s="74"/>
      <c r="F20" s="74"/>
      <c r="G20" s="205"/>
      <c r="H20" s="205"/>
      <c r="I20" s="205"/>
      <c r="J20" s="261"/>
      <c r="K20" s="261"/>
      <c r="L20" s="261"/>
      <c r="M20" s="205"/>
      <c r="N20" s="205"/>
      <c r="O20" s="205"/>
      <c r="P20" s="261"/>
      <c r="Q20" s="331" t="s">
        <v>50</v>
      </c>
      <c r="R20" s="262"/>
      <c r="S20" s="329"/>
      <c r="T20" s="329"/>
      <c r="U20" s="329"/>
      <c r="W20" s="255">
        <v>18.0</v>
      </c>
      <c r="X20" s="325" t="s">
        <v>342</v>
      </c>
      <c r="Y20" s="258">
        <f t="shared" si="1"/>
        <v>3</v>
      </c>
    </row>
    <row r="21" ht="15.75" customHeight="1">
      <c r="A21" s="133" t="s">
        <v>118</v>
      </c>
      <c r="B21" s="13"/>
      <c r="C21" s="14"/>
      <c r="D21" s="133" t="s">
        <v>7</v>
      </c>
      <c r="E21" s="13"/>
      <c r="F21" s="14"/>
      <c r="G21" s="133" t="s">
        <v>119</v>
      </c>
      <c r="H21" s="13"/>
      <c r="I21" s="14"/>
      <c r="J21" s="133" t="s">
        <v>9</v>
      </c>
      <c r="K21" s="13"/>
      <c r="L21" s="14"/>
      <c r="M21" s="133" t="s">
        <v>85</v>
      </c>
      <c r="N21" s="13"/>
      <c r="O21" s="14"/>
      <c r="P21" s="133" t="s">
        <v>86</v>
      </c>
      <c r="Q21" s="13"/>
      <c r="R21" s="14"/>
      <c r="S21" s="134" t="s">
        <v>12</v>
      </c>
      <c r="T21" s="13"/>
      <c r="U21" s="14"/>
      <c r="W21" s="255">
        <v>7.0</v>
      </c>
      <c r="X21" s="325" t="s">
        <v>343</v>
      </c>
      <c r="Y21" s="258">
        <f t="shared" si="1"/>
        <v>2</v>
      </c>
    </row>
    <row r="22" ht="15.75" customHeight="1">
      <c r="A22" s="136">
        <f>S14+1</f>
        <v>46090</v>
      </c>
      <c r="B22" s="13"/>
      <c r="C22" s="14"/>
      <c r="D22" s="136">
        <f>A22+1</f>
        <v>46091</v>
      </c>
      <c r="E22" s="13"/>
      <c r="F22" s="14"/>
      <c r="G22" s="136">
        <f>D22+1</f>
        <v>46092</v>
      </c>
      <c r="H22" s="13"/>
      <c r="I22" s="14"/>
      <c r="J22" s="136">
        <f>G22+1</f>
        <v>46093</v>
      </c>
      <c r="K22" s="13"/>
      <c r="L22" s="14"/>
      <c r="M22" s="136">
        <f>J22+1</f>
        <v>46094</v>
      </c>
      <c r="N22" s="13"/>
      <c r="O22" s="14"/>
      <c r="P22" s="136">
        <f>M22+1</f>
        <v>46095</v>
      </c>
      <c r="Q22" s="13"/>
      <c r="R22" s="14"/>
      <c r="S22" s="137">
        <f>P22+1</f>
        <v>46096</v>
      </c>
      <c r="T22" s="13"/>
      <c r="U22" s="14"/>
      <c r="W22" s="255">
        <v>17.0</v>
      </c>
      <c r="X22" s="325" t="s">
        <v>344</v>
      </c>
      <c r="Y22" s="258">
        <f t="shared" si="1"/>
        <v>3</v>
      </c>
    </row>
    <row r="23" ht="15.75" customHeight="1">
      <c r="A23" s="24" t="s">
        <v>324</v>
      </c>
      <c r="B23" s="24" t="s">
        <v>325</v>
      </c>
      <c r="C23" s="24" t="s">
        <v>24</v>
      </c>
      <c r="D23" s="326" t="s">
        <v>326</v>
      </c>
      <c r="E23" s="326" t="s">
        <v>33</v>
      </c>
      <c r="F23" s="326" t="s">
        <v>24</v>
      </c>
      <c r="G23" s="24" t="s">
        <v>327</v>
      </c>
      <c r="H23" s="24" t="s">
        <v>25</v>
      </c>
      <c r="I23" s="24" t="s">
        <v>24</v>
      </c>
      <c r="J23" s="24" t="s">
        <v>324</v>
      </c>
      <c r="K23" s="24" t="s">
        <v>345</v>
      </c>
      <c r="L23" s="24" t="s">
        <v>24</v>
      </c>
      <c r="P23" s="24" t="s">
        <v>323</v>
      </c>
      <c r="Q23" s="24" t="s">
        <v>95</v>
      </c>
      <c r="R23" s="24" t="s">
        <v>42</v>
      </c>
      <c r="S23" s="260"/>
      <c r="T23" s="260"/>
      <c r="U23" s="260"/>
      <c r="W23" s="255">
        <v>8.0</v>
      </c>
      <c r="X23" s="325" t="s">
        <v>346</v>
      </c>
      <c r="Y23" s="258">
        <f t="shared" si="1"/>
        <v>0</v>
      </c>
    </row>
    <row r="24" ht="15.75" customHeight="1">
      <c r="A24" s="24" t="s">
        <v>347</v>
      </c>
      <c r="B24" s="24" t="s">
        <v>64</v>
      </c>
      <c r="C24" s="24" t="s">
        <v>24</v>
      </c>
      <c r="D24" s="50" t="s">
        <v>334</v>
      </c>
      <c r="E24" s="50" t="s">
        <v>29</v>
      </c>
      <c r="F24" s="50" t="s">
        <v>27</v>
      </c>
      <c r="G24" s="24"/>
      <c r="H24" s="24"/>
      <c r="I24" s="24"/>
      <c r="J24" s="148" t="s">
        <v>328</v>
      </c>
      <c r="K24" s="24" t="s">
        <v>186</v>
      </c>
      <c r="L24" s="332" t="s">
        <v>24</v>
      </c>
      <c r="M24" s="24" t="s">
        <v>335</v>
      </c>
      <c r="N24" s="24" t="s">
        <v>307</v>
      </c>
      <c r="O24" s="24" t="s">
        <v>27</v>
      </c>
      <c r="P24" s="24" t="s">
        <v>166</v>
      </c>
      <c r="Q24" s="24" t="s">
        <v>175</v>
      </c>
      <c r="R24" s="24" t="s">
        <v>24</v>
      </c>
      <c r="S24" s="260"/>
      <c r="T24" s="260"/>
      <c r="U24" s="260"/>
      <c r="W24" s="255">
        <v>9.0</v>
      </c>
      <c r="X24" s="325" t="s">
        <v>347</v>
      </c>
      <c r="Y24" s="258">
        <f t="shared" si="1"/>
        <v>2</v>
      </c>
    </row>
    <row r="25" ht="15.75" customHeight="1">
      <c r="A25" s="325" t="s">
        <v>344</v>
      </c>
      <c r="B25" s="35" t="s">
        <v>29</v>
      </c>
      <c r="C25" s="35" t="s">
        <v>24</v>
      </c>
      <c r="D25" s="24"/>
      <c r="E25" s="24"/>
      <c r="F25" s="24"/>
      <c r="G25" s="24" t="s">
        <v>340</v>
      </c>
      <c r="H25" s="24" t="s">
        <v>29</v>
      </c>
      <c r="I25" s="24" t="s">
        <v>24</v>
      </c>
      <c r="J25" s="24" t="s">
        <v>327</v>
      </c>
      <c r="K25" s="24" t="s">
        <v>339</v>
      </c>
      <c r="L25" s="330" t="s">
        <v>296</v>
      </c>
      <c r="M25" s="24" t="s">
        <v>342</v>
      </c>
      <c r="N25" s="53" t="s">
        <v>223</v>
      </c>
      <c r="O25" s="24" t="s">
        <v>24</v>
      </c>
      <c r="P25" s="24"/>
      <c r="Q25" s="35"/>
      <c r="R25" s="24"/>
      <c r="S25" s="320" t="s">
        <v>13</v>
      </c>
      <c r="T25" s="321"/>
      <c r="U25" s="322"/>
      <c r="W25" s="255">
        <v>11.0</v>
      </c>
      <c r="X25" s="325" t="s">
        <v>333</v>
      </c>
      <c r="Y25" s="258">
        <f t="shared" si="1"/>
        <v>3</v>
      </c>
    </row>
    <row r="26" ht="15.75" customHeight="1">
      <c r="A26" s="323"/>
      <c r="B26" s="24"/>
      <c r="C26" s="24"/>
      <c r="D26" s="24" t="s">
        <v>341</v>
      </c>
      <c r="E26" s="24" t="s">
        <v>132</v>
      </c>
      <c r="F26" s="24" t="s">
        <v>24</v>
      </c>
      <c r="G26" s="50" t="s">
        <v>343</v>
      </c>
      <c r="H26" s="50" t="s">
        <v>348</v>
      </c>
      <c r="I26" s="50" t="s">
        <v>27</v>
      </c>
      <c r="J26" s="205"/>
      <c r="K26" s="205"/>
      <c r="L26" s="205"/>
      <c r="M26" s="24" t="s">
        <v>349</v>
      </c>
      <c r="N26" s="333" t="s">
        <v>132</v>
      </c>
      <c r="O26" s="24" t="s">
        <v>27</v>
      </c>
      <c r="P26" s="205"/>
      <c r="Q26" s="205"/>
      <c r="R26" s="205"/>
      <c r="S26" s="260"/>
      <c r="T26" s="260"/>
      <c r="U26" s="260"/>
      <c r="W26" s="255">
        <v>12.0</v>
      </c>
      <c r="X26" s="325" t="s">
        <v>334</v>
      </c>
      <c r="Y26" s="258">
        <f t="shared" si="1"/>
        <v>4</v>
      </c>
    </row>
    <row r="27" ht="15.75" customHeight="1">
      <c r="A27" s="323"/>
      <c r="B27" s="24"/>
      <c r="C27" s="24"/>
      <c r="D27" s="205"/>
      <c r="E27" s="205"/>
      <c r="F27" s="205"/>
      <c r="G27" s="334" t="s">
        <v>350</v>
      </c>
      <c r="H27" s="335" t="s">
        <v>95</v>
      </c>
      <c r="I27" s="335" t="s">
        <v>24</v>
      </c>
      <c r="J27" s="205"/>
      <c r="K27" s="205"/>
      <c r="L27" s="205"/>
      <c r="M27" s="205"/>
      <c r="N27" s="205"/>
      <c r="O27" s="205"/>
      <c r="P27" s="205"/>
      <c r="Q27" s="205"/>
      <c r="R27" s="205"/>
      <c r="S27" s="260"/>
      <c r="T27" s="260"/>
      <c r="U27" s="260"/>
      <c r="W27" s="255">
        <v>14.0</v>
      </c>
      <c r="X27" s="325" t="s">
        <v>336</v>
      </c>
      <c r="Y27" s="258">
        <f t="shared" si="1"/>
        <v>2</v>
      </c>
    </row>
    <row r="28" ht="15.75" customHeight="1">
      <c r="A28" s="323"/>
      <c r="B28" s="24"/>
      <c r="C28" s="24"/>
      <c r="D28" s="261"/>
      <c r="E28" s="261"/>
      <c r="F28" s="261"/>
      <c r="G28" s="261"/>
      <c r="H28" s="261"/>
      <c r="I28" s="336" t="s">
        <v>351</v>
      </c>
      <c r="J28" s="205"/>
      <c r="K28" s="205"/>
      <c r="L28" s="205"/>
      <c r="M28" s="205"/>
      <c r="N28" s="205"/>
      <c r="O28" s="205"/>
      <c r="P28" s="261"/>
      <c r="Q28" s="261"/>
      <c r="R28" s="261"/>
      <c r="S28" s="260"/>
      <c r="T28" s="260"/>
      <c r="U28" s="260"/>
      <c r="W28" s="255">
        <v>21.0</v>
      </c>
      <c r="X28" s="325" t="s">
        <v>349</v>
      </c>
      <c r="Y28" s="258">
        <f t="shared" si="1"/>
        <v>2</v>
      </c>
    </row>
    <row r="29" ht="15.75" customHeight="1">
      <c r="A29" s="104" t="s">
        <v>118</v>
      </c>
      <c r="B29" s="13"/>
      <c r="C29" s="14"/>
      <c r="D29" s="104" t="s">
        <v>7</v>
      </c>
      <c r="E29" s="13"/>
      <c r="F29" s="14"/>
      <c r="G29" s="104" t="s">
        <v>119</v>
      </c>
      <c r="H29" s="13"/>
      <c r="I29" s="14"/>
      <c r="J29" s="157" t="s">
        <v>9</v>
      </c>
      <c r="K29" s="13"/>
      <c r="L29" s="14"/>
      <c r="M29" s="104" t="s">
        <v>85</v>
      </c>
      <c r="N29" s="13"/>
      <c r="O29" s="14"/>
      <c r="P29" s="157" t="s">
        <v>86</v>
      </c>
      <c r="Q29" s="13"/>
      <c r="R29" s="14"/>
      <c r="S29" s="157" t="s">
        <v>12</v>
      </c>
      <c r="T29" s="13"/>
      <c r="U29" s="14"/>
      <c r="W29" s="255">
        <v>19.0</v>
      </c>
      <c r="X29" s="337" t="s">
        <v>324</v>
      </c>
      <c r="Y29" s="258">
        <f t="shared" si="1"/>
        <v>8</v>
      </c>
    </row>
    <row r="30" ht="15.75" customHeight="1">
      <c r="A30" s="107">
        <f>S22+1</f>
        <v>46097</v>
      </c>
      <c r="B30" s="13"/>
      <c r="C30" s="14"/>
      <c r="D30" s="107">
        <f>A30+1</f>
        <v>46098</v>
      </c>
      <c r="E30" s="13"/>
      <c r="F30" s="14"/>
      <c r="G30" s="106">
        <f>D30+1</f>
        <v>46099</v>
      </c>
      <c r="H30" s="13"/>
      <c r="I30" s="14"/>
      <c r="J30" s="108">
        <f>G30+1</f>
        <v>46100</v>
      </c>
      <c r="K30" s="13"/>
      <c r="L30" s="14"/>
      <c r="M30" s="106">
        <f>J30+1</f>
        <v>46101</v>
      </c>
      <c r="N30" s="13"/>
      <c r="O30" s="14"/>
      <c r="P30" s="108">
        <f>M30+1</f>
        <v>46102</v>
      </c>
      <c r="Q30" s="13"/>
      <c r="R30" s="14"/>
      <c r="S30" s="108">
        <f>P30+1</f>
        <v>46103</v>
      </c>
      <c r="T30" s="13"/>
      <c r="U30" s="14"/>
      <c r="W30" s="255">
        <v>13.0</v>
      </c>
      <c r="X30" s="325" t="s">
        <v>341</v>
      </c>
      <c r="Y30" s="258">
        <f t="shared" si="1"/>
        <v>4</v>
      </c>
    </row>
    <row r="31" ht="15.75" customHeight="1">
      <c r="A31" s="24" t="s">
        <v>324</v>
      </c>
      <c r="B31" s="24" t="s">
        <v>325</v>
      </c>
      <c r="C31" s="24" t="s">
        <v>24</v>
      </c>
      <c r="D31" s="301" t="s">
        <v>326</v>
      </c>
      <c r="E31" s="301" t="s">
        <v>33</v>
      </c>
      <c r="F31" s="301" t="s">
        <v>24</v>
      </c>
      <c r="G31" s="24" t="s">
        <v>327</v>
      </c>
      <c r="H31" s="24" t="s">
        <v>25</v>
      </c>
      <c r="I31" s="24" t="s">
        <v>24</v>
      </c>
      <c r="J31" s="148"/>
      <c r="K31" s="24"/>
      <c r="L31" s="24"/>
      <c r="M31" s="325"/>
      <c r="N31" s="35"/>
      <c r="O31" s="35"/>
      <c r="P31" s="302"/>
      <c r="Q31" s="24"/>
      <c r="R31" s="24"/>
      <c r="S31" s="260"/>
      <c r="T31" s="260"/>
      <c r="U31" s="260"/>
      <c r="W31" s="255">
        <v>10.0</v>
      </c>
      <c r="X31" s="24" t="s">
        <v>352</v>
      </c>
      <c r="Y31" s="258">
        <f t="shared" si="1"/>
        <v>0</v>
      </c>
    </row>
    <row r="32" ht="15.75" customHeight="1">
      <c r="A32" s="24" t="s">
        <v>329</v>
      </c>
      <c r="B32" s="24" t="s">
        <v>64</v>
      </c>
      <c r="C32" s="24" t="s">
        <v>42</v>
      </c>
      <c r="D32" s="24" t="s">
        <v>330</v>
      </c>
      <c r="E32" s="24" t="s">
        <v>57</v>
      </c>
      <c r="F32" s="24" t="s">
        <v>42</v>
      </c>
      <c r="G32" s="24" t="s">
        <v>331</v>
      </c>
      <c r="H32" s="53" t="s">
        <v>140</v>
      </c>
      <c r="I32" s="24" t="s">
        <v>42</v>
      </c>
      <c r="J32" s="24"/>
      <c r="K32" s="24"/>
      <c r="L32" s="24"/>
      <c r="M32" s="24"/>
      <c r="N32" s="24"/>
      <c r="O32" s="24"/>
      <c r="P32" s="24"/>
      <c r="Q32" s="24"/>
      <c r="R32" s="24"/>
      <c r="S32" s="260"/>
      <c r="T32" s="260"/>
      <c r="U32" s="260"/>
      <c r="W32" s="255">
        <v>20.0</v>
      </c>
      <c r="X32" s="148" t="s">
        <v>328</v>
      </c>
      <c r="Y32" s="258">
        <f t="shared" si="1"/>
        <v>4</v>
      </c>
    </row>
    <row r="33" ht="15.75" customHeight="1">
      <c r="A33" s="24" t="s">
        <v>334</v>
      </c>
      <c r="B33" s="24"/>
      <c r="C33" s="24" t="s">
        <v>27</v>
      </c>
      <c r="D33" s="24" t="s">
        <v>166</v>
      </c>
      <c r="E33" s="24" t="s">
        <v>175</v>
      </c>
      <c r="F33" s="24" t="s">
        <v>24</v>
      </c>
      <c r="G33" s="24"/>
      <c r="H33" s="24"/>
      <c r="I33" s="24"/>
      <c r="J33" s="320" t="s">
        <v>13</v>
      </c>
      <c r="K33" s="321"/>
      <c r="L33" s="322"/>
      <c r="M33" s="338" t="s">
        <v>69</v>
      </c>
      <c r="N33" s="13"/>
      <c r="O33" s="14"/>
      <c r="P33" s="320" t="s">
        <v>13</v>
      </c>
      <c r="Q33" s="321"/>
      <c r="R33" s="322"/>
      <c r="S33" s="320" t="s">
        <v>13</v>
      </c>
      <c r="T33" s="321"/>
      <c r="U33" s="322"/>
      <c r="W33" s="255">
        <v>15.0</v>
      </c>
      <c r="X33" s="24" t="s">
        <v>337</v>
      </c>
      <c r="Y33" s="258">
        <f t="shared" si="1"/>
        <v>2</v>
      </c>
    </row>
    <row r="34" ht="15.75" customHeight="1">
      <c r="A34" s="24" t="s">
        <v>335</v>
      </c>
      <c r="B34" s="24" t="s">
        <v>307</v>
      </c>
      <c r="C34" s="24" t="s">
        <v>27</v>
      </c>
      <c r="D34" s="205"/>
      <c r="E34" s="205"/>
      <c r="F34" s="49" t="s">
        <v>48</v>
      </c>
      <c r="G34" s="24" t="s">
        <v>337</v>
      </c>
      <c r="H34" s="24" t="s">
        <v>338</v>
      </c>
      <c r="I34" s="24" t="s">
        <v>27</v>
      </c>
      <c r="J34" s="24"/>
      <c r="K34" s="24"/>
      <c r="L34" s="24"/>
      <c r="M34" s="24"/>
      <c r="N34" s="24"/>
      <c r="O34" s="24"/>
      <c r="P34" s="205"/>
      <c r="Q34" s="205"/>
      <c r="R34" s="205"/>
      <c r="S34" s="260"/>
      <c r="T34" s="260"/>
      <c r="U34" s="260"/>
      <c r="W34" s="255">
        <v>16.0</v>
      </c>
      <c r="X34" s="148" t="s">
        <v>326</v>
      </c>
      <c r="Y34" s="258">
        <f t="shared" si="1"/>
        <v>5</v>
      </c>
    </row>
    <row r="35" ht="15.75" customHeight="1">
      <c r="A35" s="205"/>
      <c r="B35" s="265"/>
      <c r="C35" s="205"/>
      <c r="D35" s="24" t="s">
        <v>341</v>
      </c>
      <c r="E35" s="24" t="s">
        <v>132</v>
      </c>
      <c r="F35" s="24" t="s">
        <v>24</v>
      </c>
      <c r="G35" s="24" t="s">
        <v>336</v>
      </c>
      <c r="H35" s="40" t="s">
        <v>111</v>
      </c>
      <c r="I35" s="24" t="s">
        <v>24</v>
      </c>
      <c r="J35" s="148"/>
      <c r="K35" s="24"/>
      <c r="L35" s="24"/>
      <c r="M35" s="205"/>
      <c r="N35" s="205"/>
      <c r="O35" s="205"/>
      <c r="P35" s="205"/>
      <c r="Q35" s="205"/>
      <c r="R35" s="205"/>
      <c r="S35" s="260"/>
      <c r="T35" s="260"/>
      <c r="U35" s="260"/>
      <c r="W35" s="255">
        <v>22.0</v>
      </c>
      <c r="X35" s="24" t="s">
        <v>335</v>
      </c>
      <c r="Y35" s="258">
        <f t="shared" si="1"/>
        <v>4</v>
      </c>
    </row>
    <row r="36" ht="15.75" customHeight="1">
      <c r="A36" s="261"/>
      <c r="B36" s="261"/>
      <c r="C36" s="261"/>
      <c r="D36" s="261"/>
      <c r="G36" s="35"/>
      <c r="H36" s="35"/>
      <c r="I36" s="35"/>
      <c r="J36" s="205"/>
      <c r="K36" s="205"/>
      <c r="L36" s="205"/>
      <c r="M36" s="205"/>
      <c r="N36" s="205"/>
      <c r="O36" s="205"/>
      <c r="P36" s="205"/>
      <c r="Q36" s="205"/>
      <c r="R36" s="205"/>
      <c r="S36" s="260"/>
      <c r="T36" s="260"/>
      <c r="U36" s="260"/>
      <c r="W36" s="255">
        <v>23.0</v>
      </c>
      <c r="X36" s="74"/>
      <c r="Y36" s="74"/>
    </row>
    <row r="37" ht="15.75" customHeight="1">
      <c r="A37" s="133" t="s">
        <v>118</v>
      </c>
      <c r="B37" s="13"/>
      <c r="C37" s="14"/>
      <c r="D37" s="133" t="s">
        <v>7</v>
      </c>
      <c r="E37" s="13"/>
      <c r="F37" s="14"/>
      <c r="G37" s="133" t="s">
        <v>119</v>
      </c>
      <c r="H37" s="13"/>
      <c r="I37" s="14"/>
      <c r="J37" s="133" t="s">
        <v>9</v>
      </c>
      <c r="K37" s="13"/>
      <c r="L37" s="14"/>
      <c r="M37" s="133" t="s">
        <v>136</v>
      </c>
      <c r="N37" s="13"/>
      <c r="O37" s="14"/>
      <c r="P37" s="133" t="s">
        <v>11</v>
      </c>
      <c r="Q37" s="13"/>
      <c r="R37" s="14"/>
      <c r="S37" s="134" t="s">
        <v>12</v>
      </c>
      <c r="T37" s="13"/>
      <c r="U37" s="14"/>
      <c r="W37" s="255">
        <v>24.0</v>
      </c>
      <c r="X37" s="148"/>
      <c r="Y37" s="258"/>
    </row>
    <row r="38" ht="15.75" customHeight="1">
      <c r="A38" s="136">
        <f>S30+1</f>
        <v>46104</v>
      </c>
      <c r="B38" s="13"/>
      <c r="C38" s="14"/>
      <c r="D38" s="136">
        <f>A38+1</f>
        <v>46105</v>
      </c>
      <c r="E38" s="13"/>
      <c r="F38" s="14"/>
      <c r="G38" s="136">
        <f>D38+1</f>
        <v>46106</v>
      </c>
      <c r="H38" s="13"/>
      <c r="I38" s="14"/>
      <c r="J38" s="136">
        <f>G38+1</f>
        <v>46107</v>
      </c>
      <c r="K38" s="13"/>
      <c r="L38" s="14"/>
      <c r="M38" s="136">
        <f>J38+1</f>
        <v>46108</v>
      </c>
      <c r="N38" s="13"/>
      <c r="O38" s="14"/>
      <c r="P38" s="136">
        <f>M38+1</f>
        <v>46109</v>
      </c>
      <c r="Q38" s="13"/>
      <c r="R38" s="14"/>
      <c r="S38" s="137">
        <f>P38+1</f>
        <v>46110</v>
      </c>
      <c r="T38" s="13"/>
      <c r="U38" s="14"/>
      <c r="W38" s="255">
        <v>25.0</v>
      </c>
      <c r="X38" s="74"/>
      <c r="Y38" s="74" t="s">
        <v>50</v>
      </c>
    </row>
    <row r="39" ht="15.75" customHeight="1">
      <c r="A39" s="24"/>
      <c r="B39" s="24"/>
      <c r="C39" s="24"/>
      <c r="D39" s="47" t="s">
        <v>326</v>
      </c>
      <c r="E39" s="47"/>
      <c r="F39" s="47" t="s">
        <v>24</v>
      </c>
      <c r="G39" s="24" t="s">
        <v>327</v>
      </c>
      <c r="H39" s="24" t="s">
        <v>25</v>
      </c>
      <c r="I39" s="24" t="s">
        <v>24</v>
      </c>
      <c r="J39" s="205"/>
      <c r="K39" s="205"/>
      <c r="L39" s="205"/>
      <c r="M39" s="24" t="s">
        <v>335</v>
      </c>
      <c r="N39" s="24" t="s">
        <v>307</v>
      </c>
      <c r="O39" s="24" t="s">
        <v>27</v>
      </c>
      <c r="P39" s="50" t="s">
        <v>326</v>
      </c>
      <c r="Q39" s="50" t="s">
        <v>33</v>
      </c>
      <c r="R39" s="50" t="s">
        <v>24</v>
      </c>
      <c r="S39" s="260"/>
      <c r="T39" s="260"/>
      <c r="U39" s="260"/>
      <c r="W39" s="255">
        <v>26.0</v>
      </c>
      <c r="X39" s="74"/>
      <c r="Y39" s="74"/>
    </row>
    <row r="40" ht="15.75" customHeight="1">
      <c r="A40" s="24"/>
      <c r="B40" s="24"/>
      <c r="C40" s="24"/>
      <c r="D40" s="325" t="s">
        <v>344</v>
      </c>
      <c r="E40" s="35"/>
      <c r="F40" s="35" t="s">
        <v>24</v>
      </c>
      <c r="G40" s="302" t="s">
        <v>333</v>
      </c>
      <c r="H40" s="53"/>
      <c r="I40" s="24" t="s">
        <v>42</v>
      </c>
      <c r="J40" s="148" t="s">
        <v>328</v>
      </c>
      <c r="K40" s="24" t="s">
        <v>186</v>
      </c>
      <c r="L40" s="24" t="s">
        <v>24</v>
      </c>
      <c r="M40" s="24" t="s">
        <v>342</v>
      </c>
      <c r="N40" s="24"/>
      <c r="O40" s="24" t="s">
        <v>24</v>
      </c>
      <c r="P40" s="24" t="s">
        <v>323</v>
      </c>
      <c r="Q40" s="24"/>
      <c r="R40" s="24" t="s">
        <v>42</v>
      </c>
      <c r="S40" s="320" t="s">
        <v>13</v>
      </c>
      <c r="T40" s="321"/>
      <c r="U40" s="322"/>
      <c r="W40" s="255">
        <v>27.0</v>
      </c>
      <c r="X40" s="325"/>
      <c r="Y40" s="258"/>
    </row>
    <row r="41" ht="15.75" customHeight="1">
      <c r="A41" s="338" t="s">
        <v>69</v>
      </c>
      <c r="B41" s="13"/>
      <c r="C41" s="14"/>
      <c r="G41" s="24" t="s">
        <v>340</v>
      </c>
      <c r="H41" s="24"/>
      <c r="I41" s="24" t="s">
        <v>24</v>
      </c>
      <c r="J41" s="24" t="s">
        <v>327</v>
      </c>
      <c r="K41" s="24" t="s">
        <v>339</v>
      </c>
      <c r="L41" s="330" t="s">
        <v>296</v>
      </c>
      <c r="M41" s="50" t="s">
        <v>340</v>
      </c>
      <c r="N41" s="50" t="s">
        <v>29</v>
      </c>
      <c r="O41" s="50" t="s">
        <v>24</v>
      </c>
      <c r="P41" s="339" t="s">
        <v>333</v>
      </c>
      <c r="Q41" s="52" t="s">
        <v>140</v>
      </c>
      <c r="R41" s="50" t="s">
        <v>42</v>
      </c>
      <c r="S41" s="260"/>
      <c r="T41" s="260"/>
      <c r="U41" s="260"/>
      <c r="W41" s="255">
        <v>28.0</v>
      </c>
      <c r="X41" s="325"/>
      <c r="Y41" s="258"/>
    </row>
    <row r="42" ht="15.75" customHeight="1">
      <c r="A42" s="24"/>
      <c r="B42" s="24"/>
      <c r="C42" s="24"/>
      <c r="D42" s="24" t="s">
        <v>341</v>
      </c>
      <c r="E42" s="24" t="s">
        <v>132</v>
      </c>
      <c r="F42" s="24" t="s">
        <v>24</v>
      </c>
      <c r="G42" s="50" t="s">
        <v>342</v>
      </c>
      <c r="H42" s="52" t="s">
        <v>29</v>
      </c>
      <c r="I42" s="50" t="s">
        <v>24</v>
      </c>
      <c r="J42" s="24" t="s">
        <v>324</v>
      </c>
      <c r="K42" s="24"/>
      <c r="L42" s="24" t="s">
        <v>24</v>
      </c>
      <c r="M42" s="24" t="s">
        <v>349</v>
      </c>
      <c r="N42" s="40" t="s">
        <v>26</v>
      </c>
      <c r="O42" s="24" t="s">
        <v>27</v>
      </c>
      <c r="P42" s="24" t="s">
        <v>166</v>
      </c>
      <c r="Q42" s="24" t="s">
        <v>175</v>
      </c>
      <c r="R42" s="24" t="s">
        <v>24</v>
      </c>
      <c r="S42" s="260"/>
      <c r="T42" s="260"/>
      <c r="U42" s="260"/>
      <c r="Y42" s="102">
        <f>SUM(Y14:Y41)</f>
        <v>74</v>
      </c>
    </row>
    <row r="43" ht="15.75" customHeight="1">
      <c r="A43" s="24"/>
      <c r="B43" s="24"/>
      <c r="C43" s="24"/>
      <c r="D43" s="24" t="s">
        <v>327</v>
      </c>
      <c r="E43" s="24" t="s">
        <v>339</v>
      </c>
      <c r="F43" s="49" t="s">
        <v>48</v>
      </c>
      <c r="G43" s="50" t="s">
        <v>343</v>
      </c>
      <c r="H43" s="50" t="s">
        <v>348</v>
      </c>
      <c r="I43" s="50" t="s">
        <v>27</v>
      </c>
      <c r="J43" s="334" t="s">
        <v>350</v>
      </c>
      <c r="K43" s="335"/>
      <c r="L43" s="335" t="s">
        <v>24</v>
      </c>
      <c r="M43" s="340" t="s">
        <v>350</v>
      </c>
      <c r="N43" s="341" t="s">
        <v>95</v>
      </c>
      <c r="O43" s="341" t="s">
        <v>24</v>
      </c>
      <c r="P43" s="205"/>
      <c r="Q43" s="205"/>
      <c r="R43" s="205"/>
      <c r="S43" s="260"/>
      <c r="T43" s="260"/>
      <c r="U43" s="260"/>
    </row>
    <row r="44" ht="15.75" customHeight="1">
      <c r="A44" s="24"/>
      <c r="B44" s="24"/>
      <c r="C44" s="24"/>
      <c r="D44" s="261"/>
      <c r="E44" s="261"/>
      <c r="F44" s="261"/>
      <c r="G44" s="50" t="s">
        <v>324</v>
      </c>
      <c r="H44" s="50" t="s">
        <v>353</v>
      </c>
      <c r="I44" s="50" t="s">
        <v>24</v>
      </c>
      <c r="J44" s="261"/>
      <c r="K44" s="261"/>
      <c r="L44" s="336" t="s">
        <v>351</v>
      </c>
      <c r="M44" s="261"/>
      <c r="N44" s="261"/>
      <c r="O44" s="336" t="s">
        <v>351</v>
      </c>
      <c r="P44" s="205"/>
      <c r="Q44" s="205"/>
      <c r="R44" s="205"/>
      <c r="S44" s="260"/>
      <c r="T44" s="260"/>
      <c r="U44" s="260"/>
    </row>
    <row r="45" ht="15.75" customHeight="1">
      <c r="A45" s="104" t="s">
        <v>118</v>
      </c>
      <c r="B45" s="13"/>
      <c r="C45" s="14"/>
      <c r="D45" s="104" t="s">
        <v>7</v>
      </c>
      <c r="E45" s="13"/>
      <c r="F45" s="14"/>
      <c r="G45" s="104" t="s">
        <v>119</v>
      </c>
      <c r="H45" s="13"/>
      <c r="I45" s="14"/>
      <c r="J45" s="171" t="s">
        <v>9</v>
      </c>
      <c r="K45" s="13"/>
      <c r="L45" s="14"/>
      <c r="M45" s="104" t="s">
        <v>85</v>
      </c>
      <c r="N45" s="13"/>
      <c r="O45" s="14"/>
      <c r="P45" s="104" t="s">
        <v>86</v>
      </c>
      <c r="Q45" s="13"/>
      <c r="R45" s="14"/>
      <c r="S45" s="157" t="s">
        <v>12</v>
      </c>
      <c r="T45" s="13"/>
      <c r="U45" s="14"/>
    </row>
    <row r="46" ht="15.75" customHeight="1">
      <c r="A46" s="107">
        <f>S38+1</f>
        <v>46111</v>
      </c>
      <c r="B46" s="13"/>
      <c r="C46" s="14"/>
      <c r="D46" s="107">
        <f>A46+1</f>
        <v>46112</v>
      </c>
      <c r="E46" s="13"/>
      <c r="F46" s="14"/>
      <c r="G46" s="106">
        <f>D46+1</f>
        <v>46113</v>
      </c>
      <c r="H46" s="13"/>
      <c r="I46" s="14"/>
      <c r="J46" s="106">
        <f>G46+1</f>
        <v>46114</v>
      </c>
      <c r="K46" s="13"/>
      <c r="L46" s="14"/>
      <c r="M46" s="106">
        <f>J46+1</f>
        <v>46115</v>
      </c>
      <c r="N46" s="13"/>
      <c r="O46" s="14"/>
      <c r="P46" s="107">
        <f>M46+1</f>
        <v>46116</v>
      </c>
      <c r="Q46" s="13"/>
      <c r="R46" s="14"/>
      <c r="S46" s="108">
        <f>P46+1</f>
        <v>46117</v>
      </c>
      <c r="T46" s="13"/>
      <c r="U46" s="14"/>
    </row>
    <row r="47" ht="15.75" customHeight="1">
      <c r="A47" s="24" t="s">
        <v>324</v>
      </c>
      <c r="B47" s="24" t="s">
        <v>325</v>
      </c>
      <c r="C47" s="24" t="s">
        <v>24</v>
      </c>
      <c r="D47" s="148" t="s">
        <v>328</v>
      </c>
      <c r="E47" s="24" t="s">
        <v>265</v>
      </c>
      <c r="F47" s="24" t="s">
        <v>24</v>
      </c>
      <c r="G47" s="209"/>
      <c r="H47" s="209"/>
      <c r="I47" s="209"/>
      <c r="J47" s="209"/>
      <c r="K47" s="205"/>
      <c r="L47" s="205"/>
      <c r="M47" s="72"/>
      <c r="N47" s="51"/>
      <c r="O47" s="51"/>
      <c r="P47" s="209"/>
      <c r="Q47" s="209"/>
      <c r="R47" s="209"/>
      <c r="S47" s="203"/>
      <c r="T47" s="203"/>
      <c r="U47" s="203"/>
    </row>
    <row r="48" ht="15.75" customHeight="1">
      <c r="A48" s="24" t="s">
        <v>347</v>
      </c>
      <c r="B48" s="24" t="s">
        <v>64</v>
      </c>
      <c r="C48" s="24" t="s">
        <v>24</v>
      </c>
      <c r="D48" s="50" t="s">
        <v>331</v>
      </c>
      <c r="E48" s="52" t="s">
        <v>354</v>
      </c>
      <c r="F48" s="50" t="s">
        <v>42</v>
      </c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 s="203"/>
      <c r="T48" s="203"/>
      <c r="U48" s="203"/>
    </row>
    <row r="49" ht="15.75" customHeight="1">
      <c r="A49" s="50" t="s">
        <v>323</v>
      </c>
      <c r="B49" s="50" t="s">
        <v>95</v>
      </c>
      <c r="C49" s="50" t="s">
        <v>42</v>
      </c>
      <c r="D49" s="50" t="s">
        <v>334</v>
      </c>
      <c r="E49" s="52" t="s">
        <v>95</v>
      </c>
      <c r="F49" s="50" t="s">
        <v>27</v>
      </c>
      <c r="G49" s="209"/>
      <c r="H49" s="209"/>
      <c r="I49" s="209"/>
      <c r="J49" s="209"/>
      <c r="K49" s="205"/>
      <c r="L49" s="205"/>
      <c r="M49" s="209"/>
      <c r="N49" s="209"/>
      <c r="O49" s="209"/>
      <c r="P49" s="209"/>
      <c r="Q49" s="209"/>
      <c r="R49" s="209"/>
      <c r="S49" s="208"/>
      <c r="T49" s="208"/>
      <c r="U49" s="208"/>
    </row>
    <row r="50" ht="15.75" customHeight="1">
      <c r="A50" s="325" t="s">
        <v>344</v>
      </c>
      <c r="B50" s="35" t="s">
        <v>29</v>
      </c>
      <c r="C50" s="35" t="s">
        <v>24</v>
      </c>
      <c r="D50" s="24" t="s">
        <v>324</v>
      </c>
      <c r="E50" s="24" t="s">
        <v>345</v>
      </c>
      <c r="F50" s="24" t="s">
        <v>24</v>
      </c>
      <c r="G50" s="342"/>
      <c r="H50" s="343" t="s">
        <v>205</v>
      </c>
      <c r="I50" s="209"/>
      <c r="J50" s="209"/>
      <c r="K50" s="205"/>
      <c r="L50" s="205"/>
      <c r="M50" s="72"/>
      <c r="N50" s="209"/>
      <c r="O50" s="72"/>
      <c r="P50" s="209"/>
      <c r="Q50" s="209"/>
      <c r="R50" s="209"/>
      <c r="S50" s="203"/>
      <c r="T50" s="203"/>
      <c r="U50" s="203"/>
    </row>
    <row r="51" ht="15.75" customHeight="1">
      <c r="A51" s="205"/>
      <c r="B51" s="265"/>
      <c r="C51" s="205"/>
      <c r="D51" s="24" t="s">
        <v>327</v>
      </c>
      <c r="E51" s="24" t="s">
        <v>339</v>
      </c>
      <c r="F51" s="190" t="s">
        <v>355</v>
      </c>
      <c r="G51" s="51"/>
      <c r="H51" s="265"/>
      <c r="I51" s="51"/>
      <c r="J51" s="209"/>
      <c r="K51" s="209"/>
      <c r="L51" s="209"/>
      <c r="M51" s="51"/>
      <c r="N51" s="209"/>
      <c r="O51" s="51"/>
      <c r="P51" s="209"/>
      <c r="Q51" s="209"/>
      <c r="R51" s="209"/>
      <c r="S51" s="208"/>
      <c r="T51" s="208"/>
      <c r="U51" s="210"/>
    </row>
    <row r="52" ht="15.75" customHeight="1">
      <c r="A52" s="261"/>
      <c r="B52" s="261"/>
      <c r="C52" s="261"/>
      <c r="D52" s="205"/>
      <c r="E52" s="205"/>
      <c r="F52" s="205"/>
      <c r="G52" s="260"/>
      <c r="H52" s="260"/>
      <c r="I52" s="260"/>
      <c r="J52" s="205"/>
      <c r="K52" s="205"/>
      <c r="L52" s="205"/>
      <c r="M52" s="205"/>
      <c r="N52" s="205"/>
      <c r="O52" s="205"/>
      <c r="P52" s="205"/>
      <c r="Q52" s="205"/>
      <c r="R52" s="205"/>
      <c r="S52" s="203"/>
      <c r="T52" s="203"/>
      <c r="U52" s="203"/>
    </row>
    <row r="53" ht="15.75" customHeight="1">
      <c r="A53" s="297"/>
      <c r="B53" s="84"/>
    </row>
    <row r="54" ht="15.75" customHeight="1"/>
    <row r="55" ht="15.75" customHeight="1">
      <c r="A55" s="83" t="s">
        <v>76</v>
      </c>
      <c r="B55" s="84"/>
    </row>
    <row r="56" ht="15.75" customHeight="1">
      <c r="A56" s="85"/>
      <c r="B56" s="86" t="s">
        <v>77</v>
      </c>
      <c r="C56" s="87"/>
      <c r="D56" s="88"/>
    </row>
    <row r="57" ht="15.75" customHeight="1">
      <c r="A57" s="92"/>
      <c r="B57" s="86" t="s">
        <v>78</v>
      </c>
      <c r="C57" s="87"/>
    </row>
    <row r="58" ht="15.75" customHeight="1">
      <c r="A58" s="95"/>
      <c r="B58" s="86" t="s">
        <v>79</v>
      </c>
      <c r="C58" s="87"/>
    </row>
    <row r="59" ht="15.75" customHeight="1">
      <c r="A59" s="96"/>
      <c r="B59" s="86" t="s">
        <v>80</v>
      </c>
      <c r="C59" s="87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5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J30:L30"/>
    <mergeCell ref="M30:O30"/>
    <mergeCell ref="P30:R30"/>
    <mergeCell ref="S30:U30"/>
    <mergeCell ref="P37:R37"/>
    <mergeCell ref="S37:U37"/>
    <mergeCell ref="J33:L33"/>
    <mergeCell ref="M33:O33"/>
    <mergeCell ref="P33:R33"/>
    <mergeCell ref="S33:U33"/>
    <mergeCell ref="A37:C37"/>
    <mergeCell ref="D37:F37"/>
    <mergeCell ref="G37:I37"/>
    <mergeCell ref="P38:R38"/>
    <mergeCell ref="S38:U38"/>
    <mergeCell ref="S40:U40"/>
    <mergeCell ref="J37:L37"/>
    <mergeCell ref="M37:O37"/>
    <mergeCell ref="A38:C38"/>
    <mergeCell ref="D38:F38"/>
    <mergeCell ref="G38:I38"/>
    <mergeCell ref="J38:L38"/>
    <mergeCell ref="M38:O38"/>
    <mergeCell ref="A41:C41"/>
    <mergeCell ref="D45:F45"/>
    <mergeCell ref="G45:I45"/>
    <mergeCell ref="J45:L45"/>
    <mergeCell ref="M45:O45"/>
    <mergeCell ref="P45:R45"/>
    <mergeCell ref="S45:U45"/>
    <mergeCell ref="A45:C45"/>
    <mergeCell ref="D46:F46"/>
    <mergeCell ref="G46:I46"/>
    <mergeCell ref="J46:L46"/>
    <mergeCell ref="M46:O46"/>
    <mergeCell ref="P46:R46"/>
    <mergeCell ref="S46:U46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8:U8"/>
    <mergeCell ref="S9:U9"/>
    <mergeCell ref="S18:U18"/>
    <mergeCell ref="S25:U25"/>
    <mergeCell ref="A6:C6"/>
    <mergeCell ref="D6:F6"/>
    <mergeCell ref="G6:I6"/>
    <mergeCell ref="J6:L6"/>
    <mergeCell ref="M6:O6"/>
    <mergeCell ref="P6:R6"/>
    <mergeCell ref="S6:U6"/>
    <mergeCell ref="A4:B4"/>
    <mergeCell ref="C4:D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46:C46"/>
    <mergeCell ref="B53:D53"/>
    <mergeCell ref="B55:D55"/>
  </mergeCells>
  <printOptions horizontalCentered="1" verticalCentered="1"/>
  <pageMargins bottom="0.75" footer="0.0" header="0.0" left="0.25" right="0.25" top="0.75"/>
  <pageSetup fitToHeight="0"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7.86"/>
    <col customWidth="1" min="8" max="8" width="13.86"/>
    <col customWidth="1" min="9" max="9" width="11.29"/>
    <col customWidth="1" min="10" max="10" width="21.71"/>
    <col customWidth="1" min="11" max="11" width="12.14"/>
    <col customWidth="1" min="12" max="12" width="9.14"/>
    <col customWidth="1" min="13" max="13" width="18.57"/>
    <col customWidth="1" min="14" max="14" width="12.86"/>
    <col customWidth="1" min="15" max="15" width="8.0"/>
    <col customWidth="1" min="16" max="16" width="16.71"/>
    <col customWidth="1" min="17" max="17" width="11.43"/>
    <col customWidth="1" min="18" max="18" width="9.0"/>
    <col customWidth="1" min="19" max="19" width="17.57"/>
    <col customWidth="1" min="20" max="20" width="11.57"/>
    <col customWidth="1" min="21" max="21" width="7.86"/>
    <col customWidth="1" min="22" max="22" width="8.71"/>
    <col customWidth="1" min="23" max="23" width="4.0"/>
    <col customWidth="1" min="24" max="24" width="20.43"/>
    <col customWidth="1" min="25" max="25" width="12.29"/>
    <col customWidth="1" min="26" max="26" width="8.71"/>
  </cols>
  <sheetData>
    <row r="1" ht="22.5" customHeight="1">
      <c r="A1" s="91" t="s">
        <v>141</v>
      </c>
      <c r="C1" s="344" t="s">
        <v>356</v>
      </c>
      <c r="F1" s="345"/>
      <c r="G1" s="4" t="s">
        <v>357</v>
      </c>
      <c r="Q1" s="345"/>
      <c r="R1" s="345"/>
      <c r="S1" s="345"/>
      <c r="T1" s="345"/>
      <c r="U1" s="345"/>
    </row>
    <row r="2">
      <c r="A2" s="91" t="s">
        <v>2</v>
      </c>
      <c r="C2" s="346" t="s">
        <v>358</v>
      </c>
      <c r="F2" s="345"/>
      <c r="Q2" s="345"/>
      <c r="R2" s="345"/>
      <c r="S2" s="345"/>
      <c r="T2" s="345"/>
      <c r="U2" s="345"/>
    </row>
    <row r="3">
      <c r="A3" s="91" t="s">
        <v>4</v>
      </c>
      <c r="C3" s="347"/>
      <c r="F3" s="345"/>
      <c r="Q3" s="345"/>
      <c r="R3" s="345"/>
      <c r="S3" s="345"/>
      <c r="T3" s="345"/>
      <c r="U3" s="345"/>
    </row>
    <row r="4">
      <c r="A4" s="91" t="s">
        <v>5</v>
      </c>
      <c r="C4" s="348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</row>
    <row r="5">
      <c r="A5" s="12" t="s">
        <v>6</v>
      </c>
      <c r="B5" s="13"/>
      <c r="C5" s="14"/>
      <c r="D5" s="12" t="s">
        <v>7</v>
      </c>
      <c r="E5" s="13"/>
      <c r="F5" s="14"/>
      <c r="G5" s="12" t="s">
        <v>8</v>
      </c>
      <c r="H5" s="13"/>
      <c r="I5" s="14"/>
      <c r="J5" s="12" t="s">
        <v>9</v>
      </c>
      <c r="K5" s="13"/>
      <c r="L5" s="14"/>
      <c r="M5" s="12" t="s">
        <v>10</v>
      </c>
      <c r="N5" s="13"/>
      <c r="O5" s="14"/>
      <c r="P5" s="12" t="s">
        <v>11</v>
      </c>
      <c r="Q5" s="13"/>
      <c r="R5" s="14"/>
      <c r="S5" s="15" t="s">
        <v>12</v>
      </c>
      <c r="T5" s="13"/>
      <c r="U5" s="14"/>
    </row>
    <row r="6">
      <c r="A6" s="16"/>
      <c r="B6" s="13"/>
      <c r="C6" s="14"/>
      <c r="D6" s="16"/>
      <c r="E6" s="13"/>
      <c r="F6" s="14"/>
      <c r="G6" s="16"/>
      <c r="H6" s="13"/>
      <c r="I6" s="14"/>
      <c r="J6" s="184"/>
      <c r="K6" s="13"/>
      <c r="L6" s="14"/>
      <c r="M6" s="16"/>
      <c r="N6" s="13"/>
      <c r="O6" s="14"/>
      <c r="P6" s="16"/>
      <c r="Q6" s="13"/>
      <c r="R6" s="14"/>
      <c r="S6" s="17">
        <v>46082.0</v>
      </c>
      <c r="T6" s="13"/>
      <c r="U6" s="14"/>
    </row>
    <row r="7">
      <c r="A7" s="349"/>
      <c r="B7" s="349"/>
      <c r="C7" s="349"/>
      <c r="D7" s="349"/>
      <c r="E7" s="349"/>
      <c r="F7" s="349"/>
      <c r="G7" s="349"/>
      <c r="H7" s="349"/>
      <c r="I7" s="349"/>
      <c r="J7" s="349"/>
      <c r="K7" s="349"/>
      <c r="L7" s="349"/>
      <c r="M7" s="349"/>
      <c r="N7" s="349"/>
      <c r="O7" s="349"/>
      <c r="P7" s="349"/>
      <c r="Q7" s="349"/>
      <c r="R7" s="349"/>
      <c r="S7" s="349"/>
      <c r="T7" s="349"/>
      <c r="U7" s="349"/>
    </row>
    <row r="8">
      <c r="A8" s="349"/>
      <c r="B8" s="349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349"/>
      <c r="P8" s="349"/>
      <c r="Q8" s="349"/>
      <c r="R8" s="349"/>
      <c r="S8" s="201"/>
      <c r="T8" s="201"/>
      <c r="U8" s="201"/>
      <c r="W8" s="181" t="s">
        <v>14</v>
      </c>
      <c r="X8" s="182" t="s">
        <v>144</v>
      </c>
      <c r="Y8" s="219" t="s">
        <v>16</v>
      </c>
    </row>
    <row r="9">
      <c r="A9" s="349"/>
      <c r="B9" s="349"/>
      <c r="C9" s="349"/>
      <c r="D9" s="349"/>
      <c r="E9" s="349"/>
      <c r="F9" s="349"/>
      <c r="G9" s="349"/>
      <c r="H9" s="349"/>
      <c r="I9" s="349"/>
      <c r="J9" s="209"/>
      <c r="K9" s="209"/>
      <c r="L9" s="209"/>
      <c r="M9" s="201"/>
      <c r="N9" s="201"/>
      <c r="O9" s="201"/>
      <c r="P9" s="24"/>
      <c r="Q9" s="24"/>
      <c r="R9" s="24"/>
      <c r="S9" s="324" t="s">
        <v>13</v>
      </c>
      <c r="T9" s="13"/>
      <c r="U9" s="14"/>
      <c r="W9" s="186">
        <v>1.0</v>
      </c>
      <c r="X9" s="148"/>
      <c r="Y9" s="221"/>
    </row>
    <row r="10">
      <c r="A10" s="349"/>
      <c r="B10" s="349"/>
      <c r="C10" s="349"/>
      <c r="D10" s="349"/>
      <c r="E10" s="349"/>
      <c r="F10" s="349"/>
      <c r="G10" s="349"/>
      <c r="H10" s="349"/>
      <c r="I10" s="349"/>
      <c r="J10" s="349"/>
      <c r="K10" s="349"/>
      <c r="L10" s="349"/>
      <c r="M10" s="349"/>
      <c r="N10" s="349"/>
      <c r="O10" s="349"/>
      <c r="P10" s="349"/>
      <c r="Q10" s="349"/>
      <c r="R10" s="349"/>
      <c r="S10" s="123"/>
      <c r="T10" s="123"/>
      <c r="U10" s="47"/>
      <c r="W10" s="186">
        <v>2.0</v>
      </c>
      <c r="X10" s="349" t="s">
        <v>359</v>
      </c>
      <c r="Y10" s="221">
        <f t="shared" ref="Y10:Z10" si="1">COUNTIF($A$5:$U$51,X10)</f>
        <v>4</v>
      </c>
      <c r="Z10" s="221">
        <f t="shared" si="1"/>
        <v>0</v>
      </c>
    </row>
    <row r="11">
      <c r="A11" s="349"/>
      <c r="B11" s="349"/>
      <c r="C11" s="349"/>
      <c r="D11" s="349"/>
      <c r="E11" s="349"/>
      <c r="F11" s="349"/>
      <c r="G11" s="349"/>
      <c r="H11" s="349"/>
      <c r="I11" s="349"/>
      <c r="J11" s="349"/>
      <c r="K11" s="349"/>
      <c r="L11" s="349"/>
      <c r="M11" s="349"/>
      <c r="N11" s="349"/>
      <c r="O11" s="349"/>
      <c r="P11" s="349"/>
      <c r="Q11" s="349"/>
      <c r="R11" s="349"/>
      <c r="S11" s="349"/>
      <c r="T11" s="349"/>
      <c r="U11" s="349"/>
      <c r="W11" s="186">
        <v>3.0</v>
      </c>
      <c r="X11" s="349" t="s">
        <v>360</v>
      </c>
      <c r="Y11" s="221">
        <f t="shared" ref="Y11:Z11" si="2">COUNTIF($A$5:$U$51,X11)</f>
        <v>4</v>
      </c>
      <c r="Z11" s="221">
        <f t="shared" si="2"/>
        <v>0</v>
      </c>
    </row>
    <row r="12">
      <c r="A12" s="349"/>
      <c r="B12" s="349"/>
      <c r="C12" s="349"/>
      <c r="D12" s="349"/>
      <c r="E12" s="349"/>
      <c r="F12" s="349"/>
      <c r="G12" s="349"/>
      <c r="H12" s="349"/>
      <c r="I12" s="349"/>
      <c r="J12" s="349"/>
      <c r="K12" s="349"/>
      <c r="L12" s="349"/>
      <c r="M12" s="349"/>
      <c r="N12" s="349"/>
      <c r="O12" s="349"/>
      <c r="P12" s="349"/>
      <c r="Q12" s="349"/>
      <c r="R12" s="349"/>
      <c r="S12" s="349"/>
      <c r="T12" s="349"/>
      <c r="U12" s="349"/>
      <c r="W12" s="186">
        <v>4.0</v>
      </c>
      <c r="X12" s="350" t="s">
        <v>361</v>
      </c>
      <c r="Y12" s="221">
        <f t="shared" ref="Y12:Y31" si="3">COUNTIF($A$5:$U$51,X12)</f>
        <v>4</v>
      </c>
    </row>
    <row r="13">
      <c r="A13" s="27" t="s">
        <v>6</v>
      </c>
      <c r="B13" s="13"/>
      <c r="C13" s="14"/>
      <c r="D13" s="27" t="s">
        <v>7</v>
      </c>
      <c r="E13" s="13"/>
      <c r="F13" s="14"/>
      <c r="G13" s="27" t="s">
        <v>8</v>
      </c>
      <c r="H13" s="13"/>
      <c r="I13" s="14"/>
      <c r="J13" s="27" t="s">
        <v>9</v>
      </c>
      <c r="K13" s="13"/>
      <c r="L13" s="14"/>
      <c r="M13" s="27" t="s">
        <v>10</v>
      </c>
      <c r="N13" s="13"/>
      <c r="O13" s="14"/>
      <c r="P13" s="27" t="s">
        <v>11</v>
      </c>
      <c r="Q13" s="13"/>
      <c r="R13" s="14"/>
      <c r="S13" s="29" t="s">
        <v>12</v>
      </c>
      <c r="T13" s="13"/>
      <c r="U13" s="14"/>
      <c r="W13" s="186">
        <v>5.0</v>
      </c>
      <c r="X13" s="349" t="s">
        <v>362</v>
      </c>
      <c r="Y13" s="221">
        <f t="shared" si="3"/>
        <v>2</v>
      </c>
    </row>
    <row r="14">
      <c r="A14" s="30">
        <f>S6+1</f>
        <v>46083</v>
      </c>
      <c r="B14" s="13"/>
      <c r="C14" s="14"/>
      <c r="D14" s="30">
        <f>A14+1</f>
        <v>46084</v>
      </c>
      <c r="E14" s="13"/>
      <c r="F14" s="14"/>
      <c r="G14" s="30">
        <f>D14+1</f>
        <v>46085</v>
      </c>
      <c r="H14" s="13"/>
      <c r="I14" s="14"/>
      <c r="J14" s="30">
        <f>G14+1</f>
        <v>46086</v>
      </c>
      <c r="K14" s="13"/>
      <c r="L14" s="14"/>
      <c r="M14" s="30">
        <f>J14+1</f>
        <v>46087</v>
      </c>
      <c r="N14" s="13"/>
      <c r="O14" s="14"/>
      <c r="P14" s="30">
        <f>M14+1</f>
        <v>46088</v>
      </c>
      <c r="Q14" s="13"/>
      <c r="R14" s="14"/>
      <c r="S14" s="31">
        <f>P14+1</f>
        <v>46089</v>
      </c>
      <c r="T14" s="13"/>
      <c r="U14" s="14"/>
      <c r="W14" s="186">
        <v>6.0</v>
      </c>
      <c r="X14" s="24" t="s">
        <v>363</v>
      </c>
      <c r="Y14" s="221">
        <f t="shared" si="3"/>
        <v>4</v>
      </c>
    </row>
    <row r="15">
      <c r="A15" s="349"/>
      <c r="B15" s="349"/>
      <c r="C15" s="349"/>
      <c r="D15" s="349"/>
      <c r="E15" s="349"/>
      <c r="F15" s="349"/>
      <c r="G15" s="349"/>
      <c r="H15" s="349"/>
      <c r="I15" s="349"/>
      <c r="J15" s="120" t="s">
        <v>168</v>
      </c>
      <c r="K15" s="120" t="s">
        <v>60</v>
      </c>
      <c r="L15" s="120" t="s">
        <v>355</v>
      </c>
      <c r="M15" s="349" t="s">
        <v>360</v>
      </c>
      <c r="N15" s="351" t="s">
        <v>57</v>
      </c>
      <c r="O15" s="120" t="s">
        <v>355</v>
      </c>
      <c r="P15" s="349"/>
      <c r="Q15" s="349"/>
      <c r="R15" s="349"/>
      <c r="S15" s="349"/>
      <c r="T15" s="349"/>
      <c r="U15" s="349"/>
      <c r="W15" s="186">
        <v>7.0</v>
      </c>
      <c r="X15" s="148" t="s">
        <v>326</v>
      </c>
      <c r="Y15" s="221">
        <f t="shared" si="3"/>
        <v>4</v>
      </c>
    </row>
    <row r="16">
      <c r="A16" s="24" t="s">
        <v>263</v>
      </c>
      <c r="B16" s="24" t="s">
        <v>264</v>
      </c>
      <c r="C16" s="35"/>
      <c r="D16" s="349"/>
      <c r="E16" s="349"/>
      <c r="F16" s="349"/>
      <c r="G16" s="349"/>
      <c r="H16" s="349"/>
      <c r="I16" s="349"/>
      <c r="J16" s="349" t="s">
        <v>359</v>
      </c>
      <c r="K16" s="349" t="s">
        <v>59</v>
      </c>
      <c r="L16" s="120" t="s">
        <v>355</v>
      </c>
      <c r="M16" s="350" t="s">
        <v>361</v>
      </c>
      <c r="N16" s="350" t="s">
        <v>29</v>
      </c>
      <c r="O16" s="350" t="s">
        <v>364</v>
      </c>
      <c r="P16" s="40" t="s">
        <v>365</v>
      </c>
      <c r="Q16" s="333" t="s">
        <v>366</v>
      </c>
      <c r="R16" s="120" t="s">
        <v>24</v>
      </c>
      <c r="S16" s="349"/>
      <c r="T16" s="349"/>
      <c r="U16" s="349"/>
      <c r="W16" s="186">
        <v>8.0</v>
      </c>
      <c r="X16" s="120" t="s">
        <v>168</v>
      </c>
      <c r="Y16" s="221">
        <f t="shared" si="3"/>
        <v>2</v>
      </c>
    </row>
    <row r="17">
      <c r="A17" s="349"/>
      <c r="B17" s="349"/>
      <c r="C17" s="349"/>
      <c r="D17" s="148" t="s">
        <v>326</v>
      </c>
      <c r="E17" s="148" t="s">
        <v>33</v>
      </c>
      <c r="F17" s="148" t="s">
        <v>24</v>
      </c>
      <c r="G17" s="350" t="s">
        <v>367</v>
      </c>
      <c r="H17" s="350" t="s">
        <v>26</v>
      </c>
      <c r="I17" s="350" t="s">
        <v>27</v>
      </c>
      <c r="J17" s="349" t="s">
        <v>360</v>
      </c>
      <c r="K17" s="349"/>
      <c r="L17" s="120" t="s">
        <v>355</v>
      </c>
      <c r="M17" s="24"/>
      <c r="N17" s="349"/>
      <c r="O17" s="352"/>
      <c r="P17" s="130" t="s">
        <v>112</v>
      </c>
      <c r="Q17" s="130" t="s">
        <v>113</v>
      </c>
      <c r="R17" s="49" t="s">
        <v>48</v>
      </c>
      <c r="S17" s="324" t="s">
        <v>13</v>
      </c>
      <c r="T17" s="13"/>
      <c r="U17" s="14"/>
      <c r="W17" s="186">
        <v>9.0</v>
      </c>
      <c r="X17" s="349" t="s">
        <v>368</v>
      </c>
      <c r="Y17" s="221">
        <f t="shared" si="3"/>
        <v>2</v>
      </c>
    </row>
    <row r="18">
      <c r="A18" s="349"/>
      <c r="B18" s="349"/>
      <c r="C18" s="349"/>
      <c r="D18" s="352" t="s">
        <v>369</v>
      </c>
      <c r="E18" s="352" t="s">
        <v>57</v>
      </c>
      <c r="F18" s="352" t="s">
        <v>42</v>
      </c>
      <c r="G18" s="349"/>
      <c r="H18" s="349"/>
      <c r="I18" s="349"/>
      <c r="J18" s="351" t="s">
        <v>370</v>
      </c>
      <c r="K18" s="351" t="s">
        <v>29</v>
      </c>
      <c r="L18" s="166" t="s">
        <v>364</v>
      </c>
      <c r="M18" s="24" t="s">
        <v>371</v>
      </c>
      <c r="N18" s="24" t="s">
        <v>318</v>
      </c>
      <c r="O18" s="24" t="s">
        <v>24</v>
      </c>
      <c r="P18" s="285" t="s">
        <v>372</v>
      </c>
      <c r="Q18" s="350" t="s">
        <v>26</v>
      </c>
      <c r="R18" s="350" t="s">
        <v>27</v>
      </c>
      <c r="S18" s="349"/>
      <c r="T18" s="349"/>
      <c r="U18" s="349"/>
      <c r="W18" s="186">
        <v>10.0</v>
      </c>
      <c r="X18" s="201" t="s">
        <v>373</v>
      </c>
      <c r="Y18" s="221">
        <f t="shared" si="3"/>
        <v>4</v>
      </c>
    </row>
    <row r="19" ht="15.0" customHeight="1">
      <c r="A19" s="352" t="s">
        <v>374</v>
      </c>
      <c r="B19" s="352" t="s">
        <v>111</v>
      </c>
      <c r="C19" s="352" t="s">
        <v>24</v>
      </c>
      <c r="D19" s="352" t="s">
        <v>375</v>
      </c>
      <c r="E19" s="352" t="s">
        <v>66</v>
      </c>
      <c r="F19" s="352" t="s">
        <v>376</v>
      </c>
      <c r="G19" s="40"/>
      <c r="H19" s="333"/>
      <c r="I19" s="120"/>
      <c r="J19" s="44" t="s">
        <v>39</v>
      </c>
      <c r="K19" s="44" t="s">
        <v>40</v>
      </c>
      <c r="L19" s="45"/>
      <c r="M19" s="201" t="s">
        <v>373</v>
      </c>
      <c r="N19" s="201" t="s">
        <v>377</v>
      </c>
      <c r="O19" s="201" t="s">
        <v>27</v>
      </c>
      <c r="P19" s="40"/>
      <c r="Q19" s="40"/>
      <c r="R19" s="120"/>
      <c r="S19" s="349"/>
      <c r="T19" s="349"/>
      <c r="U19" s="349"/>
      <c r="W19" s="186">
        <v>11.0</v>
      </c>
      <c r="X19" s="285" t="s">
        <v>372</v>
      </c>
      <c r="Y19" s="221">
        <f t="shared" si="3"/>
        <v>2</v>
      </c>
    </row>
    <row r="20" ht="15.0" customHeight="1">
      <c r="A20" s="24" t="s">
        <v>363</v>
      </c>
      <c r="B20" s="351" t="s">
        <v>229</v>
      </c>
      <c r="C20" s="352" t="s">
        <v>24</v>
      </c>
      <c r="D20" s="201"/>
      <c r="E20" s="201"/>
      <c r="F20" s="201"/>
      <c r="G20" s="349"/>
      <c r="H20" s="349"/>
      <c r="I20" s="349"/>
      <c r="J20" s="349" t="s">
        <v>368</v>
      </c>
      <c r="K20" s="349" t="s">
        <v>111</v>
      </c>
      <c r="L20" s="349" t="s">
        <v>24</v>
      </c>
      <c r="M20" s="349"/>
      <c r="N20" s="349"/>
      <c r="O20" s="349"/>
      <c r="P20" s="349"/>
      <c r="Q20" s="349"/>
      <c r="R20" s="349"/>
      <c r="S20" s="349"/>
      <c r="T20" s="349"/>
      <c r="U20" s="349"/>
      <c r="W20" s="186">
        <v>12.0</v>
      </c>
      <c r="X20" s="350" t="s">
        <v>367</v>
      </c>
      <c r="Y20" s="221">
        <f t="shared" si="3"/>
        <v>2</v>
      </c>
    </row>
    <row r="21" ht="15.75" customHeight="1">
      <c r="A21" s="12" t="s">
        <v>6</v>
      </c>
      <c r="B21" s="13"/>
      <c r="C21" s="14"/>
      <c r="D21" s="12" t="s">
        <v>7</v>
      </c>
      <c r="E21" s="13"/>
      <c r="F21" s="14"/>
      <c r="G21" s="12" t="s">
        <v>8</v>
      </c>
      <c r="H21" s="13"/>
      <c r="I21" s="14"/>
      <c r="J21" s="12" t="s">
        <v>9</v>
      </c>
      <c r="K21" s="13"/>
      <c r="L21" s="14"/>
      <c r="M21" s="12" t="s">
        <v>10</v>
      </c>
      <c r="N21" s="13"/>
      <c r="O21" s="14"/>
      <c r="P21" s="12" t="s">
        <v>11</v>
      </c>
      <c r="Q21" s="13"/>
      <c r="R21" s="14"/>
      <c r="S21" s="15" t="s">
        <v>12</v>
      </c>
      <c r="T21" s="13"/>
      <c r="U21" s="14"/>
      <c r="W21" s="186">
        <v>13.0</v>
      </c>
      <c r="X21" s="353" t="s">
        <v>378</v>
      </c>
      <c r="Y21" s="221">
        <f t="shared" si="3"/>
        <v>2</v>
      </c>
    </row>
    <row r="22" ht="15.75" customHeight="1">
      <c r="A22" s="16">
        <f>S14+1</f>
        <v>46090</v>
      </c>
      <c r="B22" s="13"/>
      <c r="C22" s="14"/>
      <c r="D22" s="16">
        <f>A22+1</f>
        <v>46091</v>
      </c>
      <c r="E22" s="13"/>
      <c r="F22" s="14"/>
      <c r="G22" s="16">
        <f>D22+1</f>
        <v>46092</v>
      </c>
      <c r="H22" s="13"/>
      <c r="I22" s="14"/>
      <c r="J22" s="16">
        <f>G22+1</f>
        <v>46093</v>
      </c>
      <c r="K22" s="13"/>
      <c r="L22" s="14"/>
      <c r="M22" s="16">
        <f>J22+1</f>
        <v>46094</v>
      </c>
      <c r="N22" s="13"/>
      <c r="O22" s="14"/>
      <c r="P22" s="16">
        <f>M22+1</f>
        <v>46095</v>
      </c>
      <c r="Q22" s="13"/>
      <c r="R22" s="14"/>
      <c r="S22" s="184">
        <f>P22+1</f>
        <v>46096</v>
      </c>
      <c r="T22" s="13"/>
      <c r="U22" s="14"/>
      <c r="W22" s="186">
        <v>14.0</v>
      </c>
      <c r="X22" s="24" t="s">
        <v>371</v>
      </c>
      <c r="Y22" s="221">
        <f t="shared" si="3"/>
        <v>2</v>
      </c>
    </row>
    <row r="23" ht="15.75" customHeight="1">
      <c r="A23" s="349"/>
      <c r="B23" s="349"/>
      <c r="C23" s="349"/>
      <c r="D23" s="349"/>
      <c r="E23" s="349"/>
      <c r="F23" s="349"/>
      <c r="G23" s="349"/>
      <c r="H23" s="349"/>
      <c r="I23" s="349"/>
      <c r="J23" s="349"/>
      <c r="K23" s="349"/>
      <c r="L23" s="349"/>
      <c r="M23" s="349"/>
      <c r="N23" s="349"/>
      <c r="O23" s="349"/>
      <c r="P23" s="148"/>
      <c r="Q23" s="24"/>
      <c r="R23" s="148"/>
      <c r="S23" s="349"/>
      <c r="T23" s="349"/>
      <c r="U23" s="349"/>
      <c r="W23" s="186">
        <v>15.0</v>
      </c>
      <c r="X23" s="352" t="s">
        <v>379</v>
      </c>
      <c r="Y23" s="221">
        <f t="shared" si="3"/>
        <v>4</v>
      </c>
    </row>
    <row r="24" ht="15.75" customHeight="1">
      <c r="A24" s="24" t="s">
        <v>263</v>
      </c>
      <c r="B24" s="24" t="s">
        <v>264</v>
      </c>
      <c r="C24" s="35"/>
      <c r="D24" s="148" t="s">
        <v>326</v>
      </c>
      <c r="E24" s="148" t="s">
        <v>33</v>
      </c>
      <c r="F24" s="148" t="s">
        <v>24</v>
      </c>
      <c r="G24" s="354" t="s">
        <v>380</v>
      </c>
      <c r="H24" s="355" t="s">
        <v>26</v>
      </c>
      <c r="I24" s="283" t="s">
        <v>27</v>
      </c>
      <c r="J24" s="349"/>
      <c r="K24" s="349"/>
      <c r="L24" s="349"/>
      <c r="M24" s="349" t="s">
        <v>360</v>
      </c>
      <c r="N24" s="349" t="s">
        <v>64</v>
      </c>
      <c r="O24" s="349" t="s">
        <v>27</v>
      </c>
      <c r="P24" s="24"/>
      <c r="Q24" s="24"/>
      <c r="R24" s="24"/>
      <c r="S24" s="324" t="s">
        <v>13</v>
      </c>
      <c r="T24" s="13"/>
      <c r="U24" s="14"/>
      <c r="W24" s="186">
        <v>16.0</v>
      </c>
      <c r="X24" s="352" t="s">
        <v>381</v>
      </c>
      <c r="Y24" s="221">
        <f t="shared" si="3"/>
        <v>4</v>
      </c>
    </row>
    <row r="25" ht="15.75" customHeight="1">
      <c r="A25" s="349"/>
      <c r="B25" s="349"/>
      <c r="C25" s="349"/>
      <c r="D25" s="352" t="s">
        <v>382</v>
      </c>
      <c r="E25" s="352" t="s">
        <v>57</v>
      </c>
      <c r="F25" s="352" t="s">
        <v>42</v>
      </c>
      <c r="G25" s="354" t="s">
        <v>383</v>
      </c>
      <c r="H25" s="355" t="s">
        <v>111</v>
      </c>
      <c r="I25" s="283" t="s">
        <v>24</v>
      </c>
      <c r="J25" s="351" t="s">
        <v>370</v>
      </c>
      <c r="K25" s="349"/>
      <c r="L25" s="349" t="s">
        <v>24</v>
      </c>
      <c r="M25" s="350" t="s">
        <v>361</v>
      </c>
      <c r="N25" s="350" t="s">
        <v>29</v>
      </c>
      <c r="O25" s="350" t="s">
        <v>24</v>
      </c>
      <c r="P25" s="123" t="s">
        <v>384</v>
      </c>
      <c r="Q25" s="123" t="s">
        <v>75</v>
      </c>
      <c r="R25" s="47" t="s">
        <v>27</v>
      </c>
      <c r="S25" s="209"/>
      <c r="T25" s="209"/>
      <c r="U25" s="209"/>
      <c r="W25" s="186">
        <v>17.0</v>
      </c>
      <c r="X25" s="353" t="s">
        <v>378</v>
      </c>
      <c r="Y25" s="221">
        <f t="shared" si="3"/>
        <v>2</v>
      </c>
    </row>
    <row r="26" ht="15.75" customHeight="1">
      <c r="A26" s="349"/>
      <c r="B26" s="349"/>
      <c r="C26" s="349"/>
      <c r="D26" s="352" t="s">
        <v>375</v>
      </c>
      <c r="E26" s="352" t="s">
        <v>66</v>
      </c>
      <c r="F26" s="352" t="s">
        <v>376</v>
      </c>
      <c r="G26" s="40"/>
      <c r="H26" s="333"/>
      <c r="I26" s="120"/>
      <c r="J26" s="24" t="s">
        <v>385</v>
      </c>
      <c r="K26" s="349" t="s">
        <v>73</v>
      </c>
      <c r="L26" s="352" t="s">
        <v>42</v>
      </c>
      <c r="P26" s="120" t="s">
        <v>125</v>
      </c>
      <c r="Q26" s="40" t="s">
        <v>386</v>
      </c>
      <c r="R26" s="40" t="s">
        <v>27</v>
      </c>
      <c r="S26" s="349"/>
      <c r="T26" s="349"/>
      <c r="U26" s="349"/>
      <c r="W26" s="186">
        <v>18.0</v>
      </c>
      <c r="X26" s="40" t="s">
        <v>365</v>
      </c>
      <c r="Y26" s="221">
        <f t="shared" si="3"/>
        <v>4</v>
      </c>
    </row>
    <row r="27" ht="15.75" customHeight="1">
      <c r="A27" s="352" t="s">
        <v>387</v>
      </c>
      <c r="B27" s="352" t="s">
        <v>111</v>
      </c>
      <c r="C27" s="352" t="s">
        <v>24</v>
      </c>
      <c r="D27" s="201"/>
      <c r="E27" s="201"/>
      <c r="F27" s="201"/>
      <c r="G27" s="356"/>
      <c r="H27" s="349"/>
      <c r="I27" s="120"/>
      <c r="J27" s="357" t="s">
        <v>388</v>
      </c>
      <c r="K27" s="357" t="s">
        <v>111</v>
      </c>
      <c r="L27" s="357" t="s">
        <v>24</v>
      </c>
      <c r="M27" s="349" t="s">
        <v>362</v>
      </c>
      <c r="N27" s="349" t="s">
        <v>111</v>
      </c>
      <c r="O27" s="349" t="s">
        <v>24</v>
      </c>
      <c r="P27" s="40" t="s">
        <v>365</v>
      </c>
      <c r="Q27" s="333" t="s">
        <v>366</v>
      </c>
      <c r="R27" s="120" t="s">
        <v>24</v>
      </c>
      <c r="S27" s="349"/>
      <c r="T27" s="349"/>
      <c r="U27" s="349"/>
      <c r="W27" s="186">
        <v>19.0</v>
      </c>
      <c r="X27" s="24" t="s">
        <v>385</v>
      </c>
      <c r="Y27" s="221">
        <f t="shared" si="3"/>
        <v>2</v>
      </c>
    </row>
    <row r="28" ht="15.75" customHeight="1">
      <c r="A28" s="24" t="s">
        <v>363</v>
      </c>
      <c r="B28" s="351" t="s">
        <v>229</v>
      </c>
      <c r="C28" s="352" t="s">
        <v>24</v>
      </c>
      <c r="D28" s="201"/>
      <c r="E28" s="201"/>
      <c r="F28" s="201"/>
      <c r="G28" s="356"/>
      <c r="H28" s="349"/>
      <c r="I28" s="166"/>
      <c r="J28" s="201" t="s">
        <v>373</v>
      </c>
      <c r="K28" s="201" t="s">
        <v>377</v>
      </c>
      <c r="L28" s="201" t="s">
        <v>27</v>
      </c>
      <c r="P28" s="149"/>
      <c r="Q28" s="82"/>
      <c r="R28" s="24"/>
      <c r="S28" s="349"/>
      <c r="T28" s="349"/>
      <c r="U28" s="349"/>
      <c r="W28" s="186">
        <v>20.0</v>
      </c>
      <c r="X28" s="201" t="s">
        <v>373</v>
      </c>
      <c r="Y28" s="221">
        <f t="shared" si="3"/>
        <v>4</v>
      </c>
    </row>
    <row r="29" ht="15.75" customHeight="1">
      <c r="A29" s="27" t="s">
        <v>6</v>
      </c>
      <c r="B29" s="13"/>
      <c r="C29" s="14"/>
      <c r="D29" s="27" t="s">
        <v>7</v>
      </c>
      <c r="E29" s="13"/>
      <c r="F29" s="14"/>
      <c r="G29" s="27" t="s">
        <v>8</v>
      </c>
      <c r="H29" s="13"/>
      <c r="I29" s="14"/>
      <c r="J29" s="29" t="s">
        <v>9</v>
      </c>
      <c r="K29" s="13"/>
      <c r="L29" s="14"/>
      <c r="M29" s="27" t="s">
        <v>10</v>
      </c>
      <c r="N29" s="13"/>
      <c r="O29" s="14"/>
      <c r="P29" s="29" t="s">
        <v>11</v>
      </c>
      <c r="Q29" s="13"/>
      <c r="R29" s="14"/>
      <c r="S29" s="29" t="s">
        <v>12</v>
      </c>
      <c r="T29" s="13"/>
      <c r="U29" s="14"/>
      <c r="W29" s="186">
        <v>21.0</v>
      </c>
      <c r="X29" s="352" t="s">
        <v>375</v>
      </c>
      <c r="Y29" s="221">
        <f t="shared" si="3"/>
        <v>4</v>
      </c>
    </row>
    <row r="30" ht="15.75" customHeight="1">
      <c r="A30" s="57">
        <f>S22+1</f>
        <v>46097</v>
      </c>
      <c r="B30" s="13"/>
      <c r="C30" s="14"/>
      <c r="D30" s="57">
        <f>A30+1</f>
        <v>46098</v>
      </c>
      <c r="E30" s="13"/>
      <c r="F30" s="14"/>
      <c r="G30" s="57">
        <f>D30+1</f>
        <v>46099</v>
      </c>
      <c r="H30" s="13"/>
      <c r="I30" s="14"/>
      <c r="J30" s="58">
        <f>G30+1</f>
        <v>46100</v>
      </c>
      <c r="K30" s="13"/>
      <c r="L30" s="14"/>
      <c r="M30" s="57">
        <f>J30+1</f>
        <v>46101</v>
      </c>
      <c r="N30" s="13"/>
      <c r="O30" s="14"/>
      <c r="P30" s="58">
        <f>M30+1</f>
        <v>46102</v>
      </c>
      <c r="Q30" s="13"/>
      <c r="R30" s="14"/>
      <c r="S30" s="58">
        <f>P30+1</f>
        <v>46103</v>
      </c>
      <c r="T30" s="13"/>
      <c r="U30" s="14"/>
      <c r="W30" s="186">
        <v>22.0</v>
      </c>
      <c r="X30" s="24" t="s">
        <v>263</v>
      </c>
      <c r="Y30" s="221">
        <f t="shared" si="3"/>
        <v>3</v>
      </c>
    </row>
    <row r="31" ht="15.75" customHeight="1">
      <c r="A31" s="349"/>
      <c r="B31" s="349"/>
      <c r="C31" s="349"/>
      <c r="D31" s="349"/>
      <c r="E31" s="349"/>
      <c r="F31" s="349"/>
      <c r="G31" s="357" t="s">
        <v>388</v>
      </c>
      <c r="H31" s="357" t="s">
        <v>59</v>
      </c>
      <c r="I31" s="357" t="s">
        <v>24</v>
      </c>
      <c r="J31" s="349"/>
      <c r="K31" s="349"/>
      <c r="L31" s="349"/>
      <c r="M31" s="349"/>
      <c r="N31" s="349"/>
      <c r="O31" s="349"/>
      <c r="P31" s="349"/>
      <c r="Q31" s="349"/>
      <c r="R31" s="349"/>
      <c r="S31" s="349"/>
      <c r="T31" s="349"/>
      <c r="U31" s="349"/>
      <c r="W31" s="186">
        <v>23.0</v>
      </c>
      <c r="X31" s="229"/>
      <c r="Y31" s="221">
        <f t="shared" si="3"/>
        <v>0</v>
      </c>
    </row>
    <row r="32" ht="15.75" customHeight="1">
      <c r="A32" s="349"/>
      <c r="B32" s="349"/>
      <c r="C32" s="349"/>
      <c r="D32" s="148" t="s">
        <v>326</v>
      </c>
      <c r="E32" s="148" t="s">
        <v>33</v>
      </c>
      <c r="F32" s="148" t="s">
        <v>24</v>
      </c>
      <c r="G32" s="350" t="s">
        <v>367</v>
      </c>
      <c r="H32" s="350" t="s">
        <v>26</v>
      </c>
      <c r="I32" s="350" t="s">
        <v>27</v>
      </c>
      <c r="J32" s="349"/>
      <c r="K32" s="349"/>
      <c r="L32" s="349"/>
      <c r="M32" s="24"/>
      <c r="N32" s="24"/>
      <c r="O32" s="24"/>
      <c r="P32" s="349"/>
      <c r="Q32" s="349"/>
      <c r="R32" s="349"/>
      <c r="S32" s="349"/>
      <c r="T32" s="349"/>
      <c r="U32" s="349"/>
      <c r="W32" s="186">
        <v>24.0</v>
      </c>
      <c r="X32" s="229"/>
      <c r="Y32" s="221"/>
    </row>
    <row r="33" ht="15.75" customHeight="1">
      <c r="A33" s="349" t="s">
        <v>359</v>
      </c>
      <c r="B33" s="351" t="s">
        <v>59</v>
      </c>
      <c r="C33" s="166" t="s">
        <v>27</v>
      </c>
      <c r="D33" s="352" t="s">
        <v>389</v>
      </c>
      <c r="E33" s="352" t="s">
        <v>57</v>
      </c>
      <c r="F33" s="352" t="s">
        <v>42</v>
      </c>
      <c r="G33" s="24" t="s">
        <v>371</v>
      </c>
      <c r="H33" s="24" t="s">
        <v>318</v>
      </c>
      <c r="I33" s="24" t="s">
        <v>24</v>
      </c>
      <c r="J33" s="349"/>
      <c r="K33" s="349"/>
      <c r="L33" s="120"/>
      <c r="M33" s="338" t="s">
        <v>69</v>
      </c>
      <c r="N33" s="13"/>
      <c r="O33" s="14"/>
      <c r="P33" s="324" t="s">
        <v>13</v>
      </c>
      <c r="Q33" s="13"/>
      <c r="R33" s="14"/>
      <c r="S33" s="324" t="s">
        <v>13</v>
      </c>
      <c r="T33" s="13"/>
      <c r="U33" s="14"/>
      <c r="W33" s="186">
        <v>25.0</v>
      </c>
      <c r="X33" s="148"/>
      <c r="Y33" s="221"/>
    </row>
    <row r="34" ht="15.0" customHeight="1">
      <c r="A34" s="349"/>
      <c r="B34" s="349"/>
      <c r="C34" s="120"/>
      <c r="D34" s="350" t="s">
        <v>361</v>
      </c>
      <c r="E34" s="350" t="s">
        <v>29</v>
      </c>
      <c r="F34" s="350" t="s">
        <v>24</v>
      </c>
      <c r="G34" s="201" t="s">
        <v>373</v>
      </c>
      <c r="H34" s="201" t="s">
        <v>377</v>
      </c>
      <c r="I34" s="201" t="s">
        <v>27</v>
      </c>
      <c r="J34" s="40" t="s">
        <v>365</v>
      </c>
      <c r="K34" s="333" t="s">
        <v>366</v>
      </c>
      <c r="L34" s="120" t="s">
        <v>24</v>
      </c>
      <c r="M34" s="24"/>
      <c r="N34" s="24"/>
      <c r="O34" s="24"/>
      <c r="P34" s="349"/>
      <c r="Q34" s="349"/>
      <c r="R34" s="349"/>
      <c r="S34" s="349"/>
      <c r="T34" s="349"/>
      <c r="U34" s="349"/>
      <c r="W34" s="186">
        <v>26.0</v>
      </c>
      <c r="X34" s="94"/>
      <c r="Y34" s="221"/>
    </row>
    <row r="35" ht="15.75" customHeight="1">
      <c r="A35" s="352" t="s">
        <v>390</v>
      </c>
      <c r="B35" s="352" t="s">
        <v>111</v>
      </c>
      <c r="C35" s="352" t="s">
        <v>24</v>
      </c>
      <c r="D35" s="352" t="s">
        <v>375</v>
      </c>
      <c r="E35" s="352" t="s">
        <v>66</v>
      </c>
      <c r="F35" s="352" t="s">
        <v>376</v>
      </c>
      <c r="G35" s="201"/>
      <c r="H35" s="201"/>
      <c r="I35" s="201"/>
      <c r="J35" s="349"/>
      <c r="K35" s="349"/>
      <c r="L35" s="349"/>
      <c r="M35" s="349"/>
      <c r="N35" s="349"/>
      <c r="O35" s="349"/>
      <c r="P35" s="349"/>
      <c r="Q35" s="349"/>
      <c r="R35" s="349"/>
      <c r="S35" s="349"/>
      <c r="T35" s="349"/>
      <c r="U35" s="349"/>
      <c r="W35" s="186">
        <v>27.0</v>
      </c>
      <c r="X35" s="24"/>
      <c r="Y35" s="221"/>
    </row>
    <row r="36" ht="14.25" customHeight="1">
      <c r="A36" s="24" t="s">
        <v>363</v>
      </c>
      <c r="B36" s="351" t="s">
        <v>229</v>
      </c>
      <c r="C36" s="352" t="s">
        <v>24</v>
      </c>
      <c r="D36" s="201"/>
      <c r="E36" s="201"/>
      <c r="F36" s="201"/>
      <c r="G36" s="201"/>
      <c r="H36" s="201"/>
      <c r="I36" s="201"/>
      <c r="J36" s="349" t="s">
        <v>368</v>
      </c>
      <c r="K36" s="349" t="s">
        <v>111</v>
      </c>
      <c r="L36" s="349" t="s">
        <v>24</v>
      </c>
      <c r="M36" s="349"/>
      <c r="N36" s="349"/>
      <c r="O36" s="349"/>
      <c r="P36" s="349"/>
      <c r="Q36" s="349"/>
      <c r="R36" s="349"/>
      <c r="S36" s="349"/>
      <c r="T36" s="349"/>
      <c r="U36" s="349"/>
      <c r="W36" s="186">
        <v>28.0</v>
      </c>
      <c r="X36" s="148"/>
      <c r="Y36" s="221"/>
    </row>
    <row r="37" ht="15.75" customHeight="1">
      <c r="A37" s="15" t="s">
        <v>6</v>
      </c>
      <c r="B37" s="13"/>
      <c r="C37" s="14"/>
      <c r="D37" s="12" t="s">
        <v>7</v>
      </c>
      <c r="E37" s="13"/>
      <c r="F37" s="14"/>
      <c r="G37" s="12" t="s">
        <v>8</v>
      </c>
      <c r="H37" s="13"/>
      <c r="I37" s="14"/>
      <c r="J37" s="12" t="s">
        <v>9</v>
      </c>
      <c r="K37" s="13"/>
      <c r="L37" s="14"/>
      <c r="M37" s="12" t="s">
        <v>10</v>
      </c>
      <c r="N37" s="13"/>
      <c r="O37" s="14"/>
      <c r="P37" s="12" t="s">
        <v>11</v>
      </c>
      <c r="Q37" s="13"/>
      <c r="R37" s="14"/>
      <c r="S37" s="15" t="s">
        <v>12</v>
      </c>
      <c r="T37" s="13"/>
      <c r="U37" s="14"/>
      <c r="W37" s="186">
        <v>29.0</v>
      </c>
      <c r="X37" s="24"/>
      <c r="Y37" s="221"/>
    </row>
    <row r="38" ht="15.75" customHeight="1">
      <c r="A38" s="184">
        <f>S30+1</f>
        <v>46104</v>
      </c>
      <c r="B38" s="13"/>
      <c r="C38" s="14"/>
      <c r="D38" s="16">
        <f>A38+1</f>
        <v>46105</v>
      </c>
      <c r="E38" s="13"/>
      <c r="F38" s="14"/>
      <c r="G38" s="16">
        <f>D38+1</f>
        <v>46106</v>
      </c>
      <c r="H38" s="13"/>
      <c r="I38" s="14"/>
      <c r="J38" s="16">
        <f>G38+1</f>
        <v>46107</v>
      </c>
      <c r="K38" s="13"/>
      <c r="L38" s="14"/>
      <c r="M38" s="16">
        <f>J38+1</f>
        <v>46108</v>
      </c>
      <c r="N38" s="13"/>
      <c r="O38" s="14"/>
      <c r="P38" s="16">
        <f>M38+1</f>
        <v>46109</v>
      </c>
      <c r="Q38" s="13"/>
      <c r="R38" s="14"/>
      <c r="S38" s="16">
        <f>P38+1</f>
        <v>46110</v>
      </c>
      <c r="T38" s="13"/>
      <c r="U38" s="14"/>
      <c r="Y38" s="221"/>
    </row>
    <row r="39" ht="15.75" customHeight="1">
      <c r="A39" s="349"/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58"/>
      <c r="Q39" s="358"/>
      <c r="R39" s="358"/>
      <c r="S39" s="349"/>
      <c r="T39" s="349"/>
      <c r="U39" s="349"/>
      <c r="Y39" s="102">
        <f>SUM(Y9:Y37)</f>
        <v>65</v>
      </c>
    </row>
    <row r="40" ht="15.75" customHeight="1">
      <c r="A40" s="24"/>
      <c r="B40" s="24"/>
      <c r="C40" s="205"/>
      <c r="D40" s="148" t="s">
        <v>326</v>
      </c>
      <c r="E40" s="148"/>
      <c r="F40" s="148" t="s">
        <v>24</v>
      </c>
      <c r="G40" s="352"/>
      <c r="H40" s="352"/>
      <c r="I40" s="352"/>
      <c r="J40" s="349"/>
      <c r="K40" s="349"/>
      <c r="L40" s="349"/>
      <c r="M40" s="349" t="s">
        <v>360</v>
      </c>
      <c r="N40" s="349" t="s">
        <v>64</v>
      </c>
      <c r="O40" s="349" t="s">
        <v>27</v>
      </c>
      <c r="P40" s="123" t="s">
        <v>384</v>
      </c>
      <c r="Q40" s="123" t="s">
        <v>75</v>
      </c>
      <c r="R40" s="47" t="s">
        <v>27</v>
      </c>
      <c r="S40" s="324" t="s">
        <v>13</v>
      </c>
      <c r="T40" s="13"/>
      <c r="U40" s="14"/>
    </row>
    <row r="41" ht="15.75" customHeight="1">
      <c r="A41" s="338" t="s">
        <v>69</v>
      </c>
      <c r="B41" s="13"/>
      <c r="C41" s="14"/>
      <c r="D41" s="352" t="s">
        <v>391</v>
      </c>
      <c r="E41" s="352" t="s">
        <v>57</v>
      </c>
      <c r="F41" s="352" t="s">
        <v>42</v>
      </c>
      <c r="G41" s="24" t="s">
        <v>215</v>
      </c>
      <c r="H41" s="53" t="s">
        <v>95</v>
      </c>
      <c r="I41" s="24" t="s">
        <v>24</v>
      </c>
      <c r="J41" s="349" t="s">
        <v>359</v>
      </c>
      <c r="K41" s="349"/>
      <c r="L41" s="120" t="s">
        <v>355</v>
      </c>
      <c r="M41" s="350" t="s">
        <v>361</v>
      </c>
      <c r="N41" s="350" t="s">
        <v>29</v>
      </c>
      <c r="O41" s="350" t="s">
        <v>24</v>
      </c>
      <c r="P41" s="333"/>
      <c r="Q41" s="333"/>
      <c r="R41" s="120"/>
      <c r="S41" s="349"/>
      <c r="T41" s="349"/>
      <c r="U41" s="349"/>
      <c r="X41" s="359" t="s">
        <v>392</v>
      </c>
    </row>
    <row r="42" ht="15.75" customHeight="1">
      <c r="A42" s="154"/>
      <c r="B42" s="154"/>
      <c r="C42" s="154"/>
      <c r="D42" s="352" t="s">
        <v>375</v>
      </c>
      <c r="E42" s="352" t="s">
        <v>66</v>
      </c>
      <c r="F42" s="352" t="s">
        <v>376</v>
      </c>
      <c r="G42" s="354" t="s">
        <v>393</v>
      </c>
      <c r="H42" s="355" t="s">
        <v>26</v>
      </c>
      <c r="I42" s="360" t="s">
        <v>24</v>
      </c>
      <c r="J42" s="24" t="s">
        <v>385</v>
      </c>
      <c r="K42" s="349" t="s">
        <v>73</v>
      </c>
      <c r="L42" s="352" t="s">
        <v>42</v>
      </c>
      <c r="P42" s="40" t="s">
        <v>365</v>
      </c>
      <c r="Q42" s="333" t="s">
        <v>366</v>
      </c>
      <c r="R42" s="120" t="s">
        <v>24</v>
      </c>
      <c r="S42" s="349"/>
      <c r="T42" s="349"/>
      <c r="U42" s="349"/>
    </row>
    <row r="43" ht="15.75" customHeight="1">
      <c r="A43" s="203"/>
      <c r="B43" s="203"/>
      <c r="C43" s="203"/>
      <c r="D43" s="201"/>
      <c r="E43" s="120"/>
      <c r="F43" s="120"/>
      <c r="G43" s="354" t="s">
        <v>394</v>
      </c>
      <c r="H43" s="355" t="s">
        <v>111</v>
      </c>
      <c r="I43" s="283" t="s">
        <v>27</v>
      </c>
      <c r="J43" s="357" t="s">
        <v>388</v>
      </c>
      <c r="K43" s="357" t="s">
        <v>111</v>
      </c>
      <c r="L43" s="357" t="s">
        <v>24</v>
      </c>
      <c r="M43" s="349" t="s">
        <v>362</v>
      </c>
      <c r="N43" s="349" t="s">
        <v>111</v>
      </c>
      <c r="O43" s="349" t="s">
        <v>24</v>
      </c>
      <c r="P43" s="285" t="s">
        <v>372</v>
      </c>
      <c r="Q43" s="350" t="s">
        <v>26</v>
      </c>
      <c r="R43" s="350" t="s">
        <v>27</v>
      </c>
      <c r="S43" s="349"/>
      <c r="T43" s="349"/>
      <c r="U43" s="349"/>
    </row>
    <row r="44" ht="15.75" customHeight="1">
      <c r="A44" s="349"/>
      <c r="B44" s="349"/>
      <c r="C44" s="349"/>
      <c r="D44" s="349"/>
      <c r="E44" s="349"/>
      <c r="F44" s="349"/>
      <c r="G44" s="349"/>
      <c r="H44" s="349"/>
      <c r="I44" s="349"/>
      <c r="J44" s="201" t="s">
        <v>373</v>
      </c>
      <c r="K44" s="201" t="s">
        <v>377</v>
      </c>
      <c r="L44" s="201" t="s">
        <v>27</v>
      </c>
      <c r="M44" s="349"/>
      <c r="N44" s="349"/>
      <c r="O44" s="349"/>
      <c r="P44" s="349"/>
      <c r="Q44" s="349"/>
      <c r="R44" s="349"/>
      <c r="S44" s="349"/>
      <c r="T44" s="349"/>
      <c r="U44" s="349"/>
    </row>
    <row r="45" ht="15.75" customHeight="1">
      <c r="A45" s="12" t="s">
        <v>6</v>
      </c>
      <c r="B45" s="13"/>
      <c r="C45" s="14"/>
      <c r="D45" s="12" t="s">
        <v>7</v>
      </c>
      <c r="E45" s="13"/>
      <c r="F45" s="14"/>
      <c r="G45" s="12" t="s">
        <v>8</v>
      </c>
      <c r="H45" s="13"/>
      <c r="I45" s="14"/>
      <c r="J45" s="12" t="s">
        <v>9</v>
      </c>
      <c r="K45" s="13"/>
      <c r="L45" s="14"/>
      <c r="M45" s="12" t="s">
        <v>10</v>
      </c>
      <c r="N45" s="13"/>
      <c r="O45" s="14"/>
      <c r="P45" s="12" t="s">
        <v>11</v>
      </c>
      <c r="Q45" s="13"/>
      <c r="R45" s="14"/>
      <c r="S45" s="15" t="s">
        <v>12</v>
      </c>
      <c r="T45" s="13"/>
      <c r="U45" s="14"/>
    </row>
    <row r="46" ht="15.75" customHeight="1">
      <c r="A46" s="16">
        <f>S38+1</f>
        <v>46111</v>
      </c>
      <c r="B46" s="13"/>
      <c r="C46" s="14"/>
      <c r="D46" s="16">
        <f>A46+1</f>
        <v>46112</v>
      </c>
      <c r="E46" s="13"/>
      <c r="F46" s="14"/>
      <c r="G46" s="16">
        <f>D46+1</f>
        <v>46113</v>
      </c>
      <c r="H46" s="13"/>
      <c r="I46" s="14"/>
      <c r="J46" s="16">
        <f>G46+1</f>
        <v>46114</v>
      </c>
      <c r="K46" s="13"/>
      <c r="L46" s="14"/>
      <c r="M46" s="16">
        <f>J46+1</f>
        <v>46115</v>
      </c>
      <c r="N46" s="13"/>
      <c r="O46" s="14"/>
      <c r="P46" s="16">
        <f>M46+1</f>
        <v>46116</v>
      </c>
      <c r="Q46" s="13"/>
      <c r="R46" s="14"/>
      <c r="S46" s="184"/>
      <c r="T46" s="13"/>
      <c r="U46" s="14"/>
    </row>
    <row r="47" ht="15.75" customHeight="1">
      <c r="A47" s="209"/>
      <c r="B47" s="209"/>
      <c r="C47" s="209"/>
      <c r="D47" s="154"/>
      <c r="E47" s="154"/>
      <c r="F47" s="154"/>
      <c r="G47" s="361"/>
      <c r="H47" s="362"/>
      <c r="I47" s="362"/>
      <c r="J47" s="363"/>
      <c r="K47" s="363"/>
      <c r="L47" s="363"/>
      <c r="M47" s="349"/>
      <c r="N47" s="349"/>
      <c r="O47" s="349"/>
      <c r="P47" s="349"/>
      <c r="Q47" s="349"/>
      <c r="R47" s="349"/>
      <c r="S47" s="363"/>
      <c r="T47" s="363"/>
      <c r="U47" s="363"/>
    </row>
    <row r="48" ht="15.75" customHeight="1">
      <c r="A48" s="24" t="s">
        <v>263</v>
      </c>
      <c r="B48" s="24" t="s">
        <v>264</v>
      </c>
      <c r="C48" s="35"/>
      <c r="D48" s="120" t="s">
        <v>168</v>
      </c>
      <c r="E48" s="120" t="s">
        <v>60</v>
      </c>
      <c r="F48" s="120" t="s">
        <v>355</v>
      </c>
      <c r="G48" s="349"/>
      <c r="H48" s="349"/>
      <c r="I48" s="349"/>
      <c r="J48" s="363"/>
      <c r="K48" s="363"/>
      <c r="L48" s="363"/>
      <c r="M48" s="363"/>
      <c r="N48" s="363"/>
      <c r="O48" s="364"/>
      <c r="P48" s="349"/>
      <c r="Q48" s="349"/>
      <c r="R48" s="349"/>
      <c r="S48" s="349"/>
      <c r="T48" s="349"/>
      <c r="U48" s="349"/>
    </row>
    <row r="49" ht="15.75" customHeight="1">
      <c r="A49" s="349"/>
      <c r="B49" s="349"/>
      <c r="C49" s="349"/>
      <c r="D49" s="357" t="s">
        <v>388</v>
      </c>
      <c r="E49" s="357" t="s">
        <v>59</v>
      </c>
      <c r="F49" s="357" t="s">
        <v>24</v>
      </c>
      <c r="G49" s="349"/>
      <c r="H49" s="349"/>
      <c r="I49" s="349"/>
      <c r="J49" s="349"/>
      <c r="K49" s="349"/>
      <c r="L49" s="349"/>
      <c r="M49" s="349"/>
      <c r="N49" s="349"/>
      <c r="O49" s="349"/>
      <c r="P49" s="349"/>
      <c r="Q49" s="349"/>
      <c r="R49" s="349"/>
      <c r="S49" s="349"/>
      <c r="T49" s="349"/>
      <c r="U49" s="349"/>
    </row>
    <row r="50" ht="15.75" customHeight="1">
      <c r="A50" s="352" t="s">
        <v>395</v>
      </c>
      <c r="B50" s="352" t="s">
        <v>111</v>
      </c>
      <c r="C50" s="352" t="s">
        <v>24</v>
      </c>
      <c r="D50" s="349" t="s">
        <v>359</v>
      </c>
      <c r="E50" s="351" t="s">
        <v>64</v>
      </c>
      <c r="F50" s="120" t="s">
        <v>355</v>
      </c>
      <c r="G50" s="349"/>
      <c r="H50" s="349"/>
      <c r="I50" s="349"/>
      <c r="J50" s="349"/>
      <c r="K50" s="349"/>
      <c r="L50" s="349"/>
      <c r="M50" s="349"/>
      <c r="N50" s="349"/>
      <c r="O50" s="349"/>
      <c r="P50" s="349"/>
      <c r="Q50" s="349"/>
      <c r="R50" s="349"/>
      <c r="S50" s="363"/>
      <c r="T50" s="363"/>
      <c r="U50" s="363"/>
    </row>
    <row r="51" ht="15.75" customHeight="1">
      <c r="A51" s="24" t="s">
        <v>363</v>
      </c>
      <c r="B51" s="351" t="s">
        <v>229</v>
      </c>
      <c r="C51" s="352" t="s">
        <v>24</v>
      </c>
      <c r="D51" s="351" t="s">
        <v>396</v>
      </c>
      <c r="E51" s="349" t="s">
        <v>95</v>
      </c>
      <c r="F51" s="120" t="s">
        <v>355</v>
      </c>
      <c r="G51" s="349"/>
      <c r="H51" s="349"/>
      <c r="I51" s="363"/>
      <c r="J51" s="349"/>
      <c r="K51" s="349"/>
      <c r="L51" s="349"/>
      <c r="M51" s="349"/>
      <c r="N51" s="349"/>
      <c r="O51" s="349"/>
      <c r="P51" s="349"/>
      <c r="Q51" s="349"/>
      <c r="R51" s="349"/>
      <c r="S51" s="349"/>
      <c r="T51" s="349"/>
      <c r="U51" s="349"/>
    </row>
    <row r="52" ht="15.75" customHeight="1">
      <c r="A52" s="363"/>
      <c r="B52" s="363"/>
      <c r="C52" s="363"/>
      <c r="D52" s="349"/>
      <c r="E52" s="349"/>
      <c r="F52" s="154"/>
      <c r="G52" s="363"/>
      <c r="H52" s="363"/>
      <c r="I52" s="363"/>
      <c r="J52" s="349"/>
      <c r="K52" s="349"/>
      <c r="L52" s="349"/>
      <c r="M52" s="363"/>
      <c r="N52" s="363"/>
      <c r="O52" s="363"/>
      <c r="P52" s="349"/>
      <c r="Q52" s="349"/>
      <c r="R52" s="349"/>
      <c r="S52" s="363"/>
      <c r="T52" s="363"/>
      <c r="U52" s="363"/>
    </row>
    <row r="53" ht="15.75" customHeight="1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</row>
    <row r="54" ht="15.75" customHeight="1">
      <c r="A54" s="83" t="s">
        <v>76</v>
      </c>
      <c r="B54" s="84"/>
      <c r="G54" s="365" t="s">
        <v>397</v>
      </c>
      <c r="H54" s="364"/>
    </row>
    <row r="55" ht="15.75" customHeight="1">
      <c r="A55" s="85"/>
      <c r="B55" s="86" t="s">
        <v>77</v>
      </c>
      <c r="C55" s="87"/>
      <c r="D55" s="88"/>
      <c r="G55" s="366" t="s">
        <v>398</v>
      </c>
      <c r="H55" s="14"/>
    </row>
    <row r="56" ht="15.75" customHeight="1">
      <c r="A56" s="92"/>
      <c r="B56" s="86" t="s">
        <v>78</v>
      </c>
      <c r="C56" s="87"/>
      <c r="G56" s="359" t="s">
        <v>399</v>
      </c>
    </row>
    <row r="57" ht="15.75" customHeight="1">
      <c r="A57" s="95"/>
      <c r="B57" s="86" t="s">
        <v>79</v>
      </c>
      <c r="C57" s="87"/>
    </row>
    <row r="58" ht="15.75" customHeight="1">
      <c r="A58" s="96"/>
      <c r="B58" s="86" t="s">
        <v>80</v>
      </c>
      <c r="C58" s="87"/>
    </row>
    <row r="59" ht="15.75" customHeight="1"/>
    <row r="60" ht="15.75" customHeight="1"/>
    <row r="61" ht="15.75" customHeight="1"/>
    <row r="62" ht="15.75" customHeight="1"/>
    <row r="63" ht="15.75" customHeight="1">
      <c r="L63" s="102" t="s">
        <v>50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3">
    <mergeCell ref="A21:C21"/>
    <mergeCell ref="D21:F21"/>
    <mergeCell ref="G21:I21"/>
    <mergeCell ref="J21:L21"/>
    <mergeCell ref="M21:O21"/>
    <mergeCell ref="P21:R21"/>
    <mergeCell ref="S21:U21"/>
    <mergeCell ref="D22:F22"/>
    <mergeCell ref="G22:I22"/>
    <mergeCell ref="J22:L22"/>
    <mergeCell ref="M22:O22"/>
    <mergeCell ref="P22:R22"/>
    <mergeCell ref="S22:U22"/>
    <mergeCell ref="S24:U24"/>
    <mergeCell ref="A22:C22"/>
    <mergeCell ref="D29:F29"/>
    <mergeCell ref="G29:I29"/>
    <mergeCell ref="J29:L29"/>
    <mergeCell ref="M29:O29"/>
    <mergeCell ref="P29:R29"/>
    <mergeCell ref="S29:U29"/>
    <mergeCell ref="A29:C29"/>
    <mergeCell ref="A30:C30"/>
    <mergeCell ref="D30:F30"/>
    <mergeCell ref="G30:I30"/>
    <mergeCell ref="J30:L30"/>
    <mergeCell ref="P30:R30"/>
    <mergeCell ref="S30:U30"/>
    <mergeCell ref="P37:R37"/>
    <mergeCell ref="S37:U37"/>
    <mergeCell ref="M30:O30"/>
    <mergeCell ref="M33:O33"/>
    <mergeCell ref="P33:R33"/>
    <mergeCell ref="S33:U33"/>
    <mergeCell ref="A37:C37"/>
    <mergeCell ref="D37:F37"/>
    <mergeCell ref="G37:I37"/>
    <mergeCell ref="P38:R38"/>
    <mergeCell ref="S38:U38"/>
    <mergeCell ref="S40:U40"/>
    <mergeCell ref="J37:L37"/>
    <mergeCell ref="M37:O37"/>
    <mergeCell ref="A38:C38"/>
    <mergeCell ref="D38:F38"/>
    <mergeCell ref="G38:I38"/>
    <mergeCell ref="J38:L38"/>
    <mergeCell ref="M38:O38"/>
    <mergeCell ref="A41:C41"/>
    <mergeCell ref="D45:F45"/>
    <mergeCell ref="G45:I45"/>
    <mergeCell ref="J45:L45"/>
    <mergeCell ref="M45:O45"/>
    <mergeCell ref="P45:R45"/>
    <mergeCell ref="S45:U45"/>
    <mergeCell ref="A45:C45"/>
    <mergeCell ref="D46:F46"/>
    <mergeCell ref="G46:I46"/>
    <mergeCell ref="J46:L46"/>
    <mergeCell ref="M46:O46"/>
    <mergeCell ref="P46:R46"/>
    <mergeCell ref="S46:U46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9:U9"/>
    <mergeCell ref="S17:U17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46:C46"/>
    <mergeCell ref="B54:D54"/>
    <mergeCell ref="G55:H55"/>
  </mergeCells>
  <printOptions/>
  <pageMargins bottom="0.15" footer="0.0" header="0.0" left="0.46" right="0.34" top="0.28"/>
  <pageSetup fitToHeight="0" paperSize="11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2.57"/>
    <col customWidth="1" min="3" max="3" width="7.86"/>
    <col customWidth="1" min="4" max="4" width="16.0"/>
    <col customWidth="1" min="5" max="5" width="11.43"/>
    <col customWidth="1" min="6" max="6" width="7.43"/>
    <col customWidth="1" min="7" max="7" width="15.14"/>
    <col customWidth="1" min="8" max="8" width="11.43"/>
    <col customWidth="1" min="9" max="9" width="7.71"/>
    <col customWidth="1" min="10" max="10" width="17.86"/>
    <col customWidth="1" min="11" max="11" width="11.43"/>
    <col customWidth="1" min="12" max="12" width="7.71"/>
    <col customWidth="1" min="13" max="13" width="16.86"/>
    <col customWidth="1" min="14" max="14" width="11.43"/>
    <col customWidth="1" min="15" max="15" width="7.71"/>
    <col customWidth="1" min="16" max="16" width="17.0"/>
    <col customWidth="1" min="17" max="17" width="11.71"/>
    <col customWidth="1" min="18" max="18" width="7.71"/>
    <col customWidth="1" min="19" max="19" width="16.71"/>
    <col customWidth="1" min="20" max="20" width="11.57"/>
    <col customWidth="1" min="21" max="21" width="9.57"/>
    <col customWidth="1" min="22" max="22" width="8.71"/>
    <col customWidth="1" min="23" max="23" width="4.0"/>
    <col customWidth="1" min="24" max="24" width="20.43"/>
    <col customWidth="1" min="25" max="25" width="12.29"/>
    <col customWidth="1" min="26" max="26" width="8.71"/>
  </cols>
  <sheetData>
    <row r="1" ht="22.5" customHeight="1">
      <c r="A1" s="367" t="s">
        <v>50</v>
      </c>
      <c r="C1" s="368" t="s">
        <v>400</v>
      </c>
      <c r="F1" s="369"/>
      <c r="G1" s="370" t="s">
        <v>1</v>
      </c>
      <c r="Q1" s="369"/>
      <c r="R1" s="56"/>
      <c r="S1" s="56"/>
      <c r="T1" s="56"/>
      <c r="U1" s="56"/>
      <c r="V1" s="56"/>
      <c r="W1" s="56"/>
      <c r="X1" s="56"/>
      <c r="Y1" s="56"/>
      <c r="Z1" s="56"/>
    </row>
    <row r="2">
      <c r="A2" s="91" t="s">
        <v>2</v>
      </c>
      <c r="C2" s="368" t="s">
        <v>3</v>
      </c>
      <c r="F2" s="369"/>
      <c r="Q2" s="369"/>
      <c r="R2" s="56"/>
      <c r="S2" s="56"/>
      <c r="T2" s="56"/>
      <c r="U2" s="56"/>
      <c r="V2" s="56"/>
      <c r="W2" s="56"/>
      <c r="X2" s="56"/>
      <c r="Y2" s="56"/>
      <c r="Z2" s="56"/>
    </row>
    <row r="3">
      <c r="A3" s="91" t="s">
        <v>4</v>
      </c>
      <c r="C3" s="371" t="s">
        <v>83</v>
      </c>
      <c r="F3" s="369"/>
      <c r="Q3" s="369"/>
      <c r="R3" s="56"/>
      <c r="S3" s="56"/>
      <c r="T3" s="56"/>
      <c r="U3" s="56"/>
      <c r="V3" s="56"/>
      <c r="W3" s="56"/>
      <c r="X3" s="56"/>
      <c r="Y3" s="56"/>
      <c r="Z3" s="56"/>
    </row>
    <row r="4">
      <c r="A4" s="91" t="s">
        <v>5</v>
      </c>
      <c r="C4" s="371" t="s">
        <v>83</v>
      </c>
      <c r="F4" s="369"/>
      <c r="G4" s="369"/>
      <c r="H4" s="369"/>
      <c r="I4" s="369"/>
      <c r="J4" s="369"/>
      <c r="K4" s="369"/>
      <c r="L4" s="369"/>
      <c r="M4" s="369"/>
      <c r="N4" s="369"/>
      <c r="O4" s="369"/>
      <c r="P4" s="369"/>
      <c r="Q4" s="369"/>
      <c r="R4" s="56"/>
      <c r="S4" s="56"/>
      <c r="T4" s="56"/>
      <c r="U4" s="56"/>
      <c r="V4" s="56"/>
      <c r="W4" s="56"/>
      <c r="X4" s="56"/>
      <c r="Y4" s="56"/>
      <c r="Z4" s="56"/>
    </row>
    <row r="5">
      <c r="A5" s="12" t="s">
        <v>6</v>
      </c>
      <c r="B5" s="13"/>
      <c r="C5" s="14"/>
      <c r="D5" s="12" t="s">
        <v>7</v>
      </c>
      <c r="E5" s="13"/>
      <c r="F5" s="14"/>
      <c r="G5" s="12" t="s">
        <v>8</v>
      </c>
      <c r="H5" s="13"/>
      <c r="I5" s="14"/>
      <c r="J5" s="12" t="s">
        <v>9</v>
      </c>
      <c r="K5" s="13"/>
      <c r="L5" s="14"/>
      <c r="M5" s="12" t="s">
        <v>10</v>
      </c>
      <c r="N5" s="13"/>
      <c r="O5" s="14"/>
      <c r="P5" s="12" t="s">
        <v>11</v>
      </c>
      <c r="Q5" s="13"/>
      <c r="R5" s="14"/>
      <c r="S5" s="15" t="s">
        <v>12</v>
      </c>
      <c r="T5" s="13"/>
      <c r="U5" s="14"/>
      <c r="V5" s="56"/>
      <c r="W5" s="56"/>
      <c r="X5" s="56"/>
      <c r="Y5" s="56"/>
      <c r="Z5" s="56"/>
    </row>
    <row r="6">
      <c r="A6" s="372"/>
      <c r="B6" s="13"/>
      <c r="C6" s="14"/>
      <c r="D6" s="372"/>
      <c r="E6" s="13"/>
      <c r="F6" s="14"/>
      <c r="G6" s="372"/>
      <c r="H6" s="13"/>
      <c r="I6" s="14"/>
      <c r="J6" s="16"/>
      <c r="K6" s="13"/>
      <c r="L6" s="14"/>
      <c r="M6" s="16"/>
      <c r="N6" s="13"/>
      <c r="O6" s="14"/>
      <c r="P6" s="16"/>
      <c r="Q6" s="13"/>
      <c r="R6" s="14"/>
      <c r="S6" s="373">
        <v>46082.0</v>
      </c>
      <c r="T6" s="13"/>
      <c r="U6" s="14"/>
      <c r="V6" s="56"/>
      <c r="W6" s="56"/>
      <c r="X6" s="56"/>
      <c r="Y6" s="56"/>
      <c r="Z6" s="56"/>
    </row>
    <row r="7">
      <c r="A7" s="194"/>
      <c r="B7" s="194"/>
      <c r="C7" s="194"/>
      <c r="D7" s="194"/>
      <c r="E7" s="194"/>
      <c r="F7" s="194"/>
      <c r="G7" s="194"/>
      <c r="H7" s="194"/>
      <c r="I7" s="194"/>
      <c r="J7" s="41"/>
      <c r="K7" s="194"/>
      <c r="L7" s="194"/>
      <c r="M7" s="194"/>
      <c r="N7" s="194"/>
      <c r="O7" s="194"/>
      <c r="P7" s="194"/>
      <c r="Q7" s="194"/>
      <c r="R7" s="194"/>
      <c r="S7" s="35"/>
      <c r="T7" s="35"/>
      <c r="U7" s="35"/>
      <c r="V7" s="56"/>
      <c r="W7" s="56"/>
      <c r="X7" s="56"/>
      <c r="Y7" s="56"/>
      <c r="Z7" s="56"/>
    </row>
    <row r="8">
      <c r="A8" s="35"/>
      <c r="B8" s="35"/>
      <c r="C8" s="35"/>
      <c r="D8" s="35"/>
      <c r="E8" s="35"/>
      <c r="F8" s="35"/>
      <c r="G8" s="35"/>
      <c r="H8" s="35"/>
      <c r="I8" s="35"/>
      <c r="J8" s="41"/>
      <c r="K8" s="194"/>
      <c r="L8" s="194"/>
      <c r="M8" s="194"/>
      <c r="N8" s="194"/>
      <c r="O8" s="194"/>
      <c r="P8" s="35"/>
      <c r="Q8" s="35"/>
      <c r="R8" s="35"/>
      <c r="S8" s="35"/>
      <c r="T8" s="35"/>
      <c r="U8" s="35"/>
      <c r="V8" s="56"/>
      <c r="W8" s="56"/>
      <c r="X8" s="56"/>
      <c r="Y8" s="56"/>
      <c r="Z8" s="56"/>
    </row>
    <row r="9">
      <c r="A9" s="194"/>
      <c r="B9" s="194"/>
      <c r="C9" s="194"/>
      <c r="D9" s="41"/>
      <c r="E9" s="41"/>
      <c r="F9" s="35"/>
      <c r="G9" s="194"/>
      <c r="H9" s="194"/>
      <c r="I9" s="194"/>
      <c r="J9" s="374"/>
      <c r="K9" s="375"/>
      <c r="L9" s="376"/>
      <c r="M9" s="112"/>
      <c r="N9" s="112"/>
      <c r="O9" s="112"/>
      <c r="P9" s="24"/>
      <c r="Q9" s="24"/>
      <c r="R9" s="112"/>
      <c r="S9" s="35"/>
      <c r="T9" s="35"/>
      <c r="U9" s="35"/>
      <c r="V9" s="56"/>
      <c r="W9" s="181" t="s">
        <v>14</v>
      </c>
      <c r="X9" s="377" t="s">
        <v>144</v>
      </c>
      <c r="Y9" s="219" t="s">
        <v>16</v>
      </c>
      <c r="Z9" s="56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194"/>
      <c r="M10" s="123"/>
      <c r="N10" s="123"/>
      <c r="O10" s="123"/>
      <c r="P10" s="41"/>
      <c r="Q10" s="35"/>
      <c r="R10" s="41"/>
      <c r="S10" s="120" t="s">
        <v>151</v>
      </c>
      <c r="T10" s="120" t="s">
        <v>152</v>
      </c>
      <c r="U10" s="120" t="s">
        <v>36</v>
      </c>
      <c r="V10" s="56"/>
      <c r="W10" s="186">
        <v>1.0</v>
      </c>
      <c r="X10" s="378" t="s">
        <v>401</v>
      </c>
      <c r="Y10" s="379">
        <f t="shared" ref="Y10:Y38" si="1">COUNTIF($A$5:$U$51,X10)</f>
        <v>0</v>
      </c>
      <c r="Z10" s="56"/>
    </row>
    <row r="11">
      <c r="A11" s="41"/>
      <c r="B11" s="41"/>
      <c r="C11" s="35"/>
      <c r="D11" s="41"/>
      <c r="E11" s="41"/>
      <c r="F11" s="35"/>
      <c r="G11" s="41"/>
      <c r="H11" s="41"/>
      <c r="I11" s="35"/>
      <c r="J11" s="35"/>
      <c r="K11" s="35"/>
      <c r="L11" s="35"/>
      <c r="M11" s="41"/>
      <c r="N11" s="41"/>
      <c r="O11" s="41"/>
      <c r="P11" s="118"/>
      <c r="Q11" s="118"/>
      <c r="R11" s="118"/>
      <c r="S11" s="194"/>
      <c r="T11" s="194"/>
      <c r="U11" s="194"/>
      <c r="V11" s="56"/>
      <c r="W11" s="186">
        <v>2.0</v>
      </c>
      <c r="X11" s="380"/>
      <c r="Y11" s="379">
        <f t="shared" si="1"/>
        <v>0</v>
      </c>
      <c r="Z11" s="56"/>
    </row>
    <row r="12">
      <c r="A12" s="194"/>
      <c r="B12" s="194"/>
      <c r="C12" s="194"/>
      <c r="D12" s="194"/>
      <c r="E12" s="194"/>
      <c r="F12" s="194"/>
      <c r="G12" s="194"/>
      <c r="H12" s="194"/>
      <c r="I12" s="194"/>
      <c r="J12" s="41"/>
      <c r="K12" s="194"/>
      <c r="L12" s="194"/>
      <c r="M12" s="41"/>
      <c r="N12" s="41"/>
      <c r="O12" s="41"/>
      <c r="P12" s="118"/>
      <c r="Q12" s="118"/>
      <c r="R12" s="118"/>
      <c r="S12" s="194"/>
      <c r="T12" s="194"/>
      <c r="U12" s="194"/>
      <c r="V12" s="56"/>
      <c r="W12" s="186">
        <v>3.0</v>
      </c>
      <c r="X12" s="378" t="s">
        <v>327</v>
      </c>
      <c r="Y12" s="379">
        <f t="shared" si="1"/>
        <v>0</v>
      </c>
      <c r="Z12" s="56"/>
    </row>
    <row r="13">
      <c r="A13" s="381" t="s">
        <v>6</v>
      </c>
      <c r="B13" s="13"/>
      <c r="C13" s="14"/>
      <c r="D13" s="381" t="s">
        <v>7</v>
      </c>
      <c r="E13" s="13"/>
      <c r="F13" s="14"/>
      <c r="G13" s="381" t="s">
        <v>8</v>
      </c>
      <c r="H13" s="13"/>
      <c r="I13" s="14"/>
      <c r="J13" s="381" t="s">
        <v>9</v>
      </c>
      <c r="K13" s="13"/>
      <c r="L13" s="14"/>
      <c r="M13" s="381" t="s">
        <v>85</v>
      </c>
      <c r="N13" s="13"/>
      <c r="O13" s="14"/>
      <c r="P13" s="381" t="s">
        <v>86</v>
      </c>
      <c r="Q13" s="13"/>
      <c r="R13" s="14"/>
      <c r="S13" s="382" t="s">
        <v>12</v>
      </c>
      <c r="T13" s="13"/>
      <c r="U13" s="14"/>
      <c r="V13" s="56"/>
      <c r="W13" s="186">
        <v>4.0</v>
      </c>
      <c r="X13" s="378" t="s">
        <v>402</v>
      </c>
      <c r="Y13" s="379">
        <f t="shared" si="1"/>
        <v>0</v>
      </c>
      <c r="Z13" s="56"/>
    </row>
    <row r="14">
      <c r="A14" s="383">
        <f>S6+1</f>
        <v>46083</v>
      </c>
      <c r="B14" s="13"/>
      <c r="C14" s="14"/>
      <c r="D14" s="383">
        <f>A14+1</f>
        <v>46084</v>
      </c>
      <c r="E14" s="13"/>
      <c r="F14" s="14"/>
      <c r="G14" s="383">
        <f>D14+1</f>
        <v>46085</v>
      </c>
      <c r="H14" s="13"/>
      <c r="I14" s="14"/>
      <c r="J14" s="383">
        <f>G14+1</f>
        <v>46086</v>
      </c>
      <c r="K14" s="13"/>
      <c r="L14" s="14"/>
      <c r="M14" s="383">
        <f>J14+1</f>
        <v>46087</v>
      </c>
      <c r="N14" s="13"/>
      <c r="O14" s="14"/>
      <c r="P14" s="383">
        <f>M14+1</f>
        <v>46088</v>
      </c>
      <c r="Q14" s="13"/>
      <c r="R14" s="14"/>
      <c r="S14" s="384">
        <f>P14+1</f>
        <v>46089</v>
      </c>
      <c r="T14" s="13"/>
      <c r="U14" s="14"/>
      <c r="V14" s="56"/>
      <c r="W14" s="186">
        <v>5.0</v>
      </c>
      <c r="X14" s="378" t="s">
        <v>151</v>
      </c>
      <c r="Y14" s="379">
        <f t="shared" si="1"/>
        <v>3</v>
      </c>
      <c r="Z14" s="56"/>
    </row>
    <row r="15">
      <c r="A15" s="35"/>
      <c r="B15" s="35"/>
      <c r="C15" s="35"/>
      <c r="D15" s="41"/>
      <c r="E15" s="41"/>
      <c r="F15" s="41"/>
      <c r="G15" s="24"/>
      <c r="H15" s="24"/>
      <c r="I15" s="24"/>
      <c r="J15" s="24"/>
      <c r="K15" s="123"/>
      <c r="L15" s="24"/>
      <c r="M15" s="24"/>
      <c r="N15" s="47"/>
      <c r="O15" s="24"/>
      <c r="P15" s="41"/>
      <c r="Q15" s="41"/>
      <c r="R15" s="41"/>
      <c r="S15" s="194"/>
      <c r="T15" s="194"/>
      <c r="U15" s="194"/>
      <c r="V15" s="56"/>
      <c r="W15" s="186">
        <v>6.0</v>
      </c>
      <c r="X15" s="378" t="s">
        <v>147</v>
      </c>
      <c r="Y15" s="379">
        <f t="shared" si="1"/>
        <v>3</v>
      </c>
      <c r="Z15" s="56"/>
    </row>
    <row r="16" ht="13.5" customHeight="1">
      <c r="A16" s="123"/>
      <c r="B16" s="123"/>
      <c r="C16" s="47"/>
      <c r="D16" s="37" t="s">
        <v>17</v>
      </c>
      <c r="E16" s="37" t="s">
        <v>25</v>
      </c>
      <c r="F16" s="37" t="s">
        <v>24</v>
      </c>
      <c r="G16" s="24" t="s">
        <v>170</v>
      </c>
      <c r="H16" s="223" t="s">
        <v>184</v>
      </c>
      <c r="I16" s="24" t="s">
        <v>24</v>
      </c>
      <c r="J16" s="44" t="s">
        <v>39</v>
      </c>
      <c r="K16" s="44" t="s">
        <v>40</v>
      </c>
      <c r="L16" s="45"/>
      <c r="M16" s="123"/>
      <c r="N16" s="123"/>
      <c r="O16" s="47"/>
      <c r="P16" s="41"/>
      <c r="Q16" s="41"/>
      <c r="R16" s="41"/>
      <c r="S16" s="193" t="s">
        <v>147</v>
      </c>
      <c r="T16" s="193" t="s">
        <v>148</v>
      </c>
      <c r="U16" s="193" t="s">
        <v>24</v>
      </c>
      <c r="V16" s="56"/>
      <c r="W16" s="186">
        <v>7.0</v>
      </c>
      <c r="X16" s="380"/>
      <c r="Y16" s="379">
        <f t="shared" si="1"/>
        <v>0</v>
      </c>
      <c r="Z16" s="56"/>
    </row>
    <row r="17" ht="15.0" customHeight="1">
      <c r="A17" s="123"/>
      <c r="B17" s="123"/>
      <c r="C17" s="47"/>
      <c r="D17" s="41"/>
      <c r="E17" s="35"/>
      <c r="F17" s="42" t="s">
        <v>36</v>
      </c>
      <c r="G17" s="205"/>
      <c r="H17" s="205"/>
      <c r="I17" s="42" t="s">
        <v>36</v>
      </c>
      <c r="J17" s="41"/>
      <c r="K17" s="41"/>
      <c r="L17" s="41"/>
      <c r="M17" s="24"/>
      <c r="N17" s="47"/>
      <c r="O17" s="24"/>
      <c r="V17" s="56"/>
      <c r="W17" s="186">
        <v>8.0</v>
      </c>
      <c r="X17" s="380"/>
      <c r="Y17" s="379">
        <f t="shared" si="1"/>
        <v>0</v>
      </c>
      <c r="Z17" s="56"/>
    </row>
    <row r="18" ht="15.75" customHeight="1">
      <c r="A18" s="112" t="s">
        <v>403</v>
      </c>
      <c r="B18" s="24" t="s">
        <v>404</v>
      </c>
      <c r="C18" s="47" t="s">
        <v>48</v>
      </c>
      <c r="D18" s="24" t="s">
        <v>18</v>
      </c>
      <c r="E18" s="24" t="s">
        <v>49</v>
      </c>
      <c r="F18" s="24" t="s">
        <v>24</v>
      </c>
      <c r="G18" s="24" t="s">
        <v>226</v>
      </c>
      <c r="H18" s="24" t="s">
        <v>227</v>
      </c>
      <c r="I18" s="49" t="s">
        <v>48</v>
      </c>
      <c r="J18" s="218" t="s">
        <v>13</v>
      </c>
      <c r="K18" s="13"/>
      <c r="L18" s="14"/>
      <c r="M18" s="193" t="s">
        <v>147</v>
      </c>
      <c r="N18" s="193" t="s">
        <v>152</v>
      </c>
      <c r="O18" s="132" t="s">
        <v>48</v>
      </c>
      <c r="P18" s="24" t="s">
        <v>166</v>
      </c>
      <c r="Q18" s="24" t="s">
        <v>405</v>
      </c>
      <c r="R18" s="49" t="s">
        <v>48</v>
      </c>
      <c r="S18" s="24"/>
      <c r="T18" s="24"/>
      <c r="U18" s="24"/>
      <c r="V18" s="56"/>
      <c r="W18" s="186">
        <v>9.0</v>
      </c>
      <c r="X18" s="378" t="s">
        <v>166</v>
      </c>
      <c r="Y18" s="379">
        <f t="shared" si="1"/>
        <v>2</v>
      </c>
      <c r="Z18" s="56"/>
    </row>
    <row r="19" ht="15.0" customHeight="1">
      <c r="A19" s="47" t="s">
        <v>406</v>
      </c>
      <c r="B19" s="47" t="s">
        <v>353</v>
      </c>
      <c r="C19" s="24" t="s">
        <v>355</v>
      </c>
      <c r="D19" s="34"/>
      <c r="E19" s="34"/>
      <c r="F19" s="49" t="s">
        <v>48</v>
      </c>
      <c r="G19" s="385" t="s">
        <v>407</v>
      </c>
      <c r="H19" s="24" t="s">
        <v>404</v>
      </c>
      <c r="I19" s="385" t="s">
        <v>24</v>
      </c>
      <c r="J19" s="41"/>
      <c r="K19" s="41"/>
      <c r="L19" s="41"/>
      <c r="M19" s="41"/>
      <c r="N19" s="41"/>
      <c r="O19" s="41"/>
      <c r="P19" s="41"/>
      <c r="Q19" s="41"/>
      <c r="R19" s="41"/>
      <c r="S19" s="120" t="s">
        <v>151</v>
      </c>
      <c r="T19" s="120" t="s">
        <v>152</v>
      </c>
      <c r="U19" s="49" t="s">
        <v>48</v>
      </c>
      <c r="V19" s="56"/>
      <c r="W19" s="186">
        <v>10.0</v>
      </c>
      <c r="X19" s="378" t="s">
        <v>19</v>
      </c>
      <c r="Y19" s="379">
        <f t="shared" si="1"/>
        <v>1</v>
      </c>
      <c r="Z19" s="56"/>
    </row>
    <row r="20" ht="15.0" customHeight="1">
      <c r="A20" s="194"/>
      <c r="B20" s="194"/>
      <c r="C20" s="194"/>
      <c r="D20" s="41"/>
      <c r="E20" s="41"/>
      <c r="F20" s="41"/>
      <c r="G20" s="385" t="s">
        <v>408</v>
      </c>
      <c r="H20" s="385" t="s">
        <v>377</v>
      </c>
      <c r="I20" s="385" t="s">
        <v>24</v>
      </c>
      <c r="J20" s="41"/>
      <c r="K20" s="41"/>
      <c r="L20" s="41"/>
      <c r="M20" s="41"/>
      <c r="N20" s="41"/>
      <c r="O20" s="41"/>
      <c r="P20" s="41"/>
      <c r="Q20" s="41"/>
      <c r="R20" s="41"/>
      <c r="S20" s="194"/>
      <c r="T20" s="194"/>
      <c r="U20" s="194"/>
      <c r="V20" s="56"/>
      <c r="W20" s="186">
        <v>11.0</v>
      </c>
      <c r="X20" s="378" t="s">
        <v>18</v>
      </c>
      <c r="Y20" s="379">
        <f t="shared" si="1"/>
        <v>1</v>
      </c>
      <c r="Z20" s="56"/>
    </row>
    <row r="21" ht="15.75" customHeight="1">
      <c r="A21" s="386" t="s">
        <v>118</v>
      </c>
      <c r="B21" s="13"/>
      <c r="C21" s="14"/>
      <c r="D21" s="386" t="s">
        <v>7</v>
      </c>
      <c r="E21" s="13"/>
      <c r="F21" s="14"/>
      <c r="G21" s="386" t="s">
        <v>119</v>
      </c>
      <c r="H21" s="13"/>
      <c r="I21" s="14"/>
      <c r="J21" s="386" t="s">
        <v>9</v>
      </c>
      <c r="K21" s="13"/>
      <c r="L21" s="14"/>
      <c r="M21" s="386" t="s">
        <v>10</v>
      </c>
      <c r="N21" s="13"/>
      <c r="O21" s="14"/>
      <c r="P21" s="386" t="s">
        <v>86</v>
      </c>
      <c r="Q21" s="13"/>
      <c r="R21" s="14"/>
      <c r="S21" s="387" t="s">
        <v>120</v>
      </c>
      <c r="T21" s="13"/>
      <c r="U21" s="14"/>
      <c r="V21" s="56"/>
      <c r="W21" s="186">
        <v>12.0</v>
      </c>
      <c r="X21" s="380"/>
      <c r="Y21" s="379">
        <f t="shared" si="1"/>
        <v>0</v>
      </c>
      <c r="Z21" s="56"/>
    </row>
    <row r="22" ht="15.75" customHeight="1">
      <c r="A22" s="61">
        <f>S14+1</f>
        <v>46090</v>
      </c>
      <c r="B22" s="13"/>
      <c r="C22" s="14"/>
      <c r="D22" s="61">
        <f>A22+1</f>
        <v>46091</v>
      </c>
      <c r="E22" s="13"/>
      <c r="F22" s="14"/>
      <c r="G22" s="61">
        <f>D22+1</f>
        <v>46092</v>
      </c>
      <c r="H22" s="13"/>
      <c r="I22" s="14"/>
      <c r="J22" s="61">
        <f>G22+1</f>
        <v>46093</v>
      </c>
      <c r="K22" s="13"/>
      <c r="L22" s="14"/>
      <c r="M22" s="61">
        <f>J22+1</f>
        <v>46094</v>
      </c>
      <c r="N22" s="13"/>
      <c r="O22" s="14"/>
      <c r="P22" s="61">
        <f>M22+1</f>
        <v>46095</v>
      </c>
      <c r="Q22" s="13"/>
      <c r="R22" s="14"/>
      <c r="S22" s="388">
        <f>P22+1</f>
        <v>46096</v>
      </c>
      <c r="T22" s="13"/>
      <c r="U22" s="14"/>
      <c r="V22" s="56"/>
      <c r="W22" s="186">
        <v>13.0</v>
      </c>
      <c r="X22" s="378" t="s">
        <v>112</v>
      </c>
      <c r="Y22" s="379">
        <f t="shared" si="1"/>
        <v>0</v>
      </c>
      <c r="Z22" s="56"/>
    </row>
    <row r="23" ht="15.75" customHeight="1">
      <c r="A23" s="35"/>
      <c r="B23" s="35"/>
      <c r="C23" s="35"/>
      <c r="D23" s="41"/>
      <c r="E23" s="41"/>
      <c r="F23" s="41"/>
      <c r="G23" s="41"/>
      <c r="H23" s="41"/>
      <c r="I23" s="41"/>
      <c r="J23" s="41"/>
      <c r="K23" s="41"/>
      <c r="L23" s="41"/>
      <c r="P23" s="41"/>
      <c r="Q23" s="41"/>
      <c r="R23" s="41"/>
      <c r="S23" s="41"/>
      <c r="T23" s="41"/>
      <c r="U23" s="41"/>
      <c r="V23" s="56"/>
      <c r="W23" s="186">
        <v>14.0</v>
      </c>
      <c r="X23" s="378" t="s">
        <v>125</v>
      </c>
      <c r="Y23" s="379">
        <f t="shared" si="1"/>
        <v>0</v>
      </c>
      <c r="Z23" s="56"/>
    </row>
    <row r="24" ht="15.75" customHeight="1">
      <c r="A24" s="389"/>
      <c r="B24" s="389"/>
      <c r="C24" s="47"/>
      <c r="D24" s="308"/>
      <c r="E24" s="308"/>
      <c r="F24" s="308"/>
      <c r="G24" s="51" t="s">
        <v>409</v>
      </c>
      <c r="H24" s="390" t="s">
        <v>111</v>
      </c>
      <c r="I24" s="391" t="s">
        <v>296</v>
      </c>
      <c r="J24" s="349"/>
      <c r="K24" s="349"/>
      <c r="L24" s="349"/>
      <c r="M24" s="349"/>
      <c r="N24" s="349"/>
      <c r="O24" s="349"/>
      <c r="P24" s="123"/>
      <c r="Q24" s="123"/>
      <c r="R24" s="47"/>
      <c r="S24" s="123" t="s">
        <v>410</v>
      </c>
      <c r="T24" s="123" t="s">
        <v>411</v>
      </c>
      <c r="U24" s="123" t="s">
        <v>48</v>
      </c>
      <c r="V24" s="56"/>
      <c r="W24" s="186">
        <v>15.0</v>
      </c>
      <c r="X24" s="378" t="s">
        <v>412</v>
      </c>
      <c r="Y24" s="379">
        <f t="shared" si="1"/>
        <v>0</v>
      </c>
      <c r="Z24" s="56"/>
    </row>
    <row r="25" ht="15.75" customHeight="1">
      <c r="A25" s="43" t="s">
        <v>413</v>
      </c>
      <c r="B25" s="43" t="s">
        <v>59</v>
      </c>
      <c r="C25" s="43" t="s">
        <v>414</v>
      </c>
      <c r="D25" s="47" t="s">
        <v>415</v>
      </c>
      <c r="E25" s="47" t="s">
        <v>227</v>
      </c>
      <c r="F25" s="47" t="s">
        <v>24</v>
      </c>
      <c r="G25" s="51"/>
      <c r="H25" s="48"/>
      <c r="I25" s="392" t="s">
        <v>48</v>
      </c>
      <c r="J25" s="51" t="s">
        <v>416</v>
      </c>
      <c r="K25" s="393" t="s">
        <v>284</v>
      </c>
      <c r="L25" s="394" t="s">
        <v>48</v>
      </c>
      <c r="M25" s="51" t="s">
        <v>417</v>
      </c>
      <c r="N25" s="393" t="s">
        <v>284</v>
      </c>
      <c r="O25" s="392" t="s">
        <v>48</v>
      </c>
      <c r="P25" s="218" t="s">
        <v>13</v>
      </c>
      <c r="Q25" s="13"/>
      <c r="R25" s="14"/>
      <c r="S25" s="194"/>
      <c r="T25" s="194"/>
      <c r="U25" s="35"/>
      <c r="V25" s="56"/>
      <c r="W25" s="186">
        <v>16.0</v>
      </c>
      <c r="X25" s="378" t="s">
        <v>410</v>
      </c>
      <c r="Y25" s="379">
        <f t="shared" si="1"/>
        <v>2</v>
      </c>
      <c r="Z25" s="56"/>
    </row>
    <row r="26" ht="15.75" customHeight="1">
      <c r="A26" s="385" t="s">
        <v>407</v>
      </c>
      <c r="B26" s="24" t="s">
        <v>404</v>
      </c>
      <c r="C26" s="385" t="s">
        <v>24</v>
      </c>
      <c r="D26" s="112"/>
      <c r="E26" s="24"/>
      <c r="F26" s="47"/>
      <c r="G26" s="51" t="s">
        <v>418</v>
      </c>
      <c r="H26" s="51" t="s">
        <v>404</v>
      </c>
      <c r="I26" s="392" t="s">
        <v>48</v>
      </c>
      <c r="J26" s="51"/>
      <c r="K26" s="51"/>
      <c r="L26" s="391" t="s">
        <v>296</v>
      </c>
      <c r="M26" s="207"/>
      <c r="N26" s="205"/>
      <c r="O26" s="391" t="s">
        <v>296</v>
      </c>
      <c r="P26" s="40"/>
      <c r="Q26" s="40"/>
      <c r="R26" s="120"/>
      <c r="S26" s="194"/>
      <c r="T26" s="194"/>
      <c r="U26" s="35"/>
      <c r="V26" s="56"/>
      <c r="W26" s="186">
        <v>17.0</v>
      </c>
      <c r="X26" s="378" t="s">
        <v>226</v>
      </c>
      <c r="Y26" s="379">
        <f t="shared" si="1"/>
        <v>2</v>
      </c>
      <c r="Z26" s="56"/>
    </row>
    <row r="27" ht="15.75" customHeight="1">
      <c r="A27" s="385" t="s">
        <v>408</v>
      </c>
      <c r="B27" s="385" t="s">
        <v>377</v>
      </c>
      <c r="C27" s="385" t="s">
        <v>24</v>
      </c>
      <c r="D27" s="47"/>
      <c r="E27" s="47"/>
      <c r="F27" s="24"/>
      <c r="G27" s="35"/>
      <c r="H27" s="41"/>
      <c r="I27" s="35"/>
      <c r="J27" s="349"/>
      <c r="K27" s="349"/>
      <c r="L27" s="349"/>
      <c r="M27" s="349"/>
      <c r="N27" s="349"/>
      <c r="O27" s="349"/>
      <c r="P27" s="40"/>
      <c r="Q27" s="40"/>
      <c r="R27" s="120"/>
      <c r="S27" s="194"/>
      <c r="T27" s="194"/>
      <c r="U27" s="194"/>
      <c r="V27" s="56"/>
      <c r="W27" s="186">
        <v>18.0</v>
      </c>
      <c r="X27" s="378" t="s">
        <v>384</v>
      </c>
      <c r="Y27" s="379">
        <f t="shared" si="1"/>
        <v>0</v>
      </c>
      <c r="Z27" s="56"/>
    </row>
    <row r="28" ht="15.75" customHeight="1">
      <c r="A28" s="47"/>
      <c r="B28" s="47"/>
      <c r="C28" s="24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194"/>
      <c r="O28" s="194"/>
      <c r="P28" s="40"/>
      <c r="Q28" s="40"/>
      <c r="R28" s="120"/>
      <c r="S28" s="194"/>
      <c r="T28" s="194"/>
      <c r="U28" s="194"/>
      <c r="V28" s="56"/>
      <c r="W28" s="186">
        <v>19.0</v>
      </c>
      <c r="X28" s="380"/>
      <c r="Y28" s="379">
        <f t="shared" si="1"/>
        <v>0</v>
      </c>
      <c r="Z28" s="56"/>
    </row>
    <row r="29" ht="15.75" customHeight="1">
      <c r="A29" s="381" t="s">
        <v>118</v>
      </c>
      <c r="B29" s="13"/>
      <c r="C29" s="14"/>
      <c r="D29" s="381" t="s">
        <v>7</v>
      </c>
      <c r="E29" s="13"/>
      <c r="F29" s="14"/>
      <c r="G29" s="381" t="s">
        <v>119</v>
      </c>
      <c r="H29" s="13"/>
      <c r="I29" s="14"/>
      <c r="J29" s="395" t="s">
        <v>9</v>
      </c>
      <c r="K29" s="13"/>
      <c r="L29" s="14"/>
      <c r="M29" s="381" t="s">
        <v>85</v>
      </c>
      <c r="N29" s="13"/>
      <c r="O29" s="14"/>
      <c r="P29" s="396" t="s">
        <v>86</v>
      </c>
      <c r="Q29" s="13"/>
      <c r="R29" s="14"/>
      <c r="S29" s="382" t="s">
        <v>12</v>
      </c>
      <c r="T29" s="13"/>
      <c r="U29" s="14"/>
      <c r="V29" s="56"/>
      <c r="W29" s="186">
        <v>20.0</v>
      </c>
      <c r="X29" s="380"/>
      <c r="Y29" s="379">
        <f t="shared" si="1"/>
        <v>0</v>
      </c>
      <c r="Z29" s="56"/>
    </row>
    <row r="30" ht="15.75" customHeight="1">
      <c r="A30" s="383">
        <f>S22+1</f>
        <v>46097</v>
      </c>
      <c r="B30" s="13"/>
      <c r="C30" s="14"/>
      <c r="D30" s="383">
        <f>A30+1</f>
        <v>46098</v>
      </c>
      <c r="E30" s="13"/>
      <c r="F30" s="14"/>
      <c r="G30" s="383">
        <f>D30+1</f>
        <v>46099</v>
      </c>
      <c r="H30" s="13"/>
      <c r="I30" s="14"/>
      <c r="J30" s="384">
        <f>G30+1</f>
        <v>46100</v>
      </c>
      <c r="K30" s="13"/>
      <c r="L30" s="14"/>
      <c r="M30" s="383">
        <f>J30+1</f>
        <v>46101</v>
      </c>
      <c r="N30" s="13"/>
      <c r="O30" s="14"/>
      <c r="P30" s="397">
        <f>M30+1</f>
        <v>46102</v>
      </c>
      <c r="Q30" s="13"/>
      <c r="R30" s="14"/>
      <c r="S30" s="384">
        <f>P30+1</f>
        <v>46103</v>
      </c>
      <c r="T30" s="13"/>
      <c r="U30" s="14"/>
      <c r="V30" s="56"/>
      <c r="W30" s="186">
        <v>21.0</v>
      </c>
      <c r="X30" s="380"/>
      <c r="Y30" s="379">
        <f t="shared" si="1"/>
        <v>0</v>
      </c>
      <c r="Z30" s="56"/>
    </row>
    <row r="31" ht="15.75" customHeight="1">
      <c r="A31" s="35"/>
      <c r="B31" s="35"/>
      <c r="C31" s="35"/>
      <c r="D31" s="41"/>
      <c r="E31" s="41"/>
      <c r="F31" s="41"/>
      <c r="G31" s="24"/>
      <c r="H31" s="24"/>
      <c r="I31" s="24"/>
      <c r="J31" s="24"/>
      <c r="K31" s="123"/>
      <c r="L31" s="24"/>
      <c r="M31" s="35"/>
      <c r="N31" s="35"/>
      <c r="O31" s="35"/>
      <c r="P31" s="41"/>
      <c r="Q31" s="41"/>
      <c r="R31" s="41"/>
      <c r="S31" s="35"/>
      <c r="T31" s="35"/>
      <c r="U31" s="35"/>
      <c r="V31" s="56"/>
      <c r="W31" s="186">
        <v>22.0</v>
      </c>
      <c r="X31" s="380"/>
      <c r="Y31" s="379">
        <f t="shared" si="1"/>
        <v>0</v>
      </c>
      <c r="Z31" s="56"/>
    </row>
    <row r="32" ht="15.75" customHeight="1">
      <c r="A32" s="351" t="s">
        <v>419</v>
      </c>
      <c r="B32" s="351" t="s">
        <v>243</v>
      </c>
      <c r="C32" s="351" t="s">
        <v>48</v>
      </c>
      <c r="D32" s="112"/>
      <c r="E32" s="24"/>
      <c r="F32" s="47"/>
      <c r="G32" s="123"/>
      <c r="H32" s="123"/>
      <c r="I32" s="47"/>
      <c r="J32" s="41"/>
      <c r="K32" s="41"/>
      <c r="L32" s="41"/>
      <c r="M32" s="24"/>
      <c r="N32" s="24"/>
      <c r="O32" s="24"/>
      <c r="P32" s="35"/>
      <c r="Q32" s="35"/>
      <c r="R32" s="35"/>
      <c r="S32" s="24"/>
      <c r="T32" s="24"/>
      <c r="U32" s="24"/>
      <c r="V32" s="56"/>
      <c r="W32" s="186">
        <v>23.0</v>
      </c>
      <c r="X32" s="380"/>
      <c r="Y32" s="379">
        <f t="shared" si="1"/>
        <v>0</v>
      </c>
      <c r="Z32" s="56"/>
    </row>
    <row r="33" ht="15.75" customHeight="1">
      <c r="A33" s="35"/>
      <c r="B33" s="35"/>
      <c r="C33" s="41"/>
      <c r="D33" s="24" t="s">
        <v>166</v>
      </c>
      <c r="E33" s="24" t="s">
        <v>405</v>
      </c>
      <c r="F33" s="49" t="s">
        <v>48</v>
      </c>
      <c r="G33" s="24" t="s">
        <v>226</v>
      </c>
      <c r="H33" s="24" t="s">
        <v>227</v>
      </c>
      <c r="I33" s="49" t="s">
        <v>48</v>
      </c>
      <c r="J33" s="193" t="s">
        <v>147</v>
      </c>
      <c r="K33" s="193"/>
      <c r="L33" s="193" t="s">
        <v>24</v>
      </c>
      <c r="M33" s="218" t="s">
        <v>13</v>
      </c>
      <c r="N33" s="13"/>
      <c r="O33" s="14"/>
      <c r="P33" s="218" t="s">
        <v>13</v>
      </c>
      <c r="Q33" s="13"/>
      <c r="R33" s="14"/>
      <c r="S33" s="218" t="s">
        <v>13</v>
      </c>
      <c r="T33" s="13"/>
      <c r="U33" s="14"/>
      <c r="V33" s="56"/>
      <c r="W33" s="186">
        <v>24.0</v>
      </c>
      <c r="X33" s="380"/>
      <c r="Y33" s="379">
        <f t="shared" si="1"/>
        <v>0</v>
      </c>
      <c r="Z33" s="56"/>
    </row>
    <row r="34" ht="15.0" customHeight="1">
      <c r="A34" s="398" t="s">
        <v>407</v>
      </c>
      <c r="B34" s="53" t="s">
        <v>420</v>
      </c>
      <c r="C34" s="398" t="s">
        <v>24</v>
      </c>
      <c r="D34" s="112" t="s">
        <v>403</v>
      </c>
      <c r="E34" s="24" t="s">
        <v>404</v>
      </c>
      <c r="F34" s="47" t="s">
        <v>48</v>
      </c>
      <c r="G34" s="74"/>
      <c r="H34" s="74"/>
      <c r="I34" s="74"/>
      <c r="J34" s="194"/>
      <c r="K34" s="194"/>
      <c r="L34" s="42" t="s">
        <v>162</v>
      </c>
      <c r="M34" s="24"/>
      <c r="N34" s="24"/>
      <c r="O34" s="24"/>
      <c r="P34" s="24"/>
      <c r="Q34" s="24"/>
      <c r="R34" s="24"/>
      <c r="S34" s="112"/>
      <c r="T34" s="112"/>
      <c r="U34" s="112"/>
      <c r="V34" s="56"/>
      <c r="W34" s="186">
        <v>25.0</v>
      </c>
      <c r="X34" s="380"/>
      <c r="Y34" s="379">
        <f t="shared" si="1"/>
        <v>0</v>
      </c>
      <c r="Z34" s="56"/>
    </row>
    <row r="35" ht="15.75" customHeight="1">
      <c r="A35" s="398" t="s">
        <v>408</v>
      </c>
      <c r="B35" s="398" t="s">
        <v>377</v>
      </c>
      <c r="C35" s="398" t="s">
        <v>24</v>
      </c>
      <c r="D35" s="43" t="s">
        <v>421</v>
      </c>
      <c r="E35" s="47"/>
      <c r="F35" s="24" t="s">
        <v>355</v>
      </c>
      <c r="G35" s="47" t="s">
        <v>19</v>
      </c>
      <c r="H35" s="47" t="s">
        <v>44</v>
      </c>
      <c r="I35" s="47" t="s">
        <v>24</v>
      </c>
      <c r="J35" s="41"/>
      <c r="K35" s="41"/>
      <c r="L35" s="41"/>
      <c r="M35" s="35"/>
      <c r="N35" s="35"/>
      <c r="O35" s="35"/>
      <c r="P35" s="41"/>
      <c r="Q35" s="41"/>
      <c r="R35" s="41"/>
      <c r="S35" s="118"/>
      <c r="T35" s="118"/>
      <c r="U35" s="118"/>
      <c r="V35" s="56"/>
      <c r="W35" s="186">
        <v>26.0</v>
      </c>
      <c r="X35" s="380"/>
      <c r="Y35" s="379">
        <f t="shared" si="1"/>
        <v>0</v>
      </c>
      <c r="Z35" s="56"/>
    </row>
    <row r="36" ht="14.25" customHeight="1">
      <c r="A36" s="194"/>
      <c r="B36" s="194"/>
      <c r="C36" s="194"/>
      <c r="D36" s="41"/>
      <c r="E36" s="41"/>
      <c r="F36" s="41"/>
      <c r="G36" s="62"/>
      <c r="H36" s="62"/>
      <c r="I36" s="49" t="s">
        <v>48</v>
      </c>
      <c r="J36" s="41"/>
      <c r="K36" s="41"/>
      <c r="L36" s="41"/>
      <c r="M36" s="41"/>
      <c r="N36" s="41"/>
      <c r="O36" s="41"/>
      <c r="P36" s="41"/>
      <c r="Q36" s="41"/>
      <c r="R36" s="41"/>
      <c r="S36" s="194"/>
      <c r="T36" s="194"/>
      <c r="U36" s="194"/>
      <c r="V36" s="56"/>
      <c r="W36" s="186">
        <v>27.0</v>
      </c>
      <c r="X36" s="380"/>
      <c r="Y36" s="379">
        <f t="shared" si="1"/>
        <v>0</v>
      </c>
      <c r="Z36" s="56"/>
    </row>
    <row r="37" ht="15.75" customHeight="1">
      <c r="A37" s="386" t="s">
        <v>118</v>
      </c>
      <c r="B37" s="13"/>
      <c r="C37" s="14"/>
      <c r="D37" s="386" t="s">
        <v>7</v>
      </c>
      <c r="E37" s="13"/>
      <c r="F37" s="14"/>
      <c r="G37" s="386" t="s">
        <v>119</v>
      </c>
      <c r="H37" s="13"/>
      <c r="I37" s="14"/>
      <c r="J37" s="386" t="s">
        <v>9</v>
      </c>
      <c r="K37" s="13"/>
      <c r="L37" s="14"/>
      <c r="M37" s="386" t="s">
        <v>10</v>
      </c>
      <c r="N37" s="13"/>
      <c r="O37" s="14"/>
      <c r="P37" s="386" t="s">
        <v>86</v>
      </c>
      <c r="Q37" s="13"/>
      <c r="R37" s="14"/>
      <c r="S37" s="386" t="s">
        <v>10</v>
      </c>
      <c r="T37" s="13"/>
      <c r="U37" s="14"/>
      <c r="V37" s="186">
        <v>28.0</v>
      </c>
      <c r="W37" s="399"/>
      <c r="X37" s="399"/>
      <c r="Y37" s="379">
        <f t="shared" si="1"/>
        <v>0</v>
      </c>
      <c r="Z37" s="56"/>
    </row>
    <row r="38" ht="15.75" customHeight="1">
      <c r="A38" s="61">
        <f>S30+1</f>
        <v>46104</v>
      </c>
      <c r="B38" s="13"/>
      <c r="C38" s="14"/>
      <c r="D38" s="61">
        <f>A38+1</f>
        <v>46105</v>
      </c>
      <c r="E38" s="13"/>
      <c r="F38" s="14"/>
      <c r="G38" s="61">
        <f>D38+1</f>
        <v>46106</v>
      </c>
      <c r="H38" s="13"/>
      <c r="I38" s="14"/>
      <c r="J38" s="61">
        <f>G38+1</f>
        <v>46107</v>
      </c>
      <c r="K38" s="13"/>
      <c r="L38" s="14"/>
      <c r="M38" s="61">
        <f>J38+1</f>
        <v>46108</v>
      </c>
      <c r="N38" s="13"/>
      <c r="O38" s="14"/>
      <c r="P38" s="61">
        <f>M38+1</f>
        <v>46109</v>
      </c>
      <c r="Q38" s="13"/>
      <c r="R38" s="14"/>
      <c r="S38" s="61">
        <f>P38+1</f>
        <v>46110</v>
      </c>
      <c r="T38" s="13"/>
      <c r="U38" s="14"/>
      <c r="V38" s="186">
        <v>29.0</v>
      </c>
      <c r="W38" s="399"/>
      <c r="X38" s="399"/>
      <c r="Y38" s="379">
        <f t="shared" si="1"/>
        <v>0</v>
      </c>
      <c r="Z38" s="56"/>
    </row>
    <row r="39" ht="15.75" customHeight="1">
      <c r="A39" s="24"/>
      <c r="B39" s="24"/>
      <c r="C39" s="24"/>
      <c r="D39" s="194"/>
      <c r="E39" s="194"/>
      <c r="F39" s="194"/>
      <c r="G39" s="194"/>
      <c r="H39" s="194"/>
      <c r="I39" s="194"/>
      <c r="J39" s="194"/>
      <c r="K39" s="194"/>
      <c r="L39" s="194"/>
      <c r="M39" s="118"/>
      <c r="N39" s="118"/>
      <c r="O39" s="118"/>
      <c r="P39" s="194"/>
      <c r="Q39" s="194"/>
      <c r="R39" s="194"/>
      <c r="S39" s="41"/>
      <c r="T39" s="41"/>
      <c r="U39" s="41"/>
      <c r="V39" s="56"/>
      <c r="W39" s="56"/>
      <c r="X39" s="56"/>
      <c r="Y39" s="56"/>
      <c r="Z39" s="56"/>
    </row>
    <row r="40" ht="15.75" customHeight="1">
      <c r="A40" s="24"/>
      <c r="B40" s="24"/>
      <c r="C40" s="24"/>
      <c r="D40" s="35"/>
      <c r="E40" s="35"/>
      <c r="F40" s="41"/>
      <c r="G40" s="51" t="s">
        <v>409</v>
      </c>
      <c r="H40" s="390" t="s">
        <v>111</v>
      </c>
      <c r="I40" s="391" t="s">
        <v>296</v>
      </c>
      <c r="J40" s="349"/>
      <c r="K40" s="349"/>
      <c r="L40" s="349"/>
      <c r="M40" s="349"/>
      <c r="N40" s="349"/>
      <c r="O40" s="349"/>
      <c r="P40" s="194"/>
      <c r="Q40" s="194"/>
      <c r="R40" s="194"/>
      <c r="S40" s="41"/>
      <c r="T40" s="41"/>
      <c r="U40" s="41"/>
      <c r="V40" s="56"/>
      <c r="W40" s="56"/>
      <c r="X40" s="56"/>
      <c r="Y40" s="56"/>
      <c r="Z40" s="56"/>
    </row>
    <row r="41" ht="15.75" customHeight="1">
      <c r="A41" s="389"/>
      <c r="B41" s="389"/>
      <c r="C41" s="47"/>
      <c r="D41" s="47"/>
      <c r="E41" s="47"/>
      <c r="F41" s="47"/>
      <c r="G41" s="51"/>
      <c r="H41" s="48"/>
      <c r="I41" s="392" t="s">
        <v>48</v>
      </c>
      <c r="J41" s="51" t="s">
        <v>416</v>
      </c>
      <c r="K41" s="393" t="s">
        <v>284</v>
      </c>
      <c r="L41" s="394" t="s">
        <v>48</v>
      </c>
      <c r="M41" s="51" t="s">
        <v>417</v>
      </c>
      <c r="N41" s="393" t="s">
        <v>284</v>
      </c>
      <c r="O41" s="392" t="s">
        <v>48</v>
      </c>
      <c r="P41" s="218" t="s">
        <v>13</v>
      </c>
      <c r="Q41" s="13"/>
      <c r="R41" s="14"/>
      <c r="S41" s="123" t="s">
        <v>410</v>
      </c>
      <c r="T41" s="123" t="s">
        <v>411</v>
      </c>
      <c r="U41" s="123" t="s">
        <v>48</v>
      </c>
      <c r="V41" s="56"/>
      <c r="W41" s="56"/>
      <c r="X41" s="56"/>
      <c r="Y41" s="56"/>
      <c r="Z41" s="56"/>
    </row>
    <row r="42" ht="15.75" customHeight="1">
      <c r="A42" s="112" t="s">
        <v>403</v>
      </c>
      <c r="B42" s="24" t="s">
        <v>404</v>
      </c>
      <c r="C42" s="47" t="s">
        <v>48</v>
      </c>
      <c r="D42" s="47" t="s">
        <v>415</v>
      </c>
      <c r="E42" s="47" t="s">
        <v>227</v>
      </c>
      <c r="F42" s="47" t="s">
        <v>24</v>
      </c>
      <c r="G42" s="51" t="s">
        <v>418</v>
      </c>
      <c r="H42" s="51" t="s">
        <v>404</v>
      </c>
      <c r="I42" s="392" t="s">
        <v>48</v>
      </c>
      <c r="J42" s="51"/>
      <c r="K42" s="51"/>
      <c r="L42" s="391" t="s">
        <v>296</v>
      </c>
      <c r="M42" s="207"/>
      <c r="N42" s="205"/>
      <c r="O42" s="391" t="s">
        <v>296</v>
      </c>
      <c r="P42" s="118"/>
      <c r="Q42" s="118"/>
      <c r="R42" s="118"/>
      <c r="S42" s="194"/>
      <c r="T42" s="194"/>
      <c r="U42" s="194"/>
      <c r="V42" s="56"/>
      <c r="W42" s="56"/>
      <c r="X42" s="56"/>
      <c r="Y42" s="56"/>
      <c r="Z42" s="56"/>
    </row>
    <row r="43" ht="15.75" customHeight="1">
      <c r="A43" s="47" t="s">
        <v>406</v>
      </c>
      <c r="B43" s="47"/>
      <c r="C43" s="24" t="s">
        <v>355</v>
      </c>
      <c r="D43" s="35"/>
      <c r="E43" s="35"/>
      <c r="F43" s="35"/>
      <c r="G43" s="35"/>
      <c r="H43" s="41"/>
      <c r="I43" s="35"/>
      <c r="J43" s="349"/>
      <c r="K43" s="349"/>
      <c r="L43" s="349"/>
      <c r="M43" s="349"/>
      <c r="N43" s="349"/>
      <c r="O43" s="349"/>
      <c r="P43" s="118"/>
      <c r="Q43" s="118"/>
      <c r="R43" s="118"/>
      <c r="S43" s="120" t="s">
        <v>151</v>
      </c>
      <c r="T43" s="120" t="s">
        <v>152</v>
      </c>
      <c r="U43" s="49" t="s">
        <v>48</v>
      </c>
      <c r="V43" s="56"/>
      <c r="W43" s="56"/>
      <c r="X43" s="56"/>
      <c r="Y43" s="56"/>
      <c r="Z43" s="56"/>
    </row>
    <row r="44" ht="15.75" customHeight="1">
      <c r="A44" s="400" t="s">
        <v>408</v>
      </c>
      <c r="B44" s="400" t="s">
        <v>377</v>
      </c>
      <c r="C44" s="400" t="s">
        <v>24</v>
      </c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56"/>
      <c r="W44" s="56"/>
      <c r="X44" s="56" t="s">
        <v>50</v>
      </c>
      <c r="Y44" s="56"/>
      <c r="Z44" s="56"/>
    </row>
    <row r="45" ht="15.75" customHeight="1">
      <c r="A45" s="381" t="s">
        <v>118</v>
      </c>
      <c r="B45" s="13"/>
      <c r="C45" s="14"/>
      <c r="D45" s="381" t="s">
        <v>7</v>
      </c>
      <c r="E45" s="13"/>
      <c r="F45" s="14"/>
      <c r="G45" s="381" t="s">
        <v>119</v>
      </c>
      <c r="H45" s="13"/>
      <c r="I45" s="14"/>
      <c r="J45" s="381" t="s">
        <v>9</v>
      </c>
      <c r="K45" s="13"/>
      <c r="L45" s="14"/>
      <c r="M45" s="381" t="s">
        <v>85</v>
      </c>
      <c r="N45" s="13"/>
      <c r="O45" s="14"/>
      <c r="P45" s="401" t="s">
        <v>86</v>
      </c>
      <c r="Q45" s="13"/>
      <c r="R45" s="14"/>
      <c r="S45" s="382" t="s">
        <v>12</v>
      </c>
      <c r="T45" s="13"/>
      <c r="U45" s="14"/>
      <c r="V45" s="56"/>
      <c r="W45" s="56"/>
      <c r="X45" s="56"/>
      <c r="Y45" s="56"/>
      <c r="Z45" s="56"/>
    </row>
    <row r="46" ht="15.75" customHeight="1">
      <c r="A46" s="383">
        <f>S38+1</f>
        <v>46111</v>
      </c>
      <c r="B46" s="13"/>
      <c r="C46" s="14"/>
      <c r="D46" s="383">
        <f>A46+1</f>
        <v>46112</v>
      </c>
      <c r="E46" s="13"/>
      <c r="F46" s="14"/>
      <c r="G46" s="383">
        <f>D46+1</f>
        <v>46113</v>
      </c>
      <c r="H46" s="13"/>
      <c r="I46" s="14"/>
      <c r="J46" s="383">
        <f>G46+1</f>
        <v>46114</v>
      </c>
      <c r="K46" s="13"/>
      <c r="L46" s="14"/>
      <c r="M46" s="383">
        <f>J46+1</f>
        <v>46115</v>
      </c>
      <c r="N46" s="13"/>
      <c r="O46" s="14"/>
      <c r="P46" s="402">
        <f>M46+1</f>
        <v>46116</v>
      </c>
      <c r="Q46" s="13"/>
      <c r="R46" s="14"/>
      <c r="S46" s="384">
        <f>P46+1</f>
        <v>46117</v>
      </c>
      <c r="T46" s="13"/>
      <c r="U46" s="14"/>
      <c r="V46" s="56"/>
      <c r="W46" s="56"/>
      <c r="X46" s="56"/>
      <c r="Y46" s="56"/>
      <c r="Z46" s="56"/>
    </row>
    <row r="47" ht="15.75" customHeight="1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56"/>
      <c r="W47" s="56"/>
      <c r="X47" s="56"/>
      <c r="Y47" s="56"/>
      <c r="Z47" s="56"/>
    </row>
    <row r="48" ht="15.75" customHeight="1">
      <c r="A48" s="351" t="s">
        <v>419</v>
      </c>
      <c r="B48" s="351" t="s">
        <v>183</v>
      </c>
      <c r="C48" s="351" t="s">
        <v>48</v>
      </c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56"/>
      <c r="W48" s="56"/>
      <c r="X48" s="56"/>
      <c r="Y48" s="56"/>
      <c r="Z48" s="56"/>
    </row>
    <row r="49" ht="15.75" customHeight="1">
      <c r="A49" s="35"/>
      <c r="B49" s="35"/>
      <c r="C49" s="41"/>
      <c r="D49" s="194"/>
      <c r="E49" s="194"/>
      <c r="F49" s="194"/>
      <c r="G49" s="194"/>
      <c r="H49" s="194"/>
      <c r="I49" s="194"/>
      <c r="J49" s="35"/>
      <c r="K49" s="35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56"/>
      <c r="W49" s="56"/>
      <c r="X49" s="56"/>
      <c r="Y49" s="56"/>
      <c r="Z49" s="56"/>
    </row>
    <row r="50" ht="15.75" customHeight="1">
      <c r="A50" s="398" t="s">
        <v>407</v>
      </c>
      <c r="B50" s="24" t="s">
        <v>404</v>
      </c>
      <c r="C50" s="398" t="s">
        <v>24</v>
      </c>
      <c r="D50" s="112" t="s">
        <v>403</v>
      </c>
      <c r="E50" s="24" t="s">
        <v>404</v>
      </c>
      <c r="F50" s="47" t="s">
        <v>48</v>
      </c>
      <c r="G50" s="41"/>
      <c r="H50" s="41"/>
      <c r="I50" s="41"/>
      <c r="J50" s="194"/>
      <c r="K50" s="194"/>
      <c r="L50" s="194"/>
      <c r="M50" s="194"/>
      <c r="N50" s="194"/>
      <c r="O50" s="194"/>
      <c r="P50" s="41"/>
      <c r="Q50" s="35"/>
      <c r="R50" s="194"/>
      <c r="S50" s="194"/>
      <c r="T50" s="194"/>
      <c r="U50" s="194"/>
      <c r="V50" s="56"/>
      <c r="W50" s="56"/>
      <c r="X50" s="56"/>
      <c r="Y50" s="56"/>
      <c r="Z50" s="56"/>
    </row>
    <row r="51" ht="15.75" customHeight="1">
      <c r="A51" s="398" t="s">
        <v>408</v>
      </c>
      <c r="B51" s="398"/>
      <c r="C51" s="398" t="s">
        <v>24</v>
      </c>
      <c r="D51" s="47" t="s">
        <v>406</v>
      </c>
      <c r="E51" s="47" t="s">
        <v>353</v>
      </c>
      <c r="F51" s="24" t="s">
        <v>355</v>
      </c>
      <c r="G51" s="194"/>
      <c r="H51" s="194"/>
      <c r="I51" s="194"/>
      <c r="J51" s="194"/>
      <c r="K51" s="194"/>
      <c r="L51" s="194"/>
      <c r="M51" s="194"/>
      <c r="N51" s="194"/>
      <c r="O51" s="194"/>
      <c r="P51" s="41"/>
      <c r="Q51" s="41"/>
      <c r="R51" s="41"/>
      <c r="S51" s="194"/>
      <c r="T51" s="194"/>
      <c r="U51" s="194"/>
      <c r="V51" s="56"/>
      <c r="W51" s="56"/>
      <c r="X51" s="56"/>
      <c r="Y51" s="56"/>
      <c r="Z51" s="56"/>
    </row>
    <row r="52" ht="15.75" customHeight="1">
      <c r="A52" s="194"/>
      <c r="B52" s="194"/>
      <c r="C52" s="194"/>
      <c r="D52" s="194"/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56"/>
      <c r="W52" s="56"/>
      <c r="X52" s="56"/>
      <c r="Y52" s="56"/>
      <c r="Z52" s="56"/>
    </row>
    <row r="53" ht="15.7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5.7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5.75" customHeight="1">
      <c r="A55" s="403" t="s">
        <v>76</v>
      </c>
      <c r="B55" s="404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5.75" customHeight="1">
      <c r="A56" s="405"/>
      <c r="B56" s="86" t="s">
        <v>77</v>
      </c>
      <c r="C56" s="406"/>
      <c r="D56" s="407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5.75" customHeight="1">
      <c r="A57" s="408"/>
      <c r="B57" s="86" t="s">
        <v>78</v>
      </c>
      <c r="C57" s="40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5.75" customHeight="1">
      <c r="A58" s="409"/>
      <c r="B58" s="86" t="s">
        <v>79</v>
      </c>
      <c r="C58" s="40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5.7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5.7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5.7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5.7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5.7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5.7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 ht="15.7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 ht="15.7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 ht="15.7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 ht="15.7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 ht="15.7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ht="15.7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 ht="15.7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 ht="15.7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 ht="15.7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 ht="15.7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 ht="15.7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 ht="15.7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 ht="15.7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 ht="15.7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 ht="15.7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 ht="15.7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 ht="15.7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 ht="15.7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 ht="15.7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 ht="15.7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 ht="15.7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 ht="15.7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 ht="15.7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 ht="15.7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 ht="15.7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 ht="15.7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 ht="15.7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 ht="15.7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 ht="15.7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 ht="15.7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 ht="15.7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 ht="15.7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 ht="15.7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 ht="15.7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 ht="15.7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 ht="15.7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 ht="15.7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 ht="15.7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 ht="15.7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 ht="15.7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 ht="15.7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 ht="15.7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 ht="15.7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 ht="15.7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 ht="15.7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 ht="15.7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 ht="15.7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 ht="15.7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 ht="15.7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 ht="15.7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 ht="15.7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 ht="15.7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 ht="15.7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 ht="15.7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 ht="15.7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 ht="15.7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 ht="15.7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 ht="15.7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 ht="15.7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5.7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5.7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5.7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5.7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5.7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5.7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5.7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5.7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5.7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5.7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5.7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5.7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5.7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5.7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5.7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5.7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5.7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5.7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5.7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5.7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5.7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5.7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5.7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5.7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5.7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5.7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5.7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5.7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5.7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5.7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5.7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5.7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5.7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5.7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5.7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5.7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5.7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5.7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5.7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5.7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5.7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5.7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5.7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5.7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5.7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5.7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5.7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5.7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5.7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5.7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5.7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5.7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5.7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5.7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5.7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5.7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5.7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5.7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5.7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5.7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5.7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5.7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5.7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5.7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5.7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5.7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5.7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5.7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5.7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5.7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5.7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5.7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5.7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5.7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5.7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5.7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5.7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5.7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5.7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5.7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5.7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5.7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5.7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5.7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5.7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5.7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5.7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5.7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5.7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5.7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5.7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5.7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5.7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5.7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5.7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5.7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5.7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5.7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5.7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5.7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5.7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5.7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5.7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5.7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5.7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5.7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5.7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5.7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5.7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5.7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5.7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5.7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5.7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5.7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5.7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5.7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5.7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5.7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5.7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5.7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5.7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5.7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5.7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5.7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5.7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5.7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5.7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5.7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5.7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5.7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5.7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5.7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5.7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5.7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5.7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5.7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5.7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5.7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5.7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5.7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5.7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5.7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5.7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5.7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5.7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5.7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5.7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5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5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5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5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5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5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5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5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5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5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5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5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5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5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5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5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5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5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5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5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5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5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5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5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5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5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5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5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5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5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5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5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5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5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5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5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5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5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5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5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5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5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5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5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5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5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5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5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5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5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5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5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5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5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5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5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5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5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5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5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5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5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5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5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5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5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5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5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5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5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5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5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5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5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5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5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5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5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5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5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5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5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5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5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5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5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5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5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5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5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5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5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5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5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5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5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5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5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5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5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5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5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5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5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5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5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5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5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5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5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5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5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5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5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5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5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5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5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5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5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5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5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5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5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5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5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5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5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5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5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5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5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5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5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5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5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5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5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5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5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5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5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5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5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5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5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5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5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5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5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5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5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5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5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5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5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5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5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5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5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5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5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5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5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5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5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5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5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5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5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5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5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5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5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5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5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5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5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5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5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5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5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5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5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5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5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5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5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5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5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5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5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5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5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5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5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5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5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5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5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5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5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5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5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5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5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5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5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5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5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5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5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5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5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5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5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5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5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5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5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5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5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5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5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5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5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5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5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5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5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5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5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5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5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5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5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5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5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5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5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5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5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5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5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5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5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5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5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5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5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5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5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5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5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5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5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5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5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5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5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5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5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5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5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5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5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5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5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5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5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5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5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5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5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5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5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5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5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5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5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5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5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5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5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5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5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5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5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5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5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5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5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5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5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5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5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5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5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5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5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5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5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5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5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5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5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5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5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5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5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5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5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5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5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5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5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5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5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5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5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5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5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5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5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5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5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5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5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5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5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5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5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5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5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5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5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5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5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5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5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5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5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5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5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5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5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5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5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5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5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5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5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5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5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5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5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5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5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5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5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5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5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5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5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5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5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5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5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5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5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5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5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5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5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5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5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5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5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5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5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5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5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5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5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5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5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5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5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5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5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5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5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5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5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5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5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5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5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5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5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5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5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5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5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5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5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5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5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5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5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5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5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5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5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5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5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5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5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5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5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5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5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5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5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5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5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5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5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5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5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5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5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5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5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5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5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5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5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5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5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5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5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5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5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5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5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5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5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5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5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5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5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5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5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5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5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5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5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5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5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5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5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5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5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5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5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5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5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5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5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5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5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5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5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5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5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5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5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5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5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5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5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5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5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5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5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5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5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5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5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5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5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5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5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5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5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5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5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5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5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5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5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5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5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5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5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5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5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5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5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5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5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5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5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5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5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5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5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5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5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5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5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5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5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5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5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5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5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5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5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5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5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5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5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5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5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5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5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5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5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5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5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5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5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5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5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5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5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5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5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5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5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5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5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5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5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5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5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5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5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5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5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5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5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5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5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5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5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5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5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5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5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5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5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5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5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5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5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5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5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5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5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5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5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5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5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5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5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5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5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5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5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5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5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5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5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5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5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5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5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5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5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5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5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5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5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5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5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5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5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5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5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5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5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5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5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5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5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5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5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5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5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5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5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5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5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5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5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5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5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5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5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5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5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5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5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5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5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5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5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5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5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5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5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5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5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5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5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5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5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5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5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5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5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5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5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5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5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5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5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5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5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5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5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5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5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5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5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5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5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5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5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5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5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5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5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5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5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5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5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5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5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5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5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5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5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5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5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5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5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5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5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5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5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5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5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5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5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5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5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5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5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5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5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5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5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5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5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5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5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5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5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5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5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5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5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5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5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5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5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5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5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5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5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5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5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5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5.7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5.7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5.7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</sheetData>
  <mergeCells count="104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J22:L22"/>
    <mergeCell ref="M22:O22"/>
    <mergeCell ref="P22:R22"/>
    <mergeCell ref="S22:U22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J18:L18"/>
    <mergeCell ref="M29:O29"/>
    <mergeCell ref="P29:R29"/>
    <mergeCell ref="S29:U29"/>
    <mergeCell ref="S30:U30"/>
    <mergeCell ref="A46:C46"/>
    <mergeCell ref="D46:F46"/>
    <mergeCell ref="G46:I46"/>
    <mergeCell ref="J46:L46"/>
    <mergeCell ref="M46:O46"/>
    <mergeCell ref="P46:R46"/>
    <mergeCell ref="S46:U46"/>
    <mergeCell ref="B55:D55"/>
    <mergeCell ref="A45:C45"/>
    <mergeCell ref="D45:F45"/>
    <mergeCell ref="G45:I45"/>
    <mergeCell ref="J45:L45"/>
    <mergeCell ref="M45:O45"/>
    <mergeCell ref="P45:R45"/>
    <mergeCell ref="S45:U45"/>
    <mergeCell ref="G22:I22"/>
    <mergeCell ref="H24:H25"/>
    <mergeCell ref="P25:R25"/>
    <mergeCell ref="A29:C29"/>
    <mergeCell ref="D29:F29"/>
    <mergeCell ref="G29:I29"/>
    <mergeCell ref="J29:L29"/>
    <mergeCell ref="P33:R33"/>
    <mergeCell ref="S33:U33"/>
    <mergeCell ref="A30:C30"/>
    <mergeCell ref="D30:F30"/>
    <mergeCell ref="G30:I30"/>
    <mergeCell ref="J30:L30"/>
    <mergeCell ref="M30:O30"/>
    <mergeCell ref="P30:R30"/>
    <mergeCell ref="M33:O33"/>
    <mergeCell ref="D37:F37"/>
    <mergeCell ref="G37:I37"/>
    <mergeCell ref="J37:L37"/>
    <mergeCell ref="M37:O37"/>
    <mergeCell ref="P37:R37"/>
    <mergeCell ref="S37:U37"/>
    <mergeCell ref="V37:X37"/>
    <mergeCell ref="S38:U38"/>
    <mergeCell ref="V38:X38"/>
    <mergeCell ref="P38:R38"/>
    <mergeCell ref="P41:R41"/>
    <mergeCell ref="A37:C37"/>
    <mergeCell ref="A38:C38"/>
    <mergeCell ref="D38:F38"/>
    <mergeCell ref="G38:I38"/>
    <mergeCell ref="J38:L38"/>
    <mergeCell ref="M38:O38"/>
    <mergeCell ref="H40:H41"/>
  </mergeCells>
  <printOptions/>
  <pageMargins bottom="0.15" footer="0.0" header="0.0" left="0.46" right="0.34" top="0.28"/>
  <pageSetup fitToHeight="0" paperSize="11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29"/>
    <col customWidth="1" min="3" max="3" width="8.29"/>
    <col customWidth="1" min="4" max="4" width="18.0"/>
    <col customWidth="1" min="5" max="5" width="11.43"/>
    <col customWidth="1" min="6" max="6" width="11.0"/>
    <col customWidth="1" min="7" max="7" width="16.43"/>
    <col customWidth="1" min="9" max="9" width="7.57"/>
    <col customWidth="1" min="10" max="10" width="16.71"/>
    <col customWidth="1" min="11" max="11" width="14.71"/>
    <col customWidth="1" min="12" max="12" width="9.14"/>
    <col customWidth="1" min="13" max="13" width="18.57"/>
    <col customWidth="1" min="15" max="15" width="8.0"/>
    <col customWidth="1" min="16" max="16" width="16.0"/>
    <col customWidth="1" min="17" max="17" width="11.43"/>
    <col customWidth="1" min="18" max="18" width="9.0"/>
    <col customWidth="1" min="21" max="21" width="7.86"/>
  </cols>
  <sheetData>
    <row r="1">
      <c r="A1" s="91" t="s">
        <v>141</v>
      </c>
      <c r="C1" s="410" t="s">
        <v>422</v>
      </c>
      <c r="F1" s="345"/>
      <c r="G1" s="10" t="s">
        <v>423</v>
      </c>
      <c r="Q1" s="345"/>
      <c r="R1" s="345"/>
      <c r="S1" s="345"/>
      <c r="T1" s="345"/>
      <c r="U1" s="345"/>
    </row>
    <row r="2">
      <c r="A2" s="91" t="s">
        <v>2</v>
      </c>
      <c r="C2" s="410" t="s">
        <v>424</v>
      </c>
      <c r="F2" s="345"/>
      <c r="Q2" s="345"/>
      <c r="R2" s="345"/>
      <c r="S2" s="345"/>
      <c r="T2" s="345"/>
      <c r="U2" s="345"/>
    </row>
    <row r="3">
      <c r="A3" s="91" t="s">
        <v>4</v>
      </c>
      <c r="C3" s="347"/>
      <c r="F3" s="345"/>
      <c r="Q3" s="345"/>
      <c r="R3" s="345"/>
      <c r="S3" s="345"/>
      <c r="T3" s="345"/>
      <c r="U3" s="345"/>
    </row>
    <row r="4">
      <c r="A4" s="91" t="s">
        <v>5</v>
      </c>
      <c r="C4" s="348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</row>
    <row r="5">
      <c r="A5" s="12" t="s">
        <v>6</v>
      </c>
      <c r="B5" s="13"/>
      <c r="C5" s="14"/>
      <c r="D5" s="12" t="s">
        <v>7</v>
      </c>
      <c r="E5" s="13"/>
      <c r="F5" s="14"/>
      <c r="G5" s="12" t="s">
        <v>8</v>
      </c>
      <c r="H5" s="13"/>
      <c r="I5" s="14"/>
      <c r="J5" s="12" t="s">
        <v>9</v>
      </c>
      <c r="K5" s="13"/>
      <c r="L5" s="14"/>
      <c r="M5" s="12" t="s">
        <v>10</v>
      </c>
      <c r="N5" s="13"/>
      <c r="O5" s="14"/>
      <c r="P5" s="12" t="s">
        <v>11</v>
      </c>
      <c r="Q5" s="13"/>
      <c r="R5" s="14"/>
      <c r="S5" s="15" t="s">
        <v>12</v>
      </c>
      <c r="T5" s="13"/>
      <c r="U5" s="14"/>
    </row>
    <row r="6">
      <c r="A6" s="16"/>
      <c r="B6" s="13"/>
      <c r="C6" s="14"/>
      <c r="D6" s="16"/>
      <c r="E6" s="13"/>
      <c r="F6" s="14"/>
      <c r="G6" s="16"/>
      <c r="H6" s="13"/>
      <c r="I6" s="14"/>
      <c r="J6" s="16"/>
      <c r="K6" s="13"/>
      <c r="L6" s="14"/>
      <c r="M6" s="16"/>
      <c r="N6" s="13"/>
      <c r="O6" s="14"/>
      <c r="P6" s="16"/>
      <c r="Q6" s="13"/>
      <c r="R6" s="14"/>
      <c r="S6" s="17">
        <v>46082.0</v>
      </c>
      <c r="T6" s="13"/>
      <c r="U6" s="14"/>
    </row>
    <row r="7">
      <c r="A7" s="349"/>
      <c r="B7" s="349"/>
      <c r="C7" s="349"/>
      <c r="D7" s="72"/>
      <c r="E7" s="72"/>
      <c r="F7" s="72"/>
      <c r="G7" s="203"/>
      <c r="H7" s="203"/>
      <c r="I7" s="208"/>
      <c r="J7" s="349"/>
      <c r="K7" s="349"/>
      <c r="L7" s="349"/>
      <c r="M7" s="349"/>
      <c r="N7" s="349"/>
      <c r="O7" s="349"/>
      <c r="P7" s="349"/>
      <c r="Q7" s="349"/>
      <c r="R7" s="349"/>
      <c r="S7" s="349"/>
      <c r="T7" s="349"/>
      <c r="U7" s="349"/>
    </row>
    <row r="8">
      <c r="A8" s="349"/>
      <c r="B8" s="349"/>
      <c r="C8" s="349"/>
      <c r="D8" s="72"/>
      <c r="E8" s="72"/>
      <c r="F8" s="72"/>
      <c r="G8" s="203"/>
      <c r="H8" s="203"/>
      <c r="I8" s="208"/>
      <c r="J8" s="349"/>
      <c r="K8" s="349"/>
      <c r="L8" s="349"/>
      <c r="M8" s="349"/>
      <c r="N8" s="349"/>
      <c r="O8" s="349"/>
      <c r="P8" s="349"/>
      <c r="Q8" s="349"/>
      <c r="R8" s="349"/>
      <c r="S8" s="351" t="s">
        <v>425</v>
      </c>
      <c r="T8" s="351" t="s">
        <v>426</v>
      </c>
      <c r="U8" s="351" t="s">
        <v>117</v>
      </c>
    </row>
    <row r="9">
      <c r="A9" s="349"/>
      <c r="B9" s="349"/>
      <c r="C9" s="349"/>
      <c r="D9" s="72"/>
      <c r="E9" s="72"/>
      <c r="F9" s="72"/>
      <c r="G9" s="203"/>
      <c r="H9" s="203"/>
      <c r="I9" s="208"/>
      <c r="J9" s="411"/>
      <c r="K9" s="412"/>
      <c r="L9" s="413"/>
      <c r="M9" s="51"/>
      <c r="N9" s="51"/>
      <c r="O9" s="141"/>
      <c r="P9" s="51"/>
      <c r="Q9" s="51"/>
      <c r="R9" s="113"/>
      <c r="S9" s="414" t="s">
        <v>427</v>
      </c>
      <c r="T9" s="351" t="s">
        <v>428</v>
      </c>
      <c r="U9" s="351" t="s">
        <v>27</v>
      </c>
    </row>
    <row r="10">
      <c r="A10" s="349"/>
      <c r="B10" s="349"/>
      <c r="C10" s="349"/>
      <c r="D10" s="72"/>
      <c r="E10" s="72"/>
      <c r="F10" s="72"/>
      <c r="G10" s="203"/>
      <c r="H10" s="203"/>
      <c r="I10" s="208"/>
      <c r="J10" s="349"/>
      <c r="K10" s="349"/>
      <c r="L10" s="349"/>
      <c r="M10" s="349"/>
      <c r="N10" s="349"/>
      <c r="O10" s="349"/>
      <c r="P10" s="349"/>
      <c r="Q10" s="349"/>
      <c r="R10" s="349"/>
      <c r="S10" s="209"/>
      <c r="T10" s="209"/>
      <c r="U10" s="209"/>
    </row>
    <row r="11" hidden="1">
      <c r="A11" s="349"/>
      <c r="B11" s="349"/>
      <c r="C11" s="349"/>
      <c r="D11" s="72"/>
      <c r="E11" s="72"/>
      <c r="F11" s="72"/>
      <c r="G11" s="203"/>
      <c r="H11" s="203"/>
      <c r="I11" s="203"/>
      <c r="J11" s="349"/>
      <c r="K11" s="349"/>
      <c r="L11" s="349"/>
      <c r="M11" s="349"/>
      <c r="N11" s="349"/>
      <c r="O11" s="349"/>
      <c r="P11" s="349"/>
      <c r="Q11" s="349"/>
      <c r="R11" s="349"/>
      <c r="S11" s="209"/>
      <c r="T11" s="209"/>
      <c r="U11" s="209"/>
    </row>
    <row r="12" hidden="1">
      <c r="A12" s="363"/>
      <c r="B12" s="363"/>
      <c r="C12" s="363"/>
      <c r="D12" s="154"/>
      <c r="E12" s="154"/>
      <c r="F12" s="154"/>
      <c r="G12" s="203"/>
      <c r="H12" s="203"/>
      <c r="I12" s="251"/>
      <c r="J12" s="363"/>
      <c r="K12" s="363"/>
      <c r="L12" s="363"/>
      <c r="M12" s="363"/>
      <c r="N12" s="363"/>
      <c r="O12" s="363"/>
      <c r="P12" s="363"/>
      <c r="Q12" s="363"/>
      <c r="R12" s="363"/>
      <c r="S12" s="349"/>
      <c r="T12" s="349"/>
      <c r="U12" s="349"/>
    </row>
    <row r="13">
      <c r="A13" s="27" t="s">
        <v>6</v>
      </c>
      <c r="B13" s="13"/>
      <c r="C13" s="14"/>
      <c r="D13" s="27" t="s">
        <v>7</v>
      </c>
      <c r="E13" s="13"/>
      <c r="F13" s="14"/>
      <c r="G13" s="27" t="s">
        <v>8</v>
      </c>
      <c r="H13" s="13"/>
      <c r="I13" s="14"/>
      <c r="J13" s="27" t="s">
        <v>9</v>
      </c>
      <c r="K13" s="13"/>
      <c r="L13" s="14"/>
      <c r="M13" s="27" t="s">
        <v>10</v>
      </c>
      <c r="N13" s="13"/>
      <c r="O13" s="14"/>
      <c r="P13" s="27" t="s">
        <v>11</v>
      </c>
      <c r="Q13" s="13"/>
      <c r="R13" s="14"/>
      <c r="S13" s="29" t="s">
        <v>12</v>
      </c>
      <c r="T13" s="13"/>
      <c r="U13" s="14"/>
    </row>
    <row r="14">
      <c r="A14" s="30">
        <f>S6+1</f>
        <v>46083</v>
      </c>
      <c r="B14" s="13"/>
      <c r="C14" s="14"/>
      <c r="D14" s="30">
        <f>A14+1</f>
        <v>46084</v>
      </c>
      <c r="E14" s="13"/>
      <c r="F14" s="14"/>
      <c r="G14" s="30">
        <f>D14+1</f>
        <v>46085</v>
      </c>
      <c r="H14" s="13"/>
      <c r="I14" s="14"/>
      <c r="J14" s="30">
        <f>G14+1</f>
        <v>46086</v>
      </c>
      <c r="K14" s="13"/>
      <c r="L14" s="14"/>
      <c r="M14" s="30">
        <f>J14+1</f>
        <v>46087</v>
      </c>
      <c r="N14" s="13"/>
      <c r="O14" s="14"/>
      <c r="P14" s="30">
        <f>M14+1</f>
        <v>46088</v>
      </c>
      <c r="Q14" s="13"/>
      <c r="R14" s="14"/>
      <c r="S14" s="31">
        <f>P14+1</f>
        <v>46089</v>
      </c>
      <c r="T14" s="13"/>
      <c r="U14" s="14"/>
    </row>
    <row r="15">
      <c r="A15" s="349"/>
      <c r="B15" s="349"/>
      <c r="C15" s="349"/>
      <c r="D15" s="72"/>
      <c r="E15" s="72"/>
      <c r="F15" s="72"/>
      <c r="G15" s="203"/>
      <c r="H15" s="203"/>
      <c r="I15" s="208"/>
      <c r="J15" s="349"/>
      <c r="K15" s="349"/>
      <c r="L15" s="349"/>
      <c r="M15" s="349"/>
      <c r="N15" s="349"/>
      <c r="O15" s="349"/>
      <c r="P15" s="349"/>
      <c r="Q15" s="349"/>
      <c r="R15" s="349"/>
      <c r="S15" s="349"/>
      <c r="T15" s="349"/>
      <c r="U15" s="349"/>
    </row>
    <row r="16">
      <c r="A16" s="349"/>
      <c r="B16" s="349"/>
      <c r="C16" s="349"/>
      <c r="D16" s="72"/>
      <c r="E16" s="72"/>
      <c r="F16" s="72"/>
      <c r="G16" s="203"/>
      <c r="H16" s="203"/>
      <c r="I16" s="208"/>
      <c r="J16" s="349"/>
      <c r="K16" s="349"/>
      <c r="L16" s="349"/>
      <c r="M16" s="349"/>
      <c r="N16" s="349"/>
      <c r="O16" s="349"/>
      <c r="P16" s="349"/>
      <c r="Q16" s="349"/>
      <c r="R16" s="349"/>
      <c r="S16" s="349"/>
      <c r="T16" s="349"/>
      <c r="U16" s="349"/>
    </row>
    <row r="17">
      <c r="A17" s="53" t="s">
        <v>206</v>
      </c>
      <c r="B17" s="24" t="s">
        <v>47</v>
      </c>
      <c r="C17" s="49" t="s">
        <v>48</v>
      </c>
      <c r="D17" s="324" t="s">
        <v>13</v>
      </c>
      <c r="E17" s="13"/>
      <c r="F17" s="14"/>
      <c r="G17" s="415" t="s">
        <v>425</v>
      </c>
      <c r="H17" s="415" t="s">
        <v>243</v>
      </c>
      <c r="I17" s="416" t="s">
        <v>36</v>
      </c>
      <c r="J17" s="351" t="s">
        <v>425</v>
      </c>
      <c r="K17" s="351" t="s">
        <v>429</v>
      </c>
      <c r="L17" s="351" t="s">
        <v>430</v>
      </c>
      <c r="M17" s="351" t="s">
        <v>425</v>
      </c>
      <c r="N17" s="351" t="s">
        <v>429</v>
      </c>
      <c r="O17" s="351" t="s">
        <v>430</v>
      </c>
      <c r="P17" s="351" t="s">
        <v>425</v>
      </c>
      <c r="Q17" s="351" t="s">
        <v>429</v>
      </c>
      <c r="R17" s="351" t="s">
        <v>430</v>
      </c>
      <c r="S17" s="51"/>
      <c r="T17" s="51"/>
      <c r="U17" s="113"/>
    </row>
    <row r="18">
      <c r="A18" s="349"/>
      <c r="B18" s="349"/>
      <c r="C18" s="349"/>
      <c r="D18" s="72"/>
      <c r="E18" s="72"/>
      <c r="F18" s="72"/>
      <c r="G18" s="203"/>
      <c r="H18" s="203"/>
      <c r="I18" s="208"/>
      <c r="J18" s="349"/>
      <c r="K18" s="349"/>
      <c r="L18" s="349"/>
      <c r="M18" s="349"/>
      <c r="N18" s="349"/>
      <c r="O18" s="349"/>
      <c r="P18" s="349"/>
      <c r="Q18" s="349"/>
      <c r="R18" s="349"/>
      <c r="S18" s="349"/>
      <c r="T18" s="349"/>
      <c r="U18" s="349"/>
    </row>
    <row r="19">
      <c r="A19" s="349"/>
      <c r="B19" s="349"/>
      <c r="C19" s="349"/>
      <c r="D19" s="72"/>
      <c r="E19" s="72"/>
      <c r="F19" s="72"/>
      <c r="G19" s="203"/>
      <c r="H19" s="203"/>
      <c r="I19" s="203"/>
      <c r="J19" s="349"/>
      <c r="K19" s="349"/>
      <c r="L19" s="349"/>
      <c r="M19" s="51"/>
      <c r="N19" s="51"/>
      <c r="O19" s="141"/>
      <c r="P19" s="349"/>
      <c r="Q19" s="349"/>
      <c r="R19" s="349"/>
      <c r="S19" s="209"/>
      <c r="T19" s="209"/>
      <c r="U19" s="209"/>
    </row>
    <row r="20">
      <c r="A20" s="363"/>
      <c r="B20" s="363"/>
      <c r="C20" s="363"/>
      <c r="D20" s="154"/>
      <c r="E20" s="154"/>
      <c r="F20" s="154"/>
      <c r="G20" s="203"/>
      <c r="H20" s="203"/>
      <c r="I20" s="251"/>
      <c r="J20" s="363"/>
      <c r="K20" s="363"/>
      <c r="L20" s="363"/>
      <c r="M20" s="363"/>
      <c r="N20" s="363"/>
      <c r="O20" s="363"/>
      <c r="P20" s="363"/>
      <c r="Q20" s="363"/>
      <c r="R20" s="363"/>
      <c r="S20" s="349"/>
      <c r="T20" s="349"/>
      <c r="U20" s="349"/>
    </row>
    <row r="21">
      <c r="A21" s="12" t="s">
        <v>6</v>
      </c>
      <c r="B21" s="13"/>
      <c r="C21" s="14"/>
      <c r="D21" s="12" t="s">
        <v>7</v>
      </c>
      <c r="E21" s="13"/>
      <c r="F21" s="14"/>
      <c r="G21" s="12" t="s">
        <v>8</v>
      </c>
      <c r="H21" s="13"/>
      <c r="I21" s="14"/>
      <c r="J21" s="12" t="s">
        <v>9</v>
      </c>
      <c r="K21" s="13"/>
      <c r="L21" s="14"/>
      <c r="M21" s="12" t="s">
        <v>10</v>
      </c>
      <c r="N21" s="13"/>
      <c r="O21" s="14"/>
      <c r="P21" s="12" t="s">
        <v>11</v>
      </c>
      <c r="Q21" s="13"/>
      <c r="R21" s="14"/>
      <c r="S21" s="15" t="s">
        <v>12</v>
      </c>
      <c r="T21" s="13"/>
      <c r="U21" s="14"/>
    </row>
    <row r="22">
      <c r="A22" s="16">
        <f>S14+1</f>
        <v>46090</v>
      </c>
      <c r="B22" s="13"/>
      <c r="C22" s="14"/>
      <c r="D22" s="16">
        <f>A22+1</f>
        <v>46091</v>
      </c>
      <c r="E22" s="13"/>
      <c r="F22" s="14"/>
      <c r="G22" s="16">
        <f>D22+1</f>
        <v>46092</v>
      </c>
      <c r="H22" s="13"/>
      <c r="I22" s="14"/>
      <c r="J22" s="16">
        <f>G22+1</f>
        <v>46093</v>
      </c>
      <c r="K22" s="13"/>
      <c r="L22" s="14"/>
      <c r="M22" s="16">
        <f>J22+1</f>
        <v>46094</v>
      </c>
      <c r="N22" s="13"/>
      <c r="O22" s="14"/>
      <c r="P22" s="16">
        <f>M22+1</f>
        <v>46095</v>
      </c>
      <c r="Q22" s="13"/>
      <c r="R22" s="14"/>
      <c r="S22" s="184">
        <f>P22+1</f>
        <v>46096</v>
      </c>
      <c r="T22" s="13"/>
      <c r="U22" s="14"/>
    </row>
    <row r="23">
      <c r="A23" s="349"/>
      <c r="B23" s="349"/>
      <c r="C23" s="349"/>
      <c r="D23" s="349"/>
      <c r="E23" s="349"/>
      <c r="F23" s="349"/>
      <c r="G23" s="43"/>
      <c r="H23" s="43"/>
      <c r="I23" s="43"/>
      <c r="J23" s="349"/>
      <c r="K23" s="349"/>
      <c r="L23" s="349"/>
      <c r="M23" s="349"/>
      <c r="N23" s="349"/>
      <c r="O23" s="349"/>
      <c r="P23" s="349"/>
      <c r="Q23" s="349"/>
      <c r="R23" s="349"/>
      <c r="S23" s="349"/>
      <c r="T23" s="349"/>
      <c r="U23" s="349"/>
    </row>
    <row r="24">
      <c r="A24" s="351" t="s">
        <v>425</v>
      </c>
      <c r="B24" s="351" t="s">
        <v>429</v>
      </c>
      <c r="C24" s="351" t="s">
        <v>24</v>
      </c>
      <c r="D24" s="351" t="s">
        <v>425</v>
      </c>
      <c r="E24" s="351" t="s">
        <v>431</v>
      </c>
      <c r="F24" s="351" t="s">
        <v>24</v>
      </c>
      <c r="G24" s="112" t="s">
        <v>403</v>
      </c>
      <c r="H24" s="24" t="s">
        <v>404</v>
      </c>
      <c r="I24" s="47" t="s">
        <v>48</v>
      </c>
      <c r="J24" s="324" t="s">
        <v>13</v>
      </c>
      <c r="K24" s="13"/>
      <c r="L24" s="14"/>
      <c r="M24" s="351" t="s">
        <v>425</v>
      </c>
      <c r="N24" s="351" t="s">
        <v>431</v>
      </c>
      <c r="O24" s="351" t="s">
        <v>24</v>
      </c>
      <c r="P24" s="351" t="s">
        <v>425</v>
      </c>
      <c r="Q24" s="351" t="s">
        <v>431</v>
      </c>
      <c r="R24" s="351" t="s">
        <v>24</v>
      </c>
      <c r="S24" s="351" t="s">
        <v>425</v>
      </c>
      <c r="T24" s="351" t="s">
        <v>426</v>
      </c>
      <c r="U24" s="351" t="s">
        <v>117</v>
      </c>
    </row>
    <row r="25">
      <c r="A25" s="349"/>
      <c r="B25" s="349"/>
      <c r="C25" s="349"/>
      <c r="D25" s="349"/>
      <c r="E25" s="349"/>
      <c r="F25" s="349"/>
      <c r="G25" s="47" t="s">
        <v>406</v>
      </c>
      <c r="H25" s="47" t="s">
        <v>353</v>
      </c>
      <c r="I25" s="24" t="s">
        <v>355</v>
      </c>
      <c r="J25" s="349"/>
      <c r="K25" s="349"/>
      <c r="L25" s="349"/>
      <c r="M25" s="349"/>
      <c r="N25" s="349"/>
      <c r="O25" s="349"/>
      <c r="P25" s="349"/>
      <c r="Q25" s="349"/>
      <c r="R25" s="349"/>
      <c r="S25" s="414" t="s">
        <v>427</v>
      </c>
      <c r="T25" s="351" t="s">
        <v>428</v>
      </c>
      <c r="U25" s="351" t="s">
        <v>27</v>
      </c>
    </row>
    <row r="26">
      <c r="A26" s="349"/>
      <c r="B26" s="349"/>
      <c r="C26" s="349"/>
      <c r="D26" s="349"/>
      <c r="E26" s="349"/>
      <c r="F26" s="349"/>
      <c r="G26" s="349"/>
      <c r="H26" s="349"/>
      <c r="I26" s="349"/>
      <c r="J26" s="349"/>
      <c r="K26" s="349"/>
      <c r="L26" s="349"/>
      <c r="M26" s="349"/>
      <c r="N26" s="349"/>
      <c r="O26" s="349"/>
      <c r="P26" s="349"/>
      <c r="Q26" s="349"/>
      <c r="R26" s="349"/>
      <c r="S26" s="349"/>
      <c r="T26" s="349"/>
      <c r="U26" s="349"/>
    </row>
    <row r="27" hidden="1">
      <c r="A27" s="349"/>
      <c r="B27" s="349"/>
      <c r="C27" s="349"/>
      <c r="D27" s="72"/>
      <c r="E27" s="72"/>
      <c r="F27" s="72"/>
      <c r="G27" s="203"/>
      <c r="H27" s="203"/>
      <c r="I27" s="203"/>
      <c r="J27" s="349"/>
      <c r="K27" s="349"/>
      <c r="L27" s="349"/>
      <c r="M27" s="349"/>
      <c r="N27" s="349"/>
      <c r="O27" s="349"/>
      <c r="P27" s="349"/>
      <c r="Q27" s="349"/>
      <c r="R27" s="349"/>
      <c r="S27" s="209"/>
      <c r="T27" s="209"/>
      <c r="U27" s="209"/>
    </row>
    <row r="28" hidden="1">
      <c r="A28" s="363"/>
      <c r="B28" s="363"/>
      <c r="C28" s="363"/>
      <c r="D28" s="154"/>
      <c r="E28" s="154"/>
      <c r="F28" s="154"/>
      <c r="G28" s="203"/>
      <c r="H28" s="203"/>
      <c r="I28" s="251"/>
      <c r="J28" s="363"/>
      <c r="K28" s="363"/>
      <c r="L28" s="363"/>
      <c r="M28" s="363"/>
      <c r="N28" s="363"/>
      <c r="O28" s="363"/>
      <c r="P28" s="363"/>
      <c r="Q28" s="363"/>
      <c r="R28" s="363"/>
      <c r="S28" s="349"/>
      <c r="T28" s="349"/>
      <c r="U28" s="349"/>
    </row>
    <row r="29">
      <c r="A29" s="27" t="s">
        <v>6</v>
      </c>
      <c r="B29" s="13"/>
      <c r="C29" s="14"/>
      <c r="D29" s="27" t="s">
        <v>7</v>
      </c>
      <c r="E29" s="13"/>
      <c r="F29" s="14"/>
      <c r="G29" s="27" t="s">
        <v>8</v>
      </c>
      <c r="H29" s="13"/>
      <c r="I29" s="14"/>
      <c r="J29" s="27" t="s">
        <v>9</v>
      </c>
      <c r="K29" s="13"/>
      <c r="L29" s="14"/>
      <c r="M29" s="27" t="s">
        <v>10</v>
      </c>
      <c r="N29" s="13"/>
      <c r="O29" s="14"/>
      <c r="P29" s="27" t="s">
        <v>11</v>
      </c>
      <c r="Q29" s="13"/>
      <c r="R29" s="14"/>
      <c r="S29" s="29" t="s">
        <v>12</v>
      </c>
      <c r="T29" s="13"/>
      <c r="U29" s="14"/>
    </row>
    <row r="30">
      <c r="A30" s="57">
        <f>S22+1</f>
        <v>46097</v>
      </c>
      <c r="B30" s="13"/>
      <c r="C30" s="14"/>
      <c r="D30" s="57">
        <f>A30+1</f>
        <v>46098</v>
      </c>
      <c r="E30" s="13"/>
      <c r="F30" s="14"/>
      <c r="G30" s="57">
        <f>D30+1</f>
        <v>46099</v>
      </c>
      <c r="H30" s="13"/>
      <c r="I30" s="14"/>
      <c r="J30" s="57">
        <f>G30+1</f>
        <v>46100</v>
      </c>
      <c r="K30" s="13"/>
      <c r="L30" s="14"/>
      <c r="M30" s="57">
        <f>J30+1</f>
        <v>46101</v>
      </c>
      <c r="N30" s="13"/>
      <c r="O30" s="14"/>
      <c r="P30" s="57">
        <f>M30+1</f>
        <v>46102</v>
      </c>
      <c r="Q30" s="13"/>
      <c r="R30" s="14"/>
      <c r="S30" s="58">
        <f>P30+1</f>
        <v>46103</v>
      </c>
      <c r="T30" s="13"/>
      <c r="U30" s="14"/>
    </row>
    <row r="31">
      <c r="A31" s="349"/>
      <c r="B31" s="349"/>
      <c r="C31" s="349"/>
      <c r="D31" s="72"/>
      <c r="E31" s="72"/>
      <c r="F31" s="72"/>
      <c r="G31" s="203"/>
      <c r="H31" s="203"/>
      <c r="I31" s="208"/>
      <c r="J31" s="349"/>
      <c r="K31" s="349"/>
      <c r="L31" s="349"/>
      <c r="M31" s="349"/>
      <c r="N31" s="349"/>
      <c r="O31" s="349"/>
      <c r="P31" s="349"/>
      <c r="Q31" s="349"/>
      <c r="R31" s="349"/>
      <c r="S31" s="349"/>
      <c r="T31" s="349"/>
      <c r="U31" s="349"/>
    </row>
    <row r="32">
      <c r="A32" s="349"/>
      <c r="B32" s="349"/>
      <c r="C32" s="349"/>
      <c r="D32" s="349"/>
      <c r="E32" s="349"/>
      <c r="F32" s="349"/>
      <c r="G32" s="349"/>
      <c r="H32" s="349"/>
      <c r="I32" s="349"/>
      <c r="J32" s="349"/>
      <c r="K32" s="349"/>
      <c r="L32" s="349"/>
      <c r="M32" s="349"/>
      <c r="N32" s="349"/>
      <c r="O32" s="349"/>
      <c r="P32" s="349"/>
      <c r="Q32" s="349"/>
      <c r="R32" s="349"/>
      <c r="S32" s="349"/>
      <c r="T32" s="349"/>
      <c r="U32" s="349"/>
    </row>
    <row r="33">
      <c r="A33" s="351" t="s">
        <v>425</v>
      </c>
      <c r="B33" s="351" t="s">
        <v>431</v>
      </c>
      <c r="C33" s="351" t="s">
        <v>24</v>
      </c>
      <c r="D33" s="324" t="s">
        <v>13</v>
      </c>
      <c r="E33" s="13"/>
      <c r="F33" s="14"/>
      <c r="G33" s="415" t="s">
        <v>425</v>
      </c>
      <c r="H33" s="415" t="s">
        <v>243</v>
      </c>
      <c r="I33" s="416" t="s">
        <v>36</v>
      </c>
      <c r="J33" s="417" t="s">
        <v>419</v>
      </c>
      <c r="K33" s="418" t="s">
        <v>431</v>
      </c>
      <c r="L33" s="419" t="s">
        <v>24</v>
      </c>
      <c r="M33" s="351" t="s">
        <v>425</v>
      </c>
      <c r="N33" s="351" t="s">
        <v>431</v>
      </c>
      <c r="O33" s="351" t="s">
        <v>24</v>
      </c>
      <c r="P33" s="351" t="s">
        <v>425</v>
      </c>
      <c r="Q33" s="351" t="s">
        <v>431</v>
      </c>
      <c r="R33" s="351" t="s">
        <v>24</v>
      </c>
      <c r="S33" s="51"/>
      <c r="T33" s="51"/>
      <c r="U33" s="113"/>
    </row>
    <row r="34">
      <c r="A34" s="349"/>
      <c r="B34" s="349"/>
      <c r="C34" s="349"/>
      <c r="D34" s="349"/>
      <c r="E34" s="349"/>
      <c r="F34" s="349"/>
      <c r="G34" s="349"/>
      <c r="H34" s="349"/>
      <c r="I34" s="349"/>
      <c r="J34" s="349"/>
      <c r="K34" s="349"/>
      <c r="L34" s="349"/>
      <c r="M34" s="349"/>
      <c r="N34" s="349"/>
      <c r="O34" s="349"/>
      <c r="P34" s="349"/>
      <c r="Q34" s="349"/>
      <c r="R34" s="349"/>
      <c r="S34" s="349"/>
      <c r="T34" s="349"/>
      <c r="U34" s="349"/>
    </row>
    <row r="35">
      <c r="A35" s="349"/>
      <c r="B35" s="349"/>
      <c r="C35" s="349"/>
      <c r="D35" s="349"/>
      <c r="E35" s="349"/>
      <c r="F35" s="349"/>
      <c r="G35" s="349"/>
      <c r="H35" s="349"/>
      <c r="I35" s="349"/>
      <c r="J35" s="349"/>
      <c r="K35" s="349"/>
      <c r="L35" s="349"/>
      <c r="M35" s="51"/>
      <c r="N35" s="51"/>
      <c r="O35" s="141"/>
      <c r="P35" s="349"/>
      <c r="Q35" s="349"/>
      <c r="R35" s="349"/>
      <c r="S35" s="209"/>
      <c r="T35" s="209"/>
      <c r="U35" s="209"/>
    </row>
    <row r="36">
      <c r="A36" s="363"/>
      <c r="B36" s="363"/>
      <c r="C36" s="363"/>
      <c r="D36" s="154"/>
      <c r="E36" s="154"/>
      <c r="F36" s="154"/>
      <c r="G36" s="203"/>
      <c r="H36" s="203"/>
      <c r="I36" s="251"/>
      <c r="J36" s="363"/>
      <c r="K36" s="363"/>
      <c r="L36" s="363"/>
      <c r="M36" s="363"/>
      <c r="N36" s="363"/>
      <c r="O36" s="363"/>
      <c r="P36" s="363"/>
      <c r="Q36" s="363"/>
      <c r="R36" s="363"/>
      <c r="S36" s="349"/>
      <c r="T36" s="349"/>
      <c r="U36" s="349"/>
    </row>
    <row r="37">
      <c r="A37" s="12" t="s">
        <v>6</v>
      </c>
      <c r="B37" s="13"/>
      <c r="C37" s="14"/>
      <c r="D37" s="12" t="s">
        <v>7</v>
      </c>
      <c r="E37" s="13"/>
      <c r="F37" s="14"/>
      <c r="G37" s="12" t="s">
        <v>8</v>
      </c>
      <c r="H37" s="13"/>
      <c r="I37" s="14"/>
      <c r="J37" s="12" t="s">
        <v>9</v>
      </c>
      <c r="K37" s="13"/>
      <c r="L37" s="14"/>
      <c r="M37" s="12" t="s">
        <v>10</v>
      </c>
      <c r="N37" s="13"/>
      <c r="O37" s="14"/>
      <c r="P37" s="12" t="s">
        <v>11</v>
      </c>
      <c r="Q37" s="13"/>
      <c r="R37" s="14"/>
      <c r="S37" s="15" t="s">
        <v>12</v>
      </c>
      <c r="T37" s="13"/>
      <c r="U37" s="14"/>
    </row>
    <row r="38">
      <c r="A38" s="16">
        <f>S30+1</f>
        <v>46104</v>
      </c>
      <c r="B38" s="13"/>
      <c r="C38" s="14"/>
      <c r="D38" s="16">
        <f>A38+1</f>
        <v>46105</v>
      </c>
      <c r="E38" s="13"/>
      <c r="F38" s="14"/>
      <c r="G38" s="16">
        <f>D38+1</f>
        <v>46106</v>
      </c>
      <c r="H38" s="13"/>
      <c r="I38" s="14"/>
      <c r="J38" s="16">
        <f>G38+1</f>
        <v>46107</v>
      </c>
      <c r="K38" s="13"/>
      <c r="L38" s="14"/>
      <c r="M38" s="16">
        <f>J38+1</f>
        <v>46108</v>
      </c>
      <c r="N38" s="13"/>
      <c r="O38" s="14"/>
      <c r="P38" s="16">
        <f>M38+1</f>
        <v>46109</v>
      </c>
      <c r="Q38" s="13"/>
      <c r="R38" s="14"/>
      <c r="S38" s="184">
        <f>P38+1</f>
        <v>46110</v>
      </c>
      <c r="T38" s="13"/>
      <c r="U38" s="14"/>
    </row>
    <row r="39">
      <c r="A39" s="349"/>
      <c r="B39" s="349"/>
      <c r="C39" s="349"/>
      <c r="D39" s="72"/>
      <c r="E39" s="72"/>
      <c r="F39" s="72"/>
      <c r="G39" s="203"/>
      <c r="H39" s="203"/>
      <c r="I39" s="208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</row>
    <row r="40">
      <c r="A40" s="349"/>
      <c r="B40" s="349"/>
      <c r="C40" s="349"/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</row>
    <row r="41">
      <c r="A41" s="349"/>
      <c r="B41" s="349"/>
      <c r="C41" s="349"/>
      <c r="D41" s="351" t="s">
        <v>425</v>
      </c>
      <c r="E41" s="351" t="s">
        <v>431</v>
      </c>
      <c r="F41" s="351" t="s">
        <v>24</v>
      </c>
      <c r="G41" s="351" t="s">
        <v>425</v>
      </c>
      <c r="H41" s="351" t="s">
        <v>431</v>
      </c>
      <c r="I41" s="351" t="s">
        <v>24</v>
      </c>
      <c r="J41" s="351" t="s">
        <v>425</v>
      </c>
      <c r="K41" s="351" t="s">
        <v>431</v>
      </c>
      <c r="L41" s="351" t="s">
        <v>24</v>
      </c>
      <c r="M41" s="351" t="s">
        <v>425</v>
      </c>
      <c r="N41" s="351" t="s">
        <v>431</v>
      </c>
      <c r="O41" s="351" t="s">
        <v>24</v>
      </c>
      <c r="P41" s="351" t="s">
        <v>425</v>
      </c>
      <c r="Q41" s="351" t="s">
        <v>431</v>
      </c>
      <c r="R41" s="351" t="s">
        <v>24</v>
      </c>
      <c r="S41" s="324" t="s">
        <v>13</v>
      </c>
      <c r="T41" s="13"/>
      <c r="U41" s="14"/>
    </row>
    <row r="42">
      <c r="A42" s="349"/>
      <c r="B42" s="349"/>
      <c r="C42" s="349"/>
      <c r="D42" s="349"/>
      <c r="E42" s="349"/>
      <c r="F42" s="349"/>
      <c r="G42" s="349"/>
      <c r="H42" s="349"/>
      <c r="I42" s="349"/>
      <c r="J42" s="349"/>
      <c r="K42" s="349"/>
      <c r="L42" s="349"/>
      <c r="M42" s="349"/>
      <c r="N42" s="349"/>
      <c r="O42" s="349"/>
      <c r="P42" s="349"/>
      <c r="Q42" s="349"/>
      <c r="R42" s="349"/>
      <c r="S42" s="349"/>
      <c r="T42" s="349"/>
      <c r="U42" s="349"/>
    </row>
    <row r="43">
      <c r="A43" s="349"/>
      <c r="B43" s="349"/>
      <c r="C43" s="349"/>
      <c r="D43" s="349"/>
      <c r="E43" s="349"/>
      <c r="F43" s="349"/>
      <c r="G43" s="349"/>
      <c r="H43" s="349"/>
      <c r="I43" s="349"/>
      <c r="J43" s="349"/>
      <c r="K43" s="349"/>
      <c r="L43" s="349"/>
      <c r="M43" s="51"/>
      <c r="N43" s="51"/>
      <c r="O43" s="141"/>
      <c r="P43" s="349"/>
      <c r="Q43" s="349"/>
      <c r="R43" s="349"/>
      <c r="S43" s="209"/>
      <c r="T43" s="209"/>
      <c r="U43" s="209"/>
    </row>
    <row r="44">
      <c r="A44" s="363"/>
      <c r="B44" s="363"/>
      <c r="C44" s="363"/>
      <c r="D44" s="154"/>
      <c r="E44" s="154"/>
      <c r="F44" s="154"/>
      <c r="G44" s="203"/>
      <c r="H44" s="203"/>
      <c r="I44" s="251"/>
      <c r="J44" s="363"/>
      <c r="K44" s="363"/>
      <c r="L44" s="363"/>
      <c r="M44" s="363"/>
      <c r="N44" s="363"/>
      <c r="O44" s="363"/>
      <c r="P44" s="363"/>
      <c r="Q44" s="363"/>
      <c r="R44" s="363"/>
      <c r="S44" s="349"/>
      <c r="T44" s="349"/>
      <c r="U44" s="349"/>
    </row>
    <row r="45">
      <c r="A45" s="27" t="s">
        <v>6</v>
      </c>
      <c r="B45" s="13"/>
      <c r="C45" s="14"/>
      <c r="D45" s="27" t="s">
        <v>7</v>
      </c>
      <c r="E45" s="13"/>
      <c r="F45" s="14"/>
      <c r="G45" s="27"/>
      <c r="H45" s="13"/>
      <c r="I45" s="14"/>
      <c r="J45" s="27"/>
      <c r="K45" s="13"/>
      <c r="L45" s="14"/>
      <c r="M45" s="27"/>
      <c r="N45" s="13"/>
      <c r="O45" s="14"/>
      <c r="P45" s="27"/>
      <c r="Q45" s="13"/>
      <c r="R45" s="14"/>
      <c r="S45" s="420"/>
      <c r="T45" s="13"/>
      <c r="U45" s="14"/>
    </row>
    <row r="46">
      <c r="A46" s="57">
        <f>S38+1</f>
        <v>46111</v>
      </c>
      <c r="B46" s="13"/>
      <c r="C46" s="14"/>
      <c r="D46" s="57">
        <f>A46+1</f>
        <v>46112</v>
      </c>
      <c r="E46" s="13"/>
      <c r="F46" s="14"/>
      <c r="G46" s="57"/>
      <c r="H46" s="13"/>
      <c r="I46" s="14"/>
      <c r="J46" s="57"/>
      <c r="K46" s="13"/>
      <c r="L46" s="14"/>
      <c r="M46" s="57"/>
      <c r="N46" s="13"/>
      <c r="O46" s="14"/>
      <c r="P46" s="57"/>
      <c r="Q46" s="13"/>
      <c r="R46" s="14"/>
      <c r="S46" s="421"/>
      <c r="T46" s="13"/>
      <c r="U46" s="14"/>
    </row>
    <row r="47">
      <c r="A47" s="209"/>
      <c r="B47" s="209"/>
      <c r="C47" s="209"/>
      <c r="D47" s="154"/>
      <c r="E47" s="154"/>
      <c r="F47" s="154"/>
      <c r="G47" s="361"/>
      <c r="H47" s="362"/>
      <c r="I47" s="362"/>
      <c r="J47" s="363"/>
      <c r="K47" s="363"/>
      <c r="L47" s="363"/>
      <c r="M47" s="349"/>
      <c r="N47" s="349"/>
      <c r="O47" s="349"/>
      <c r="P47" s="349"/>
      <c r="Q47" s="349"/>
      <c r="R47" s="349"/>
      <c r="S47" s="363"/>
      <c r="T47" s="363"/>
      <c r="U47" s="363"/>
    </row>
    <row r="48">
      <c r="A48" s="154"/>
      <c r="B48" s="154"/>
      <c r="C48" s="154"/>
      <c r="D48" s="205"/>
      <c r="E48" s="205"/>
      <c r="F48" s="205"/>
      <c r="G48" s="349"/>
      <c r="H48" s="349"/>
      <c r="I48" s="349"/>
      <c r="J48" s="363"/>
      <c r="K48" s="363"/>
      <c r="L48" s="363"/>
      <c r="M48" s="364"/>
      <c r="N48" s="364"/>
      <c r="O48" s="364"/>
      <c r="P48" s="349"/>
      <c r="Q48" s="349"/>
      <c r="R48" s="349"/>
      <c r="S48" s="349"/>
      <c r="T48" s="349"/>
      <c r="U48" s="349"/>
    </row>
    <row r="49">
      <c r="A49" s="324" t="s">
        <v>13</v>
      </c>
      <c r="B49" s="13"/>
      <c r="C49" s="14"/>
      <c r="D49" s="324" t="s">
        <v>13</v>
      </c>
      <c r="E49" s="13"/>
      <c r="F49" s="14"/>
      <c r="G49" s="349"/>
      <c r="H49" s="349"/>
      <c r="I49" s="349"/>
      <c r="J49" s="349"/>
      <c r="K49" s="349"/>
      <c r="L49" s="349"/>
      <c r="M49" s="349"/>
      <c r="N49" s="349"/>
      <c r="O49" s="349"/>
      <c r="P49" s="349"/>
      <c r="Q49" s="349"/>
      <c r="R49" s="349"/>
      <c r="S49" s="349"/>
      <c r="T49" s="349"/>
      <c r="U49" s="349"/>
    </row>
    <row r="50">
      <c r="A50" s="349"/>
      <c r="B50" s="349"/>
      <c r="C50" s="349"/>
      <c r="D50" s="154"/>
      <c r="E50" s="154"/>
      <c r="F50" s="154"/>
      <c r="G50" s="349"/>
      <c r="H50" s="349"/>
      <c r="I50" s="349"/>
      <c r="J50" s="349"/>
      <c r="K50" s="349"/>
      <c r="L50" s="349"/>
      <c r="M50" s="349"/>
      <c r="N50" s="349"/>
      <c r="O50" s="349"/>
      <c r="P50" s="349"/>
      <c r="Q50" s="349"/>
      <c r="R50" s="349"/>
      <c r="S50" s="363"/>
      <c r="T50" s="363"/>
      <c r="U50" s="363"/>
    </row>
    <row r="51">
      <c r="A51" s="209"/>
      <c r="B51" s="209"/>
      <c r="C51" s="209"/>
      <c r="D51" s="203"/>
      <c r="E51" s="203"/>
      <c r="F51" s="203"/>
      <c r="G51" s="349"/>
      <c r="H51" s="349"/>
      <c r="I51" s="363"/>
      <c r="J51" s="349"/>
      <c r="K51" s="349"/>
      <c r="L51" s="349"/>
      <c r="M51" s="349"/>
      <c r="N51" s="349"/>
      <c r="O51" s="349"/>
      <c r="P51" s="349"/>
      <c r="Q51" s="349"/>
      <c r="R51" s="349"/>
      <c r="S51" s="349"/>
      <c r="T51" s="349"/>
      <c r="U51" s="349"/>
    </row>
    <row r="52">
      <c r="A52" s="363"/>
      <c r="B52" s="363"/>
      <c r="C52" s="363"/>
      <c r="D52" s="349"/>
      <c r="E52" s="349"/>
      <c r="F52" s="349"/>
      <c r="G52" s="363"/>
      <c r="H52" s="363"/>
      <c r="I52" s="363"/>
      <c r="J52" s="349"/>
      <c r="K52" s="349"/>
      <c r="L52" s="349"/>
      <c r="M52" s="363"/>
      <c r="N52" s="363"/>
      <c r="O52" s="363"/>
      <c r="P52" s="349"/>
      <c r="Q52" s="349"/>
      <c r="R52" s="349"/>
      <c r="S52" s="363"/>
      <c r="T52" s="363"/>
      <c r="U52" s="363"/>
    </row>
    <row r="53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</row>
    <row r="63">
      <c r="L63" s="102" t="s">
        <v>50</v>
      </c>
    </row>
  </sheetData>
  <mergeCells count="99">
    <mergeCell ref="A14:C14"/>
    <mergeCell ref="D21:F21"/>
    <mergeCell ref="G21:I21"/>
    <mergeCell ref="J21:L21"/>
    <mergeCell ref="M21:O21"/>
    <mergeCell ref="P21:R21"/>
    <mergeCell ref="S21:U21"/>
    <mergeCell ref="A21:C21"/>
    <mergeCell ref="A22:C22"/>
    <mergeCell ref="D22:F22"/>
    <mergeCell ref="G22:I22"/>
    <mergeCell ref="M22:O22"/>
    <mergeCell ref="P22:R22"/>
    <mergeCell ref="S22:U22"/>
    <mergeCell ref="J22:L22"/>
    <mergeCell ref="J24:L24"/>
    <mergeCell ref="A29:C29"/>
    <mergeCell ref="D29:F29"/>
    <mergeCell ref="G29:I29"/>
    <mergeCell ref="J29:L29"/>
    <mergeCell ref="M29:O29"/>
    <mergeCell ref="J37:L37"/>
    <mergeCell ref="M37:O37"/>
    <mergeCell ref="P37:R37"/>
    <mergeCell ref="S37:U37"/>
    <mergeCell ref="A30:C30"/>
    <mergeCell ref="D30:F30"/>
    <mergeCell ref="G30:I30"/>
    <mergeCell ref="J30:L30"/>
    <mergeCell ref="M30:O30"/>
    <mergeCell ref="D33:F33"/>
    <mergeCell ref="A37:C37"/>
    <mergeCell ref="P38:R38"/>
    <mergeCell ref="S38:U38"/>
    <mergeCell ref="S41:U41"/>
    <mergeCell ref="D37:F37"/>
    <mergeCell ref="G37:I37"/>
    <mergeCell ref="A38:C38"/>
    <mergeCell ref="D38:F38"/>
    <mergeCell ref="G38:I38"/>
    <mergeCell ref="J38:L38"/>
    <mergeCell ref="M38:O38"/>
    <mergeCell ref="A45:C45"/>
    <mergeCell ref="D45:F45"/>
    <mergeCell ref="G45:I45"/>
    <mergeCell ref="J45:L45"/>
    <mergeCell ref="M45:O45"/>
    <mergeCell ref="P45:R45"/>
    <mergeCell ref="S45:U45"/>
    <mergeCell ref="A49:C49"/>
    <mergeCell ref="D49:F49"/>
    <mergeCell ref="A46:C46"/>
    <mergeCell ref="D46:F46"/>
    <mergeCell ref="G46:I46"/>
    <mergeCell ref="J46:L46"/>
    <mergeCell ref="M46:O46"/>
    <mergeCell ref="P46:R46"/>
    <mergeCell ref="S46:U46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D14:F14"/>
    <mergeCell ref="G14:I14"/>
    <mergeCell ref="J14:L14"/>
    <mergeCell ref="M14:O14"/>
    <mergeCell ref="P14:R14"/>
    <mergeCell ref="S14:U14"/>
    <mergeCell ref="D17:F17"/>
    <mergeCell ref="P29:R29"/>
    <mergeCell ref="S29:U29"/>
    <mergeCell ref="P30:R30"/>
    <mergeCell ref="S30:U3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22.71"/>
    <col customWidth="1" min="9" max="9" width="7.57"/>
    <col customWidth="1" min="10" max="10" width="25.43"/>
    <col customWidth="1" min="11" max="11" width="12.14"/>
    <col customWidth="1" min="12" max="12" width="9.14"/>
    <col customWidth="1" min="13" max="13" width="18.57"/>
    <col customWidth="1" min="15" max="15" width="8.0"/>
    <col customWidth="1" min="16" max="16" width="14.14"/>
    <col customWidth="1" min="17" max="17" width="11.43"/>
    <col customWidth="1" min="18" max="18" width="9.0"/>
    <col customWidth="1" min="21" max="21" width="7.86"/>
  </cols>
  <sheetData>
    <row r="1">
      <c r="A1" s="91" t="s">
        <v>432</v>
      </c>
      <c r="C1" s="410" t="s">
        <v>433</v>
      </c>
      <c r="F1" s="345"/>
      <c r="G1" s="10" t="s">
        <v>423</v>
      </c>
      <c r="Q1" s="345"/>
      <c r="R1" s="345"/>
      <c r="S1" s="345"/>
      <c r="T1" s="345"/>
      <c r="U1" s="345"/>
    </row>
    <row r="2">
      <c r="A2" s="91" t="s">
        <v>2</v>
      </c>
      <c r="C2" s="7" t="s">
        <v>434</v>
      </c>
      <c r="F2" s="345"/>
      <c r="Q2" s="345"/>
      <c r="R2" s="345"/>
      <c r="S2" s="345"/>
      <c r="T2" s="345"/>
      <c r="U2" s="345"/>
    </row>
    <row r="3">
      <c r="A3" s="91" t="s">
        <v>4</v>
      </c>
      <c r="C3" s="347"/>
      <c r="F3" s="345"/>
      <c r="Q3" s="345"/>
      <c r="R3" s="345"/>
      <c r="S3" s="345"/>
      <c r="T3" s="345"/>
      <c r="U3" s="345"/>
    </row>
    <row r="4">
      <c r="A4" s="91" t="s">
        <v>5</v>
      </c>
      <c r="C4" s="348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</row>
    <row r="5">
      <c r="A5" s="12" t="s">
        <v>6</v>
      </c>
      <c r="B5" s="13"/>
      <c r="C5" s="14"/>
      <c r="D5" s="12" t="s">
        <v>7</v>
      </c>
      <c r="E5" s="13"/>
      <c r="F5" s="14"/>
      <c r="G5" s="12" t="s">
        <v>8</v>
      </c>
      <c r="H5" s="13"/>
      <c r="I5" s="14"/>
      <c r="J5" s="12" t="s">
        <v>9</v>
      </c>
      <c r="K5" s="13"/>
      <c r="L5" s="14"/>
      <c r="M5" s="12" t="s">
        <v>10</v>
      </c>
      <c r="N5" s="13"/>
      <c r="O5" s="14"/>
      <c r="P5" s="12" t="s">
        <v>11</v>
      </c>
      <c r="Q5" s="13"/>
      <c r="R5" s="14"/>
      <c r="S5" s="15" t="s">
        <v>12</v>
      </c>
      <c r="T5" s="13"/>
      <c r="U5" s="14"/>
    </row>
    <row r="6">
      <c r="A6" s="16"/>
      <c r="B6" s="13"/>
      <c r="C6" s="14"/>
      <c r="D6" s="16"/>
      <c r="E6" s="13"/>
      <c r="F6" s="14"/>
      <c r="G6" s="16"/>
      <c r="H6" s="13"/>
      <c r="I6" s="14"/>
      <c r="J6" s="16"/>
      <c r="K6" s="13"/>
      <c r="L6" s="14"/>
      <c r="M6" s="16"/>
      <c r="N6" s="13"/>
      <c r="O6" s="14"/>
      <c r="P6" s="16"/>
      <c r="Q6" s="13"/>
      <c r="R6" s="14"/>
      <c r="S6" s="17">
        <v>46082.0</v>
      </c>
      <c r="T6" s="13"/>
      <c r="U6" s="14"/>
    </row>
    <row r="7">
      <c r="A7" s="349"/>
      <c r="B7" s="349"/>
      <c r="C7" s="349"/>
      <c r="D7" s="349"/>
      <c r="E7" s="349"/>
      <c r="F7" s="349"/>
      <c r="G7" s="349"/>
      <c r="H7" s="349"/>
      <c r="I7" s="349"/>
      <c r="J7" s="349"/>
      <c r="K7" s="349"/>
      <c r="L7" s="349"/>
      <c r="M7" s="349"/>
      <c r="N7" s="349"/>
      <c r="O7" s="349"/>
      <c r="P7" s="349"/>
      <c r="Q7" s="349"/>
      <c r="R7" s="349"/>
      <c r="S7" s="349"/>
      <c r="T7" s="349"/>
      <c r="U7" s="349"/>
    </row>
    <row r="8">
      <c r="A8" s="349"/>
      <c r="B8" s="349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349"/>
      <c r="P8" s="349"/>
      <c r="Q8" s="349"/>
      <c r="R8" s="349"/>
      <c r="S8" s="349"/>
      <c r="T8" s="349"/>
      <c r="U8" s="349"/>
    </row>
    <row r="9">
      <c r="A9" s="349"/>
      <c r="B9" s="349"/>
      <c r="C9" s="349"/>
      <c r="D9" s="349"/>
      <c r="E9" s="349"/>
      <c r="F9" s="349"/>
      <c r="G9" s="349"/>
      <c r="H9" s="349"/>
      <c r="I9" s="349"/>
      <c r="J9" s="349"/>
      <c r="K9" s="349"/>
      <c r="L9" s="349"/>
      <c r="M9" s="349"/>
      <c r="N9" s="349"/>
      <c r="O9" s="349"/>
      <c r="P9" s="349"/>
      <c r="Q9" s="349"/>
      <c r="R9" s="349"/>
      <c r="S9" s="349"/>
      <c r="T9" s="349"/>
      <c r="U9" s="349"/>
    </row>
    <row r="10">
      <c r="A10" s="349"/>
      <c r="B10" s="349"/>
      <c r="C10" s="349"/>
      <c r="D10" s="349"/>
      <c r="E10" s="349"/>
      <c r="F10" s="349"/>
      <c r="G10" s="349"/>
      <c r="H10" s="349"/>
      <c r="I10" s="349"/>
      <c r="J10" s="349"/>
      <c r="K10" s="349"/>
      <c r="L10" s="349"/>
      <c r="M10" s="349"/>
      <c r="N10" s="349"/>
      <c r="O10" s="349"/>
      <c r="P10" s="349"/>
      <c r="Q10" s="349"/>
      <c r="R10" s="349"/>
      <c r="S10" s="349"/>
      <c r="T10" s="349"/>
      <c r="U10" s="349"/>
    </row>
    <row r="11">
      <c r="A11" s="349"/>
      <c r="B11" s="349"/>
      <c r="C11" s="349"/>
      <c r="D11" s="349"/>
      <c r="E11" s="349"/>
      <c r="F11" s="349"/>
      <c r="G11" s="349"/>
      <c r="H11" s="349"/>
      <c r="I11" s="349"/>
      <c r="J11" s="349"/>
      <c r="K11" s="349"/>
      <c r="L11" s="349"/>
      <c r="M11" s="349"/>
      <c r="N11" s="349"/>
      <c r="O11" s="349"/>
      <c r="P11" s="349"/>
      <c r="Q11" s="349"/>
      <c r="R11" s="349"/>
      <c r="S11" s="349"/>
      <c r="T11" s="349"/>
      <c r="U11" s="349"/>
    </row>
    <row r="12">
      <c r="A12" s="349"/>
      <c r="B12" s="349"/>
      <c r="C12" s="349"/>
      <c r="D12" s="349"/>
      <c r="E12" s="349"/>
      <c r="F12" s="349"/>
      <c r="G12" s="349"/>
      <c r="H12" s="349"/>
      <c r="I12" s="349"/>
      <c r="J12" s="349"/>
      <c r="K12" s="349"/>
      <c r="L12" s="349"/>
      <c r="M12" s="349"/>
      <c r="N12" s="349"/>
      <c r="O12" s="349"/>
      <c r="P12" s="349"/>
      <c r="Q12" s="349"/>
      <c r="R12" s="349"/>
      <c r="S12" s="349"/>
      <c r="T12" s="349"/>
      <c r="U12" s="349"/>
    </row>
    <row r="13">
      <c r="A13" s="27" t="s">
        <v>6</v>
      </c>
      <c r="B13" s="13"/>
      <c r="C13" s="14"/>
      <c r="D13" s="27" t="s">
        <v>7</v>
      </c>
      <c r="E13" s="13"/>
      <c r="F13" s="14"/>
      <c r="G13" s="27" t="s">
        <v>8</v>
      </c>
      <c r="H13" s="13"/>
      <c r="I13" s="14"/>
      <c r="J13" s="27" t="s">
        <v>9</v>
      </c>
      <c r="K13" s="13"/>
      <c r="L13" s="14"/>
      <c r="M13" s="27" t="s">
        <v>10</v>
      </c>
      <c r="N13" s="13"/>
      <c r="O13" s="14"/>
      <c r="P13" s="27" t="s">
        <v>11</v>
      </c>
      <c r="Q13" s="13"/>
      <c r="R13" s="14"/>
      <c r="S13" s="29" t="s">
        <v>12</v>
      </c>
      <c r="T13" s="13"/>
      <c r="U13" s="14"/>
    </row>
    <row r="14">
      <c r="A14" s="30">
        <f>S6+1</f>
        <v>46083</v>
      </c>
      <c r="B14" s="13"/>
      <c r="C14" s="14"/>
      <c r="D14" s="30">
        <f>A14+1</f>
        <v>46084</v>
      </c>
      <c r="E14" s="13"/>
      <c r="F14" s="14"/>
      <c r="G14" s="30">
        <f>D14+1</f>
        <v>46085</v>
      </c>
      <c r="H14" s="13"/>
      <c r="I14" s="14"/>
      <c r="J14" s="30">
        <f>G14+1</f>
        <v>46086</v>
      </c>
      <c r="K14" s="13"/>
      <c r="L14" s="14"/>
      <c r="M14" s="30">
        <f>J14+1</f>
        <v>46087</v>
      </c>
      <c r="N14" s="13"/>
      <c r="O14" s="14"/>
      <c r="P14" s="30">
        <f>M14+1</f>
        <v>46088</v>
      </c>
      <c r="Q14" s="13"/>
      <c r="R14" s="14"/>
      <c r="S14" s="31">
        <f>P14+1</f>
        <v>46089</v>
      </c>
      <c r="T14" s="13"/>
      <c r="U14" s="14"/>
    </row>
    <row r="15">
      <c r="A15" s="349"/>
      <c r="B15" s="349"/>
      <c r="C15" s="349"/>
      <c r="D15" s="349"/>
      <c r="E15" s="349"/>
      <c r="F15" s="349"/>
      <c r="G15" s="349"/>
      <c r="H15" s="349"/>
      <c r="I15" s="349"/>
      <c r="J15" s="349"/>
      <c r="K15" s="349"/>
      <c r="L15" s="349"/>
      <c r="M15" s="349"/>
      <c r="N15" s="349"/>
      <c r="O15" s="349"/>
      <c r="P15" s="349"/>
      <c r="Q15" s="349"/>
      <c r="R15" s="349"/>
      <c r="S15" s="349"/>
      <c r="T15" s="349"/>
      <c r="U15" s="349"/>
    </row>
    <row r="16">
      <c r="A16" s="349"/>
      <c r="B16" s="349"/>
      <c r="C16" s="349"/>
      <c r="D16" s="349"/>
      <c r="E16" s="349"/>
      <c r="F16" s="349"/>
      <c r="G16" s="349"/>
      <c r="H16" s="349"/>
      <c r="I16" s="349"/>
      <c r="J16" s="349"/>
      <c r="K16" s="349"/>
      <c r="L16" s="349"/>
      <c r="M16" s="349"/>
      <c r="N16" s="349"/>
      <c r="O16" s="349"/>
      <c r="P16" s="349"/>
      <c r="Q16" s="349"/>
      <c r="R16" s="349"/>
      <c r="S16" s="349"/>
      <c r="T16" s="349"/>
      <c r="U16" s="349"/>
    </row>
    <row r="17">
      <c r="A17" s="349"/>
      <c r="B17" s="349"/>
      <c r="C17" s="349"/>
      <c r="D17" s="349"/>
      <c r="E17" s="349"/>
      <c r="F17" s="349"/>
      <c r="G17" s="349"/>
      <c r="H17" s="349"/>
      <c r="I17" s="349"/>
      <c r="J17" s="351" t="s">
        <v>402</v>
      </c>
      <c r="K17" s="351" t="s">
        <v>435</v>
      </c>
      <c r="L17" s="351" t="s">
        <v>436</v>
      </c>
      <c r="M17" s="349"/>
      <c r="N17" s="349"/>
      <c r="O17" s="349"/>
      <c r="P17" s="349"/>
      <c r="Q17" s="349"/>
      <c r="R17" s="349"/>
      <c r="S17" s="349"/>
      <c r="T17" s="349"/>
      <c r="U17" s="349"/>
    </row>
    <row r="18">
      <c r="A18" s="349"/>
      <c r="B18" s="349"/>
      <c r="C18" s="349"/>
      <c r="D18" s="349"/>
      <c r="E18" s="349"/>
      <c r="F18" s="349"/>
      <c r="G18" s="349"/>
      <c r="H18" s="349"/>
      <c r="I18" s="349"/>
      <c r="J18" s="349"/>
      <c r="K18" s="349"/>
      <c r="L18" s="349"/>
      <c r="M18" s="349"/>
      <c r="N18" s="349"/>
      <c r="O18" s="349"/>
      <c r="P18" s="349"/>
      <c r="Q18" s="349"/>
      <c r="R18" s="349"/>
      <c r="S18" s="349"/>
      <c r="T18" s="349"/>
      <c r="U18" s="349"/>
    </row>
    <row r="19">
      <c r="A19" s="349"/>
      <c r="B19" s="349"/>
      <c r="C19" s="349"/>
      <c r="D19" s="349"/>
      <c r="E19" s="349"/>
      <c r="F19" s="349"/>
      <c r="G19" s="349"/>
      <c r="H19" s="349"/>
      <c r="I19" s="349"/>
      <c r="J19" s="349"/>
      <c r="K19" s="349"/>
      <c r="L19" s="349"/>
      <c r="M19" s="349"/>
      <c r="N19" s="349"/>
      <c r="O19" s="349"/>
      <c r="P19" s="349"/>
      <c r="Q19" s="349"/>
      <c r="R19" s="349"/>
      <c r="S19" s="349"/>
      <c r="T19" s="349"/>
      <c r="U19" s="349"/>
    </row>
    <row r="20">
      <c r="A20" s="349"/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49"/>
      <c r="N20" s="349"/>
      <c r="O20" s="349"/>
      <c r="P20" s="349"/>
      <c r="Q20" s="349"/>
      <c r="R20" s="349"/>
      <c r="S20" s="349"/>
      <c r="T20" s="349"/>
      <c r="U20" s="349"/>
    </row>
    <row r="21">
      <c r="A21" s="12" t="s">
        <v>6</v>
      </c>
      <c r="B21" s="13"/>
      <c r="C21" s="14"/>
      <c r="D21" s="12" t="s">
        <v>7</v>
      </c>
      <c r="E21" s="13"/>
      <c r="F21" s="14"/>
      <c r="G21" s="12" t="s">
        <v>8</v>
      </c>
      <c r="H21" s="13"/>
      <c r="I21" s="14"/>
      <c r="J21" s="12" t="s">
        <v>9</v>
      </c>
      <c r="K21" s="13"/>
      <c r="L21" s="14"/>
      <c r="M21" s="12" t="s">
        <v>10</v>
      </c>
      <c r="N21" s="13"/>
      <c r="O21" s="14"/>
      <c r="P21" s="12" t="s">
        <v>11</v>
      </c>
      <c r="Q21" s="13"/>
      <c r="R21" s="14"/>
      <c r="S21" s="15" t="s">
        <v>12</v>
      </c>
      <c r="T21" s="13"/>
      <c r="U21" s="14"/>
    </row>
    <row r="22">
      <c r="A22" s="16">
        <f>S14+1</f>
        <v>46090</v>
      </c>
      <c r="B22" s="13"/>
      <c r="C22" s="14"/>
      <c r="D22" s="16">
        <f>A22+1</f>
        <v>46091</v>
      </c>
      <c r="E22" s="13"/>
      <c r="F22" s="14"/>
      <c r="G22" s="16">
        <f>D22+1</f>
        <v>46092</v>
      </c>
      <c r="H22" s="13"/>
      <c r="I22" s="14"/>
      <c r="J22" s="16">
        <f>G22+1</f>
        <v>46093</v>
      </c>
      <c r="K22" s="13"/>
      <c r="L22" s="14"/>
      <c r="M22" s="16">
        <f>J22+1</f>
        <v>46094</v>
      </c>
      <c r="N22" s="13"/>
      <c r="O22" s="14"/>
      <c r="P22" s="16">
        <f>M22+1</f>
        <v>46095</v>
      </c>
      <c r="Q22" s="13"/>
      <c r="R22" s="14"/>
      <c r="S22" s="184">
        <f>P22+1</f>
        <v>46096</v>
      </c>
      <c r="T22" s="13"/>
      <c r="U22" s="14"/>
    </row>
    <row r="23">
      <c r="A23" s="349"/>
      <c r="B23" s="349"/>
      <c r="C23" s="349"/>
      <c r="D23" s="349"/>
      <c r="E23" s="349"/>
      <c r="F23" s="349"/>
      <c r="G23" s="349"/>
      <c r="H23" s="349"/>
      <c r="I23" s="349"/>
      <c r="J23" s="349"/>
      <c r="K23" s="349"/>
      <c r="L23" s="349"/>
      <c r="M23" s="349"/>
      <c r="N23" s="349"/>
      <c r="O23" s="349"/>
      <c r="P23" s="349"/>
      <c r="Q23" s="349"/>
      <c r="R23" s="349"/>
      <c r="S23" s="349"/>
      <c r="T23" s="349"/>
      <c r="U23" s="349"/>
    </row>
    <row r="24">
      <c r="A24" s="349"/>
      <c r="B24" s="349"/>
      <c r="C24" s="349"/>
      <c r="D24" s="349"/>
      <c r="E24" s="349"/>
      <c r="F24" s="349"/>
      <c r="G24" s="349"/>
      <c r="H24" s="349"/>
      <c r="I24" s="349"/>
      <c r="J24" s="349"/>
      <c r="K24" s="349"/>
      <c r="L24" s="349"/>
      <c r="M24" s="349"/>
      <c r="N24" s="349"/>
      <c r="O24" s="349"/>
      <c r="P24" s="349"/>
      <c r="Q24" s="349"/>
      <c r="R24" s="349"/>
      <c r="S24" s="349"/>
      <c r="T24" s="349"/>
      <c r="U24" s="349"/>
    </row>
    <row r="25">
      <c r="A25" s="47" t="s">
        <v>288</v>
      </c>
      <c r="B25" s="47" t="s">
        <v>25</v>
      </c>
      <c r="C25" s="47" t="s">
        <v>24</v>
      </c>
      <c r="D25" s="349"/>
      <c r="E25" s="349"/>
      <c r="F25" s="349"/>
      <c r="G25" s="43" t="s">
        <v>413</v>
      </c>
      <c r="H25" s="43" t="s">
        <v>59</v>
      </c>
      <c r="I25" s="43" t="s">
        <v>414</v>
      </c>
      <c r="J25" s="349"/>
      <c r="K25" s="349"/>
      <c r="L25" s="349"/>
      <c r="M25" s="349"/>
      <c r="N25" s="349"/>
      <c r="O25" s="349"/>
      <c r="P25" s="24" t="s">
        <v>166</v>
      </c>
      <c r="Q25" s="24" t="s">
        <v>175</v>
      </c>
      <c r="R25" s="24" t="s">
        <v>24</v>
      </c>
      <c r="S25" s="19" t="s">
        <v>13</v>
      </c>
      <c r="T25" s="13"/>
      <c r="U25" s="14"/>
    </row>
    <row r="26">
      <c r="A26" s="41"/>
      <c r="B26" s="41"/>
      <c r="C26" s="42" t="s">
        <v>36</v>
      </c>
      <c r="D26" s="349"/>
      <c r="E26" s="349"/>
      <c r="F26" s="349"/>
      <c r="G26" s="112" t="s">
        <v>403</v>
      </c>
      <c r="H26" s="24" t="s">
        <v>404</v>
      </c>
      <c r="I26" s="47" t="s">
        <v>48</v>
      </c>
      <c r="J26" s="24" t="s">
        <v>34</v>
      </c>
      <c r="K26" s="24" t="s">
        <v>47</v>
      </c>
      <c r="L26" s="24" t="s">
        <v>24</v>
      </c>
      <c r="M26" s="193" t="s">
        <v>147</v>
      </c>
      <c r="N26" s="193" t="s">
        <v>152</v>
      </c>
      <c r="O26" s="193" t="s">
        <v>24</v>
      </c>
      <c r="P26" s="349"/>
      <c r="Q26" s="349"/>
      <c r="R26" s="349"/>
      <c r="S26" s="349"/>
      <c r="T26" s="349"/>
      <c r="U26" s="349"/>
    </row>
    <row r="27">
      <c r="A27" s="385" t="s">
        <v>407</v>
      </c>
      <c r="B27" s="24" t="s">
        <v>404</v>
      </c>
      <c r="C27" s="385" t="s">
        <v>24</v>
      </c>
      <c r="D27" s="349"/>
      <c r="E27" s="349"/>
      <c r="F27" s="349"/>
      <c r="G27" s="47" t="s">
        <v>406</v>
      </c>
      <c r="H27" s="47" t="s">
        <v>353</v>
      </c>
      <c r="I27" s="24" t="s">
        <v>355</v>
      </c>
      <c r="J27" s="56"/>
      <c r="K27" s="35"/>
      <c r="L27" s="49" t="s">
        <v>48</v>
      </c>
      <c r="M27" s="194"/>
      <c r="N27" s="194"/>
      <c r="O27" s="42" t="s">
        <v>36</v>
      </c>
      <c r="P27" s="349"/>
      <c r="Q27" s="349"/>
      <c r="R27" s="349"/>
      <c r="S27" s="349"/>
      <c r="T27" s="349"/>
      <c r="U27" s="349"/>
    </row>
    <row r="28">
      <c r="A28" s="385" t="s">
        <v>408</v>
      </c>
      <c r="B28" s="385" t="s">
        <v>377</v>
      </c>
      <c r="C28" s="385" t="s">
        <v>24</v>
      </c>
      <c r="D28" s="349"/>
      <c r="E28" s="349"/>
      <c r="F28" s="349"/>
      <c r="G28" s="349"/>
      <c r="H28" s="349"/>
      <c r="I28" s="349"/>
      <c r="J28" s="349"/>
      <c r="K28" s="349"/>
      <c r="L28" s="349"/>
      <c r="M28" s="349"/>
      <c r="N28" s="349"/>
      <c r="O28" s="349"/>
      <c r="P28" s="349"/>
      <c r="Q28" s="349"/>
      <c r="R28" s="349"/>
      <c r="S28" s="349"/>
      <c r="T28" s="349"/>
      <c r="U28" s="349"/>
    </row>
    <row r="29">
      <c r="A29" s="27" t="s">
        <v>6</v>
      </c>
      <c r="B29" s="13"/>
      <c r="C29" s="14"/>
      <c r="D29" s="27" t="s">
        <v>7</v>
      </c>
      <c r="E29" s="13"/>
      <c r="F29" s="14"/>
      <c r="G29" s="27" t="s">
        <v>8</v>
      </c>
      <c r="H29" s="13"/>
      <c r="I29" s="14"/>
      <c r="J29" s="27" t="s">
        <v>9</v>
      </c>
      <c r="K29" s="13"/>
      <c r="L29" s="14"/>
      <c r="M29" s="27" t="s">
        <v>10</v>
      </c>
      <c r="N29" s="13"/>
      <c r="O29" s="14"/>
      <c r="P29" s="27" t="s">
        <v>11</v>
      </c>
      <c r="Q29" s="13"/>
      <c r="R29" s="14"/>
      <c r="S29" s="29" t="s">
        <v>12</v>
      </c>
      <c r="T29" s="13"/>
      <c r="U29" s="14"/>
    </row>
    <row r="30">
      <c r="A30" s="57">
        <f>S22+1</f>
        <v>46097</v>
      </c>
      <c r="B30" s="13"/>
      <c r="C30" s="14"/>
      <c r="D30" s="57">
        <f>A30+1</f>
        <v>46098</v>
      </c>
      <c r="E30" s="13"/>
      <c r="F30" s="14"/>
      <c r="G30" s="57">
        <f>D30+1</f>
        <v>46099</v>
      </c>
      <c r="H30" s="13"/>
      <c r="I30" s="14"/>
      <c r="J30" s="57">
        <f>G30+1</f>
        <v>46100</v>
      </c>
      <c r="K30" s="13"/>
      <c r="L30" s="14"/>
      <c r="M30" s="57">
        <f>J30+1</f>
        <v>46101</v>
      </c>
      <c r="N30" s="13"/>
      <c r="O30" s="14"/>
      <c r="P30" s="57">
        <f>M30+1</f>
        <v>46102</v>
      </c>
      <c r="Q30" s="13"/>
      <c r="R30" s="14"/>
      <c r="S30" s="58">
        <f>P30+1</f>
        <v>46103</v>
      </c>
      <c r="T30" s="13"/>
      <c r="U30" s="14"/>
    </row>
    <row r="31">
      <c r="A31" s="165" t="s">
        <v>151</v>
      </c>
      <c r="B31" s="165" t="s">
        <v>148</v>
      </c>
      <c r="C31" s="165" t="s">
        <v>24</v>
      </c>
      <c r="D31" s="349"/>
      <c r="E31" s="349"/>
      <c r="F31" s="349"/>
      <c r="G31" s="165" t="s">
        <v>151</v>
      </c>
      <c r="H31" s="165" t="s">
        <v>155</v>
      </c>
      <c r="I31" s="165" t="s">
        <v>24</v>
      </c>
      <c r="J31" s="193" t="s">
        <v>147</v>
      </c>
      <c r="K31" s="193" t="s">
        <v>155</v>
      </c>
      <c r="L31" s="193" t="s">
        <v>24</v>
      </c>
      <c r="M31" s="349"/>
      <c r="N31" s="349"/>
      <c r="O31" s="349"/>
      <c r="P31" s="349"/>
      <c r="Q31" s="349"/>
      <c r="R31" s="349"/>
      <c r="S31" s="349"/>
      <c r="T31" s="349"/>
      <c r="U31" s="349"/>
    </row>
    <row r="32">
      <c r="A32" s="201"/>
      <c r="B32" s="201"/>
      <c r="C32" s="42" t="s">
        <v>36</v>
      </c>
      <c r="D32" s="24" t="s">
        <v>166</v>
      </c>
      <c r="E32" s="24" t="s">
        <v>405</v>
      </c>
      <c r="F32" s="49" t="s">
        <v>48</v>
      </c>
      <c r="G32" s="62"/>
      <c r="H32" s="62"/>
      <c r="I32" s="422" t="s">
        <v>162</v>
      </c>
      <c r="J32" s="194"/>
      <c r="K32" s="194"/>
      <c r="L32" s="42" t="s">
        <v>162</v>
      </c>
      <c r="M32" s="349"/>
      <c r="N32" s="349"/>
      <c r="O32" s="349"/>
      <c r="P32" s="349"/>
      <c r="Q32" s="349"/>
      <c r="R32" s="349"/>
      <c r="S32" s="349"/>
      <c r="T32" s="349"/>
      <c r="U32" s="349"/>
    </row>
    <row r="33">
      <c r="A33" s="351" t="s">
        <v>419</v>
      </c>
      <c r="B33" s="351" t="s">
        <v>243</v>
      </c>
      <c r="C33" s="351" t="s">
        <v>48</v>
      </c>
      <c r="D33" s="349"/>
      <c r="E33" s="349"/>
      <c r="F33" s="349"/>
      <c r="G33" s="415" t="s">
        <v>425</v>
      </c>
      <c r="H33" s="415" t="s">
        <v>243</v>
      </c>
      <c r="I33" s="416" t="s">
        <v>36</v>
      </c>
      <c r="J33" s="349"/>
      <c r="K33" s="349"/>
      <c r="L33" s="349"/>
      <c r="M33" s="349"/>
      <c r="N33" s="349"/>
      <c r="O33" s="349"/>
      <c r="P33" s="19" t="s">
        <v>13</v>
      </c>
      <c r="Q33" s="13"/>
      <c r="R33" s="14"/>
      <c r="S33" s="19" t="s">
        <v>13</v>
      </c>
      <c r="T33" s="13"/>
      <c r="U33" s="14"/>
    </row>
    <row r="34">
      <c r="A34" s="201"/>
      <c r="B34" s="201"/>
      <c r="C34" s="201"/>
      <c r="G34" s="112"/>
      <c r="H34" s="53"/>
      <c r="I34" s="47"/>
      <c r="J34" s="349"/>
      <c r="K34" s="349"/>
      <c r="L34" s="349"/>
      <c r="M34" s="349"/>
      <c r="N34" s="349"/>
      <c r="O34" s="349"/>
      <c r="P34" s="349"/>
      <c r="Q34" s="349"/>
      <c r="R34" s="349"/>
      <c r="S34" s="349"/>
      <c r="T34" s="349"/>
      <c r="U34" s="349"/>
    </row>
    <row r="35">
      <c r="A35" s="201"/>
      <c r="B35" s="201"/>
      <c r="C35" s="201"/>
      <c r="D35" s="349"/>
      <c r="E35" s="349"/>
      <c r="F35" s="349"/>
      <c r="G35" s="47"/>
      <c r="H35" s="47"/>
      <c r="I35" s="24"/>
      <c r="J35" s="349"/>
      <c r="K35" s="349"/>
      <c r="L35" s="349"/>
      <c r="M35" s="349"/>
      <c r="N35" s="349"/>
      <c r="O35" s="349"/>
      <c r="P35" s="349"/>
      <c r="Q35" s="349"/>
      <c r="R35" s="349"/>
      <c r="S35" s="349"/>
      <c r="T35" s="349"/>
      <c r="U35" s="349"/>
    </row>
    <row r="36">
      <c r="A36" s="201"/>
      <c r="B36" s="201"/>
      <c r="C36" s="201"/>
      <c r="D36" s="349"/>
      <c r="E36" s="349"/>
      <c r="F36" s="349"/>
      <c r="G36" s="349"/>
      <c r="H36" s="349"/>
      <c r="I36" s="349"/>
      <c r="J36" s="349"/>
      <c r="K36" s="349"/>
      <c r="L36" s="349"/>
      <c r="M36" s="349"/>
      <c r="N36" s="349"/>
      <c r="O36" s="349"/>
      <c r="P36" s="349"/>
      <c r="Q36" s="349"/>
      <c r="R36" s="349"/>
      <c r="S36" s="349"/>
      <c r="T36" s="349"/>
      <c r="U36" s="349"/>
    </row>
    <row r="37">
      <c r="A37" s="12" t="s">
        <v>6</v>
      </c>
      <c r="B37" s="13"/>
      <c r="C37" s="14"/>
      <c r="D37" s="12" t="s">
        <v>7</v>
      </c>
      <c r="E37" s="13"/>
      <c r="F37" s="14"/>
      <c r="G37" s="12" t="s">
        <v>8</v>
      </c>
      <c r="H37" s="13"/>
      <c r="I37" s="14"/>
      <c r="J37" s="12" t="s">
        <v>9</v>
      </c>
      <c r="K37" s="13"/>
      <c r="L37" s="14"/>
      <c r="M37" s="12" t="s">
        <v>10</v>
      </c>
      <c r="N37" s="13"/>
      <c r="O37" s="14"/>
      <c r="P37" s="12" t="s">
        <v>11</v>
      </c>
      <c r="Q37" s="13"/>
      <c r="R37" s="14"/>
      <c r="S37" s="15" t="s">
        <v>12</v>
      </c>
      <c r="T37" s="13"/>
      <c r="U37" s="14"/>
    </row>
    <row r="38">
      <c r="A38" s="16">
        <f>S30+1</f>
        <v>46104</v>
      </c>
      <c r="B38" s="13"/>
      <c r="C38" s="14"/>
      <c r="D38" s="16">
        <f>A38+1</f>
        <v>46105</v>
      </c>
      <c r="E38" s="13"/>
      <c r="F38" s="14"/>
      <c r="G38" s="16">
        <f>D38+1</f>
        <v>46106</v>
      </c>
      <c r="H38" s="13"/>
      <c r="I38" s="14"/>
      <c r="J38" s="16">
        <f>G38+1</f>
        <v>46107</v>
      </c>
      <c r="K38" s="13"/>
      <c r="L38" s="14"/>
      <c r="M38" s="16">
        <f>J38+1</f>
        <v>46108</v>
      </c>
      <c r="N38" s="13"/>
      <c r="O38" s="14"/>
      <c r="P38" s="16">
        <f>M38+1</f>
        <v>46109</v>
      </c>
      <c r="Q38" s="13"/>
      <c r="R38" s="14"/>
      <c r="S38" s="184">
        <f>P38+1</f>
        <v>46110</v>
      </c>
      <c r="T38" s="13"/>
      <c r="U38" s="14"/>
    </row>
    <row r="39">
      <c r="A39" s="349"/>
      <c r="B39" s="349"/>
      <c r="C39" s="349"/>
      <c r="D39" s="349"/>
      <c r="E39" s="349"/>
      <c r="F39" s="349"/>
      <c r="G39" s="349"/>
      <c r="H39" s="349"/>
      <c r="I39" s="349"/>
      <c r="J39" s="193" t="s">
        <v>147</v>
      </c>
      <c r="K39" s="193" t="s">
        <v>155</v>
      </c>
      <c r="L39" s="193" t="s">
        <v>24</v>
      </c>
      <c r="M39" s="349"/>
      <c r="N39" s="349"/>
      <c r="O39" s="349"/>
      <c r="P39" s="349"/>
      <c r="Q39" s="349"/>
      <c r="R39" s="349"/>
      <c r="S39" s="349"/>
      <c r="T39" s="349"/>
      <c r="U39" s="349"/>
    </row>
    <row r="40">
      <c r="A40" s="349"/>
      <c r="B40" s="349"/>
      <c r="C40" s="349"/>
      <c r="D40" s="349"/>
      <c r="E40" s="349"/>
      <c r="F40" s="349"/>
      <c r="G40" s="349"/>
      <c r="H40" s="349"/>
      <c r="I40" s="349"/>
      <c r="J40" s="41"/>
      <c r="K40" s="41"/>
      <c r="L40" s="42" t="s">
        <v>162</v>
      </c>
      <c r="M40" s="349"/>
      <c r="N40" s="349"/>
      <c r="O40" s="349"/>
      <c r="P40" s="349"/>
      <c r="Q40" s="349"/>
      <c r="R40" s="349"/>
      <c r="S40" s="349"/>
      <c r="T40" s="349"/>
      <c r="U40" s="349"/>
    </row>
    <row r="41">
      <c r="A41" s="349"/>
      <c r="B41" s="349"/>
      <c r="C41" s="349"/>
      <c r="D41" s="349"/>
      <c r="E41" s="349"/>
      <c r="F41" s="349"/>
      <c r="G41" s="351" t="s">
        <v>437</v>
      </c>
      <c r="H41" s="351" t="s">
        <v>284</v>
      </c>
      <c r="I41" s="349"/>
      <c r="J41" s="351" t="s">
        <v>402</v>
      </c>
      <c r="K41" s="351" t="s">
        <v>435</v>
      </c>
      <c r="L41" s="351" t="s">
        <v>436</v>
      </c>
      <c r="M41" s="24" t="s">
        <v>288</v>
      </c>
      <c r="N41" s="24" t="s">
        <v>47</v>
      </c>
      <c r="O41" s="24" t="s">
        <v>24</v>
      </c>
      <c r="P41" s="123" t="s">
        <v>384</v>
      </c>
      <c r="Q41" s="123" t="s">
        <v>75</v>
      </c>
      <c r="R41" s="47" t="s">
        <v>27</v>
      </c>
      <c r="S41" s="19" t="s">
        <v>13</v>
      </c>
      <c r="T41" s="13"/>
      <c r="U41" s="14"/>
    </row>
    <row r="42">
      <c r="A42" s="112" t="s">
        <v>403</v>
      </c>
      <c r="B42" s="24" t="s">
        <v>404</v>
      </c>
      <c r="C42" s="47" t="s">
        <v>48</v>
      </c>
      <c r="D42" s="349"/>
      <c r="E42" s="349"/>
      <c r="F42" s="349"/>
      <c r="G42" s="351" t="s">
        <v>50</v>
      </c>
      <c r="H42" s="349"/>
      <c r="I42" s="349"/>
      <c r="J42" s="349"/>
      <c r="K42" s="349"/>
      <c r="L42" s="349"/>
      <c r="M42" s="113"/>
      <c r="N42" s="138"/>
      <c r="O42" s="42" t="s">
        <v>36</v>
      </c>
      <c r="P42" s="24" t="s">
        <v>166</v>
      </c>
      <c r="Q42" s="24" t="s">
        <v>175</v>
      </c>
      <c r="R42" s="24" t="s">
        <v>24</v>
      </c>
      <c r="S42" s="349"/>
      <c r="T42" s="349"/>
      <c r="U42" s="349"/>
    </row>
    <row r="43">
      <c r="A43" s="47" t="s">
        <v>406</v>
      </c>
      <c r="B43" s="47"/>
      <c r="C43" s="24" t="s">
        <v>355</v>
      </c>
      <c r="D43" s="47" t="s">
        <v>415</v>
      </c>
      <c r="E43" s="47" t="s">
        <v>227</v>
      </c>
      <c r="F43" s="47" t="s">
        <v>24</v>
      </c>
      <c r="G43" s="349"/>
      <c r="H43" s="349"/>
      <c r="I43" s="349"/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</row>
    <row r="44">
      <c r="A44" s="400" t="s">
        <v>408</v>
      </c>
      <c r="B44" s="400" t="s">
        <v>377</v>
      </c>
      <c r="C44" s="400" t="s">
        <v>24</v>
      </c>
      <c r="D44" s="349"/>
      <c r="E44" s="349"/>
      <c r="F44" s="349"/>
      <c r="G44" s="349"/>
      <c r="H44" s="349"/>
      <c r="I44" s="349"/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</row>
    <row r="45">
      <c r="A45" s="27" t="s">
        <v>6</v>
      </c>
      <c r="B45" s="13"/>
      <c r="C45" s="14"/>
      <c r="D45" s="27" t="s">
        <v>7</v>
      </c>
      <c r="E45" s="13"/>
      <c r="F45" s="14"/>
      <c r="G45" s="27"/>
      <c r="H45" s="13"/>
      <c r="I45" s="14"/>
      <c r="J45" s="27"/>
      <c r="K45" s="13"/>
      <c r="L45" s="14"/>
      <c r="M45" s="27"/>
      <c r="N45" s="13"/>
      <c r="O45" s="14"/>
      <c r="P45" s="27"/>
      <c r="Q45" s="13"/>
      <c r="R45" s="14"/>
      <c r="S45" s="420"/>
      <c r="T45" s="13"/>
      <c r="U45" s="14"/>
    </row>
    <row r="46">
      <c r="A46" s="57">
        <f>S38+1</f>
        <v>46111</v>
      </c>
      <c r="B46" s="13"/>
      <c r="C46" s="14"/>
      <c r="D46" s="57">
        <f>A46+1</f>
        <v>46112</v>
      </c>
      <c r="E46" s="13"/>
      <c r="F46" s="14"/>
      <c r="G46" s="57"/>
      <c r="H46" s="13"/>
      <c r="I46" s="14"/>
      <c r="J46" s="57"/>
      <c r="K46" s="13"/>
      <c r="L46" s="14"/>
      <c r="M46" s="57"/>
      <c r="N46" s="13"/>
      <c r="O46" s="14"/>
      <c r="P46" s="57"/>
      <c r="Q46" s="13"/>
      <c r="R46" s="14"/>
      <c r="S46" s="421"/>
      <c r="T46" s="13"/>
      <c r="U46" s="14"/>
    </row>
    <row r="47">
      <c r="A47" s="209"/>
      <c r="B47" s="209"/>
      <c r="C47" s="209"/>
      <c r="D47" s="154"/>
      <c r="E47" s="154"/>
      <c r="F47" s="154"/>
      <c r="G47" s="361"/>
      <c r="H47" s="362"/>
      <c r="I47" s="362"/>
      <c r="J47" s="363"/>
      <c r="K47" s="363"/>
      <c r="L47" s="363"/>
      <c r="M47" s="349"/>
      <c r="N47" s="349"/>
      <c r="O47" s="349"/>
      <c r="P47" s="349"/>
      <c r="Q47" s="349"/>
      <c r="R47" s="349"/>
      <c r="S47" s="363"/>
      <c r="T47" s="363"/>
      <c r="U47" s="363"/>
    </row>
    <row r="48">
      <c r="A48" s="154"/>
      <c r="B48" s="154"/>
      <c r="C48" s="154"/>
      <c r="D48" s="205"/>
      <c r="E48" s="205"/>
      <c r="F48" s="205"/>
      <c r="G48" s="349"/>
      <c r="H48" s="349"/>
      <c r="I48" s="349"/>
      <c r="J48" s="363"/>
      <c r="K48" s="363"/>
      <c r="L48" s="363"/>
      <c r="M48" s="364"/>
      <c r="N48" s="364"/>
      <c r="O48" s="364"/>
      <c r="P48" s="349"/>
      <c r="Q48" s="349"/>
      <c r="R48" s="349"/>
      <c r="S48" s="349"/>
      <c r="T48" s="349"/>
      <c r="U48" s="349"/>
    </row>
    <row r="49">
      <c r="A49" s="154"/>
      <c r="B49" s="154"/>
      <c r="C49" s="154"/>
      <c r="D49" s="154"/>
      <c r="E49" s="154"/>
      <c r="F49" s="154"/>
      <c r="G49" s="349"/>
      <c r="H49" s="349"/>
      <c r="I49" s="349"/>
      <c r="J49" s="349"/>
      <c r="K49" s="349"/>
      <c r="L49" s="349"/>
      <c r="M49" s="349"/>
      <c r="N49" s="349"/>
      <c r="O49" s="349"/>
      <c r="P49" s="349"/>
      <c r="Q49" s="349"/>
      <c r="R49" s="349"/>
      <c r="S49" s="349"/>
      <c r="T49" s="349"/>
      <c r="U49" s="349"/>
    </row>
    <row r="50">
      <c r="A50" s="154"/>
      <c r="B50" s="154"/>
      <c r="C50" s="154"/>
      <c r="D50" s="24" t="s">
        <v>327</v>
      </c>
      <c r="E50" s="24" t="s">
        <v>339</v>
      </c>
      <c r="F50" s="53" t="s">
        <v>438</v>
      </c>
      <c r="G50" s="349"/>
      <c r="H50" s="349"/>
      <c r="I50" s="349"/>
      <c r="J50" s="349"/>
      <c r="K50" s="349"/>
      <c r="L50" s="349"/>
      <c r="M50" s="349"/>
      <c r="N50" s="349"/>
      <c r="O50" s="349"/>
      <c r="P50" s="349"/>
      <c r="Q50" s="349"/>
      <c r="R50" s="349"/>
      <c r="S50" s="363"/>
      <c r="T50" s="363"/>
      <c r="U50" s="363"/>
    </row>
    <row r="51">
      <c r="A51" s="154"/>
      <c r="B51" s="154"/>
      <c r="C51" s="154"/>
      <c r="D51" s="398" t="s">
        <v>407</v>
      </c>
      <c r="E51" s="24" t="s">
        <v>404</v>
      </c>
      <c r="F51" s="398" t="s">
        <v>24</v>
      </c>
      <c r="G51" s="349"/>
      <c r="H51" s="349"/>
      <c r="I51" s="363"/>
      <c r="J51" s="349"/>
      <c r="K51" s="349"/>
      <c r="L51" s="349"/>
      <c r="M51" s="349"/>
      <c r="N51" s="349"/>
      <c r="O51" s="349"/>
      <c r="P51" s="349"/>
      <c r="Q51" s="349"/>
      <c r="R51" s="349"/>
      <c r="S51" s="349"/>
      <c r="T51" s="349"/>
      <c r="U51" s="349"/>
    </row>
    <row r="52">
      <c r="A52" s="363"/>
      <c r="B52" s="363"/>
      <c r="C52" s="363"/>
      <c r="D52" s="398" t="s">
        <v>408</v>
      </c>
      <c r="E52" s="398"/>
      <c r="F52" s="398" t="s">
        <v>24</v>
      </c>
      <c r="G52" s="363"/>
      <c r="H52" s="363"/>
      <c r="I52" s="363"/>
      <c r="J52" s="349"/>
      <c r="K52" s="349"/>
      <c r="L52" s="349"/>
      <c r="M52" s="363"/>
      <c r="N52" s="363"/>
      <c r="O52" s="363"/>
      <c r="P52" s="349"/>
      <c r="Q52" s="349"/>
      <c r="R52" s="349"/>
      <c r="S52" s="363"/>
      <c r="T52" s="363"/>
      <c r="U52" s="363"/>
    </row>
    <row r="53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</row>
    <row r="63">
      <c r="L63" s="102" t="s">
        <v>50</v>
      </c>
    </row>
  </sheetData>
  <mergeCells count="97">
    <mergeCell ref="A21:C21"/>
    <mergeCell ref="D21:F21"/>
    <mergeCell ref="G21:I21"/>
    <mergeCell ref="J21:L21"/>
    <mergeCell ref="M21:O21"/>
    <mergeCell ref="P21:R21"/>
    <mergeCell ref="S21:U21"/>
    <mergeCell ref="D22:F22"/>
    <mergeCell ref="G22:I22"/>
    <mergeCell ref="J22:L22"/>
    <mergeCell ref="M22:O22"/>
    <mergeCell ref="P22:R22"/>
    <mergeCell ref="S22:U22"/>
    <mergeCell ref="S25:U25"/>
    <mergeCell ref="A22:C22"/>
    <mergeCell ref="D29:F29"/>
    <mergeCell ref="G29:I29"/>
    <mergeCell ref="J29:L29"/>
    <mergeCell ref="M29:O29"/>
    <mergeCell ref="P29:R29"/>
    <mergeCell ref="S29:U29"/>
    <mergeCell ref="A29:C29"/>
    <mergeCell ref="A30:C30"/>
    <mergeCell ref="D30:F30"/>
    <mergeCell ref="G30:I30"/>
    <mergeCell ref="J30:L30"/>
    <mergeCell ref="M30:O30"/>
    <mergeCell ref="S30:U30"/>
    <mergeCell ref="M37:O37"/>
    <mergeCell ref="P37:R37"/>
    <mergeCell ref="P30:R30"/>
    <mergeCell ref="P33:R33"/>
    <mergeCell ref="S33:U33"/>
    <mergeCell ref="D37:F37"/>
    <mergeCell ref="G37:I37"/>
    <mergeCell ref="J37:L37"/>
    <mergeCell ref="S37:U37"/>
    <mergeCell ref="S38:U38"/>
    <mergeCell ref="S41:U41"/>
    <mergeCell ref="A37:C37"/>
    <mergeCell ref="A38:C38"/>
    <mergeCell ref="D38:F38"/>
    <mergeCell ref="G38:I38"/>
    <mergeCell ref="J38:L38"/>
    <mergeCell ref="M38:O38"/>
    <mergeCell ref="P38:R38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46:C46"/>
    <mergeCell ref="D46:F46"/>
    <mergeCell ref="G46:I46"/>
    <mergeCell ref="J46:L46"/>
    <mergeCell ref="M46:O46"/>
    <mergeCell ref="P46:R46"/>
    <mergeCell ref="S46:U46"/>
    <mergeCell ref="A45:C45"/>
    <mergeCell ref="D45:F45"/>
    <mergeCell ref="G45:I45"/>
    <mergeCell ref="J45:L45"/>
    <mergeCell ref="M45:O45"/>
    <mergeCell ref="P45:R45"/>
    <mergeCell ref="S45:U4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29"/>
    <col customWidth="1" min="3" max="3" width="8.29"/>
    <col customWidth="1" min="4" max="4" width="18.0"/>
    <col customWidth="1" min="5" max="5" width="12.43"/>
    <col customWidth="1" min="6" max="6" width="7.14"/>
    <col customWidth="1" min="7" max="7" width="16.43"/>
    <col customWidth="1" min="9" max="9" width="7.57"/>
    <col customWidth="1" min="10" max="10" width="14.71"/>
    <col customWidth="1" min="11" max="11" width="12.14"/>
    <col customWidth="1" min="12" max="12" width="9.14"/>
    <col customWidth="1" min="13" max="13" width="18.57"/>
    <col customWidth="1" min="15" max="15" width="8.0"/>
    <col customWidth="1" min="16" max="16" width="14.14"/>
    <col customWidth="1" min="17" max="17" width="11.43"/>
    <col customWidth="1" min="18" max="18" width="9.0"/>
    <col customWidth="1" min="21" max="21" width="7.86"/>
  </cols>
  <sheetData>
    <row r="1">
      <c r="A1" s="91" t="s">
        <v>432</v>
      </c>
      <c r="C1" s="410" t="s">
        <v>433</v>
      </c>
      <c r="F1" s="345"/>
      <c r="G1" s="10" t="s">
        <v>423</v>
      </c>
      <c r="Q1" s="345"/>
      <c r="R1" s="345"/>
      <c r="S1" s="345"/>
      <c r="T1" s="345"/>
      <c r="U1" s="345"/>
    </row>
    <row r="2">
      <c r="A2" s="91" t="s">
        <v>2</v>
      </c>
      <c r="C2" s="7" t="s">
        <v>434</v>
      </c>
      <c r="F2" s="345"/>
      <c r="Q2" s="345"/>
      <c r="R2" s="345"/>
      <c r="S2" s="345"/>
      <c r="T2" s="345"/>
      <c r="U2" s="345"/>
    </row>
    <row r="3">
      <c r="A3" s="91" t="s">
        <v>4</v>
      </c>
      <c r="C3" s="347"/>
      <c r="F3" s="345"/>
      <c r="Q3" s="345"/>
      <c r="R3" s="345"/>
      <c r="S3" s="345"/>
      <c r="T3" s="345"/>
      <c r="U3" s="345"/>
    </row>
    <row r="4">
      <c r="A4" s="91" t="s">
        <v>5</v>
      </c>
      <c r="C4" s="348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</row>
    <row r="5">
      <c r="A5" s="12" t="s">
        <v>6</v>
      </c>
      <c r="B5" s="13"/>
      <c r="C5" s="14"/>
      <c r="D5" s="12" t="s">
        <v>7</v>
      </c>
      <c r="E5" s="13"/>
      <c r="F5" s="14"/>
      <c r="G5" s="12" t="s">
        <v>8</v>
      </c>
      <c r="H5" s="13"/>
      <c r="I5" s="14"/>
      <c r="J5" s="12" t="s">
        <v>9</v>
      </c>
      <c r="K5" s="13"/>
      <c r="L5" s="14"/>
      <c r="M5" s="12" t="s">
        <v>10</v>
      </c>
      <c r="N5" s="13"/>
      <c r="O5" s="14"/>
      <c r="P5" s="12" t="s">
        <v>11</v>
      </c>
      <c r="Q5" s="13"/>
      <c r="R5" s="14"/>
      <c r="S5" s="15" t="s">
        <v>12</v>
      </c>
      <c r="T5" s="13"/>
      <c r="U5" s="14"/>
    </row>
    <row r="6">
      <c r="A6" s="16"/>
      <c r="B6" s="13"/>
      <c r="C6" s="14"/>
      <c r="D6" s="16"/>
      <c r="E6" s="13"/>
      <c r="F6" s="14"/>
      <c r="G6" s="16"/>
      <c r="H6" s="13"/>
      <c r="I6" s="14"/>
      <c r="J6" s="16"/>
      <c r="K6" s="13"/>
      <c r="L6" s="14"/>
      <c r="M6" s="16"/>
      <c r="N6" s="13"/>
      <c r="O6" s="14"/>
      <c r="P6" s="16"/>
      <c r="Q6" s="13"/>
      <c r="R6" s="14"/>
      <c r="S6" s="17">
        <v>46082.0</v>
      </c>
      <c r="T6" s="13"/>
      <c r="U6" s="14"/>
    </row>
    <row r="7">
      <c r="A7" s="349"/>
      <c r="B7" s="349"/>
      <c r="C7" s="349"/>
      <c r="D7" s="349"/>
      <c r="E7" s="349"/>
      <c r="F7" s="349"/>
      <c r="G7" s="349"/>
      <c r="H7" s="349"/>
      <c r="I7" s="349"/>
      <c r="J7" s="349"/>
      <c r="K7" s="349"/>
      <c r="L7" s="349"/>
      <c r="M7" s="349"/>
      <c r="N7" s="349"/>
      <c r="O7" s="349"/>
      <c r="P7" s="349"/>
      <c r="Q7" s="349"/>
      <c r="R7" s="349"/>
      <c r="S7" s="349"/>
      <c r="T7" s="349"/>
      <c r="U7" s="349"/>
    </row>
    <row r="8">
      <c r="A8" s="349"/>
      <c r="B8" s="349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349"/>
      <c r="P8" s="349"/>
      <c r="Q8" s="349"/>
      <c r="R8" s="349"/>
      <c r="S8" s="349"/>
      <c r="T8" s="349"/>
      <c r="U8" s="349"/>
    </row>
    <row r="9">
      <c r="A9" s="349"/>
      <c r="B9" s="349"/>
      <c r="C9" s="349"/>
      <c r="D9" s="349"/>
      <c r="E9" s="349"/>
      <c r="F9" s="349"/>
      <c r="G9" s="349"/>
      <c r="H9" s="349"/>
      <c r="I9" s="349"/>
      <c r="J9" s="349"/>
      <c r="K9" s="349"/>
      <c r="L9" s="349"/>
      <c r="M9" s="349"/>
      <c r="N9" s="349"/>
      <c r="O9" s="349"/>
      <c r="P9" s="349"/>
      <c r="Q9" s="349"/>
      <c r="R9" s="349"/>
      <c r="S9" s="324" t="s">
        <v>13</v>
      </c>
      <c r="T9" s="13"/>
      <c r="U9" s="14"/>
    </row>
    <row r="10">
      <c r="A10" s="349"/>
      <c r="B10" s="349"/>
      <c r="C10" s="349"/>
      <c r="D10" s="349"/>
      <c r="E10" s="349"/>
      <c r="F10" s="349"/>
      <c r="G10" s="349"/>
      <c r="H10" s="349"/>
      <c r="I10" s="349"/>
      <c r="J10" s="349"/>
      <c r="K10" s="349"/>
      <c r="L10" s="349"/>
      <c r="M10" s="349"/>
      <c r="N10" s="349"/>
      <c r="O10" s="349"/>
      <c r="P10" s="349"/>
      <c r="Q10" s="349"/>
      <c r="R10" s="349"/>
      <c r="S10" s="349"/>
      <c r="T10" s="349"/>
      <c r="U10" s="349"/>
    </row>
    <row r="11">
      <c r="A11" s="349"/>
      <c r="B11" s="349"/>
      <c r="C11" s="349"/>
      <c r="D11" s="349"/>
      <c r="E11" s="349"/>
      <c r="F11" s="349"/>
      <c r="G11" s="349"/>
      <c r="H11" s="349"/>
      <c r="I11" s="349"/>
      <c r="J11" s="349"/>
      <c r="K11" s="349"/>
      <c r="L11" s="349"/>
      <c r="M11" s="349"/>
      <c r="N11" s="349"/>
      <c r="O11" s="349"/>
      <c r="P11" s="349"/>
      <c r="Q11" s="349"/>
      <c r="R11" s="349"/>
      <c r="S11" s="349"/>
      <c r="T11" s="349"/>
      <c r="U11" s="349"/>
    </row>
    <row r="12">
      <c r="A12" s="349"/>
      <c r="B12" s="349"/>
      <c r="C12" s="349"/>
      <c r="D12" s="349"/>
      <c r="E12" s="349"/>
      <c r="F12" s="349"/>
      <c r="G12" s="349"/>
      <c r="H12" s="349"/>
      <c r="I12" s="349"/>
      <c r="J12" s="349"/>
      <c r="K12" s="349"/>
      <c r="L12" s="349"/>
      <c r="M12" s="349"/>
      <c r="N12" s="349"/>
      <c r="O12" s="349"/>
      <c r="P12" s="349"/>
      <c r="Q12" s="349"/>
      <c r="R12" s="349"/>
      <c r="S12" s="349"/>
      <c r="T12" s="349"/>
      <c r="U12" s="349"/>
    </row>
    <row r="13">
      <c r="A13" s="27" t="s">
        <v>6</v>
      </c>
      <c r="B13" s="13"/>
      <c r="C13" s="14"/>
      <c r="D13" s="27" t="s">
        <v>7</v>
      </c>
      <c r="E13" s="13"/>
      <c r="F13" s="14"/>
      <c r="G13" s="27" t="s">
        <v>8</v>
      </c>
      <c r="H13" s="13"/>
      <c r="I13" s="14"/>
      <c r="J13" s="27" t="s">
        <v>9</v>
      </c>
      <c r="K13" s="13"/>
      <c r="L13" s="14"/>
      <c r="M13" s="27" t="s">
        <v>10</v>
      </c>
      <c r="N13" s="13"/>
      <c r="O13" s="14"/>
      <c r="P13" s="27" t="s">
        <v>11</v>
      </c>
      <c r="Q13" s="13"/>
      <c r="R13" s="14"/>
      <c r="S13" s="29" t="s">
        <v>12</v>
      </c>
      <c r="T13" s="13"/>
      <c r="U13" s="14"/>
    </row>
    <row r="14">
      <c r="A14" s="30">
        <f>S6+1</f>
        <v>46083</v>
      </c>
      <c r="B14" s="13"/>
      <c r="C14" s="14"/>
      <c r="D14" s="30">
        <f>A14+1</f>
        <v>46084</v>
      </c>
      <c r="E14" s="13"/>
      <c r="F14" s="14"/>
      <c r="G14" s="30">
        <f>D14+1</f>
        <v>46085</v>
      </c>
      <c r="H14" s="13"/>
      <c r="I14" s="14"/>
      <c r="J14" s="30">
        <f>G14+1</f>
        <v>46086</v>
      </c>
      <c r="K14" s="13"/>
      <c r="L14" s="14"/>
      <c r="M14" s="30">
        <f>J14+1</f>
        <v>46087</v>
      </c>
      <c r="N14" s="13"/>
      <c r="O14" s="14"/>
      <c r="P14" s="30">
        <f>M14+1</f>
        <v>46088</v>
      </c>
      <c r="Q14" s="13"/>
      <c r="R14" s="14"/>
      <c r="S14" s="31">
        <f>P14+1</f>
        <v>46089</v>
      </c>
      <c r="T14" s="13"/>
      <c r="U14" s="14"/>
    </row>
    <row r="15">
      <c r="A15" s="349"/>
      <c r="B15" s="349"/>
      <c r="C15" s="349"/>
      <c r="D15" s="349"/>
      <c r="E15" s="349"/>
      <c r="F15" s="349"/>
      <c r="G15" s="349"/>
      <c r="H15" s="349"/>
      <c r="I15" s="349"/>
      <c r="J15" s="349"/>
      <c r="K15" s="349"/>
      <c r="L15" s="349"/>
      <c r="M15" s="349"/>
      <c r="N15" s="349"/>
      <c r="O15" s="349"/>
      <c r="P15" s="349"/>
      <c r="Q15" s="349"/>
      <c r="R15" s="349"/>
      <c r="S15" s="349"/>
      <c r="T15" s="349"/>
      <c r="U15" s="349"/>
    </row>
    <row r="16">
      <c r="A16" s="349"/>
      <c r="B16" s="349"/>
      <c r="C16" s="349"/>
      <c r="D16" s="349"/>
      <c r="E16" s="349"/>
      <c r="F16" s="349"/>
      <c r="G16" s="349"/>
      <c r="H16" s="349"/>
      <c r="I16" s="349"/>
      <c r="J16" s="349"/>
      <c r="K16" s="349"/>
      <c r="L16" s="349"/>
      <c r="M16" s="349"/>
      <c r="N16" s="349"/>
      <c r="O16" s="349"/>
      <c r="P16" s="349"/>
      <c r="Q16" s="349"/>
      <c r="R16" s="349"/>
      <c r="S16" s="47" t="s">
        <v>295</v>
      </c>
      <c r="T16" s="47" t="s">
        <v>265</v>
      </c>
      <c r="U16" s="47" t="s">
        <v>296</v>
      </c>
    </row>
    <row r="17">
      <c r="A17" s="351" t="s">
        <v>439</v>
      </c>
      <c r="B17" s="351" t="s">
        <v>440</v>
      </c>
      <c r="C17" s="351" t="s">
        <v>117</v>
      </c>
      <c r="D17" s="351" t="s">
        <v>441</v>
      </c>
      <c r="E17" s="351" t="s">
        <v>243</v>
      </c>
      <c r="F17" s="351" t="s">
        <v>117</v>
      </c>
      <c r="G17" s="414" t="s">
        <v>427</v>
      </c>
      <c r="H17" s="351" t="s">
        <v>138</v>
      </c>
      <c r="I17" s="351" t="s">
        <v>27</v>
      </c>
      <c r="J17" s="351" t="s">
        <v>439</v>
      </c>
      <c r="K17" s="351" t="s">
        <v>440</v>
      </c>
      <c r="L17" s="351" t="s">
        <v>117</v>
      </c>
      <c r="M17" s="24" t="s">
        <v>327</v>
      </c>
      <c r="N17" s="24" t="s">
        <v>339</v>
      </c>
      <c r="O17" s="49" t="s">
        <v>48</v>
      </c>
      <c r="P17" s="324" t="s">
        <v>13</v>
      </c>
      <c r="Q17" s="13"/>
      <c r="R17" s="14"/>
      <c r="S17" s="351" t="s">
        <v>442</v>
      </c>
      <c r="T17" s="351" t="s">
        <v>315</v>
      </c>
      <c r="U17" s="349"/>
    </row>
    <row r="18">
      <c r="A18" s="349"/>
      <c r="B18" s="349"/>
      <c r="C18" s="349"/>
      <c r="D18" s="349"/>
      <c r="E18" s="349"/>
      <c r="F18" s="349"/>
      <c r="G18" s="41" t="s">
        <v>443</v>
      </c>
      <c r="H18" s="24" t="s">
        <v>404</v>
      </c>
      <c r="I18" s="41" t="s">
        <v>24</v>
      </c>
      <c r="J18" s="349"/>
      <c r="K18" s="349"/>
      <c r="L18" s="349"/>
      <c r="M18" s="349"/>
      <c r="N18" s="349"/>
      <c r="O18" s="349"/>
      <c r="P18" s="349"/>
      <c r="Q18" s="349"/>
      <c r="R18" s="349"/>
      <c r="S18" s="349"/>
      <c r="T18" s="349"/>
      <c r="U18" s="349"/>
    </row>
    <row r="19">
      <c r="A19" s="349"/>
      <c r="B19" s="349"/>
      <c r="C19" s="349"/>
      <c r="D19" s="349"/>
      <c r="E19" s="349"/>
      <c r="F19" s="349"/>
      <c r="G19" s="41" t="s">
        <v>407</v>
      </c>
      <c r="H19" s="41" t="s">
        <v>444</v>
      </c>
      <c r="I19" s="41" t="s">
        <v>24</v>
      </c>
      <c r="J19" s="349"/>
      <c r="K19" s="349"/>
      <c r="L19" s="349"/>
      <c r="M19" s="349"/>
      <c r="N19" s="349"/>
      <c r="O19" s="349"/>
      <c r="P19" s="349"/>
      <c r="Q19" s="349"/>
      <c r="R19" s="349"/>
      <c r="S19" s="349"/>
      <c r="T19" s="349"/>
      <c r="U19" s="349"/>
    </row>
    <row r="20">
      <c r="A20" s="349"/>
      <c r="B20" s="349"/>
      <c r="C20" s="349"/>
      <c r="D20" s="349"/>
      <c r="E20" s="349"/>
      <c r="F20" s="349"/>
      <c r="G20" s="349"/>
      <c r="H20" s="349"/>
      <c r="I20" s="349"/>
      <c r="J20" s="349"/>
      <c r="K20" s="349"/>
      <c r="L20" s="349"/>
      <c r="M20" s="349"/>
      <c r="N20" s="349"/>
      <c r="O20" s="349"/>
      <c r="P20" s="349"/>
      <c r="Q20" s="349"/>
      <c r="R20" s="349"/>
      <c r="S20" s="349"/>
      <c r="T20" s="349"/>
      <c r="U20" s="349"/>
    </row>
    <row r="21">
      <c r="A21" s="12" t="s">
        <v>6</v>
      </c>
      <c r="B21" s="13"/>
      <c r="C21" s="14"/>
      <c r="D21" s="12" t="s">
        <v>7</v>
      </c>
      <c r="E21" s="13"/>
      <c r="F21" s="14"/>
      <c r="G21" s="12" t="s">
        <v>8</v>
      </c>
      <c r="H21" s="13"/>
      <c r="I21" s="14"/>
      <c r="J21" s="12" t="s">
        <v>9</v>
      </c>
      <c r="K21" s="13"/>
      <c r="L21" s="14"/>
      <c r="M21" s="12" t="s">
        <v>10</v>
      </c>
      <c r="N21" s="13"/>
      <c r="O21" s="14"/>
      <c r="P21" s="12" t="s">
        <v>11</v>
      </c>
      <c r="Q21" s="13"/>
      <c r="R21" s="14"/>
      <c r="S21" s="15" t="s">
        <v>12</v>
      </c>
      <c r="T21" s="13"/>
      <c r="U21" s="14"/>
    </row>
    <row r="22">
      <c r="A22" s="16">
        <f>S14+1</f>
        <v>46090</v>
      </c>
      <c r="B22" s="13"/>
      <c r="C22" s="14"/>
      <c r="D22" s="16">
        <f>A22+1</f>
        <v>46091</v>
      </c>
      <c r="E22" s="13"/>
      <c r="F22" s="14"/>
      <c r="G22" s="16">
        <f>D22+1</f>
        <v>46092</v>
      </c>
      <c r="H22" s="13"/>
      <c r="I22" s="14"/>
      <c r="J22" s="16">
        <f>G22+1</f>
        <v>46093</v>
      </c>
      <c r="K22" s="13"/>
      <c r="L22" s="14"/>
      <c r="M22" s="16">
        <f>J22+1</f>
        <v>46094</v>
      </c>
      <c r="N22" s="13"/>
      <c r="O22" s="14"/>
      <c r="P22" s="16">
        <f>M22+1</f>
        <v>46095</v>
      </c>
      <c r="Q22" s="13"/>
      <c r="R22" s="14"/>
      <c r="S22" s="184">
        <f>P22+1</f>
        <v>46096</v>
      </c>
      <c r="T22" s="13"/>
      <c r="U22" s="14"/>
    </row>
    <row r="23">
      <c r="A23" s="349"/>
      <c r="B23" s="349"/>
      <c r="C23" s="349"/>
      <c r="D23" s="349"/>
      <c r="E23" s="349"/>
      <c r="F23" s="349"/>
      <c r="G23" s="349"/>
      <c r="H23" s="349"/>
      <c r="I23" s="349"/>
      <c r="J23" s="349"/>
      <c r="K23" s="349"/>
      <c r="L23" s="349"/>
      <c r="M23" s="349"/>
      <c r="N23" s="349"/>
      <c r="O23" s="349"/>
      <c r="P23" s="349"/>
      <c r="Q23" s="349"/>
      <c r="R23" s="349"/>
      <c r="S23" s="349"/>
      <c r="T23" s="349"/>
      <c r="U23" s="349"/>
    </row>
    <row r="24">
      <c r="A24" s="349"/>
      <c r="B24" s="349"/>
      <c r="C24" s="349"/>
      <c r="D24" s="349"/>
      <c r="E24" s="349"/>
      <c r="F24" s="349"/>
      <c r="G24" s="349"/>
      <c r="H24" s="349"/>
      <c r="I24" s="349"/>
      <c r="J24" s="349"/>
      <c r="K24" s="349"/>
      <c r="L24" s="349"/>
      <c r="M24" s="349"/>
      <c r="N24" s="349"/>
      <c r="O24" s="349"/>
      <c r="P24" s="349"/>
      <c r="Q24" s="349"/>
      <c r="R24" s="349"/>
      <c r="S24" s="351" t="s">
        <v>425</v>
      </c>
      <c r="T24" s="351" t="s">
        <v>426</v>
      </c>
      <c r="U24" s="351" t="s">
        <v>430</v>
      </c>
    </row>
    <row r="25">
      <c r="A25" s="43" t="s">
        <v>413</v>
      </c>
      <c r="B25" s="43" t="s">
        <v>59</v>
      </c>
      <c r="C25" s="43" t="s">
        <v>414</v>
      </c>
      <c r="D25" s="349"/>
      <c r="E25" s="349"/>
      <c r="F25" s="349"/>
      <c r="G25" s="43" t="s">
        <v>413</v>
      </c>
      <c r="H25" s="43" t="s">
        <v>59</v>
      </c>
      <c r="I25" s="43" t="s">
        <v>445</v>
      </c>
      <c r="J25" s="349"/>
      <c r="K25" s="349"/>
      <c r="L25" s="349"/>
      <c r="M25" s="49" t="s">
        <v>100</v>
      </c>
      <c r="N25" s="49" t="s">
        <v>59</v>
      </c>
      <c r="O25" s="49" t="s">
        <v>42</v>
      </c>
      <c r="P25" s="324" t="s">
        <v>13</v>
      </c>
      <c r="Q25" s="13"/>
      <c r="R25" s="14"/>
      <c r="S25" s="414" t="s">
        <v>427</v>
      </c>
      <c r="T25" s="414" t="s">
        <v>446</v>
      </c>
      <c r="U25" s="414" t="s">
        <v>27</v>
      </c>
    </row>
    <row r="26">
      <c r="A26" s="349"/>
      <c r="B26" s="349"/>
      <c r="C26" s="349"/>
      <c r="D26" s="349"/>
      <c r="E26" s="349"/>
      <c r="F26" s="349"/>
      <c r="G26" s="24" t="s">
        <v>267</v>
      </c>
      <c r="H26" s="24" t="s">
        <v>73</v>
      </c>
      <c r="I26" s="201" t="s">
        <v>42</v>
      </c>
      <c r="J26" s="351" t="s">
        <v>402</v>
      </c>
      <c r="K26" s="351" t="s">
        <v>435</v>
      </c>
      <c r="L26" s="351" t="s">
        <v>436</v>
      </c>
      <c r="M26" s="423" t="s">
        <v>147</v>
      </c>
      <c r="N26" s="423" t="s">
        <v>152</v>
      </c>
      <c r="O26" s="423" t="s">
        <v>24</v>
      </c>
      <c r="P26" s="349"/>
      <c r="Q26" s="349"/>
      <c r="R26" s="349"/>
      <c r="S26" s="349"/>
      <c r="T26" s="349"/>
      <c r="U26" s="349"/>
    </row>
    <row r="27">
      <c r="A27" s="349"/>
      <c r="B27" s="349"/>
      <c r="C27" s="349"/>
      <c r="D27" s="349"/>
      <c r="E27" s="349"/>
      <c r="F27" s="349"/>
      <c r="G27" s="414" t="s">
        <v>427</v>
      </c>
      <c r="H27" s="351" t="s">
        <v>138</v>
      </c>
      <c r="I27" s="351" t="s">
        <v>27</v>
      </c>
      <c r="J27" s="349"/>
      <c r="K27" s="349"/>
      <c r="L27" s="349"/>
      <c r="M27" s="329"/>
      <c r="N27" s="329"/>
      <c r="O27" s="424" t="s">
        <v>36</v>
      </c>
      <c r="P27" s="349"/>
      <c r="Q27" s="349"/>
      <c r="R27" s="349"/>
      <c r="S27" s="349"/>
      <c r="T27" s="349"/>
      <c r="U27" s="349"/>
    </row>
    <row r="28">
      <c r="A28" s="349"/>
      <c r="B28" s="349"/>
      <c r="C28" s="349"/>
      <c r="D28" s="349"/>
      <c r="E28" s="349"/>
      <c r="F28" s="349"/>
      <c r="G28" s="349"/>
      <c r="H28" s="349"/>
      <c r="I28" s="349"/>
      <c r="J28" s="349"/>
      <c r="K28" s="349"/>
      <c r="L28" s="349"/>
      <c r="M28" s="349"/>
      <c r="N28" s="349"/>
      <c r="O28" s="349"/>
      <c r="P28" s="349"/>
      <c r="Q28" s="349"/>
      <c r="R28" s="349"/>
      <c r="S28" s="349"/>
      <c r="T28" s="349"/>
      <c r="U28" s="349"/>
    </row>
    <row r="29">
      <c r="A29" s="27" t="s">
        <v>6</v>
      </c>
      <c r="B29" s="13"/>
      <c r="C29" s="14"/>
      <c r="D29" s="27" t="s">
        <v>7</v>
      </c>
      <c r="E29" s="13"/>
      <c r="F29" s="14"/>
      <c r="G29" s="27" t="s">
        <v>8</v>
      </c>
      <c r="H29" s="13"/>
      <c r="I29" s="14"/>
      <c r="J29" s="27" t="s">
        <v>9</v>
      </c>
      <c r="K29" s="13"/>
      <c r="L29" s="14"/>
      <c r="M29" s="27" t="s">
        <v>10</v>
      </c>
      <c r="N29" s="13"/>
      <c r="O29" s="14"/>
      <c r="P29" s="27" t="s">
        <v>11</v>
      </c>
      <c r="Q29" s="13"/>
      <c r="R29" s="14"/>
      <c r="S29" s="29" t="s">
        <v>12</v>
      </c>
      <c r="T29" s="13"/>
      <c r="U29" s="14"/>
    </row>
    <row r="30">
      <c r="A30" s="57">
        <f>S22+1</f>
        <v>46097</v>
      </c>
      <c r="B30" s="13"/>
      <c r="C30" s="14"/>
      <c r="D30" s="57">
        <f>A30+1</f>
        <v>46098</v>
      </c>
      <c r="E30" s="13"/>
      <c r="F30" s="14"/>
      <c r="G30" s="57">
        <f>D30+1</f>
        <v>46099</v>
      </c>
      <c r="H30" s="13"/>
      <c r="I30" s="14"/>
      <c r="J30" s="57">
        <f>G30+1</f>
        <v>46100</v>
      </c>
      <c r="K30" s="13"/>
      <c r="L30" s="14"/>
      <c r="M30" s="57">
        <f>J30+1</f>
        <v>46101</v>
      </c>
      <c r="N30" s="13"/>
      <c r="O30" s="14"/>
      <c r="P30" s="57">
        <f>M30+1</f>
        <v>46102</v>
      </c>
      <c r="Q30" s="13"/>
      <c r="R30" s="14"/>
      <c r="S30" s="58">
        <f>P30+1</f>
        <v>46103</v>
      </c>
      <c r="T30" s="13"/>
      <c r="U30" s="14"/>
    </row>
    <row r="31">
      <c r="A31" s="349"/>
      <c r="B31" s="349"/>
      <c r="C31" s="349"/>
      <c r="D31" s="349"/>
      <c r="E31" s="349"/>
      <c r="F31" s="349"/>
      <c r="G31" s="349"/>
      <c r="H31" s="349"/>
      <c r="I31" s="349"/>
      <c r="J31" s="349"/>
      <c r="K31" s="349"/>
      <c r="L31" s="349"/>
      <c r="M31" s="349"/>
      <c r="N31" s="349"/>
      <c r="O31" s="349"/>
      <c r="P31" s="349"/>
      <c r="Q31" s="349"/>
      <c r="R31" s="349"/>
      <c r="S31" s="349"/>
      <c r="T31" s="349"/>
      <c r="U31" s="349"/>
    </row>
    <row r="32">
      <c r="A32" s="349"/>
      <c r="B32" s="349"/>
      <c r="C32" s="349"/>
      <c r="D32" s="349"/>
      <c r="E32" s="349"/>
      <c r="F32" s="349"/>
      <c r="G32" s="349"/>
      <c r="H32" s="349"/>
      <c r="I32" s="349"/>
      <c r="J32" s="349"/>
      <c r="K32" s="349"/>
      <c r="L32" s="349"/>
      <c r="M32" s="349"/>
      <c r="N32" s="349"/>
      <c r="O32" s="349"/>
      <c r="P32" s="349"/>
      <c r="Q32" s="349"/>
      <c r="R32" s="349"/>
      <c r="S32" s="349"/>
      <c r="T32" s="349"/>
      <c r="U32" s="349"/>
    </row>
    <row r="33">
      <c r="A33" s="24" t="s">
        <v>263</v>
      </c>
      <c r="B33" s="24" t="s">
        <v>264</v>
      </c>
      <c r="C33" s="120"/>
      <c r="D33" s="349"/>
      <c r="E33" s="349"/>
      <c r="F33" s="349"/>
      <c r="G33" s="351" t="s">
        <v>402</v>
      </c>
      <c r="H33" s="351" t="s">
        <v>435</v>
      </c>
      <c r="I33" s="351" t="s">
        <v>436</v>
      </c>
      <c r="J33" s="351" t="s">
        <v>447</v>
      </c>
      <c r="K33" s="351" t="s">
        <v>448</v>
      </c>
      <c r="L33" s="351" t="s">
        <v>24</v>
      </c>
      <c r="M33" s="351" t="s">
        <v>447</v>
      </c>
      <c r="N33" s="351" t="s">
        <v>448</v>
      </c>
      <c r="O33" s="351" t="s">
        <v>24</v>
      </c>
      <c r="P33" s="324" t="s">
        <v>13</v>
      </c>
      <c r="Q33" s="13"/>
      <c r="R33" s="14"/>
      <c r="S33" s="324" t="s">
        <v>13</v>
      </c>
      <c r="T33" s="13"/>
      <c r="U33" s="14"/>
    </row>
    <row r="34">
      <c r="A34" s="349"/>
      <c r="B34" s="349"/>
      <c r="C34" s="349"/>
      <c r="D34" s="349"/>
      <c r="E34" s="349"/>
      <c r="F34" s="349"/>
      <c r="G34" s="349"/>
      <c r="H34" s="349"/>
      <c r="I34" s="349"/>
      <c r="J34" s="349"/>
      <c r="K34" s="349"/>
      <c r="L34" s="349"/>
      <c r="M34" s="349"/>
      <c r="N34" s="349"/>
      <c r="O34" s="349"/>
      <c r="P34" s="349"/>
      <c r="Q34" s="349"/>
      <c r="R34" s="349"/>
      <c r="S34" s="349"/>
      <c r="T34" s="349"/>
      <c r="U34" s="349"/>
    </row>
    <row r="35">
      <c r="A35" s="398" t="s">
        <v>407</v>
      </c>
      <c r="B35" s="24" t="s">
        <v>404</v>
      </c>
      <c r="C35" s="398" t="s">
        <v>24</v>
      </c>
      <c r="D35" s="349"/>
      <c r="E35" s="349"/>
      <c r="F35" s="349"/>
      <c r="G35" s="349"/>
      <c r="H35" s="349"/>
      <c r="I35" s="349"/>
      <c r="J35" s="349"/>
      <c r="K35" s="349"/>
      <c r="L35" s="349"/>
      <c r="M35" s="349"/>
      <c r="N35" s="349"/>
      <c r="O35" s="349"/>
      <c r="P35" s="349"/>
      <c r="Q35" s="349"/>
      <c r="R35" s="349"/>
      <c r="S35" s="349"/>
      <c r="T35" s="349"/>
      <c r="U35" s="349"/>
    </row>
    <row r="36">
      <c r="A36" s="398" t="s">
        <v>408</v>
      </c>
      <c r="B36" s="398" t="s">
        <v>377</v>
      </c>
      <c r="C36" s="398" t="s">
        <v>24</v>
      </c>
      <c r="D36" s="349"/>
      <c r="E36" s="349"/>
      <c r="F36" s="349"/>
      <c r="G36" s="349"/>
      <c r="H36" s="349"/>
      <c r="I36" s="349"/>
      <c r="J36" s="349"/>
      <c r="K36" s="349"/>
      <c r="L36" s="349"/>
      <c r="M36" s="349"/>
      <c r="N36" s="349"/>
      <c r="O36" s="349"/>
      <c r="P36" s="349"/>
      <c r="Q36" s="349"/>
      <c r="R36" s="349"/>
      <c r="S36" s="349"/>
      <c r="T36" s="349"/>
      <c r="U36" s="349"/>
    </row>
    <row r="37">
      <c r="A37" s="12" t="s">
        <v>6</v>
      </c>
      <c r="B37" s="13"/>
      <c r="C37" s="14"/>
      <c r="D37" s="12" t="s">
        <v>7</v>
      </c>
      <c r="E37" s="13"/>
      <c r="F37" s="14"/>
      <c r="G37" s="12" t="s">
        <v>8</v>
      </c>
      <c r="H37" s="13"/>
      <c r="I37" s="14"/>
      <c r="J37" s="12" t="s">
        <v>9</v>
      </c>
      <c r="K37" s="13"/>
      <c r="L37" s="14"/>
      <c r="M37" s="12" t="s">
        <v>10</v>
      </c>
      <c r="N37" s="13"/>
      <c r="O37" s="14"/>
      <c r="P37" s="12" t="s">
        <v>11</v>
      </c>
      <c r="Q37" s="13"/>
      <c r="R37" s="14"/>
      <c r="S37" s="15" t="s">
        <v>12</v>
      </c>
      <c r="T37" s="13"/>
      <c r="U37" s="14"/>
    </row>
    <row r="38">
      <c r="A38" s="16">
        <f>S30+1</f>
        <v>46104</v>
      </c>
      <c r="B38" s="13"/>
      <c r="C38" s="14"/>
      <c r="D38" s="16">
        <f>A38+1</f>
        <v>46105</v>
      </c>
      <c r="E38" s="13"/>
      <c r="F38" s="14"/>
      <c r="G38" s="16">
        <f>D38+1</f>
        <v>46106</v>
      </c>
      <c r="H38" s="13"/>
      <c r="I38" s="14"/>
      <c r="J38" s="16">
        <f>G38+1</f>
        <v>46107</v>
      </c>
      <c r="K38" s="13"/>
      <c r="L38" s="14"/>
      <c r="M38" s="16">
        <f>J38+1</f>
        <v>46108</v>
      </c>
      <c r="N38" s="13"/>
      <c r="O38" s="14"/>
      <c r="P38" s="16">
        <f>M38+1</f>
        <v>46109</v>
      </c>
      <c r="Q38" s="13"/>
      <c r="R38" s="14"/>
      <c r="S38" s="184">
        <f>P38+1</f>
        <v>46110</v>
      </c>
      <c r="T38" s="13"/>
      <c r="U38" s="14"/>
    </row>
    <row r="39">
      <c r="A39" s="349"/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</row>
    <row r="40">
      <c r="A40" s="349"/>
      <c r="B40" s="349"/>
      <c r="C40" s="349"/>
      <c r="D40" s="47" t="s">
        <v>274</v>
      </c>
      <c r="E40" s="47" t="s">
        <v>138</v>
      </c>
      <c r="F40" s="47" t="s">
        <v>27</v>
      </c>
      <c r="G40" s="24" t="s">
        <v>267</v>
      </c>
      <c r="H40" s="24" t="s">
        <v>73</v>
      </c>
      <c r="I40" s="201" t="s">
        <v>42</v>
      </c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</row>
    <row r="41">
      <c r="A41" s="351" t="s">
        <v>449</v>
      </c>
      <c r="B41" s="351" t="s">
        <v>450</v>
      </c>
      <c r="C41" s="351" t="s">
        <v>24</v>
      </c>
      <c r="D41" s="120"/>
      <c r="E41" s="120"/>
      <c r="F41" s="202" t="s">
        <v>36</v>
      </c>
      <c r="G41" s="414" t="s">
        <v>427</v>
      </c>
      <c r="H41" s="351" t="s">
        <v>138</v>
      </c>
      <c r="I41" s="351" t="s">
        <v>27</v>
      </c>
      <c r="J41" s="349"/>
      <c r="K41" s="349"/>
      <c r="L41" s="349"/>
      <c r="M41" s="49" t="s">
        <v>100</v>
      </c>
      <c r="N41" s="49" t="s">
        <v>59</v>
      </c>
      <c r="O41" s="49" t="s">
        <v>42</v>
      </c>
      <c r="P41" s="123" t="s">
        <v>384</v>
      </c>
      <c r="Q41" s="123" t="s">
        <v>75</v>
      </c>
      <c r="R41" s="47" t="s">
        <v>27</v>
      </c>
      <c r="S41" s="47" t="s">
        <v>295</v>
      </c>
      <c r="T41" s="47" t="s">
        <v>265</v>
      </c>
      <c r="U41" s="47" t="s">
        <v>296</v>
      </c>
    </row>
    <row r="42">
      <c r="A42" s="349"/>
      <c r="B42" s="349"/>
      <c r="C42" s="349"/>
      <c r="D42" s="24" t="s">
        <v>327</v>
      </c>
      <c r="E42" s="24" t="s">
        <v>339</v>
      </c>
      <c r="F42" s="49" t="s">
        <v>48</v>
      </c>
      <c r="G42" s="349"/>
      <c r="H42" s="349"/>
      <c r="I42" s="349"/>
      <c r="J42" s="349"/>
      <c r="K42" s="349"/>
      <c r="L42" s="349"/>
      <c r="M42" s="193" t="s">
        <v>147</v>
      </c>
      <c r="N42" s="193" t="s">
        <v>152</v>
      </c>
      <c r="O42" s="425" t="s">
        <v>48</v>
      </c>
      <c r="P42" s="349"/>
      <c r="Q42" s="349"/>
      <c r="R42" s="349"/>
      <c r="S42" s="349"/>
      <c r="T42" s="349"/>
      <c r="U42" s="349"/>
    </row>
    <row r="43">
      <c r="A43" s="349"/>
      <c r="B43" s="349"/>
      <c r="C43" s="349"/>
      <c r="D43" s="349"/>
      <c r="E43" s="349"/>
      <c r="F43" s="349"/>
      <c r="G43" s="349"/>
      <c r="H43" s="349"/>
      <c r="I43" s="349"/>
      <c r="J43" s="349"/>
      <c r="K43" s="349"/>
      <c r="L43" s="349"/>
      <c r="M43" s="194"/>
      <c r="N43" s="194"/>
      <c r="O43" s="194"/>
      <c r="P43" s="349"/>
      <c r="Q43" s="349"/>
      <c r="R43" s="349"/>
      <c r="S43" s="349"/>
      <c r="T43" s="349"/>
      <c r="U43" s="349"/>
    </row>
    <row r="44">
      <c r="A44" s="349"/>
      <c r="B44" s="349"/>
      <c r="C44" s="349"/>
      <c r="D44" s="349"/>
      <c r="E44" s="349"/>
      <c r="F44" s="349"/>
      <c r="G44" s="349"/>
      <c r="H44" s="349"/>
      <c r="I44" s="349"/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</row>
    <row r="45">
      <c r="A45" s="27" t="s">
        <v>6</v>
      </c>
      <c r="B45" s="13"/>
      <c r="C45" s="14"/>
      <c r="D45" s="27" t="s">
        <v>7</v>
      </c>
      <c r="E45" s="13"/>
      <c r="F45" s="14"/>
      <c r="G45" s="27"/>
      <c r="H45" s="13"/>
      <c r="I45" s="14"/>
      <c r="J45" s="27"/>
      <c r="K45" s="13"/>
      <c r="L45" s="14"/>
      <c r="M45" s="27"/>
      <c r="N45" s="13"/>
      <c r="O45" s="14"/>
      <c r="P45" s="27"/>
      <c r="Q45" s="13"/>
      <c r="R45" s="14"/>
      <c r="S45" s="420"/>
      <c r="T45" s="13"/>
      <c r="U45" s="14"/>
    </row>
    <row r="46">
      <c r="A46" s="57">
        <f>S38+1</f>
        <v>46111</v>
      </c>
      <c r="B46" s="13"/>
      <c r="C46" s="14"/>
      <c r="D46" s="57">
        <f>A46+1</f>
        <v>46112</v>
      </c>
      <c r="E46" s="13"/>
      <c r="F46" s="14"/>
      <c r="G46" s="57"/>
      <c r="H46" s="13"/>
      <c r="I46" s="14"/>
      <c r="J46" s="57"/>
      <c r="K46" s="13"/>
      <c r="L46" s="14"/>
      <c r="M46" s="57"/>
      <c r="N46" s="13"/>
      <c r="O46" s="14"/>
      <c r="P46" s="57"/>
      <c r="Q46" s="13"/>
      <c r="R46" s="14"/>
      <c r="S46" s="421"/>
      <c r="T46" s="13"/>
      <c r="U46" s="14"/>
    </row>
    <row r="47">
      <c r="A47" s="209"/>
      <c r="B47" s="209"/>
      <c r="C47" s="209"/>
      <c r="D47" s="154"/>
      <c r="E47" s="154"/>
      <c r="F47" s="154"/>
      <c r="G47" s="361"/>
      <c r="H47" s="362"/>
      <c r="I47" s="362"/>
      <c r="J47" s="363"/>
      <c r="K47" s="363"/>
      <c r="L47" s="363"/>
      <c r="M47" s="349"/>
      <c r="N47" s="349"/>
      <c r="O47" s="349"/>
      <c r="P47" s="349"/>
      <c r="Q47" s="349"/>
      <c r="R47" s="349"/>
      <c r="S47" s="363"/>
      <c r="T47" s="363"/>
      <c r="U47" s="363"/>
    </row>
    <row r="48">
      <c r="A48" s="154"/>
      <c r="B48" s="154"/>
      <c r="C48" s="154"/>
      <c r="D48" s="205"/>
      <c r="E48" s="205"/>
      <c r="F48" s="205"/>
      <c r="G48" s="349"/>
      <c r="H48" s="349"/>
      <c r="I48" s="349"/>
      <c r="J48" s="363"/>
      <c r="K48" s="363"/>
      <c r="L48" s="363"/>
      <c r="M48" s="364"/>
      <c r="N48" s="364"/>
      <c r="O48" s="364"/>
      <c r="P48" s="349"/>
      <c r="Q48" s="349"/>
      <c r="R48" s="349"/>
      <c r="S48" s="349"/>
      <c r="T48" s="349"/>
      <c r="U48" s="349"/>
    </row>
    <row r="49">
      <c r="A49" s="154"/>
      <c r="B49" s="154"/>
      <c r="C49" s="154"/>
      <c r="D49" s="398" t="s">
        <v>407</v>
      </c>
      <c r="E49" s="53" t="s">
        <v>230</v>
      </c>
      <c r="F49" s="398" t="s">
        <v>24</v>
      </c>
      <c r="G49" s="349"/>
      <c r="H49" s="349"/>
      <c r="I49" s="349"/>
      <c r="J49" s="349"/>
      <c r="K49" s="349"/>
      <c r="L49" s="349"/>
      <c r="M49" s="349"/>
      <c r="N49" s="349"/>
      <c r="O49" s="349"/>
      <c r="P49" s="349"/>
      <c r="Q49" s="349"/>
      <c r="R49" s="349"/>
      <c r="S49" s="349"/>
      <c r="T49" s="349"/>
      <c r="U49" s="349"/>
    </row>
    <row r="50">
      <c r="A50" s="349"/>
      <c r="B50" s="349"/>
      <c r="C50" s="349"/>
      <c r="D50" s="47" t="s">
        <v>406</v>
      </c>
      <c r="E50" s="47" t="s">
        <v>353</v>
      </c>
      <c r="F50" s="24" t="s">
        <v>355</v>
      </c>
      <c r="G50" s="349"/>
      <c r="H50" s="349"/>
      <c r="I50" s="349"/>
      <c r="J50" s="349"/>
      <c r="K50" s="349"/>
      <c r="L50" s="349"/>
      <c r="M50" s="349"/>
      <c r="N50" s="349"/>
      <c r="O50" s="349"/>
      <c r="P50" s="349"/>
      <c r="Q50" s="349"/>
      <c r="R50" s="349"/>
      <c r="S50" s="363"/>
      <c r="T50" s="363"/>
      <c r="U50" s="363"/>
    </row>
    <row r="51">
      <c r="A51" s="209"/>
      <c r="B51" s="209"/>
      <c r="C51" s="209"/>
      <c r="D51" s="249" t="s">
        <v>50</v>
      </c>
      <c r="E51" s="203"/>
      <c r="F51" s="203"/>
      <c r="G51" s="349"/>
      <c r="H51" s="349"/>
      <c r="I51" s="363"/>
      <c r="J51" s="349"/>
      <c r="K51" s="349"/>
      <c r="L51" s="349"/>
      <c r="M51" s="349"/>
      <c r="N51" s="349"/>
      <c r="O51" s="349"/>
      <c r="P51" s="349"/>
      <c r="Q51" s="349"/>
      <c r="R51" s="349"/>
      <c r="S51" s="349"/>
      <c r="T51" s="349"/>
      <c r="U51" s="349"/>
    </row>
    <row r="52">
      <c r="A52" s="363"/>
      <c r="B52" s="363"/>
      <c r="C52" s="363"/>
      <c r="D52" s="349"/>
      <c r="E52" s="349"/>
      <c r="F52" s="349"/>
      <c r="G52" s="363"/>
      <c r="H52" s="363"/>
      <c r="I52" s="363"/>
      <c r="J52" s="349"/>
      <c r="K52" s="349"/>
      <c r="L52" s="349"/>
      <c r="M52" s="363"/>
      <c r="N52" s="363"/>
      <c r="O52" s="363"/>
      <c r="P52" s="349"/>
      <c r="Q52" s="349"/>
      <c r="R52" s="349"/>
      <c r="S52" s="363"/>
      <c r="T52" s="363"/>
      <c r="U52" s="363"/>
    </row>
    <row r="53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</row>
    <row r="63">
      <c r="L63" s="102" t="s">
        <v>50</v>
      </c>
    </row>
  </sheetData>
  <mergeCells count="98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J30:L30"/>
    <mergeCell ref="M30:O30"/>
    <mergeCell ref="P30:R30"/>
    <mergeCell ref="S30:U30"/>
    <mergeCell ref="A37:C37"/>
    <mergeCell ref="D37:F37"/>
    <mergeCell ref="G37:I37"/>
    <mergeCell ref="J37:L37"/>
    <mergeCell ref="M37:O37"/>
    <mergeCell ref="P37:R37"/>
    <mergeCell ref="S37:U37"/>
    <mergeCell ref="A38:C38"/>
    <mergeCell ref="D38:F38"/>
    <mergeCell ref="G38:I38"/>
    <mergeCell ref="J38:L38"/>
    <mergeCell ref="M38:O38"/>
    <mergeCell ref="P38:R38"/>
    <mergeCell ref="S38:U38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9:U9"/>
    <mergeCell ref="P17:R17"/>
    <mergeCell ref="P25:R25"/>
    <mergeCell ref="P33:R33"/>
    <mergeCell ref="S33:U33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46:C46"/>
    <mergeCell ref="D46:F46"/>
    <mergeCell ref="G46:I46"/>
    <mergeCell ref="J46:L46"/>
    <mergeCell ref="M46:O46"/>
    <mergeCell ref="P46:R46"/>
    <mergeCell ref="S46:U46"/>
    <mergeCell ref="A45:C45"/>
    <mergeCell ref="D45:F45"/>
    <mergeCell ref="G45:I45"/>
    <mergeCell ref="J45:L45"/>
    <mergeCell ref="M45:O45"/>
    <mergeCell ref="P45:R45"/>
    <mergeCell ref="S45:U4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18.57"/>
    <col customWidth="1" min="15" max="15" width="8.0"/>
    <col customWidth="1" min="16" max="16" width="16.0"/>
    <col customWidth="1" min="17" max="17" width="11.43"/>
    <col customWidth="1" min="18" max="18" width="9.0"/>
    <col customWidth="1" min="21" max="21" width="7.86"/>
  </cols>
  <sheetData>
    <row r="1">
      <c r="A1" s="91" t="s">
        <v>50</v>
      </c>
      <c r="C1" s="344" t="s">
        <v>451</v>
      </c>
      <c r="F1" s="345"/>
      <c r="G1" s="4" t="s">
        <v>1</v>
      </c>
      <c r="Q1" s="345"/>
      <c r="R1" s="345"/>
      <c r="S1" s="345"/>
      <c r="T1" s="345"/>
      <c r="U1" s="345"/>
    </row>
    <row r="2">
      <c r="A2" s="91" t="s">
        <v>2</v>
      </c>
      <c r="C2" s="344" t="s">
        <v>3</v>
      </c>
      <c r="F2" s="345"/>
      <c r="Q2" s="345"/>
      <c r="R2" s="345"/>
      <c r="S2" s="345"/>
      <c r="T2" s="345"/>
      <c r="U2" s="345"/>
    </row>
    <row r="3">
      <c r="A3" s="91" t="s">
        <v>4</v>
      </c>
      <c r="C3" s="347"/>
      <c r="F3" s="345"/>
      <c r="Q3" s="345"/>
      <c r="R3" s="345"/>
      <c r="S3" s="345"/>
      <c r="T3" s="345"/>
      <c r="U3" s="345"/>
    </row>
    <row r="4">
      <c r="A4" s="426" t="s">
        <v>5</v>
      </c>
      <c r="B4" s="14"/>
      <c r="C4" s="427"/>
      <c r="D4" s="13"/>
      <c r="E4" s="14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349"/>
      <c r="R4" s="349"/>
      <c r="S4" s="349"/>
      <c r="T4" s="349"/>
      <c r="U4" s="349"/>
    </row>
    <row r="5">
      <c r="A5" s="12" t="s">
        <v>6</v>
      </c>
      <c r="B5" s="13"/>
      <c r="C5" s="14"/>
      <c r="D5" s="12" t="s">
        <v>7</v>
      </c>
      <c r="E5" s="13"/>
      <c r="F5" s="14"/>
      <c r="G5" s="12" t="s">
        <v>8</v>
      </c>
      <c r="H5" s="13"/>
      <c r="I5" s="14"/>
      <c r="J5" s="12" t="s">
        <v>9</v>
      </c>
      <c r="K5" s="13"/>
      <c r="L5" s="14"/>
      <c r="M5" s="12" t="s">
        <v>10</v>
      </c>
      <c r="N5" s="13"/>
      <c r="O5" s="14"/>
      <c r="P5" s="12" t="s">
        <v>11</v>
      </c>
      <c r="Q5" s="13"/>
      <c r="R5" s="14"/>
      <c r="S5" s="15" t="s">
        <v>12</v>
      </c>
      <c r="T5" s="13"/>
      <c r="U5" s="14"/>
    </row>
    <row r="6">
      <c r="A6" s="16"/>
      <c r="B6" s="13"/>
      <c r="C6" s="14"/>
      <c r="D6" s="16"/>
      <c r="E6" s="13"/>
      <c r="F6" s="14"/>
      <c r="G6" s="16"/>
      <c r="H6" s="13"/>
      <c r="I6" s="14"/>
      <c r="J6" s="16"/>
      <c r="K6" s="13"/>
      <c r="L6" s="14"/>
      <c r="M6" s="16"/>
      <c r="N6" s="13"/>
      <c r="O6" s="14"/>
      <c r="P6" s="16"/>
      <c r="Q6" s="13"/>
      <c r="R6" s="14"/>
      <c r="S6" s="428">
        <v>46082.0</v>
      </c>
      <c r="T6" s="13"/>
      <c r="U6" s="14"/>
    </row>
    <row r="7">
      <c r="A7" s="349"/>
      <c r="B7" s="349"/>
      <c r="C7" s="349"/>
      <c r="D7" s="349"/>
      <c r="E7" s="349"/>
      <c r="F7" s="349"/>
      <c r="G7" s="349"/>
      <c r="H7" s="349"/>
      <c r="I7" s="349"/>
      <c r="J7" s="349"/>
      <c r="K7" s="349"/>
      <c r="L7" s="349"/>
      <c r="M7" s="349"/>
      <c r="N7" s="349"/>
      <c r="O7" s="349"/>
      <c r="P7" s="349"/>
      <c r="Q7" s="349"/>
      <c r="R7" s="349"/>
      <c r="S7" s="349"/>
      <c r="T7" s="349"/>
      <c r="U7" s="349"/>
    </row>
    <row r="8">
      <c r="A8" s="349"/>
      <c r="B8" s="349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349"/>
      <c r="P8" s="349"/>
      <c r="Q8" s="349"/>
      <c r="R8" s="349"/>
      <c r="S8" s="349"/>
      <c r="T8" s="349"/>
      <c r="U8" s="349"/>
    </row>
    <row r="9">
      <c r="A9" s="349"/>
      <c r="B9" s="349"/>
      <c r="C9" s="349"/>
      <c r="D9" s="349"/>
      <c r="E9" s="349"/>
      <c r="F9" s="349"/>
      <c r="G9" s="349"/>
      <c r="H9" s="349"/>
      <c r="I9" s="349"/>
      <c r="J9" s="349"/>
      <c r="K9" s="349"/>
      <c r="L9" s="349"/>
      <c r="M9" s="349"/>
      <c r="N9" s="349"/>
      <c r="O9" s="349"/>
      <c r="P9" s="349"/>
      <c r="Q9" s="349"/>
      <c r="R9" s="349"/>
      <c r="S9" s="218" t="s">
        <v>13</v>
      </c>
      <c r="T9" s="13"/>
      <c r="U9" s="14"/>
    </row>
    <row r="10">
      <c r="A10" s="349"/>
      <c r="B10" s="349"/>
      <c r="C10" s="349"/>
      <c r="D10" s="349"/>
      <c r="E10" s="349"/>
      <c r="F10" s="349"/>
      <c r="G10" s="349"/>
      <c r="H10" s="349"/>
      <c r="I10" s="349"/>
      <c r="J10" s="349"/>
      <c r="K10" s="349"/>
      <c r="L10" s="349"/>
      <c r="M10" s="349"/>
      <c r="N10" s="349"/>
      <c r="O10" s="349"/>
      <c r="P10" s="349"/>
      <c r="Q10" s="349"/>
      <c r="R10" s="349"/>
      <c r="S10" s="209"/>
      <c r="T10" s="209"/>
      <c r="U10" s="209"/>
    </row>
    <row r="11">
      <c r="A11" s="349"/>
      <c r="B11" s="349"/>
      <c r="C11" s="349"/>
      <c r="D11" s="349"/>
      <c r="E11" s="349"/>
      <c r="F11" s="349"/>
      <c r="G11" s="349"/>
      <c r="H11" s="349"/>
      <c r="I11" s="349"/>
      <c r="J11" s="349"/>
      <c r="K11" s="349"/>
      <c r="L11" s="349"/>
      <c r="M11" s="349"/>
      <c r="N11" s="349"/>
      <c r="O11" s="349"/>
      <c r="P11" s="349"/>
      <c r="Q11" s="349"/>
      <c r="R11" s="349"/>
      <c r="S11" s="209"/>
      <c r="T11" s="209"/>
      <c r="U11" s="209"/>
    </row>
    <row r="12">
      <c r="A12" s="363"/>
      <c r="B12" s="363"/>
      <c r="C12" s="363"/>
      <c r="D12" s="363"/>
      <c r="E12" s="363"/>
      <c r="F12" s="363"/>
      <c r="G12" s="363"/>
      <c r="H12" s="363"/>
      <c r="I12" s="363"/>
      <c r="J12" s="363"/>
      <c r="K12" s="363"/>
      <c r="L12" s="363"/>
      <c r="M12" s="363"/>
      <c r="N12" s="363"/>
      <c r="O12" s="363"/>
      <c r="P12" s="363"/>
      <c r="Q12" s="363"/>
      <c r="R12" s="363"/>
      <c r="S12" s="349"/>
      <c r="T12" s="349"/>
      <c r="U12" s="349"/>
    </row>
    <row r="13">
      <c r="A13" s="27" t="s">
        <v>6</v>
      </c>
      <c r="B13" s="13"/>
      <c r="C13" s="14"/>
      <c r="D13" s="27" t="s">
        <v>7</v>
      </c>
      <c r="E13" s="13"/>
      <c r="F13" s="14"/>
      <c r="G13" s="27" t="s">
        <v>8</v>
      </c>
      <c r="H13" s="13"/>
      <c r="I13" s="14"/>
      <c r="J13" s="27" t="s">
        <v>9</v>
      </c>
      <c r="K13" s="13"/>
      <c r="L13" s="14"/>
      <c r="M13" s="27" t="s">
        <v>10</v>
      </c>
      <c r="N13" s="13"/>
      <c r="O13" s="14"/>
      <c r="P13" s="27" t="s">
        <v>11</v>
      </c>
      <c r="Q13" s="13"/>
      <c r="R13" s="14"/>
      <c r="S13" s="29" t="s">
        <v>12</v>
      </c>
      <c r="T13" s="13"/>
      <c r="U13" s="14"/>
    </row>
    <row r="14">
      <c r="A14" s="30">
        <f>S6+1</f>
        <v>46083</v>
      </c>
      <c r="B14" s="13"/>
      <c r="C14" s="14"/>
      <c r="D14" s="30">
        <f>A14+1</f>
        <v>46084</v>
      </c>
      <c r="E14" s="13"/>
      <c r="F14" s="14"/>
      <c r="G14" s="30">
        <f>D14+1</f>
        <v>46085</v>
      </c>
      <c r="H14" s="13"/>
      <c r="I14" s="14"/>
      <c r="J14" s="30">
        <f>G14+1</f>
        <v>46086</v>
      </c>
      <c r="K14" s="13"/>
      <c r="L14" s="14"/>
      <c r="M14" s="30">
        <f>J14+1</f>
        <v>46087</v>
      </c>
      <c r="N14" s="13"/>
      <c r="O14" s="14"/>
      <c r="P14" s="30">
        <f>M14+1</f>
        <v>46088</v>
      </c>
      <c r="Q14" s="13"/>
      <c r="R14" s="14"/>
      <c r="S14" s="31">
        <f>P14+1</f>
        <v>46089</v>
      </c>
      <c r="T14" s="13"/>
      <c r="U14" s="14"/>
    </row>
    <row r="15">
      <c r="A15" s="349"/>
      <c r="B15" s="349"/>
      <c r="C15" s="349"/>
      <c r="D15" s="349"/>
      <c r="E15" s="349"/>
      <c r="F15" s="349"/>
      <c r="G15" s="349"/>
      <c r="H15" s="349"/>
      <c r="I15" s="349"/>
      <c r="J15" s="349"/>
      <c r="K15" s="349"/>
      <c r="L15" s="349"/>
      <c r="M15" s="349"/>
      <c r="N15" s="349"/>
      <c r="O15" s="349"/>
      <c r="P15" s="349"/>
      <c r="Q15" s="349"/>
      <c r="R15" s="349"/>
      <c r="S15" s="209"/>
      <c r="T15" s="209"/>
      <c r="U15" s="209"/>
    </row>
    <row r="16">
      <c r="A16" s="349"/>
      <c r="B16" s="349"/>
      <c r="C16" s="349"/>
      <c r="D16" s="349"/>
      <c r="E16" s="349"/>
      <c r="F16" s="349"/>
      <c r="G16" s="349"/>
      <c r="H16" s="349"/>
      <c r="I16" s="349"/>
      <c r="J16" s="349"/>
      <c r="K16" s="349"/>
      <c r="L16" s="349"/>
      <c r="M16" s="349"/>
      <c r="N16" s="349"/>
      <c r="O16" s="349"/>
      <c r="P16" s="349"/>
      <c r="Q16" s="349"/>
      <c r="R16" s="349"/>
      <c r="S16" s="349"/>
      <c r="T16" s="349"/>
      <c r="U16" s="349"/>
    </row>
    <row r="17">
      <c r="A17" s="429" t="s">
        <v>452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4"/>
      <c r="S17" s="218" t="s">
        <v>13</v>
      </c>
      <c r="T17" s="13"/>
      <c r="U17" s="14"/>
    </row>
    <row r="18">
      <c r="A18" s="349"/>
      <c r="B18" s="349"/>
      <c r="C18" s="349"/>
      <c r="D18" s="349"/>
      <c r="E18" s="349"/>
      <c r="F18" s="349"/>
      <c r="G18" s="349"/>
      <c r="H18" s="349"/>
      <c r="I18" s="349"/>
      <c r="J18" s="349"/>
      <c r="K18" s="349"/>
      <c r="L18" s="349"/>
      <c r="M18" s="349"/>
      <c r="N18" s="349"/>
      <c r="O18" s="349"/>
      <c r="P18" s="349"/>
      <c r="Q18" s="349"/>
      <c r="R18" s="349"/>
      <c r="S18" s="209"/>
      <c r="T18" s="209"/>
      <c r="U18" s="209"/>
    </row>
    <row r="19">
      <c r="A19" s="349"/>
      <c r="B19" s="349"/>
      <c r="C19" s="349"/>
      <c r="D19" s="349"/>
      <c r="E19" s="349"/>
      <c r="F19" s="349"/>
      <c r="G19" s="349"/>
      <c r="H19" s="349"/>
      <c r="I19" s="349"/>
      <c r="J19" s="349"/>
      <c r="K19" s="349"/>
      <c r="L19" s="349"/>
      <c r="M19" s="349"/>
      <c r="N19" s="349"/>
      <c r="O19" s="349"/>
      <c r="P19" s="349"/>
      <c r="Q19" s="349"/>
      <c r="R19" s="349"/>
      <c r="S19" s="209"/>
      <c r="T19" s="209"/>
      <c r="U19" s="209"/>
    </row>
    <row r="20">
      <c r="A20" s="363"/>
      <c r="B20" s="363"/>
      <c r="C20" s="363"/>
      <c r="D20" s="363"/>
      <c r="E20" s="363"/>
      <c r="F20" s="363"/>
      <c r="G20" s="363"/>
      <c r="H20" s="363"/>
      <c r="I20" s="363"/>
      <c r="J20" s="363"/>
      <c r="K20" s="363"/>
      <c r="L20" s="363"/>
      <c r="M20" s="363"/>
      <c r="N20" s="363"/>
      <c r="O20" s="363"/>
      <c r="P20" s="363"/>
      <c r="Q20" s="363"/>
      <c r="R20" s="363"/>
      <c r="S20" s="349"/>
      <c r="T20" s="349"/>
      <c r="U20" s="349"/>
    </row>
    <row r="21">
      <c r="A21" s="12" t="s">
        <v>6</v>
      </c>
      <c r="B21" s="13"/>
      <c r="C21" s="14"/>
      <c r="D21" s="12" t="s">
        <v>7</v>
      </c>
      <c r="E21" s="13"/>
      <c r="F21" s="14"/>
      <c r="G21" s="12" t="s">
        <v>8</v>
      </c>
      <c r="H21" s="13"/>
      <c r="I21" s="14"/>
      <c r="J21" s="12" t="s">
        <v>9</v>
      </c>
      <c r="K21" s="13"/>
      <c r="L21" s="14"/>
      <c r="M21" s="12" t="s">
        <v>10</v>
      </c>
      <c r="N21" s="13"/>
      <c r="O21" s="14"/>
      <c r="P21" s="12" t="s">
        <v>11</v>
      </c>
      <c r="Q21" s="13"/>
      <c r="R21" s="14"/>
      <c r="S21" s="15" t="s">
        <v>12</v>
      </c>
      <c r="T21" s="13"/>
      <c r="U21" s="14"/>
    </row>
    <row r="22">
      <c r="A22" s="16">
        <f>S14+1</f>
        <v>46090</v>
      </c>
      <c r="B22" s="13"/>
      <c r="C22" s="14"/>
      <c r="D22" s="16">
        <f>A22+1</f>
        <v>46091</v>
      </c>
      <c r="E22" s="13"/>
      <c r="F22" s="14"/>
      <c r="G22" s="16">
        <f>D22+1</f>
        <v>46092</v>
      </c>
      <c r="H22" s="13"/>
      <c r="I22" s="14"/>
      <c r="J22" s="16">
        <f>G22+1</f>
        <v>46093</v>
      </c>
      <c r="K22" s="13"/>
      <c r="L22" s="14"/>
      <c r="M22" s="16">
        <f>J22+1</f>
        <v>46094</v>
      </c>
      <c r="N22" s="13"/>
      <c r="O22" s="14"/>
      <c r="P22" s="16">
        <f>M22+1</f>
        <v>46095</v>
      </c>
      <c r="Q22" s="13"/>
      <c r="R22" s="14"/>
      <c r="S22" s="184">
        <f>P22+1</f>
        <v>46096</v>
      </c>
      <c r="T22" s="13"/>
      <c r="U22" s="14"/>
    </row>
    <row r="23">
      <c r="A23" s="349"/>
      <c r="B23" s="349"/>
      <c r="C23" s="349"/>
      <c r="D23" s="349"/>
      <c r="E23" s="349"/>
      <c r="F23" s="349"/>
      <c r="G23" s="349"/>
      <c r="H23" s="349"/>
      <c r="I23" s="349"/>
      <c r="J23" s="349"/>
      <c r="K23" s="349"/>
      <c r="L23" s="349"/>
      <c r="M23" s="349"/>
      <c r="N23" s="349"/>
      <c r="O23" s="349"/>
      <c r="P23" s="349"/>
      <c r="Q23" s="349"/>
      <c r="R23" s="349"/>
      <c r="S23" s="349"/>
      <c r="T23" s="349"/>
      <c r="U23" s="349"/>
    </row>
    <row r="24">
      <c r="A24" s="349"/>
      <c r="B24" s="349"/>
      <c r="C24" s="349"/>
      <c r="D24" s="349"/>
      <c r="E24" s="349"/>
      <c r="F24" s="349"/>
      <c r="G24" s="430" t="s">
        <v>403</v>
      </c>
      <c r="H24" s="431" t="s">
        <v>404</v>
      </c>
      <c r="I24" s="432" t="s">
        <v>48</v>
      </c>
      <c r="J24" s="349"/>
      <c r="K24" s="349"/>
      <c r="L24" s="349"/>
      <c r="M24" s="349"/>
      <c r="N24" s="349"/>
      <c r="O24" s="349"/>
      <c r="P24" s="349"/>
      <c r="Q24" s="349"/>
      <c r="R24" s="349"/>
      <c r="S24" s="141"/>
      <c r="T24" s="141"/>
      <c r="U24" s="141"/>
    </row>
    <row r="25">
      <c r="A25" s="349"/>
      <c r="B25" s="349"/>
      <c r="C25" s="349"/>
      <c r="D25" s="349"/>
      <c r="E25" s="349"/>
      <c r="F25" s="349"/>
      <c r="G25" s="432" t="s">
        <v>406</v>
      </c>
      <c r="H25" s="432" t="s">
        <v>353</v>
      </c>
      <c r="I25" s="431" t="s">
        <v>355</v>
      </c>
      <c r="J25" s="349"/>
      <c r="K25" s="349"/>
      <c r="L25" s="349"/>
      <c r="M25" s="349"/>
      <c r="N25" s="349"/>
      <c r="O25" s="349"/>
      <c r="P25" s="123" t="s">
        <v>384</v>
      </c>
      <c r="Q25" s="123" t="s">
        <v>75</v>
      </c>
      <c r="R25" s="47" t="s">
        <v>27</v>
      </c>
      <c r="S25" s="218" t="s">
        <v>13</v>
      </c>
      <c r="T25" s="13"/>
      <c r="U25" s="14"/>
    </row>
    <row r="26">
      <c r="A26" s="349"/>
      <c r="B26" s="349"/>
      <c r="C26" s="349"/>
      <c r="D26" s="349"/>
      <c r="E26" s="349"/>
      <c r="F26" s="349"/>
      <c r="G26" s="349"/>
      <c r="H26" s="349"/>
      <c r="I26" s="349"/>
      <c r="J26" s="349"/>
      <c r="K26" s="349"/>
      <c r="L26" s="349"/>
      <c r="M26" s="349"/>
      <c r="N26" s="349"/>
      <c r="O26" s="349"/>
      <c r="P26" s="349"/>
      <c r="Q26" s="349"/>
      <c r="R26" s="349"/>
      <c r="S26" s="209"/>
      <c r="T26" s="209"/>
      <c r="U26" s="209"/>
    </row>
    <row r="27">
      <c r="A27" s="349"/>
      <c r="B27" s="349"/>
      <c r="C27" s="349"/>
      <c r="D27" s="349"/>
      <c r="E27" s="349"/>
      <c r="F27" s="349"/>
      <c r="G27" s="349"/>
      <c r="H27" s="349"/>
      <c r="I27" s="349"/>
      <c r="J27" s="349"/>
      <c r="K27" s="349"/>
      <c r="L27" s="349"/>
      <c r="M27" s="349"/>
      <c r="N27" s="349"/>
      <c r="O27" s="349"/>
      <c r="P27" s="349"/>
      <c r="Q27" s="349"/>
      <c r="R27" s="349"/>
      <c r="S27" s="209"/>
      <c r="T27" s="209"/>
      <c r="U27" s="209"/>
    </row>
    <row r="28">
      <c r="A28" s="363"/>
      <c r="B28" s="363"/>
      <c r="C28" s="363"/>
      <c r="D28" s="363"/>
      <c r="E28" s="363"/>
      <c r="F28" s="363"/>
      <c r="G28" s="363"/>
      <c r="H28" s="363"/>
      <c r="I28" s="363"/>
      <c r="J28" s="363"/>
      <c r="K28" s="363"/>
      <c r="L28" s="363"/>
      <c r="M28" s="363"/>
      <c r="N28" s="363"/>
      <c r="O28" s="363"/>
      <c r="P28" s="363"/>
      <c r="Q28" s="363"/>
      <c r="R28" s="363"/>
      <c r="S28" s="349"/>
      <c r="T28" s="349"/>
      <c r="U28" s="349"/>
    </row>
    <row r="29">
      <c r="A29" s="27" t="s">
        <v>6</v>
      </c>
      <c r="B29" s="13"/>
      <c r="C29" s="14"/>
      <c r="D29" s="27" t="s">
        <v>7</v>
      </c>
      <c r="E29" s="13"/>
      <c r="F29" s="14"/>
      <c r="G29" s="27" t="s">
        <v>8</v>
      </c>
      <c r="H29" s="13"/>
      <c r="I29" s="14"/>
      <c r="J29" s="29" t="s">
        <v>9</v>
      </c>
      <c r="K29" s="13"/>
      <c r="L29" s="14"/>
      <c r="M29" s="27" t="s">
        <v>10</v>
      </c>
      <c r="N29" s="13"/>
      <c r="O29" s="14"/>
      <c r="P29" s="29" t="s">
        <v>11</v>
      </c>
      <c r="Q29" s="13"/>
      <c r="R29" s="14"/>
      <c r="S29" s="29" t="s">
        <v>12</v>
      </c>
      <c r="T29" s="13"/>
      <c r="U29" s="14"/>
    </row>
    <row r="30">
      <c r="A30" s="57">
        <f>S22+1</f>
        <v>46097</v>
      </c>
      <c r="B30" s="13"/>
      <c r="C30" s="14"/>
      <c r="D30" s="57">
        <f>A30+1</f>
        <v>46098</v>
      </c>
      <c r="E30" s="13"/>
      <c r="F30" s="14"/>
      <c r="G30" s="57">
        <f>D30+1</f>
        <v>46099</v>
      </c>
      <c r="H30" s="13"/>
      <c r="I30" s="14"/>
      <c r="J30" s="58">
        <f>G30+1</f>
        <v>46100</v>
      </c>
      <c r="K30" s="13"/>
      <c r="L30" s="14"/>
      <c r="M30" s="57">
        <f>J30+1</f>
        <v>46101</v>
      </c>
      <c r="N30" s="13"/>
      <c r="O30" s="14"/>
      <c r="P30" s="58">
        <f>M30+1</f>
        <v>46102</v>
      </c>
      <c r="Q30" s="13"/>
      <c r="R30" s="14"/>
      <c r="S30" s="58">
        <f>P30+1</f>
        <v>46103</v>
      </c>
      <c r="T30" s="13"/>
      <c r="U30" s="14"/>
    </row>
    <row r="31">
      <c r="A31" s="349"/>
      <c r="B31" s="349"/>
      <c r="C31" s="349"/>
      <c r="D31" s="349"/>
      <c r="E31" s="349"/>
      <c r="F31" s="349"/>
      <c r="G31" s="349"/>
      <c r="H31" s="349"/>
      <c r="I31" s="349"/>
      <c r="J31" s="349"/>
      <c r="K31" s="349"/>
      <c r="L31" s="349"/>
      <c r="M31" s="349"/>
      <c r="N31" s="349"/>
      <c r="O31" s="349"/>
      <c r="P31" s="349"/>
      <c r="Q31" s="349"/>
      <c r="R31" s="349"/>
      <c r="S31" s="349"/>
      <c r="T31" s="349"/>
      <c r="U31" s="349"/>
    </row>
    <row r="32">
      <c r="A32" s="433" t="s">
        <v>151</v>
      </c>
      <c r="B32" s="433" t="s">
        <v>148</v>
      </c>
      <c r="C32" s="433" t="s">
        <v>24</v>
      </c>
      <c r="D32" s="349"/>
      <c r="E32" s="349"/>
      <c r="F32" s="349"/>
      <c r="G32" s="433" t="s">
        <v>151</v>
      </c>
      <c r="H32" s="433" t="s">
        <v>155</v>
      </c>
      <c r="I32" s="433" t="s">
        <v>24</v>
      </c>
      <c r="J32" s="349"/>
      <c r="K32" s="349"/>
      <c r="L32" s="349"/>
      <c r="M32" s="349"/>
      <c r="N32" s="349"/>
      <c r="O32" s="349"/>
      <c r="P32" s="349"/>
      <c r="Q32" s="349"/>
      <c r="R32" s="349"/>
      <c r="S32" s="141"/>
      <c r="T32" s="141"/>
      <c r="U32" s="141"/>
    </row>
    <row r="33">
      <c r="A33" s="434"/>
      <c r="B33" s="434"/>
      <c r="C33" s="424" t="s">
        <v>36</v>
      </c>
      <c r="D33" s="349"/>
      <c r="E33" s="349"/>
      <c r="F33" s="349"/>
      <c r="G33" s="435"/>
      <c r="H33" s="435"/>
      <c r="I33" s="424" t="s">
        <v>162</v>
      </c>
      <c r="J33" s="349"/>
      <c r="K33" s="349"/>
      <c r="L33" s="349"/>
      <c r="M33" s="436" t="s">
        <v>447</v>
      </c>
      <c r="N33" s="436" t="s">
        <v>448</v>
      </c>
      <c r="O33" s="436" t="s">
        <v>24</v>
      </c>
      <c r="P33" s="349"/>
      <c r="Q33" s="349"/>
      <c r="R33" s="349"/>
      <c r="S33" s="218" t="s">
        <v>13</v>
      </c>
      <c r="T33" s="13"/>
      <c r="U33" s="14"/>
    </row>
    <row r="34">
      <c r="A34" s="436" t="s">
        <v>419</v>
      </c>
      <c r="B34" s="436" t="s">
        <v>183</v>
      </c>
      <c r="C34" s="436" t="s">
        <v>48</v>
      </c>
      <c r="D34" s="431" t="s">
        <v>327</v>
      </c>
      <c r="E34" s="431" t="s">
        <v>339</v>
      </c>
      <c r="F34" s="437" t="s">
        <v>48</v>
      </c>
      <c r="G34" s="430" t="s">
        <v>403</v>
      </c>
      <c r="H34" s="431" t="s">
        <v>404</v>
      </c>
      <c r="I34" s="432" t="s">
        <v>48</v>
      </c>
      <c r="J34" s="438" t="s">
        <v>443</v>
      </c>
      <c r="K34" s="431" t="s">
        <v>404</v>
      </c>
      <c r="L34" s="438" t="s">
        <v>24</v>
      </c>
      <c r="M34" s="349"/>
      <c r="N34" s="349"/>
      <c r="O34" s="349"/>
      <c r="P34" s="349"/>
      <c r="Q34" s="349"/>
      <c r="R34" s="349"/>
      <c r="S34" s="209"/>
      <c r="T34" s="209"/>
      <c r="U34" s="209"/>
    </row>
    <row r="35">
      <c r="A35" s="349"/>
      <c r="B35" s="349"/>
      <c r="C35" s="349"/>
      <c r="D35" s="349"/>
      <c r="E35" s="349"/>
      <c r="F35" s="349"/>
      <c r="G35" s="432" t="s">
        <v>406</v>
      </c>
      <c r="H35" s="432" t="s">
        <v>353</v>
      </c>
      <c r="I35" s="431" t="s">
        <v>355</v>
      </c>
      <c r="J35" s="438" t="s">
        <v>407</v>
      </c>
      <c r="K35" s="438" t="s">
        <v>444</v>
      </c>
      <c r="L35" s="438" t="s">
        <v>24</v>
      </c>
      <c r="M35" s="349"/>
      <c r="N35" s="349"/>
      <c r="O35" s="349"/>
      <c r="P35" s="349"/>
      <c r="Q35" s="349"/>
      <c r="R35" s="349"/>
      <c r="S35" s="209"/>
      <c r="T35" s="209"/>
      <c r="U35" s="209"/>
    </row>
    <row r="36">
      <c r="A36" s="363"/>
      <c r="B36" s="363"/>
      <c r="C36" s="363"/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63"/>
      <c r="P36" s="363"/>
      <c r="Q36" s="363"/>
      <c r="R36" s="363"/>
      <c r="S36" s="349"/>
      <c r="T36" s="349"/>
      <c r="U36" s="349"/>
    </row>
    <row r="37">
      <c r="A37" s="15" t="s">
        <v>6</v>
      </c>
      <c r="B37" s="13"/>
      <c r="C37" s="14"/>
      <c r="D37" s="12" t="s">
        <v>7</v>
      </c>
      <c r="E37" s="13"/>
      <c r="F37" s="14"/>
      <c r="G37" s="12" t="s">
        <v>8</v>
      </c>
      <c r="H37" s="13"/>
      <c r="I37" s="14"/>
      <c r="J37" s="12" t="s">
        <v>9</v>
      </c>
      <c r="K37" s="13"/>
      <c r="L37" s="14"/>
      <c r="M37" s="12" t="s">
        <v>10</v>
      </c>
      <c r="N37" s="13"/>
      <c r="O37" s="14"/>
      <c r="P37" s="12" t="s">
        <v>11</v>
      </c>
      <c r="Q37" s="13"/>
      <c r="R37" s="14"/>
      <c r="S37" s="15"/>
      <c r="T37" s="13"/>
      <c r="U37" s="14"/>
    </row>
    <row r="38">
      <c r="A38" s="184">
        <f>S30+1</f>
        <v>46104</v>
      </c>
      <c r="B38" s="13"/>
      <c r="C38" s="14"/>
      <c r="D38" s="16">
        <f>A38+1</f>
        <v>46105</v>
      </c>
      <c r="E38" s="13"/>
      <c r="F38" s="14"/>
      <c r="G38" s="16">
        <f>D38+1</f>
        <v>46106</v>
      </c>
      <c r="H38" s="13"/>
      <c r="I38" s="14"/>
      <c r="J38" s="16">
        <f>G38+1</f>
        <v>46107</v>
      </c>
      <c r="K38" s="13"/>
      <c r="L38" s="14"/>
      <c r="M38" s="16">
        <f>J38+1</f>
        <v>46108</v>
      </c>
      <c r="N38" s="13"/>
      <c r="O38" s="14"/>
      <c r="P38" s="16">
        <f>M38+1</f>
        <v>46109</v>
      </c>
      <c r="Q38" s="13"/>
      <c r="R38" s="14"/>
      <c r="S38" s="16">
        <f>P38+1</f>
        <v>46110</v>
      </c>
      <c r="T38" s="13"/>
      <c r="U38" s="14"/>
    </row>
    <row r="39">
      <c r="A39" s="349"/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</row>
    <row r="40">
      <c r="A40" s="349"/>
      <c r="B40" s="349"/>
      <c r="C40" s="349"/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141"/>
      <c r="T40" s="141"/>
      <c r="U40" s="141"/>
    </row>
    <row r="41">
      <c r="A41" s="351" t="s">
        <v>449</v>
      </c>
      <c r="B41" s="351" t="s">
        <v>450</v>
      </c>
      <c r="C41" s="349"/>
      <c r="D41" s="433" t="s">
        <v>151</v>
      </c>
      <c r="E41" s="433" t="s">
        <v>152</v>
      </c>
      <c r="F41" s="439" t="s">
        <v>48</v>
      </c>
      <c r="G41" s="430" t="s">
        <v>403</v>
      </c>
      <c r="H41" s="431" t="s">
        <v>404</v>
      </c>
      <c r="I41" s="432" t="s">
        <v>48</v>
      </c>
      <c r="J41" s="438" t="s">
        <v>443</v>
      </c>
      <c r="K41" s="431" t="s">
        <v>404</v>
      </c>
      <c r="L41" s="438" t="s">
        <v>24</v>
      </c>
      <c r="M41" s="24" t="s">
        <v>288</v>
      </c>
      <c r="N41" s="24" t="s">
        <v>47</v>
      </c>
      <c r="O41" s="24" t="s">
        <v>24</v>
      </c>
      <c r="P41" s="349"/>
      <c r="Q41" s="349"/>
      <c r="R41" s="349"/>
      <c r="S41" s="141"/>
      <c r="T41" s="141"/>
      <c r="U41" s="141"/>
    </row>
    <row r="42">
      <c r="A42" s="349"/>
      <c r="B42" s="349"/>
      <c r="C42" s="349"/>
      <c r="D42" s="440"/>
      <c r="E42" s="440"/>
      <c r="F42" s="440"/>
      <c r="G42" s="432" t="s">
        <v>406</v>
      </c>
      <c r="H42" s="432" t="s">
        <v>353</v>
      </c>
      <c r="I42" s="431" t="s">
        <v>355</v>
      </c>
      <c r="J42" s="438" t="s">
        <v>407</v>
      </c>
      <c r="K42" s="438" t="s">
        <v>444</v>
      </c>
      <c r="L42" s="438" t="s">
        <v>24</v>
      </c>
      <c r="M42" s="113"/>
      <c r="N42" s="138"/>
      <c r="O42" s="42" t="s">
        <v>36</v>
      </c>
      <c r="P42" s="123" t="s">
        <v>384</v>
      </c>
      <c r="Q42" s="123" t="s">
        <v>75</v>
      </c>
      <c r="R42" s="47" t="s">
        <v>27</v>
      </c>
      <c r="S42" s="209"/>
      <c r="T42" s="209"/>
      <c r="U42" s="209"/>
    </row>
    <row r="43">
      <c r="A43" s="349"/>
      <c r="B43" s="349"/>
      <c r="C43" s="349"/>
      <c r="D43" s="349"/>
      <c r="E43" s="349"/>
      <c r="F43" s="349"/>
      <c r="G43" s="349"/>
      <c r="H43" s="349"/>
      <c r="I43" s="349"/>
      <c r="J43" s="349"/>
      <c r="K43" s="349"/>
      <c r="L43" s="349"/>
      <c r="M43" s="349"/>
      <c r="N43" s="349"/>
      <c r="O43" s="349"/>
      <c r="P43" s="349"/>
      <c r="Q43" s="349"/>
      <c r="R43" s="349"/>
      <c r="S43" s="209"/>
      <c r="T43" s="209"/>
      <c r="U43" s="209"/>
    </row>
    <row r="44">
      <c r="A44" s="363"/>
      <c r="B44" s="363"/>
      <c r="C44" s="363"/>
      <c r="D44" s="363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49"/>
      <c r="T44" s="349"/>
      <c r="U44" s="349"/>
    </row>
    <row r="45">
      <c r="A45" s="27" t="s">
        <v>6</v>
      </c>
      <c r="B45" s="13"/>
      <c r="C45" s="14"/>
      <c r="D45" s="27" t="s">
        <v>7</v>
      </c>
      <c r="E45" s="13"/>
      <c r="F45" s="14"/>
      <c r="G45" s="27"/>
      <c r="H45" s="13"/>
      <c r="I45" s="14"/>
      <c r="J45" s="27"/>
      <c r="K45" s="13"/>
      <c r="L45" s="14"/>
      <c r="M45" s="27"/>
      <c r="N45" s="13"/>
      <c r="O45" s="14"/>
      <c r="P45" s="27"/>
      <c r="Q45" s="13"/>
      <c r="R45" s="14"/>
      <c r="S45" s="420"/>
      <c r="T45" s="13"/>
      <c r="U45" s="14"/>
    </row>
    <row r="46">
      <c r="A46" s="57">
        <f>S38+1</f>
        <v>46111</v>
      </c>
      <c r="B46" s="13"/>
      <c r="C46" s="14"/>
      <c r="D46" s="57">
        <f>A46+1</f>
        <v>46112</v>
      </c>
      <c r="E46" s="13"/>
      <c r="F46" s="14"/>
      <c r="G46" s="57"/>
      <c r="H46" s="13"/>
      <c r="I46" s="14"/>
      <c r="J46" s="57"/>
      <c r="K46" s="13"/>
      <c r="L46" s="14"/>
      <c r="M46" s="57"/>
      <c r="N46" s="13"/>
      <c r="O46" s="14"/>
      <c r="P46" s="57"/>
      <c r="Q46" s="13"/>
      <c r="R46" s="14"/>
      <c r="S46" s="421"/>
      <c r="T46" s="13"/>
      <c r="U46" s="14"/>
    </row>
    <row r="47">
      <c r="A47" s="351" t="s">
        <v>419</v>
      </c>
      <c r="B47" s="351" t="s">
        <v>183</v>
      </c>
      <c r="C47" s="351" t="s">
        <v>48</v>
      </c>
      <c r="D47" s="154"/>
      <c r="E47" s="154"/>
      <c r="F47" s="154"/>
      <c r="G47" s="361"/>
      <c r="H47" s="362"/>
      <c r="I47" s="362"/>
      <c r="J47" s="363"/>
      <c r="K47" s="363"/>
      <c r="L47" s="363"/>
      <c r="M47" s="349"/>
      <c r="N47" s="349"/>
      <c r="O47" s="349"/>
      <c r="P47" s="349"/>
      <c r="Q47" s="349"/>
      <c r="R47" s="349"/>
      <c r="S47" s="363"/>
      <c r="T47" s="363"/>
      <c r="U47" s="363"/>
    </row>
    <row r="48">
      <c r="A48" s="385" t="s">
        <v>407</v>
      </c>
      <c r="B48" s="385" t="s">
        <v>453</v>
      </c>
      <c r="C48" s="385" t="s">
        <v>24</v>
      </c>
      <c r="D48" s="154"/>
      <c r="E48" s="154"/>
      <c r="F48" s="154"/>
      <c r="G48" s="349"/>
      <c r="H48" s="349"/>
      <c r="I48" s="349"/>
      <c r="J48" s="363"/>
      <c r="K48" s="363"/>
      <c r="L48" s="363"/>
      <c r="M48" s="364"/>
      <c r="N48" s="364"/>
      <c r="O48" s="364"/>
      <c r="P48" s="349"/>
      <c r="Q48" s="349"/>
      <c r="R48" s="349"/>
      <c r="S48" s="349"/>
      <c r="T48" s="349"/>
      <c r="U48" s="349"/>
    </row>
    <row r="49">
      <c r="A49" s="385" t="s">
        <v>443</v>
      </c>
      <c r="B49" s="53" t="s">
        <v>454</v>
      </c>
      <c r="C49" s="385" t="s">
        <v>24</v>
      </c>
      <c r="D49" s="154"/>
      <c r="E49" s="154"/>
      <c r="F49" s="154"/>
      <c r="G49" s="349"/>
      <c r="H49" s="349"/>
      <c r="I49" s="349"/>
      <c r="J49" s="349"/>
      <c r="K49" s="349"/>
      <c r="L49" s="349"/>
      <c r="M49" s="349"/>
      <c r="N49" s="349"/>
      <c r="O49" s="349"/>
      <c r="P49" s="349"/>
      <c r="Q49" s="349"/>
      <c r="R49" s="349"/>
      <c r="S49" s="349"/>
      <c r="T49" s="349"/>
      <c r="U49" s="349"/>
    </row>
    <row r="50">
      <c r="A50" s="349"/>
      <c r="B50" s="349"/>
      <c r="C50" s="349"/>
      <c r="D50" s="112" t="s">
        <v>403</v>
      </c>
      <c r="E50" s="24" t="s">
        <v>404</v>
      </c>
      <c r="F50" s="47" t="s">
        <v>48</v>
      </c>
      <c r="G50" s="349"/>
      <c r="H50" s="349"/>
      <c r="I50" s="349"/>
      <c r="J50" s="349"/>
      <c r="K50" s="349"/>
      <c r="L50" s="349"/>
      <c r="M50" s="349"/>
      <c r="N50" s="349"/>
      <c r="O50" s="349"/>
      <c r="P50" s="349"/>
      <c r="Q50" s="349"/>
      <c r="R50" s="349"/>
      <c r="S50" s="363"/>
      <c r="T50" s="363"/>
      <c r="U50" s="363"/>
    </row>
    <row r="51">
      <c r="A51" s="209"/>
      <c r="B51" s="209"/>
      <c r="C51" s="209"/>
      <c r="D51" s="47" t="s">
        <v>406</v>
      </c>
      <c r="E51" s="47" t="s">
        <v>353</v>
      </c>
      <c r="F51" s="24" t="s">
        <v>355</v>
      </c>
      <c r="G51" s="349"/>
      <c r="H51" s="349"/>
      <c r="I51" s="363"/>
      <c r="J51" s="349"/>
      <c r="K51" s="349"/>
      <c r="L51" s="349"/>
      <c r="M51" s="349"/>
      <c r="N51" s="349"/>
      <c r="O51" s="349"/>
      <c r="P51" s="349"/>
      <c r="Q51" s="349"/>
      <c r="R51" s="349"/>
      <c r="S51" s="349"/>
      <c r="T51" s="349"/>
      <c r="U51" s="349"/>
    </row>
    <row r="52">
      <c r="A52" s="363"/>
      <c r="B52" s="363"/>
      <c r="C52" s="363"/>
      <c r="D52" s="349"/>
      <c r="E52" s="349"/>
      <c r="F52" s="349"/>
      <c r="G52" s="363"/>
      <c r="H52" s="363"/>
      <c r="I52" s="363"/>
      <c r="J52" s="349"/>
      <c r="K52" s="349"/>
      <c r="L52" s="349"/>
      <c r="M52" s="363"/>
      <c r="N52" s="363"/>
      <c r="O52" s="363"/>
      <c r="P52" s="349"/>
      <c r="Q52" s="349"/>
      <c r="R52" s="349"/>
      <c r="S52" s="363"/>
      <c r="T52" s="363"/>
      <c r="U52" s="363"/>
    </row>
    <row r="53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</row>
    <row r="63">
      <c r="L63" s="102" t="s">
        <v>50</v>
      </c>
    </row>
  </sheetData>
  <mergeCells count="98">
    <mergeCell ref="P21:R21"/>
    <mergeCell ref="S21:U21"/>
    <mergeCell ref="A17:R17"/>
    <mergeCell ref="S17:U17"/>
    <mergeCell ref="A21:C21"/>
    <mergeCell ref="D21:F21"/>
    <mergeCell ref="G21:I21"/>
    <mergeCell ref="J21:L21"/>
    <mergeCell ref="M21:O21"/>
    <mergeCell ref="D22:F22"/>
    <mergeCell ref="G22:I22"/>
    <mergeCell ref="J22:L22"/>
    <mergeCell ref="M22:O22"/>
    <mergeCell ref="P22:R22"/>
    <mergeCell ref="S22:U22"/>
    <mergeCell ref="S25:U25"/>
    <mergeCell ref="A22:C22"/>
    <mergeCell ref="D29:F29"/>
    <mergeCell ref="G29:I29"/>
    <mergeCell ref="J29:L29"/>
    <mergeCell ref="M29:O29"/>
    <mergeCell ref="P29:R29"/>
    <mergeCell ref="S29:U29"/>
    <mergeCell ref="S30:U30"/>
    <mergeCell ref="S33:U33"/>
    <mergeCell ref="A29:C29"/>
    <mergeCell ref="A30:C30"/>
    <mergeCell ref="D30:F30"/>
    <mergeCell ref="G30:I30"/>
    <mergeCell ref="J30:L30"/>
    <mergeCell ref="M30:O30"/>
    <mergeCell ref="P30:R30"/>
    <mergeCell ref="A37:C37"/>
    <mergeCell ref="D37:F37"/>
    <mergeCell ref="G37:I37"/>
    <mergeCell ref="J37:L37"/>
    <mergeCell ref="M37:O37"/>
    <mergeCell ref="P37:R37"/>
    <mergeCell ref="S37:U37"/>
    <mergeCell ref="A38:C38"/>
    <mergeCell ref="D38:F38"/>
    <mergeCell ref="G38:I38"/>
    <mergeCell ref="J38:L38"/>
    <mergeCell ref="M38:O38"/>
    <mergeCell ref="P38:R38"/>
    <mergeCell ref="S38:U38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9:U9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46:C46"/>
    <mergeCell ref="D46:F46"/>
    <mergeCell ref="G46:I46"/>
    <mergeCell ref="J46:L46"/>
    <mergeCell ref="M46:O46"/>
    <mergeCell ref="P46:R46"/>
    <mergeCell ref="S46:U46"/>
    <mergeCell ref="A45:C45"/>
    <mergeCell ref="D45:F45"/>
    <mergeCell ref="G45:I45"/>
    <mergeCell ref="J45:L45"/>
    <mergeCell ref="M45:O45"/>
    <mergeCell ref="P45:R45"/>
    <mergeCell ref="S45:U4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29"/>
    <col customWidth="1" min="3" max="3" width="8.29"/>
    <col customWidth="1" min="4" max="4" width="18.0"/>
    <col customWidth="1" min="5" max="5" width="11.43"/>
    <col customWidth="1" min="6" max="6" width="11.0"/>
    <col customWidth="1" min="7" max="7" width="16.43"/>
    <col customWidth="1" min="9" max="9" width="7.57"/>
    <col customWidth="1" min="10" max="10" width="25.43"/>
    <col customWidth="1" min="11" max="11" width="11.43"/>
    <col customWidth="1" min="12" max="12" width="9.14"/>
    <col customWidth="1" min="13" max="13" width="18.57"/>
    <col customWidth="1" min="15" max="15" width="8.0"/>
    <col customWidth="1" min="16" max="16" width="16.0"/>
    <col customWidth="1" min="17" max="17" width="11.43"/>
    <col customWidth="1" min="18" max="18" width="9.0"/>
    <col customWidth="1" min="21" max="21" width="7.86"/>
    <col customWidth="1" min="22" max="22" width="5.14"/>
  </cols>
  <sheetData>
    <row r="1">
      <c r="A1" s="91" t="s">
        <v>141</v>
      </c>
      <c r="C1" s="410" t="s">
        <v>455</v>
      </c>
      <c r="F1" s="345"/>
      <c r="G1" s="4" t="s">
        <v>1</v>
      </c>
      <c r="Q1" s="345"/>
      <c r="R1" s="345"/>
      <c r="S1" s="345"/>
      <c r="T1" s="345"/>
      <c r="U1" s="345"/>
    </row>
    <row r="2">
      <c r="A2" s="91" t="s">
        <v>2</v>
      </c>
      <c r="C2" s="344" t="s">
        <v>143</v>
      </c>
      <c r="F2" s="345"/>
      <c r="Q2" s="345"/>
      <c r="R2" s="345"/>
      <c r="S2" s="345"/>
      <c r="T2" s="345"/>
      <c r="U2" s="345"/>
    </row>
    <row r="3">
      <c r="A3" s="91" t="s">
        <v>4</v>
      </c>
      <c r="C3" s="347"/>
      <c r="F3" s="345"/>
      <c r="Q3" s="345"/>
      <c r="R3" s="345"/>
      <c r="S3" s="345"/>
      <c r="T3" s="345"/>
      <c r="U3" s="345"/>
    </row>
    <row r="4">
      <c r="A4" s="91" t="s">
        <v>5</v>
      </c>
      <c r="C4" s="348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</row>
    <row r="5">
      <c r="A5" s="12" t="s">
        <v>6</v>
      </c>
      <c r="B5" s="13"/>
      <c r="C5" s="14"/>
      <c r="D5" s="12" t="s">
        <v>7</v>
      </c>
      <c r="E5" s="13"/>
      <c r="F5" s="14"/>
      <c r="G5" s="12" t="s">
        <v>8</v>
      </c>
      <c r="H5" s="13"/>
      <c r="I5" s="14"/>
      <c r="J5" s="12" t="s">
        <v>9</v>
      </c>
      <c r="K5" s="13"/>
      <c r="L5" s="14"/>
      <c r="M5" s="12" t="s">
        <v>10</v>
      </c>
      <c r="N5" s="13"/>
      <c r="O5" s="14"/>
      <c r="P5" s="12" t="s">
        <v>11</v>
      </c>
      <c r="Q5" s="13"/>
      <c r="R5" s="14"/>
      <c r="S5" s="15" t="s">
        <v>12</v>
      </c>
      <c r="T5" s="13"/>
      <c r="U5" s="14"/>
      <c r="W5" s="280" t="s">
        <v>14</v>
      </c>
      <c r="X5" s="280" t="s">
        <v>144</v>
      </c>
      <c r="Y5" s="280" t="s">
        <v>16</v>
      </c>
    </row>
    <row r="6">
      <c r="A6" s="16">
        <v>46055.0</v>
      </c>
      <c r="B6" s="13"/>
      <c r="C6" s="14"/>
      <c r="D6" s="16">
        <f>A6+1</f>
        <v>46056</v>
      </c>
      <c r="E6" s="13"/>
      <c r="F6" s="14"/>
      <c r="G6" s="16">
        <f>D6+1</f>
        <v>46057</v>
      </c>
      <c r="H6" s="13"/>
      <c r="I6" s="14"/>
      <c r="J6" s="16">
        <v>46058.0</v>
      </c>
      <c r="K6" s="13"/>
      <c r="L6" s="14"/>
      <c r="M6" s="16"/>
      <c r="N6" s="13"/>
      <c r="O6" s="14"/>
      <c r="P6" s="16"/>
      <c r="Q6" s="13"/>
      <c r="R6" s="14"/>
      <c r="S6" s="17">
        <v>46082.0</v>
      </c>
      <c r="T6" s="13"/>
      <c r="U6" s="14"/>
      <c r="W6" s="280">
        <v>1.0</v>
      </c>
      <c r="X6" s="148"/>
      <c r="Y6" s="188"/>
    </row>
    <row r="7">
      <c r="A7" s="349"/>
      <c r="B7" s="349"/>
      <c r="C7" s="349"/>
      <c r="D7" s="72"/>
      <c r="E7" s="72"/>
      <c r="F7" s="72"/>
      <c r="G7" s="203"/>
      <c r="H7" s="203"/>
      <c r="I7" s="208"/>
      <c r="J7" s="349"/>
      <c r="K7" s="349"/>
      <c r="L7" s="349"/>
      <c r="M7" s="349"/>
      <c r="N7" s="349"/>
      <c r="O7" s="349"/>
      <c r="P7" s="349"/>
      <c r="Q7" s="349"/>
      <c r="R7" s="349"/>
      <c r="S7" s="349"/>
      <c r="T7" s="349"/>
      <c r="U7" s="349"/>
      <c r="W7" s="280">
        <v>2.0</v>
      </c>
      <c r="X7" s="51" t="s">
        <v>418</v>
      </c>
      <c r="Y7" s="188">
        <f t="shared" ref="Y7:Y9" si="1">COUNTIF($A$5:$U$51,X7)</f>
        <v>14</v>
      </c>
    </row>
    <row r="8">
      <c r="A8" s="349"/>
      <c r="B8" s="349"/>
      <c r="C8" s="349"/>
      <c r="D8" s="72"/>
      <c r="E8" s="72"/>
      <c r="F8" s="72"/>
      <c r="G8" s="203"/>
      <c r="H8" s="203"/>
      <c r="I8" s="208"/>
      <c r="J8" s="349"/>
      <c r="K8" s="349"/>
      <c r="L8" s="349"/>
      <c r="M8" s="349"/>
      <c r="N8" s="349"/>
      <c r="O8" s="349"/>
      <c r="P8" s="349"/>
      <c r="Q8" s="349"/>
      <c r="R8" s="349"/>
      <c r="S8" s="218" t="s">
        <v>13</v>
      </c>
      <c r="T8" s="13"/>
      <c r="U8" s="14"/>
      <c r="W8" s="280">
        <v>3.0</v>
      </c>
      <c r="X8" s="51" t="s">
        <v>409</v>
      </c>
      <c r="Y8" s="188">
        <f t="shared" si="1"/>
        <v>12</v>
      </c>
    </row>
    <row r="9">
      <c r="A9" s="349"/>
      <c r="B9" s="349"/>
      <c r="C9" s="349"/>
      <c r="D9" s="72"/>
      <c r="E9" s="72"/>
      <c r="F9" s="72"/>
      <c r="G9" s="203"/>
      <c r="H9" s="203"/>
      <c r="I9" s="208"/>
      <c r="J9" s="411"/>
      <c r="K9" s="412"/>
      <c r="L9" s="413"/>
      <c r="M9" s="51"/>
      <c r="N9" s="51"/>
      <c r="O9" s="141"/>
      <c r="P9" s="51"/>
      <c r="Q9" s="51"/>
      <c r="R9" s="113"/>
      <c r="S9" s="141"/>
      <c r="T9" s="141"/>
      <c r="U9" s="141"/>
      <c r="W9" s="280">
        <v>4.0</v>
      </c>
      <c r="X9" s="351"/>
      <c r="Y9" s="188">
        <f t="shared" si="1"/>
        <v>0</v>
      </c>
    </row>
    <row r="10">
      <c r="A10" s="349"/>
      <c r="B10" s="349"/>
      <c r="C10" s="349"/>
      <c r="D10" s="72"/>
      <c r="E10" s="72"/>
      <c r="F10" s="72"/>
      <c r="G10" s="203"/>
      <c r="H10" s="203"/>
      <c r="I10" s="208"/>
      <c r="J10" s="349"/>
      <c r="K10" s="349"/>
      <c r="L10" s="349"/>
      <c r="M10" s="349"/>
      <c r="N10" s="349"/>
      <c r="O10" s="441"/>
      <c r="P10" s="349"/>
      <c r="Q10" s="349"/>
      <c r="R10" s="349"/>
      <c r="S10" s="209"/>
      <c r="T10" s="209"/>
      <c r="U10" s="209"/>
    </row>
    <row r="11" hidden="1">
      <c r="A11" s="349"/>
      <c r="B11" s="349"/>
      <c r="C11" s="349"/>
      <c r="D11" s="72"/>
      <c r="E11" s="72"/>
      <c r="F11" s="72"/>
      <c r="G11" s="203"/>
      <c r="H11" s="203"/>
      <c r="I11" s="203"/>
      <c r="J11" s="349"/>
      <c r="K11" s="349"/>
      <c r="L11" s="349"/>
      <c r="M11" s="349"/>
      <c r="N11" s="349"/>
      <c r="O11" s="349"/>
      <c r="P11" s="349"/>
      <c r="Q11" s="349"/>
      <c r="R11" s="349"/>
      <c r="S11" s="209"/>
      <c r="T11" s="209"/>
      <c r="U11" s="209"/>
    </row>
    <row r="12" hidden="1">
      <c r="A12" s="363"/>
      <c r="B12" s="363"/>
      <c r="C12" s="363"/>
      <c r="D12" s="154"/>
      <c r="E12" s="154"/>
      <c r="F12" s="154"/>
      <c r="G12" s="203"/>
      <c r="H12" s="203"/>
      <c r="I12" s="251"/>
      <c r="J12" s="363"/>
      <c r="K12" s="363"/>
      <c r="L12" s="363"/>
      <c r="M12" s="363"/>
      <c r="N12" s="363"/>
      <c r="O12" s="363"/>
      <c r="P12" s="363"/>
      <c r="Q12" s="363"/>
      <c r="R12" s="363"/>
      <c r="S12" s="349"/>
      <c r="T12" s="349"/>
      <c r="U12" s="349"/>
    </row>
    <row r="13">
      <c r="A13" s="27" t="s">
        <v>6</v>
      </c>
      <c r="B13" s="13"/>
      <c r="C13" s="14"/>
      <c r="D13" s="27" t="s">
        <v>7</v>
      </c>
      <c r="E13" s="13"/>
      <c r="F13" s="14"/>
      <c r="G13" s="27" t="s">
        <v>8</v>
      </c>
      <c r="H13" s="13"/>
      <c r="I13" s="14"/>
      <c r="J13" s="27" t="s">
        <v>9</v>
      </c>
      <c r="K13" s="13"/>
      <c r="L13" s="14"/>
      <c r="M13" s="27" t="s">
        <v>10</v>
      </c>
      <c r="N13" s="13"/>
      <c r="O13" s="14"/>
      <c r="P13" s="27" t="s">
        <v>11</v>
      </c>
      <c r="Q13" s="13"/>
      <c r="R13" s="14"/>
      <c r="S13" s="29" t="s">
        <v>12</v>
      </c>
      <c r="T13" s="13"/>
      <c r="U13" s="14"/>
    </row>
    <row r="14">
      <c r="A14" s="30">
        <f>S6+1</f>
        <v>46083</v>
      </c>
      <c r="B14" s="13"/>
      <c r="C14" s="14"/>
      <c r="D14" s="30">
        <f>A14+1</f>
        <v>46084</v>
      </c>
      <c r="E14" s="13"/>
      <c r="F14" s="14"/>
      <c r="G14" s="30">
        <f>D14+1</f>
        <v>46085</v>
      </c>
      <c r="H14" s="13"/>
      <c r="I14" s="14"/>
      <c r="J14" s="30">
        <f>G14+1</f>
        <v>46086</v>
      </c>
      <c r="K14" s="13"/>
      <c r="L14" s="14"/>
      <c r="M14" s="30">
        <f>J14+1</f>
        <v>46087</v>
      </c>
      <c r="N14" s="13"/>
      <c r="O14" s="14"/>
      <c r="P14" s="30">
        <f>M14+1</f>
        <v>46088</v>
      </c>
      <c r="Q14" s="13"/>
      <c r="R14" s="14"/>
      <c r="S14" s="31">
        <f>P14+1</f>
        <v>46089</v>
      </c>
      <c r="T14" s="13"/>
      <c r="U14" s="14"/>
    </row>
    <row r="15">
      <c r="A15" s="349"/>
      <c r="B15" s="349"/>
      <c r="C15" s="349"/>
      <c r="D15" s="72"/>
      <c r="E15" s="72"/>
      <c r="F15" s="72"/>
      <c r="G15" s="203"/>
      <c r="H15" s="203"/>
      <c r="I15" s="208"/>
      <c r="J15" s="349"/>
      <c r="K15" s="349"/>
      <c r="L15" s="349"/>
      <c r="M15" s="349"/>
      <c r="N15" s="349"/>
      <c r="O15" s="349"/>
      <c r="P15" s="349"/>
      <c r="Q15" s="349"/>
      <c r="R15" s="349"/>
      <c r="S15" s="349"/>
      <c r="T15" s="349"/>
      <c r="U15" s="349"/>
    </row>
    <row r="16">
      <c r="A16" s="349"/>
      <c r="B16" s="349"/>
      <c r="C16" s="349"/>
      <c r="D16" s="72"/>
      <c r="E16" s="72"/>
      <c r="F16" s="72"/>
      <c r="G16" s="203"/>
      <c r="H16" s="203"/>
      <c r="I16" s="208"/>
      <c r="J16" s="349"/>
      <c r="K16" s="349"/>
      <c r="L16" s="349"/>
      <c r="M16" s="51"/>
      <c r="N16" s="442"/>
      <c r="O16" s="443"/>
      <c r="P16" s="349"/>
      <c r="Q16" s="349"/>
      <c r="R16" s="349"/>
      <c r="S16" s="141"/>
      <c r="T16" s="141"/>
      <c r="U16" s="141"/>
    </row>
    <row r="17">
      <c r="A17" s="51" t="s">
        <v>409</v>
      </c>
      <c r="B17" s="51" t="s">
        <v>456</v>
      </c>
      <c r="C17" s="113" t="s">
        <v>24</v>
      </c>
      <c r="D17" s="51" t="s">
        <v>418</v>
      </c>
      <c r="E17" s="51" t="s">
        <v>456</v>
      </c>
      <c r="F17" s="113" t="s">
        <v>24</v>
      </c>
      <c r="G17" s="51" t="s">
        <v>409</v>
      </c>
      <c r="H17" s="51" t="s">
        <v>457</v>
      </c>
      <c r="I17" s="113" t="s">
        <v>24</v>
      </c>
      <c r="J17" s="51" t="s">
        <v>418</v>
      </c>
      <c r="K17" s="51" t="s">
        <v>458</v>
      </c>
      <c r="L17" s="113" t="s">
        <v>24</v>
      </c>
      <c r="M17" s="51" t="s">
        <v>409</v>
      </c>
      <c r="N17" s="51" t="s">
        <v>459</v>
      </c>
      <c r="O17" s="113" t="s">
        <v>24</v>
      </c>
      <c r="P17" s="51" t="s">
        <v>418</v>
      </c>
      <c r="Q17" s="51" t="s">
        <v>456</v>
      </c>
      <c r="R17" s="113" t="s">
        <v>24</v>
      </c>
      <c r="S17" s="218" t="s">
        <v>13</v>
      </c>
      <c r="T17" s="13"/>
      <c r="U17" s="14"/>
    </row>
    <row r="18">
      <c r="A18" s="389"/>
      <c r="B18" s="389"/>
      <c r="C18" s="389"/>
      <c r="D18" s="72"/>
      <c r="E18" s="72"/>
      <c r="F18" s="72"/>
      <c r="G18" s="51"/>
      <c r="H18" s="349"/>
      <c r="I18" s="391" t="s">
        <v>296</v>
      </c>
      <c r="J18" s="349"/>
      <c r="K18" s="349"/>
      <c r="L18" s="391" t="s">
        <v>296</v>
      </c>
      <c r="M18" s="349"/>
      <c r="N18" s="349"/>
      <c r="O18" s="441"/>
      <c r="P18" s="389"/>
      <c r="Q18" s="389"/>
      <c r="R18" s="389"/>
      <c r="S18" s="209"/>
      <c r="T18" s="209"/>
      <c r="U18" s="209"/>
    </row>
    <row r="19">
      <c r="A19" s="349"/>
      <c r="B19" s="349"/>
      <c r="C19" s="349"/>
      <c r="D19" s="72"/>
      <c r="E19" s="72"/>
      <c r="F19" s="72"/>
      <c r="G19" s="203"/>
      <c r="H19" s="51"/>
      <c r="I19" s="141"/>
      <c r="J19" s="349"/>
      <c r="K19" s="349"/>
      <c r="L19" s="349"/>
      <c r="M19" s="51"/>
      <c r="N19" s="51"/>
      <c r="O19" s="141"/>
      <c r="P19" s="349"/>
      <c r="Q19" s="349"/>
      <c r="R19" s="349"/>
      <c r="S19" s="209"/>
      <c r="T19" s="209"/>
      <c r="U19" s="209"/>
    </row>
    <row r="20">
      <c r="A20" s="363"/>
      <c r="B20" s="363"/>
      <c r="C20" s="363"/>
      <c r="D20" s="154"/>
      <c r="E20" s="154"/>
      <c r="F20" s="154"/>
      <c r="G20" s="203"/>
      <c r="H20" s="203"/>
      <c r="I20" s="251"/>
      <c r="J20" s="363"/>
      <c r="K20" s="363"/>
      <c r="L20" s="363"/>
      <c r="M20" s="363"/>
      <c r="N20" s="363"/>
      <c r="O20" s="363"/>
      <c r="P20" s="363"/>
      <c r="Q20" s="363"/>
      <c r="R20" s="363"/>
      <c r="S20" s="349"/>
      <c r="T20" s="349"/>
      <c r="U20" s="349"/>
    </row>
    <row r="21">
      <c r="A21" s="12" t="s">
        <v>6</v>
      </c>
      <c r="B21" s="13"/>
      <c r="C21" s="14"/>
      <c r="D21" s="12" t="s">
        <v>7</v>
      </c>
      <c r="E21" s="13"/>
      <c r="F21" s="14"/>
      <c r="G21" s="12" t="s">
        <v>8</v>
      </c>
      <c r="H21" s="13"/>
      <c r="I21" s="14"/>
      <c r="J21" s="12" t="s">
        <v>9</v>
      </c>
      <c r="K21" s="13"/>
      <c r="L21" s="14"/>
      <c r="M21" s="12" t="s">
        <v>10</v>
      </c>
      <c r="N21" s="13"/>
      <c r="O21" s="14"/>
      <c r="P21" s="12" t="s">
        <v>11</v>
      </c>
      <c r="Q21" s="13"/>
      <c r="R21" s="14"/>
      <c r="S21" s="15" t="s">
        <v>12</v>
      </c>
      <c r="T21" s="13"/>
      <c r="U21" s="14"/>
    </row>
    <row r="22">
      <c r="A22" s="16">
        <f>S14+1</f>
        <v>46090</v>
      </c>
      <c r="B22" s="13"/>
      <c r="C22" s="14"/>
      <c r="D22" s="16">
        <f>A22+1</f>
        <v>46091</v>
      </c>
      <c r="E22" s="13"/>
      <c r="F22" s="14"/>
      <c r="G22" s="16">
        <f>D22+1</f>
        <v>46092</v>
      </c>
      <c r="H22" s="13"/>
      <c r="I22" s="14"/>
      <c r="J22" s="16">
        <f>G22+1</f>
        <v>46093</v>
      </c>
      <c r="K22" s="13"/>
      <c r="L22" s="14"/>
      <c r="M22" s="16">
        <f>J22+1</f>
        <v>46094</v>
      </c>
      <c r="N22" s="13"/>
      <c r="O22" s="14"/>
      <c r="P22" s="16">
        <f>M22+1</f>
        <v>46095</v>
      </c>
      <c r="Q22" s="13"/>
      <c r="R22" s="14"/>
      <c r="S22" s="184">
        <f>P22+1</f>
        <v>46096</v>
      </c>
      <c r="T22" s="13"/>
      <c r="U22" s="14"/>
    </row>
    <row r="23">
      <c r="A23" s="349"/>
      <c r="B23" s="349"/>
      <c r="C23" s="349"/>
      <c r="D23" s="72"/>
      <c r="E23" s="72"/>
      <c r="F23" s="72"/>
      <c r="G23" s="203"/>
      <c r="H23" s="203"/>
      <c r="I23" s="208"/>
      <c r="J23" s="349"/>
      <c r="K23" s="349"/>
      <c r="L23" s="349"/>
      <c r="M23" s="349"/>
      <c r="N23" s="349"/>
      <c r="O23" s="349"/>
      <c r="P23" s="349"/>
      <c r="Q23" s="349"/>
      <c r="R23" s="349"/>
      <c r="S23" s="349"/>
      <c r="T23" s="349"/>
      <c r="U23" s="349"/>
    </row>
    <row r="24">
      <c r="A24" s="349"/>
      <c r="B24" s="349"/>
      <c r="C24" s="349"/>
      <c r="D24" s="72"/>
      <c r="E24" s="72"/>
      <c r="F24" s="72"/>
      <c r="G24" s="51" t="s">
        <v>409</v>
      </c>
      <c r="H24" s="442" t="s">
        <v>457</v>
      </c>
      <c r="I24" s="391" t="s">
        <v>296</v>
      </c>
      <c r="J24" s="349"/>
      <c r="K24" s="349"/>
      <c r="L24" s="349"/>
      <c r="M24" s="349"/>
      <c r="N24" s="349"/>
      <c r="O24" s="349"/>
      <c r="P24" s="349"/>
      <c r="Q24" s="349"/>
      <c r="R24" s="349"/>
      <c r="S24" s="218" t="s">
        <v>13</v>
      </c>
      <c r="T24" s="13"/>
      <c r="U24" s="14"/>
    </row>
    <row r="25">
      <c r="A25" s="51" t="s">
        <v>409</v>
      </c>
      <c r="B25" s="51" t="s">
        <v>456</v>
      </c>
      <c r="C25" s="113" t="s">
        <v>24</v>
      </c>
      <c r="D25" s="51" t="s">
        <v>418</v>
      </c>
      <c r="E25" s="51" t="s">
        <v>456</v>
      </c>
      <c r="F25" s="113" t="s">
        <v>24</v>
      </c>
      <c r="G25" s="51"/>
      <c r="H25" s="48"/>
      <c r="I25" s="392" t="s">
        <v>48</v>
      </c>
      <c r="J25" s="51" t="s">
        <v>418</v>
      </c>
      <c r="K25" s="51" t="s">
        <v>458</v>
      </c>
      <c r="L25" s="113" t="s">
        <v>24</v>
      </c>
      <c r="M25" s="51" t="s">
        <v>409</v>
      </c>
      <c r="N25" s="51" t="s">
        <v>459</v>
      </c>
      <c r="O25" s="113" t="s">
        <v>24</v>
      </c>
      <c r="P25" s="51" t="s">
        <v>418</v>
      </c>
      <c r="Q25" s="51" t="s">
        <v>456</v>
      </c>
      <c r="R25" s="113" t="s">
        <v>24</v>
      </c>
      <c r="S25" s="141"/>
      <c r="T25" s="141"/>
      <c r="U25" s="141"/>
    </row>
    <row r="26">
      <c r="A26" s="389"/>
      <c r="B26" s="389"/>
      <c r="C26" s="389"/>
      <c r="D26" s="72"/>
      <c r="E26" s="72"/>
      <c r="F26" s="72"/>
      <c r="G26" s="51" t="s">
        <v>418</v>
      </c>
      <c r="H26" s="51" t="s">
        <v>404</v>
      </c>
      <c r="I26" s="392" t="s">
        <v>48</v>
      </c>
      <c r="J26" s="349"/>
      <c r="K26" s="349"/>
      <c r="L26" s="391" t="s">
        <v>296</v>
      </c>
      <c r="M26" s="51"/>
      <c r="N26" s="51"/>
      <c r="O26" s="141"/>
      <c r="P26" s="389"/>
      <c r="Q26" s="389"/>
      <c r="R26" s="389"/>
      <c r="S26" s="209"/>
      <c r="T26" s="209"/>
      <c r="U26" s="209"/>
    </row>
    <row r="27" hidden="1">
      <c r="A27" s="349"/>
      <c r="B27" s="349"/>
      <c r="C27" s="349"/>
      <c r="D27" s="72"/>
      <c r="E27" s="72"/>
      <c r="F27" s="72"/>
      <c r="G27" s="203"/>
      <c r="H27" s="203"/>
      <c r="I27" s="203"/>
      <c r="J27" s="349"/>
      <c r="K27" s="349"/>
      <c r="L27" s="349"/>
      <c r="M27" s="349"/>
      <c r="N27" s="349"/>
      <c r="O27" s="349"/>
      <c r="P27" s="349"/>
      <c r="Q27" s="349"/>
      <c r="R27" s="349"/>
      <c r="S27" s="209"/>
      <c r="T27" s="209"/>
      <c r="U27" s="209"/>
    </row>
    <row r="28" hidden="1">
      <c r="A28" s="363"/>
      <c r="B28" s="363"/>
      <c r="C28" s="363"/>
      <c r="D28" s="154"/>
      <c r="E28" s="154"/>
      <c r="F28" s="154"/>
      <c r="G28" s="203"/>
      <c r="H28" s="203"/>
      <c r="I28" s="251"/>
      <c r="J28" s="363"/>
      <c r="K28" s="363"/>
      <c r="L28" s="363"/>
      <c r="M28" s="363"/>
      <c r="N28" s="363"/>
      <c r="O28" s="363"/>
      <c r="P28" s="363"/>
      <c r="Q28" s="363"/>
      <c r="R28" s="363"/>
      <c r="S28" s="349"/>
      <c r="T28" s="349"/>
      <c r="U28" s="349"/>
    </row>
    <row r="29">
      <c r="A29" s="27" t="s">
        <v>6</v>
      </c>
      <c r="B29" s="13"/>
      <c r="C29" s="14"/>
      <c r="D29" s="27" t="s">
        <v>7</v>
      </c>
      <c r="E29" s="13"/>
      <c r="F29" s="14"/>
      <c r="G29" s="27" t="s">
        <v>8</v>
      </c>
      <c r="H29" s="13"/>
      <c r="I29" s="14"/>
      <c r="J29" s="29" t="s">
        <v>9</v>
      </c>
      <c r="K29" s="13"/>
      <c r="L29" s="14"/>
      <c r="M29" s="27" t="s">
        <v>10</v>
      </c>
      <c r="N29" s="13"/>
      <c r="O29" s="14"/>
      <c r="P29" s="27" t="s">
        <v>11</v>
      </c>
      <c r="Q29" s="13"/>
      <c r="R29" s="14"/>
      <c r="S29" s="29" t="s">
        <v>12</v>
      </c>
      <c r="T29" s="13"/>
      <c r="U29" s="14"/>
    </row>
    <row r="30">
      <c r="A30" s="57">
        <f>S22+1</f>
        <v>46097</v>
      </c>
      <c r="B30" s="13"/>
      <c r="C30" s="14"/>
      <c r="D30" s="57">
        <f>A30+1</f>
        <v>46098</v>
      </c>
      <c r="E30" s="13"/>
      <c r="F30" s="14"/>
      <c r="G30" s="57">
        <f>D30+1</f>
        <v>46099</v>
      </c>
      <c r="H30" s="13"/>
      <c r="I30" s="14"/>
      <c r="J30" s="58">
        <f>G30+1</f>
        <v>46100</v>
      </c>
      <c r="K30" s="13"/>
      <c r="L30" s="14"/>
      <c r="M30" s="57">
        <f>J30+1</f>
        <v>46101</v>
      </c>
      <c r="N30" s="13"/>
      <c r="O30" s="14"/>
      <c r="P30" s="57">
        <f>M30+1</f>
        <v>46102</v>
      </c>
      <c r="Q30" s="13"/>
      <c r="R30" s="14"/>
      <c r="S30" s="58">
        <f>P30+1</f>
        <v>46103</v>
      </c>
      <c r="T30" s="13"/>
      <c r="U30" s="14"/>
    </row>
    <row r="31">
      <c r="A31" s="349"/>
      <c r="B31" s="349"/>
      <c r="C31" s="349"/>
      <c r="D31" s="72"/>
      <c r="E31" s="72"/>
      <c r="F31" s="72"/>
      <c r="G31" s="203"/>
      <c r="H31" s="203"/>
      <c r="I31" s="208"/>
      <c r="J31" s="349"/>
      <c r="K31" s="349"/>
      <c r="L31" s="349"/>
      <c r="M31" s="349"/>
      <c r="N31" s="349"/>
      <c r="O31" s="349"/>
      <c r="P31" s="349"/>
      <c r="Q31" s="349"/>
      <c r="R31" s="349"/>
      <c r="S31" s="349"/>
      <c r="T31" s="349"/>
      <c r="U31" s="349"/>
    </row>
    <row r="32">
      <c r="A32" s="349"/>
      <c r="B32" s="349"/>
      <c r="C32" s="349"/>
      <c r="D32" s="72"/>
      <c r="E32" s="72"/>
      <c r="F32" s="72"/>
      <c r="G32" s="203"/>
      <c r="H32" s="203"/>
      <c r="I32" s="208"/>
      <c r="J32" s="349"/>
      <c r="K32" s="349"/>
      <c r="L32" s="349"/>
      <c r="M32" s="349"/>
      <c r="N32" s="349"/>
      <c r="O32" s="349"/>
      <c r="P32" s="349"/>
      <c r="Q32" s="349"/>
      <c r="R32" s="349"/>
      <c r="S32" s="141"/>
      <c r="T32" s="141"/>
      <c r="U32" s="141"/>
    </row>
    <row r="33">
      <c r="A33" s="51" t="s">
        <v>409</v>
      </c>
      <c r="B33" s="51" t="s">
        <v>456</v>
      </c>
      <c r="C33" s="113" t="s">
        <v>24</v>
      </c>
      <c r="D33" s="51" t="s">
        <v>418</v>
      </c>
      <c r="E33" s="51" t="s">
        <v>456</v>
      </c>
      <c r="F33" s="113" t="s">
        <v>24</v>
      </c>
      <c r="G33" s="51" t="s">
        <v>409</v>
      </c>
      <c r="H33" s="51" t="s">
        <v>457</v>
      </c>
      <c r="I33" s="113" t="s">
        <v>24</v>
      </c>
      <c r="J33" s="51" t="s">
        <v>418</v>
      </c>
      <c r="K33" s="51" t="s">
        <v>458</v>
      </c>
      <c r="L33" s="113" t="s">
        <v>24</v>
      </c>
      <c r="M33" s="218" t="s">
        <v>13</v>
      </c>
      <c r="N33" s="13"/>
      <c r="O33" s="14"/>
      <c r="P33" s="218" t="s">
        <v>13</v>
      </c>
      <c r="Q33" s="13"/>
      <c r="R33" s="14"/>
      <c r="S33" s="218" t="s">
        <v>13</v>
      </c>
      <c r="T33" s="13"/>
      <c r="U33" s="14"/>
    </row>
    <row r="34">
      <c r="A34" s="349"/>
      <c r="B34" s="349"/>
      <c r="C34" s="349"/>
      <c r="D34" s="72"/>
      <c r="E34" s="72"/>
      <c r="F34" s="72"/>
      <c r="G34" s="207"/>
      <c r="H34" s="349"/>
      <c r="I34" s="391" t="s">
        <v>296</v>
      </c>
      <c r="J34" s="349"/>
      <c r="K34" s="349"/>
      <c r="L34" s="391" t="s">
        <v>296</v>
      </c>
      <c r="M34" s="349"/>
      <c r="N34" s="349"/>
      <c r="O34" s="349"/>
      <c r="P34" s="349"/>
      <c r="Q34" s="349"/>
      <c r="R34" s="349"/>
      <c r="S34" s="209"/>
      <c r="T34" s="209"/>
      <c r="U34" s="209"/>
    </row>
    <row r="35">
      <c r="A35" s="349"/>
      <c r="B35" s="349"/>
      <c r="C35" s="349"/>
      <c r="D35" s="72"/>
      <c r="E35" s="72"/>
      <c r="F35" s="72"/>
      <c r="G35" s="203"/>
      <c r="H35" s="51"/>
      <c r="I35" s="141"/>
      <c r="J35" s="349"/>
      <c r="K35" s="349"/>
      <c r="L35" s="349"/>
      <c r="M35" s="51"/>
      <c r="N35" s="51"/>
      <c r="O35" s="141"/>
      <c r="P35" s="349"/>
      <c r="Q35" s="349"/>
      <c r="R35" s="349"/>
      <c r="S35" s="209"/>
      <c r="T35" s="209"/>
      <c r="U35" s="209"/>
    </row>
    <row r="36">
      <c r="A36" s="363"/>
      <c r="B36" s="363"/>
      <c r="C36" s="363"/>
      <c r="D36" s="154"/>
      <c r="E36" s="154"/>
      <c r="F36" s="154"/>
      <c r="G36" s="203"/>
      <c r="H36" s="203"/>
      <c r="I36" s="251"/>
      <c r="J36" s="363"/>
      <c r="K36" s="363"/>
      <c r="L36" s="363"/>
      <c r="M36" s="363"/>
      <c r="N36" s="363"/>
      <c r="O36" s="363"/>
      <c r="P36" s="363"/>
      <c r="Q36" s="363"/>
      <c r="R36" s="363"/>
      <c r="S36" s="349"/>
      <c r="T36" s="349"/>
      <c r="U36" s="349"/>
    </row>
    <row r="37">
      <c r="A37" s="12" t="s">
        <v>6</v>
      </c>
      <c r="B37" s="13"/>
      <c r="C37" s="14"/>
      <c r="D37" s="12" t="s">
        <v>7</v>
      </c>
      <c r="E37" s="13"/>
      <c r="F37" s="14"/>
      <c r="G37" s="12" t="s">
        <v>8</v>
      </c>
      <c r="H37" s="13"/>
      <c r="I37" s="14"/>
      <c r="J37" s="12" t="s">
        <v>9</v>
      </c>
      <c r="K37" s="13"/>
      <c r="L37" s="14"/>
      <c r="M37" s="12" t="s">
        <v>10</v>
      </c>
      <c r="N37" s="13"/>
      <c r="O37" s="14"/>
      <c r="P37" s="12" t="s">
        <v>11</v>
      </c>
      <c r="Q37" s="13"/>
      <c r="R37" s="14"/>
      <c r="S37" s="15" t="s">
        <v>12</v>
      </c>
      <c r="T37" s="13"/>
      <c r="U37" s="14"/>
    </row>
    <row r="38">
      <c r="A38" s="16">
        <f>S30+1</f>
        <v>46104</v>
      </c>
      <c r="B38" s="13"/>
      <c r="C38" s="14"/>
      <c r="D38" s="16">
        <f>A38+1</f>
        <v>46105</v>
      </c>
      <c r="E38" s="13"/>
      <c r="F38" s="14"/>
      <c r="G38" s="16">
        <f>D38+1</f>
        <v>46106</v>
      </c>
      <c r="H38" s="13"/>
      <c r="I38" s="14"/>
      <c r="J38" s="16">
        <f>G38+1</f>
        <v>46107</v>
      </c>
      <c r="K38" s="13"/>
      <c r="L38" s="14"/>
      <c r="M38" s="16">
        <f>J38+1</f>
        <v>46108</v>
      </c>
      <c r="N38" s="13"/>
      <c r="O38" s="14"/>
      <c r="P38" s="16">
        <f>M38+1</f>
        <v>46109</v>
      </c>
      <c r="Q38" s="13"/>
      <c r="R38" s="14"/>
      <c r="S38" s="184">
        <f>P38+1</f>
        <v>46110</v>
      </c>
      <c r="T38" s="13"/>
      <c r="U38" s="14"/>
    </row>
    <row r="39">
      <c r="A39" s="349"/>
      <c r="B39" s="349"/>
      <c r="C39" s="349"/>
      <c r="D39" s="72"/>
      <c r="E39" s="72"/>
      <c r="F39" s="72"/>
      <c r="G39" s="203"/>
      <c r="H39" s="203"/>
      <c r="I39" s="208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</row>
    <row r="40">
      <c r="A40" s="349"/>
      <c r="B40" s="349"/>
      <c r="C40" s="349"/>
      <c r="D40" s="72"/>
      <c r="E40" s="72"/>
      <c r="F40" s="72"/>
      <c r="G40" s="51" t="s">
        <v>409</v>
      </c>
      <c r="H40" s="442" t="s">
        <v>457</v>
      </c>
      <c r="I40" s="444" t="s">
        <v>296</v>
      </c>
      <c r="J40" s="349"/>
      <c r="K40" s="349"/>
      <c r="L40" s="349"/>
      <c r="M40" s="349"/>
      <c r="N40" s="349"/>
      <c r="O40" s="349"/>
      <c r="P40" s="349"/>
      <c r="Q40" s="349"/>
      <c r="R40" s="349"/>
      <c r="S40" s="141"/>
      <c r="T40" s="141"/>
      <c r="U40" s="141"/>
    </row>
    <row r="41">
      <c r="A41" s="51" t="s">
        <v>409</v>
      </c>
      <c r="B41" s="51" t="s">
        <v>456</v>
      </c>
      <c r="C41" s="113" t="s">
        <v>24</v>
      </c>
      <c r="D41" s="51" t="s">
        <v>418</v>
      </c>
      <c r="E41" s="51" t="s">
        <v>456</v>
      </c>
      <c r="F41" s="113" t="s">
        <v>24</v>
      </c>
      <c r="G41" s="51"/>
      <c r="H41" s="445"/>
      <c r="I41" s="141"/>
      <c r="J41" s="51" t="s">
        <v>418</v>
      </c>
      <c r="K41" s="349"/>
      <c r="L41" s="349"/>
      <c r="M41" s="51" t="s">
        <v>409</v>
      </c>
      <c r="N41" s="442" t="s">
        <v>457</v>
      </c>
      <c r="O41" s="391" t="s">
        <v>296</v>
      </c>
      <c r="P41" s="51" t="s">
        <v>418</v>
      </c>
      <c r="Q41" s="51" t="s">
        <v>456</v>
      </c>
      <c r="R41" s="113" t="s">
        <v>24</v>
      </c>
      <c r="S41" s="218" t="s">
        <v>13</v>
      </c>
      <c r="T41" s="13"/>
      <c r="U41" s="14"/>
    </row>
    <row r="42">
      <c r="A42" s="389"/>
      <c r="B42" s="389"/>
      <c r="C42" s="389"/>
      <c r="D42" s="72"/>
      <c r="E42" s="72"/>
      <c r="F42" s="72"/>
      <c r="G42" s="51"/>
      <c r="H42" s="51"/>
      <c r="I42" s="141"/>
      <c r="J42" s="349"/>
      <c r="K42" s="51" t="s">
        <v>458</v>
      </c>
      <c r="L42" s="113" t="s">
        <v>24</v>
      </c>
      <c r="M42" s="51"/>
      <c r="N42" s="48"/>
      <c r="O42" s="392" t="s">
        <v>48</v>
      </c>
      <c r="P42" s="389"/>
      <c r="Q42" s="389"/>
      <c r="R42" s="389"/>
      <c r="S42" s="209"/>
      <c r="T42" s="209"/>
      <c r="U42" s="209"/>
    </row>
    <row r="43">
      <c r="A43" s="349"/>
      <c r="B43" s="349"/>
      <c r="C43" s="349"/>
      <c r="D43" s="72"/>
      <c r="E43" s="72"/>
      <c r="F43" s="72"/>
      <c r="G43" s="203"/>
      <c r="H43" s="203"/>
      <c r="I43" s="203"/>
      <c r="J43" s="349"/>
      <c r="K43" s="349"/>
      <c r="L43" s="391" t="s">
        <v>296</v>
      </c>
      <c r="M43" s="51" t="s">
        <v>418</v>
      </c>
      <c r="N43" s="51" t="s">
        <v>404</v>
      </c>
      <c r="O43" s="392" t="s">
        <v>48</v>
      </c>
      <c r="P43" s="349"/>
      <c r="Q43" s="349"/>
      <c r="R43" s="349"/>
      <c r="S43" s="209"/>
      <c r="T43" s="209"/>
      <c r="U43" s="209"/>
    </row>
    <row r="44">
      <c r="A44" s="363"/>
      <c r="B44" s="363"/>
      <c r="C44" s="363"/>
      <c r="D44" s="154"/>
      <c r="E44" s="154"/>
      <c r="F44" s="154"/>
      <c r="G44" s="203"/>
      <c r="H44" s="203"/>
      <c r="I44" s="251"/>
      <c r="J44" s="363"/>
      <c r="K44" s="363"/>
      <c r="L44" s="363"/>
      <c r="M44" s="363"/>
      <c r="N44" s="363"/>
      <c r="O44" s="363"/>
      <c r="P44" s="363"/>
      <c r="Q44" s="363"/>
      <c r="R44" s="363"/>
      <c r="S44" s="349"/>
      <c r="T44" s="349"/>
      <c r="U44" s="349"/>
    </row>
    <row r="45">
      <c r="A45" s="27" t="s">
        <v>6</v>
      </c>
      <c r="B45" s="13"/>
      <c r="C45" s="14"/>
      <c r="D45" s="27" t="s">
        <v>7</v>
      </c>
      <c r="E45" s="13"/>
      <c r="F45" s="14"/>
      <c r="G45" s="27" t="s">
        <v>8</v>
      </c>
      <c r="H45" s="13"/>
      <c r="I45" s="14"/>
      <c r="J45" s="27" t="s">
        <v>9</v>
      </c>
      <c r="K45" s="13"/>
      <c r="L45" s="14"/>
      <c r="M45" s="27" t="s">
        <v>10</v>
      </c>
      <c r="N45" s="13"/>
      <c r="O45" s="14"/>
      <c r="P45" s="27" t="s">
        <v>11</v>
      </c>
      <c r="Q45" s="13"/>
      <c r="R45" s="14"/>
      <c r="S45" s="29" t="s">
        <v>12</v>
      </c>
      <c r="T45" s="13"/>
      <c r="U45" s="14"/>
    </row>
    <row r="46">
      <c r="A46" s="57">
        <f>S38+1</f>
        <v>46111</v>
      </c>
      <c r="B46" s="13"/>
      <c r="C46" s="14"/>
      <c r="D46" s="57">
        <f>A46+1</f>
        <v>46112</v>
      </c>
      <c r="E46" s="13"/>
      <c r="F46" s="14"/>
      <c r="G46" s="57">
        <f>D46+1</f>
        <v>46113</v>
      </c>
      <c r="H46" s="13"/>
      <c r="I46" s="14"/>
      <c r="J46" s="57">
        <f>G46+1</f>
        <v>46114</v>
      </c>
      <c r="K46" s="13"/>
      <c r="L46" s="14"/>
      <c r="M46" s="57">
        <f>J46+1</f>
        <v>46115</v>
      </c>
      <c r="N46" s="13"/>
      <c r="O46" s="14"/>
      <c r="P46" s="57">
        <f>M46+1</f>
        <v>46116</v>
      </c>
      <c r="Q46" s="13"/>
      <c r="R46" s="14"/>
      <c r="S46" s="58">
        <f>P46+1</f>
        <v>46117</v>
      </c>
      <c r="T46" s="13"/>
      <c r="U46" s="14"/>
    </row>
    <row r="47">
      <c r="A47" s="209"/>
      <c r="B47" s="209"/>
      <c r="C47" s="209"/>
      <c r="D47" s="154"/>
      <c r="E47" s="154"/>
      <c r="F47" s="154"/>
      <c r="G47" s="361"/>
      <c r="H47" s="362"/>
      <c r="I47" s="362"/>
      <c r="J47" s="363"/>
      <c r="K47" s="363"/>
      <c r="L47" s="363"/>
      <c r="M47" s="349"/>
      <c r="N47" s="349"/>
      <c r="O47" s="349"/>
      <c r="P47" s="349"/>
      <c r="Q47" s="349"/>
      <c r="R47" s="349"/>
      <c r="S47" s="363"/>
      <c r="T47" s="363"/>
      <c r="U47" s="363"/>
    </row>
    <row r="48">
      <c r="A48" s="154"/>
      <c r="B48" s="154"/>
      <c r="C48" s="154"/>
      <c r="D48" s="205"/>
      <c r="E48" s="205"/>
      <c r="F48" s="205"/>
      <c r="G48" s="349"/>
      <c r="H48" s="349"/>
      <c r="I48" s="349"/>
      <c r="J48" s="363"/>
      <c r="K48" s="363"/>
      <c r="L48" s="363"/>
      <c r="M48" s="364"/>
      <c r="N48" s="364"/>
      <c r="O48" s="364"/>
      <c r="P48" s="349"/>
      <c r="Q48" s="349"/>
      <c r="R48" s="349"/>
      <c r="S48" s="349"/>
      <c r="T48" s="349"/>
      <c r="U48" s="349"/>
    </row>
    <row r="49">
      <c r="A49" s="51" t="s">
        <v>409</v>
      </c>
      <c r="B49" s="51" t="s">
        <v>456</v>
      </c>
      <c r="C49" s="113" t="s">
        <v>24</v>
      </c>
      <c r="D49" s="51" t="s">
        <v>418</v>
      </c>
      <c r="E49" s="51" t="s">
        <v>456</v>
      </c>
      <c r="F49" s="113" t="s">
        <v>24</v>
      </c>
      <c r="G49" s="349"/>
      <c r="H49" s="349"/>
      <c r="I49" s="349"/>
      <c r="J49" s="349"/>
      <c r="K49" s="349"/>
      <c r="L49" s="349"/>
      <c r="M49" s="349"/>
      <c r="N49" s="349"/>
      <c r="O49" s="349"/>
      <c r="P49" s="349"/>
      <c r="Q49" s="349"/>
      <c r="R49" s="349"/>
      <c r="S49" s="349"/>
      <c r="T49" s="349"/>
      <c r="U49" s="349"/>
    </row>
    <row r="50">
      <c r="A50" s="349"/>
      <c r="B50" s="349"/>
      <c r="C50" s="349"/>
      <c r="D50" s="349"/>
      <c r="E50" s="349"/>
      <c r="F50" s="441"/>
      <c r="G50" s="349"/>
      <c r="H50" s="349"/>
      <c r="I50" s="349"/>
      <c r="J50" s="349"/>
      <c r="K50" s="349"/>
      <c r="L50" s="349"/>
      <c r="M50" s="349"/>
      <c r="N50" s="349"/>
      <c r="O50" s="349"/>
      <c r="P50" s="349"/>
      <c r="Q50" s="349"/>
      <c r="R50" s="349"/>
      <c r="S50" s="363"/>
      <c r="T50" s="363"/>
      <c r="U50" s="363"/>
    </row>
    <row r="51">
      <c r="A51" s="209"/>
      <c r="B51" s="209"/>
      <c r="C51" s="209"/>
      <c r="D51" s="203"/>
      <c r="E51" s="203"/>
      <c r="F51" s="203"/>
      <c r="G51" s="349"/>
      <c r="H51" s="349"/>
      <c r="I51" s="363"/>
      <c r="J51" s="349"/>
      <c r="K51" s="349"/>
      <c r="L51" s="349"/>
      <c r="M51" s="349"/>
      <c r="N51" s="349"/>
      <c r="O51" s="349"/>
      <c r="P51" s="349"/>
      <c r="Q51" s="349"/>
      <c r="R51" s="349"/>
      <c r="S51" s="349"/>
      <c r="T51" s="349"/>
      <c r="U51" s="349"/>
    </row>
    <row r="52">
      <c r="A52" s="363"/>
      <c r="B52" s="363"/>
      <c r="C52" s="363"/>
      <c r="D52" s="349"/>
      <c r="E52" s="349"/>
      <c r="F52" s="349"/>
      <c r="G52" s="363"/>
      <c r="H52" s="363"/>
      <c r="I52" s="363"/>
      <c r="J52" s="349"/>
      <c r="K52" s="349"/>
      <c r="L52" s="349"/>
      <c r="M52" s="363"/>
      <c r="N52" s="363"/>
      <c r="O52" s="363"/>
      <c r="P52" s="349"/>
      <c r="Q52" s="349"/>
      <c r="R52" s="349"/>
      <c r="S52" s="363"/>
      <c r="T52" s="363"/>
      <c r="U52" s="363"/>
    </row>
    <row r="53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</row>
    <row r="63">
      <c r="L63" s="102" t="s">
        <v>50</v>
      </c>
    </row>
  </sheetData>
  <mergeCells count="102"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S8:U8"/>
    <mergeCell ref="S17:U17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21:C21"/>
    <mergeCell ref="D21:F21"/>
    <mergeCell ref="G21:I21"/>
    <mergeCell ref="J21:L21"/>
    <mergeCell ref="M21:O21"/>
    <mergeCell ref="P21:R21"/>
    <mergeCell ref="S21:U21"/>
    <mergeCell ref="A37:C37"/>
    <mergeCell ref="A38:C38"/>
    <mergeCell ref="D38:F38"/>
    <mergeCell ref="G38:I38"/>
    <mergeCell ref="J38:L38"/>
    <mergeCell ref="M38:O38"/>
    <mergeCell ref="P38:R38"/>
    <mergeCell ref="S38:U38"/>
    <mergeCell ref="M37:O37"/>
    <mergeCell ref="P37:R37"/>
    <mergeCell ref="N41:N42"/>
    <mergeCell ref="S41:U41"/>
    <mergeCell ref="A45:C45"/>
    <mergeCell ref="D45:F45"/>
    <mergeCell ref="G45:I45"/>
    <mergeCell ref="S22:U22"/>
    <mergeCell ref="S24:U24"/>
    <mergeCell ref="A22:C22"/>
    <mergeCell ref="D22:F22"/>
    <mergeCell ref="G22:I22"/>
    <mergeCell ref="J22:L22"/>
    <mergeCell ref="M22:O22"/>
    <mergeCell ref="P22:R22"/>
    <mergeCell ref="H24:H25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J30:L30"/>
    <mergeCell ref="M30:O30"/>
    <mergeCell ref="P30:R30"/>
    <mergeCell ref="S30:U30"/>
    <mergeCell ref="M33:O33"/>
    <mergeCell ref="P33:R33"/>
    <mergeCell ref="S33:U33"/>
    <mergeCell ref="D37:F37"/>
    <mergeCell ref="G37:I37"/>
    <mergeCell ref="J37:L37"/>
    <mergeCell ref="S37:U37"/>
    <mergeCell ref="J45:L45"/>
    <mergeCell ref="M45:O45"/>
    <mergeCell ref="A46:C46"/>
    <mergeCell ref="D46:F46"/>
    <mergeCell ref="G46:I46"/>
    <mergeCell ref="J46:L46"/>
    <mergeCell ref="M46:O46"/>
    <mergeCell ref="P45:R45"/>
    <mergeCell ref="S45:U45"/>
    <mergeCell ref="P46:R46"/>
    <mergeCell ref="S46:U4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29"/>
    <col customWidth="1" min="3" max="3" width="6.86"/>
    <col customWidth="1" min="4" max="4" width="18.0"/>
    <col customWidth="1" min="5" max="5" width="11.43"/>
    <col customWidth="1" min="6" max="6" width="7.0"/>
    <col customWidth="1" min="7" max="7" width="16.43"/>
    <col customWidth="1" min="9" max="9" width="7.57"/>
    <col customWidth="1" min="10" max="10" width="25.43"/>
    <col customWidth="1" min="11" max="11" width="11.43"/>
    <col customWidth="1" min="12" max="12" width="9.14"/>
    <col customWidth="1" min="13" max="13" width="18.57"/>
    <col customWidth="1" min="15" max="15" width="8.0"/>
    <col customWidth="1" min="16" max="16" width="16.0"/>
    <col customWidth="1" min="17" max="17" width="11.43"/>
    <col customWidth="1" min="18" max="18" width="9.0"/>
    <col customWidth="1" min="21" max="21" width="7.86"/>
    <col customWidth="1" min="22" max="22" width="6.71"/>
  </cols>
  <sheetData>
    <row r="1">
      <c r="A1" s="91" t="s">
        <v>141</v>
      </c>
      <c r="C1" s="410" t="s">
        <v>460</v>
      </c>
      <c r="F1" s="345"/>
      <c r="G1" s="4" t="s">
        <v>1</v>
      </c>
      <c r="Q1" s="345"/>
      <c r="R1" s="345"/>
      <c r="S1" s="345"/>
      <c r="T1" s="345"/>
      <c r="U1" s="345"/>
    </row>
    <row r="2">
      <c r="A2" s="91" t="s">
        <v>2</v>
      </c>
      <c r="C2" s="344" t="s">
        <v>82</v>
      </c>
      <c r="F2" s="345"/>
      <c r="Q2" s="345"/>
      <c r="R2" s="345"/>
      <c r="S2" s="345"/>
      <c r="T2" s="345"/>
      <c r="U2" s="345"/>
    </row>
    <row r="3">
      <c r="A3" s="91" t="s">
        <v>4</v>
      </c>
      <c r="C3" s="347"/>
      <c r="F3" s="345"/>
      <c r="Q3" s="345"/>
      <c r="R3" s="345"/>
      <c r="S3" s="345"/>
      <c r="T3" s="345"/>
      <c r="U3" s="345"/>
    </row>
    <row r="4">
      <c r="A4" s="91" t="s">
        <v>5</v>
      </c>
      <c r="C4" s="348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</row>
    <row r="5">
      <c r="A5" s="12" t="s">
        <v>6</v>
      </c>
      <c r="B5" s="13"/>
      <c r="C5" s="14"/>
      <c r="D5" s="12" t="s">
        <v>7</v>
      </c>
      <c r="E5" s="13"/>
      <c r="F5" s="14"/>
      <c r="G5" s="12" t="s">
        <v>8</v>
      </c>
      <c r="H5" s="13"/>
      <c r="I5" s="14"/>
      <c r="J5" s="12" t="s">
        <v>9</v>
      </c>
      <c r="K5" s="13"/>
      <c r="L5" s="14"/>
      <c r="M5" s="12" t="s">
        <v>10</v>
      </c>
      <c r="N5" s="13"/>
      <c r="O5" s="14"/>
      <c r="P5" s="12" t="s">
        <v>11</v>
      </c>
      <c r="Q5" s="13"/>
      <c r="R5" s="14"/>
      <c r="S5" s="15" t="s">
        <v>12</v>
      </c>
      <c r="T5" s="13"/>
      <c r="U5" s="14"/>
      <c r="W5" s="280" t="s">
        <v>14</v>
      </c>
      <c r="X5" s="280" t="s">
        <v>144</v>
      </c>
      <c r="Y5" s="280" t="s">
        <v>16</v>
      </c>
    </row>
    <row r="6">
      <c r="A6" s="184"/>
      <c r="B6" s="13"/>
      <c r="C6" s="14"/>
      <c r="D6" s="16"/>
      <c r="E6" s="13"/>
      <c r="F6" s="14"/>
      <c r="G6" s="16"/>
      <c r="H6" s="13"/>
      <c r="I6" s="14"/>
      <c r="J6" s="16"/>
      <c r="K6" s="13"/>
      <c r="L6" s="14"/>
      <c r="M6" s="16"/>
      <c r="N6" s="13"/>
      <c r="O6" s="14"/>
      <c r="P6" s="16"/>
      <c r="Q6" s="13"/>
      <c r="R6" s="14"/>
      <c r="S6" s="17">
        <v>46082.0</v>
      </c>
      <c r="T6" s="13"/>
      <c r="U6" s="14"/>
      <c r="W6" s="280">
        <v>1.0</v>
      </c>
      <c r="X6" s="148"/>
      <c r="Y6" s="188"/>
    </row>
    <row r="7">
      <c r="A7" s="349"/>
      <c r="B7" s="349"/>
      <c r="C7" s="349"/>
      <c r="D7" s="72"/>
      <c r="E7" s="72"/>
      <c r="F7" s="72"/>
      <c r="G7" s="203"/>
      <c r="H7" s="203"/>
      <c r="I7" s="208"/>
      <c r="J7" s="349"/>
      <c r="K7" s="349"/>
      <c r="L7" s="349"/>
      <c r="M7" s="349"/>
      <c r="N7" s="349"/>
      <c r="O7" s="349"/>
      <c r="P7" s="349"/>
      <c r="Q7" s="349"/>
      <c r="R7" s="349"/>
      <c r="S7" s="349"/>
      <c r="T7" s="349"/>
      <c r="U7" s="349"/>
      <c r="W7" s="280">
        <v>2.0</v>
      </c>
      <c r="X7" s="51" t="s">
        <v>416</v>
      </c>
      <c r="Y7" s="188">
        <f t="shared" ref="Y7:Y9" si="1">COUNTIF($A$5:$U$51,X7)</f>
        <v>12</v>
      </c>
    </row>
    <row r="8">
      <c r="A8" s="349"/>
      <c r="B8" s="349"/>
      <c r="C8" s="349"/>
      <c r="D8" s="72"/>
      <c r="E8" s="72"/>
      <c r="F8" s="72"/>
      <c r="G8" s="203"/>
      <c r="H8" s="203"/>
      <c r="I8" s="208"/>
      <c r="J8" s="349"/>
      <c r="K8" s="349"/>
      <c r="L8" s="349"/>
      <c r="M8" s="349"/>
      <c r="N8" s="349"/>
      <c r="O8" s="349"/>
      <c r="P8" s="349"/>
      <c r="Q8" s="349"/>
      <c r="R8" s="349"/>
      <c r="S8" s="218" t="s">
        <v>13</v>
      </c>
      <c r="T8" s="13"/>
      <c r="U8" s="14"/>
      <c r="W8" s="280">
        <v>3.0</v>
      </c>
      <c r="X8" s="51" t="s">
        <v>417</v>
      </c>
      <c r="Y8" s="188">
        <f t="shared" si="1"/>
        <v>11</v>
      </c>
    </row>
    <row r="9">
      <c r="A9" s="51"/>
      <c r="B9" s="51"/>
      <c r="C9" s="208"/>
      <c r="D9" s="51"/>
      <c r="E9" s="51"/>
      <c r="F9" s="208"/>
      <c r="G9" s="51"/>
      <c r="H9" s="51"/>
      <c r="I9" s="208"/>
      <c r="J9" s="411"/>
      <c r="K9" s="13"/>
      <c r="L9" s="14"/>
      <c r="M9" s="51"/>
      <c r="N9" s="51"/>
      <c r="O9" s="115"/>
      <c r="P9" s="51"/>
      <c r="Q9" s="51"/>
      <c r="R9" s="115"/>
      <c r="S9" s="141"/>
      <c r="T9" s="141"/>
      <c r="U9" s="141"/>
      <c r="W9" s="280">
        <v>4.0</v>
      </c>
      <c r="X9" s="351"/>
      <c r="Y9" s="188">
        <f t="shared" si="1"/>
        <v>0</v>
      </c>
    </row>
    <row r="10">
      <c r="A10" s="349"/>
      <c r="B10" s="349"/>
      <c r="C10" s="349"/>
      <c r="D10" s="72"/>
      <c r="E10" s="72"/>
      <c r="F10" s="72"/>
      <c r="G10" s="207"/>
      <c r="H10" s="205"/>
      <c r="I10" s="205"/>
      <c r="J10" s="349"/>
      <c r="K10" s="349"/>
      <c r="L10" s="349"/>
      <c r="M10" s="349"/>
      <c r="N10" s="349"/>
      <c r="O10" s="349"/>
      <c r="P10" s="349"/>
      <c r="Q10" s="349"/>
      <c r="R10" s="349"/>
      <c r="S10" s="209"/>
      <c r="T10" s="209"/>
      <c r="U10" s="209"/>
      <c r="X10" s="446"/>
      <c r="Y10" s="345"/>
      <c r="Z10" s="447"/>
    </row>
    <row r="11">
      <c r="A11" s="27" t="s">
        <v>6</v>
      </c>
      <c r="B11" s="13"/>
      <c r="C11" s="14"/>
      <c r="D11" s="27" t="s">
        <v>7</v>
      </c>
      <c r="E11" s="13"/>
      <c r="F11" s="14"/>
      <c r="G11" s="27" t="s">
        <v>8</v>
      </c>
      <c r="H11" s="13"/>
      <c r="I11" s="14"/>
      <c r="J11" s="27" t="s">
        <v>9</v>
      </c>
      <c r="K11" s="13"/>
      <c r="L11" s="14"/>
      <c r="M11" s="27" t="s">
        <v>10</v>
      </c>
      <c r="N11" s="13"/>
      <c r="O11" s="14"/>
      <c r="P11" s="27" t="s">
        <v>11</v>
      </c>
      <c r="Q11" s="13"/>
      <c r="R11" s="14"/>
      <c r="S11" s="29" t="s">
        <v>12</v>
      </c>
      <c r="T11" s="13"/>
      <c r="U11" s="14"/>
      <c r="X11" s="446"/>
      <c r="Y11" s="93"/>
      <c r="Z11" s="447"/>
    </row>
    <row r="12">
      <c r="A12" s="30">
        <f>S6+1</f>
        <v>46083</v>
      </c>
      <c r="B12" s="13"/>
      <c r="C12" s="14"/>
      <c r="D12" s="30">
        <f>A12+1</f>
        <v>46084</v>
      </c>
      <c r="E12" s="13"/>
      <c r="F12" s="14"/>
      <c r="G12" s="30">
        <f>D12+1</f>
        <v>46085</v>
      </c>
      <c r="H12" s="13"/>
      <c r="I12" s="14"/>
      <c r="J12" s="30">
        <f>G12+1</f>
        <v>46086</v>
      </c>
      <c r="K12" s="13"/>
      <c r="L12" s="14"/>
      <c r="M12" s="30">
        <f>J12+1</f>
        <v>46087</v>
      </c>
      <c r="N12" s="13"/>
      <c r="O12" s="14"/>
      <c r="P12" s="30">
        <f>M12+1</f>
        <v>46088</v>
      </c>
      <c r="Q12" s="13"/>
      <c r="R12" s="14"/>
      <c r="S12" s="31">
        <f>P12+1</f>
        <v>46089</v>
      </c>
      <c r="T12" s="13"/>
      <c r="U12" s="14"/>
      <c r="X12" s="446"/>
      <c r="Y12" s="448"/>
      <c r="Z12" s="447"/>
    </row>
    <row r="13">
      <c r="A13" s="349"/>
      <c r="B13" s="349"/>
      <c r="C13" s="349"/>
      <c r="D13" s="72"/>
      <c r="E13" s="72"/>
      <c r="F13" s="72"/>
      <c r="G13" s="203"/>
      <c r="H13" s="203"/>
      <c r="I13" s="208"/>
      <c r="J13" s="349"/>
      <c r="K13" s="349"/>
      <c r="L13" s="349"/>
      <c r="M13" s="349"/>
      <c r="N13" s="349"/>
      <c r="O13" s="349"/>
      <c r="P13" s="349"/>
      <c r="Q13" s="349"/>
      <c r="R13" s="349"/>
      <c r="S13" s="349"/>
      <c r="T13" s="349"/>
      <c r="U13" s="349"/>
      <c r="X13" s="446"/>
      <c r="Y13" s="449"/>
      <c r="Z13" s="447"/>
    </row>
    <row r="14">
      <c r="A14" s="349"/>
      <c r="B14" s="349"/>
      <c r="C14" s="349"/>
      <c r="D14" s="72"/>
      <c r="E14" s="72"/>
      <c r="F14" s="72"/>
      <c r="G14" s="203"/>
      <c r="H14" s="203"/>
      <c r="I14" s="208"/>
      <c r="J14" s="349"/>
      <c r="K14" s="349"/>
      <c r="L14" s="349"/>
      <c r="M14" s="349"/>
      <c r="N14" s="349"/>
      <c r="O14" s="349"/>
      <c r="P14" s="349"/>
      <c r="Q14" s="349"/>
      <c r="R14" s="349"/>
      <c r="S14" s="141"/>
      <c r="T14" s="141"/>
      <c r="U14" s="141"/>
      <c r="X14" s="446"/>
      <c r="Y14" s="345"/>
      <c r="Z14" s="447"/>
    </row>
    <row r="15">
      <c r="A15" s="51" t="s">
        <v>417</v>
      </c>
      <c r="B15" s="51" t="s">
        <v>431</v>
      </c>
      <c r="C15" s="208" t="s">
        <v>24</v>
      </c>
      <c r="D15" s="51" t="s">
        <v>416</v>
      </c>
      <c r="E15" s="51" t="s">
        <v>431</v>
      </c>
      <c r="F15" s="208" t="s">
        <v>24</v>
      </c>
      <c r="G15" s="51" t="s">
        <v>417</v>
      </c>
      <c r="H15" s="51" t="s">
        <v>457</v>
      </c>
      <c r="I15" s="208" t="s">
        <v>24</v>
      </c>
      <c r="J15" s="51" t="s">
        <v>416</v>
      </c>
      <c r="K15" s="51" t="s">
        <v>457</v>
      </c>
      <c r="L15" s="208" t="s">
        <v>24</v>
      </c>
      <c r="M15" s="51" t="s">
        <v>417</v>
      </c>
      <c r="N15" s="51" t="s">
        <v>431</v>
      </c>
      <c r="O15" s="208" t="s">
        <v>24</v>
      </c>
      <c r="P15" s="51" t="s">
        <v>416</v>
      </c>
      <c r="Q15" s="51" t="s">
        <v>431</v>
      </c>
      <c r="R15" s="208" t="s">
        <v>24</v>
      </c>
      <c r="S15" s="218" t="s">
        <v>13</v>
      </c>
      <c r="T15" s="13"/>
      <c r="U15" s="14"/>
      <c r="X15" s="446"/>
      <c r="Y15" s="449"/>
      <c r="Z15" s="447"/>
    </row>
    <row r="16">
      <c r="A16" s="349"/>
      <c r="B16" s="349"/>
      <c r="C16" s="349"/>
      <c r="D16" s="72"/>
      <c r="E16" s="72"/>
      <c r="F16" s="72"/>
      <c r="G16" s="207"/>
      <c r="H16" s="205"/>
      <c r="I16" s="450" t="s">
        <v>296</v>
      </c>
      <c r="J16" s="349"/>
      <c r="K16" s="349"/>
      <c r="L16" s="450" t="s">
        <v>296</v>
      </c>
      <c r="M16" s="451"/>
      <c r="N16" s="452"/>
      <c r="O16" s="453"/>
      <c r="P16" s="349"/>
      <c r="Q16" s="349"/>
      <c r="R16" s="349"/>
      <c r="S16" s="209"/>
      <c r="T16" s="209"/>
      <c r="U16" s="209"/>
      <c r="X16" s="446"/>
      <c r="Y16" s="454"/>
      <c r="Z16" s="447"/>
    </row>
    <row r="17">
      <c r="A17" s="12" t="s">
        <v>6</v>
      </c>
      <c r="B17" s="13"/>
      <c r="C17" s="14"/>
      <c r="D17" s="12" t="s">
        <v>7</v>
      </c>
      <c r="E17" s="13"/>
      <c r="F17" s="14"/>
      <c r="G17" s="12" t="s">
        <v>8</v>
      </c>
      <c r="H17" s="13"/>
      <c r="I17" s="14"/>
      <c r="J17" s="12" t="s">
        <v>9</v>
      </c>
      <c r="K17" s="13"/>
      <c r="L17" s="14"/>
      <c r="M17" s="12" t="s">
        <v>10</v>
      </c>
      <c r="N17" s="13"/>
      <c r="O17" s="14"/>
      <c r="P17" s="12" t="s">
        <v>11</v>
      </c>
      <c r="Q17" s="13"/>
      <c r="R17" s="14"/>
      <c r="S17" s="15" t="s">
        <v>12</v>
      </c>
      <c r="T17" s="13"/>
      <c r="U17" s="14"/>
      <c r="X17" s="446"/>
      <c r="Y17" s="455"/>
      <c r="Z17" s="447"/>
    </row>
    <row r="18">
      <c r="A18" s="16">
        <f>S12+1</f>
        <v>46090</v>
      </c>
      <c r="B18" s="13"/>
      <c r="C18" s="14"/>
      <c r="D18" s="16">
        <f>A18+1</f>
        <v>46091</v>
      </c>
      <c r="E18" s="13"/>
      <c r="F18" s="14"/>
      <c r="G18" s="16">
        <f>D18+1</f>
        <v>46092</v>
      </c>
      <c r="H18" s="13"/>
      <c r="I18" s="14"/>
      <c r="J18" s="16">
        <f>G18+1</f>
        <v>46093</v>
      </c>
      <c r="K18" s="13"/>
      <c r="L18" s="14"/>
      <c r="M18" s="16">
        <f>J18+1</f>
        <v>46094</v>
      </c>
      <c r="N18" s="13"/>
      <c r="O18" s="14"/>
      <c r="P18" s="16">
        <f>M18+1</f>
        <v>46095</v>
      </c>
      <c r="Q18" s="13"/>
      <c r="R18" s="14"/>
      <c r="S18" s="184">
        <f>P18+1</f>
        <v>46096</v>
      </c>
      <c r="T18" s="13"/>
      <c r="U18" s="14"/>
      <c r="X18" s="446"/>
      <c r="Y18" s="456"/>
      <c r="Z18" s="447"/>
    </row>
    <row r="19">
      <c r="A19" s="349"/>
      <c r="B19" s="349"/>
      <c r="C19" s="349"/>
      <c r="D19" s="72"/>
      <c r="E19" s="72"/>
      <c r="F19" s="72"/>
      <c r="G19" s="203"/>
      <c r="H19" s="203"/>
      <c r="I19" s="208"/>
      <c r="J19" s="349"/>
      <c r="K19" s="349"/>
      <c r="L19" s="349"/>
      <c r="M19" s="349"/>
      <c r="N19" s="349"/>
      <c r="O19" s="349"/>
      <c r="P19" s="349"/>
      <c r="Q19" s="349"/>
      <c r="R19" s="349"/>
      <c r="S19" s="349"/>
      <c r="T19" s="349"/>
      <c r="U19" s="349"/>
      <c r="X19" s="446"/>
      <c r="Y19" s="93"/>
      <c r="Z19" s="447"/>
    </row>
    <row r="20">
      <c r="A20" s="349"/>
      <c r="B20" s="349"/>
      <c r="C20" s="349"/>
      <c r="D20" s="72"/>
      <c r="E20" s="72"/>
      <c r="F20" s="72"/>
      <c r="G20" s="203"/>
      <c r="H20" s="203"/>
      <c r="I20" s="208"/>
      <c r="J20" s="349"/>
      <c r="K20" s="349"/>
      <c r="L20" s="349"/>
      <c r="M20" s="349"/>
      <c r="N20" s="349"/>
      <c r="O20" s="349"/>
      <c r="P20" s="349"/>
      <c r="Q20" s="349"/>
      <c r="R20" s="349"/>
      <c r="S20" s="141"/>
      <c r="T20" s="141"/>
      <c r="U20" s="141"/>
      <c r="X20" s="446"/>
      <c r="Y20" s="456"/>
      <c r="Z20" s="447"/>
    </row>
    <row r="21">
      <c r="A21" s="51" t="s">
        <v>417</v>
      </c>
      <c r="B21" s="51" t="s">
        <v>431</v>
      </c>
      <c r="C21" s="208" t="s">
        <v>24</v>
      </c>
      <c r="D21" s="51" t="s">
        <v>416</v>
      </c>
      <c r="E21" s="51" t="s">
        <v>431</v>
      </c>
      <c r="F21" s="208" t="s">
        <v>24</v>
      </c>
      <c r="G21" s="457" t="s">
        <v>461</v>
      </c>
      <c r="H21" s="13"/>
      <c r="I21" s="14"/>
      <c r="J21" s="51" t="s">
        <v>416</v>
      </c>
      <c r="K21" s="51" t="s">
        <v>457</v>
      </c>
      <c r="L21" s="394" t="s">
        <v>48</v>
      </c>
      <c r="M21" s="51" t="s">
        <v>417</v>
      </c>
      <c r="N21" s="51" t="s">
        <v>457</v>
      </c>
      <c r="O21" s="392" t="s">
        <v>48</v>
      </c>
      <c r="P21" s="51" t="s">
        <v>416</v>
      </c>
      <c r="Q21" s="51" t="s">
        <v>431</v>
      </c>
      <c r="R21" s="208" t="s">
        <v>24</v>
      </c>
      <c r="S21" s="218" t="s">
        <v>13</v>
      </c>
      <c r="T21" s="13"/>
      <c r="U21" s="14"/>
      <c r="X21" s="446"/>
      <c r="Y21" s="456"/>
      <c r="Z21" s="447"/>
    </row>
    <row r="22">
      <c r="A22" s="349"/>
      <c r="B22" s="349"/>
      <c r="C22" s="349"/>
      <c r="D22" s="72"/>
      <c r="E22" s="72"/>
      <c r="F22" s="72"/>
      <c r="G22" s="207"/>
      <c r="H22" s="205"/>
      <c r="I22" s="458"/>
      <c r="J22" s="51"/>
      <c r="K22" s="51"/>
      <c r="L22" s="450" t="s">
        <v>296</v>
      </c>
      <c r="M22" s="207"/>
      <c r="N22" s="205"/>
      <c r="O22" s="450" t="s">
        <v>296</v>
      </c>
      <c r="P22" s="349"/>
      <c r="Q22" s="349"/>
      <c r="R22" s="349"/>
      <c r="S22" s="209"/>
      <c r="T22" s="209"/>
      <c r="U22" s="209"/>
      <c r="X22" s="446"/>
      <c r="Y22" s="456"/>
      <c r="Z22" s="447"/>
    </row>
    <row r="23">
      <c r="A23" s="27" t="s">
        <v>6</v>
      </c>
      <c r="B23" s="13"/>
      <c r="C23" s="14"/>
      <c r="D23" s="27" t="s">
        <v>7</v>
      </c>
      <c r="E23" s="13"/>
      <c r="F23" s="14"/>
      <c r="G23" s="27" t="s">
        <v>8</v>
      </c>
      <c r="H23" s="13"/>
      <c r="I23" s="14"/>
      <c r="J23" s="27" t="s">
        <v>9</v>
      </c>
      <c r="K23" s="13"/>
      <c r="L23" s="14"/>
      <c r="M23" s="29" t="s">
        <v>10</v>
      </c>
      <c r="N23" s="13"/>
      <c r="O23" s="14"/>
      <c r="P23" s="29" t="s">
        <v>11</v>
      </c>
      <c r="Q23" s="13"/>
      <c r="R23" s="14"/>
      <c r="S23" s="29" t="s">
        <v>12</v>
      </c>
      <c r="T23" s="13"/>
      <c r="U23" s="14"/>
      <c r="X23" s="446"/>
      <c r="Y23" s="98"/>
      <c r="Z23" s="447"/>
    </row>
    <row r="24">
      <c r="A24" s="57">
        <f>S18+1</f>
        <v>46097</v>
      </c>
      <c r="B24" s="13"/>
      <c r="C24" s="14"/>
      <c r="D24" s="57">
        <f>A24+1</f>
        <v>46098</v>
      </c>
      <c r="E24" s="13"/>
      <c r="F24" s="14"/>
      <c r="G24" s="57">
        <f>D24+1</f>
        <v>46099</v>
      </c>
      <c r="H24" s="13"/>
      <c r="I24" s="14"/>
      <c r="J24" s="57">
        <f>G24+1</f>
        <v>46100</v>
      </c>
      <c r="K24" s="13"/>
      <c r="L24" s="14"/>
      <c r="M24" s="58">
        <f>J24+1</f>
        <v>46101</v>
      </c>
      <c r="N24" s="13"/>
      <c r="O24" s="14"/>
      <c r="P24" s="58">
        <f>M24+1</f>
        <v>46102</v>
      </c>
      <c r="Q24" s="13"/>
      <c r="R24" s="14"/>
      <c r="S24" s="58">
        <f>P24+1</f>
        <v>46103</v>
      </c>
      <c r="T24" s="13"/>
      <c r="U24" s="14"/>
      <c r="X24" s="446"/>
      <c r="Y24" s="93"/>
      <c r="Z24" s="447"/>
    </row>
    <row r="25">
      <c r="A25" s="349"/>
      <c r="B25" s="349"/>
      <c r="C25" s="349"/>
      <c r="D25" s="72"/>
      <c r="E25" s="72"/>
      <c r="F25" s="72"/>
      <c r="G25" s="203"/>
      <c r="H25" s="203"/>
      <c r="I25" s="208"/>
      <c r="J25" s="349"/>
      <c r="K25" s="349"/>
      <c r="L25" s="349"/>
      <c r="M25" s="349"/>
      <c r="N25" s="349"/>
      <c r="O25" s="349"/>
      <c r="P25" s="349"/>
      <c r="Q25" s="349"/>
      <c r="R25" s="349"/>
      <c r="S25" s="349"/>
      <c r="T25" s="349"/>
      <c r="U25" s="349"/>
      <c r="X25" s="446"/>
      <c r="Y25" s="459"/>
      <c r="Z25" s="447"/>
    </row>
    <row r="26">
      <c r="A26" s="349"/>
      <c r="B26" s="349"/>
      <c r="C26" s="349"/>
      <c r="D26" s="72"/>
      <c r="E26" s="72"/>
      <c r="F26" s="72"/>
      <c r="G26" s="203"/>
      <c r="H26" s="203"/>
      <c r="I26" s="208"/>
      <c r="J26" s="349"/>
      <c r="K26" s="349"/>
      <c r="L26" s="349"/>
      <c r="M26" s="349"/>
      <c r="N26" s="349"/>
      <c r="O26" s="349"/>
      <c r="P26" s="349"/>
      <c r="Q26" s="349"/>
      <c r="R26" s="349"/>
      <c r="S26" s="51"/>
      <c r="T26" s="51"/>
      <c r="U26" s="208"/>
      <c r="X26" s="446"/>
      <c r="Y26" s="456"/>
      <c r="Z26" s="447"/>
    </row>
    <row r="27">
      <c r="A27" s="51" t="s">
        <v>417</v>
      </c>
      <c r="B27" s="51" t="s">
        <v>431</v>
      </c>
      <c r="C27" s="208" t="s">
        <v>24</v>
      </c>
      <c r="D27" s="51" t="s">
        <v>416</v>
      </c>
      <c r="E27" s="51" t="s">
        <v>431</v>
      </c>
      <c r="F27" s="208" t="s">
        <v>24</v>
      </c>
      <c r="G27" s="51" t="s">
        <v>417</v>
      </c>
      <c r="H27" s="51" t="s">
        <v>457</v>
      </c>
      <c r="I27" s="208" t="s">
        <v>24</v>
      </c>
      <c r="J27" s="218" t="s">
        <v>13</v>
      </c>
      <c r="K27" s="13"/>
      <c r="L27" s="14"/>
      <c r="M27" s="218" t="s">
        <v>13</v>
      </c>
      <c r="N27" s="13"/>
      <c r="O27" s="14"/>
      <c r="P27" s="218" t="s">
        <v>13</v>
      </c>
      <c r="Q27" s="13"/>
      <c r="R27" s="14"/>
      <c r="S27" s="51" t="s">
        <v>416</v>
      </c>
      <c r="T27" s="51" t="s">
        <v>457</v>
      </c>
      <c r="U27" s="208" t="s">
        <v>24</v>
      </c>
      <c r="X27" s="446"/>
      <c r="Y27" s="93"/>
      <c r="Z27" s="447"/>
    </row>
    <row r="28">
      <c r="A28" s="349"/>
      <c r="B28" s="349"/>
      <c r="C28" s="349"/>
      <c r="D28" s="51"/>
      <c r="E28" s="51"/>
      <c r="F28" s="208"/>
      <c r="G28" s="207"/>
      <c r="H28" s="205"/>
      <c r="I28" s="450" t="s">
        <v>296</v>
      </c>
      <c r="J28" s="349"/>
      <c r="K28" s="349"/>
      <c r="L28" s="458"/>
      <c r="M28" s="349"/>
      <c r="N28" s="349"/>
      <c r="O28" s="349"/>
      <c r="P28" s="349"/>
      <c r="Q28" s="349"/>
      <c r="R28" s="349"/>
      <c r="S28" s="349"/>
      <c r="T28" s="349"/>
      <c r="U28" s="450" t="s">
        <v>296</v>
      </c>
      <c r="X28" s="446"/>
      <c r="Y28" s="460"/>
      <c r="Z28" s="447"/>
    </row>
    <row r="29">
      <c r="A29" s="349"/>
      <c r="B29" s="349"/>
      <c r="C29" s="349"/>
      <c r="D29" s="72"/>
      <c r="E29" s="72"/>
      <c r="F29" s="72"/>
      <c r="G29" s="203"/>
      <c r="H29" s="203"/>
      <c r="I29" s="203"/>
      <c r="J29" s="349"/>
      <c r="K29" s="349"/>
      <c r="L29" s="349"/>
      <c r="M29" s="349"/>
      <c r="N29" s="349"/>
      <c r="O29" s="349"/>
      <c r="P29" s="349"/>
      <c r="Q29" s="349"/>
      <c r="R29" s="349"/>
      <c r="S29" s="209"/>
      <c r="T29" s="209"/>
      <c r="U29" s="209"/>
      <c r="X29" s="446"/>
      <c r="Y29" s="460"/>
      <c r="Z29" s="447"/>
    </row>
    <row r="30">
      <c r="A30" s="363"/>
      <c r="B30" s="363"/>
      <c r="C30" s="363"/>
      <c r="D30" s="154"/>
      <c r="E30" s="154"/>
      <c r="F30" s="154"/>
      <c r="G30" s="203"/>
      <c r="H30" s="203"/>
      <c r="I30" s="251"/>
      <c r="J30" s="363"/>
      <c r="K30" s="363"/>
      <c r="L30" s="363"/>
      <c r="M30" s="363"/>
      <c r="N30" s="363"/>
      <c r="O30" s="363"/>
      <c r="P30" s="363"/>
      <c r="Q30" s="363"/>
      <c r="R30" s="363"/>
      <c r="S30" s="349"/>
      <c r="T30" s="349"/>
      <c r="U30" s="349"/>
      <c r="X30" s="446"/>
      <c r="Y30" s="448"/>
      <c r="Z30" s="447"/>
    </row>
    <row r="31">
      <c r="A31" s="12" t="s">
        <v>6</v>
      </c>
      <c r="B31" s="13"/>
      <c r="C31" s="14"/>
      <c r="D31" s="12" t="s">
        <v>7</v>
      </c>
      <c r="E31" s="13"/>
      <c r="F31" s="14"/>
      <c r="G31" s="12" t="s">
        <v>8</v>
      </c>
      <c r="H31" s="13"/>
      <c r="I31" s="14"/>
      <c r="J31" s="12" t="s">
        <v>9</v>
      </c>
      <c r="K31" s="13"/>
      <c r="L31" s="14"/>
      <c r="M31" s="12" t="s">
        <v>10</v>
      </c>
      <c r="N31" s="13"/>
      <c r="O31" s="14"/>
      <c r="P31" s="12" t="s">
        <v>11</v>
      </c>
      <c r="Q31" s="13"/>
      <c r="R31" s="14"/>
      <c r="S31" s="29" t="s">
        <v>12</v>
      </c>
      <c r="T31" s="13"/>
      <c r="U31" s="14"/>
      <c r="X31" s="446"/>
      <c r="Y31" s="94"/>
      <c r="Z31" s="447"/>
    </row>
    <row r="32">
      <c r="A32" s="16">
        <f>S24+1</f>
        <v>46104</v>
      </c>
      <c r="B32" s="13"/>
      <c r="C32" s="14"/>
      <c r="D32" s="16">
        <f>A32+1</f>
        <v>46105</v>
      </c>
      <c r="E32" s="13"/>
      <c r="F32" s="14"/>
      <c r="G32" s="16">
        <f>D32+1</f>
        <v>46106</v>
      </c>
      <c r="H32" s="13"/>
      <c r="I32" s="14"/>
      <c r="J32" s="16">
        <f>G32+1</f>
        <v>46107</v>
      </c>
      <c r="K32" s="13"/>
      <c r="L32" s="14"/>
      <c r="M32" s="16">
        <f>J32+1</f>
        <v>46108</v>
      </c>
      <c r="N32" s="13"/>
      <c r="O32" s="14"/>
      <c r="P32" s="16">
        <f>M32+1</f>
        <v>46109</v>
      </c>
      <c r="Q32" s="13"/>
      <c r="R32" s="14"/>
      <c r="S32" s="16">
        <f>P32+1</f>
        <v>46110</v>
      </c>
      <c r="T32" s="13"/>
      <c r="U32" s="14"/>
      <c r="X32" s="446"/>
      <c r="Y32" s="93"/>
      <c r="Z32" s="447"/>
    </row>
    <row r="33">
      <c r="A33" s="349"/>
      <c r="B33" s="349"/>
      <c r="C33" s="349"/>
      <c r="D33" s="72"/>
      <c r="E33" s="72"/>
      <c r="F33" s="72"/>
      <c r="G33" s="203"/>
      <c r="H33" s="203"/>
      <c r="I33" s="208"/>
      <c r="J33" s="349"/>
      <c r="K33" s="349"/>
      <c r="L33" s="349"/>
      <c r="M33" s="349"/>
      <c r="N33" s="349"/>
      <c r="O33" s="349"/>
      <c r="P33" s="349"/>
      <c r="Q33" s="349"/>
      <c r="R33" s="349"/>
      <c r="S33" s="349"/>
      <c r="T33" s="349"/>
      <c r="U33" s="349"/>
      <c r="X33" s="446"/>
      <c r="Y33" s="448"/>
      <c r="Z33" s="447"/>
    </row>
    <row r="34">
      <c r="A34" s="349"/>
      <c r="B34" s="349"/>
      <c r="C34" s="349"/>
      <c r="D34" s="72"/>
      <c r="E34" s="72"/>
      <c r="F34" s="72"/>
      <c r="G34" s="203"/>
      <c r="H34" s="203"/>
      <c r="I34" s="208"/>
      <c r="J34" s="349"/>
      <c r="K34" s="349"/>
      <c r="L34" s="349"/>
      <c r="M34" s="349"/>
      <c r="N34" s="349"/>
      <c r="O34" s="349"/>
      <c r="P34" s="349"/>
      <c r="Q34" s="349"/>
      <c r="R34" s="349"/>
      <c r="S34" s="141"/>
      <c r="T34" s="141"/>
      <c r="U34" s="141"/>
      <c r="X34" s="446"/>
      <c r="Y34" s="93"/>
      <c r="Z34" s="447"/>
    </row>
    <row r="35">
      <c r="A35" s="51" t="s">
        <v>417</v>
      </c>
      <c r="B35" s="51" t="s">
        <v>431</v>
      </c>
      <c r="C35" s="208" t="s">
        <v>24</v>
      </c>
      <c r="D35" s="51" t="s">
        <v>416</v>
      </c>
      <c r="E35" s="51" t="s">
        <v>431</v>
      </c>
      <c r="F35" s="113" t="s">
        <v>24</v>
      </c>
      <c r="G35" s="51" t="s">
        <v>417</v>
      </c>
      <c r="H35" s="51" t="s">
        <v>457</v>
      </c>
      <c r="I35" s="392" t="s">
        <v>48</v>
      </c>
      <c r="J35" s="51" t="s">
        <v>416</v>
      </c>
      <c r="K35" s="51" t="s">
        <v>457</v>
      </c>
      <c r="L35" s="394" t="s">
        <v>48</v>
      </c>
      <c r="M35" s="51" t="s">
        <v>417</v>
      </c>
      <c r="N35" s="51" t="s">
        <v>431</v>
      </c>
      <c r="O35" s="208" t="s">
        <v>24</v>
      </c>
      <c r="P35" s="51" t="s">
        <v>416</v>
      </c>
      <c r="Q35" s="51" t="s">
        <v>431</v>
      </c>
      <c r="R35" s="208" t="s">
        <v>24</v>
      </c>
      <c r="S35" s="218" t="s">
        <v>13</v>
      </c>
      <c r="T35" s="13"/>
      <c r="U35" s="14"/>
      <c r="Z35" s="447"/>
    </row>
    <row r="36">
      <c r="A36" s="349"/>
      <c r="B36" s="349"/>
      <c r="C36" s="349"/>
      <c r="D36" s="51"/>
      <c r="E36" s="51"/>
      <c r="F36" s="113"/>
      <c r="G36" s="207"/>
      <c r="H36" s="205"/>
      <c r="I36" s="461" t="s">
        <v>50</v>
      </c>
      <c r="J36" s="51"/>
      <c r="K36" s="51"/>
      <c r="L36" s="450" t="s">
        <v>296</v>
      </c>
      <c r="M36" s="207"/>
      <c r="N36" s="349"/>
      <c r="O36" s="349"/>
      <c r="P36" s="349"/>
      <c r="Q36" s="349"/>
      <c r="R36" s="349"/>
      <c r="S36" s="209"/>
      <c r="T36" s="209"/>
      <c r="U36" s="209"/>
      <c r="Z36" s="102">
        <f>SUM(Z6:Z34)</f>
        <v>0</v>
      </c>
    </row>
    <row r="37">
      <c r="A37" s="349"/>
      <c r="B37" s="349"/>
      <c r="C37" s="349"/>
      <c r="D37" s="72"/>
      <c r="E37" s="72"/>
      <c r="F37" s="72"/>
      <c r="G37" s="203"/>
      <c r="H37" s="203"/>
      <c r="I37" s="203"/>
      <c r="J37" s="349"/>
      <c r="K37" s="349"/>
      <c r="L37" s="349"/>
      <c r="M37" s="349"/>
      <c r="N37" s="349"/>
      <c r="O37" s="349"/>
      <c r="P37" s="349"/>
      <c r="Q37" s="349"/>
      <c r="R37" s="349"/>
      <c r="S37" s="209"/>
      <c r="T37" s="209"/>
      <c r="U37" s="209"/>
    </row>
    <row r="38">
      <c r="A38" s="363"/>
      <c r="B38" s="363"/>
      <c r="C38" s="363"/>
      <c r="D38" s="154"/>
      <c r="E38" s="154"/>
      <c r="F38" s="154"/>
      <c r="G38" s="203"/>
      <c r="H38" s="203"/>
      <c r="I38" s="251"/>
      <c r="J38" s="363"/>
      <c r="K38" s="363"/>
      <c r="L38" s="363"/>
      <c r="M38" s="363"/>
      <c r="N38" s="363"/>
      <c r="O38" s="363"/>
      <c r="P38" s="363"/>
      <c r="Q38" s="363"/>
      <c r="R38" s="363"/>
      <c r="S38" s="349"/>
      <c r="T38" s="349"/>
      <c r="U38" s="349"/>
    </row>
    <row r="39">
      <c r="A39" s="27" t="s">
        <v>6</v>
      </c>
      <c r="B39" s="13"/>
      <c r="C39" s="14"/>
      <c r="D39" s="27" t="s">
        <v>7</v>
      </c>
      <c r="E39" s="13"/>
      <c r="F39" s="14"/>
      <c r="G39" s="27" t="s">
        <v>8</v>
      </c>
      <c r="H39" s="13"/>
      <c r="I39" s="14"/>
      <c r="J39" s="27" t="s">
        <v>9</v>
      </c>
      <c r="K39" s="13"/>
      <c r="L39" s="14"/>
      <c r="M39" s="27" t="s">
        <v>10</v>
      </c>
      <c r="N39" s="13"/>
      <c r="O39" s="14"/>
      <c r="P39" s="27" t="s">
        <v>11</v>
      </c>
      <c r="Q39" s="13"/>
      <c r="R39" s="14"/>
      <c r="S39" s="29" t="s">
        <v>12</v>
      </c>
      <c r="T39" s="13"/>
      <c r="U39" s="14"/>
    </row>
    <row r="40">
      <c r="A40" s="57">
        <f>S32+1</f>
        <v>46111</v>
      </c>
      <c r="B40" s="13"/>
      <c r="C40" s="14"/>
      <c r="D40" s="57">
        <f>A40+1</f>
        <v>46112</v>
      </c>
      <c r="E40" s="13"/>
      <c r="F40" s="14"/>
      <c r="G40" s="57"/>
      <c r="H40" s="13"/>
      <c r="I40" s="14"/>
      <c r="J40" s="57"/>
      <c r="K40" s="13"/>
      <c r="L40" s="14"/>
      <c r="M40" s="57"/>
      <c r="N40" s="13"/>
      <c r="O40" s="14"/>
      <c r="P40" s="57"/>
      <c r="Q40" s="13"/>
      <c r="R40" s="14"/>
      <c r="S40" s="58"/>
      <c r="T40" s="13"/>
      <c r="U40" s="14"/>
    </row>
    <row r="41">
      <c r="A41" s="209"/>
      <c r="B41" s="209"/>
      <c r="C41" s="209"/>
      <c r="D41" s="154"/>
      <c r="E41" s="154"/>
      <c r="F41" s="154"/>
      <c r="G41" s="361"/>
      <c r="H41" s="362"/>
      <c r="I41" s="362"/>
      <c r="J41" s="363"/>
      <c r="K41" s="363"/>
      <c r="L41" s="363"/>
      <c r="M41" s="349"/>
      <c r="N41" s="349"/>
      <c r="O41" s="349"/>
      <c r="P41" s="349"/>
      <c r="Q41" s="349"/>
      <c r="R41" s="349"/>
      <c r="S41" s="363"/>
      <c r="T41" s="363"/>
      <c r="U41" s="363"/>
    </row>
    <row r="42">
      <c r="A42" s="154"/>
      <c r="B42" s="154"/>
      <c r="C42" s="154"/>
      <c r="D42" s="205"/>
      <c r="E42" s="205"/>
      <c r="F42" s="205"/>
      <c r="G42" s="349"/>
      <c r="H42" s="349"/>
      <c r="I42" s="349"/>
      <c r="J42" s="363"/>
      <c r="K42" s="363"/>
      <c r="L42" s="363"/>
      <c r="M42" s="364"/>
      <c r="N42" s="364"/>
      <c r="O42" s="364"/>
      <c r="P42" s="349"/>
      <c r="Q42" s="349"/>
      <c r="R42" s="349"/>
      <c r="S42" s="349"/>
      <c r="T42" s="349"/>
      <c r="U42" s="349"/>
    </row>
    <row r="43">
      <c r="A43" s="51" t="s">
        <v>417</v>
      </c>
      <c r="B43" s="51" t="s">
        <v>431</v>
      </c>
      <c r="C43" s="208" t="s">
        <v>24</v>
      </c>
      <c r="D43" s="51" t="s">
        <v>416</v>
      </c>
      <c r="E43" s="51" t="s">
        <v>431</v>
      </c>
      <c r="F43" s="208" t="s">
        <v>24</v>
      </c>
      <c r="G43" s="349"/>
      <c r="H43" s="349"/>
      <c r="I43" s="349"/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</row>
    <row r="44">
      <c r="A44" s="349"/>
      <c r="B44" s="349"/>
      <c r="C44" s="349"/>
      <c r="D44" s="154"/>
      <c r="E44" s="154"/>
      <c r="F44" s="154"/>
      <c r="G44" s="349"/>
      <c r="H44" s="349"/>
      <c r="I44" s="349"/>
      <c r="J44" s="349"/>
      <c r="K44" s="349"/>
      <c r="L44" s="349"/>
      <c r="M44" s="349"/>
      <c r="N44" s="349"/>
      <c r="O44" s="349"/>
      <c r="P44" s="349"/>
      <c r="Q44" s="349"/>
      <c r="R44" s="349"/>
      <c r="S44" s="363"/>
      <c r="T44" s="363"/>
      <c r="U44" s="363"/>
    </row>
    <row r="45">
      <c r="A45" s="209"/>
      <c r="B45" s="209"/>
      <c r="C45" s="209"/>
      <c r="D45" s="203"/>
      <c r="E45" s="203"/>
      <c r="F45" s="203"/>
      <c r="G45" s="349"/>
      <c r="H45" s="349"/>
      <c r="I45" s="363"/>
      <c r="J45" s="349"/>
      <c r="K45" s="349"/>
      <c r="L45" s="349"/>
      <c r="M45" s="349"/>
      <c r="N45" s="349"/>
      <c r="O45" s="349"/>
      <c r="P45" s="349"/>
      <c r="Q45" s="349"/>
      <c r="R45" s="349"/>
      <c r="S45" s="349"/>
      <c r="T45" s="349"/>
      <c r="U45" s="349"/>
    </row>
    <row r="46">
      <c r="A46" s="363"/>
      <c r="B46" s="363"/>
      <c r="C46" s="363"/>
      <c r="D46" s="349"/>
      <c r="E46" s="349"/>
      <c r="F46" s="349"/>
      <c r="G46" s="363"/>
      <c r="H46" s="363"/>
      <c r="I46" s="363"/>
      <c r="J46" s="349"/>
      <c r="K46" s="349"/>
      <c r="L46" s="349"/>
      <c r="M46" s="363"/>
      <c r="N46" s="363"/>
      <c r="O46" s="363"/>
      <c r="P46" s="349"/>
      <c r="Q46" s="349"/>
      <c r="R46" s="349"/>
      <c r="S46" s="363"/>
      <c r="T46" s="363"/>
      <c r="U46" s="363"/>
    </row>
    <row r="47">
      <c r="A47" s="349"/>
      <c r="B47" s="349"/>
      <c r="C47" s="349"/>
      <c r="D47" s="349"/>
      <c r="E47" s="349"/>
      <c r="F47" s="349"/>
      <c r="G47" s="363"/>
      <c r="H47" s="363"/>
      <c r="I47" s="363"/>
      <c r="J47" s="349"/>
      <c r="K47" s="349"/>
      <c r="L47" s="349"/>
      <c r="M47" s="349"/>
      <c r="N47" s="349"/>
      <c r="O47" s="349"/>
      <c r="P47" s="349"/>
      <c r="Q47" s="349"/>
      <c r="R47" s="349"/>
      <c r="S47" s="349"/>
      <c r="T47" s="349"/>
      <c r="U47" s="349"/>
    </row>
    <row r="57">
      <c r="L57" s="102" t="s">
        <v>50</v>
      </c>
    </row>
  </sheetData>
  <mergeCells count="103">
    <mergeCell ref="P11:R11"/>
    <mergeCell ref="S11:U11"/>
    <mergeCell ref="S15:U15"/>
    <mergeCell ref="P17:R17"/>
    <mergeCell ref="S17:U17"/>
    <mergeCell ref="S21:U21"/>
    <mergeCell ref="J11:L11"/>
    <mergeCell ref="M11:O11"/>
    <mergeCell ref="D17:F17"/>
    <mergeCell ref="G17:I17"/>
    <mergeCell ref="J17:L17"/>
    <mergeCell ref="M17:O17"/>
    <mergeCell ref="G21:I21"/>
    <mergeCell ref="A17:C17"/>
    <mergeCell ref="D23:F23"/>
    <mergeCell ref="G23:I23"/>
    <mergeCell ref="J23:L23"/>
    <mergeCell ref="M23:O23"/>
    <mergeCell ref="P23:R23"/>
    <mergeCell ref="S23:U23"/>
    <mergeCell ref="A23:C23"/>
    <mergeCell ref="A24:C24"/>
    <mergeCell ref="D24:F24"/>
    <mergeCell ref="G24:I24"/>
    <mergeCell ref="M24:O24"/>
    <mergeCell ref="P24:R24"/>
    <mergeCell ref="S24:U24"/>
    <mergeCell ref="J31:L31"/>
    <mergeCell ref="M31:O31"/>
    <mergeCell ref="S31:U31"/>
    <mergeCell ref="W35:Y35"/>
    <mergeCell ref="J24:L24"/>
    <mergeCell ref="J27:L27"/>
    <mergeCell ref="M27:O27"/>
    <mergeCell ref="P27:R27"/>
    <mergeCell ref="D31:F31"/>
    <mergeCell ref="G31:I31"/>
    <mergeCell ref="P31:R31"/>
    <mergeCell ref="S32:U32"/>
    <mergeCell ref="S35:U35"/>
    <mergeCell ref="A31:C31"/>
    <mergeCell ref="A32:C32"/>
    <mergeCell ref="D32:F32"/>
    <mergeCell ref="G32:I32"/>
    <mergeCell ref="J32:L32"/>
    <mergeCell ref="M32:O32"/>
    <mergeCell ref="P32:R32"/>
    <mergeCell ref="A1:B1"/>
    <mergeCell ref="C1:E1"/>
    <mergeCell ref="G1:P3"/>
    <mergeCell ref="A2:B2"/>
    <mergeCell ref="C2:E2"/>
    <mergeCell ref="A3:B3"/>
    <mergeCell ref="C3:E3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2:C12"/>
    <mergeCell ref="D12:F12"/>
    <mergeCell ref="G12:I12"/>
    <mergeCell ref="J12:L12"/>
    <mergeCell ref="M12:O12"/>
    <mergeCell ref="P12:R12"/>
    <mergeCell ref="S12:U12"/>
    <mergeCell ref="P5:R5"/>
    <mergeCell ref="S5:U5"/>
    <mergeCell ref="S8:U8"/>
    <mergeCell ref="J9:L9"/>
    <mergeCell ref="A11:C11"/>
    <mergeCell ref="D11:F11"/>
    <mergeCell ref="G11:I11"/>
    <mergeCell ref="A18:C18"/>
    <mergeCell ref="D18:F18"/>
    <mergeCell ref="G18:I18"/>
    <mergeCell ref="J18:L18"/>
    <mergeCell ref="M18:O18"/>
    <mergeCell ref="P18:R18"/>
    <mergeCell ref="S18:U18"/>
    <mergeCell ref="A40:C40"/>
    <mergeCell ref="D40:F40"/>
    <mergeCell ref="G40:I40"/>
    <mergeCell ref="J40:L40"/>
    <mergeCell ref="M40:O40"/>
    <mergeCell ref="P40:R40"/>
    <mergeCell ref="S40:U40"/>
    <mergeCell ref="A39:C39"/>
    <mergeCell ref="D39:F39"/>
    <mergeCell ref="G39:I39"/>
    <mergeCell ref="J39:L39"/>
    <mergeCell ref="M39:O39"/>
    <mergeCell ref="P39:R39"/>
    <mergeCell ref="S39:U39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23.29"/>
    <col customWidth="1" min="3" max="4" width="9.0"/>
    <col customWidth="1" min="5" max="5" width="9.29"/>
    <col customWidth="1" min="6" max="6" width="8.43"/>
    <col customWidth="1" min="7" max="7" width="7.43"/>
    <col customWidth="1" min="8" max="8" width="7.0"/>
    <col customWidth="1" min="9" max="9" width="6.86"/>
    <col customWidth="1" min="10" max="10" width="7.57"/>
    <col customWidth="1" min="11" max="11" width="6.86"/>
    <col customWidth="1" min="12" max="12" width="7.14"/>
    <col customWidth="1" min="13" max="13" width="6.86"/>
    <col customWidth="1" min="14" max="14" width="7.14"/>
    <col customWidth="1" min="15" max="15" width="7.43"/>
    <col customWidth="1" min="16" max="17" width="7.29"/>
    <col customWidth="1" min="18" max="18" width="7.43"/>
    <col customWidth="1" min="19" max="19" width="8.0"/>
    <col customWidth="1" min="20" max="20" width="7.86"/>
    <col customWidth="1" min="21" max="21" width="7.71"/>
    <col customWidth="1" min="22" max="22" width="7.43"/>
    <col customWidth="1" min="23" max="23" width="7.29"/>
    <col customWidth="1" min="24" max="25" width="7.71"/>
    <col customWidth="1" min="26" max="26" width="7.86"/>
    <col customWidth="1" min="27" max="27" width="7.43"/>
    <col customWidth="1" min="28" max="29" width="7.71"/>
    <col customWidth="1" min="30" max="30" width="7.57"/>
    <col customWidth="1" min="31" max="31" width="7.43"/>
    <col customWidth="1" min="32" max="32" width="7.71"/>
    <col customWidth="1" min="33" max="33" width="7.43"/>
    <col customWidth="1" min="34" max="34" width="7.86"/>
    <col hidden="1" min="35" max="35" width="14.43"/>
  </cols>
  <sheetData>
    <row r="1">
      <c r="A1" s="462"/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  <c r="Y1" s="462"/>
      <c r="Z1" s="462"/>
      <c r="AA1" s="462"/>
      <c r="AB1" s="462"/>
      <c r="AC1" s="462"/>
      <c r="AD1" s="462"/>
      <c r="AE1" s="462"/>
      <c r="AF1" s="462"/>
      <c r="AG1" s="462"/>
      <c r="AH1" s="462"/>
      <c r="AI1" s="462"/>
    </row>
    <row r="2">
      <c r="A2" s="463"/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462"/>
      <c r="AA2" s="462"/>
      <c r="AB2" s="462"/>
      <c r="AC2" s="462"/>
      <c r="AD2" s="462"/>
      <c r="AE2" s="462"/>
      <c r="AF2" s="462"/>
      <c r="AG2" s="462"/>
      <c r="AH2" s="462"/>
      <c r="AI2" s="462"/>
    </row>
    <row r="3">
      <c r="A3" s="463"/>
      <c r="B3" s="464" t="s">
        <v>462</v>
      </c>
      <c r="AG3" s="462"/>
      <c r="AH3" s="462"/>
      <c r="AI3" s="462"/>
    </row>
    <row r="4">
      <c r="A4" s="463"/>
      <c r="B4" s="462"/>
      <c r="C4" s="462"/>
      <c r="D4" s="462"/>
      <c r="E4" s="462"/>
      <c r="F4" s="462"/>
      <c r="G4" s="462"/>
      <c r="H4" s="462"/>
      <c r="I4" s="462"/>
      <c r="J4" s="462"/>
      <c r="K4" s="462"/>
      <c r="L4" s="462"/>
      <c r="M4" s="462"/>
      <c r="N4" s="462"/>
      <c r="O4" s="462"/>
      <c r="P4" s="462"/>
      <c r="Q4" s="462"/>
      <c r="R4" s="462"/>
      <c r="S4" s="462"/>
      <c r="T4" s="462"/>
      <c r="U4" s="462"/>
      <c r="V4" s="462"/>
      <c r="W4" s="462"/>
      <c r="X4" s="462"/>
      <c r="Y4" s="462"/>
      <c r="Z4" s="462"/>
      <c r="AA4" s="462"/>
      <c r="AB4" s="462"/>
      <c r="AC4" s="462"/>
      <c r="AD4" s="462"/>
      <c r="AE4" s="462"/>
      <c r="AF4" s="462"/>
      <c r="AG4" s="462"/>
      <c r="AH4" s="462"/>
      <c r="AI4" s="462"/>
    </row>
    <row r="5">
      <c r="A5" s="463"/>
      <c r="B5" s="462"/>
      <c r="C5" s="462"/>
      <c r="D5" s="462"/>
      <c r="E5" s="462"/>
      <c r="F5" s="462"/>
      <c r="G5" s="462"/>
      <c r="H5" s="462"/>
      <c r="I5" s="462"/>
      <c r="J5" s="462"/>
      <c r="K5" s="462"/>
      <c r="L5" s="462"/>
      <c r="M5" s="462"/>
      <c r="N5" s="462"/>
      <c r="O5" s="462"/>
      <c r="P5" s="462"/>
      <c r="Q5" s="462"/>
      <c r="R5" s="462"/>
      <c r="S5" s="462"/>
      <c r="T5" s="462"/>
      <c r="U5" s="462"/>
      <c r="V5" s="462"/>
      <c r="W5" s="462"/>
      <c r="X5" s="462"/>
      <c r="Y5" s="462"/>
      <c r="Z5" s="462"/>
      <c r="AA5" s="462"/>
      <c r="AB5" s="462"/>
      <c r="AC5" s="462"/>
      <c r="AD5" s="462"/>
      <c r="AE5" s="462"/>
      <c r="AF5" s="462"/>
      <c r="AG5" s="462"/>
      <c r="AH5" s="462"/>
      <c r="AI5" s="462"/>
    </row>
    <row r="6">
      <c r="A6" s="463"/>
      <c r="B6" s="462"/>
      <c r="C6" s="462"/>
      <c r="D6" s="462"/>
      <c r="E6" s="462"/>
      <c r="F6" s="462"/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  <c r="AA6" s="462"/>
      <c r="AB6" s="462"/>
      <c r="AC6" s="462"/>
      <c r="AD6" s="462"/>
      <c r="AE6" s="462"/>
      <c r="AF6" s="462"/>
      <c r="AG6" s="462"/>
      <c r="AH6" s="462"/>
      <c r="AI6" s="462"/>
    </row>
    <row r="7">
      <c r="A7" s="465">
        <v>46082.0</v>
      </c>
      <c r="B7" s="279"/>
      <c r="C7" s="279"/>
      <c r="D7" s="279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466"/>
    </row>
    <row r="8">
      <c r="A8" s="467" t="s">
        <v>463</v>
      </c>
      <c r="B8" s="467" t="s">
        <v>464</v>
      </c>
      <c r="C8" s="468"/>
      <c r="D8" s="469" t="s">
        <v>465</v>
      </c>
      <c r="E8" s="470" t="s">
        <v>466</v>
      </c>
      <c r="F8" s="470" t="s">
        <v>466</v>
      </c>
      <c r="G8" s="470" t="s">
        <v>467</v>
      </c>
      <c r="H8" s="470" t="s">
        <v>468</v>
      </c>
      <c r="I8" s="470" t="s">
        <v>469</v>
      </c>
      <c r="J8" s="470" t="s">
        <v>466</v>
      </c>
      <c r="K8" s="469" t="s">
        <v>465</v>
      </c>
      <c r="L8" s="470" t="s">
        <v>466</v>
      </c>
      <c r="M8" s="470" t="s">
        <v>466</v>
      </c>
      <c r="N8" s="470" t="s">
        <v>467</v>
      </c>
      <c r="O8" s="470" t="s">
        <v>468</v>
      </c>
      <c r="P8" s="470" t="s">
        <v>469</v>
      </c>
      <c r="Q8" s="470" t="s">
        <v>466</v>
      </c>
      <c r="R8" s="469" t="s">
        <v>465</v>
      </c>
      <c r="S8" s="470" t="s">
        <v>466</v>
      </c>
      <c r="T8" s="470" t="s">
        <v>466</v>
      </c>
      <c r="U8" s="471" t="s">
        <v>467</v>
      </c>
      <c r="V8" s="472" t="s">
        <v>468</v>
      </c>
      <c r="W8" s="470" t="s">
        <v>469</v>
      </c>
      <c r="X8" s="473" t="s">
        <v>466</v>
      </c>
      <c r="Y8" s="469" t="s">
        <v>465</v>
      </c>
      <c r="Z8" s="471" t="s">
        <v>466</v>
      </c>
      <c r="AA8" s="470" t="s">
        <v>466</v>
      </c>
      <c r="AB8" s="471" t="s">
        <v>467</v>
      </c>
      <c r="AC8" s="474" t="s">
        <v>468</v>
      </c>
      <c r="AD8" s="470" t="s">
        <v>469</v>
      </c>
      <c r="AE8" s="470" t="s">
        <v>466</v>
      </c>
      <c r="AF8" s="469" t="s">
        <v>465</v>
      </c>
      <c r="AG8" s="471" t="s">
        <v>466</v>
      </c>
      <c r="AH8" s="470" t="s">
        <v>466</v>
      </c>
      <c r="AI8" s="475"/>
    </row>
    <row r="9">
      <c r="A9" s="48"/>
      <c r="B9" s="48"/>
      <c r="C9" s="470">
        <v>28.0</v>
      </c>
      <c r="D9" s="469">
        <v>1.0</v>
      </c>
      <c r="E9" s="470">
        <v>2.0</v>
      </c>
      <c r="F9" s="470">
        <v>3.0</v>
      </c>
      <c r="G9" s="470">
        <v>4.0</v>
      </c>
      <c r="H9" s="470">
        <v>5.0</v>
      </c>
      <c r="I9" s="470">
        <v>6.0</v>
      </c>
      <c r="J9" s="470">
        <v>7.0</v>
      </c>
      <c r="K9" s="469">
        <v>8.0</v>
      </c>
      <c r="L9" s="470">
        <v>9.0</v>
      </c>
      <c r="M9" s="470">
        <v>10.0</v>
      </c>
      <c r="N9" s="470">
        <v>11.0</v>
      </c>
      <c r="O9" s="470">
        <v>12.0</v>
      </c>
      <c r="P9" s="470">
        <v>13.0</v>
      </c>
      <c r="Q9" s="470">
        <v>14.0</v>
      </c>
      <c r="R9" s="469">
        <v>15.0</v>
      </c>
      <c r="S9" s="470">
        <v>16.0</v>
      </c>
      <c r="T9" s="470">
        <v>17.0</v>
      </c>
      <c r="U9" s="470">
        <v>18.0</v>
      </c>
      <c r="V9" s="469">
        <v>19.0</v>
      </c>
      <c r="W9" s="470">
        <v>20.0</v>
      </c>
      <c r="X9" s="469">
        <v>21.0</v>
      </c>
      <c r="Y9" s="469">
        <v>22.0</v>
      </c>
      <c r="Z9" s="470">
        <v>23.0</v>
      </c>
      <c r="AA9" s="470">
        <v>24.0</v>
      </c>
      <c r="AB9" s="470">
        <v>25.0</v>
      </c>
      <c r="AC9" s="470">
        <v>26.0</v>
      </c>
      <c r="AD9" s="470">
        <v>27.0</v>
      </c>
      <c r="AE9" s="470">
        <v>28.0</v>
      </c>
      <c r="AF9" s="469">
        <v>29.0</v>
      </c>
      <c r="AG9" s="470">
        <v>30.0</v>
      </c>
      <c r="AH9" s="476">
        <v>31.0</v>
      </c>
      <c r="AI9" s="475"/>
    </row>
    <row r="10">
      <c r="A10" s="477">
        <v>1.0</v>
      </c>
      <c r="B10" s="478" t="s">
        <v>470</v>
      </c>
      <c r="C10" s="479"/>
      <c r="D10" s="477" t="s">
        <v>471</v>
      </c>
      <c r="E10" s="477" t="s">
        <v>471</v>
      </c>
      <c r="F10" s="477" t="s">
        <v>471</v>
      </c>
      <c r="G10" s="477" t="s">
        <v>471</v>
      </c>
      <c r="H10" s="477" t="s">
        <v>471</v>
      </c>
      <c r="I10" s="477" t="s">
        <v>471</v>
      </c>
      <c r="J10" s="480" t="s">
        <v>472</v>
      </c>
      <c r="K10" s="481" t="s">
        <v>466</v>
      </c>
      <c r="L10" s="481" t="s">
        <v>466</v>
      </c>
      <c r="M10" s="481" t="s">
        <v>466</v>
      </c>
      <c r="N10" s="481" t="s">
        <v>466</v>
      </c>
      <c r="O10" s="481" t="s">
        <v>466</v>
      </c>
      <c r="P10" s="481" t="s">
        <v>466</v>
      </c>
      <c r="Q10" s="481" t="s">
        <v>466</v>
      </c>
      <c r="R10" s="481" t="s">
        <v>466</v>
      </c>
      <c r="S10" s="480" t="s">
        <v>472</v>
      </c>
      <c r="T10" s="477" t="s">
        <v>471</v>
      </c>
      <c r="U10" s="477" t="s">
        <v>471</v>
      </c>
      <c r="V10" s="477" t="s">
        <v>471</v>
      </c>
      <c r="W10" s="477" t="s">
        <v>471</v>
      </c>
      <c r="X10" s="477" t="s">
        <v>471</v>
      </c>
      <c r="Y10" s="477" t="s">
        <v>471</v>
      </c>
      <c r="Z10" s="477" t="s">
        <v>471</v>
      </c>
      <c r="AA10" s="480" t="s">
        <v>472</v>
      </c>
      <c r="AB10" s="481" t="s">
        <v>466</v>
      </c>
      <c r="AC10" s="481" t="s">
        <v>466</v>
      </c>
      <c r="AD10" s="481" t="s">
        <v>466</v>
      </c>
      <c r="AE10" s="480" t="s">
        <v>472</v>
      </c>
      <c r="AF10" s="477" t="s">
        <v>471</v>
      </c>
      <c r="AG10" s="477" t="s">
        <v>471</v>
      </c>
      <c r="AH10" s="477" t="s">
        <v>471</v>
      </c>
      <c r="AI10" s="482">
        <f>COUNTIF(D10:AH10,"X")</f>
        <v>4</v>
      </c>
    </row>
    <row r="11">
      <c r="A11" s="479"/>
      <c r="B11" s="479"/>
      <c r="C11" s="479"/>
      <c r="D11" s="479"/>
      <c r="E11" s="479"/>
      <c r="F11" s="479"/>
      <c r="G11" s="479"/>
      <c r="H11" s="479"/>
      <c r="I11" s="479"/>
      <c r="J11" s="479"/>
      <c r="K11" s="479"/>
      <c r="L11" s="479"/>
      <c r="M11" s="479"/>
      <c r="N11" s="479"/>
      <c r="O11" s="479"/>
      <c r="P11" s="479"/>
      <c r="Q11" s="479"/>
      <c r="R11" s="479"/>
      <c r="S11" s="479"/>
      <c r="T11" s="479"/>
      <c r="U11" s="479"/>
      <c r="V11" s="479"/>
      <c r="W11" s="479"/>
      <c r="X11" s="479"/>
      <c r="Y11" s="479"/>
      <c r="Z11" s="479"/>
      <c r="AA11" s="479"/>
      <c r="AB11" s="479"/>
      <c r="AC11" s="479"/>
      <c r="AD11" s="479"/>
      <c r="AE11" s="479"/>
      <c r="AF11" s="479"/>
      <c r="AG11" s="479"/>
      <c r="AH11" s="479"/>
      <c r="AI11" s="462"/>
    </row>
    <row r="12">
      <c r="A12" s="477">
        <v>2.0</v>
      </c>
      <c r="B12" s="478" t="s">
        <v>473</v>
      </c>
      <c r="C12" s="479"/>
      <c r="D12" s="481" t="s">
        <v>466</v>
      </c>
      <c r="E12" s="481" t="s">
        <v>466</v>
      </c>
      <c r="F12" s="481" t="s">
        <v>466</v>
      </c>
      <c r="G12" s="481" t="s">
        <v>466</v>
      </c>
      <c r="H12" s="481" t="s">
        <v>466</v>
      </c>
      <c r="I12" s="481" t="s">
        <v>466</v>
      </c>
      <c r="J12" s="481" t="s">
        <v>466</v>
      </c>
      <c r="K12" s="480" t="s">
        <v>472</v>
      </c>
      <c r="L12" s="477" t="s">
        <v>471</v>
      </c>
      <c r="M12" s="477" t="s">
        <v>471</v>
      </c>
      <c r="N12" s="477" t="s">
        <v>471</v>
      </c>
      <c r="O12" s="477" t="s">
        <v>471</v>
      </c>
      <c r="P12" s="477" t="s">
        <v>471</v>
      </c>
      <c r="Q12" s="477" t="s">
        <v>471</v>
      </c>
      <c r="R12" s="477" t="s">
        <v>471</v>
      </c>
      <c r="S12" s="477" t="s">
        <v>471</v>
      </c>
      <c r="T12" s="480" t="s">
        <v>472</v>
      </c>
      <c r="U12" s="481" t="s">
        <v>466</v>
      </c>
      <c r="V12" s="481" t="s">
        <v>466</v>
      </c>
      <c r="W12" s="481" t="s">
        <v>466</v>
      </c>
      <c r="X12" s="481" t="s">
        <v>466</v>
      </c>
      <c r="Y12" s="481" t="s">
        <v>466</v>
      </c>
      <c r="Z12" s="480" t="s">
        <v>472</v>
      </c>
      <c r="AA12" s="477" t="s">
        <v>471</v>
      </c>
      <c r="AB12" s="477" t="s">
        <v>471</v>
      </c>
      <c r="AC12" s="477" t="s">
        <v>471</v>
      </c>
      <c r="AD12" s="477" t="s">
        <v>471</v>
      </c>
      <c r="AE12" s="477" t="s">
        <v>471</v>
      </c>
      <c r="AF12" s="480" t="s">
        <v>472</v>
      </c>
      <c r="AG12" s="481" t="s">
        <v>466</v>
      </c>
      <c r="AH12" s="481" t="s">
        <v>466</v>
      </c>
      <c r="AI12" s="482">
        <f>COUNTIF(C12:AH12,"X")</f>
        <v>4</v>
      </c>
    </row>
    <row r="13">
      <c r="A13" s="479"/>
      <c r="B13" s="479"/>
      <c r="C13" s="479"/>
      <c r="D13" s="479"/>
      <c r="E13" s="479"/>
      <c r="F13" s="479"/>
      <c r="G13" s="479"/>
      <c r="H13" s="479"/>
      <c r="I13" s="479"/>
      <c r="J13" s="479"/>
      <c r="K13" s="479"/>
      <c r="L13" s="479"/>
      <c r="M13" s="479"/>
      <c r="N13" s="479"/>
      <c r="O13" s="479"/>
      <c r="P13" s="479"/>
      <c r="Q13" s="479"/>
      <c r="R13" s="479"/>
      <c r="S13" s="479"/>
      <c r="T13" s="479"/>
      <c r="U13" s="479"/>
      <c r="V13" s="479"/>
      <c r="W13" s="479"/>
      <c r="X13" s="479"/>
      <c r="Y13" s="479"/>
      <c r="Z13" s="479"/>
      <c r="AA13" s="479"/>
      <c r="AB13" s="479"/>
      <c r="AC13" s="479"/>
      <c r="AD13" s="479"/>
      <c r="AE13" s="479"/>
      <c r="AF13" s="479"/>
      <c r="AG13" s="479"/>
      <c r="AH13" s="479"/>
      <c r="AI13" s="462"/>
    </row>
    <row r="14">
      <c r="A14" s="477">
        <v>2.0</v>
      </c>
      <c r="B14" s="483" t="s">
        <v>474</v>
      </c>
      <c r="C14" s="479"/>
      <c r="D14" s="477" t="s">
        <v>471</v>
      </c>
      <c r="E14" s="477" t="s">
        <v>471</v>
      </c>
      <c r="F14" s="477" t="s">
        <v>471</v>
      </c>
      <c r="G14" s="477" t="s">
        <v>471</v>
      </c>
      <c r="H14" s="477" t="s">
        <v>471</v>
      </c>
      <c r="I14" s="477" t="s">
        <v>471</v>
      </c>
      <c r="J14" s="477" t="s">
        <v>471</v>
      </c>
      <c r="K14" s="477" t="s">
        <v>471</v>
      </c>
      <c r="L14" s="477" t="s">
        <v>471</v>
      </c>
      <c r="M14" s="477" t="s">
        <v>471</v>
      </c>
      <c r="N14" s="484" t="s">
        <v>466</v>
      </c>
      <c r="O14" s="484" t="s">
        <v>466</v>
      </c>
      <c r="P14" s="481" t="s">
        <v>466</v>
      </c>
      <c r="Q14" s="477" t="s">
        <v>466</v>
      </c>
      <c r="R14" s="477" t="s">
        <v>466</v>
      </c>
      <c r="S14" s="481" t="s">
        <v>466</v>
      </c>
      <c r="T14" s="481" t="s">
        <v>466</v>
      </c>
      <c r="U14" s="480" t="s">
        <v>472</v>
      </c>
      <c r="V14" s="480" t="s">
        <v>472</v>
      </c>
      <c r="W14" s="480" t="s">
        <v>472</v>
      </c>
      <c r="X14" s="480" t="s">
        <v>472</v>
      </c>
      <c r="Y14" s="480" t="s">
        <v>472</v>
      </c>
      <c r="Z14" s="481" t="s">
        <v>466</v>
      </c>
      <c r="AA14" s="481" t="s">
        <v>466</v>
      </c>
      <c r="AB14" s="477" t="s">
        <v>471</v>
      </c>
      <c r="AC14" s="477" t="s">
        <v>471</v>
      </c>
      <c r="AD14" s="480" t="s">
        <v>472</v>
      </c>
      <c r="AE14" s="481" t="s">
        <v>466</v>
      </c>
      <c r="AF14" s="481" t="s">
        <v>466</v>
      </c>
      <c r="AG14" s="477" t="s">
        <v>466</v>
      </c>
      <c r="AH14" s="477" t="s">
        <v>466</v>
      </c>
      <c r="AI14" s="482">
        <f>COUNTIF(#REF!,"X")</f>
        <v>0</v>
      </c>
    </row>
    <row r="15">
      <c r="A15" s="479"/>
      <c r="B15" s="479"/>
      <c r="C15" s="479"/>
      <c r="D15" s="477"/>
      <c r="E15" s="477"/>
      <c r="F15" s="477"/>
      <c r="G15" s="477"/>
      <c r="H15" s="477"/>
      <c r="I15" s="477"/>
      <c r="J15" s="477"/>
      <c r="K15" s="477"/>
      <c r="L15" s="480"/>
      <c r="M15" s="477"/>
      <c r="N15" s="477"/>
      <c r="O15" s="477"/>
      <c r="P15" s="477"/>
      <c r="Q15" s="477"/>
      <c r="R15" s="477"/>
      <c r="S15" s="480"/>
      <c r="T15" s="477"/>
      <c r="U15" s="477"/>
      <c r="V15" s="477"/>
      <c r="W15" s="477"/>
      <c r="X15" s="477"/>
      <c r="Y15" s="477"/>
      <c r="Z15" s="477"/>
      <c r="AA15" s="477"/>
      <c r="AB15" s="480"/>
      <c r="AC15" s="477"/>
      <c r="AD15" s="477"/>
      <c r="AE15" s="477"/>
      <c r="AF15" s="477"/>
      <c r="AG15" s="480"/>
      <c r="AH15" s="477"/>
      <c r="AI15" s="462"/>
    </row>
    <row r="16">
      <c r="A16" s="477"/>
      <c r="B16" s="485"/>
      <c r="C16" s="479"/>
      <c r="D16" s="479"/>
      <c r="E16" s="479"/>
      <c r="F16" s="479"/>
      <c r="G16" s="479"/>
      <c r="H16" s="479"/>
      <c r="I16" s="479"/>
      <c r="J16" s="479"/>
      <c r="K16" s="479"/>
      <c r="L16" s="479"/>
      <c r="M16" s="479"/>
      <c r="N16" s="479"/>
      <c r="O16" s="479"/>
      <c r="P16" s="479"/>
      <c r="Q16" s="479"/>
      <c r="R16" s="479"/>
      <c r="S16" s="479"/>
      <c r="T16" s="479"/>
      <c r="U16" s="479"/>
      <c r="V16" s="479"/>
      <c r="W16" s="479"/>
      <c r="X16" s="479"/>
      <c r="Y16" s="479"/>
      <c r="Z16" s="479"/>
      <c r="AA16" s="479"/>
      <c r="AB16" s="479"/>
      <c r="AC16" s="479"/>
      <c r="AD16" s="479"/>
      <c r="AE16" s="479"/>
      <c r="AF16" s="479"/>
      <c r="AG16" s="479"/>
      <c r="AH16" s="479"/>
      <c r="AI16" s="482">
        <f>COUNTIF(C16:AH16,"X")</f>
        <v>0</v>
      </c>
    </row>
    <row r="17">
      <c r="A17" s="486"/>
      <c r="B17" s="486"/>
      <c r="C17" s="486"/>
      <c r="D17" s="487"/>
      <c r="E17" s="487"/>
      <c r="F17" s="487"/>
      <c r="G17" s="487"/>
      <c r="H17" s="487"/>
      <c r="I17" s="487"/>
      <c r="J17" s="487"/>
      <c r="K17" s="487"/>
      <c r="L17" s="487"/>
      <c r="M17" s="488"/>
      <c r="N17" s="487"/>
      <c r="O17" s="487"/>
      <c r="P17" s="487"/>
      <c r="Q17" s="487"/>
      <c r="R17" s="487"/>
      <c r="S17" s="487"/>
      <c r="T17" s="488"/>
      <c r="U17" s="487"/>
      <c r="V17" s="487"/>
      <c r="W17" s="487"/>
      <c r="X17" s="487"/>
      <c r="Y17" s="487"/>
      <c r="Z17" s="487"/>
      <c r="AA17" s="487"/>
      <c r="AB17" s="487"/>
      <c r="AC17" s="488"/>
      <c r="AD17" s="487"/>
      <c r="AE17" s="487"/>
      <c r="AF17" s="487"/>
      <c r="AG17" s="487"/>
      <c r="AH17" s="488"/>
      <c r="AI17" s="462"/>
    </row>
    <row r="18">
      <c r="A18" s="163"/>
      <c r="B18" s="163"/>
      <c r="C18" s="163"/>
      <c r="D18" s="487"/>
      <c r="E18" s="487"/>
      <c r="F18" s="487"/>
      <c r="G18" s="487"/>
      <c r="H18" s="487"/>
      <c r="I18" s="487"/>
      <c r="J18" s="487"/>
      <c r="K18" s="487"/>
      <c r="L18" s="487"/>
      <c r="M18" s="487"/>
      <c r="N18" s="488"/>
      <c r="O18" s="487"/>
      <c r="P18" s="487"/>
      <c r="Q18" s="487"/>
      <c r="R18" s="487"/>
      <c r="S18" s="487"/>
      <c r="T18" s="487"/>
      <c r="U18" s="488"/>
      <c r="V18" s="488"/>
      <c r="W18" s="488"/>
      <c r="X18" s="488"/>
      <c r="Y18" s="488"/>
      <c r="Z18" s="487"/>
      <c r="AA18" s="487"/>
      <c r="AB18" s="487"/>
      <c r="AC18" s="487"/>
      <c r="AD18" s="488"/>
      <c r="AE18" s="489"/>
      <c r="AF18" s="489"/>
      <c r="AG18" s="487"/>
      <c r="AH18" s="487"/>
      <c r="AI18" s="482">
        <f>COUNTIF(C14:AH14,"X")</f>
        <v>6</v>
      </c>
    </row>
    <row r="19">
      <c r="A19" s="490"/>
      <c r="B19" s="490"/>
      <c r="C19" s="486"/>
      <c r="D19" s="486"/>
      <c r="E19" s="486"/>
      <c r="F19" s="486"/>
      <c r="G19" s="486"/>
      <c r="H19" s="486"/>
      <c r="I19" s="486"/>
      <c r="J19" s="486"/>
      <c r="K19" s="486"/>
      <c r="L19" s="486"/>
      <c r="M19" s="486"/>
      <c r="N19" s="486"/>
      <c r="O19" s="486"/>
      <c r="P19" s="486"/>
      <c r="Q19" s="486"/>
      <c r="R19" s="486"/>
      <c r="S19" s="486"/>
      <c r="T19" s="486"/>
      <c r="U19" s="486"/>
      <c r="V19" s="486"/>
      <c r="W19" s="486"/>
      <c r="X19" s="486"/>
      <c r="Y19" s="486"/>
      <c r="Z19" s="486"/>
      <c r="AA19" s="486"/>
      <c r="AB19" s="486"/>
      <c r="AC19" s="486"/>
      <c r="AD19" s="486"/>
      <c r="AE19" s="486"/>
      <c r="AF19" s="486"/>
      <c r="AG19" s="486"/>
      <c r="AH19" s="486"/>
      <c r="AI19" s="462"/>
    </row>
    <row r="20">
      <c r="A20" s="490"/>
      <c r="B20" s="490"/>
      <c r="C20" s="486"/>
      <c r="D20" s="486"/>
      <c r="E20" s="486"/>
      <c r="F20" s="486"/>
      <c r="G20" s="486"/>
      <c r="H20" s="486"/>
      <c r="I20" s="486"/>
      <c r="J20" s="486"/>
      <c r="K20" s="486"/>
      <c r="L20" s="486"/>
      <c r="M20" s="486"/>
      <c r="N20" s="486"/>
      <c r="O20" s="486"/>
      <c r="P20" s="486"/>
      <c r="Q20" s="486"/>
      <c r="R20" s="486"/>
      <c r="S20" s="486"/>
      <c r="T20" s="486"/>
      <c r="U20" s="486"/>
      <c r="V20" s="486"/>
      <c r="W20" s="486"/>
      <c r="X20" s="486"/>
      <c r="Y20" s="486"/>
      <c r="Z20" s="486"/>
      <c r="AA20" s="486"/>
      <c r="AB20" s="486"/>
      <c r="AC20" s="486"/>
      <c r="AD20" s="486"/>
      <c r="AE20" s="486"/>
      <c r="AF20" s="486"/>
      <c r="AG20" s="486"/>
      <c r="AH20" s="486"/>
      <c r="AI20" s="482">
        <f>COUNTIF(C20:AH20,"X")</f>
        <v>0</v>
      </c>
    </row>
    <row r="21">
      <c r="A21" s="490"/>
      <c r="B21" s="490"/>
      <c r="C21" s="486"/>
      <c r="D21" s="486"/>
      <c r="E21" s="486"/>
      <c r="F21" s="486"/>
      <c r="G21" s="486"/>
      <c r="H21" s="486"/>
      <c r="I21" s="486"/>
      <c r="J21" s="486"/>
      <c r="K21" s="486"/>
      <c r="L21" s="486"/>
      <c r="M21" s="486"/>
      <c r="N21" s="486"/>
      <c r="O21" s="486"/>
      <c r="P21" s="486"/>
      <c r="Q21" s="486"/>
      <c r="R21" s="486"/>
      <c r="S21" s="486"/>
      <c r="T21" s="486"/>
      <c r="U21" s="486"/>
      <c r="V21" s="486"/>
      <c r="W21" s="486"/>
      <c r="X21" s="486"/>
      <c r="Y21" s="486"/>
      <c r="Z21" s="486"/>
      <c r="AA21" s="486"/>
      <c r="AB21" s="486"/>
      <c r="AC21" s="486"/>
      <c r="AD21" s="486"/>
      <c r="AE21" s="486"/>
      <c r="AF21" s="486"/>
      <c r="AG21" s="486"/>
      <c r="AH21" s="486"/>
      <c r="AI21" s="482">
        <f>COUNTIF(D21:AH21,"X")</f>
        <v>0</v>
      </c>
    </row>
    <row r="22">
      <c r="A22" s="462"/>
      <c r="B22" s="462"/>
      <c r="C22" s="462"/>
      <c r="D22" s="462"/>
      <c r="E22" s="462"/>
      <c r="F22" s="462"/>
      <c r="G22" s="462"/>
      <c r="H22" s="462"/>
      <c r="I22" s="462"/>
      <c r="J22" s="462"/>
      <c r="K22" s="462"/>
      <c r="L22" s="462"/>
      <c r="M22" s="462"/>
      <c r="N22" s="462"/>
      <c r="O22" s="462"/>
      <c r="P22" s="462"/>
      <c r="Q22" s="462"/>
      <c r="R22" s="462"/>
      <c r="S22" s="462"/>
      <c r="T22" s="462"/>
      <c r="U22" s="462"/>
      <c r="V22" s="462"/>
      <c r="W22" s="462"/>
      <c r="X22" s="462"/>
      <c r="Y22" s="462"/>
      <c r="Z22" s="462"/>
      <c r="AA22" s="462"/>
      <c r="AB22" s="462"/>
      <c r="AC22" s="462"/>
      <c r="AD22" s="462"/>
      <c r="AE22" s="462"/>
      <c r="AF22" s="462"/>
      <c r="AG22" s="462"/>
      <c r="AH22" s="462"/>
      <c r="AI22" s="462"/>
    </row>
    <row r="23" hidden="1">
      <c r="A23" s="462"/>
      <c r="B23" s="491" t="s">
        <v>475</v>
      </c>
      <c r="C23" s="492">
        <f t="shared" ref="C23:AH23" si="1">COUNTIF((C10:C20),"P")</f>
        <v>0</v>
      </c>
      <c r="D23" s="492">
        <f t="shared" si="1"/>
        <v>2</v>
      </c>
      <c r="E23" s="492">
        <f t="shared" si="1"/>
        <v>2</v>
      </c>
      <c r="F23" s="492">
        <f t="shared" si="1"/>
        <v>2</v>
      </c>
      <c r="G23" s="492">
        <f t="shared" si="1"/>
        <v>2</v>
      </c>
      <c r="H23" s="492">
        <f t="shared" si="1"/>
        <v>2</v>
      </c>
      <c r="I23" s="492">
        <f t="shared" si="1"/>
        <v>2</v>
      </c>
      <c r="J23" s="492">
        <f t="shared" si="1"/>
        <v>1</v>
      </c>
      <c r="K23" s="492">
        <f t="shared" si="1"/>
        <v>1</v>
      </c>
      <c r="L23" s="492">
        <f t="shared" si="1"/>
        <v>2</v>
      </c>
      <c r="M23" s="492">
        <f t="shared" si="1"/>
        <v>2</v>
      </c>
      <c r="N23" s="492">
        <f t="shared" si="1"/>
        <v>1</v>
      </c>
      <c r="O23" s="492">
        <f t="shared" si="1"/>
        <v>1</v>
      </c>
      <c r="P23" s="492">
        <f t="shared" si="1"/>
        <v>1</v>
      </c>
      <c r="Q23" s="492">
        <f t="shared" si="1"/>
        <v>1</v>
      </c>
      <c r="R23" s="492">
        <f t="shared" si="1"/>
        <v>1</v>
      </c>
      <c r="S23" s="492">
        <f t="shared" si="1"/>
        <v>1</v>
      </c>
      <c r="T23" s="492">
        <f t="shared" si="1"/>
        <v>1</v>
      </c>
      <c r="U23" s="492">
        <f t="shared" si="1"/>
        <v>1</v>
      </c>
      <c r="V23" s="492">
        <f t="shared" si="1"/>
        <v>1</v>
      </c>
      <c r="W23" s="492">
        <f t="shared" si="1"/>
        <v>1</v>
      </c>
      <c r="X23" s="492">
        <f t="shared" si="1"/>
        <v>1</v>
      </c>
      <c r="Y23" s="492">
        <f t="shared" si="1"/>
        <v>1</v>
      </c>
      <c r="Z23" s="492">
        <f t="shared" si="1"/>
        <v>1</v>
      </c>
      <c r="AA23" s="492">
        <f t="shared" si="1"/>
        <v>1</v>
      </c>
      <c r="AB23" s="492">
        <f t="shared" si="1"/>
        <v>2</v>
      </c>
      <c r="AC23" s="492">
        <f t="shared" si="1"/>
        <v>2</v>
      </c>
      <c r="AD23" s="492">
        <f t="shared" si="1"/>
        <v>1</v>
      </c>
      <c r="AE23" s="492">
        <f t="shared" si="1"/>
        <v>1</v>
      </c>
      <c r="AF23" s="492">
        <f t="shared" si="1"/>
        <v>1</v>
      </c>
      <c r="AG23" s="492">
        <f t="shared" si="1"/>
        <v>1</v>
      </c>
      <c r="AH23" s="492">
        <f t="shared" si="1"/>
        <v>1</v>
      </c>
      <c r="AI23" s="482">
        <f>COUNTIF(D23:AH23,"X")</f>
        <v>0</v>
      </c>
    </row>
    <row r="24" hidden="1">
      <c r="A24" s="462"/>
      <c r="B24" s="491" t="s">
        <v>476</v>
      </c>
      <c r="C24" s="492">
        <f t="shared" ref="C24:AH24" si="2">COUNTIF((C10:C20),"S")</f>
        <v>0</v>
      </c>
      <c r="D24" s="492">
        <f t="shared" si="2"/>
        <v>1</v>
      </c>
      <c r="E24" s="492">
        <f t="shared" si="2"/>
        <v>1</v>
      </c>
      <c r="F24" s="492">
        <f t="shared" si="2"/>
        <v>1</v>
      </c>
      <c r="G24" s="492">
        <f t="shared" si="2"/>
        <v>1</v>
      </c>
      <c r="H24" s="492">
        <f t="shared" si="2"/>
        <v>1</v>
      </c>
      <c r="I24" s="492">
        <f t="shared" si="2"/>
        <v>1</v>
      </c>
      <c r="J24" s="492">
        <f t="shared" si="2"/>
        <v>1</v>
      </c>
      <c r="K24" s="492">
        <f t="shared" si="2"/>
        <v>1</v>
      </c>
      <c r="L24" s="492">
        <f t="shared" si="2"/>
        <v>1</v>
      </c>
      <c r="M24" s="492">
        <f t="shared" si="2"/>
        <v>1</v>
      </c>
      <c r="N24" s="492">
        <f t="shared" si="2"/>
        <v>2</v>
      </c>
      <c r="O24" s="492">
        <f t="shared" si="2"/>
        <v>2</v>
      </c>
      <c r="P24" s="492">
        <f t="shared" si="2"/>
        <v>2</v>
      </c>
      <c r="Q24" s="492">
        <f t="shared" si="2"/>
        <v>2</v>
      </c>
      <c r="R24" s="492">
        <f t="shared" si="2"/>
        <v>2</v>
      </c>
      <c r="S24" s="492">
        <f t="shared" si="2"/>
        <v>1</v>
      </c>
      <c r="T24" s="492">
        <f t="shared" si="2"/>
        <v>1</v>
      </c>
      <c r="U24" s="492">
        <f t="shared" si="2"/>
        <v>1</v>
      </c>
      <c r="V24" s="492">
        <f t="shared" si="2"/>
        <v>1</v>
      </c>
      <c r="W24" s="492">
        <f t="shared" si="2"/>
        <v>1</v>
      </c>
      <c r="X24" s="492">
        <f t="shared" si="2"/>
        <v>1</v>
      </c>
      <c r="Y24" s="492">
        <f t="shared" si="2"/>
        <v>1</v>
      </c>
      <c r="Z24" s="492">
        <f t="shared" si="2"/>
        <v>1</v>
      </c>
      <c r="AA24" s="492">
        <f t="shared" si="2"/>
        <v>1</v>
      </c>
      <c r="AB24" s="492">
        <f t="shared" si="2"/>
        <v>1</v>
      </c>
      <c r="AC24" s="492">
        <f t="shared" si="2"/>
        <v>1</v>
      </c>
      <c r="AD24" s="492">
        <f t="shared" si="2"/>
        <v>1</v>
      </c>
      <c r="AE24" s="492">
        <f t="shared" si="2"/>
        <v>1</v>
      </c>
      <c r="AF24" s="492">
        <f t="shared" si="2"/>
        <v>1</v>
      </c>
      <c r="AG24" s="492">
        <f t="shared" si="2"/>
        <v>2</v>
      </c>
      <c r="AH24" s="492">
        <f t="shared" si="2"/>
        <v>2</v>
      </c>
      <c r="AI24" s="462"/>
    </row>
    <row r="25">
      <c r="A25" s="462"/>
      <c r="B25" s="462"/>
      <c r="C25" s="462"/>
      <c r="D25" s="462"/>
      <c r="E25" s="462"/>
      <c r="F25" s="462"/>
      <c r="G25" s="462"/>
      <c r="H25" s="462"/>
      <c r="I25" s="462"/>
      <c r="J25" s="462"/>
      <c r="K25" s="462"/>
      <c r="L25" s="462"/>
      <c r="M25" s="462"/>
      <c r="N25" s="462"/>
      <c r="O25" s="462"/>
      <c r="P25" s="462"/>
      <c r="Q25" s="462"/>
      <c r="R25" s="462"/>
      <c r="S25" s="462"/>
      <c r="T25" s="462"/>
      <c r="U25" s="462"/>
      <c r="V25" s="462"/>
      <c r="W25" s="462"/>
      <c r="X25" s="462"/>
      <c r="Y25" s="462"/>
      <c r="Z25" s="462"/>
      <c r="AA25" s="462"/>
      <c r="AB25" s="462"/>
      <c r="AC25" s="462"/>
      <c r="AD25" s="462"/>
      <c r="AE25" s="462"/>
      <c r="AF25" s="462"/>
      <c r="AG25" s="462"/>
      <c r="AH25" s="462"/>
      <c r="AI25" s="462"/>
    </row>
    <row r="26">
      <c r="A26" s="462"/>
      <c r="B26" s="462"/>
      <c r="C26" s="462"/>
      <c r="D26" s="462"/>
      <c r="E26" s="462"/>
      <c r="F26" s="462"/>
      <c r="G26" s="462"/>
      <c r="H26" s="462"/>
      <c r="I26" s="462"/>
      <c r="J26" s="462"/>
      <c r="K26" s="462"/>
      <c r="L26" s="462"/>
      <c r="M26" s="462"/>
      <c r="N26" s="462"/>
      <c r="O26" s="462"/>
      <c r="P26" s="462"/>
      <c r="Q26" s="462"/>
      <c r="R26" s="462"/>
      <c r="S26" s="462"/>
      <c r="T26" s="462"/>
      <c r="U26" s="462"/>
      <c r="V26" s="462"/>
      <c r="W26" s="462"/>
      <c r="X26" s="462"/>
      <c r="Y26" s="462"/>
      <c r="Z26" s="462"/>
      <c r="AA26" s="462"/>
      <c r="AB26" s="462"/>
      <c r="AC26" s="462"/>
      <c r="AD26" s="462"/>
      <c r="AE26" s="462"/>
      <c r="AF26" s="462"/>
      <c r="AG26" s="462"/>
      <c r="AH26" s="462"/>
      <c r="AI26" s="462"/>
    </row>
    <row r="27">
      <c r="A27" s="493" t="s">
        <v>477</v>
      </c>
      <c r="B27" s="494"/>
      <c r="C27" s="495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496" t="s">
        <v>478</v>
      </c>
      <c r="R27" s="497"/>
      <c r="S27" s="497"/>
      <c r="T27" s="497"/>
      <c r="U27" s="497"/>
      <c r="V27" s="497"/>
      <c r="W27" s="497"/>
      <c r="X27" s="497"/>
      <c r="Y27" s="497"/>
      <c r="Z27" s="497"/>
      <c r="AA27" s="497"/>
      <c r="AB27" s="498"/>
      <c r="AC27" s="462"/>
      <c r="AD27" s="462"/>
      <c r="AE27" s="462"/>
      <c r="AF27" s="462"/>
      <c r="AG27" s="462"/>
      <c r="AH27" s="462"/>
      <c r="AI27" s="462"/>
    </row>
    <row r="28">
      <c r="A28" s="499" t="s">
        <v>471</v>
      </c>
      <c r="B28" s="500" t="s">
        <v>479</v>
      </c>
      <c r="C28" s="501"/>
      <c r="D28" s="502"/>
      <c r="E28" s="502"/>
      <c r="F28" s="502"/>
      <c r="G28" s="502"/>
      <c r="H28" s="502"/>
      <c r="I28" s="502"/>
      <c r="J28" s="502"/>
      <c r="K28" s="502"/>
      <c r="L28" s="502"/>
      <c r="M28" s="502"/>
      <c r="N28" s="502"/>
      <c r="O28" s="502"/>
      <c r="P28" s="503"/>
      <c r="Q28" s="504" t="s">
        <v>474</v>
      </c>
      <c r="R28" s="505"/>
      <c r="S28" s="505"/>
      <c r="T28" s="506"/>
      <c r="U28" s="504" t="s">
        <v>480</v>
      </c>
      <c r="V28" s="505"/>
      <c r="W28" s="505"/>
      <c r="X28" s="506"/>
      <c r="Y28" s="504" t="s">
        <v>473</v>
      </c>
      <c r="Z28" s="505"/>
      <c r="AA28" s="505"/>
      <c r="AB28" s="506"/>
      <c r="AC28" s="462"/>
      <c r="AD28" s="462"/>
      <c r="AE28" s="462"/>
      <c r="AF28" s="462"/>
      <c r="AG28" s="462"/>
      <c r="AH28" s="462"/>
      <c r="AI28" s="462"/>
    </row>
    <row r="29">
      <c r="A29" s="507" t="s">
        <v>472</v>
      </c>
      <c r="B29" s="508" t="s">
        <v>13</v>
      </c>
      <c r="C29" s="501"/>
      <c r="D29" s="502"/>
      <c r="E29" s="502"/>
      <c r="F29" s="502"/>
      <c r="G29" s="502"/>
      <c r="H29" s="502"/>
      <c r="I29" s="502"/>
      <c r="J29" s="502"/>
      <c r="K29" s="502"/>
      <c r="L29" s="502"/>
      <c r="M29" s="502"/>
      <c r="N29" s="502"/>
      <c r="O29" s="502"/>
      <c r="P29" s="503"/>
      <c r="Q29" s="509"/>
      <c r="T29" s="510"/>
      <c r="U29" s="509"/>
      <c r="X29" s="510"/>
      <c r="Y29" s="509"/>
      <c r="AB29" s="510"/>
      <c r="AC29" s="462"/>
      <c r="AD29" s="462"/>
      <c r="AE29" s="462"/>
      <c r="AF29" s="462"/>
      <c r="AG29" s="462"/>
      <c r="AH29" s="462"/>
      <c r="AI29" s="462"/>
    </row>
    <row r="30">
      <c r="A30" s="511" t="s">
        <v>466</v>
      </c>
      <c r="B30" s="512" t="s">
        <v>481</v>
      </c>
      <c r="C30" s="501"/>
      <c r="D30" s="502"/>
      <c r="E30" s="502"/>
      <c r="F30" s="502"/>
      <c r="G30" s="502"/>
      <c r="H30" s="502"/>
      <c r="I30" s="502"/>
      <c r="J30" s="502"/>
      <c r="K30" s="502"/>
      <c r="L30" s="502"/>
      <c r="M30" s="502"/>
      <c r="N30" s="502"/>
      <c r="O30" s="502"/>
      <c r="P30" s="503"/>
      <c r="Q30" s="513"/>
      <c r="R30" s="502"/>
      <c r="S30" s="502"/>
      <c r="T30" s="503"/>
      <c r="U30" s="513"/>
      <c r="V30" s="502"/>
      <c r="W30" s="502"/>
      <c r="X30" s="503"/>
      <c r="Y30" s="513"/>
      <c r="Z30" s="502"/>
      <c r="AA30" s="502"/>
      <c r="AB30" s="503"/>
      <c r="AC30" s="462"/>
      <c r="AD30" s="462"/>
      <c r="AE30" s="462"/>
      <c r="AF30" s="462"/>
      <c r="AG30" s="462"/>
      <c r="AH30" s="462"/>
      <c r="AI30" s="462"/>
    </row>
    <row r="31">
      <c r="A31" s="462"/>
      <c r="B31" s="462"/>
      <c r="C31" s="462"/>
      <c r="D31" s="462"/>
      <c r="E31" s="462"/>
      <c r="F31" s="462"/>
      <c r="G31" s="462"/>
      <c r="H31" s="462"/>
      <c r="I31" s="462"/>
      <c r="J31" s="462"/>
      <c r="K31" s="462"/>
      <c r="L31" s="462"/>
      <c r="M31" s="462"/>
      <c r="N31" s="462"/>
      <c r="O31" s="462"/>
      <c r="P31" s="462"/>
      <c r="Q31" s="462"/>
      <c r="R31" s="462"/>
      <c r="S31" s="462"/>
      <c r="T31" s="462"/>
      <c r="U31" s="462"/>
      <c r="V31" s="462"/>
      <c r="W31" s="462"/>
      <c r="X31" s="462"/>
      <c r="Y31" s="462"/>
      <c r="Z31" s="462"/>
      <c r="AA31" s="462"/>
      <c r="AB31" s="462"/>
      <c r="AC31" s="462"/>
      <c r="AD31" s="462"/>
      <c r="AE31" s="462"/>
      <c r="AF31" s="462"/>
      <c r="AG31" s="462"/>
      <c r="AH31" s="462"/>
      <c r="AI31" s="462"/>
    </row>
    <row r="32">
      <c r="A32" s="514">
        <v>1.0</v>
      </c>
      <c r="B32" s="515" t="s">
        <v>482</v>
      </c>
      <c r="Z32" s="462"/>
      <c r="AA32" s="462"/>
      <c r="AB32" s="462"/>
      <c r="AC32" s="462"/>
      <c r="AD32" s="462"/>
      <c r="AE32" s="462"/>
      <c r="AF32" s="462"/>
      <c r="AG32" s="462"/>
      <c r="AH32" s="462"/>
      <c r="AI32" s="462"/>
    </row>
    <row r="33">
      <c r="A33" s="514">
        <v>2.0</v>
      </c>
      <c r="B33" s="515" t="s">
        <v>483</v>
      </c>
      <c r="U33" s="462"/>
      <c r="V33" s="462"/>
      <c r="W33" s="462"/>
      <c r="X33" s="462"/>
      <c r="Y33" s="462"/>
      <c r="Z33" s="462"/>
      <c r="AA33" s="462"/>
      <c r="AB33" s="462"/>
      <c r="AC33" s="462"/>
      <c r="AD33" s="462"/>
      <c r="AE33" s="462"/>
      <c r="AF33" s="462"/>
      <c r="AG33" s="462"/>
      <c r="AH33" s="462"/>
      <c r="AI33" s="462"/>
    </row>
    <row r="34">
      <c r="A34" s="462"/>
      <c r="B34" s="462"/>
      <c r="C34" s="462"/>
      <c r="D34" s="462"/>
      <c r="E34" s="462"/>
      <c r="F34" s="462"/>
      <c r="G34" s="462"/>
      <c r="H34" s="462"/>
      <c r="I34" s="462"/>
      <c r="J34" s="462"/>
      <c r="K34" s="462"/>
      <c r="L34" s="462"/>
      <c r="M34" s="462"/>
      <c r="N34" s="462"/>
      <c r="O34" s="462"/>
      <c r="P34" s="462"/>
      <c r="Q34" s="462"/>
      <c r="R34" s="462"/>
      <c r="S34" s="462"/>
      <c r="T34" s="462"/>
      <c r="U34" s="462"/>
      <c r="V34" s="462"/>
      <c r="W34" s="462"/>
      <c r="X34" s="462"/>
      <c r="Y34" s="462"/>
      <c r="Z34" s="462"/>
      <c r="AA34" s="462"/>
      <c r="AB34" s="462"/>
      <c r="AC34" s="462"/>
      <c r="AD34" s="462"/>
      <c r="AE34" s="462"/>
      <c r="AF34" s="462"/>
      <c r="AG34" s="462"/>
      <c r="AH34" s="462"/>
      <c r="AI34" s="462"/>
    </row>
    <row r="35">
      <c r="A35" s="462"/>
      <c r="B35" s="462"/>
      <c r="C35" s="462"/>
      <c r="D35" s="462"/>
      <c r="E35" s="462"/>
      <c r="F35" s="462"/>
      <c r="G35" s="462"/>
      <c r="H35" s="462"/>
      <c r="I35" s="462"/>
      <c r="J35" s="462"/>
      <c r="K35" s="462"/>
      <c r="L35" s="462"/>
      <c r="M35" s="462"/>
      <c r="N35" s="462"/>
      <c r="O35" s="462"/>
      <c r="P35" s="462"/>
      <c r="Q35" s="462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  <c r="AD35" s="462"/>
      <c r="AE35" s="462"/>
      <c r="AF35" s="462"/>
      <c r="AG35" s="462"/>
      <c r="AH35" s="462"/>
      <c r="AI35" s="462"/>
    </row>
    <row r="36">
      <c r="A36" s="516" t="s">
        <v>484</v>
      </c>
      <c r="B36" s="497"/>
      <c r="C36" s="497"/>
      <c r="D36" s="497"/>
      <c r="E36" s="497"/>
      <c r="F36" s="498"/>
      <c r="G36" s="517" t="s">
        <v>485</v>
      </c>
      <c r="H36" s="518"/>
      <c r="I36" s="518"/>
      <c r="J36" s="518"/>
      <c r="K36" s="518"/>
      <c r="L36" s="518"/>
      <c r="M36" s="518"/>
      <c r="N36" s="518"/>
      <c r="O36" s="518"/>
      <c r="P36" s="518"/>
      <c r="Q36" s="518"/>
      <c r="R36" s="518"/>
      <c r="S36" s="518"/>
      <c r="T36" s="518"/>
      <c r="U36" s="518"/>
      <c r="V36" s="518"/>
      <c r="W36" s="518"/>
      <c r="X36" s="518"/>
      <c r="Y36" s="518"/>
      <c r="Z36" s="518"/>
      <c r="AA36" s="518"/>
      <c r="AB36" s="518"/>
      <c r="AC36" s="518"/>
      <c r="AD36" s="519"/>
      <c r="AE36" s="462"/>
      <c r="AF36" s="462"/>
      <c r="AG36" s="462"/>
      <c r="AH36" s="462"/>
      <c r="AI36" s="462"/>
    </row>
    <row r="37">
      <c r="A37" s="520">
        <v>1.0</v>
      </c>
      <c r="B37" s="521" t="s">
        <v>480</v>
      </c>
      <c r="C37" s="522">
        <v>8.9616930217E10</v>
      </c>
      <c r="D37" s="497"/>
      <c r="E37" s="497"/>
      <c r="F37" s="498"/>
      <c r="G37" s="523" t="s">
        <v>486</v>
      </c>
      <c r="H37" s="321"/>
      <c r="I37" s="321"/>
      <c r="J37" s="321"/>
      <c r="K37" s="321"/>
      <c r="L37" s="321"/>
      <c r="M37" s="321"/>
      <c r="N37" s="322"/>
      <c r="O37" s="523" t="s">
        <v>487</v>
      </c>
      <c r="P37" s="321"/>
      <c r="Q37" s="321"/>
      <c r="R37" s="321"/>
      <c r="S37" s="321"/>
      <c r="T37" s="321"/>
      <c r="U37" s="321"/>
      <c r="V37" s="322"/>
      <c r="W37" s="523" t="s">
        <v>488</v>
      </c>
      <c r="X37" s="321"/>
      <c r="Y37" s="321"/>
      <c r="Z37" s="321"/>
      <c r="AA37" s="321"/>
      <c r="AB37" s="321"/>
      <c r="AC37" s="321"/>
      <c r="AD37" s="322"/>
      <c r="AE37" s="462"/>
      <c r="AF37" s="462"/>
      <c r="AG37" s="462"/>
      <c r="AH37" s="462"/>
      <c r="AI37" s="462"/>
    </row>
    <row r="38">
      <c r="A38" s="520">
        <v>2.0</v>
      </c>
      <c r="B38" s="521" t="s">
        <v>473</v>
      </c>
      <c r="C38" s="522">
        <v>8.1332847794E10</v>
      </c>
      <c r="D38" s="497"/>
      <c r="E38" s="497"/>
      <c r="F38" s="498"/>
      <c r="G38" s="524"/>
      <c r="H38" s="525"/>
      <c r="I38" s="525"/>
      <c r="J38" s="525"/>
      <c r="K38" s="525"/>
      <c r="L38" s="525"/>
      <c r="M38" s="525"/>
      <c r="N38" s="526"/>
      <c r="O38" s="524"/>
      <c r="P38" s="525"/>
      <c r="Q38" s="525"/>
      <c r="R38" s="525"/>
      <c r="S38" s="525"/>
      <c r="T38" s="525"/>
      <c r="U38" s="525"/>
      <c r="V38" s="526"/>
      <c r="W38" s="524"/>
      <c r="X38" s="525"/>
      <c r="Y38" s="525"/>
      <c r="Z38" s="525"/>
      <c r="AA38" s="525"/>
      <c r="AB38" s="525"/>
      <c r="AC38" s="525"/>
      <c r="AD38" s="526"/>
      <c r="AE38" s="462"/>
      <c r="AF38" s="462"/>
      <c r="AG38" s="462"/>
      <c r="AH38" s="462"/>
      <c r="AI38" s="462"/>
    </row>
    <row r="39">
      <c r="A39" s="520">
        <v>3.0</v>
      </c>
      <c r="B39" s="521" t="s">
        <v>489</v>
      </c>
      <c r="C39" s="522">
        <v>8.7853055999E10</v>
      </c>
      <c r="D39" s="497"/>
      <c r="E39" s="497"/>
      <c r="F39" s="498"/>
      <c r="G39" s="527"/>
      <c r="N39" s="528"/>
      <c r="O39" s="527"/>
      <c r="V39" s="528"/>
      <c r="W39" s="527"/>
      <c r="AD39" s="528"/>
      <c r="AE39" s="462"/>
      <c r="AF39" s="462"/>
      <c r="AG39" s="462"/>
      <c r="AH39" s="462"/>
      <c r="AI39" s="462"/>
    </row>
    <row r="40">
      <c r="A40" s="529"/>
      <c r="B40" s="530"/>
      <c r="C40" s="501"/>
      <c r="D40" s="502"/>
      <c r="E40" s="502"/>
      <c r="F40" s="503"/>
      <c r="G40" s="527"/>
      <c r="N40" s="528"/>
      <c r="O40" s="527"/>
      <c r="V40" s="528"/>
      <c r="W40" s="527"/>
      <c r="AD40" s="528"/>
      <c r="AE40" s="462"/>
      <c r="AF40" s="462"/>
      <c r="AG40" s="462"/>
      <c r="AH40" s="462"/>
      <c r="AI40" s="462"/>
    </row>
    <row r="41">
      <c r="A41" s="516" t="s">
        <v>490</v>
      </c>
      <c r="B41" s="497"/>
      <c r="C41" s="497"/>
      <c r="D41" s="497"/>
      <c r="E41" s="497"/>
      <c r="F41" s="498"/>
      <c r="G41" s="527"/>
      <c r="N41" s="528"/>
      <c r="O41" s="527"/>
      <c r="V41" s="528"/>
      <c r="W41" s="527"/>
      <c r="AD41" s="528"/>
      <c r="AE41" s="462"/>
      <c r="AF41" s="462"/>
      <c r="AG41" s="462"/>
      <c r="AH41" s="462"/>
      <c r="AI41" s="462"/>
    </row>
    <row r="42">
      <c r="A42" s="520">
        <v>1.0</v>
      </c>
      <c r="B42" s="521" t="s">
        <v>491</v>
      </c>
      <c r="C42" s="531">
        <v>8.133180917E9</v>
      </c>
      <c r="D42" s="505"/>
      <c r="E42" s="505"/>
      <c r="F42" s="532"/>
      <c r="G42" s="527"/>
      <c r="N42" s="528"/>
      <c r="O42" s="527"/>
      <c r="V42" s="528"/>
      <c r="W42" s="527"/>
      <c r="AD42" s="528"/>
      <c r="AE42" s="462"/>
      <c r="AF42" s="462"/>
      <c r="AG42" s="462"/>
      <c r="AH42" s="462"/>
      <c r="AI42" s="462"/>
    </row>
    <row r="43">
      <c r="A43" s="520">
        <v>2.0</v>
      </c>
      <c r="B43" s="533" t="s">
        <v>492</v>
      </c>
      <c r="C43" s="534" t="s">
        <v>493</v>
      </c>
      <c r="D43" s="535"/>
      <c r="E43" s="535"/>
      <c r="F43" s="536"/>
      <c r="G43" s="537"/>
      <c r="H43" s="538"/>
      <c r="I43" s="538"/>
      <c r="J43" s="538"/>
      <c r="K43" s="538"/>
      <c r="L43" s="538"/>
      <c r="M43" s="538"/>
      <c r="N43" s="539"/>
      <c r="O43" s="537"/>
      <c r="P43" s="538"/>
      <c r="Q43" s="538"/>
      <c r="R43" s="538"/>
      <c r="S43" s="538"/>
      <c r="T43" s="538"/>
      <c r="U43" s="538"/>
      <c r="V43" s="539"/>
      <c r="W43" s="537"/>
      <c r="X43" s="538"/>
      <c r="Y43" s="538"/>
      <c r="Z43" s="538"/>
      <c r="AA43" s="538"/>
      <c r="AB43" s="538"/>
      <c r="AC43" s="538"/>
      <c r="AD43" s="539"/>
      <c r="AE43" s="462"/>
      <c r="AF43" s="462"/>
      <c r="AG43" s="462"/>
      <c r="AH43" s="462"/>
      <c r="AI43" s="462"/>
    </row>
    <row r="44">
      <c r="A44" s="529"/>
      <c r="B44" s="530"/>
      <c r="C44" s="501"/>
      <c r="D44" s="502"/>
      <c r="E44" s="502"/>
      <c r="F44" s="503"/>
      <c r="G44" s="540" t="s">
        <v>491</v>
      </c>
      <c r="H44" s="321"/>
      <c r="I44" s="321"/>
      <c r="J44" s="321"/>
      <c r="K44" s="321"/>
      <c r="L44" s="321"/>
      <c r="M44" s="321"/>
      <c r="N44" s="322"/>
      <c r="O44" s="523" t="s">
        <v>492</v>
      </c>
      <c r="P44" s="321"/>
      <c r="Q44" s="321"/>
      <c r="R44" s="321"/>
      <c r="S44" s="321"/>
      <c r="T44" s="321"/>
      <c r="U44" s="321"/>
      <c r="V44" s="322"/>
      <c r="W44" s="540" t="s">
        <v>494</v>
      </c>
      <c r="X44" s="321"/>
      <c r="Y44" s="321"/>
      <c r="Z44" s="321"/>
      <c r="AA44" s="321"/>
      <c r="AB44" s="321"/>
      <c r="AC44" s="321"/>
      <c r="AD44" s="322"/>
      <c r="AE44" s="462"/>
      <c r="AF44" s="462"/>
      <c r="AG44" s="462"/>
      <c r="AH44" s="462"/>
      <c r="AI44" s="462"/>
    </row>
    <row r="45">
      <c r="A45" s="529"/>
      <c r="B45" s="530"/>
      <c r="C45" s="541"/>
      <c r="D45" s="497"/>
      <c r="E45" s="497"/>
      <c r="F45" s="498"/>
      <c r="G45" s="542" t="s">
        <v>495</v>
      </c>
      <c r="H45" s="502"/>
      <c r="I45" s="502"/>
      <c r="J45" s="502"/>
      <c r="K45" s="502"/>
      <c r="L45" s="502"/>
      <c r="M45" s="502"/>
      <c r="N45" s="503"/>
      <c r="O45" s="543" t="s">
        <v>496</v>
      </c>
      <c r="P45" s="502"/>
      <c r="Q45" s="502"/>
      <c r="R45" s="502"/>
      <c r="S45" s="502"/>
      <c r="T45" s="502"/>
      <c r="U45" s="502"/>
      <c r="V45" s="503"/>
      <c r="W45" s="543" t="s">
        <v>497</v>
      </c>
      <c r="X45" s="502"/>
      <c r="Y45" s="502"/>
      <c r="Z45" s="502"/>
      <c r="AA45" s="502"/>
      <c r="AB45" s="502"/>
      <c r="AC45" s="502"/>
      <c r="AD45" s="503"/>
      <c r="AE45" s="462"/>
      <c r="AF45" s="462"/>
      <c r="AG45" s="462"/>
      <c r="AH45" s="462"/>
      <c r="AI45" s="462"/>
    </row>
  </sheetData>
  <mergeCells count="37">
    <mergeCell ref="Q28:T30"/>
    <mergeCell ref="U28:X30"/>
    <mergeCell ref="Y28:AB30"/>
    <mergeCell ref="A7:AH7"/>
    <mergeCell ref="A8:A9"/>
    <mergeCell ref="B8:B9"/>
    <mergeCell ref="C27:P27"/>
    <mergeCell ref="Q27:AB27"/>
    <mergeCell ref="C28:P28"/>
    <mergeCell ref="B3:AF3"/>
    <mergeCell ref="C29:P29"/>
    <mergeCell ref="C30:P30"/>
    <mergeCell ref="B32:Y32"/>
    <mergeCell ref="B33:T33"/>
    <mergeCell ref="A36:F36"/>
    <mergeCell ref="G36:AD36"/>
    <mergeCell ref="C37:F37"/>
    <mergeCell ref="W37:AD37"/>
    <mergeCell ref="C40:F40"/>
    <mergeCell ref="A41:F41"/>
    <mergeCell ref="C45:F45"/>
    <mergeCell ref="G37:N37"/>
    <mergeCell ref="O37:V37"/>
    <mergeCell ref="C38:F38"/>
    <mergeCell ref="G38:N43"/>
    <mergeCell ref="O38:V43"/>
    <mergeCell ref="W38:AD43"/>
    <mergeCell ref="C39:F39"/>
    <mergeCell ref="O45:V45"/>
    <mergeCell ref="W45:AD45"/>
    <mergeCell ref="C42:F42"/>
    <mergeCell ref="C43:F43"/>
    <mergeCell ref="C44:F44"/>
    <mergeCell ref="G44:N44"/>
    <mergeCell ref="O44:V44"/>
    <mergeCell ref="W44:AD44"/>
    <mergeCell ref="G45:N4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29"/>
    <col customWidth="1" min="3" max="4" width="9.0"/>
    <col customWidth="1" min="5" max="5" width="9.29"/>
    <col customWidth="1" min="6" max="6" width="8.43"/>
    <col customWidth="1" min="7" max="7" width="7.43"/>
    <col customWidth="1" min="8" max="8" width="7.0"/>
    <col customWidth="1" min="9" max="9" width="6.86"/>
    <col customWidth="1" min="10" max="10" width="7.57"/>
    <col customWidth="1" min="11" max="11" width="6.86"/>
    <col customWidth="1" min="12" max="12" width="7.14"/>
    <col customWidth="1" min="13" max="13" width="6.86"/>
    <col customWidth="1" min="14" max="14" width="7.14"/>
    <col customWidth="1" min="15" max="15" width="7.43"/>
    <col customWidth="1" min="16" max="17" width="7.29"/>
    <col customWidth="1" min="18" max="18" width="7.43"/>
    <col customWidth="1" min="19" max="19" width="8.0"/>
    <col customWidth="1" min="20" max="20" width="7.86"/>
    <col customWidth="1" min="21" max="21" width="7.71"/>
    <col customWidth="1" min="22" max="22" width="7.43"/>
    <col customWidth="1" min="23" max="23" width="7.29"/>
    <col customWidth="1" min="24" max="25" width="7.71"/>
    <col customWidth="1" min="26" max="26" width="7.86"/>
    <col customWidth="1" min="27" max="27" width="7.43"/>
    <col customWidth="1" min="28" max="29" width="7.71"/>
    <col customWidth="1" min="30" max="30" width="7.57"/>
    <col customWidth="1" min="31" max="31" width="7.43"/>
    <col customWidth="1" min="32" max="32" width="7.71"/>
    <col customWidth="1" min="33" max="33" width="7.43"/>
    <col customWidth="1" min="34" max="34" width="7.86"/>
  </cols>
  <sheetData>
    <row r="1">
      <c r="A1" s="462"/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2"/>
      <c r="N1" s="462"/>
      <c r="O1" s="462"/>
      <c r="P1" s="462"/>
      <c r="Q1" s="462"/>
      <c r="R1" s="462"/>
      <c r="S1" s="462"/>
      <c r="T1" s="462"/>
      <c r="U1" s="462"/>
      <c r="V1" s="462"/>
      <c r="W1" s="462"/>
      <c r="X1" s="462"/>
      <c r="Y1" s="462"/>
      <c r="Z1" s="462"/>
      <c r="AA1" s="462"/>
      <c r="AB1" s="462"/>
      <c r="AC1" s="462"/>
      <c r="AD1" s="462"/>
      <c r="AE1" s="462"/>
      <c r="AF1" s="462"/>
      <c r="AG1" s="462"/>
      <c r="AH1" s="462"/>
      <c r="AI1" s="462"/>
    </row>
    <row r="2">
      <c r="A2" s="463"/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  <c r="V2" s="462"/>
      <c r="W2" s="462"/>
      <c r="X2" s="462"/>
      <c r="Y2" s="462"/>
      <c r="Z2" s="462"/>
      <c r="AA2" s="462"/>
      <c r="AB2" s="462"/>
      <c r="AC2" s="462"/>
      <c r="AD2" s="462"/>
      <c r="AE2" s="462"/>
      <c r="AF2" s="462"/>
      <c r="AG2" s="462"/>
      <c r="AH2" s="462"/>
      <c r="AI2" s="462"/>
    </row>
    <row r="3">
      <c r="A3" s="463"/>
      <c r="B3" s="464" t="s">
        <v>498</v>
      </c>
      <c r="AG3" s="462"/>
      <c r="AH3" s="462"/>
      <c r="AI3" s="462"/>
    </row>
    <row r="4">
      <c r="A4" s="463"/>
      <c r="B4" s="462"/>
      <c r="C4" s="462"/>
      <c r="D4" s="462"/>
      <c r="E4" s="462"/>
      <c r="F4" s="462"/>
      <c r="G4" s="462"/>
      <c r="H4" s="462"/>
      <c r="I4" s="462"/>
      <c r="J4" s="462"/>
      <c r="K4" s="462"/>
      <c r="L4" s="462"/>
      <c r="M4" s="462"/>
      <c r="N4" s="462"/>
      <c r="O4" s="462"/>
      <c r="P4" s="462"/>
      <c r="Q4" s="462"/>
      <c r="R4" s="462"/>
      <c r="S4" s="462"/>
      <c r="T4" s="462"/>
      <c r="U4" s="462"/>
      <c r="V4" s="462"/>
      <c r="W4" s="462"/>
      <c r="X4" s="462"/>
      <c r="Y4" s="462"/>
      <c r="Z4" s="462"/>
      <c r="AA4" s="462"/>
      <c r="AB4" s="462"/>
      <c r="AC4" s="462"/>
      <c r="AD4" s="462"/>
      <c r="AE4" s="462"/>
      <c r="AF4" s="462"/>
      <c r="AG4" s="462"/>
      <c r="AH4" s="462"/>
      <c r="AI4" s="462"/>
    </row>
    <row r="5">
      <c r="A5" s="463"/>
      <c r="B5" s="462"/>
      <c r="C5" s="462"/>
      <c r="D5" s="462"/>
      <c r="E5" s="462"/>
      <c r="F5" s="462"/>
      <c r="G5" s="462"/>
      <c r="H5" s="462"/>
      <c r="I5" s="462"/>
      <c r="J5" s="462"/>
      <c r="K5" s="462"/>
      <c r="L5" s="462"/>
      <c r="M5" s="462"/>
      <c r="N5" s="462"/>
      <c r="O5" s="462"/>
      <c r="P5" s="462"/>
      <c r="Q5" s="462"/>
      <c r="R5" s="462"/>
      <c r="S5" s="462"/>
      <c r="T5" s="462"/>
      <c r="U5" s="462"/>
      <c r="V5" s="462"/>
      <c r="W5" s="462"/>
      <c r="X5" s="462"/>
      <c r="Y5" s="462"/>
      <c r="Z5" s="462"/>
      <c r="AA5" s="462"/>
      <c r="AB5" s="462"/>
      <c r="AC5" s="462"/>
      <c r="AD5" s="462"/>
      <c r="AE5" s="462"/>
      <c r="AF5" s="462"/>
      <c r="AG5" s="462"/>
      <c r="AH5" s="462"/>
      <c r="AI5" s="462"/>
    </row>
    <row r="6">
      <c r="A6" s="463"/>
      <c r="B6" s="462"/>
      <c r="C6" s="462"/>
      <c r="D6" s="462"/>
      <c r="E6" s="462"/>
      <c r="F6" s="462"/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  <c r="AA6" s="462"/>
      <c r="AB6" s="462"/>
      <c r="AC6" s="462"/>
      <c r="AD6" s="462"/>
      <c r="AE6" s="462"/>
      <c r="AF6" s="462"/>
      <c r="AG6" s="462"/>
      <c r="AH6" s="462"/>
      <c r="AI6" s="462"/>
    </row>
    <row r="7">
      <c r="A7" s="465">
        <v>46082.0</v>
      </c>
      <c r="B7" s="279"/>
      <c r="C7" s="279"/>
      <c r="D7" s="279"/>
      <c r="E7" s="279"/>
      <c r="F7" s="279"/>
      <c r="G7" s="279"/>
      <c r="H7" s="279"/>
      <c r="I7" s="279"/>
      <c r="J7" s="279"/>
      <c r="K7" s="279"/>
      <c r="L7" s="279"/>
      <c r="M7" s="279"/>
      <c r="N7" s="279"/>
      <c r="O7" s="279"/>
      <c r="P7" s="279"/>
      <c r="Q7" s="279"/>
      <c r="R7" s="279"/>
      <c r="S7" s="279"/>
      <c r="T7" s="279"/>
      <c r="U7" s="279"/>
      <c r="V7" s="279"/>
      <c r="W7" s="279"/>
      <c r="X7" s="279"/>
      <c r="Y7" s="279"/>
      <c r="Z7" s="279"/>
      <c r="AA7" s="279"/>
      <c r="AB7" s="279"/>
      <c r="AC7" s="279"/>
      <c r="AD7" s="279"/>
      <c r="AE7" s="279"/>
      <c r="AF7" s="279"/>
      <c r="AG7" s="279"/>
      <c r="AH7" s="279"/>
      <c r="AI7" s="466"/>
    </row>
    <row r="8">
      <c r="A8" s="467" t="s">
        <v>463</v>
      </c>
      <c r="B8" s="467" t="s">
        <v>464</v>
      </c>
      <c r="C8" s="468"/>
      <c r="D8" s="469" t="s">
        <v>465</v>
      </c>
      <c r="E8" s="470" t="s">
        <v>466</v>
      </c>
      <c r="F8" s="470" t="s">
        <v>466</v>
      </c>
      <c r="G8" s="470" t="s">
        <v>467</v>
      </c>
      <c r="H8" s="470" t="s">
        <v>468</v>
      </c>
      <c r="I8" s="470" t="s">
        <v>469</v>
      </c>
      <c r="J8" s="470" t="s">
        <v>466</v>
      </c>
      <c r="K8" s="469" t="s">
        <v>465</v>
      </c>
      <c r="L8" s="470" t="s">
        <v>466</v>
      </c>
      <c r="M8" s="470" t="s">
        <v>466</v>
      </c>
      <c r="N8" s="470" t="s">
        <v>467</v>
      </c>
      <c r="O8" s="470" t="s">
        <v>468</v>
      </c>
      <c r="P8" s="470" t="s">
        <v>469</v>
      </c>
      <c r="Q8" s="470" t="s">
        <v>466</v>
      </c>
      <c r="R8" s="469" t="s">
        <v>465</v>
      </c>
      <c r="S8" s="470" t="s">
        <v>466</v>
      </c>
      <c r="T8" s="470" t="s">
        <v>466</v>
      </c>
      <c r="U8" s="471" t="s">
        <v>467</v>
      </c>
      <c r="V8" s="472" t="s">
        <v>468</v>
      </c>
      <c r="W8" s="470" t="s">
        <v>469</v>
      </c>
      <c r="X8" s="473" t="s">
        <v>466</v>
      </c>
      <c r="Y8" s="469" t="s">
        <v>465</v>
      </c>
      <c r="Z8" s="471" t="s">
        <v>466</v>
      </c>
      <c r="AA8" s="470" t="s">
        <v>466</v>
      </c>
      <c r="AB8" s="471" t="s">
        <v>467</v>
      </c>
      <c r="AC8" s="474" t="s">
        <v>468</v>
      </c>
      <c r="AD8" s="470" t="s">
        <v>469</v>
      </c>
      <c r="AE8" s="470" t="s">
        <v>466</v>
      </c>
      <c r="AF8" s="469" t="s">
        <v>465</v>
      </c>
      <c r="AG8" s="471" t="s">
        <v>466</v>
      </c>
      <c r="AH8" s="470" t="s">
        <v>466</v>
      </c>
      <c r="AI8" s="475"/>
    </row>
    <row r="9">
      <c r="A9" s="48"/>
      <c r="B9" s="48"/>
      <c r="C9" s="470">
        <v>28.0</v>
      </c>
      <c r="D9" s="469">
        <v>1.0</v>
      </c>
      <c r="E9" s="470">
        <v>2.0</v>
      </c>
      <c r="F9" s="470">
        <v>3.0</v>
      </c>
      <c r="G9" s="470">
        <v>4.0</v>
      </c>
      <c r="H9" s="470">
        <v>5.0</v>
      </c>
      <c r="I9" s="470">
        <v>6.0</v>
      </c>
      <c r="J9" s="470">
        <v>7.0</v>
      </c>
      <c r="K9" s="469">
        <v>8.0</v>
      </c>
      <c r="L9" s="470">
        <v>9.0</v>
      </c>
      <c r="M9" s="470">
        <v>10.0</v>
      </c>
      <c r="N9" s="470">
        <v>11.0</v>
      </c>
      <c r="O9" s="470">
        <v>12.0</v>
      </c>
      <c r="P9" s="470">
        <v>13.0</v>
      </c>
      <c r="Q9" s="470">
        <v>14.0</v>
      </c>
      <c r="R9" s="469">
        <v>15.0</v>
      </c>
      <c r="S9" s="470">
        <v>16.0</v>
      </c>
      <c r="T9" s="470">
        <v>17.0</v>
      </c>
      <c r="U9" s="470">
        <v>18.0</v>
      </c>
      <c r="V9" s="469">
        <v>19.0</v>
      </c>
      <c r="W9" s="470">
        <v>20.0</v>
      </c>
      <c r="X9" s="469">
        <v>21.0</v>
      </c>
      <c r="Y9" s="469">
        <v>22.0</v>
      </c>
      <c r="Z9" s="470">
        <v>23.0</v>
      </c>
      <c r="AA9" s="470">
        <v>24.0</v>
      </c>
      <c r="AB9" s="470">
        <v>25.0</v>
      </c>
      <c r="AC9" s="470">
        <v>26.0</v>
      </c>
      <c r="AD9" s="470">
        <v>27.0</v>
      </c>
      <c r="AE9" s="470">
        <v>28.0</v>
      </c>
      <c r="AF9" s="469">
        <v>29.0</v>
      </c>
      <c r="AG9" s="470">
        <v>30.0</v>
      </c>
      <c r="AH9" s="476">
        <v>31.0</v>
      </c>
      <c r="AI9" s="475"/>
    </row>
    <row r="10">
      <c r="A10" s="544">
        <v>1.0</v>
      </c>
      <c r="B10" s="545" t="s">
        <v>499</v>
      </c>
      <c r="C10" s="546"/>
      <c r="D10" s="547" t="s">
        <v>471</v>
      </c>
      <c r="E10" s="547" t="s">
        <v>471</v>
      </c>
      <c r="F10" s="547" t="s">
        <v>471</v>
      </c>
      <c r="G10" s="547" t="s">
        <v>471</v>
      </c>
      <c r="H10" s="547" t="s">
        <v>471</v>
      </c>
      <c r="I10" s="547" t="s">
        <v>471</v>
      </c>
      <c r="J10" s="547" t="s">
        <v>471</v>
      </c>
      <c r="K10" s="547" t="s">
        <v>471</v>
      </c>
      <c r="L10" s="548" t="s">
        <v>472</v>
      </c>
      <c r="M10" s="547" t="s">
        <v>466</v>
      </c>
      <c r="N10" s="547" t="s">
        <v>466</v>
      </c>
      <c r="O10" s="547" t="s">
        <v>466</v>
      </c>
      <c r="P10" s="547" t="s">
        <v>466</v>
      </c>
      <c r="Q10" s="548" t="s">
        <v>472</v>
      </c>
      <c r="R10" s="547" t="s">
        <v>471</v>
      </c>
      <c r="S10" s="547" t="s">
        <v>471</v>
      </c>
      <c r="T10" s="547" t="s">
        <v>471</v>
      </c>
      <c r="U10" s="547" t="s">
        <v>471</v>
      </c>
      <c r="V10" s="547" t="s">
        <v>471</v>
      </c>
      <c r="W10" s="547" t="s">
        <v>471</v>
      </c>
      <c r="X10" s="547" t="s">
        <v>471</v>
      </c>
      <c r="Y10" s="547" t="s">
        <v>471</v>
      </c>
      <c r="Z10" s="547" t="s">
        <v>471</v>
      </c>
      <c r="AA10" s="547" t="s">
        <v>471</v>
      </c>
      <c r="AB10" s="547" t="s">
        <v>471</v>
      </c>
      <c r="AC10" s="547" t="s">
        <v>471</v>
      </c>
      <c r="AD10" s="547" t="s">
        <v>471</v>
      </c>
      <c r="AE10" s="547" t="s">
        <v>471</v>
      </c>
      <c r="AF10" s="547" t="s">
        <v>471</v>
      </c>
      <c r="AG10" s="548" t="s">
        <v>472</v>
      </c>
      <c r="AH10" s="548" t="s">
        <v>472</v>
      </c>
      <c r="AI10" s="482">
        <f>COUNTIF(#REF!,"X")</f>
        <v>0</v>
      </c>
    </row>
    <row r="11">
      <c r="A11" s="549"/>
      <c r="B11" s="546"/>
      <c r="C11" s="546"/>
      <c r="D11" s="546"/>
      <c r="E11" s="546"/>
      <c r="F11" s="546"/>
      <c r="G11" s="546"/>
      <c r="H11" s="546"/>
      <c r="I11" s="546"/>
      <c r="J11" s="546"/>
      <c r="K11" s="546"/>
      <c r="L11" s="546"/>
      <c r="M11" s="546"/>
      <c r="N11" s="546"/>
      <c r="O11" s="546"/>
      <c r="P11" s="546"/>
      <c r="Q11" s="546"/>
      <c r="R11" s="546"/>
      <c r="S11" s="546"/>
      <c r="T11" s="546"/>
      <c r="U11" s="546"/>
      <c r="V11" s="546"/>
      <c r="W11" s="546"/>
      <c r="X11" s="546"/>
      <c r="Y11" s="546"/>
      <c r="Z11" s="546"/>
      <c r="AA11" s="546"/>
      <c r="AB11" s="546"/>
      <c r="AC11" s="546"/>
      <c r="AD11" s="546"/>
      <c r="AE11" s="546"/>
      <c r="AF11" s="546"/>
      <c r="AG11" s="546"/>
      <c r="AH11" s="546"/>
      <c r="AI11" s="462"/>
    </row>
    <row r="12">
      <c r="A12" s="544">
        <v>2.0</v>
      </c>
      <c r="B12" s="550" t="s">
        <v>500</v>
      </c>
      <c r="C12" s="546"/>
      <c r="D12" s="547" t="s">
        <v>466</v>
      </c>
      <c r="E12" s="547" t="s">
        <v>466</v>
      </c>
      <c r="F12" s="547" t="s">
        <v>466</v>
      </c>
      <c r="G12" s="547" t="s">
        <v>466</v>
      </c>
      <c r="H12" s="547" t="s">
        <v>466</v>
      </c>
      <c r="I12" s="547" t="s">
        <v>466</v>
      </c>
      <c r="J12" s="547" t="s">
        <v>466</v>
      </c>
      <c r="K12" s="547" t="s">
        <v>466</v>
      </c>
      <c r="L12" s="547" t="s">
        <v>466</v>
      </c>
      <c r="M12" s="548" t="s">
        <v>472</v>
      </c>
      <c r="N12" s="547" t="s">
        <v>471</v>
      </c>
      <c r="O12" s="547" t="s">
        <v>471</v>
      </c>
      <c r="P12" s="547" t="s">
        <v>471</v>
      </c>
      <c r="Q12" s="547" t="s">
        <v>471</v>
      </c>
      <c r="R12" s="548" t="s">
        <v>472</v>
      </c>
      <c r="S12" s="547" t="s">
        <v>466</v>
      </c>
      <c r="T12" s="547" t="s">
        <v>466</v>
      </c>
      <c r="U12" s="547" t="s">
        <v>466</v>
      </c>
      <c r="V12" s="547" t="s">
        <v>466</v>
      </c>
      <c r="W12" s="547" t="s">
        <v>466</v>
      </c>
      <c r="X12" s="547" t="s">
        <v>466</v>
      </c>
      <c r="Y12" s="547" t="s">
        <v>466</v>
      </c>
      <c r="Z12" s="547" t="s">
        <v>466</v>
      </c>
      <c r="AA12" s="547" t="s">
        <v>466</v>
      </c>
      <c r="AB12" s="547" t="s">
        <v>466</v>
      </c>
      <c r="AC12" s="547" t="s">
        <v>466</v>
      </c>
      <c r="AD12" s="547" t="s">
        <v>466</v>
      </c>
      <c r="AE12" s="547" t="s">
        <v>466</v>
      </c>
      <c r="AF12" s="547" t="s">
        <v>466</v>
      </c>
      <c r="AG12" s="547" t="s">
        <v>471</v>
      </c>
      <c r="AH12" s="547" t="s">
        <v>471</v>
      </c>
      <c r="AI12" s="482">
        <f>COUNTIF(#REF!,"X")</f>
        <v>0</v>
      </c>
    </row>
    <row r="13">
      <c r="A13" s="549"/>
      <c r="B13" s="551"/>
      <c r="C13" s="551"/>
      <c r="D13" s="551"/>
      <c r="E13" s="551"/>
      <c r="F13" s="551"/>
      <c r="G13" s="551"/>
      <c r="H13" s="551"/>
      <c r="I13" s="551"/>
      <c r="J13" s="551"/>
      <c r="K13" s="551"/>
      <c r="L13" s="551"/>
      <c r="M13" s="551"/>
      <c r="N13" s="551"/>
      <c r="O13" s="551"/>
      <c r="P13" s="551"/>
      <c r="Q13" s="551"/>
      <c r="R13" s="551"/>
      <c r="S13" s="551"/>
      <c r="T13" s="551"/>
      <c r="U13" s="551"/>
      <c r="V13" s="551"/>
      <c r="W13" s="551"/>
      <c r="X13" s="551"/>
      <c r="Y13" s="551"/>
      <c r="Z13" s="551"/>
      <c r="AA13" s="551"/>
      <c r="AB13" s="551"/>
      <c r="AC13" s="551"/>
      <c r="AD13" s="551"/>
      <c r="AE13" s="551"/>
      <c r="AF13" s="551"/>
      <c r="AG13" s="551"/>
      <c r="AH13" s="551"/>
      <c r="AI13" s="462"/>
    </row>
    <row r="14">
      <c r="A14" s="547">
        <v>3.0</v>
      </c>
      <c r="B14" s="552" t="s">
        <v>474</v>
      </c>
      <c r="C14" s="486"/>
      <c r="D14" s="544" t="s">
        <v>471</v>
      </c>
      <c r="E14" s="544" t="s">
        <v>471</v>
      </c>
      <c r="F14" s="544" t="s">
        <v>471</v>
      </c>
      <c r="G14" s="544" t="s">
        <v>471</v>
      </c>
      <c r="H14" s="544" t="s">
        <v>471</v>
      </c>
      <c r="I14" s="544" t="s">
        <v>471</v>
      </c>
      <c r="J14" s="544" t="s">
        <v>471</v>
      </c>
      <c r="K14" s="544" t="s">
        <v>471</v>
      </c>
      <c r="L14" s="547" t="s">
        <v>471</v>
      </c>
      <c r="M14" s="547" t="s">
        <v>471</v>
      </c>
      <c r="N14" s="553" t="s">
        <v>466</v>
      </c>
      <c r="O14" s="547" t="s">
        <v>466</v>
      </c>
      <c r="P14" s="547" t="s">
        <v>466</v>
      </c>
      <c r="Q14" s="547" t="s">
        <v>466</v>
      </c>
      <c r="R14" s="547" t="s">
        <v>466</v>
      </c>
      <c r="S14" s="553" t="s">
        <v>466</v>
      </c>
      <c r="T14" s="553" t="s">
        <v>466</v>
      </c>
      <c r="U14" s="488" t="s">
        <v>472</v>
      </c>
      <c r="V14" s="488" t="s">
        <v>472</v>
      </c>
      <c r="W14" s="488" t="s">
        <v>472</v>
      </c>
      <c r="X14" s="488" t="s">
        <v>472</v>
      </c>
      <c r="Y14" s="488" t="s">
        <v>472</v>
      </c>
      <c r="Z14" s="544" t="s">
        <v>471</v>
      </c>
      <c r="AA14" s="544" t="s">
        <v>471</v>
      </c>
      <c r="AB14" s="547" t="s">
        <v>471</v>
      </c>
      <c r="AC14" s="547" t="s">
        <v>471</v>
      </c>
      <c r="AD14" s="547" t="s">
        <v>471</v>
      </c>
      <c r="AE14" s="554" t="s">
        <v>472</v>
      </c>
      <c r="AF14" s="553" t="s">
        <v>466</v>
      </c>
      <c r="AG14" s="553" t="s">
        <v>466</v>
      </c>
      <c r="AH14" s="553" t="s">
        <v>466</v>
      </c>
      <c r="AI14" s="482">
        <f>COUNTIF(C10:AH10,"X")</f>
        <v>4</v>
      </c>
    </row>
    <row r="15">
      <c r="A15" s="486"/>
      <c r="B15" s="163"/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462"/>
    </row>
    <row r="16">
      <c r="A16" s="487"/>
      <c r="B16" s="163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482">
        <f>COUNTIF(C12:AH12,"X")</f>
        <v>2</v>
      </c>
    </row>
    <row r="17">
      <c r="A17" s="486"/>
      <c r="B17" s="163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  <c r="AA17" s="163"/>
      <c r="AB17" s="163"/>
      <c r="AC17" s="163"/>
      <c r="AD17" s="163"/>
      <c r="AE17" s="163"/>
      <c r="AF17" s="163"/>
      <c r="AG17" s="163"/>
      <c r="AH17" s="163"/>
      <c r="AI17" s="462"/>
    </row>
    <row r="18">
      <c r="A18" s="555"/>
      <c r="B18" s="163"/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482">
        <f>COUNTIF(C14:AH14,"X")</f>
        <v>6</v>
      </c>
    </row>
    <row r="19">
      <c r="A19" s="490"/>
      <c r="B19" s="490"/>
      <c r="C19" s="486"/>
      <c r="D19" s="486"/>
      <c r="E19" s="486"/>
      <c r="F19" s="486"/>
      <c r="G19" s="486"/>
      <c r="H19" s="486"/>
      <c r="I19" s="486"/>
      <c r="K19" s="486"/>
      <c r="L19" s="486"/>
      <c r="M19" s="486"/>
      <c r="N19" s="486"/>
      <c r="O19" s="486"/>
      <c r="P19" s="486"/>
      <c r="Q19" s="486"/>
      <c r="R19" s="486"/>
      <c r="S19" s="486"/>
      <c r="T19" s="486"/>
      <c r="U19" s="486"/>
      <c r="V19" s="486"/>
      <c r="W19" s="486"/>
      <c r="X19" s="486"/>
      <c r="Y19" s="486"/>
      <c r="Z19" s="486"/>
      <c r="AA19" s="486"/>
      <c r="AB19" s="486"/>
      <c r="AC19" s="486"/>
      <c r="AD19" s="486"/>
      <c r="AE19" s="486"/>
      <c r="AF19" s="486"/>
      <c r="AG19" s="486"/>
      <c r="AH19" s="486"/>
      <c r="AI19" s="462"/>
    </row>
    <row r="20">
      <c r="A20" s="490"/>
      <c r="B20" s="490"/>
      <c r="C20" s="486"/>
      <c r="D20" s="486"/>
      <c r="E20" s="486"/>
      <c r="F20" s="486"/>
      <c r="G20" s="486"/>
      <c r="H20" s="486"/>
      <c r="I20" s="486"/>
      <c r="J20" s="486"/>
      <c r="K20" s="486"/>
      <c r="L20" s="486"/>
      <c r="M20" s="486"/>
      <c r="N20" s="486"/>
      <c r="O20" s="486"/>
      <c r="P20" s="486"/>
      <c r="Q20" s="486"/>
      <c r="R20" s="486"/>
      <c r="S20" s="486"/>
      <c r="T20" s="486"/>
      <c r="U20" s="486"/>
      <c r="V20" s="486"/>
      <c r="W20" s="486"/>
      <c r="X20" s="486"/>
      <c r="Y20" s="486"/>
      <c r="Z20" s="486"/>
      <c r="AA20" s="486"/>
      <c r="AB20" s="486"/>
      <c r="AC20" s="486"/>
      <c r="AD20" s="486"/>
      <c r="AE20" s="486"/>
      <c r="AF20" s="486"/>
      <c r="AG20" s="486"/>
      <c r="AH20" s="486"/>
      <c r="AI20" s="482">
        <f>COUNTIF(C20:AH20,"X")</f>
        <v>0</v>
      </c>
    </row>
    <row r="21">
      <c r="A21" s="490"/>
      <c r="B21" s="490"/>
      <c r="C21" s="486"/>
      <c r="D21" s="486"/>
      <c r="E21" s="486"/>
      <c r="F21" s="486"/>
      <c r="G21" s="486"/>
      <c r="H21" s="486"/>
      <c r="I21" s="486"/>
      <c r="J21" s="486"/>
      <c r="K21" s="486"/>
      <c r="L21" s="486"/>
      <c r="M21" s="486"/>
      <c r="N21" s="486"/>
      <c r="O21" s="486"/>
      <c r="P21" s="486"/>
      <c r="Q21" s="486"/>
      <c r="R21" s="486"/>
      <c r="S21" s="486"/>
      <c r="T21" s="486"/>
      <c r="U21" s="486"/>
      <c r="V21" s="486"/>
      <c r="W21" s="486"/>
      <c r="X21" s="486"/>
      <c r="Y21" s="486"/>
      <c r="Z21" s="486"/>
      <c r="AA21" s="486"/>
      <c r="AB21" s="486"/>
      <c r="AC21" s="486"/>
      <c r="AD21" s="486"/>
      <c r="AE21" s="486"/>
      <c r="AF21" s="486"/>
      <c r="AG21" s="486"/>
      <c r="AH21" s="486"/>
      <c r="AI21" s="482">
        <f>COUNTIF(D21:AH21,"X")</f>
        <v>0</v>
      </c>
    </row>
    <row r="22">
      <c r="A22" s="462"/>
      <c r="B22" s="462"/>
      <c r="C22" s="462"/>
      <c r="D22" s="462"/>
      <c r="E22" s="462"/>
      <c r="F22" s="462"/>
      <c r="G22" s="462"/>
      <c r="H22" s="462"/>
      <c r="I22" s="462"/>
      <c r="J22" s="462"/>
      <c r="K22" s="462"/>
      <c r="L22" s="462"/>
      <c r="M22" s="462"/>
      <c r="N22" s="462"/>
      <c r="O22" s="462"/>
      <c r="P22" s="462"/>
      <c r="Q22" s="462"/>
      <c r="R22" s="462"/>
      <c r="S22" s="462"/>
      <c r="T22" s="462"/>
      <c r="U22" s="462"/>
      <c r="V22" s="462"/>
      <c r="W22" s="462"/>
      <c r="X22" s="462"/>
      <c r="Y22" s="462"/>
      <c r="Z22" s="462"/>
      <c r="AA22" s="462"/>
      <c r="AB22" s="462"/>
      <c r="AC22" s="462"/>
      <c r="AD22" s="462"/>
      <c r="AE22" s="462"/>
      <c r="AF22" s="462"/>
      <c r="AG22" s="462"/>
      <c r="AH22" s="462"/>
      <c r="AI22" s="462"/>
    </row>
    <row r="23">
      <c r="A23" s="462"/>
      <c r="B23" s="491" t="s">
        <v>475</v>
      </c>
      <c r="C23" s="492">
        <f t="shared" ref="C23:AH23" si="1">COUNTIF((C10:C20),"P")</f>
        <v>0</v>
      </c>
      <c r="D23" s="492">
        <f t="shared" si="1"/>
        <v>2</v>
      </c>
      <c r="E23" s="492">
        <f t="shared" si="1"/>
        <v>2</v>
      </c>
      <c r="F23" s="492">
        <f t="shared" si="1"/>
        <v>2</v>
      </c>
      <c r="G23" s="492">
        <f t="shared" si="1"/>
        <v>2</v>
      </c>
      <c r="H23" s="492">
        <f t="shared" si="1"/>
        <v>2</v>
      </c>
      <c r="I23" s="492">
        <f t="shared" si="1"/>
        <v>2</v>
      </c>
      <c r="J23" s="492">
        <f t="shared" si="1"/>
        <v>2</v>
      </c>
      <c r="K23" s="492">
        <f t="shared" si="1"/>
        <v>2</v>
      </c>
      <c r="L23" s="492">
        <f t="shared" si="1"/>
        <v>1</v>
      </c>
      <c r="M23" s="492">
        <f t="shared" si="1"/>
        <v>1</v>
      </c>
      <c r="N23" s="492">
        <f t="shared" si="1"/>
        <v>1</v>
      </c>
      <c r="O23" s="492">
        <f t="shared" si="1"/>
        <v>1</v>
      </c>
      <c r="P23" s="492">
        <f t="shared" si="1"/>
        <v>1</v>
      </c>
      <c r="Q23" s="492">
        <f t="shared" si="1"/>
        <v>1</v>
      </c>
      <c r="R23" s="492">
        <f t="shared" si="1"/>
        <v>1</v>
      </c>
      <c r="S23" s="492">
        <f t="shared" si="1"/>
        <v>1</v>
      </c>
      <c r="T23" s="492">
        <f t="shared" si="1"/>
        <v>1</v>
      </c>
      <c r="U23" s="492">
        <f t="shared" si="1"/>
        <v>1</v>
      </c>
      <c r="V23" s="492">
        <f t="shared" si="1"/>
        <v>1</v>
      </c>
      <c r="W23" s="492">
        <f t="shared" si="1"/>
        <v>1</v>
      </c>
      <c r="X23" s="492">
        <f t="shared" si="1"/>
        <v>1</v>
      </c>
      <c r="Y23" s="492">
        <f t="shared" si="1"/>
        <v>1</v>
      </c>
      <c r="Z23" s="492">
        <f t="shared" si="1"/>
        <v>2</v>
      </c>
      <c r="AA23" s="492">
        <f t="shared" si="1"/>
        <v>2</v>
      </c>
      <c r="AB23" s="492">
        <f t="shared" si="1"/>
        <v>2</v>
      </c>
      <c r="AC23" s="492">
        <f t="shared" si="1"/>
        <v>2</v>
      </c>
      <c r="AD23" s="492">
        <f t="shared" si="1"/>
        <v>2</v>
      </c>
      <c r="AE23" s="492">
        <f t="shared" si="1"/>
        <v>1</v>
      </c>
      <c r="AF23" s="492">
        <f t="shared" si="1"/>
        <v>1</v>
      </c>
      <c r="AG23" s="492">
        <f t="shared" si="1"/>
        <v>1</v>
      </c>
      <c r="AH23" s="492">
        <f t="shared" si="1"/>
        <v>1</v>
      </c>
      <c r="AI23" s="482">
        <f>COUNTIF(D23:AH23,"X")</f>
        <v>0</v>
      </c>
    </row>
    <row r="24">
      <c r="A24" s="462"/>
      <c r="B24" s="491" t="s">
        <v>476</v>
      </c>
      <c r="C24" s="492">
        <f t="shared" ref="C24:AH24" si="2">COUNTIF((C10:C20),"S")</f>
        <v>0</v>
      </c>
      <c r="D24" s="492">
        <f t="shared" si="2"/>
        <v>1</v>
      </c>
      <c r="E24" s="492">
        <f t="shared" si="2"/>
        <v>1</v>
      </c>
      <c r="F24" s="492">
        <f t="shared" si="2"/>
        <v>1</v>
      </c>
      <c r="G24" s="492">
        <f t="shared" si="2"/>
        <v>1</v>
      </c>
      <c r="H24" s="492">
        <f t="shared" si="2"/>
        <v>1</v>
      </c>
      <c r="I24" s="492">
        <f t="shared" si="2"/>
        <v>1</v>
      </c>
      <c r="J24" s="492">
        <f t="shared" si="2"/>
        <v>1</v>
      </c>
      <c r="K24" s="492">
        <f t="shared" si="2"/>
        <v>1</v>
      </c>
      <c r="L24" s="492">
        <f t="shared" si="2"/>
        <v>1</v>
      </c>
      <c r="M24" s="492">
        <f t="shared" si="2"/>
        <v>1</v>
      </c>
      <c r="N24" s="492">
        <f t="shared" si="2"/>
        <v>2</v>
      </c>
      <c r="O24" s="492">
        <f t="shared" si="2"/>
        <v>2</v>
      </c>
      <c r="P24" s="492">
        <f t="shared" si="2"/>
        <v>2</v>
      </c>
      <c r="Q24" s="492">
        <f t="shared" si="2"/>
        <v>1</v>
      </c>
      <c r="R24" s="492">
        <f t="shared" si="2"/>
        <v>1</v>
      </c>
      <c r="S24" s="492">
        <f t="shared" si="2"/>
        <v>2</v>
      </c>
      <c r="T24" s="492">
        <f t="shared" si="2"/>
        <v>2</v>
      </c>
      <c r="U24" s="492">
        <f t="shared" si="2"/>
        <v>1</v>
      </c>
      <c r="V24" s="492">
        <f t="shared" si="2"/>
        <v>1</v>
      </c>
      <c r="W24" s="492">
        <f t="shared" si="2"/>
        <v>1</v>
      </c>
      <c r="X24" s="492">
        <f t="shared" si="2"/>
        <v>1</v>
      </c>
      <c r="Y24" s="492">
        <f t="shared" si="2"/>
        <v>1</v>
      </c>
      <c r="Z24" s="492">
        <f t="shared" si="2"/>
        <v>1</v>
      </c>
      <c r="AA24" s="492">
        <f t="shared" si="2"/>
        <v>1</v>
      </c>
      <c r="AB24" s="492">
        <f t="shared" si="2"/>
        <v>1</v>
      </c>
      <c r="AC24" s="492">
        <f t="shared" si="2"/>
        <v>1</v>
      </c>
      <c r="AD24" s="492">
        <f t="shared" si="2"/>
        <v>1</v>
      </c>
      <c r="AE24" s="492">
        <f t="shared" si="2"/>
        <v>1</v>
      </c>
      <c r="AF24" s="492">
        <f t="shared" si="2"/>
        <v>2</v>
      </c>
      <c r="AG24" s="492">
        <f t="shared" si="2"/>
        <v>1</v>
      </c>
      <c r="AH24" s="492">
        <f t="shared" si="2"/>
        <v>1</v>
      </c>
      <c r="AI24" s="462"/>
    </row>
    <row r="25">
      <c r="A25" s="462"/>
      <c r="B25" s="462"/>
      <c r="C25" s="462"/>
      <c r="D25" s="462"/>
      <c r="E25" s="462"/>
      <c r="F25" s="462"/>
      <c r="G25" s="462"/>
      <c r="H25" s="462"/>
      <c r="I25" s="462"/>
      <c r="J25" s="462"/>
      <c r="K25" s="462"/>
      <c r="L25" s="462"/>
      <c r="M25" s="462"/>
      <c r="N25" s="462"/>
      <c r="O25" s="462"/>
      <c r="P25" s="462"/>
      <c r="Q25" s="462"/>
      <c r="R25" s="462"/>
      <c r="S25" s="462"/>
      <c r="T25" s="462"/>
      <c r="U25" s="462"/>
      <c r="V25" s="462"/>
      <c r="W25" s="462"/>
      <c r="X25" s="462"/>
      <c r="Y25" s="462"/>
      <c r="Z25" s="462"/>
      <c r="AA25" s="462"/>
      <c r="AB25" s="462"/>
      <c r="AC25" s="462"/>
      <c r="AD25" s="462"/>
      <c r="AE25" s="462"/>
      <c r="AF25" s="462"/>
      <c r="AG25" s="462"/>
      <c r="AH25" s="462"/>
      <c r="AI25" s="462"/>
    </row>
    <row r="26">
      <c r="A26" s="462"/>
      <c r="B26" s="462"/>
      <c r="C26" s="462"/>
      <c r="D26" s="462"/>
      <c r="E26" s="462"/>
      <c r="F26" s="462"/>
      <c r="G26" s="462"/>
      <c r="H26" s="462"/>
      <c r="I26" s="462"/>
      <c r="J26" s="462"/>
      <c r="K26" s="462"/>
      <c r="L26" s="462"/>
      <c r="M26" s="462"/>
      <c r="N26" s="462"/>
      <c r="O26" s="462"/>
      <c r="P26" s="462"/>
      <c r="Q26" s="462"/>
      <c r="R26" s="462"/>
      <c r="S26" s="462"/>
      <c r="T26" s="462"/>
      <c r="U26" s="462"/>
      <c r="V26" s="462"/>
      <c r="W26" s="462"/>
      <c r="X26" s="462"/>
      <c r="Y26" s="462"/>
      <c r="Z26" s="462"/>
      <c r="AA26" s="462"/>
      <c r="AB26" s="462"/>
      <c r="AC26" s="462"/>
      <c r="AD26" s="462"/>
      <c r="AE26" s="462"/>
      <c r="AF26" s="462"/>
      <c r="AG26" s="462"/>
      <c r="AH26" s="462"/>
      <c r="AI26" s="462"/>
    </row>
    <row r="27">
      <c r="A27" s="493" t="s">
        <v>477</v>
      </c>
      <c r="B27" s="494"/>
      <c r="C27" s="495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496" t="s">
        <v>478</v>
      </c>
      <c r="R27" s="497"/>
      <c r="S27" s="497"/>
      <c r="T27" s="497"/>
      <c r="U27" s="497"/>
      <c r="V27" s="497"/>
      <c r="W27" s="497"/>
      <c r="X27" s="497"/>
      <c r="Y27" s="497"/>
      <c r="Z27" s="497"/>
      <c r="AA27" s="497"/>
      <c r="AB27" s="498"/>
      <c r="AC27" s="462"/>
      <c r="AD27" s="462"/>
      <c r="AE27" s="462"/>
      <c r="AF27" s="462"/>
      <c r="AG27" s="462"/>
      <c r="AH27" s="462"/>
      <c r="AI27" s="462"/>
    </row>
    <row r="28">
      <c r="A28" s="499" t="s">
        <v>471</v>
      </c>
      <c r="B28" s="512" t="s">
        <v>501</v>
      </c>
      <c r="C28" s="501"/>
      <c r="D28" s="502"/>
      <c r="E28" s="502"/>
      <c r="F28" s="502"/>
      <c r="G28" s="502"/>
      <c r="H28" s="502"/>
      <c r="I28" s="502"/>
      <c r="J28" s="502"/>
      <c r="K28" s="502"/>
      <c r="L28" s="502"/>
      <c r="M28" s="502"/>
      <c r="N28" s="502"/>
      <c r="O28" s="502"/>
      <c r="P28" s="503"/>
      <c r="Q28" s="504" t="s">
        <v>489</v>
      </c>
      <c r="R28" s="505"/>
      <c r="S28" s="505"/>
      <c r="T28" s="506"/>
      <c r="U28" s="504" t="s">
        <v>502</v>
      </c>
      <c r="V28" s="505"/>
      <c r="W28" s="505"/>
      <c r="X28" s="506"/>
      <c r="Y28" s="504" t="s">
        <v>500</v>
      </c>
      <c r="Z28" s="505"/>
      <c r="AA28" s="505"/>
      <c r="AB28" s="506"/>
      <c r="AC28" s="462"/>
      <c r="AD28" s="462"/>
      <c r="AE28" s="462"/>
      <c r="AF28" s="462"/>
      <c r="AG28" s="462"/>
      <c r="AH28" s="462"/>
      <c r="AI28" s="462"/>
    </row>
    <row r="29">
      <c r="A29" s="507" t="s">
        <v>472</v>
      </c>
      <c r="B29" s="508" t="s">
        <v>13</v>
      </c>
      <c r="C29" s="501"/>
      <c r="D29" s="502"/>
      <c r="E29" s="502"/>
      <c r="F29" s="502"/>
      <c r="G29" s="502"/>
      <c r="H29" s="502"/>
      <c r="I29" s="502"/>
      <c r="J29" s="502"/>
      <c r="K29" s="502"/>
      <c r="L29" s="502"/>
      <c r="M29" s="502"/>
      <c r="N29" s="502"/>
      <c r="O29" s="502"/>
      <c r="P29" s="503"/>
      <c r="Q29" s="509"/>
      <c r="T29" s="510"/>
      <c r="U29" s="509"/>
      <c r="X29" s="510"/>
      <c r="Y29" s="509"/>
      <c r="AB29" s="510"/>
      <c r="AC29" s="462"/>
      <c r="AD29" s="462"/>
      <c r="AE29" s="462"/>
      <c r="AF29" s="462"/>
      <c r="AG29" s="462"/>
      <c r="AH29" s="462"/>
      <c r="AI29" s="462"/>
    </row>
    <row r="30">
      <c r="A30" s="511" t="s">
        <v>466</v>
      </c>
      <c r="B30" s="512" t="s">
        <v>481</v>
      </c>
      <c r="C30" s="501"/>
      <c r="D30" s="502"/>
      <c r="E30" s="502"/>
      <c r="F30" s="502"/>
      <c r="G30" s="502"/>
      <c r="H30" s="502"/>
      <c r="I30" s="502"/>
      <c r="J30" s="502"/>
      <c r="K30" s="502"/>
      <c r="L30" s="502"/>
      <c r="M30" s="502"/>
      <c r="N30" s="502"/>
      <c r="O30" s="502"/>
      <c r="P30" s="503"/>
      <c r="Q30" s="513"/>
      <c r="R30" s="502"/>
      <c r="S30" s="502"/>
      <c r="T30" s="503"/>
      <c r="U30" s="513"/>
      <c r="V30" s="502"/>
      <c r="W30" s="502"/>
      <c r="X30" s="503"/>
      <c r="Y30" s="513"/>
      <c r="Z30" s="502"/>
      <c r="AA30" s="502"/>
      <c r="AB30" s="503"/>
      <c r="AC30" s="462"/>
      <c r="AD30" s="462"/>
      <c r="AE30" s="462"/>
      <c r="AF30" s="462"/>
      <c r="AG30" s="462"/>
      <c r="AH30" s="462"/>
      <c r="AI30" s="462"/>
    </row>
    <row r="31">
      <c r="A31" s="462"/>
      <c r="B31" s="462"/>
      <c r="C31" s="462"/>
      <c r="D31" s="462"/>
      <c r="E31" s="462"/>
      <c r="F31" s="462"/>
      <c r="G31" s="462"/>
      <c r="H31" s="462"/>
      <c r="I31" s="462"/>
      <c r="J31" s="462"/>
      <c r="K31" s="462"/>
      <c r="L31" s="462"/>
      <c r="M31" s="462"/>
      <c r="N31" s="462"/>
      <c r="O31" s="462"/>
      <c r="P31" s="462"/>
      <c r="Q31" s="462"/>
      <c r="R31" s="462"/>
      <c r="S31" s="462"/>
      <c r="T31" s="462"/>
      <c r="U31" s="462"/>
      <c r="V31" s="462"/>
      <c r="W31" s="462"/>
      <c r="X31" s="462"/>
      <c r="Y31" s="462"/>
      <c r="Z31" s="462"/>
      <c r="AA31" s="462"/>
      <c r="AB31" s="462"/>
      <c r="AC31" s="462"/>
      <c r="AD31" s="462"/>
      <c r="AE31" s="462"/>
      <c r="AF31" s="462"/>
      <c r="AG31" s="462"/>
      <c r="AH31" s="462"/>
      <c r="AI31" s="462"/>
    </row>
    <row r="32">
      <c r="A32" s="514">
        <v>1.0</v>
      </c>
      <c r="B32" s="515" t="s">
        <v>482</v>
      </c>
      <c r="Z32" s="462"/>
      <c r="AA32" s="462"/>
      <c r="AB32" s="462"/>
      <c r="AC32" s="462"/>
      <c r="AD32" s="462"/>
      <c r="AE32" s="462"/>
      <c r="AF32" s="462"/>
      <c r="AG32" s="462"/>
      <c r="AH32" s="462"/>
      <c r="AI32" s="462"/>
    </row>
    <row r="33">
      <c r="A33" s="514">
        <v>2.0</v>
      </c>
      <c r="B33" s="515" t="s">
        <v>483</v>
      </c>
      <c r="U33" s="462"/>
      <c r="V33" s="462"/>
      <c r="W33" s="462"/>
      <c r="X33" s="462"/>
      <c r="Y33" s="462"/>
      <c r="Z33" s="462"/>
      <c r="AA33" s="462"/>
      <c r="AB33" s="462"/>
      <c r="AC33" s="462"/>
      <c r="AD33" s="462"/>
      <c r="AE33" s="462"/>
      <c r="AF33" s="462"/>
      <c r="AG33" s="462"/>
      <c r="AH33" s="462"/>
      <c r="AI33" s="462"/>
    </row>
    <row r="34">
      <c r="A34" s="462"/>
      <c r="B34" s="462"/>
      <c r="C34" s="462"/>
      <c r="D34" s="462"/>
      <c r="E34" s="462"/>
      <c r="F34" s="462"/>
      <c r="G34" s="462"/>
      <c r="H34" s="462"/>
      <c r="I34" s="462"/>
      <c r="J34" s="462"/>
      <c r="K34" s="462"/>
      <c r="L34" s="462"/>
      <c r="M34" s="462"/>
      <c r="N34" s="462"/>
      <c r="O34" s="462"/>
      <c r="P34" s="462"/>
      <c r="Q34" s="462"/>
      <c r="R34" s="462"/>
      <c r="S34" s="462"/>
      <c r="T34" s="462"/>
      <c r="U34" s="462"/>
      <c r="V34" s="462"/>
      <c r="W34" s="462"/>
      <c r="X34" s="462"/>
      <c r="Y34" s="462"/>
      <c r="Z34" s="462"/>
      <c r="AA34" s="462"/>
      <c r="AB34" s="462"/>
      <c r="AC34" s="462"/>
      <c r="AD34" s="462"/>
      <c r="AE34" s="462"/>
      <c r="AF34" s="462"/>
      <c r="AG34" s="462"/>
      <c r="AH34" s="462"/>
      <c r="AI34" s="462"/>
    </row>
    <row r="35">
      <c r="A35" s="462"/>
      <c r="B35" s="462"/>
      <c r="C35" s="462"/>
      <c r="D35" s="462"/>
      <c r="E35" s="462"/>
      <c r="F35" s="462"/>
      <c r="G35" s="462"/>
      <c r="H35" s="462"/>
      <c r="I35" s="462"/>
      <c r="J35" s="462"/>
      <c r="K35" s="462"/>
      <c r="L35" s="462"/>
      <c r="M35" s="462"/>
      <c r="N35" s="462"/>
      <c r="O35" s="462"/>
      <c r="P35" s="462"/>
      <c r="Q35" s="462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  <c r="AD35" s="462"/>
      <c r="AE35" s="462"/>
      <c r="AF35" s="462"/>
      <c r="AG35" s="462"/>
      <c r="AH35" s="462"/>
      <c r="AI35" s="462"/>
    </row>
    <row r="36">
      <c r="A36" s="516" t="s">
        <v>484</v>
      </c>
      <c r="B36" s="497"/>
      <c r="C36" s="497"/>
      <c r="D36" s="497"/>
      <c r="E36" s="497"/>
      <c r="F36" s="498"/>
      <c r="G36" s="517" t="s">
        <v>485</v>
      </c>
      <c r="H36" s="518"/>
      <c r="I36" s="518"/>
      <c r="J36" s="518"/>
      <c r="K36" s="518"/>
      <c r="L36" s="518"/>
      <c r="M36" s="518"/>
      <c r="N36" s="518"/>
      <c r="O36" s="518"/>
      <c r="P36" s="518"/>
      <c r="Q36" s="518"/>
      <c r="R36" s="518"/>
      <c r="S36" s="518"/>
      <c r="T36" s="518"/>
      <c r="U36" s="518"/>
      <c r="V36" s="518"/>
      <c r="W36" s="518"/>
      <c r="X36" s="518"/>
      <c r="Y36" s="518"/>
      <c r="Z36" s="518"/>
      <c r="AA36" s="518"/>
      <c r="AB36" s="518"/>
      <c r="AC36" s="518"/>
      <c r="AD36" s="519"/>
      <c r="AE36" s="462"/>
      <c r="AF36" s="462"/>
      <c r="AG36" s="462"/>
      <c r="AH36" s="462"/>
      <c r="AI36" s="462"/>
    </row>
    <row r="37">
      <c r="A37" s="520">
        <v>1.0</v>
      </c>
      <c r="B37" s="521" t="s">
        <v>480</v>
      </c>
      <c r="C37" s="522">
        <v>8.9616930217E10</v>
      </c>
      <c r="D37" s="497"/>
      <c r="E37" s="497"/>
      <c r="F37" s="498"/>
      <c r="G37" s="523" t="s">
        <v>486</v>
      </c>
      <c r="H37" s="321"/>
      <c r="I37" s="321"/>
      <c r="J37" s="321"/>
      <c r="K37" s="321"/>
      <c r="L37" s="321"/>
      <c r="M37" s="321"/>
      <c r="N37" s="322"/>
      <c r="O37" s="523" t="s">
        <v>487</v>
      </c>
      <c r="P37" s="321"/>
      <c r="Q37" s="321"/>
      <c r="R37" s="321"/>
      <c r="S37" s="321"/>
      <c r="T37" s="321"/>
      <c r="U37" s="321"/>
      <c r="V37" s="322"/>
      <c r="W37" s="523" t="s">
        <v>488</v>
      </c>
      <c r="X37" s="321"/>
      <c r="Y37" s="321"/>
      <c r="Z37" s="321"/>
      <c r="AA37" s="321"/>
      <c r="AB37" s="321"/>
      <c r="AC37" s="321"/>
      <c r="AD37" s="322"/>
      <c r="AE37" s="462"/>
      <c r="AF37" s="462"/>
      <c r="AG37" s="462"/>
      <c r="AH37" s="462"/>
      <c r="AI37" s="462"/>
    </row>
    <row r="38">
      <c r="A38" s="520">
        <v>2.0</v>
      </c>
      <c r="B38" s="521" t="s">
        <v>473</v>
      </c>
      <c r="C38" s="522">
        <v>8.1332847794E10</v>
      </c>
      <c r="D38" s="497"/>
      <c r="E38" s="497"/>
      <c r="F38" s="498"/>
      <c r="G38" s="524"/>
      <c r="H38" s="525"/>
      <c r="I38" s="525"/>
      <c r="J38" s="525"/>
      <c r="K38" s="525"/>
      <c r="L38" s="525"/>
      <c r="M38" s="525"/>
      <c r="N38" s="526"/>
      <c r="O38" s="524"/>
      <c r="P38" s="525"/>
      <c r="Q38" s="525"/>
      <c r="R38" s="525"/>
      <c r="S38" s="525"/>
      <c r="T38" s="525"/>
      <c r="U38" s="525"/>
      <c r="V38" s="526"/>
      <c r="W38" s="524"/>
      <c r="X38" s="525"/>
      <c r="Y38" s="525"/>
      <c r="Z38" s="525"/>
      <c r="AA38" s="525"/>
      <c r="AB38" s="525"/>
      <c r="AC38" s="525"/>
      <c r="AD38" s="526"/>
      <c r="AE38" s="462"/>
      <c r="AF38" s="462"/>
      <c r="AG38" s="462"/>
      <c r="AH38" s="462"/>
      <c r="AI38" s="462"/>
    </row>
    <row r="39">
      <c r="A39" s="520">
        <v>3.0</v>
      </c>
      <c r="B39" s="521" t="s">
        <v>489</v>
      </c>
      <c r="C39" s="522">
        <v>8.7853055999E10</v>
      </c>
      <c r="D39" s="497"/>
      <c r="E39" s="497"/>
      <c r="F39" s="498"/>
      <c r="G39" s="527"/>
      <c r="N39" s="528"/>
      <c r="O39" s="527"/>
      <c r="V39" s="528"/>
      <c r="W39" s="527"/>
      <c r="AD39" s="528"/>
      <c r="AE39" s="462"/>
      <c r="AF39" s="462"/>
      <c r="AG39" s="462"/>
      <c r="AH39" s="462"/>
      <c r="AI39" s="462"/>
    </row>
    <row r="40">
      <c r="A40" s="529"/>
      <c r="B40" s="530"/>
      <c r="C40" s="501"/>
      <c r="D40" s="502"/>
      <c r="E40" s="502"/>
      <c r="F40" s="503"/>
      <c r="G40" s="527"/>
      <c r="N40" s="528"/>
      <c r="O40" s="527"/>
      <c r="V40" s="528"/>
      <c r="W40" s="527"/>
      <c r="AD40" s="528"/>
      <c r="AE40" s="462"/>
      <c r="AF40" s="462"/>
      <c r="AG40" s="462"/>
      <c r="AH40" s="462"/>
      <c r="AI40" s="462"/>
    </row>
    <row r="41">
      <c r="A41" s="516" t="s">
        <v>490</v>
      </c>
      <c r="B41" s="497"/>
      <c r="C41" s="497"/>
      <c r="D41" s="497"/>
      <c r="E41" s="497"/>
      <c r="F41" s="498"/>
      <c r="G41" s="527"/>
      <c r="N41" s="528"/>
      <c r="O41" s="527"/>
      <c r="V41" s="528"/>
      <c r="W41" s="527"/>
      <c r="AD41" s="528"/>
      <c r="AE41" s="462"/>
      <c r="AF41" s="462"/>
      <c r="AG41" s="462"/>
      <c r="AH41" s="462"/>
      <c r="AI41" s="462"/>
    </row>
    <row r="42">
      <c r="A42" s="520">
        <v>1.0</v>
      </c>
      <c r="B42" s="521" t="s">
        <v>491</v>
      </c>
      <c r="C42" s="531">
        <v>8.133180917E9</v>
      </c>
      <c r="D42" s="505"/>
      <c r="E42" s="505"/>
      <c r="F42" s="532"/>
      <c r="G42" s="527"/>
      <c r="N42" s="528"/>
      <c r="O42" s="527"/>
      <c r="V42" s="528"/>
      <c r="W42" s="527"/>
      <c r="AD42" s="528"/>
      <c r="AE42" s="462"/>
      <c r="AF42" s="462"/>
      <c r="AG42" s="462"/>
      <c r="AH42" s="462"/>
      <c r="AI42" s="462"/>
    </row>
    <row r="43">
      <c r="A43" s="520">
        <v>2.0</v>
      </c>
      <c r="B43" s="533" t="s">
        <v>492</v>
      </c>
      <c r="C43" s="534" t="s">
        <v>493</v>
      </c>
      <c r="D43" s="535"/>
      <c r="E43" s="535"/>
      <c r="F43" s="536"/>
      <c r="G43" s="537"/>
      <c r="H43" s="538"/>
      <c r="I43" s="538"/>
      <c r="J43" s="538"/>
      <c r="K43" s="538"/>
      <c r="L43" s="538"/>
      <c r="M43" s="538"/>
      <c r="N43" s="539"/>
      <c r="O43" s="537"/>
      <c r="P43" s="538"/>
      <c r="Q43" s="538"/>
      <c r="R43" s="538"/>
      <c r="S43" s="538"/>
      <c r="T43" s="538"/>
      <c r="U43" s="538"/>
      <c r="V43" s="539"/>
      <c r="W43" s="537"/>
      <c r="X43" s="538"/>
      <c r="Y43" s="538"/>
      <c r="Z43" s="538"/>
      <c r="AA43" s="538"/>
      <c r="AB43" s="538"/>
      <c r="AC43" s="538"/>
      <c r="AD43" s="539"/>
      <c r="AE43" s="462"/>
      <c r="AF43" s="462"/>
      <c r="AG43" s="462"/>
      <c r="AH43" s="462"/>
      <c r="AI43" s="462"/>
    </row>
    <row r="44">
      <c r="A44" s="529"/>
      <c r="B44" s="530"/>
      <c r="C44" s="501"/>
      <c r="D44" s="502"/>
      <c r="E44" s="502"/>
      <c r="F44" s="503"/>
      <c r="G44" s="540" t="s">
        <v>491</v>
      </c>
      <c r="H44" s="321"/>
      <c r="I44" s="321"/>
      <c r="J44" s="321"/>
      <c r="K44" s="321"/>
      <c r="L44" s="321"/>
      <c r="M44" s="321"/>
      <c r="N44" s="322"/>
      <c r="O44" s="523" t="s">
        <v>492</v>
      </c>
      <c r="P44" s="321"/>
      <c r="Q44" s="321"/>
      <c r="R44" s="321"/>
      <c r="S44" s="321"/>
      <c r="T44" s="321"/>
      <c r="U44" s="321"/>
      <c r="V44" s="322"/>
      <c r="W44" s="556"/>
      <c r="X44" s="321"/>
      <c r="Y44" s="321"/>
      <c r="Z44" s="321"/>
      <c r="AA44" s="321"/>
      <c r="AB44" s="321"/>
      <c r="AC44" s="321"/>
      <c r="AD44" s="322"/>
      <c r="AE44" s="462"/>
      <c r="AF44" s="462"/>
      <c r="AG44" s="462"/>
      <c r="AH44" s="462"/>
      <c r="AI44" s="462"/>
    </row>
    <row r="45">
      <c r="A45" s="529"/>
      <c r="B45" s="530"/>
      <c r="C45" s="541"/>
      <c r="D45" s="497"/>
      <c r="E45" s="497"/>
      <c r="F45" s="498"/>
      <c r="G45" s="542" t="s">
        <v>495</v>
      </c>
      <c r="H45" s="502"/>
      <c r="I45" s="502"/>
      <c r="J45" s="502"/>
      <c r="K45" s="502"/>
      <c r="L45" s="502"/>
      <c r="M45" s="502"/>
      <c r="N45" s="503"/>
      <c r="O45" s="543" t="s">
        <v>496</v>
      </c>
      <c r="P45" s="502"/>
      <c r="Q45" s="502"/>
      <c r="R45" s="502"/>
      <c r="S45" s="502"/>
      <c r="T45" s="502"/>
      <c r="U45" s="502"/>
      <c r="V45" s="503"/>
      <c r="W45" s="543" t="s">
        <v>497</v>
      </c>
      <c r="X45" s="502"/>
      <c r="Y45" s="502"/>
      <c r="Z45" s="502"/>
      <c r="AA45" s="502"/>
      <c r="AB45" s="502"/>
      <c r="AC45" s="502"/>
      <c r="AD45" s="503"/>
      <c r="AE45" s="462"/>
      <c r="AF45" s="462"/>
      <c r="AG45" s="462"/>
      <c r="AH45" s="462"/>
      <c r="AI45" s="462"/>
    </row>
  </sheetData>
  <mergeCells count="37">
    <mergeCell ref="Q28:T30"/>
    <mergeCell ref="U28:X30"/>
    <mergeCell ref="Y28:AB30"/>
    <mergeCell ref="B3:AF3"/>
    <mergeCell ref="A7:AH7"/>
    <mergeCell ref="A8:A9"/>
    <mergeCell ref="B8:B9"/>
    <mergeCell ref="C27:P27"/>
    <mergeCell ref="Q27:AB27"/>
    <mergeCell ref="C28:P28"/>
    <mergeCell ref="C29:P29"/>
    <mergeCell ref="C30:P30"/>
    <mergeCell ref="B32:Y32"/>
    <mergeCell ref="B33:T33"/>
    <mergeCell ref="A36:F36"/>
    <mergeCell ref="G36:AD36"/>
    <mergeCell ref="C37:F37"/>
    <mergeCell ref="W37:AD37"/>
    <mergeCell ref="C40:F40"/>
    <mergeCell ref="A41:F41"/>
    <mergeCell ref="C45:F45"/>
    <mergeCell ref="G37:N37"/>
    <mergeCell ref="O37:V37"/>
    <mergeCell ref="C38:F38"/>
    <mergeCell ref="G38:N43"/>
    <mergeCell ref="O38:V43"/>
    <mergeCell ref="W38:AD43"/>
    <mergeCell ref="C39:F39"/>
    <mergeCell ref="O45:V45"/>
    <mergeCell ref="W45:AD45"/>
    <mergeCell ref="C42:F42"/>
    <mergeCell ref="C43:F43"/>
    <mergeCell ref="C44:F44"/>
    <mergeCell ref="G44:N44"/>
    <mergeCell ref="O44:V44"/>
    <mergeCell ref="W44:AD44"/>
    <mergeCell ref="G45:N45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12.29"/>
    <col customWidth="1" min="3" max="3" width="8.29"/>
    <col customWidth="1" min="4" max="4" width="18.0"/>
    <col customWidth="1" min="5" max="5" width="11.43"/>
    <col customWidth="1" min="6" max="6" width="7.14"/>
    <col customWidth="1" min="7" max="7" width="16.43"/>
    <col customWidth="1" min="9" max="9" width="7.57"/>
    <col customWidth="1" min="10" max="10" width="25.43"/>
    <col customWidth="1" min="11" max="11" width="12.14"/>
    <col customWidth="1" min="12" max="12" width="9.14"/>
    <col customWidth="1" min="13" max="13" width="18.57"/>
    <col customWidth="1" min="15" max="15" width="8.0"/>
    <col customWidth="1" min="16" max="16" width="14.14"/>
    <col customWidth="1" min="17" max="17" width="11.43"/>
    <col customWidth="1" min="18" max="18" width="9.0"/>
    <col customWidth="1" min="19" max="19" width="17.57"/>
    <col customWidth="1" min="21" max="21" width="7.86"/>
  </cols>
  <sheetData>
    <row r="1">
      <c r="A1" s="91" t="s">
        <v>141</v>
      </c>
      <c r="C1" s="344" t="s">
        <v>503</v>
      </c>
      <c r="F1" s="345"/>
      <c r="G1" s="10" t="s">
        <v>423</v>
      </c>
      <c r="Q1" s="345"/>
      <c r="R1" s="345"/>
      <c r="S1" s="345"/>
      <c r="T1" s="345"/>
      <c r="U1" s="345"/>
    </row>
    <row r="2">
      <c r="A2" s="91" t="s">
        <v>2</v>
      </c>
      <c r="C2" s="346" t="s">
        <v>3</v>
      </c>
      <c r="F2" s="345"/>
      <c r="Q2" s="345"/>
      <c r="R2" s="345"/>
      <c r="S2" s="345"/>
      <c r="T2" s="345"/>
      <c r="U2" s="345"/>
    </row>
    <row r="3">
      <c r="A3" s="91" t="s">
        <v>4</v>
      </c>
      <c r="C3" s="347"/>
      <c r="F3" s="345"/>
      <c r="Q3" s="345"/>
      <c r="R3" s="345"/>
      <c r="S3" s="345"/>
      <c r="T3" s="345"/>
      <c r="U3" s="345"/>
    </row>
    <row r="4">
      <c r="A4" s="91" t="s">
        <v>5</v>
      </c>
      <c r="C4" s="348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</row>
    <row r="5">
      <c r="A5" s="12" t="s">
        <v>6</v>
      </c>
      <c r="B5" s="13"/>
      <c r="C5" s="14"/>
      <c r="D5" s="12" t="s">
        <v>7</v>
      </c>
      <c r="E5" s="13"/>
      <c r="F5" s="14"/>
      <c r="G5" s="12" t="s">
        <v>8</v>
      </c>
      <c r="H5" s="13"/>
      <c r="I5" s="14"/>
      <c r="J5" s="12" t="s">
        <v>9</v>
      </c>
      <c r="K5" s="13"/>
      <c r="L5" s="14"/>
      <c r="M5" s="12" t="s">
        <v>10</v>
      </c>
      <c r="N5" s="13"/>
      <c r="O5" s="14"/>
      <c r="P5" s="12" t="s">
        <v>11</v>
      </c>
      <c r="Q5" s="13"/>
      <c r="R5" s="14"/>
      <c r="S5" s="15" t="s">
        <v>12</v>
      </c>
      <c r="T5" s="13"/>
      <c r="U5" s="14"/>
    </row>
    <row r="6">
      <c r="A6" s="16"/>
      <c r="B6" s="13"/>
      <c r="C6" s="14"/>
      <c r="D6" s="16"/>
      <c r="E6" s="13"/>
      <c r="F6" s="14"/>
      <c r="G6" s="16"/>
      <c r="H6" s="13"/>
      <c r="I6" s="14"/>
      <c r="J6" s="184"/>
      <c r="K6" s="13"/>
      <c r="L6" s="14"/>
      <c r="M6" s="16"/>
      <c r="N6" s="13"/>
      <c r="O6" s="14"/>
      <c r="P6" s="16"/>
      <c r="Q6" s="13"/>
      <c r="R6" s="14"/>
      <c r="S6" s="184">
        <v>46054.0</v>
      </c>
      <c r="T6" s="13"/>
      <c r="U6" s="14"/>
    </row>
    <row r="7">
      <c r="A7" s="349"/>
      <c r="B7" s="349"/>
      <c r="C7" s="349"/>
      <c r="D7" s="349"/>
      <c r="E7" s="349"/>
      <c r="F7" s="349"/>
      <c r="G7" s="349"/>
      <c r="H7" s="349"/>
      <c r="I7" s="349"/>
      <c r="J7" s="349"/>
      <c r="K7" s="349"/>
      <c r="L7" s="349"/>
      <c r="M7" s="349"/>
      <c r="N7" s="349"/>
      <c r="O7" s="349"/>
      <c r="P7" s="349"/>
      <c r="Q7" s="349"/>
      <c r="R7" s="349"/>
      <c r="S7" s="349"/>
      <c r="T7" s="349"/>
      <c r="U7" s="349"/>
    </row>
    <row r="8">
      <c r="A8" s="349"/>
      <c r="B8" s="349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349"/>
      <c r="P8" s="349"/>
      <c r="Q8" s="349"/>
      <c r="R8" s="349"/>
      <c r="S8" s="123" t="s">
        <v>384</v>
      </c>
      <c r="T8" s="123" t="s">
        <v>75</v>
      </c>
      <c r="U8" s="47" t="s">
        <v>27</v>
      </c>
    </row>
    <row r="9">
      <c r="A9" s="349"/>
      <c r="B9" s="349"/>
      <c r="C9" s="349"/>
      <c r="D9" s="349"/>
      <c r="E9" s="349"/>
      <c r="F9" s="349"/>
      <c r="G9" s="349"/>
      <c r="H9" s="349"/>
      <c r="I9" s="349"/>
      <c r="J9" s="209"/>
      <c r="K9" s="209"/>
      <c r="L9" s="209"/>
      <c r="M9" s="201"/>
      <c r="N9" s="201"/>
      <c r="O9" s="201"/>
      <c r="P9" s="24"/>
      <c r="Q9" s="24"/>
      <c r="R9" s="24"/>
      <c r="S9" s="120" t="s">
        <v>151</v>
      </c>
      <c r="T9" s="120" t="s">
        <v>152</v>
      </c>
      <c r="U9" s="120" t="s">
        <v>24</v>
      </c>
    </row>
    <row r="10">
      <c r="A10" s="349"/>
      <c r="B10" s="349"/>
      <c r="C10" s="349"/>
      <c r="D10" s="349"/>
      <c r="E10" s="349"/>
      <c r="F10" s="349"/>
      <c r="G10" s="349"/>
      <c r="H10" s="349"/>
      <c r="I10" s="349"/>
      <c r="J10" s="349"/>
      <c r="K10" s="349"/>
      <c r="L10" s="349"/>
      <c r="M10" s="349"/>
      <c r="N10" s="349"/>
      <c r="O10" s="349"/>
      <c r="P10" s="349"/>
      <c r="Q10" s="349"/>
      <c r="R10" s="349"/>
      <c r="S10" s="62"/>
      <c r="T10" s="62"/>
      <c r="U10" s="143" t="s">
        <v>117</v>
      </c>
    </row>
    <row r="11">
      <c r="A11" s="349"/>
      <c r="B11" s="349"/>
      <c r="C11" s="349"/>
      <c r="D11" s="349"/>
      <c r="E11" s="349"/>
      <c r="F11" s="349"/>
      <c r="G11" s="349"/>
      <c r="H11" s="349"/>
      <c r="I11" s="349"/>
      <c r="J11" s="349"/>
      <c r="K11" s="349"/>
      <c r="L11" s="349"/>
      <c r="M11" s="349"/>
      <c r="N11" s="349"/>
      <c r="O11" s="349"/>
      <c r="P11" s="349"/>
      <c r="Q11" s="349"/>
      <c r="R11" s="349"/>
      <c r="S11" s="349"/>
      <c r="T11" s="349"/>
      <c r="U11" s="349"/>
    </row>
    <row r="12">
      <c r="A12" s="349"/>
      <c r="B12" s="349"/>
      <c r="C12" s="349"/>
      <c r="D12" s="349"/>
      <c r="E12" s="349"/>
      <c r="F12" s="349"/>
      <c r="G12" s="349"/>
      <c r="H12" s="349"/>
      <c r="I12" s="349"/>
      <c r="J12" s="349"/>
      <c r="K12" s="349"/>
      <c r="L12" s="349"/>
      <c r="M12" s="349"/>
      <c r="N12" s="349"/>
      <c r="O12" s="349"/>
      <c r="P12" s="349"/>
      <c r="Q12" s="349"/>
      <c r="R12" s="349"/>
      <c r="S12" s="349"/>
      <c r="T12" s="349"/>
      <c r="U12" s="349"/>
    </row>
    <row r="13">
      <c r="A13" s="27" t="s">
        <v>6</v>
      </c>
      <c r="B13" s="13"/>
      <c r="C13" s="14"/>
      <c r="D13" s="27" t="s">
        <v>7</v>
      </c>
      <c r="E13" s="13"/>
      <c r="F13" s="14"/>
      <c r="G13" s="27" t="s">
        <v>8</v>
      </c>
      <c r="H13" s="13"/>
      <c r="I13" s="14"/>
      <c r="J13" s="27" t="s">
        <v>9</v>
      </c>
      <c r="K13" s="13"/>
      <c r="L13" s="14"/>
      <c r="M13" s="27" t="s">
        <v>10</v>
      </c>
      <c r="N13" s="13"/>
      <c r="O13" s="14"/>
      <c r="P13" s="27" t="s">
        <v>11</v>
      </c>
      <c r="Q13" s="13"/>
      <c r="R13" s="14"/>
      <c r="S13" s="29" t="s">
        <v>12</v>
      </c>
      <c r="T13" s="13"/>
      <c r="U13" s="14"/>
    </row>
    <row r="14">
      <c r="A14" s="30">
        <f>S6+1</f>
        <v>46055</v>
      </c>
      <c r="B14" s="13"/>
      <c r="C14" s="14"/>
      <c r="D14" s="30">
        <f>A14+1</f>
        <v>46056</v>
      </c>
      <c r="E14" s="13"/>
      <c r="F14" s="14"/>
      <c r="G14" s="30">
        <f>D14+1</f>
        <v>46057</v>
      </c>
      <c r="H14" s="13"/>
      <c r="I14" s="14"/>
      <c r="J14" s="30">
        <f>G14+1</f>
        <v>46058</v>
      </c>
      <c r="K14" s="13"/>
      <c r="L14" s="14"/>
      <c r="M14" s="30">
        <f>J14+1</f>
        <v>46059</v>
      </c>
      <c r="N14" s="13"/>
      <c r="O14" s="14"/>
      <c r="P14" s="30">
        <f>M14+1</f>
        <v>46060</v>
      </c>
      <c r="Q14" s="13"/>
      <c r="R14" s="14"/>
      <c r="S14" s="31">
        <f>P14+1</f>
        <v>46061</v>
      </c>
      <c r="T14" s="13"/>
      <c r="U14" s="14"/>
    </row>
    <row r="15">
      <c r="A15" s="349"/>
      <c r="B15" s="349"/>
      <c r="C15" s="349"/>
      <c r="D15" s="349"/>
      <c r="E15" s="349"/>
      <c r="F15" s="349"/>
      <c r="G15" s="349"/>
      <c r="H15" s="349"/>
      <c r="I15" s="349"/>
      <c r="J15" s="349"/>
      <c r="K15" s="349"/>
      <c r="L15" s="349"/>
      <c r="M15" s="349"/>
      <c r="N15" s="349"/>
      <c r="O15" s="349"/>
      <c r="P15" s="349"/>
      <c r="Q15" s="349"/>
      <c r="R15" s="349"/>
      <c r="S15" s="349"/>
      <c r="T15" s="349"/>
      <c r="U15" s="349"/>
    </row>
    <row r="16">
      <c r="A16" s="120" t="s">
        <v>151</v>
      </c>
      <c r="B16" s="120" t="s">
        <v>155</v>
      </c>
      <c r="C16" s="120" t="s">
        <v>24</v>
      </c>
      <c r="D16" s="123"/>
      <c r="E16" s="123"/>
      <c r="F16" s="349"/>
      <c r="G16" s="123" t="s">
        <v>504</v>
      </c>
      <c r="H16" s="123" t="s">
        <v>155</v>
      </c>
      <c r="I16" s="47" t="s">
        <v>505</v>
      </c>
      <c r="J16" s="120"/>
      <c r="K16" s="120"/>
      <c r="L16" s="120"/>
      <c r="M16" s="120" t="s">
        <v>506</v>
      </c>
      <c r="N16" s="120" t="s">
        <v>405</v>
      </c>
      <c r="O16" s="120" t="s">
        <v>24</v>
      </c>
      <c r="P16" s="24"/>
      <c r="Q16" s="24"/>
      <c r="R16" s="24"/>
      <c r="S16" s="349"/>
      <c r="T16" s="349"/>
      <c r="U16" s="349"/>
    </row>
    <row r="17">
      <c r="A17" s="62"/>
      <c r="B17" s="62"/>
      <c r="C17" s="143" t="s">
        <v>117</v>
      </c>
      <c r="D17" s="123"/>
      <c r="E17" s="123"/>
      <c r="F17" s="349"/>
      <c r="G17" s="35"/>
      <c r="H17" s="35"/>
      <c r="I17" s="24"/>
      <c r="J17" s="349"/>
      <c r="K17" s="349"/>
      <c r="L17" s="120"/>
      <c r="M17" s="193" t="s">
        <v>147</v>
      </c>
      <c r="N17" s="193" t="s">
        <v>152</v>
      </c>
      <c r="O17" s="42" t="s">
        <v>36</v>
      </c>
      <c r="P17" s="24" t="s">
        <v>166</v>
      </c>
      <c r="Q17" s="24"/>
      <c r="R17" s="24" t="s">
        <v>24</v>
      </c>
      <c r="S17" s="24" t="s">
        <v>166</v>
      </c>
      <c r="T17" s="24" t="s">
        <v>507</v>
      </c>
      <c r="U17" s="24" t="s">
        <v>24</v>
      </c>
    </row>
    <row r="18" ht="15.0" customHeight="1">
      <c r="A18" s="112" t="s">
        <v>403</v>
      </c>
      <c r="B18" s="24" t="s">
        <v>404</v>
      </c>
      <c r="C18" s="47" t="s">
        <v>48</v>
      </c>
      <c r="D18" s="349"/>
      <c r="E18" s="349"/>
      <c r="F18" s="349"/>
      <c r="G18" s="349"/>
      <c r="H18" s="349"/>
      <c r="I18" s="349"/>
      <c r="J18" s="349"/>
      <c r="K18" s="349"/>
      <c r="L18" s="120"/>
      <c r="M18" s="349"/>
      <c r="N18" s="349"/>
      <c r="O18" s="349"/>
      <c r="P18" s="324" t="s">
        <v>13</v>
      </c>
      <c r="Q18" s="13"/>
      <c r="R18" s="14"/>
      <c r="S18" s="349"/>
      <c r="T18" s="349"/>
      <c r="U18" s="349"/>
    </row>
    <row r="19">
      <c r="A19" s="47" t="s">
        <v>406</v>
      </c>
      <c r="B19" s="47" t="s">
        <v>353</v>
      </c>
      <c r="C19" s="24" t="s">
        <v>355</v>
      </c>
      <c r="D19" s="349"/>
      <c r="E19" s="349"/>
      <c r="F19" s="349"/>
      <c r="G19" s="349"/>
      <c r="H19" s="349"/>
      <c r="I19" s="349"/>
      <c r="J19" s="349"/>
      <c r="K19" s="349"/>
      <c r="L19" s="349"/>
      <c r="M19" s="349"/>
      <c r="N19" s="349"/>
      <c r="O19" s="349"/>
      <c r="P19" s="349"/>
      <c r="Q19" s="349"/>
      <c r="R19" s="349"/>
      <c r="S19" s="173" t="s">
        <v>151</v>
      </c>
      <c r="T19" s="173" t="s">
        <v>152</v>
      </c>
      <c r="U19" s="557" t="s">
        <v>48</v>
      </c>
    </row>
    <row r="20">
      <c r="A20" s="349"/>
      <c r="B20" s="349"/>
      <c r="C20" s="349"/>
      <c r="D20" s="201"/>
      <c r="E20" s="201"/>
      <c r="F20" s="201"/>
      <c r="G20" s="349"/>
      <c r="H20" s="349"/>
      <c r="I20" s="349"/>
      <c r="J20" s="349"/>
      <c r="K20" s="349"/>
      <c r="L20" s="349"/>
      <c r="M20" s="349"/>
      <c r="N20" s="349"/>
      <c r="O20" s="349"/>
      <c r="P20" s="349"/>
      <c r="Q20" s="349"/>
      <c r="R20" s="349"/>
      <c r="S20" s="349"/>
      <c r="T20" s="349"/>
      <c r="U20" s="349"/>
    </row>
    <row r="21">
      <c r="A21" s="12" t="s">
        <v>6</v>
      </c>
      <c r="B21" s="13"/>
      <c r="C21" s="14"/>
      <c r="D21" s="12" t="s">
        <v>7</v>
      </c>
      <c r="E21" s="13"/>
      <c r="F21" s="14"/>
      <c r="G21" s="12" t="s">
        <v>8</v>
      </c>
      <c r="H21" s="13"/>
      <c r="I21" s="14"/>
      <c r="J21" s="12" t="s">
        <v>9</v>
      </c>
      <c r="K21" s="13"/>
      <c r="L21" s="14"/>
      <c r="M21" s="12" t="s">
        <v>10</v>
      </c>
      <c r="N21" s="13"/>
      <c r="O21" s="14"/>
      <c r="P21" s="12" t="s">
        <v>11</v>
      </c>
      <c r="Q21" s="13"/>
      <c r="R21" s="14"/>
      <c r="S21" s="15" t="s">
        <v>12</v>
      </c>
      <c r="T21" s="13"/>
      <c r="U21" s="14"/>
    </row>
    <row r="22">
      <c r="A22" s="16">
        <f>S14+1</f>
        <v>46062</v>
      </c>
      <c r="B22" s="13"/>
      <c r="C22" s="14"/>
      <c r="D22" s="16">
        <f>A22+1</f>
        <v>46063</v>
      </c>
      <c r="E22" s="13"/>
      <c r="F22" s="14"/>
      <c r="G22" s="16">
        <f>D22+1</f>
        <v>46064</v>
      </c>
      <c r="H22" s="13"/>
      <c r="I22" s="14"/>
      <c r="J22" s="16">
        <f>G22+1</f>
        <v>46065</v>
      </c>
      <c r="K22" s="13"/>
      <c r="L22" s="14"/>
      <c r="M22" s="16">
        <f>J22+1</f>
        <v>46066</v>
      </c>
      <c r="N22" s="13"/>
      <c r="O22" s="14"/>
      <c r="P22" s="16">
        <f>M22+1</f>
        <v>46067</v>
      </c>
      <c r="Q22" s="13"/>
      <c r="R22" s="14"/>
      <c r="S22" s="184">
        <f>P22+1</f>
        <v>46068</v>
      </c>
      <c r="T22" s="13"/>
      <c r="U22" s="14"/>
    </row>
    <row r="23">
      <c r="A23" s="349"/>
      <c r="B23" s="349"/>
      <c r="C23" s="349"/>
      <c r="D23" s="349"/>
      <c r="E23" s="349"/>
      <c r="F23" s="349"/>
      <c r="G23" s="349"/>
      <c r="H23" s="349"/>
      <c r="I23" s="349"/>
      <c r="J23" s="349"/>
      <c r="K23" s="349"/>
      <c r="L23" s="349"/>
      <c r="M23" s="349"/>
      <c r="N23" s="349"/>
      <c r="O23" s="349"/>
      <c r="P23" s="349"/>
      <c r="Q23" s="349"/>
      <c r="R23" s="349"/>
      <c r="S23" s="349"/>
      <c r="T23" s="349"/>
      <c r="U23" s="349"/>
    </row>
    <row r="24">
      <c r="A24" s="47" t="s">
        <v>288</v>
      </c>
      <c r="B24" s="47" t="s">
        <v>25</v>
      </c>
      <c r="C24" s="47" t="s">
        <v>24</v>
      </c>
      <c r="D24" s="349"/>
      <c r="E24" s="349"/>
      <c r="F24" s="349"/>
      <c r="G24" s="24" t="s">
        <v>170</v>
      </c>
      <c r="H24" s="24" t="s">
        <v>25</v>
      </c>
      <c r="I24" s="24" t="s">
        <v>508</v>
      </c>
      <c r="J24" s="193" t="s">
        <v>147</v>
      </c>
      <c r="K24" s="193" t="s">
        <v>155</v>
      </c>
      <c r="L24" s="193" t="s">
        <v>24</v>
      </c>
      <c r="M24" s="120" t="s">
        <v>506</v>
      </c>
      <c r="N24" s="120" t="s">
        <v>405</v>
      </c>
      <c r="O24" s="120" t="s">
        <v>24</v>
      </c>
      <c r="P24" s="123" t="s">
        <v>384</v>
      </c>
      <c r="Q24" s="123" t="s">
        <v>75</v>
      </c>
      <c r="R24" s="47" t="s">
        <v>27</v>
      </c>
      <c r="S24" s="349"/>
      <c r="T24" s="349"/>
      <c r="U24" s="349"/>
    </row>
    <row r="25">
      <c r="A25" s="41"/>
      <c r="B25" s="41"/>
      <c r="C25" s="42" t="s">
        <v>36</v>
      </c>
      <c r="D25" s="148"/>
      <c r="E25" s="148"/>
      <c r="F25" s="148"/>
      <c r="G25" s="24"/>
      <c r="H25" s="24"/>
      <c r="I25" s="42" t="s">
        <v>36</v>
      </c>
      <c r="J25" s="41"/>
      <c r="K25" s="41"/>
      <c r="L25" s="42" t="s">
        <v>36</v>
      </c>
      <c r="M25" s="24" t="s">
        <v>288</v>
      </c>
      <c r="N25" s="24" t="s">
        <v>243</v>
      </c>
      <c r="O25" s="24" t="s">
        <v>24</v>
      </c>
      <c r="P25" s="349"/>
      <c r="Q25" s="349"/>
      <c r="R25" s="349"/>
      <c r="S25" s="120" t="s">
        <v>151</v>
      </c>
      <c r="T25" s="120" t="s">
        <v>152</v>
      </c>
      <c r="U25" s="120" t="s">
        <v>36</v>
      </c>
    </row>
    <row r="26">
      <c r="A26" s="389" t="s">
        <v>419</v>
      </c>
      <c r="B26" s="389" t="s">
        <v>284</v>
      </c>
      <c r="C26" s="47" t="s">
        <v>48</v>
      </c>
      <c r="D26" s="349"/>
      <c r="E26" s="349"/>
      <c r="F26" s="349"/>
      <c r="G26" s="349"/>
      <c r="H26" s="349"/>
      <c r="I26" s="349"/>
      <c r="J26" s="24" t="s">
        <v>402</v>
      </c>
      <c r="K26" s="187" t="s">
        <v>509</v>
      </c>
      <c r="L26" s="187" t="s">
        <v>436</v>
      </c>
      <c r="M26" s="113"/>
      <c r="N26" s="138"/>
      <c r="O26" s="42" t="s">
        <v>36</v>
      </c>
      <c r="P26" s="24" t="s">
        <v>166</v>
      </c>
      <c r="Q26" s="24" t="s">
        <v>345</v>
      </c>
      <c r="R26" s="24" t="s">
        <v>24</v>
      </c>
      <c r="S26" s="349"/>
      <c r="T26" s="349"/>
      <c r="U26" s="349"/>
    </row>
    <row r="27">
      <c r="A27" s="112" t="s">
        <v>403</v>
      </c>
      <c r="B27" s="24" t="s">
        <v>404</v>
      </c>
      <c r="C27" s="47" t="s">
        <v>48</v>
      </c>
      <c r="D27" s="349"/>
      <c r="E27" s="349"/>
      <c r="F27" s="349"/>
      <c r="G27" s="349"/>
      <c r="H27" s="349"/>
      <c r="I27" s="349"/>
      <c r="J27" s="349"/>
      <c r="K27" s="349"/>
      <c r="L27" s="349"/>
      <c r="M27" s="24"/>
      <c r="N27" s="24"/>
      <c r="O27" s="24"/>
      <c r="P27" s="349"/>
      <c r="Q27" s="349"/>
      <c r="R27" s="349"/>
      <c r="S27" s="349"/>
      <c r="T27" s="349"/>
      <c r="U27" s="349"/>
    </row>
    <row r="28">
      <c r="A28" s="47" t="s">
        <v>406</v>
      </c>
      <c r="B28" s="47" t="s">
        <v>377</v>
      </c>
      <c r="C28" s="24" t="s">
        <v>355</v>
      </c>
      <c r="D28" s="120"/>
      <c r="E28" s="120"/>
      <c r="F28" s="120"/>
      <c r="G28" s="349"/>
      <c r="H28" s="349"/>
      <c r="I28" s="349"/>
      <c r="J28" s="349"/>
      <c r="K28" s="349"/>
      <c r="L28" s="349"/>
      <c r="M28" s="349"/>
      <c r="N28" s="349"/>
      <c r="O28" s="349"/>
      <c r="P28" s="349"/>
      <c r="Q28" s="349"/>
      <c r="R28" s="349"/>
      <c r="S28" s="349"/>
      <c r="T28" s="349"/>
      <c r="U28" s="349"/>
    </row>
    <row r="29">
      <c r="A29" s="27" t="s">
        <v>6</v>
      </c>
      <c r="B29" s="13"/>
      <c r="C29" s="14"/>
      <c r="D29" s="27" t="s">
        <v>7</v>
      </c>
      <c r="E29" s="13"/>
      <c r="F29" s="14"/>
      <c r="G29" s="27" t="s">
        <v>8</v>
      </c>
      <c r="H29" s="13"/>
      <c r="I29" s="14"/>
      <c r="J29" s="27" t="s">
        <v>9</v>
      </c>
      <c r="K29" s="13"/>
      <c r="L29" s="14"/>
      <c r="M29" s="27" t="s">
        <v>10</v>
      </c>
      <c r="N29" s="13"/>
      <c r="O29" s="14"/>
      <c r="P29" s="27" t="s">
        <v>11</v>
      </c>
      <c r="Q29" s="13"/>
      <c r="R29" s="14"/>
      <c r="S29" s="29" t="s">
        <v>12</v>
      </c>
      <c r="T29" s="13"/>
      <c r="U29" s="14"/>
    </row>
    <row r="30">
      <c r="A30" s="57">
        <f>S22+1</f>
        <v>46069</v>
      </c>
      <c r="B30" s="13"/>
      <c r="C30" s="14"/>
      <c r="D30" s="57">
        <f>A30+1</f>
        <v>46070</v>
      </c>
      <c r="E30" s="13"/>
      <c r="F30" s="14"/>
      <c r="G30" s="57">
        <f>D30+1</f>
        <v>46071</v>
      </c>
      <c r="H30" s="13"/>
      <c r="I30" s="14"/>
      <c r="J30" s="57">
        <f>G30+1</f>
        <v>46072</v>
      </c>
      <c r="K30" s="13"/>
      <c r="L30" s="14"/>
      <c r="M30" s="57">
        <f>J30+1</f>
        <v>46073</v>
      </c>
      <c r="N30" s="13"/>
      <c r="O30" s="14"/>
      <c r="P30" s="57">
        <f>M30+1</f>
        <v>46074</v>
      </c>
      <c r="Q30" s="13"/>
      <c r="R30" s="14"/>
      <c r="S30" s="58">
        <f>P30+1</f>
        <v>46075</v>
      </c>
      <c r="T30" s="13"/>
      <c r="U30" s="14"/>
    </row>
    <row r="31">
      <c r="A31" s="349"/>
      <c r="B31" s="349"/>
      <c r="C31" s="349"/>
      <c r="D31" s="349"/>
      <c r="E31" s="349"/>
      <c r="F31" s="349"/>
      <c r="G31" s="74"/>
      <c r="H31" s="74"/>
      <c r="I31" s="74"/>
      <c r="J31" s="349"/>
      <c r="K31" s="349"/>
      <c r="L31" s="349"/>
      <c r="M31" s="349"/>
      <c r="N31" s="349"/>
      <c r="O31" s="349"/>
      <c r="P31" s="349"/>
      <c r="Q31" s="349"/>
      <c r="R31" s="349"/>
      <c r="S31" s="349"/>
      <c r="T31" s="349"/>
      <c r="U31" s="349"/>
    </row>
    <row r="32">
      <c r="A32" s="120" t="s">
        <v>151</v>
      </c>
      <c r="B32" s="120" t="s">
        <v>155</v>
      </c>
      <c r="C32" s="120" t="s">
        <v>24</v>
      </c>
      <c r="D32" s="349"/>
      <c r="E32" s="349"/>
      <c r="F32" s="349"/>
      <c r="G32" s="120" t="s">
        <v>151</v>
      </c>
      <c r="H32" s="120" t="s">
        <v>155</v>
      </c>
      <c r="I32" s="120" t="s">
        <v>24</v>
      </c>
      <c r="J32" s="120"/>
      <c r="K32" s="120"/>
      <c r="L32" s="120"/>
      <c r="M32" s="24"/>
      <c r="N32" s="24"/>
      <c r="O32" s="24"/>
      <c r="P32" s="349"/>
      <c r="Q32" s="349"/>
      <c r="R32" s="349"/>
      <c r="S32" s="349"/>
      <c r="T32" s="349"/>
      <c r="U32" s="349"/>
    </row>
    <row r="33">
      <c r="A33" s="62"/>
      <c r="B33" s="62"/>
      <c r="C33" s="143" t="s">
        <v>117</v>
      </c>
      <c r="D33" s="324" t="s">
        <v>13</v>
      </c>
      <c r="E33" s="13"/>
      <c r="F33" s="14"/>
      <c r="G33" s="62"/>
      <c r="H33" s="62"/>
      <c r="I33" s="143" t="s">
        <v>117</v>
      </c>
      <c r="M33" s="120" t="s">
        <v>506</v>
      </c>
      <c r="N33" s="120" t="s">
        <v>405</v>
      </c>
      <c r="O33" s="120" t="s">
        <v>24</v>
      </c>
      <c r="P33" s="24" t="s">
        <v>166</v>
      </c>
      <c r="Q33" s="24" t="s">
        <v>345</v>
      </c>
      <c r="R33" s="24" t="s">
        <v>24</v>
      </c>
      <c r="S33" s="324" t="s">
        <v>13</v>
      </c>
      <c r="T33" s="13"/>
      <c r="U33" s="14"/>
    </row>
    <row r="34">
      <c r="A34" s="112" t="s">
        <v>403</v>
      </c>
      <c r="B34" s="24" t="s">
        <v>404</v>
      </c>
      <c r="C34" s="47" t="s">
        <v>48</v>
      </c>
      <c r="D34" s="349"/>
      <c r="E34" s="349"/>
      <c r="F34" s="349"/>
      <c r="G34" s="112" t="s">
        <v>510</v>
      </c>
      <c r="H34" s="112" t="s">
        <v>199</v>
      </c>
      <c r="I34" s="112" t="s">
        <v>24</v>
      </c>
      <c r="J34" s="349"/>
      <c r="K34" s="349"/>
      <c r="L34" s="120"/>
      <c r="M34" s="349"/>
      <c r="N34" s="349"/>
      <c r="O34" s="349"/>
      <c r="P34" s="349"/>
      <c r="Q34" s="349"/>
      <c r="R34" s="349"/>
      <c r="S34" s="349"/>
      <c r="T34" s="349"/>
      <c r="U34" s="349"/>
    </row>
    <row r="35">
      <c r="A35" s="47" t="s">
        <v>406</v>
      </c>
      <c r="B35" s="47" t="s">
        <v>353</v>
      </c>
      <c r="C35" s="24" t="s">
        <v>355</v>
      </c>
      <c r="D35" s="349"/>
      <c r="E35" s="349"/>
      <c r="F35" s="349"/>
      <c r="G35" s="24" t="s">
        <v>170</v>
      </c>
      <c r="H35" s="223" t="s">
        <v>511</v>
      </c>
      <c r="I35" s="24" t="s">
        <v>36</v>
      </c>
      <c r="J35" s="349"/>
      <c r="K35" s="349"/>
      <c r="L35" s="349"/>
      <c r="M35" s="349"/>
      <c r="N35" s="349"/>
      <c r="O35" s="349"/>
      <c r="P35" s="349"/>
      <c r="Q35" s="349"/>
      <c r="R35" s="349"/>
      <c r="S35" s="349"/>
      <c r="T35" s="349"/>
      <c r="U35" s="349"/>
    </row>
    <row r="36">
      <c r="A36" s="349"/>
      <c r="B36" s="349"/>
      <c r="C36" s="349"/>
      <c r="D36" s="120"/>
      <c r="E36" s="120"/>
      <c r="F36" s="120"/>
      <c r="G36" s="349"/>
      <c r="H36" s="349"/>
      <c r="I36" s="349"/>
      <c r="J36" s="349"/>
      <c r="K36" s="349"/>
      <c r="L36" s="349"/>
      <c r="M36" s="349"/>
      <c r="N36" s="349"/>
      <c r="O36" s="349"/>
      <c r="P36" s="349"/>
      <c r="Q36" s="349"/>
      <c r="R36" s="349"/>
      <c r="S36" s="349"/>
      <c r="T36" s="349"/>
      <c r="U36" s="349"/>
    </row>
    <row r="37">
      <c r="A37" s="12" t="s">
        <v>6</v>
      </c>
      <c r="B37" s="13"/>
      <c r="C37" s="14"/>
      <c r="D37" s="12" t="s">
        <v>7</v>
      </c>
      <c r="E37" s="13"/>
      <c r="F37" s="14"/>
      <c r="G37" s="12" t="s">
        <v>8</v>
      </c>
      <c r="H37" s="13"/>
      <c r="I37" s="14"/>
      <c r="J37" s="12" t="s">
        <v>9</v>
      </c>
      <c r="K37" s="13"/>
      <c r="L37" s="14"/>
      <c r="M37" s="12" t="s">
        <v>10</v>
      </c>
      <c r="N37" s="13"/>
      <c r="O37" s="14"/>
      <c r="P37" s="12" t="s">
        <v>11</v>
      </c>
      <c r="Q37" s="13"/>
      <c r="R37" s="14"/>
      <c r="S37" s="15"/>
      <c r="T37" s="13"/>
      <c r="U37" s="14"/>
    </row>
    <row r="38">
      <c r="A38" s="16">
        <f>S30+1</f>
        <v>46076</v>
      </c>
      <c r="B38" s="13"/>
      <c r="C38" s="14"/>
      <c r="D38" s="16">
        <f>A38+1</f>
        <v>46077</v>
      </c>
      <c r="E38" s="13"/>
      <c r="F38" s="14"/>
      <c r="G38" s="16">
        <f>D38+1</f>
        <v>46078</v>
      </c>
      <c r="H38" s="13"/>
      <c r="I38" s="14"/>
      <c r="J38" s="16">
        <f>G38+1</f>
        <v>46079</v>
      </c>
      <c r="K38" s="13"/>
      <c r="L38" s="14"/>
      <c r="M38" s="16">
        <f>J38+1</f>
        <v>46080</v>
      </c>
      <c r="N38" s="13"/>
      <c r="O38" s="14"/>
      <c r="P38" s="16">
        <f>M38+1</f>
        <v>46081</v>
      </c>
      <c r="Q38" s="13"/>
      <c r="R38" s="14"/>
      <c r="S38" s="184"/>
      <c r="T38" s="13"/>
      <c r="U38" s="14"/>
    </row>
    <row r="39">
      <c r="A39" s="349"/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</row>
    <row r="40">
      <c r="A40" s="112" t="s">
        <v>403</v>
      </c>
      <c r="B40" s="24" t="s">
        <v>404</v>
      </c>
      <c r="C40" s="47" t="s">
        <v>48</v>
      </c>
      <c r="D40" s="349"/>
      <c r="E40" s="349"/>
      <c r="F40" s="349"/>
      <c r="G40" s="349"/>
      <c r="H40" s="349"/>
      <c r="I40" s="349"/>
      <c r="J40" s="349"/>
      <c r="K40" s="349"/>
      <c r="L40" s="349"/>
      <c r="M40" s="24"/>
      <c r="N40" s="302"/>
      <c r="O40" s="302"/>
      <c r="P40" s="349"/>
      <c r="Q40" s="349"/>
      <c r="R40" s="349"/>
      <c r="S40" s="349"/>
      <c r="T40" s="349"/>
      <c r="U40" s="349"/>
    </row>
    <row r="41">
      <c r="A41" s="47" t="s">
        <v>406</v>
      </c>
      <c r="B41" s="47" t="s">
        <v>353</v>
      </c>
      <c r="C41" s="24" t="s">
        <v>355</v>
      </c>
      <c r="D41" s="349"/>
      <c r="E41" s="349"/>
      <c r="F41" s="349"/>
      <c r="G41" s="349"/>
      <c r="H41" s="349"/>
      <c r="I41" s="349"/>
      <c r="J41" s="349"/>
      <c r="K41" s="349"/>
      <c r="L41" s="120"/>
      <c r="M41" s="120"/>
      <c r="N41" s="120"/>
      <c r="O41" s="120"/>
      <c r="P41" s="123" t="s">
        <v>384</v>
      </c>
      <c r="Q41" s="123" t="s">
        <v>75</v>
      </c>
      <c r="R41" s="47" t="s">
        <v>27</v>
      </c>
      <c r="S41" s="349"/>
      <c r="T41" s="349"/>
      <c r="U41" s="349"/>
    </row>
    <row r="42">
      <c r="A42" s="349"/>
      <c r="B42" s="349"/>
      <c r="C42" s="349"/>
      <c r="D42" s="148"/>
      <c r="E42" s="148"/>
      <c r="F42" s="148"/>
      <c r="G42" s="349"/>
      <c r="H42" s="349"/>
      <c r="I42" s="349"/>
      <c r="J42" s="349"/>
      <c r="K42" s="349"/>
      <c r="L42" s="349"/>
      <c r="M42" s="24" t="s">
        <v>288</v>
      </c>
      <c r="N42" s="24" t="s">
        <v>243</v>
      </c>
      <c r="O42" s="24" t="s">
        <v>24</v>
      </c>
      <c r="P42" s="349"/>
      <c r="Q42" s="349"/>
      <c r="R42" s="349"/>
      <c r="S42" s="349"/>
      <c r="T42" s="349"/>
      <c r="U42" s="349"/>
    </row>
    <row r="43">
      <c r="A43" s="349"/>
      <c r="B43" s="349"/>
      <c r="C43" s="349"/>
      <c r="D43" s="120"/>
      <c r="E43" s="120"/>
      <c r="F43" s="120"/>
      <c r="G43" s="349"/>
      <c r="H43" s="349"/>
      <c r="I43" s="349"/>
      <c r="J43" s="349"/>
      <c r="K43" s="349"/>
      <c r="L43" s="349"/>
      <c r="M43" s="113"/>
      <c r="N43" s="138"/>
      <c r="O43" s="42" t="s">
        <v>36</v>
      </c>
      <c r="P43" s="349"/>
      <c r="Q43" s="349"/>
      <c r="R43" s="349"/>
      <c r="S43" s="349"/>
      <c r="T43" s="349"/>
      <c r="U43" s="349"/>
    </row>
    <row r="44">
      <c r="A44" s="349"/>
      <c r="B44" s="349"/>
      <c r="C44" s="349"/>
      <c r="D44" s="349"/>
      <c r="E44" s="349"/>
      <c r="F44" s="349"/>
      <c r="G44" s="349"/>
      <c r="H44" s="349"/>
      <c r="I44" s="349"/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</row>
    <row r="45">
      <c r="A45" s="27"/>
      <c r="B45" s="13"/>
      <c r="C45" s="14"/>
      <c r="D45" s="27"/>
      <c r="E45" s="13"/>
      <c r="F45" s="14"/>
      <c r="G45" s="27"/>
      <c r="H45" s="13"/>
      <c r="I45" s="14"/>
      <c r="J45" s="27"/>
      <c r="K45" s="13"/>
      <c r="L45" s="14"/>
      <c r="M45" s="27"/>
      <c r="N45" s="13"/>
      <c r="O45" s="14"/>
      <c r="P45" s="27"/>
      <c r="Q45" s="13"/>
      <c r="R45" s="14"/>
      <c r="S45" s="420"/>
      <c r="T45" s="13"/>
      <c r="U45" s="14"/>
    </row>
    <row r="46">
      <c r="A46" s="57"/>
      <c r="B46" s="13"/>
      <c r="C46" s="14"/>
      <c r="D46" s="57"/>
      <c r="E46" s="13"/>
      <c r="F46" s="14"/>
      <c r="G46" s="57"/>
      <c r="H46" s="13"/>
      <c r="I46" s="14"/>
      <c r="J46" s="57"/>
      <c r="K46" s="13"/>
      <c r="L46" s="14"/>
      <c r="M46" s="57"/>
      <c r="N46" s="13"/>
      <c r="O46" s="14"/>
      <c r="P46" s="57"/>
      <c r="Q46" s="13"/>
      <c r="R46" s="14"/>
      <c r="S46" s="421"/>
      <c r="T46" s="13"/>
      <c r="U46" s="14"/>
    </row>
    <row r="47">
      <c r="A47" s="209"/>
      <c r="B47" s="209"/>
      <c r="C47" s="209"/>
      <c r="D47" s="154"/>
      <c r="E47" s="154"/>
      <c r="F47" s="154"/>
      <c r="G47" s="361"/>
      <c r="H47" s="362"/>
      <c r="I47" s="362"/>
      <c r="J47" s="363"/>
      <c r="K47" s="363"/>
      <c r="L47" s="363"/>
      <c r="M47" s="349"/>
      <c r="N47" s="349"/>
      <c r="O47" s="349"/>
      <c r="P47" s="349"/>
      <c r="Q47" s="349"/>
      <c r="R47" s="349"/>
      <c r="S47" s="363"/>
      <c r="T47" s="363"/>
      <c r="U47" s="363"/>
    </row>
    <row r="48">
      <c r="A48" s="154"/>
      <c r="B48" s="154"/>
      <c r="C48" s="154"/>
      <c r="D48" s="205"/>
      <c r="E48" s="205"/>
      <c r="F48" s="205"/>
      <c r="G48" s="349"/>
      <c r="H48" s="349"/>
      <c r="I48" s="349"/>
      <c r="J48" s="363"/>
      <c r="K48" s="363"/>
      <c r="L48" s="363"/>
      <c r="M48" s="365"/>
      <c r="N48" s="364"/>
      <c r="O48" s="364"/>
      <c r="P48" s="349"/>
      <c r="Q48" s="349"/>
      <c r="R48" s="349"/>
      <c r="S48" s="349"/>
      <c r="T48" s="349"/>
      <c r="U48" s="349"/>
    </row>
    <row r="49">
      <c r="A49" s="154"/>
      <c r="B49" s="154"/>
      <c r="C49" s="154"/>
      <c r="D49" s="154"/>
      <c r="E49" s="154"/>
      <c r="F49" s="154"/>
      <c r="G49" s="349"/>
      <c r="H49" s="349"/>
      <c r="I49" s="349"/>
      <c r="J49" s="349"/>
      <c r="K49" s="349"/>
      <c r="L49" s="349"/>
      <c r="M49" s="558"/>
      <c r="N49" s="14"/>
      <c r="O49" s="349"/>
      <c r="P49" s="349"/>
      <c r="Q49" s="349"/>
      <c r="R49" s="349"/>
      <c r="S49" s="349"/>
      <c r="T49" s="349"/>
      <c r="U49" s="349"/>
    </row>
    <row r="50">
      <c r="A50" s="349"/>
      <c r="B50" s="349"/>
      <c r="C50" s="349"/>
      <c r="D50" s="154"/>
      <c r="E50" s="154"/>
      <c r="F50" s="154"/>
      <c r="G50" s="349"/>
      <c r="H50" s="349"/>
      <c r="I50" s="349"/>
      <c r="J50" s="349"/>
      <c r="K50" s="349"/>
      <c r="L50" s="349"/>
      <c r="M50" s="349"/>
      <c r="N50" s="349"/>
      <c r="O50" s="349"/>
      <c r="P50" s="349"/>
      <c r="Q50" s="349"/>
      <c r="R50" s="349"/>
      <c r="S50" s="363"/>
      <c r="T50" s="363"/>
      <c r="U50" s="363"/>
    </row>
    <row r="51">
      <c r="A51" s="209"/>
      <c r="B51" s="209"/>
      <c r="C51" s="209"/>
      <c r="D51" s="203"/>
      <c r="E51" s="203"/>
      <c r="F51" s="203"/>
      <c r="G51" s="349"/>
      <c r="H51" s="349"/>
      <c r="I51" s="363"/>
      <c r="J51" s="349"/>
      <c r="K51" s="349"/>
      <c r="L51" s="349"/>
      <c r="M51" s="349"/>
      <c r="N51" s="349"/>
      <c r="O51" s="349"/>
      <c r="P51" s="349"/>
      <c r="Q51" s="349"/>
      <c r="R51" s="349"/>
      <c r="S51" s="349"/>
      <c r="T51" s="349"/>
      <c r="U51" s="349"/>
    </row>
    <row r="52">
      <c r="A52" s="363"/>
      <c r="B52" s="363"/>
      <c r="C52" s="363"/>
      <c r="D52" s="349"/>
      <c r="E52" s="349"/>
      <c r="F52" s="349"/>
      <c r="G52" s="363"/>
      <c r="H52" s="363"/>
      <c r="I52" s="363"/>
      <c r="J52" s="349"/>
      <c r="K52" s="349"/>
      <c r="L52" s="349"/>
      <c r="M52" s="363"/>
      <c r="N52" s="363"/>
      <c r="O52" s="363"/>
      <c r="P52" s="349"/>
      <c r="Q52" s="349"/>
      <c r="R52" s="349"/>
      <c r="S52" s="363"/>
      <c r="T52" s="363"/>
      <c r="U52" s="363"/>
    </row>
    <row r="53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</row>
    <row r="63">
      <c r="L63" s="102" t="s">
        <v>50</v>
      </c>
    </row>
  </sheetData>
  <mergeCells count="97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S30:U30"/>
    <mergeCell ref="S33:U33"/>
    <mergeCell ref="A30:C30"/>
    <mergeCell ref="D30:F30"/>
    <mergeCell ref="G30:I30"/>
    <mergeCell ref="J30:L30"/>
    <mergeCell ref="M30:O30"/>
    <mergeCell ref="P30:R30"/>
    <mergeCell ref="D33:F33"/>
    <mergeCell ref="A37:C37"/>
    <mergeCell ref="D37:F37"/>
    <mergeCell ref="G37:I37"/>
    <mergeCell ref="J37:L37"/>
    <mergeCell ref="M37:O37"/>
    <mergeCell ref="P37:R37"/>
    <mergeCell ref="S37:U37"/>
    <mergeCell ref="A38:C38"/>
    <mergeCell ref="D38:F38"/>
    <mergeCell ref="G38:I38"/>
    <mergeCell ref="J38:L38"/>
    <mergeCell ref="M38:O38"/>
    <mergeCell ref="P38:R38"/>
    <mergeCell ref="S38:U38"/>
    <mergeCell ref="A46:C46"/>
    <mergeCell ref="D46:F46"/>
    <mergeCell ref="G46:I46"/>
    <mergeCell ref="J46:L46"/>
    <mergeCell ref="M46:O46"/>
    <mergeCell ref="P46:R46"/>
    <mergeCell ref="S46:U46"/>
    <mergeCell ref="M49:N49"/>
    <mergeCell ref="A45:C45"/>
    <mergeCell ref="D45:F45"/>
    <mergeCell ref="G45:I45"/>
    <mergeCell ref="J45:L45"/>
    <mergeCell ref="M45:O45"/>
    <mergeCell ref="P45:R45"/>
    <mergeCell ref="S45:U45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P18:R18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29:C29"/>
    <mergeCell ref="D29:F29"/>
    <mergeCell ref="G29:I29"/>
    <mergeCell ref="J29:L29"/>
    <mergeCell ref="M29:O29"/>
    <mergeCell ref="P29:R29"/>
    <mergeCell ref="S29:U29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8.71"/>
    <col customWidth="1" min="3" max="3" width="8.29"/>
    <col customWidth="1" min="4" max="4" width="8.14"/>
    <col customWidth="1" min="5" max="5" width="7.86"/>
    <col customWidth="1" min="6" max="6" width="7.14"/>
    <col customWidth="1" min="7" max="7" width="7.0"/>
    <col customWidth="1" min="9" max="9" width="10.0"/>
    <col customWidth="1" min="10" max="10" width="25.43"/>
    <col customWidth="1" min="11" max="11" width="11.43"/>
    <col customWidth="1" min="12" max="12" width="9.14"/>
    <col customWidth="1" min="13" max="13" width="18.57"/>
    <col customWidth="1" min="15" max="15" width="8.0"/>
    <col customWidth="1" min="16" max="16" width="16.0"/>
    <col customWidth="1" min="17" max="17" width="11.43"/>
    <col customWidth="1" min="18" max="18" width="9.0"/>
    <col customWidth="1" min="21" max="21" width="7.86"/>
  </cols>
  <sheetData>
    <row r="1">
      <c r="A1" s="102" t="s">
        <v>50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>
      <c r="A3" s="559" t="s">
        <v>512</v>
      </c>
      <c r="B3" s="560" t="s">
        <v>513</v>
      </c>
      <c r="C3" s="518"/>
      <c r="D3" s="518"/>
      <c r="E3" s="518"/>
      <c r="F3" s="518"/>
      <c r="G3" s="519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>
      <c r="A4" s="48"/>
      <c r="B4" s="561"/>
      <c r="C4" s="562"/>
      <c r="D4" s="562"/>
      <c r="E4" s="562"/>
      <c r="F4" s="562"/>
      <c r="G4" s="563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>
      <c r="A5" s="564" t="s">
        <v>17</v>
      </c>
      <c r="B5" s="565"/>
      <c r="C5" s="565"/>
      <c r="D5" s="566"/>
      <c r="E5" s="566"/>
      <c r="F5" s="566"/>
      <c r="G5" s="566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>
      <c r="A6" s="564" t="s">
        <v>288</v>
      </c>
      <c r="B6" s="565"/>
      <c r="C6" s="565"/>
      <c r="D6" s="566"/>
      <c r="E6" s="566"/>
      <c r="F6" s="566"/>
      <c r="G6" s="566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>
      <c r="A7" s="564" t="s">
        <v>170</v>
      </c>
      <c r="B7" s="567"/>
      <c r="C7" s="564"/>
      <c r="D7" s="566"/>
      <c r="E7" s="566"/>
      <c r="F7" s="566"/>
      <c r="G7" s="566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</row>
    <row r="8">
      <c r="A8" s="564" t="s">
        <v>514</v>
      </c>
      <c r="B8" s="565"/>
      <c r="C8" s="565"/>
      <c r="D8" s="565"/>
      <c r="E8" s="565"/>
      <c r="F8" s="568"/>
      <c r="G8" s="566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</row>
    <row r="9">
      <c r="A9" s="564" t="s">
        <v>515</v>
      </c>
      <c r="B9" s="565"/>
      <c r="C9" s="569"/>
      <c r="D9" s="570"/>
      <c r="E9" s="566"/>
      <c r="F9" s="566"/>
      <c r="G9" s="566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>
      <c r="A10" s="564" t="s">
        <v>516</v>
      </c>
      <c r="B10" s="565"/>
      <c r="C10" s="565"/>
      <c r="D10" s="566"/>
      <c r="E10" s="566"/>
      <c r="F10" s="566"/>
      <c r="G10" s="566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>
      <c r="A11" s="564" t="s">
        <v>327</v>
      </c>
      <c r="B11" s="569"/>
      <c r="C11" s="569"/>
      <c r="D11" s="564"/>
      <c r="E11" s="566"/>
      <c r="F11" s="566"/>
      <c r="G11" s="566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>
      <c r="A12" s="564" t="s">
        <v>517</v>
      </c>
      <c r="B12" s="566"/>
      <c r="C12" s="566"/>
      <c r="D12" s="566"/>
      <c r="E12" s="566"/>
      <c r="F12" s="566"/>
      <c r="G12" s="566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>
      <c r="A13" s="564" t="s">
        <v>18</v>
      </c>
      <c r="B13" s="565"/>
      <c r="C13" s="566"/>
      <c r="D13" s="566"/>
      <c r="E13" s="566"/>
      <c r="F13" s="566"/>
      <c r="G13" s="566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>
      <c r="A14" s="564" t="s">
        <v>518</v>
      </c>
      <c r="B14" s="565"/>
      <c r="C14" s="566"/>
      <c r="D14" s="566"/>
      <c r="E14" s="566"/>
      <c r="F14" s="566"/>
      <c r="G14" s="566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>
      <c r="A15" s="564" t="s">
        <v>166</v>
      </c>
      <c r="B15" s="569"/>
      <c r="C15" s="569"/>
      <c r="D15" s="569"/>
      <c r="E15" s="569"/>
      <c r="F15" s="566"/>
      <c r="G15" s="566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>
      <c r="A16" s="564" t="s">
        <v>519</v>
      </c>
      <c r="B16" s="571"/>
      <c r="C16" s="571"/>
      <c r="D16" s="566"/>
      <c r="E16" s="566"/>
      <c r="F16" s="566"/>
      <c r="G16" s="566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>
      <c r="A17" s="564" t="s">
        <v>112</v>
      </c>
      <c r="B17" s="571"/>
      <c r="C17" s="566"/>
      <c r="D17" s="566"/>
      <c r="E17" s="566"/>
      <c r="F17" s="566"/>
      <c r="G17" s="566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>
      <c r="A18" s="572" t="s">
        <v>125</v>
      </c>
      <c r="B18" s="571"/>
      <c r="C18" s="566"/>
      <c r="D18" s="566"/>
      <c r="E18" s="566"/>
      <c r="F18" s="566"/>
      <c r="G18" s="566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>
      <c r="A19" s="564" t="s">
        <v>520</v>
      </c>
      <c r="B19" s="569"/>
      <c r="C19" s="569"/>
      <c r="D19" s="573"/>
      <c r="E19" s="569"/>
      <c r="F19" s="566"/>
      <c r="G19" s="566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</row>
    <row r="20">
      <c r="A20" s="574" t="s">
        <v>352</v>
      </c>
      <c r="B20" s="569"/>
      <c r="C20" s="569"/>
      <c r="D20" s="566"/>
      <c r="E20" s="566"/>
      <c r="F20" s="566"/>
      <c r="G20" s="566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</row>
    <row r="21">
      <c r="A21" s="564" t="s">
        <v>412</v>
      </c>
      <c r="B21" s="569"/>
      <c r="C21" s="569"/>
      <c r="D21" s="566"/>
      <c r="E21" s="566"/>
      <c r="F21" s="566"/>
      <c r="G21" s="566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</row>
    <row r="22">
      <c r="A22" s="564" t="s">
        <v>267</v>
      </c>
      <c r="B22" s="564"/>
      <c r="C22" s="564"/>
      <c r="D22" s="566"/>
      <c r="E22" s="566"/>
      <c r="F22" s="566"/>
      <c r="G22" s="566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</row>
    <row r="23">
      <c r="A23" s="566"/>
      <c r="B23" s="566"/>
      <c r="C23" s="566"/>
      <c r="D23" s="566"/>
      <c r="E23" s="566"/>
      <c r="F23" s="566"/>
      <c r="G23" s="566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</row>
    <row r="24">
      <c r="A24" s="566"/>
      <c r="B24" s="566"/>
      <c r="C24" s="566"/>
      <c r="D24" s="566"/>
      <c r="E24" s="566"/>
      <c r="F24" s="566"/>
      <c r="G24" s="566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>
      <c r="A25" s="566"/>
      <c r="B25" s="566"/>
      <c r="C25" s="566"/>
      <c r="D25" s="566"/>
      <c r="E25" s="566"/>
      <c r="F25" s="566"/>
      <c r="G25" s="566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>
      <c r="A26" s="566"/>
      <c r="B26" s="566"/>
      <c r="C26" s="566"/>
      <c r="D26" s="566"/>
      <c r="E26" s="566"/>
      <c r="F26" s="566"/>
      <c r="G26" s="566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</row>
    <row r="28">
      <c r="A28" s="102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</row>
    <row r="29">
      <c r="A29" s="102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</row>
    <row r="30">
      <c r="A30" s="102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</row>
    <row r="31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  <c r="X255" s="102"/>
      <c r="Y255" s="102"/>
      <c r="Z255" s="102"/>
    </row>
    <row r="256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  <c r="X256" s="102"/>
      <c r="Y256" s="102"/>
      <c r="Z256" s="102"/>
    </row>
    <row r="257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  <c r="X257" s="102"/>
      <c r="Y257" s="102"/>
      <c r="Z257" s="102"/>
    </row>
    <row r="258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  <c r="X258" s="102"/>
      <c r="Y258" s="102"/>
      <c r="Z258" s="102"/>
    </row>
    <row r="259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  <c r="X259" s="102"/>
      <c r="Y259" s="102"/>
      <c r="Z259" s="102"/>
    </row>
    <row r="260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  <c r="X260" s="102"/>
      <c r="Y260" s="102"/>
      <c r="Z260" s="102"/>
    </row>
    <row r="26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  <c r="X261" s="102"/>
      <c r="Y261" s="102"/>
      <c r="Z261" s="102"/>
    </row>
    <row r="262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  <c r="X262" s="102"/>
      <c r="Y262" s="102"/>
      <c r="Z262" s="102"/>
    </row>
    <row r="263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  <c r="X263" s="102"/>
      <c r="Y263" s="102"/>
      <c r="Z263" s="102"/>
    </row>
    <row r="264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  <c r="X264" s="102"/>
      <c r="Y264" s="102"/>
      <c r="Z264" s="102"/>
    </row>
    <row r="26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  <c r="X265" s="102"/>
      <c r="Y265" s="102"/>
      <c r="Z265" s="102"/>
    </row>
    <row r="266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  <c r="X266" s="102"/>
      <c r="Y266" s="102"/>
      <c r="Z266" s="102"/>
    </row>
    <row r="267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  <c r="X267" s="102"/>
      <c r="Y267" s="102"/>
      <c r="Z267" s="102"/>
    </row>
    <row r="268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  <c r="X268" s="102"/>
      <c r="Y268" s="102"/>
      <c r="Z268" s="102"/>
    </row>
    <row r="269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  <c r="X269" s="102"/>
      <c r="Y269" s="102"/>
      <c r="Z269" s="102"/>
    </row>
    <row r="270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  <c r="X270" s="102"/>
      <c r="Y270" s="102"/>
      <c r="Z270" s="102"/>
    </row>
    <row r="27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  <c r="X271" s="102"/>
      <c r="Y271" s="102"/>
      <c r="Z271" s="102"/>
    </row>
    <row r="272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  <c r="X272" s="102"/>
      <c r="Y272" s="102"/>
      <c r="Z272" s="102"/>
    </row>
    <row r="273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  <c r="X273" s="102"/>
      <c r="Y273" s="102"/>
      <c r="Z273" s="102"/>
    </row>
    <row r="274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  <c r="X274" s="102"/>
      <c r="Y274" s="102"/>
      <c r="Z274" s="102"/>
    </row>
    <row r="27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  <c r="X275" s="102"/>
      <c r="Y275" s="102"/>
      <c r="Z275" s="102"/>
    </row>
    <row r="276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  <c r="X276" s="102"/>
      <c r="Y276" s="102"/>
      <c r="Z276" s="102"/>
    </row>
    <row r="277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  <c r="X277" s="102"/>
      <c r="Y277" s="102"/>
      <c r="Z277" s="102"/>
    </row>
    <row r="278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  <c r="X278" s="102"/>
      <c r="Y278" s="102"/>
      <c r="Z278" s="102"/>
    </row>
    <row r="279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  <c r="X279" s="102"/>
      <c r="Y279" s="102"/>
      <c r="Z279" s="102"/>
    </row>
    <row r="280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  <c r="X280" s="102"/>
      <c r="Y280" s="102"/>
      <c r="Z280" s="102"/>
    </row>
    <row r="28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  <c r="X281" s="102"/>
      <c r="Y281" s="102"/>
      <c r="Z281" s="102"/>
    </row>
    <row r="282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  <c r="X282" s="102"/>
      <c r="Y282" s="102"/>
      <c r="Z282" s="102"/>
    </row>
    <row r="283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  <c r="X283" s="102"/>
      <c r="Y283" s="102"/>
      <c r="Z283" s="102"/>
    </row>
    <row r="284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  <c r="X284" s="102"/>
      <c r="Y284" s="102"/>
      <c r="Z284" s="102"/>
    </row>
    <row r="28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  <c r="X285" s="102"/>
      <c r="Y285" s="102"/>
      <c r="Z285" s="102"/>
    </row>
    <row r="286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  <c r="X286" s="102"/>
      <c r="Y286" s="102"/>
      <c r="Z286" s="102"/>
    </row>
    <row r="287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  <c r="X287" s="102"/>
      <c r="Y287" s="102"/>
      <c r="Z287" s="102"/>
    </row>
    <row r="288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  <c r="X288" s="102"/>
      <c r="Y288" s="102"/>
      <c r="Z288" s="102"/>
    </row>
    <row r="289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  <c r="X289" s="102"/>
      <c r="Y289" s="102"/>
      <c r="Z289" s="102"/>
    </row>
    <row r="290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  <c r="X290" s="102"/>
      <c r="Y290" s="102"/>
      <c r="Z290" s="102"/>
    </row>
    <row r="29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  <c r="X291" s="102"/>
      <c r="Y291" s="102"/>
      <c r="Z291" s="102"/>
    </row>
    <row r="292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  <c r="X292" s="102"/>
      <c r="Y292" s="102"/>
      <c r="Z292" s="102"/>
    </row>
    <row r="293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  <c r="X293" s="102"/>
      <c r="Y293" s="102"/>
      <c r="Z293" s="102"/>
    </row>
    <row r="294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  <c r="X294" s="102"/>
      <c r="Y294" s="102"/>
      <c r="Z294" s="102"/>
    </row>
    <row r="29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  <c r="X295" s="102"/>
      <c r="Y295" s="102"/>
      <c r="Z295" s="102"/>
    </row>
    <row r="296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  <c r="X296" s="102"/>
      <c r="Y296" s="102"/>
      <c r="Z296" s="102"/>
    </row>
    <row r="297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  <c r="X301" s="102"/>
      <c r="Y301" s="102"/>
      <c r="Z301" s="102"/>
    </row>
    <row r="302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  <c r="X302" s="102"/>
      <c r="Y302" s="102"/>
      <c r="Z302" s="102"/>
    </row>
    <row r="303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  <c r="X303" s="102"/>
      <c r="Y303" s="102"/>
      <c r="Z303" s="102"/>
    </row>
    <row r="304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  <c r="X304" s="102"/>
      <c r="Y304" s="102"/>
      <c r="Z304" s="102"/>
    </row>
    <row r="30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  <c r="X305" s="102"/>
      <c r="Y305" s="102"/>
      <c r="Z305" s="102"/>
    </row>
    <row r="306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  <c r="X306" s="102"/>
      <c r="Y306" s="102"/>
      <c r="Z306" s="102"/>
    </row>
    <row r="307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  <c r="X307" s="102"/>
      <c r="Y307" s="102"/>
      <c r="Z307" s="102"/>
    </row>
    <row r="308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  <c r="X308" s="102"/>
      <c r="Y308" s="102"/>
      <c r="Z308" s="102"/>
    </row>
    <row r="309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  <c r="X309" s="102"/>
      <c r="Y309" s="102"/>
      <c r="Z309" s="102"/>
    </row>
    <row r="310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  <c r="X310" s="102"/>
      <c r="Y310" s="102"/>
      <c r="Z310" s="102"/>
    </row>
    <row r="31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  <c r="X311" s="102"/>
      <c r="Y311" s="102"/>
      <c r="Z311" s="102"/>
    </row>
    <row r="312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  <c r="X312" s="102"/>
      <c r="Y312" s="102"/>
      <c r="Z312" s="102"/>
    </row>
    <row r="313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  <c r="X313" s="102"/>
      <c r="Y313" s="102"/>
      <c r="Z313" s="102"/>
    </row>
    <row r="314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  <c r="X314" s="102"/>
      <c r="Y314" s="102"/>
      <c r="Z314" s="102"/>
    </row>
    <row r="31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  <c r="X315" s="102"/>
      <c r="Y315" s="102"/>
      <c r="Z315" s="102"/>
    </row>
    <row r="316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  <c r="X316" s="102"/>
      <c r="Y316" s="102"/>
      <c r="Z316" s="102"/>
    </row>
    <row r="317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  <c r="X317" s="102"/>
      <c r="Y317" s="102"/>
      <c r="Z317" s="102"/>
    </row>
    <row r="318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  <c r="X318" s="102"/>
      <c r="Y318" s="102"/>
      <c r="Z318" s="102"/>
    </row>
    <row r="319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  <c r="X319" s="102"/>
      <c r="Y319" s="102"/>
      <c r="Z319" s="102"/>
    </row>
    <row r="320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  <c r="X320" s="102"/>
      <c r="Y320" s="102"/>
      <c r="Z320" s="102"/>
    </row>
    <row r="32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</row>
    <row r="322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</row>
    <row r="323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</row>
    <row r="324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</row>
    <row r="3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</row>
    <row r="326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</row>
    <row r="327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</row>
    <row r="328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</row>
    <row r="329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</row>
    <row r="330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</row>
    <row r="33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  <c r="X331" s="102"/>
      <c r="Y331" s="102"/>
      <c r="Z331" s="102"/>
    </row>
    <row r="332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  <c r="X332" s="102"/>
      <c r="Y332" s="102"/>
      <c r="Z332" s="102"/>
    </row>
    <row r="333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  <c r="X333" s="102"/>
      <c r="Y333" s="102"/>
      <c r="Z333" s="102"/>
    </row>
    <row r="334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  <c r="X334" s="102"/>
      <c r="Y334" s="102"/>
      <c r="Z334" s="102"/>
    </row>
    <row r="33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  <c r="X335" s="102"/>
      <c r="Y335" s="102"/>
      <c r="Z335" s="102"/>
    </row>
    <row r="336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  <c r="X336" s="102"/>
      <c r="Y336" s="102"/>
      <c r="Z336" s="102"/>
    </row>
    <row r="337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  <c r="X337" s="102"/>
      <c r="Y337" s="102"/>
      <c r="Z337" s="102"/>
    </row>
    <row r="338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  <c r="X338" s="102"/>
      <c r="Y338" s="102"/>
      <c r="Z338" s="102"/>
    </row>
    <row r="339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  <c r="X339" s="102"/>
      <c r="Y339" s="102"/>
      <c r="Z339" s="102"/>
    </row>
    <row r="340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  <c r="X340" s="102"/>
      <c r="Y340" s="102"/>
      <c r="Z340" s="102"/>
    </row>
    <row r="34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  <c r="X341" s="102"/>
      <c r="Y341" s="102"/>
      <c r="Z341" s="102"/>
    </row>
    <row r="342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  <c r="X342" s="102"/>
      <c r="Y342" s="102"/>
      <c r="Z342" s="102"/>
    </row>
    <row r="343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  <c r="X343" s="102"/>
      <c r="Y343" s="102"/>
      <c r="Z343" s="102"/>
    </row>
    <row r="344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  <c r="X344" s="102"/>
      <c r="Y344" s="102"/>
      <c r="Z344" s="102"/>
    </row>
    <row r="34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  <c r="X345" s="102"/>
      <c r="Y345" s="102"/>
      <c r="Z345" s="102"/>
    </row>
    <row r="346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  <c r="X346" s="102"/>
      <c r="Y346" s="102"/>
      <c r="Z346" s="102"/>
    </row>
    <row r="347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  <c r="X347" s="102"/>
      <c r="Y347" s="102"/>
      <c r="Z347" s="102"/>
    </row>
    <row r="348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  <c r="X348" s="102"/>
      <c r="Y348" s="102"/>
      <c r="Z348" s="102"/>
    </row>
    <row r="349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  <c r="X349" s="102"/>
      <c r="Y349" s="102"/>
      <c r="Z349" s="102"/>
    </row>
    <row r="350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  <c r="X350" s="102"/>
      <c r="Y350" s="102"/>
      <c r="Z350" s="102"/>
    </row>
    <row r="35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  <c r="X351" s="102"/>
      <c r="Y351" s="102"/>
      <c r="Z351" s="102"/>
    </row>
    <row r="352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  <c r="X352" s="102"/>
      <c r="Y352" s="102"/>
      <c r="Z352" s="102"/>
    </row>
    <row r="353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  <c r="X353" s="102"/>
      <c r="Y353" s="102"/>
      <c r="Z353" s="102"/>
    </row>
    <row r="354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  <c r="X354" s="102"/>
      <c r="Y354" s="102"/>
      <c r="Z354" s="102"/>
    </row>
    <row r="35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  <c r="X355" s="102"/>
      <c r="Y355" s="102"/>
      <c r="Z355" s="102"/>
    </row>
    <row r="356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  <c r="X356" s="102"/>
      <c r="Y356" s="102"/>
      <c r="Z356" s="102"/>
    </row>
    <row r="357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  <c r="X357" s="102"/>
      <c r="Y357" s="102"/>
      <c r="Z357" s="102"/>
    </row>
    <row r="358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  <c r="X358" s="102"/>
      <c r="Y358" s="102"/>
      <c r="Z358" s="102"/>
    </row>
    <row r="359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  <c r="X359" s="102"/>
      <c r="Y359" s="102"/>
      <c r="Z359" s="102"/>
    </row>
    <row r="360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  <c r="X360" s="102"/>
      <c r="Y360" s="102"/>
      <c r="Z360" s="102"/>
    </row>
    <row r="36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  <c r="X361" s="102"/>
      <c r="Y361" s="102"/>
      <c r="Z361" s="102"/>
    </row>
    <row r="362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  <c r="X362" s="102"/>
      <c r="Y362" s="102"/>
      <c r="Z362" s="102"/>
    </row>
    <row r="363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  <c r="X363" s="102"/>
      <c r="Y363" s="102"/>
      <c r="Z363" s="102"/>
    </row>
    <row r="364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  <c r="X364" s="102"/>
      <c r="Y364" s="102"/>
      <c r="Z364" s="102"/>
    </row>
    <row r="36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  <c r="X365" s="102"/>
      <c r="Y365" s="102"/>
      <c r="Z365" s="102"/>
    </row>
    <row r="366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  <c r="X366" s="102"/>
      <c r="Y366" s="102"/>
      <c r="Z366" s="102"/>
    </row>
    <row r="367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  <c r="X367" s="102"/>
      <c r="Y367" s="102"/>
      <c r="Z367" s="102"/>
    </row>
    <row r="368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  <c r="X368" s="102"/>
      <c r="Y368" s="102"/>
      <c r="Z368" s="102"/>
    </row>
    <row r="369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  <c r="X369" s="102"/>
      <c r="Y369" s="102"/>
      <c r="Z369" s="102"/>
    </row>
    <row r="370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  <c r="X370" s="102"/>
      <c r="Y370" s="102"/>
      <c r="Z370" s="102"/>
    </row>
    <row r="37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  <c r="X371" s="102"/>
      <c r="Y371" s="102"/>
      <c r="Z371" s="102"/>
    </row>
    <row r="372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  <c r="X372" s="102"/>
      <c r="Y372" s="102"/>
      <c r="Z372" s="102"/>
    </row>
    <row r="373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  <c r="X373" s="102"/>
      <c r="Y373" s="102"/>
      <c r="Z373" s="102"/>
    </row>
    <row r="374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  <c r="X374" s="102"/>
      <c r="Y374" s="102"/>
      <c r="Z374" s="102"/>
    </row>
    <row r="37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  <c r="X375" s="102"/>
      <c r="Y375" s="102"/>
      <c r="Z375" s="102"/>
    </row>
    <row r="376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  <c r="X376" s="102"/>
      <c r="Y376" s="102"/>
      <c r="Z376" s="102"/>
    </row>
    <row r="377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  <c r="X377" s="102"/>
      <c r="Y377" s="102"/>
      <c r="Z377" s="102"/>
    </row>
    <row r="378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  <c r="X378" s="102"/>
      <c r="Y378" s="102"/>
      <c r="Z378" s="102"/>
    </row>
    <row r="379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  <c r="X379" s="102"/>
      <c r="Y379" s="102"/>
      <c r="Z379" s="102"/>
    </row>
    <row r="380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  <c r="X380" s="102"/>
      <c r="Y380" s="102"/>
      <c r="Z380" s="102"/>
    </row>
    <row r="38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  <c r="X381" s="102"/>
      <c r="Y381" s="102"/>
      <c r="Z381" s="102"/>
    </row>
    <row r="382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  <c r="X382" s="102"/>
      <c r="Y382" s="102"/>
      <c r="Z382" s="102"/>
    </row>
    <row r="383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  <c r="X383" s="102"/>
      <c r="Y383" s="102"/>
      <c r="Z383" s="102"/>
    </row>
    <row r="384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  <c r="X384" s="102"/>
      <c r="Y384" s="102"/>
      <c r="Z384" s="102"/>
    </row>
    <row r="38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  <c r="X385" s="102"/>
      <c r="Y385" s="102"/>
      <c r="Z385" s="102"/>
    </row>
    <row r="386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  <c r="X386" s="102"/>
      <c r="Y386" s="102"/>
      <c r="Z386" s="102"/>
    </row>
    <row r="387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  <c r="X387" s="102"/>
      <c r="Y387" s="102"/>
      <c r="Z387" s="102"/>
    </row>
    <row r="388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</row>
    <row r="389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</row>
    <row r="390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</row>
    <row r="39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</row>
    <row r="392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</row>
    <row r="393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</row>
    <row r="394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</row>
    <row r="39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</row>
    <row r="396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</row>
    <row r="397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</row>
    <row r="398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</row>
    <row r="399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</row>
    <row r="400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</row>
    <row r="40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</row>
    <row r="402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</row>
    <row r="403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</row>
    <row r="404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</row>
    <row r="40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</row>
    <row r="406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</row>
    <row r="407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  <c r="X407" s="102"/>
      <c r="Y407" s="102"/>
      <c r="Z407" s="102"/>
    </row>
    <row r="408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  <c r="X408" s="102"/>
      <c r="Y408" s="102"/>
      <c r="Z408" s="102"/>
    </row>
    <row r="409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  <c r="X409" s="102"/>
      <c r="Y409" s="102"/>
      <c r="Z409" s="102"/>
    </row>
    <row r="410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  <c r="X410" s="102"/>
      <c r="Y410" s="102"/>
      <c r="Z410" s="102"/>
    </row>
    <row r="41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  <c r="X411" s="102"/>
      <c r="Y411" s="102"/>
      <c r="Z411" s="102"/>
    </row>
    <row r="412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  <c r="X412" s="102"/>
      <c r="Y412" s="102"/>
      <c r="Z412" s="102"/>
    </row>
    <row r="413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  <c r="X413" s="102"/>
      <c r="Y413" s="102"/>
      <c r="Z413" s="102"/>
    </row>
    <row r="414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  <c r="X414" s="102"/>
      <c r="Y414" s="102"/>
      <c r="Z414" s="102"/>
    </row>
    <row r="41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  <c r="X415" s="102"/>
      <c r="Y415" s="102"/>
      <c r="Z415" s="102"/>
    </row>
    <row r="416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  <c r="X416" s="102"/>
      <c r="Y416" s="102"/>
      <c r="Z416" s="102"/>
    </row>
    <row r="417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  <c r="X417" s="102"/>
      <c r="Y417" s="102"/>
      <c r="Z417" s="102"/>
    </row>
    <row r="418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  <c r="X418" s="102"/>
      <c r="Y418" s="102"/>
      <c r="Z418" s="102"/>
    </row>
    <row r="419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  <c r="X419" s="102"/>
      <c r="Y419" s="102"/>
      <c r="Z419" s="102"/>
    </row>
    <row r="420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  <c r="X420" s="102"/>
      <c r="Y420" s="102"/>
      <c r="Z420" s="102"/>
    </row>
    <row r="42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</row>
    <row r="422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</row>
    <row r="423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</row>
    <row r="424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</row>
    <row r="4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</row>
    <row r="426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</row>
    <row r="427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</row>
    <row r="428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</row>
    <row r="429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</row>
    <row r="430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</row>
    <row r="43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  <c r="X431" s="102"/>
      <c r="Y431" s="102"/>
      <c r="Z431" s="102"/>
    </row>
    <row r="432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  <c r="X432" s="102"/>
      <c r="Y432" s="102"/>
      <c r="Z432" s="102"/>
    </row>
    <row r="433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  <c r="X433" s="102"/>
      <c r="Y433" s="102"/>
      <c r="Z433" s="102"/>
    </row>
    <row r="434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  <c r="X434" s="102"/>
      <c r="Y434" s="102"/>
      <c r="Z434" s="102"/>
    </row>
    <row r="43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  <c r="X435" s="102"/>
      <c r="Y435" s="102"/>
      <c r="Z435" s="102"/>
    </row>
    <row r="436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  <c r="X436" s="102"/>
      <c r="Y436" s="102"/>
      <c r="Z436" s="102"/>
    </row>
    <row r="437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  <c r="X437" s="102"/>
      <c r="Y437" s="102"/>
      <c r="Z437" s="102"/>
    </row>
    <row r="438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  <c r="X438" s="102"/>
      <c r="Y438" s="102"/>
      <c r="Z438" s="102"/>
    </row>
    <row r="439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  <c r="X439" s="102"/>
      <c r="Y439" s="102"/>
      <c r="Z439" s="102"/>
    </row>
    <row r="440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  <c r="X440" s="102"/>
      <c r="Y440" s="102"/>
      <c r="Z440" s="102"/>
    </row>
    <row r="44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</row>
    <row r="442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</row>
    <row r="443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</row>
    <row r="444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</row>
    <row r="44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</row>
    <row r="446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</row>
    <row r="447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</row>
    <row r="448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</row>
    <row r="449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</row>
    <row r="450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</row>
    <row r="45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  <c r="X451" s="102"/>
      <c r="Y451" s="102"/>
      <c r="Z451" s="102"/>
    </row>
    <row r="452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  <c r="X452" s="102"/>
      <c r="Y452" s="102"/>
      <c r="Z452" s="102"/>
    </row>
    <row r="453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  <c r="X453" s="102"/>
      <c r="Y453" s="102"/>
      <c r="Z453" s="102"/>
    </row>
    <row r="454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</row>
    <row r="45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  <c r="X455" s="102"/>
      <c r="Y455" s="102"/>
      <c r="Z455" s="102"/>
    </row>
    <row r="456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  <c r="X456" s="102"/>
      <c r="Y456" s="102"/>
      <c r="Z456" s="102"/>
    </row>
    <row r="457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  <c r="X457" s="102"/>
      <c r="Y457" s="102"/>
      <c r="Z457" s="102"/>
    </row>
    <row r="458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  <c r="X458" s="102"/>
      <c r="Y458" s="102"/>
      <c r="Z458" s="102"/>
    </row>
    <row r="459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  <c r="X459" s="102"/>
      <c r="Y459" s="102"/>
      <c r="Z459" s="102"/>
    </row>
    <row r="460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  <c r="X460" s="102"/>
      <c r="Y460" s="102"/>
      <c r="Z460" s="102"/>
    </row>
    <row r="46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  <c r="X461" s="102"/>
      <c r="Y461" s="102"/>
      <c r="Z461" s="102"/>
    </row>
    <row r="462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  <c r="X462" s="102"/>
      <c r="Y462" s="102"/>
      <c r="Z462" s="102"/>
    </row>
    <row r="463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  <c r="X463" s="102"/>
      <c r="Y463" s="102"/>
      <c r="Z463" s="102"/>
    </row>
    <row r="464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  <c r="X464" s="102"/>
      <c r="Y464" s="102"/>
      <c r="Z464" s="102"/>
    </row>
    <row r="46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  <c r="X465" s="102"/>
      <c r="Y465" s="102"/>
      <c r="Z465" s="102"/>
    </row>
    <row r="466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  <c r="X466" s="102"/>
      <c r="Y466" s="102"/>
      <c r="Z466" s="102"/>
    </row>
    <row r="467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  <c r="X467" s="102"/>
      <c r="Y467" s="102"/>
      <c r="Z467" s="102"/>
    </row>
    <row r="468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  <c r="X468" s="102"/>
      <c r="Y468" s="102"/>
      <c r="Z468" s="102"/>
    </row>
    <row r="469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  <c r="X469" s="102"/>
      <c r="Y469" s="102"/>
      <c r="Z469" s="102"/>
    </row>
    <row r="470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  <c r="X470" s="102"/>
      <c r="Y470" s="102"/>
      <c r="Z470" s="102"/>
    </row>
    <row r="47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  <c r="X471" s="102"/>
      <c r="Y471" s="102"/>
      <c r="Z471" s="102"/>
    </row>
    <row r="472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  <c r="X472" s="102"/>
      <c r="Y472" s="102"/>
      <c r="Z472" s="102"/>
    </row>
    <row r="473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  <c r="X473" s="102"/>
      <c r="Y473" s="102"/>
      <c r="Z473" s="102"/>
    </row>
    <row r="474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  <c r="X474" s="102"/>
      <c r="Y474" s="102"/>
      <c r="Z474" s="102"/>
    </row>
    <row r="47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  <c r="X475" s="102"/>
      <c r="Y475" s="102"/>
      <c r="Z475" s="102"/>
    </row>
    <row r="476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  <c r="X476" s="102"/>
      <c r="Y476" s="102"/>
      <c r="Z476" s="102"/>
    </row>
    <row r="477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  <c r="X477" s="102"/>
      <c r="Y477" s="102"/>
      <c r="Z477" s="102"/>
    </row>
    <row r="478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  <c r="X478" s="102"/>
      <c r="Y478" s="102"/>
      <c r="Z478" s="102"/>
    </row>
    <row r="479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  <c r="X479" s="102"/>
      <c r="Y479" s="102"/>
      <c r="Z479" s="102"/>
    </row>
    <row r="480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  <c r="X480" s="102"/>
      <c r="Y480" s="102"/>
      <c r="Z480" s="102"/>
    </row>
    <row r="48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  <c r="X481" s="102"/>
      <c r="Y481" s="102"/>
      <c r="Z481" s="102"/>
    </row>
    <row r="482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  <c r="X482" s="102"/>
      <c r="Y482" s="102"/>
      <c r="Z482" s="102"/>
    </row>
    <row r="483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  <c r="X483" s="102"/>
      <c r="Y483" s="102"/>
      <c r="Z483" s="102"/>
    </row>
    <row r="484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  <c r="X484" s="102"/>
      <c r="Y484" s="102"/>
      <c r="Z484" s="102"/>
    </row>
    <row r="48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  <c r="X485" s="102"/>
      <c r="Y485" s="102"/>
      <c r="Z485" s="102"/>
    </row>
    <row r="486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  <c r="X486" s="102"/>
      <c r="Y486" s="102"/>
      <c r="Z486" s="102"/>
    </row>
    <row r="487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  <c r="X487" s="102"/>
      <c r="Y487" s="102"/>
      <c r="Z487" s="102"/>
    </row>
    <row r="488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  <c r="X488" s="102"/>
      <c r="Y488" s="102"/>
      <c r="Z488" s="102"/>
    </row>
    <row r="489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  <c r="X489" s="102"/>
      <c r="Y489" s="102"/>
      <c r="Z489" s="102"/>
    </row>
    <row r="490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  <c r="X490" s="102"/>
      <c r="Y490" s="102"/>
      <c r="Z490" s="102"/>
    </row>
    <row r="49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  <c r="X491" s="102"/>
      <c r="Y491" s="102"/>
      <c r="Z491" s="102"/>
    </row>
    <row r="492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  <c r="X492" s="102"/>
      <c r="Y492" s="102"/>
      <c r="Z492" s="102"/>
    </row>
    <row r="493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  <c r="X493" s="102"/>
      <c r="Y493" s="102"/>
      <c r="Z493" s="102"/>
    </row>
    <row r="494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  <c r="X494" s="102"/>
      <c r="Y494" s="102"/>
      <c r="Z494" s="102"/>
    </row>
    <row r="49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  <c r="X495" s="102"/>
      <c r="Y495" s="102"/>
      <c r="Z495" s="102"/>
    </row>
    <row r="496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  <c r="X496" s="102"/>
      <c r="Y496" s="102"/>
      <c r="Z496" s="102"/>
    </row>
    <row r="497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  <c r="X497" s="102"/>
      <c r="Y497" s="102"/>
      <c r="Z497" s="102"/>
    </row>
    <row r="498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  <c r="X498" s="102"/>
      <c r="Y498" s="102"/>
      <c r="Z498" s="102"/>
    </row>
    <row r="499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  <c r="X499" s="102"/>
      <c r="Y499" s="102"/>
      <c r="Z499" s="102"/>
    </row>
    <row r="500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  <c r="X500" s="102"/>
      <c r="Y500" s="102"/>
      <c r="Z500" s="102"/>
    </row>
    <row r="50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  <c r="X501" s="102"/>
      <c r="Y501" s="102"/>
      <c r="Z501" s="102"/>
    </row>
    <row r="502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  <c r="X502" s="102"/>
      <c r="Y502" s="102"/>
      <c r="Z502" s="102"/>
    </row>
    <row r="503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  <c r="X503" s="102"/>
      <c r="Y503" s="102"/>
      <c r="Z503" s="102"/>
    </row>
    <row r="504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  <c r="X504" s="102"/>
      <c r="Y504" s="102"/>
      <c r="Z504" s="102"/>
    </row>
    <row r="50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  <c r="X505" s="102"/>
      <c r="Y505" s="102"/>
      <c r="Z505" s="102"/>
    </row>
    <row r="506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  <c r="X506" s="102"/>
      <c r="Y506" s="102"/>
      <c r="Z506" s="102"/>
    </row>
    <row r="507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  <c r="X507" s="102"/>
      <c r="Y507" s="102"/>
      <c r="Z507" s="102"/>
    </row>
    <row r="508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  <c r="X508" s="102"/>
      <c r="Y508" s="102"/>
      <c r="Z508" s="102"/>
    </row>
    <row r="509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  <c r="X509" s="102"/>
      <c r="Y509" s="102"/>
      <c r="Z509" s="102"/>
    </row>
    <row r="510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  <c r="X510" s="102"/>
      <c r="Y510" s="102"/>
      <c r="Z510" s="102"/>
    </row>
    <row r="51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  <c r="X511" s="102"/>
      <c r="Y511" s="102"/>
      <c r="Z511" s="102"/>
    </row>
    <row r="512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  <c r="X512" s="102"/>
      <c r="Y512" s="102"/>
      <c r="Z512" s="102"/>
    </row>
    <row r="513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  <c r="X513" s="102"/>
      <c r="Y513" s="102"/>
      <c r="Z513" s="102"/>
    </row>
    <row r="514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  <c r="X514" s="102"/>
      <c r="Y514" s="102"/>
      <c r="Z514" s="102"/>
    </row>
    <row r="51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  <c r="X515" s="102"/>
      <c r="Y515" s="102"/>
      <c r="Z515" s="102"/>
    </row>
    <row r="516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  <c r="X516" s="102"/>
      <c r="Y516" s="102"/>
      <c r="Z516" s="102"/>
    </row>
    <row r="517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  <c r="X517" s="102"/>
      <c r="Y517" s="102"/>
      <c r="Z517" s="102"/>
    </row>
    <row r="518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  <c r="X518" s="102"/>
      <c r="Y518" s="102"/>
      <c r="Z518" s="102"/>
    </row>
    <row r="519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  <c r="X519" s="102"/>
      <c r="Y519" s="102"/>
      <c r="Z519" s="102"/>
    </row>
    <row r="520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  <c r="X520" s="102"/>
      <c r="Y520" s="102"/>
      <c r="Z520" s="102"/>
    </row>
    <row r="52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  <c r="X521" s="102"/>
      <c r="Y521" s="102"/>
      <c r="Z521" s="102"/>
    </row>
    <row r="522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  <c r="X522" s="102"/>
      <c r="Y522" s="102"/>
      <c r="Z522" s="102"/>
    </row>
    <row r="523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  <c r="X523" s="102"/>
      <c r="Y523" s="102"/>
      <c r="Z523" s="102"/>
    </row>
    <row r="524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  <c r="X524" s="102"/>
      <c r="Y524" s="102"/>
      <c r="Z524" s="102"/>
    </row>
    <row r="5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  <c r="X525" s="102"/>
      <c r="Y525" s="102"/>
      <c r="Z525" s="102"/>
    </row>
    <row r="526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  <c r="X526" s="102"/>
      <c r="Y526" s="102"/>
      <c r="Z526" s="102"/>
    </row>
    <row r="527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  <c r="X527" s="102"/>
      <c r="Y527" s="102"/>
      <c r="Z527" s="102"/>
    </row>
    <row r="528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  <c r="X528" s="102"/>
      <c r="Y528" s="102"/>
      <c r="Z528" s="102"/>
    </row>
    <row r="529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  <c r="X529" s="102"/>
      <c r="Y529" s="102"/>
      <c r="Z529" s="102"/>
    </row>
    <row r="530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  <c r="X530" s="102"/>
      <c r="Y530" s="102"/>
      <c r="Z530" s="102"/>
    </row>
    <row r="53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  <c r="X531" s="102"/>
      <c r="Y531" s="102"/>
      <c r="Z531" s="102"/>
    </row>
    <row r="532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  <c r="X532" s="102"/>
      <c r="Y532" s="102"/>
      <c r="Z532" s="102"/>
    </row>
    <row r="533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  <c r="X533" s="102"/>
      <c r="Y533" s="102"/>
      <c r="Z533" s="102"/>
    </row>
    <row r="534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  <c r="X534" s="102"/>
      <c r="Y534" s="102"/>
      <c r="Z534" s="102"/>
    </row>
    <row r="53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  <c r="X535" s="102"/>
      <c r="Y535" s="102"/>
      <c r="Z535" s="102"/>
    </row>
    <row r="536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  <c r="X536" s="102"/>
      <c r="Y536" s="102"/>
      <c r="Z536" s="102"/>
    </row>
    <row r="537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  <c r="X537" s="102"/>
      <c r="Y537" s="102"/>
      <c r="Z537" s="102"/>
    </row>
    <row r="538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  <c r="X538" s="102"/>
      <c r="Y538" s="102"/>
      <c r="Z538" s="102"/>
    </row>
    <row r="539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  <c r="X539" s="102"/>
      <c r="Y539" s="102"/>
      <c r="Z539" s="102"/>
    </row>
    <row r="540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  <c r="X540" s="102"/>
      <c r="Y540" s="102"/>
      <c r="Z540" s="102"/>
    </row>
    <row r="54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  <c r="X541" s="102"/>
      <c r="Y541" s="102"/>
      <c r="Z541" s="102"/>
    </row>
    <row r="542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  <c r="X542" s="102"/>
      <c r="Y542" s="102"/>
      <c r="Z542" s="102"/>
    </row>
    <row r="543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  <c r="X543" s="102"/>
      <c r="Y543" s="102"/>
      <c r="Z543" s="102"/>
    </row>
    <row r="544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  <c r="X544" s="102"/>
      <c r="Y544" s="102"/>
      <c r="Z544" s="102"/>
    </row>
    <row r="54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  <c r="X545" s="102"/>
      <c r="Y545" s="102"/>
      <c r="Z545" s="102"/>
    </row>
    <row r="546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  <c r="X546" s="102"/>
      <c r="Y546" s="102"/>
      <c r="Z546" s="102"/>
    </row>
    <row r="547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  <c r="X547" s="102"/>
      <c r="Y547" s="102"/>
      <c r="Z547" s="102"/>
    </row>
    <row r="548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  <c r="X548" s="102"/>
      <c r="Y548" s="102"/>
      <c r="Z548" s="102"/>
    </row>
    <row r="549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  <c r="X549" s="102"/>
      <c r="Y549" s="102"/>
      <c r="Z549" s="102"/>
    </row>
    <row r="550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  <c r="X550" s="102"/>
      <c r="Y550" s="102"/>
      <c r="Z550" s="102"/>
    </row>
    <row r="55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  <c r="X551" s="102"/>
      <c r="Y551" s="102"/>
      <c r="Z551" s="102"/>
    </row>
    <row r="552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  <c r="X552" s="102"/>
      <c r="Y552" s="102"/>
      <c r="Z552" s="102"/>
    </row>
    <row r="553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  <c r="X553" s="102"/>
      <c r="Y553" s="102"/>
      <c r="Z553" s="102"/>
    </row>
    <row r="554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  <c r="X554" s="102"/>
      <c r="Y554" s="102"/>
      <c r="Z554" s="102"/>
    </row>
    <row r="55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  <c r="X555" s="102"/>
      <c r="Y555" s="102"/>
      <c r="Z555" s="102"/>
    </row>
    <row r="556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  <c r="X556" s="102"/>
      <c r="Y556" s="102"/>
      <c r="Z556" s="102"/>
    </row>
    <row r="557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  <c r="X557" s="102"/>
      <c r="Y557" s="102"/>
      <c r="Z557" s="102"/>
    </row>
    <row r="558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  <c r="X558" s="102"/>
      <c r="Y558" s="102"/>
      <c r="Z558" s="102"/>
    </row>
    <row r="559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  <c r="X559" s="102"/>
      <c r="Y559" s="102"/>
      <c r="Z559" s="102"/>
    </row>
    <row r="560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  <c r="X560" s="102"/>
      <c r="Y560" s="102"/>
      <c r="Z560" s="102"/>
    </row>
    <row r="56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  <c r="X561" s="102"/>
      <c r="Y561" s="102"/>
      <c r="Z561" s="102"/>
    </row>
    <row r="562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  <c r="X562" s="102"/>
      <c r="Y562" s="102"/>
      <c r="Z562" s="102"/>
    </row>
    <row r="563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  <c r="X563" s="102"/>
      <c r="Y563" s="102"/>
      <c r="Z563" s="102"/>
    </row>
    <row r="564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  <c r="X564" s="102"/>
      <c r="Y564" s="102"/>
      <c r="Z564" s="102"/>
    </row>
    <row r="56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  <c r="X565" s="102"/>
      <c r="Y565" s="102"/>
      <c r="Z565" s="102"/>
    </row>
    <row r="566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  <c r="X566" s="102"/>
      <c r="Y566" s="102"/>
      <c r="Z566" s="102"/>
    </row>
    <row r="567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  <c r="X567" s="102"/>
      <c r="Y567" s="102"/>
      <c r="Z567" s="102"/>
    </row>
    <row r="568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  <c r="X568" s="102"/>
      <c r="Y568" s="102"/>
      <c r="Z568" s="102"/>
    </row>
    <row r="569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  <c r="X569" s="102"/>
      <c r="Y569" s="102"/>
      <c r="Z569" s="102"/>
    </row>
    <row r="570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  <c r="X570" s="102"/>
      <c r="Y570" s="102"/>
      <c r="Z570" s="102"/>
    </row>
    <row r="57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  <c r="X571" s="102"/>
      <c r="Y571" s="102"/>
      <c r="Z571" s="102"/>
    </row>
    <row r="572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  <c r="X572" s="102"/>
      <c r="Y572" s="102"/>
      <c r="Z572" s="102"/>
    </row>
    <row r="573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  <c r="X573" s="102"/>
      <c r="Y573" s="102"/>
      <c r="Z573" s="102"/>
    </row>
    <row r="574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  <c r="X574" s="102"/>
      <c r="Y574" s="102"/>
      <c r="Z574" s="102"/>
    </row>
    <row r="57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  <c r="X575" s="102"/>
      <c r="Y575" s="102"/>
      <c r="Z575" s="102"/>
    </row>
    <row r="576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  <c r="X576" s="102"/>
      <c r="Y576" s="102"/>
      <c r="Z576" s="102"/>
    </row>
    <row r="577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  <c r="X577" s="102"/>
      <c r="Y577" s="102"/>
      <c r="Z577" s="102"/>
    </row>
    <row r="578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  <c r="X578" s="102"/>
      <c r="Y578" s="102"/>
      <c r="Z578" s="102"/>
    </row>
    <row r="579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  <c r="X579" s="102"/>
      <c r="Y579" s="102"/>
      <c r="Z579" s="102"/>
    </row>
    <row r="580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  <c r="X580" s="102"/>
      <c r="Y580" s="102"/>
      <c r="Z580" s="102"/>
    </row>
    <row r="58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  <c r="X581" s="102"/>
      <c r="Y581" s="102"/>
      <c r="Z581" s="102"/>
    </row>
    <row r="582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  <c r="X582" s="102"/>
      <c r="Y582" s="102"/>
      <c r="Z582" s="102"/>
    </row>
    <row r="583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  <c r="X583" s="102"/>
      <c r="Y583" s="102"/>
      <c r="Z583" s="102"/>
    </row>
    <row r="584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  <c r="X584" s="102"/>
      <c r="Y584" s="102"/>
      <c r="Z584" s="102"/>
    </row>
    <row r="58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  <c r="X585" s="102"/>
      <c r="Y585" s="102"/>
      <c r="Z585" s="102"/>
    </row>
    <row r="586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  <c r="X586" s="102"/>
      <c r="Y586" s="102"/>
      <c r="Z586" s="102"/>
    </row>
    <row r="587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  <c r="X587" s="102"/>
      <c r="Y587" s="102"/>
      <c r="Z587" s="102"/>
    </row>
    <row r="588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  <c r="X588" s="102"/>
      <c r="Y588" s="102"/>
      <c r="Z588" s="102"/>
    </row>
    <row r="589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  <c r="X589" s="102"/>
      <c r="Y589" s="102"/>
      <c r="Z589" s="102"/>
    </row>
    <row r="590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  <c r="X590" s="102"/>
      <c r="Y590" s="102"/>
      <c r="Z590" s="102"/>
    </row>
    <row r="59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  <c r="X591" s="102"/>
      <c r="Y591" s="102"/>
      <c r="Z591" s="102"/>
    </row>
    <row r="592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  <c r="X592" s="102"/>
      <c r="Y592" s="102"/>
      <c r="Z592" s="102"/>
    </row>
    <row r="593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  <c r="X593" s="102"/>
      <c r="Y593" s="102"/>
      <c r="Z593" s="102"/>
    </row>
    <row r="594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  <c r="X594" s="102"/>
      <c r="Y594" s="102"/>
      <c r="Z594" s="102"/>
    </row>
    <row r="59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  <c r="X595" s="102"/>
      <c r="Y595" s="102"/>
      <c r="Z595" s="102"/>
    </row>
    <row r="596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  <c r="X596" s="102"/>
      <c r="Y596" s="102"/>
      <c r="Z596" s="102"/>
    </row>
    <row r="597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  <c r="X597" s="102"/>
      <c r="Y597" s="102"/>
      <c r="Z597" s="102"/>
    </row>
    <row r="598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  <c r="X598" s="102"/>
      <c r="Y598" s="102"/>
      <c r="Z598" s="102"/>
    </row>
    <row r="599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  <c r="X599" s="102"/>
      <c r="Y599" s="102"/>
      <c r="Z599" s="102"/>
    </row>
    <row r="600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  <c r="X600" s="102"/>
      <c r="Y600" s="102"/>
      <c r="Z600" s="102"/>
    </row>
    <row r="60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  <c r="X601" s="102"/>
      <c r="Y601" s="102"/>
      <c r="Z601" s="102"/>
    </row>
    <row r="602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  <c r="X602" s="102"/>
      <c r="Y602" s="102"/>
      <c r="Z602" s="102"/>
    </row>
    <row r="603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  <c r="X603" s="102"/>
      <c r="Y603" s="102"/>
      <c r="Z603" s="102"/>
    </row>
    <row r="604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  <c r="X604" s="102"/>
      <c r="Y604" s="102"/>
      <c r="Z604" s="102"/>
    </row>
    <row r="60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  <c r="X605" s="102"/>
      <c r="Y605" s="102"/>
      <c r="Z605" s="102"/>
    </row>
    <row r="606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  <c r="X606" s="102"/>
      <c r="Y606" s="102"/>
      <c r="Z606" s="102"/>
    </row>
    <row r="607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  <c r="X607" s="102"/>
      <c r="Y607" s="102"/>
      <c r="Z607" s="102"/>
    </row>
    <row r="608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  <c r="X608" s="102"/>
      <c r="Y608" s="102"/>
      <c r="Z608" s="102"/>
    </row>
    <row r="609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  <c r="X609" s="102"/>
      <c r="Y609" s="102"/>
      <c r="Z609" s="102"/>
    </row>
    <row r="610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  <c r="X610" s="102"/>
      <c r="Y610" s="102"/>
      <c r="Z610" s="102"/>
    </row>
    <row r="61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  <c r="X611" s="102"/>
      <c r="Y611" s="102"/>
      <c r="Z611" s="102"/>
    </row>
    <row r="612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  <c r="X612" s="102"/>
      <c r="Y612" s="102"/>
      <c r="Z612" s="102"/>
    </row>
    <row r="613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  <c r="X613" s="102"/>
      <c r="Y613" s="102"/>
      <c r="Z613" s="102"/>
    </row>
    <row r="614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</row>
    <row r="61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  <c r="X615" s="102"/>
      <c r="Y615" s="102"/>
      <c r="Z615" s="102"/>
    </row>
    <row r="616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  <c r="X616" s="102"/>
      <c r="Y616" s="102"/>
      <c r="Z616" s="102"/>
    </row>
    <row r="617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  <c r="X617" s="102"/>
      <c r="Y617" s="102"/>
      <c r="Z617" s="102"/>
    </row>
    <row r="618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  <c r="X618" s="102"/>
      <c r="Y618" s="102"/>
      <c r="Z618" s="102"/>
    </row>
    <row r="619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  <c r="X619" s="102"/>
      <c r="Y619" s="102"/>
      <c r="Z619" s="102"/>
    </row>
    <row r="620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</row>
    <row r="62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  <c r="X621" s="102"/>
      <c r="Y621" s="102"/>
      <c r="Z621" s="102"/>
    </row>
    <row r="622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  <c r="X622" s="102"/>
      <c r="Y622" s="102"/>
      <c r="Z622" s="102"/>
    </row>
    <row r="623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  <c r="X623" s="102"/>
      <c r="Y623" s="102"/>
      <c r="Z623" s="102"/>
    </row>
    <row r="624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  <c r="X624" s="102"/>
      <c r="Y624" s="102"/>
      <c r="Z624" s="102"/>
    </row>
    <row r="6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  <c r="X625" s="102"/>
      <c r="Y625" s="102"/>
      <c r="Z625" s="102"/>
    </row>
    <row r="626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  <c r="X626" s="102"/>
      <c r="Y626" s="102"/>
      <c r="Z626" s="102"/>
    </row>
    <row r="627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  <c r="X627" s="102"/>
      <c r="Y627" s="102"/>
      <c r="Z627" s="102"/>
    </row>
    <row r="628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  <c r="X628" s="102"/>
      <c r="Y628" s="102"/>
      <c r="Z628" s="102"/>
    </row>
    <row r="629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  <c r="X629" s="102"/>
      <c r="Y629" s="102"/>
      <c r="Z629" s="102"/>
    </row>
    <row r="630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  <c r="X630" s="102"/>
      <c r="Y630" s="102"/>
      <c r="Z630" s="102"/>
    </row>
    <row r="63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  <c r="X631" s="102"/>
      <c r="Y631" s="102"/>
      <c r="Z631" s="102"/>
    </row>
    <row r="632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</row>
    <row r="633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  <c r="X633" s="102"/>
      <c r="Y633" s="102"/>
      <c r="Z633" s="102"/>
    </row>
    <row r="634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  <c r="X634" s="102"/>
      <c r="Y634" s="102"/>
      <c r="Z634" s="102"/>
    </row>
    <row r="63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  <c r="X635" s="102"/>
      <c r="Y635" s="102"/>
      <c r="Z635" s="102"/>
    </row>
    <row r="636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  <c r="X636" s="102"/>
      <c r="Y636" s="102"/>
      <c r="Z636" s="102"/>
    </row>
    <row r="637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  <c r="X637" s="102"/>
      <c r="Y637" s="102"/>
      <c r="Z637" s="102"/>
    </row>
    <row r="638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  <c r="X638" s="102"/>
      <c r="Y638" s="102"/>
      <c r="Z638" s="102"/>
    </row>
    <row r="639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  <c r="X639" s="102"/>
      <c r="Y639" s="102"/>
      <c r="Z639" s="102"/>
    </row>
    <row r="640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  <c r="X640" s="102"/>
      <c r="Y640" s="102"/>
      <c r="Z640" s="102"/>
    </row>
    <row r="64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</row>
    <row r="642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  <c r="X642" s="102"/>
      <c r="Y642" s="102"/>
      <c r="Z642" s="102"/>
    </row>
    <row r="643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  <c r="X643" s="102"/>
      <c r="Y643" s="102"/>
      <c r="Z643" s="102"/>
    </row>
    <row r="644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  <c r="X644" s="102"/>
      <c r="Y644" s="102"/>
      <c r="Z644" s="102"/>
    </row>
    <row r="64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  <c r="X645" s="102"/>
      <c r="Y645" s="102"/>
      <c r="Z645" s="102"/>
    </row>
    <row r="646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  <c r="X646" s="102"/>
      <c r="Y646" s="102"/>
      <c r="Z646" s="102"/>
    </row>
    <row r="647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  <c r="X647" s="102"/>
      <c r="Y647" s="102"/>
      <c r="Z647" s="102"/>
    </row>
    <row r="648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  <c r="X648" s="102"/>
      <c r="Y648" s="102"/>
      <c r="Z648" s="102"/>
    </row>
    <row r="649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  <c r="X649" s="102"/>
      <c r="Y649" s="102"/>
      <c r="Z649" s="102"/>
    </row>
    <row r="650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  <c r="X650" s="102"/>
      <c r="Y650" s="102"/>
      <c r="Z650" s="102"/>
    </row>
    <row r="65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  <c r="X651" s="102"/>
      <c r="Y651" s="102"/>
      <c r="Z651" s="102"/>
    </row>
    <row r="652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  <c r="X652" s="102"/>
      <c r="Y652" s="102"/>
      <c r="Z652" s="102"/>
    </row>
    <row r="653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  <c r="X653" s="102"/>
      <c r="Y653" s="102"/>
      <c r="Z653" s="102"/>
    </row>
    <row r="654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  <c r="X654" s="102"/>
      <c r="Y654" s="102"/>
      <c r="Z654" s="102"/>
    </row>
    <row r="65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  <c r="X655" s="102"/>
      <c r="Y655" s="102"/>
      <c r="Z655" s="102"/>
    </row>
    <row r="656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  <c r="X656" s="102"/>
      <c r="Y656" s="102"/>
      <c r="Z656" s="102"/>
    </row>
    <row r="657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  <c r="X657" s="102"/>
      <c r="Y657" s="102"/>
      <c r="Z657" s="102"/>
    </row>
    <row r="658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  <c r="X658" s="102"/>
      <c r="Y658" s="102"/>
      <c r="Z658" s="102"/>
    </row>
    <row r="659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  <c r="X659" s="102"/>
      <c r="Y659" s="102"/>
      <c r="Z659" s="102"/>
    </row>
    <row r="660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  <c r="X660" s="102"/>
      <c r="Y660" s="102"/>
      <c r="Z660" s="102"/>
    </row>
    <row r="66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  <c r="X661" s="102"/>
      <c r="Y661" s="102"/>
      <c r="Z661" s="102"/>
    </row>
    <row r="662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  <c r="X662" s="102"/>
      <c r="Y662" s="102"/>
      <c r="Z662" s="102"/>
    </row>
    <row r="663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  <c r="X663" s="102"/>
      <c r="Y663" s="102"/>
      <c r="Z663" s="102"/>
    </row>
    <row r="664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  <c r="X664" s="102"/>
      <c r="Y664" s="102"/>
      <c r="Z664" s="102"/>
    </row>
    <row r="66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  <c r="X665" s="102"/>
      <c r="Y665" s="102"/>
      <c r="Z665" s="102"/>
    </row>
    <row r="666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  <c r="X666" s="102"/>
      <c r="Y666" s="102"/>
      <c r="Z666" s="102"/>
    </row>
    <row r="667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  <c r="X667" s="102"/>
      <c r="Y667" s="102"/>
      <c r="Z667" s="102"/>
    </row>
    <row r="668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  <c r="X668" s="102"/>
      <c r="Y668" s="102"/>
      <c r="Z668" s="102"/>
    </row>
    <row r="669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  <c r="X669" s="102"/>
      <c r="Y669" s="102"/>
      <c r="Z669" s="102"/>
    </row>
    <row r="670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  <c r="X670" s="102"/>
      <c r="Y670" s="102"/>
      <c r="Z670" s="102"/>
    </row>
    <row r="67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  <c r="X671" s="102"/>
      <c r="Y671" s="102"/>
      <c r="Z671" s="102"/>
    </row>
    <row r="672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  <c r="X672" s="102"/>
      <c r="Y672" s="102"/>
      <c r="Z672" s="102"/>
    </row>
    <row r="673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  <c r="X673" s="102"/>
      <c r="Y673" s="102"/>
      <c r="Z673" s="102"/>
    </row>
    <row r="674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  <c r="X674" s="102"/>
      <c r="Y674" s="102"/>
      <c r="Z674" s="102"/>
    </row>
    <row r="67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  <c r="X675" s="102"/>
      <c r="Y675" s="102"/>
      <c r="Z675" s="102"/>
    </row>
    <row r="676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  <c r="X676" s="102"/>
      <c r="Y676" s="102"/>
      <c r="Z676" s="102"/>
    </row>
    <row r="677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  <c r="X677" s="102"/>
      <c r="Y677" s="102"/>
      <c r="Z677" s="102"/>
    </row>
    <row r="678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  <c r="X678" s="102"/>
      <c r="Y678" s="102"/>
      <c r="Z678" s="102"/>
    </row>
    <row r="679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  <c r="X679" s="102"/>
      <c r="Y679" s="102"/>
      <c r="Z679" s="102"/>
    </row>
    <row r="680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  <c r="X680" s="102"/>
      <c r="Y680" s="102"/>
      <c r="Z680" s="102"/>
    </row>
    <row r="68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  <c r="X681" s="102"/>
      <c r="Y681" s="102"/>
      <c r="Z681" s="102"/>
    </row>
    <row r="682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  <c r="X682" s="102"/>
      <c r="Y682" s="102"/>
      <c r="Z682" s="102"/>
    </row>
    <row r="683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  <c r="X683" s="102"/>
      <c r="Y683" s="102"/>
      <c r="Z683" s="102"/>
    </row>
    <row r="684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  <c r="X684" s="102"/>
      <c r="Y684" s="102"/>
      <c r="Z684" s="102"/>
    </row>
    <row r="68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  <c r="X685" s="102"/>
      <c r="Y685" s="102"/>
      <c r="Z685" s="102"/>
    </row>
    <row r="686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  <c r="X686" s="102"/>
      <c r="Y686" s="102"/>
      <c r="Z686" s="102"/>
    </row>
    <row r="687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  <c r="X687" s="102"/>
      <c r="Y687" s="102"/>
      <c r="Z687" s="102"/>
    </row>
    <row r="688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  <c r="X688" s="102"/>
      <c r="Y688" s="102"/>
      <c r="Z688" s="102"/>
    </row>
    <row r="689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  <c r="X689" s="102"/>
      <c r="Y689" s="102"/>
      <c r="Z689" s="102"/>
    </row>
    <row r="690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  <c r="X690" s="102"/>
      <c r="Y690" s="102"/>
      <c r="Z690" s="102"/>
    </row>
    <row r="69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  <c r="X691" s="102"/>
      <c r="Y691" s="102"/>
      <c r="Z691" s="102"/>
    </row>
    <row r="692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  <c r="X692" s="102"/>
      <c r="Y692" s="102"/>
      <c r="Z692" s="102"/>
    </row>
    <row r="693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  <c r="X693" s="102"/>
      <c r="Y693" s="102"/>
      <c r="Z693" s="102"/>
    </row>
    <row r="694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  <c r="X694" s="102"/>
      <c r="Y694" s="102"/>
      <c r="Z694" s="102"/>
    </row>
    <row r="69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  <c r="X695" s="102"/>
      <c r="Y695" s="102"/>
      <c r="Z695" s="102"/>
    </row>
    <row r="696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  <c r="X696" s="102"/>
      <c r="Y696" s="102"/>
      <c r="Z696" s="102"/>
    </row>
    <row r="697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  <c r="X697" s="102"/>
      <c r="Y697" s="102"/>
      <c r="Z697" s="102"/>
    </row>
    <row r="698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  <c r="X698" s="102"/>
      <c r="Y698" s="102"/>
      <c r="Z698" s="102"/>
    </row>
    <row r="699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  <c r="X699" s="102"/>
      <c r="Y699" s="102"/>
      <c r="Z699" s="102"/>
    </row>
    <row r="700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  <c r="X700" s="102"/>
      <c r="Y700" s="102"/>
      <c r="Z700" s="102"/>
    </row>
    <row r="70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  <c r="X701" s="102"/>
      <c r="Y701" s="102"/>
      <c r="Z701" s="102"/>
    </row>
    <row r="702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  <c r="X702" s="102"/>
      <c r="Y702" s="102"/>
      <c r="Z702" s="102"/>
    </row>
    <row r="703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  <c r="X703" s="102"/>
      <c r="Y703" s="102"/>
      <c r="Z703" s="102"/>
    </row>
    <row r="704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  <c r="X704" s="102"/>
      <c r="Y704" s="102"/>
      <c r="Z704" s="102"/>
    </row>
    <row r="70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  <c r="X705" s="102"/>
      <c r="Y705" s="102"/>
      <c r="Z705" s="102"/>
    </row>
    <row r="706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  <c r="X706" s="102"/>
      <c r="Y706" s="102"/>
      <c r="Z706" s="102"/>
    </row>
    <row r="707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  <c r="X707" s="102"/>
      <c r="Y707" s="102"/>
      <c r="Z707" s="102"/>
    </row>
    <row r="708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  <c r="X708" s="102"/>
      <c r="Y708" s="102"/>
      <c r="Z708" s="102"/>
    </row>
    <row r="709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  <c r="X709" s="102"/>
      <c r="Y709" s="102"/>
      <c r="Z709" s="102"/>
    </row>
    <row r="710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  <c r="X710" s="102"/>
      <c r="Y710" s="102"/>
      <c r="Z710" s="102"/>
    </row>
    <row r="71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  <c r="X711" s="102"/>
      <c r="Y711" s="102"/>
      <c r="Z711" s="102"/>
    </row>
    <row r="712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  <c r="X712" s="102"/>
      <c r="Y712" s="102"/>
      <c r="Z712" s="102"/>
    </row>
    <row r="713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  <c r="X713" s="102"/>
      <c r="Y713" s="102"/>
      <c r="Z713" s="102"/>
    </row>
    <row r="714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  <c r="X714" s="102"/>
      <c r="Y714" s="102"/>
      <c r="Z714" s="102"/>
    </row>
    <row r="71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  <c r="X715" s="102"/>
      <c r="Y715" s="102"/>
      <c r="Z715" s="102"/>
    </row>
    <row r="716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  <c r="X716" s="102"/>
      <c r="Y716" s="102"/>
      <c r="Z716" s="102"/>
    </row>
    <row r="717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  <c r="X717" s="102"/>
      <c r="Y717" s="102"/>
      <c r="Z717" s="102"/>
    </row>
    <row r="718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  <c r="X718" s="102"/>
      <c r="Y718" s="102"/>
      <c r="Z718" s="102"/>
    </row>
    <row r="719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  <c r="X719" s="102"/>
      <c r="Y719" s="102"/>
      <c r="Z719" s="102"/>
    </row>
    <row r="720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  <c r="X720" s="102"/>
      <c r="Y720" s="102"/>
      <c r="Z720" s="102"/>
    </row>
    <row r="72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  <c r="X721" s="102"/>
      <c r="Y721" s="102"/>
      <c r="Z721" s="102"/>
    </row>
    <row r="722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  <c r="X722" s="102"/>
      <c r="Y722" s="102"/>
      <c r="Z722" s="102"/>
    </row>
    <row r="723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  <c r="X723" s="102"/>
      <c r="Y723" s="102"/>
      <c r="Z723" s="102"/>
    </row>
    <row r="724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  <c r="X724" s="102"/>
      <c r="Y724" s="102"/>
      <c r="Z724" s="102"/>
    </row>
    <row r="7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  <c r="X725" s="102"/>
      <c r="Y725" s="102"/>
      <c r="Z725" s="102"/>
    </row>
    <row r="726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  <c r="X726" s="102"/>
      <c r="Y726" s="102"/>
      <c r="Z726" s="102"/>
    </row>
    <row r="727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  <c r="X727" s="102"/>
      <c r="Y727" s="102"/>
      <c r="Z727" s="102"/>
    </row>
    <row r="728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  <c r="X728" s="102"/>
      <c r="Y728" s="102"/>
      <c r="Z728" s="102"/>
    </row>
    <row r="729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  <c r="X729" s="102"/>
      <c r="Y729" s="102"/>
      <c r="Z729" s="102"/>
    </row>
    <row r="730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  <c r="X730" s="102"/>
      <c r="Y730" s="102"/>
      <c r="Z730" s="102"/>
    </row>
    <row r="73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  <c r="X731" s="102"/>
      <c r="Y731" s="102"/>
      <c r="Z731" s="102"/>
    </row>
    <row r="732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  <c r="X732" s="102"/>
      <c r="Y732" s="102"/>
      <c r="Z732" s="102"/>
    </row>
    <row r="733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  <c r="X733" s="102"/>
      <c r="Y733" s="102"/>
      <c r="Z733" s="102"/>
    </row>
    <row r="734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  <c r="X734" s="102"/>
      <c r="Y734" s="102"/>
      <c r="Z734" s="102"/>
    </row>
    <row r="73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  <c r="X735" s="102"/>
      <c r="Y735" s="102"/>
      <c r="Z735" s="102"/>
    </row>
    <row r="736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  <c r="X736" s="102"/>
      <c r="Y736" s="102"/>
      <c r="Z736" s="102"/>
    </row>
    <row r="737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  <c r="X737" s="102"/>
      <c r="Y737" s="102"/>
      <c r="Z737" s="102"/>
    </row>
    <row r="738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  <c r="X738" s="102"/>
      <c r="Y738" s="102"/>
      <c r="Z738" s="102"/>
    </row>
    <row r="739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  <c r="X739" s="102"/>
      <c r="Y739" s="102"/>
      <c r="Z739" s="102"/>
    </row>
    <row r="740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  <c r="X740" s="102"/>
      <c r="Y740" s="102"/>
      <c r="Z740" s="102"/>
    </row>
    <row r="74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  <c r="X741" s="102"/>
      <c r="Y741" s="102"/>
      <c r="Z741" s="102"/>
    </row>
    <row r="742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  <c r="X742" s="102"/>
      <c r="Y742" s="102"/>
      <c r="Z742" s="102"/>
    </row>
    <row r="743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  <c r="X743" s="102"/>
      <c r="Y743" s="102"/>
      <c r="Z743" s="102"/>
    </row>
    <row r="744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  <c r="X744" s="102"/>
      <c r="Y744" s="102"/>
      <c r="Z744" s="102"/>
    </row>
    <row r="74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  <c r="X745" s="102"/>
      <c r="Y745" s="102"/>
      <c r="Z745" s="102"/>
    </row>
    <row r="746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  <c r="X746" s="102"/>
      <c r="Y746" s="102"/>
      <c r="Z746" s="102"/>
    </row>
    <row r="747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  <c r="X747" s="102"/>
      <c r="Y747" s="102"/>
      <c r="Z747" s="102"/>
    </row>
    <row r="748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  <c r="X748" s="102"/>
      <c r="Y748" s="102"/>
      <c r="Z748" s="102"/>
    </row>
    <row r="749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  <c r="X749" s="102"/>
      <c r="Y749" s="102"/>
      <c r="Z749" s="102"/>
    </row>
    <row r="750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  <c r="X750" s="102"/>
      <c r="Y750" s="102"/>
      <c r="Z750" s="102"/>
    </row>
    <row r="75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  <c r="X751" s="102"/>
      <c r="Y751" s="102"/>
      <c r="Z751" s="102"/>
    </row>
    <row r="752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  <c r="X752" s="102"/>
      <c r="Y752" s="102"/>
      <c r="Z752" s="102"/>
    </row>
    <row r="753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  <c r="X753" s="102"/>
      <c r="Y753" s="102"/>
      <c r="Z753" s="102"/>
    </row>
    <row r="754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  <c r="X754" s="102"/>
      <c r="Y754" s="102"/>
      <c r="Z754" s="102"/>
    </row>
    <row r="75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  <c r="X755" s="102"/>
      <c r="Y755" s="102"/>
      <c r="Z755" s="102"/>
    </row>
    <row r="756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  <c r="X756" s="102"/>
      <c r="Y756" s="102"/>
      <c r="Z756" s="102"/>
    </row>
    <row r="757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  <c r="X757" s="102"/>
      <c r="Y757" s="102"/>
      <c r="Z757" s="102"/>
    </row>
    <row r="758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  <c r="X758" s="102"/>
      <c r="Y758" s="102"/>
      <c r="Z758" s="102"/>
    </row>
    <row r="759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  <c r="X759" s="102"/>
      <c r="Y759" s="102"/>
      <c r="Z759" s="102"/>
    </row>
    <row r="760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  <c r="X760" s="102"/>
      <c r="Y760" s="102"/>
      <c r="Z760" s="102"/>
    </row>
    <row r="76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  <c r="X761" s="102"/>
      <c r="Y761" s="102"/>
      <c r="Z761" s="102"/>
    </row>
    <row r="762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  <c r="X762" s="102"/>
      <c r="Y762" s="102"/>
      <c r="Z762" s="102"/>
    </row>
    <row r="763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  <c r="X763" s="102"/>
      <c r="Y763" s="102"/>
      <c r="Z763" s="102"/>
    </row>
    <row r="764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  <c r="X764" s="102"/>
      <c r="Y764" s="102"/>
      <c r="Z764" s="102"/>
    </row>
    <row r="76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  <c r="X765" s="102"/>
      <c r="Y765" s="102"/>
      <c r="Z765" s="102"/>
    </row>
    <row r="766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  <c r="X766" s="102"/>
      <c r="Y766" s="102"/>
      <c r="Z766" s="102"/>
    </row>
    <row r="767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  <c r="X767" s="102"/>
      <c r="Y767" s="102"/>
      <c r="Z767" s="102"/>
    </row>
    <row r="768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  <c r="X768" s="102"/>
      <c r="Y768" s="102"/>
      <c r="Z768" s="102"/>
    </row>
    <row r="769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  <c r="X769" s="102"/>
      <c r="Y769" s="102"/>
      <c r="Z769" s="102"/>
    </row>
    <row r="770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  <c r="X770" s="102"/>
      <c r="Y770" s="102"/>
      <c r="Z770" s="102"/>
    </row>
    <row r="77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  <c r="X771" s="102"/>
      <c r="Y771" s="102"/>
      <c r="Z771" s="102"/>
    </row>
    <row r="772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  <c r="X772" s="102"/>
      <c r="Y772" s="102"/>
      <c r="Z772" s="102"/>
    </row>
    <row r="773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  <c r="X773" s="102"/>
      <c r="Y773" s="102"/>
      <c r="Z773" s="102"/>
    </row>
    <row r="774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  <c r="X774" s="102"/>
      <c r="Y774" s="102"/>
      <c r="Z774" s="102"/>
    </row>
    <row r="77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  <c r="X775" s="102"/>
      <c r="Y775" s="102"/>
      <c r="Z775" s="102"/>
    </row>
    <row r="776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  <c r="X776" s="102"/>
      <c r="Y776" s="102"/>
      <c r="Z776" s="102"/>
    </row>
    <row r="777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  <c r="X777" s="102"/>
      <c r="Y777" s="102"/>
      <c r="Z777" s="102"/>
    </row>
    <row r="778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  <c r="X778" s="102"/>
      <c r="Y778" s="102"/>
      <c r="Z778" s="102"/>
    </row>
    <row r="779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  <c r="X779" s="102"/>
      <c r="Y779" s="102"/>
      <c r="Z779" s="102"/>
    </row>
    <row r="780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  <c r="X780" s="102"/>
      <c r="Y780" s="102"/>
      <c r="Z780" s="102"/>
    </row>
    <row r="78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  <c r="X781" s="102"/>
      <c r="Y781" s="102"/>
      <c r="Z781" s="102"/>
    </row>
    <row r="782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  <c r="X782" s="102"/>
      <c r="Y782" s="102"/>
      <c r="Z782" s="102"/>
    </row>
    <row r="783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  <c r="X783" s="102"/>
      <c r="Y783" s="102"/>
      <c r="Z783" s="102"/>
    </row>
    <row r="784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</row>
    <row r="78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  <c r="X785" s="102"/>
      <c r="Y785" s="102"/>
      <c r="Z785" s="102"/>
    </row>
    <row r="786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  <c r="X786" s="102"/>
      <c r="Y786" s="102"/>
      <c r="Z786" s="102"/>
    </row>
    <row r="787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  <c r="X787" s="102"/>
      <c r="Y787" s="102"/>
      <c r="Z787" s="102"/>
    </row>
    <row r="788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  <c r="X788" s="102"/>
      <c r="Y788" s="102"/>
      <c r="Z788" s="102"/>
    </row>
    <row r="789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  <c r="X789" s="102"/>
      <c r="Y789" s="102"/>
      <c r="Z789" s="102"/>
    </row>
    <row r="790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  <c r="X790" s="102"/>
      <c r="Y790" s="102"/>
      <c r="Z790" s="102"/>
    </row>
    <row r="79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  <c r="X791" s="102"/>
      <c r="Y791" s="102"/>
      <c r="Z791" s="102"/>
    </row>
    <row r="792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  <c r="X792" s="102"/>
      <c r="Y792" s="102"/>
      <c r="Z792" s="102"/>
    </row>
    <row r="793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  <c r="X793" s="102"/>
      <c r="Y793" s="102"/>
      <c r="Z793" s="102"/>
    </row>
    <row r="794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  <c r="X794" s="102"/>
      <c r="Y794" s="102"/>
      <c r="Z794" s="102"/>
    </row>
    <row r="79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  <c r="X795" s="102"/>
      <c r="Y795" s="102"/>
      <c r="Z795" s="102"/>
    </row>
    <row r="796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  <c r="X796" s="102"/>
      <c r="Y796" s="102"/>
      <c r="Z796" s="102"/>
    </row>
    <row r="797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  <c r="X797" s="102"/>
      <c r="Y797" s="102"/>
      <c r="Z797" s="102"/>
    </row>
    <row r="798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  <c r="X798" s="102"/>
      <c r="Y798" s="102"/>
      <c r="Z798" s="102"/>
    </row>
    <row r="799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  <c r="X799" s="102"/>
      <c r="Y799" s="102"/>
      <c r="Z799" s="102"/>
    </row>
    <row r="800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  <c r="X800" s="102"/>
      <c r="Y800" s="102"/>
      <c r="Z800" s="102"/>
    </row>
    <row r="80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  <c r="X801" s="102"/>
      <c r="Y801" s="102"/>
      <c r="Z801" s="102"/>
    </row>
    <row r="802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  <c r="X802" s="102"/>
      <c r="Y802" s="102"/>
      <c r="Z802" s="102"/>
    </row>
    <row r="803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  <c r="X803" s="102"/>
      <c r="Y803" s="102"/>
      <c r="Z803" s="102"/>
    </row>
    <row r="804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  <c r="X804" s="102"/>
      <c r="Y804" s="102"/>
      <c r="Z804" s="102"/>
    </row>
    <row r="80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  <c r="X805" s="102"/>
      <c r="Y805" s="102"/>
      <c r="Z805" s="102"/>
    </row>
    <row r="806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  <c r="X806" s="102"/>
      <c r="Y806" s="102"/>
      <c r="Z806" s="102"/>
    </row>
    <row r="807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  <c r="X807" s="102"/>
      <c r="Y807" s="102"/>
      <c r="Z807" s="102"/>
    </row>
    <row r="808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  <c r="X808" s="102"/>
      <c r="Y808" s="102"/>
      <c r="Z808" s="102"/>
    </row>
    <row r="809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  <c r="X809" s="102"/>
      <c r="Y809" s="102"/>
      <c r="Z809" s="102"/>
    </row>
    <row r="810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  <c r="X810" s="102"/>
      <c r="Y810" s="102"/>
      <c r="Z810" s="102"/>
    </row>
    <row r="81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  <c r="X811" s="102"/>
      <c r="Y811" s="102"/>
      <c r="Z811" s="102"/>
    </row>
    <row r="812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  <c r="X812" s="102"/>
      <c r="Y812" s="102"/>
      <c r="Z812" s="102"/>
    </row>
    <row r="813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  <c r="X813" s="102"/>
      <c r="Y813" s="102"/>
      <c r="Z813" s="102"/>
    </row>
    <row r="814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  <c r="X814" s="102"/>
      <c r="Y814" s="102"/>
      <c r="Z814" s="102"/>
    </row>
    <row r="81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  <c r="X815" s="102"/>
      <c r="Y815" s="102"/>
      <c r="Z815" s="102"/>
    </row>
    <row r="816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  <c r="X816" s="102"/>
      <c r="Y816" s="102"/>
      <c r="Z816" s="102"/>
    </row>
    <row r="817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  <c r="X817" s="102"/>
      <c r="Y817" s="102"/>
      <c r="Z817" s="102"/>
    </row>
    <row r="818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  <c r="X818" s="102"/>
      <c r="Y818" s="102"/>
      <c r="Z818" s="102"/>
    </row>
    <row r="819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  <c r="X819" s="102"/>
      <c r="Y819" s="102"/>
      <c r="Z819" s="102"/>
    </row>
    <row r="820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  <c r="X820" s="102"/>
      <c r="Y820" s="102"/>
      <c r="Z820" s="102"/>
    </row>
    <row r="82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  <c r="X821" s="102"/>
      <c r="Y821" s="102"/>
      <c r="Z821" s="102"/>
    </row>
    <row r="822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  <c r="X822" s="102"/>
      <c r="Y822" s="102"/>
      <c r="Z822" s="102"/>
    </row>
    <row r="823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  <c r="X823" s="102"/>
      <c r="Y823" s="102"/>
      <c r="Z823" s="102"/>
    </row>
    <row r="824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  <c r="X824" s="102"/>
      <c r="Y824" s="102"/>
      <c r="Z824" s="102"/>
    </row>
    <row r="8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  <c r="X825" s="102"/>
      <c r="Y825" s="102"/>
      <c r="Z825" s="102"/>
    </row>
    <row r="826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  <c r="X826" s="102"/>
      <c r="Y826" s="102"/>
      <c r="Z826" s="102"/>
    </row>
    <row r="827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  <c r="X827" s="102"/>
      <c r="Y827" s="102"/>
      <c r="Z827" s="102"/>
    </row>
    <row r="828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  <c r="X828" s="102"/>
      <c r="Y828" s="102"/>
      <c r="Z828" s="102"/>
    </row>
    <row r="829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  <c r="X829" s="102"/>
      <c r="Y829" s="102"/>
      <c r="Z829" s="102"/>
    </row>
    <row r="830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  <c r="X830" s="102"/>
      <c r="Y830" s="102"/>
      <c r="Z830" s="102"/>
    </row>
    <row r="83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  <c r="X831" s="102"/>
      <c r="Y831" s="102"/>
      <c r="Z831" s="102"/>
    </row>
    <row r="832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  <c r="X832" s="102"/>
      <c r="Y832" s="102"/>
      <c r="Z832" s="102"/>
    </row>
    <row r="833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  <c r="X833" s="102"/>
      <c r="Y833" s="102"/>
      <c r="Z833" s="102"/>
    </row>
    <row r="834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  <c r="X834" s="102"/>
      <c r="Y834" s="102"/>
      <c r="Z834" s="102"/>
    </row>
    <row r="83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  <c r="X835" s="102"/>
      <c r="Y835" s="102"/>
      <c r="Z835" s="102"/>
    </row>
    <row r="836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  <c r="X836" s="102"/>
      <c r="Y836" s="102"/>
      <c r="Z836" s="102"/>
    </row>
    <row r="837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  <c r="X837" s="102"/>
      <c r="Y837" s="102"/>
      <c r="Z837" s="102"/>
    </row>
    <row r="838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  <c r="X838" s="102"/>
      <c r="Y838" s="102"/>
      <c r="Z838" s="102"/>
    </row>
    <row r="839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  <c r="X839" s="102"/>
      <c r="Y839" s="102"/>
      <c r="Z839" s="102"/>
    </row>
    <row r="840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  <c r="X840" s="102"/>
      <c r="Y840" s="102"/>
      <c r="Z840" s="102"/>
    </row>
    <row r="84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  <c r="X841" s="102"/>
      <c r="Y841" s="102"/>
      <c r="Z841" s="102"/>
    </row>
    <row r="842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  <c r="X842" s="102"/>
      <c r="Y842" s="102"/>
      <c r="Z842" s="102"/>
    </row>
    <row r="843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  <c r="X843" s="102"/>
      <c r="Y843" s="102"/>
      <c r="Z843" s="102"/>
    </row>
    <row r="844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  <c r="X844" s="102"/>
      <c r="Y844" s="102"/>
      <c r="Z844" s="102"/>
    </row>
    <row r="84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  <c r="X845" s="102"/>
      <c r="Y845" s="102"/>
      <c r="Z845" s="102"/>
    </row>
    <row r="846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  <c r="X846" s="102"/>
      <c r="Y846" s="102"/>
      <c r="Z846" s="102"/>
    </row>
    <row r="847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  <c r="X847" s="102"/>
      <c r="Y847" s="102"/>
      <c r="Z847" s="102"/>
    </row>
    <row r="848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  <c r="X848" s="102"/>
      <c r="Y848" s="102"/>
      <c r="Z848" s="102"/>
    </row>
    <row r="849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  <c r="X849" s="102"/>
      <c r="Y849" s="102"/>
      <c r="Z849" s="102"/>
    </row>
    <row r="850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  <c r="X850" s="102"/>
      <c r="Y850" s="102"/>
      <c r="Z850" s="102"/>
    </row>
    <row r="85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  <c r="X851" s="102"/>
      <c r="Y851" s="102"/>
      <c r="Z851" s="102"/>
    </row>
    <row r="852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  <c r="X852" s="102"/>
      <c r="Y852" s="102"/>
      <c r="Z852" s="102"/>
    </row>
    <row r="853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  <c r="X853" s="102"/>
      <c r="Y853" s="102"/>
      <c r="Z853" s="102"/>
    </row>
    <row r="854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  <c r="X854" s="102"/>
      <c r="Y854" s="102"/>
      <c r="Z854" s="102"/>
    </row>
    <row r="85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  <c r="X855" s="102"/>
      <c r="Y855" s="102"/>
      <c r="Z855" s="102"/>
    </row>
    <row r="856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  <c r="X856" s="102"/>
      <c r="Y856" s="102"/>
      <c r="Z856" s="102"/>
    </row>
    <row r="857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  <c r="X857" s="102"/>
      <c r="Y857" s="102"/>
      <c r="Z857" s="102"/>
    </row>
    <row r="858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  <c r="X858" s="102"/>
      <c r="Y858" s="102"/>
      <c r="Z858" s="102"/>
    </row>
    <row r="859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  <c r="X859" s="102"/>
      <c r="Y859" s="102"/>
      <c r="Z859" s="102"/>
    </row>
    <row r="860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  <c r="X860" s="102"/>
      <c r="Y860" s="102"/>
      <c r="Z860" s="102"/>
    </row>
    <row r="86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  <c r="X861" s="102"/>
      <c r="Y861" s="102"/>
      <c r="Z861" s="102"/>
    </row>
    <row r="862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  <c r="X862" s="102"/>
      <c r="Y862" s="102"/>
      <c r="Z862" s="102"/>
    </row>
    <row r="863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  <c r="X863" s="102"/>
      <c r="Y863" s="102"/>
      <c r="Z863" s="102"/>
    </row>
    <row r="864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  <c r="X864" s="102"/>
      <c r="Y864" s="102"/>
      <c r="Z864" s="102"/>
    </row>
    <row r="86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  <c r="X865" s="102"/>
      <c r="Y865" s="102"/>
      <c r="Z865" s="102"/>
    </row>
    <row r="866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  <c r="X866" s="102"/>
      <c r="Y866" s="102"/>
      <c r="Z866" s="102"/>
    </row>
    <row r="867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  <c r="X867" s="102"/>
      <c r="Y867" s="102"/>
      <c r="Z867" s="102"/>
    </row>
    <row r="868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  <c r="X868" s="102"/>
      <c r="Y868" s="102"/>
      <c r="Z868" s="102"/>
    </row>
    <row r="869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  <c r="X869" s="102"/>
      <c r="Y869" s="102"/>
      <c r="Z869" s="102"/>
    </row>
    <row r="870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  <c r="L870" s="102"/>
      <c r="M870" s="102"/>
      <c r="N870" s="102"/>
      <c r="O870" s="102"/>
      <c r="P870" s="102"/>
      <c r="Q870" s="102"/>
      <c r="R870" s="102"/>
      <c r="S870" s="102"/>
      <c r="T870" s="102"/>
      <c r="U870" s="102"/>
      <c r="V870" s="102"/>
      <c r="W870" s="102"/>
      <c r="X870" s="102"/>
      <c r="Y870" s="102"/>
      <c r="Z870" s="102"/>
    </row>
    <row r="871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  <c r="L871" s="102"/>
      <c r="M871" s="102"/>
      <c r="N871" s="102"/>
      <c r="O871" s="102"/>
      <c r="P871" s="102"/>
      <c r="Q871" s="102"/>
      <c r="R871" s="102"/>
      <c r="S871" s="102"/>
      <c r="T871" s="102"/>
      <c r="U871" s="102"/>
      <c r="V871" s="102"/>
      <c r="W871" s="102"/>
      <c r="X871" s="102"/>
      <c r="Y871" s="102"/>
      <c r="Z871" s="102"/>
    </row>
    <row r="872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  <c r="L872" s="102"/>
      <c r="M872" s="102"/>
      <c r="N872" s="102"/>
      <c r="O872" s="102"/>
      <c r="P872" s="102"/>
      <c r="Q872" s="102"/>
      <c r="R872" s="102"/>
      <c r="S872" s="102"/>
      <c r="T872" s="102"/>
      <c r="U872" s="102"/>
      <c r="V872" s="102"/>
      <c r="W872" s="102"/>
      <c r="X872" s="102"/>
      <c r="Y872" s="102"/>
      <c r="Z872" s="102"/>
    </row>
    <row r="873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  <c r="L873" s="102"/>
      <c r="M873" s="102"/>
      <c r="N873" s="102"/>
      <c r="O873" s="102"/>
      <c r="P873" s="102"/>
      <c r="Q873" s="102"/>
      <c r="R873" s="102"/>
      <c r="S873" s="102"/>
      <c r="T873" s="102"/>
      <c r="U873" s="102"/>
      <c r="V873" s="102"/>
      <c r="W873" s="102"/>
      <c r="X873" s="102"/>
      <c r="Y873" s="102"/>
      <c r="Z873" s="102"/>
    </row>
    <row r="874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  <c r="L874" s="102"/>
      <c r="M874" s="102"/>
      <c r="N874" s="102"/>
      <c r="O874" s="102"/>
      <c r="P874" s="102"/>
      <c r="Q874" s="102"/>
      <c r="R874" s="102"/>
      <c r="S874" s="102"/>
      <c r="T874" s="102"/>
      <c r="U874" s="102"/>
      <c r="V874" s="102"/>
      <c r="W874" s="102"/>
      <c r="X874" s="102"/>
      <c r="Y874" s="102"/>
      <c r="Z874" s="102"/>
    </row>
    <row r="875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  <c r="L875" s="102"/>
      <c r="M875" s="102"/>
      <c r="N875" s="102"/>
      <c r="O875" s="102"/>
      <c r="P875" s="102"/>
      <c r="Q875" s="102"/>
      <c r="R875" s="102"/>
      <c r="S875" s="102"/>
      <c r="T875" s="102"/>
      <c r="U875" s="102"/>
      <c r="V875" s="102"/>
      <c r="W875" s="102"/>
      <c r="X875" s="102"/>
      <c r="Y875" s="102"/>
      <c r="Z875" s="102"/>
    </row>
    <row r="876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102"/>
      <c r="S876" s="102"/>
      <c r="T876" s="102"/>
      <c r="U876" s="102"/>
      <c r="V876" s="102"/>
      <c r="W876" s="102"/>
      <c r="X876" s="102"/>
      <c r="Y876" s="102"/>
      <c r="Z876" s="102"/>
    </row>
    <row r="877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102"/>
      <c r="S877" s="102"/>
      <c r="T877" s="102"/>
      <c r="U877" s="102"/>
      <c r="V877" s="102"/>
      <c r="W877" s="102"/>
      <c r="X877" s="102"/>
      <c r="Y877" s="102"/>
      <c r="Z877" s="102"/>
    </row>
    <row r="878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  <c r="L878" s="102"/>
      <c r="M878" s="102"/>
      <c r="N878" s="102"/>
      <c r="O878" s="102"/>
      <c r="P878" s="102"/>
      <c r="Q878" s="102"/>
      <c r="R878" s="102"/>
      <c r="S878" s="102"/>
      <c r="T878" s="102"/>
      <c r="U878" s="102"/>
      <c r="V878" s="102"/>
      <c r="W878" s="102"/>
      <c r="X878" s="102"/>
      <c r="Y878" s="102"/>
      <c r="Z878" s="102"/>
    </row>
    <row r="879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  <c r="L879" s="102"/>
      <c r="M879" s="102"/>
      <c r="N879" s="102"/>
      <c r="O879" s="102"/>
      <c r="P879" s="102"/>
      <c r="Q879" s="102"/>
      <c r="R879" s="102"/>
      <c r="S879" s="102"/>
      <c r="T879" s="102"/>
      <c r="U879" s="102"/>
      <c r="V879" s="102"/>
      <c r="W879" s="102"/>
      <c r="X879" s="102"/>
      <c r="Y879" s="102"/>
      <c r="Z879" s="102"/>
    </row>
    <row r="880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  <c r="L880" s="102"/>
      <c r="M880" s="102"/>
      <c r="N880" s="102"/>
      <c r="O880" s="102"/>
      <c r="P880" s="102"/>
      <c r="Q880" s="102"/>
      <c r="R880" s="102"/>
      <c r="S880" s="102"/>
      <c r="T880" s="102"/>
      <c r="U880" s="102"/>
      <c r="V880" s="102"/>
      <c r="W880" s="102"/>
      <c r="X880" s="102"/>
      <c r="Y880" s="102"/>
      <c r="Z880" s="102"/>
    </row>
    <row r="881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  <c r="L881" s="102"/>
      <c r="M881" s="102"/>
      <c r="N881" s="102"/>
      <c r="O881" s="102"/>
      <c r="P881" s="102"/>
      <c r="Q881" s="102"/>
      <c r="R881" s="102"/>
      <c r="S881" s="102"/>
      <c r="T881" s="102"/>
      <c r="U881" s="102"/>
      <c r="V881" s="102"/>
      <c r="W881" s="102"/>
      <c r="X881" s="102"/>
      <c r="Y881" s="102"/>
      <c r="Z881" s="102"/>
    </row>
    <row r="882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  <c r="L882" s="102"/>
      <c r="M882" s="102"/>
      <c r="N882" s="102"/>
      <c r="O882" s="102"/>
      <c r="P882" s="102"/>
      <c r="Q882" s="102"/>
      <c r="R882" s="102"/>
      <c r="S882" s="102"/>
      <c r="T882" s="102"/>
      <c r="U882" s="102"/>
      <c r="V882" s="102"/>
      <c r="W882" s="102"/>
      <c r="X882" s="102"/>
      <c r="Y882" s="102"/>
      <c r="Z882" s="102"/>
    </row>
    <row r="883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  <c r="L883" s="102"/>
      <c r="M883" s="102"/>
      <c r="N883" s="102"/>
      <c r="O883" s="102"/>
      <c r="P883" s="102"/>
      <c r="Q883" s="102"/>
      <c r="R883" s="102"/>
      <c r="S883" s="102"/>
      <c r="T883" s="102"/>
      <c r="U883" s="102"/>
      <c r="V883" s="102"/>
      <c r="W883" s="102"/>
      <c r="X883" s="102"/>
      <c r="Y883" s="102"/>
      <c r="Z883" s="102"/>
    </row>
    <row r="884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  <c r="L884" s="102"/>
      <c r="M884" s="102"/>
      <c r="N884" s="102"/>
      <c r="O884" s="102"/>
      <c r="P884" s="102"/>
      <c r="Q884" s="102"/>
      <c r="R884" s="102"/>
      <c r="S884" s="102"/>
      <c r="T884" s="102"/>
      <c r="U884" s="102"/>
      <c r="V884" s="102"/>
      <c r="W884" s="102"/>
      <c r="X884" s="102"/>
      <c r="Y884" s="102"/>
      <c r="Z884" s="102"/>
    </row>
    <row r="885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  <c r="L885" s="102"/>
      <c r="M885" s="102"/>
      <c r="N885" s="102"/>
      <c r="O885" s="102"/>
      <c r="P885" s="102"/>
      <c r="Q885" s="102"/>
      <c r="R885" s="102"/>
      <c r="S885" s="102"/>
      <c r="T885" s="102"/>
      <c r="U885" s="102"/>
      <c r="V885" s="102"/>
      <c r="W885" s="102"/>
      <c r="X885" s="102"/>
      <c r="Y885" s="102"/>
      <c r="Z885" s="102"/>
    </row>
    <row r="886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  <c r="L886" s="102"/>
      <c r="M886" s="102"/>
      <c r="N886" s="102"/>
      <c r="O886" s="102"/>
      <c r="P886" s="102"/>
      <c r="Q886" s="102"/>
      <c r="R886" s="102"/>
      <c r="S886" s="102"/>
      <c r="T886" s="102"/>
      <c r="U886" s="102"/>
      <c r="V886" s="102"/>
      <c r="W886" s="102"/>
      <c r="X886" s="102"/>
      <c r="Y886" s="102"/>
      <c r="Z886" s="102"/>
    </row>
    <row r="887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  <c r="L887" s="102"/>
      <c r="M887" s="102"/>
      <c r="N887" s="102"/>
      <c r="O887" s="102"/>
      <c r="P887" s="102"/>
      <c r="Q887" s="102"/>
      <c r="R887" s="102"/>
      <c r="S887" s="102"/>
      <c r="T887" s="102"/>
      <c r="U887" s="102"/>
      <c r="V887" s="102"/>
      <c r="W887" s="102"/>
      <c r="X887" s="102"/>
      <c r="Y887" s="102"/>
      <c r="Z887" s="102"/>
    </row>
    <row r="888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  <c r="L888" s="102"/>
      <c r="M888" s="102"/>
      <c r="N888" s="102"/>
      <c r="O888" s="102"/>
      <c r="P888" s="102"/>
      <c r="Q888" s="102"/>
      <c r="R888" s="102"/>
      <c r="S888" s="102"/>
      <c r="T888" s="102"/>
      <c r="U888" s="102"/>
      <c r="V888" s="102"/>
      <c r="W888" s="102"/>
      <c r="X888" s="102"/>
      <c r="Y888" s="102"/>
      <c r="Z888" s="102"/>
    </row>
    <row r="889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  <c r="L889" s="102"/>
      <c r="M889" s="102"/>
      <c r="N889" s="102"/>
      <c r="O889" s="102"/>
      <c r="P889" s="102"/>
      <c r="Q889" s="102"/>
      <c r="R889" s="102"/>
      <c r="S889" s="102"/>
      <c r="T889" s="102"/>
      <c r="U889" s="102"/>
      <c r="V889" s="102"/>
      <c r="W889" s="102"/>
      <c r="X889" s="102"/>
      <c r="Y889" s="102"/>
      <c r="Z889" s="102"/>
    </row>
    <row r="890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  <c r="L890" s="102"/>
      <c r="M890" s="102"/>
      <c r="N890" s="102"/>
      <c r="O890" s="102"/>
      <c r="P890" s="102"/>
      <c r="Q890" s="102"/>
      <c r="R890" s="102"/>
      <c r="S890" s="102"/>
      <c r="T890" s="102"/>
      <c r="U890" s="102"/>
      <c r="V890" s="102"/>
      <c r="W890" s="102"/>
      <c r="X890" s="102"/>
      <c r="Y890" s="102"/>
      <c r="Z890" s="102"/>
    </row>
    <row r="891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  <c r="L891" s="102"/>
      <c r="M891" s="102"/>
      <c r="N891" s="102"/>
      <c r="O891" s="102"/>
      <c r="P891" s="102"/>
      <c r="Q891" s="102"/>
      <c r="R891" s="102"/>
      <c r="S891" s="102"/>
      <c r="T891" s="102"/>
      <c r="U891" s="102"/>
      <c r="V891" s="102"/>
      <c r="W891" s="102"/>
      <c r="X891" s="102"/>
      <c r="Y891" s="102"/>
      <c r="Z891" s="102"/>
    </row>
    <row r="892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  <c r="L892" s="102"/>
      <c r="M892" s="102"/>
      <c r="N892" s="102"/>
      <c r="O892" s="102"/>
      <c r="P892" s="102"/>
      <c r="Q892" s="102"/>
      <c r="R892" s="102"/>
      <c r="S892" s="102"/>
      <c r="T892" s="102"/>
      <c r="U892" s="102"/>
      <c r="V892" s="102"/>
      <c r="W892" s="102"/>
      <c r="X892" s="102"/>
      <c r="Y892" s="102"/>
      <c r="Z892" s="102"/>
    </row>
    <row r="893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  <c r="L893" s="102"/>
      <c r="M893" s="102"/>
      <c r="N893" s="102"/>
      <c r="O893" s="102"/>
      <c r="P893" s="102"/>
      <c r="Q893" s="102"/>
      <c r="R893" s="102"/>
      <c r="S893" s="102"/>
      <c r="T893" s="102"/>
      <c r="U893" s="102"/>
      <c r="V893" s="102"/>
      <c r="W893" s="102"/>
      <c r="X893" s="102"/>
      <c r="Y893" s="102"/>
      <c r="Z893" s="102"/>
    </row>
    <row r="894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  <c r="L894" s="102"/>
      <c r="M894" s="102"/>
      <c r="N894" s="102"/>
      <c r="O894" s="102"/>
      <c r="P894" s="102"/>
      <c r="Q894" s="102"/>
      <c r="R894" s="102"/>
      <c r="S894" s="102"/>
      <c r="T894" s="102"/>
      <c r="U894" s="102"/>
      <c r="V894" s="102"/>
      <c r="W894" s="102"/>
      <c r="X894" s="102"/>
      <c r="Y894" s="102"/>
      <c r="Z894" s="102"/>
    </row>
    <row r="895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  <c r="L895" s="102"/>
      <c r="M895" s="102"/>
      <c r="N895" s="102"/>
      <c r="O895" s="102"/>
      <c r="P895" s="102"/>
      <c r="Q895" s="102"/>
      <c r="R895" s="102"/>
      <c r="S895" s="102"/>
      <c r="T895" s="102"/>
      <c r="U895" s="102"/>
      <c r="V895" s="102"/>
      <c r="W895" s="102"/>
      <c r="X895" s="102"/>
      <c r="Y895" s="102"/>
      <c r="Z895" s="102"/>
    </row>
    <row r="896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  <c r="L896" s="102"/>
      <c r="M896" s="102"/>
      <c r="N896" s="102"/>
      <c r="O896" s="102"/>
      <c r="P896" s="102"/>
      <c r="Q896" s="102"/>
      <c r="R896" s="102"/>
      <c r="S896" s="102"/>
      <c r="T896" s="102"/>
      <c r="U896" s="102"/>
      <c r="V896" s="102"/>
      <c r="W896" s="102"/>
      <c r="X896" s="102"/>
      <c r="Y896" s="102"/>
      <c r="Z896" s="102"/>
    </row>
    <row r="897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  <c r="L897" s="102"/>
      <c r="M897" s="102"/>
      <c r="N897" s="102"/>
      <c r="O897" s="102"/>
      <c r="P897" s="102"/>
      <c r="Q897" s="102"/>
      <c r="R897" s="102"/>
      <c r="S897" s="102"/>
      <c r="T897" s="102"/>
      <c r="U897" s="102"/>
      <c r="V897" s="102"/>
      <c r="W897" s="102"/>
      <c r="X897" s="102"/>
      <c r="Y897" s="102"/>
      <c r="Z897" s="102"/>
    </row>
    <row r="898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  <c r="L898" s="102"/>
      <c r="M898" s="102"/>
      <c r="N898" s="102"/>
      <c r="O898" s="102"/>
      <c r="P898" s="102"/>
      <c r="Q898" s="102"/>
      <c r="R898" s="102"/>
      <c r="S898" s="102"/>
      <c r="T898" s="102"/>
      <c r="U898" s="102"/>
      <c r="V898" s="102"/>
      <c r="W898" s="102"/>
      <c r="X898" s="102"/>
      <c r="Y898" s="102"/>
      <c r="Z898" s="102"/>
    </row>
    <row r="899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  <c r="L899" s="102"/>
      <c r="M899" s="102"/>
      <c r="N899" s="102"/>
      <c r="O899" s="102"/>
      <c r="P899" s="102"/>
      <c r="Q899" s="102"/>
      <c r="R899" s="102"/>
      <c r="S899" s="102"/>
      <c r="T899" s="102"/>
      <c r="U899" s="102"/>
      <c r="V899" s="102"/>
      <c r="W899" s="102"/>
      <c r="X899" s="102"/>
      <c r="Y899" s="102"/>
      <c r="Z899" s="102"/>
    </row>
    <row r="900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  <c r="L900" s="102"/>
      <c r="M900" s="102"/>
      <c r="N900" s="102"/>
      <c r="O900" s="102"/>
      <c r="P900" s="102"/>
      <c r="Q900" s="102"/>
      <c r="R900" s="102"/>
      <c r="S900" s="102"/>
      <c r="T900" s="102"/>
      <c r="U900" s="102"/>
      <c r="V900" s="102"/>
      <c r="W900" s="102"/>
      <c r="X900" s="102"/>
      <c r="Y900" s="102"/>
      <c r="Z900" s="102"/>
    </row>
    <row r="901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  <c r="L901" s="102"/>
      <c r="M901" s="102"/>
      <c r="N901" s="102"/>
      <c r="O901" s="102"/>
      <c r="P901" s="102"/>
      <c r="Q901" s="102"/>
      <c r="R901" s="102"/>
      <c r="S901" s="102"/>
      <c r="T901" s="102"/>
      <c r="U901" s="102"/>
      <c r="V901" s="102"/>
      <c r="W901" s="102"/>
      <c r="X901" s="102"/>
      <c r="Y901" s="102"/>
      <c r="Z901" s="102"/>
    </row>
    <row r="902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  <c r="L902" s="102"/>
      <c r="M902" s="102"/>
      <c r="N902" s="102"/>
      <c r="O902" s="102"/>
      <c r="P902" s="102"/>
      <c r="Q902" s="102"/>
      <c r="R902" s="102"/>
      <c r="S902" s="102"/>
      <c r="T902" s="102"/>
      <c r="U902" s="102"/>
      <c r="V902" s="102"/>
      <c r="W902" s="102"/>
      <c r="X902" s="102"/>
      <c r="Y902" s="102"/>
      <c r="Z902" s="102"/>
    </row>
    <row r="903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  <c r="L903" s="102"/>
      <c r="M903" s="102"/>
      <c r="N903" s="102"/>
      <c r="O903" s="102"/>
      <c r="P903" s="102"/>
      <c r="Q903" s="102"/>
      <c r="R903" s="102"/>
      <c r="S903" s="102"/>
      <c r="T903" s="102"/>
      <c r="U903" s="102"/>
      <c r="V903" s="102"/>
      <c r="W903" s="102"/>
      <c r="X903" s="102"/>
      <c r="Y903" s="102"/>
      <c r="Z903" s="102"/>
    </row>
    <row r="904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  <c r="L904" s="102"/>
      <c r="M904" s="102"/>
      <c r="N904" s="102"/>
      <c r="O904" s="102"/>
      <c r="P904" s="102"/>
      <c r="Q904" s="102"/>
      <c r="R904" s="102"/>
      <c r="S904" s="102"/>
      <c r="T904" s="102"/>
      <c r="U904" s="102"/>
      <c r="V904" s="102"/>
      <c r="W904" s="102"/>
      <c r="X904" s="102"/>
      <c r="Y904" s="102"/>
      <c r="Z904" s="102"/>
    </row>
    <row r="905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  <c r="L905" s="102"/>
      <c r="M905" s="102"/>
      <c r="N905" s="102"/>
      <c r="O905" s="102"/>
      <c r="P905" s="102"/>
      <c r="Q905" s="102"/>
      <c r="R905" s="102"/>
      <c r="S905" s="102"/>
      <c r="T905" s="102"/>
      <c r="U905" s="102"/>
      <c r="V905" s="102"/>
      <c r="W905" s="102"/>
      <c r="X905" s="102"/>
      <c r="Y905" s="102"/>
      <c r="Z905" s="102"/>
    </row>
    <row r="906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  <c r="L906" s="102"/>
      <c r="M906" s="102"/>
      <c r="N906" s="102"/>
      <c r="O906" s="102"/>
      <c r="P906" s="102"/>
      <c r="Q906" s="102"/>
      <c r="R906" s="102"/>
      <c r="S906" s="102"/>
      <c r="T906" s="102"/>
      <c r="U906" s="102"/>
      <c r="V906" s="102"/>
      <c r="W906" s="102"/>
      <c r="X906" s="102"/>
      <c r="Y906" s="102"/>
      <c r="Z906" s="102"/>
    </row>
    <row r="907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  <c r="L907" s="102"/>
      <c r="M907" s="102"/>
      <c r="N907" s="102"/>
      <c r="O907" s="102"/>
      <c r="P907" s="102"/>
      <c r="Q907" s="102"/>
      <c r="R907" s="102"/>
      <c r="S907" s="102"/>
      <c r="T907" s="102"/>
      <c r="U907" s="102"/>
      <c r="V907" s="102"/>
      <c r="W907" s="102"/>
      <c r="X907" s="102"/>
      <c r="Y907" s="102"/>
      <c r="Z907" s="102"/>
    </row>
    <row r="908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  <c r="L908" s="102"/>
      <c r="M908" s="102"/>
      <c r="N908" s="102"/>
      <c r="O908" s="102"/>
      <c r="P908" s="102"/>
      <c r="Q908" s="102"/>
      <c r="R908" s="102"/>
      <c r="S908" s="102"/>
      <c r="T908" s="102"/>
      <c r="U908" s="102"/>
      <c r="V908" s="102"/>
      <c r="W908" s="102"/>
      <c r="X908" s="102"/>
      <c r="Y908" s="102"/>
      <c r="Z908" s="102"/>
    </row>
    <row r="909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  <c r="L909" s="102"/>
      <c r="M909" s="102"/>
      <c r="N909" s="102"/>
      <c r="O909" s="102"/>
      <c r="P909" s="102"/>
      <c r="Q909" s="102"/>
      <c r="R909" s="102"/>
      <c r="S909" s="102"/>
      <c r="T909" s="102"/>
      <c r="U909" s="102"/>
      <c r="V909" s="102"/>
      <c r="W909" s="102"/>
      <c r="X909" s="102"/>
      <c r="Y909" s="102"/>
      <c r="Z909" s="102"/>
    </row>
    <row r="910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  <c r="L910" s="102"/>
      <c r="M910" s="102"/>
      <c r="N910" s="102"/>
      <c r="O910" s="102"/>
      <c r="P910" s="102"/>
      <c r="Q910" s="102"/>
      <c r="R910" s="102"/>
      <c r="S910" s="102"/>
      <c r="T910" s="102"/>
      <c r="U910" s="102"/>
      <c r="V910" s="102"/>
      <c r="W910" s="102"/>
      <c r="X910" s="102"/>
      <c r="Y910" s="102"/>
      <c r="Z910" s="102"/>
    </row>
    <row r="911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  <c r="L911" s="102"/>
      <c r="M911" s="102"/>
      <c r="N911" s="102"/>
      <c r="O911" s="102"/>
      <c r="P911" s="102"/>
      <c r="Q911" s="102"/>
      <c r="R911" s="102"/>
      <c r="S911" s="102"/>
      <c r="T911" s="102"/>
      <c r="U911" s="102"/>
      <c r="V911" s="102"/>
      <c r="W911" s="102"/>
      <c r="X911" s="102"/>
      <c r="Y911" s="102"/>
      <c r="Z911" s="102"/>
    </row>
    <row r="912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  <c r="L912" s="102"/>
      <c r="M912" s="102"/>
      <c r="N912" s="102"/>
      <c r="O912" s="102"/>
      <c r="P912" s="102"/>
      <c r="Q912" s="102"/>
      <c r="R912" s="102"/>
      <c r="S912" s="102"/>
      <c r="T912" s="102"/>
      <c r="U912" s="102"/>
      <c r="V912" s="102"/>
      <c r="W912" s="102"/>
      <c r="X912" s="102"/>
      <c r="Y912" s="102"/>
      <c r="Z912" s="102"/>
    </row>
    <row r="913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  <c r="L913" s="102"/>
      <c r="M913" s="102"/>
      <c r="N913" s="102"/>
      <c r="O913" s="102"/>
      <c r="P913" s="102"/>
      <c r="Q913" s="102"/>
      <c r="R913" s="102"/>
      <c r="S913" s="102"/>
      <c r="T913" s="102"/>
      <c r="U913" s="102"/>
      <c r="V913" s="102"/>
      <c r="W913" s="102"/>
      <c r="X913" s="102"/>
      <c r="Y913" s="102"/>
      <c r="Z913" s="102"/>
    </row>
    <row r="914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  <c r="L914" s="102"/>
      <c r="M914" s="102"/>
      <c r="N914" s="102"/>
      <c r="O914" s="102"/>
      <c r="P914" s="102"/>
      <c r="Q914" s="102"/>
      <c r="R914" s="102"/>
      <c r="S914" s="102"/>
      <c r="T914" s="102"/>
      <c r="U914" s="102"/>
      <c r="V914" s="102"/>
      <c r="W914" s="102"/>
      <c r="X914" s="102"/>
      <c r="Y914" s="102"/>
      <c r="Z914" s="102"/>
    </row>
    <row r="915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  <c r="L915" s="102"/>
      <c r="M915" s="102"/>
      <c r="N915" s="102"/>
      <c r="O915" s="102"/>
      <c r="P915" s="102"/>
      <c r="Q915" s="102"/>
      <c r="R915" s="102"/>
      <c r="S915" s="102"/>
      <c r="T915" s="102"/>
      <c r="U915" s="102"/>
      <c r="V915" s="102"/>
      <c r="W915" s="102"/>
      <c r="X915" s="102"/>
      <c r="Y915" s="102"/>
      <c r="Z915" s="102"/>
    </row>
    <row r="916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  <c r="L916" s="102"/>
      <c r="M916" s="102"/>
      <c r="N916" s="102"/>
      <c r="O916" s="102"/>
      <c r="P916" s="102"/>
      <c r="Q916" s="102"/>
      <c r="R916" s="102"/>
      <c r="S916" s="102"/>
      <c r="T916" s="102"/>
      <c r="U916" s="102"/>
      <c r="V916" s="102"/>
      <c r="W916" s="102"/>
      <c r="X916" s="102"/>
      <c r="Y916" s="102"/>
      <c r="Z916" s="102"/>
    </row>
    <row r="917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  <c r="L917" s="102"/>
      <c r="M917" s="102"/>
      <c r="N917" s="102"/>
      <c r="O917" s="102"/>
      <c r="P917" s="102"/>
      <c r="Q917" s="102"/>
      <c r="R917" s="102"/>
      <c r="S917" s="102"/>
      <c r="T917" s="102"/>
      <c r="U917" s="102"/>
      <c r="V917" s="102"/>
      <c r="W917" s="102"/>
      <c r="X917" s="102"/>
      <c r="Y917" s="102"/>
      <c r="Z917" s="102"/>
    </row>
    <row r="918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  <c r="L918" s="102"/>
      <c r="M918" s="102"/>
      <c r="N918" s="102"/>
      <c r="O918" s="102"/>
      <c r="P918" s="102"/>
      <c r="Q918" s="102"/>
      <c r="R918" s="102"/>
      <c r="S918" s="102"/>
      <c r="T918" s="102"/>
      <c r="U918" s="102"/>
      <c r="V918" s="102"/>
      <c r="W918" s="102"/>
      <c r="X918" s="102"/>
      <c r="Y918" s="102"/>
      <c r="Z918" s="102"/>
    </row>
    <row r="919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  <c r="L919" s="102"/>
      <c r="M919" s="102"/>
      <c r="N919" s="102"/>
      <c r="O919" s="102"/>
      <c r="P919" s="102"/>
      <c r="Q919" s="102"/>
      <c r="R919" s="102"/>
      <c r="S919" s="102"/>
      <c r="T919" s="102"/>
      <c r="U919" s="102"/>
      <c r="V919" s="102"/>
      <c r="W919" s="102"/>
      <c r="X919" s="102"/>
      <c r="Y919" s="102"/>
      <c r="Z919" s="102"/>
    </row>
    <row r="920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  <c r="L920" s="102"/>
      <c r="M920" s="102"/>
      <c r="N920" s="102"/>
      <c r="O920" s="102"/>
      <c r="P920" s="102"/>
      <c r="Q920" s="102"/>
      <c r="R920" s="102"/>
      <c r="S920" s="102"/>
      <c r="T920" s="102"/>
      <c r="U920" s="102"/>
      <c r="V920" s="102"/>
      <c r="W920" s="102"/>
      <c r="X920" s="102"/>
      <c r="Y920" s="102"/>
      <c r="Z920" s="102"/>
    </row>
    <row r="921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  <c r="L921" s="102"/>
      <c r="M921" s="102"/>
      <c r="N921" s="102"/>
      <c r="O921" s="102"/>
      <c r="P921" s="102"/>
      <c r="Q921" s="102"/>
      <c r="R921" s="102"/>
      <c r="S921" s="102"/>
      <c r="T921" s="102"/>
      <c r="U921" s="102"/>
      <c r="V921" s="102"/>
      <c r="W921" s="102"/>
      <c r="X921" s="102"/>
      <c r="Y921" s="102"/>
      <c r="Z921" s="102"/>
    </row>
    <row r="922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  <c r="L922" s="102"/>
      <c r="M922" s="102"/>
      <c r="N922" s="102"/>
      <c r="O922" s="102"/>
      <c r="P922" s="102"/>
      <c r="Q922" s="102"/>
      <c r="R922" s="102"/>
      <c r="S922" s="102"/>
      <c r="T922" s="102"/>
      <c r="U922" s="102"/>
      <c r="V922" s="102"/>
      <c r="W922" s="102"/>
      <c r="X922" s="102"/>
      <c r="Y922" s="102"/>
      <c r="Z922" s="102"/>
    </row>
    <row r="923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  <c r="L923" s="102"/>
      <c r="M923" s="102"/>
      <c r="N923" s="102"/>
      <c r="O923" s="102"/>
      <c r="P923" s="102"/>
      <c r="Q923" s="102"/>
      <c r="R923" s="102"/>
      <c r="S923" s="102"/>
      <c r="T923" s="102"/>
      <c r="U923" s="102"/>
      <c r="V923" s="102"/>
      <c r="W923" s="102"/>
      <c r="X923" s="102"/>
      <c r="Y923" s="102"/>
      <c r="Z923" s="102"/>
    </row>
    <row r="924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  <c r="L924" s="102"/>
      <c r="M924" s="102"/>
      <c r="N924" s="102"/>
      <c r="O924" s="102"/>
      <c r="P924" s="102"/>
      <c r="Q924" s="102"/>
      <c r="R924" s="102"/>
      <c r="S924" s="102"/>
      <c r="T924" s="102"/>
      <c r="U924" s="102"/>
      <c r="V924" s="102"/>
      <c r="W924" s="102"/>
      <c r="X924" s="102"/>
      <c r="Y924" s="102"/>
      <c r="Z924" s="102"/>
    </row>
    <row r="925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  <c r="L925" s="102"/>
      <c r="M925" s="102"/>
      <c r="N925" s="102"/>
      <c r="O925" s="102"/>
      <c r="P925" s="102"/>
      <c r="Q925" s="102"/>
      <c r="R925" s="102"/>
      <c r="S925" s="102"/>
      <c r="T925" s="102"/>
      <c r="U925" s="102"/>
      <c r="V925" s="102"/>
      <c r="W925" s="102"/>
      <c r="X925" s="102"/>
      <c r="Y925" s="102"/>
      <c r="Z925" s="102"/>
    </row>
    <row r="926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  <c r="L926" s="102"/>
      <c r="M926" s="102"/>
      <c r="N926" s="102"/>
      <c r="O926" s="102"/>
      <c r="P926" s="102"/>
      <c r="Q926" s="102"/>
      <c r="R926" s="102"/>
      <c r="S926" s="102"/>
      <c r="T926" s="102"/>
      <c r="U926" s="102"/>
      <c r="V926" s="102"/>
      <c r="W926" s="102"/>
      <c r="X926" s="102"/>
      <c r="Y926" s="102"/>
      <c r="Z926" s="102"/>
    </row>
    <row r="927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  <c r="L927" s="102"/>
      <c r="M927" s="102"/>
      <c r="N927" s="102"/>
      <c r="O927" s="102"/>
      <c r="P927" s="102"/>
      <c r="Q927" s="102"/>
      <c r="R927" s="102"/>
      <c r="S927" s="102"/>
      <c r="T927" s="102"/>
      <c r="U927" s="102"/>
      <c r="V927" s="102"/>
      <c r="W927" s="102"/>
      <c r="X927" s="102"/>
      <c r="Y927" s="102"/>
      <c r="Z927" s="102"/>
    </row>
    <row r="928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  <c r="L928" s="102"/>
      <c r="M928" s="102"/>
      <c r="N928" s="102"/>
      <c r="O928" s="102"/>
      <c r="P928" s="102"/>
      <c r="Q928" s="102"/>
      <c r="R928" s="102"/>
      <c r="S928" s="102"/>
      <c r="T928" s="102"/>
      <c r="U928" s="102"/>
      <c r="V928" s="102"/>
      <c r="W928" s="102"/>
      <c r="X928" s="102"/>
      <c r="Y928" s="102"/>
      <c r="Z928" s="102"/>
    </row>
    <row r="929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  <c r="L929" s="102"/>
      <c r="M929" s="102"/>
      <c r="N929" s="102"/>
      <c r="O929" s="102"/>
      <c r="P929" s="102"/>
      <c r="Q929" s="102"/>
      <c r="R929" s="102"/>
      <c r="S929" s="102"/>
      <c r="T929" s="102"/>
      <c r="U929" s="102"/>
      <c r="V929" s="102"/>
      <c r="W929" s="102"/>
      <c r="X929" s="102"/>
      <c r="Y929" s="102"/>
      <c r="Z929" s="102"/>
    </row>
    <row r="930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  <c r="L930" s="102"/>
      <c r="M930" s="102"/>
      <c r="N930" s="102"/>
      <c r="O930" s="102"/>
      <c r="P930" s="102"/>
      <c r="Q930" s="102"/>
      <c r="R930" s="102"/>
      <c r="S930" s="102"/>
      <c r="T930" s="102"/>
      <c r="U930" s="102"/>
      <c r="V930" s="102"/>
      <c r="W930" s="102"/>
      <c r="X930" s="102"/>
      <c r="Y930" s="102"/>
      <c r="Z930" s="102"/>
    </row>
    <row r="931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  <c r="L931" s="102"/>
      <c r="M931" s="102"/>
      <c r="N931" s="102"/>
      <c r="O931" s="102"/>
      <c r="P931" s="102"/>
      <c r="Q931" s="102"/>
      <c r="R931" s="102"/>
      <c r="S931" s="102"/>
      <c r="T931" s="102"/>
      <c r="U931" s="102"/>
      <c r="V931" s="102"/>
      <c r="W931" s="102"/>
      <c r="X931" s="102"/>
      <c r="Y931" s="102"/>
      <c r="Z931" s="102"/>
    </row>
    <row r="932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  <c r="L932" s="102"/>
      <c r="M932" s="102"/>
      <c r="N932" s="102"/>
      <c r="O932" s="102"/>
      <c r="P932" s="102"/>
      <c r="Q932" s="102"/>
      <c r="R932" s="102"/>
      <c r="S932" s="102"/>
      <c r="T932" s="102"/>
      <c r="U932" s="102"/>
      <c r="V932" s="102"/>
      <c r="W932" s="102"/>
      <c r="X932" s="102"/>
      <c r="Y932" s="102"/>
      <c r="Z932" s="102"/>
    </row>
    <row r="933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  <c r="L933" s="102"/>
      <c r="M933" s="102"/>
      <c r="N933" s="102"/>
      <c r="O933" s="102"/>
      <c r="P933" s="102"/>
      <c r="Q933" s="102"/>
      <c r="R933" s="102"/>
      <c r="S933" s="102"/>
      <c r="T933" s="102"/>
      <c r="U933" s="102"/>
      <c r="V933" s="102"/>
      <c r="W933" s="102"/>
      <c r="X933" s="102"/>
      <c r="Y933" s="102"/>
      <c r="Z933" s="102"/>
    </row>
    <row r="934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  <c r="L934" s="102"/>
      <c r="M934" s="102"/>
      <c r="N934" s="102"/>
      <c r="O934" s="102"/>
      <c r="P934" s="102"/>
      <c r="Q934" s="102"/>
      <c r="R934" s="102"/>
      <c r="S934" s="102"/>
      <c r="T934" s="102"/>
      <c r="U934" s="102"/>
      <c r="V934" s="102"/>
      <c r="W934" s="102"/>
      <c r="X934" s="102"/>
      <c r="Y934" s="102"/>
      <c r="Z934" s="102"/>
    </row>
    <row r="935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  <c r="L935" s="102"/>
      <c r="M935" s="102"/>
      <c r="N935" s="102"/>
      <c r="O935" s="102"/>
      <c r="P935" s="102"/>
      <c r="Q935" s="102"/>
      <c r="R935" s="102"/>
      <c r="S935" s="102"/>
      <c r="T935" s="102"/>
      <c r="U935" s="102"/>
      <c r="V935" s="102"/>
      <c r="W935" s="102"/>
      <c r="X935" s="102"/>
      <c r="Y935" s="102"/>
      <c r="Z935" s="102"/>
    </row>
    <row r="936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  <c r="L936" s="102"/>
      <c r="M936" s="102"/>
      <c r="N936" s="102"/>
      <c r="O936" s="102"/>
      <c r="P936" s="102"/>
      <c r="Q936" s="102"/>
      <c r="R936" s="102"/>
      <c r="S936" s="102"/>
      <c r="T936" s="102"/>
      <c r="U936" s="102"/>
      <c r="V936" s="102"/>
      <c r="W936" s="102"/>
      <c r="X936" s="102"/>
      <c r="Y936" s="102"/>
      <c r="Z936" s="102"/>
    </row>
    <row r="937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  <c r="L937" s="102"/>
      <c r="M937" s="102"/>
      <c r="N937" s="102"/>
      <c r="O937" s="102"/>
      <c r="P937" s="102"/>
      <c r="Q937" s="102"/>
      <c r="R937" s="102"/>
      <c r="S937" s="102"/>
      <c r="T937" s="102"/>
      <c r="U937" s="102"/>
      <c r="V937" s="102"/>
      <c r="W937" s="102"/>
      <c r="X937" s="102"/>
      <c r="Y937" s="102"/>
      <c r="Z937" s="102"/>
    </row>
    <row r="938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  <c r="L938" s="102"/>
      <c r="M938" s="102"/>
      <c r="N938" s="102"/>
      <c r="O938" s="102"/>
      <c r="P938" s="102"/>
      <c r="Q938" s="102"/>
      <c r="R938" s="102"/>
      <c r="S938" s="102"/>
      <c r="T938" s="102"/>
      <c r="U938" s="102"/>
      <c r="V938" s="102"/>
      <c r="W938" s="102"/>
      <c r="X938" s="102"/>
      <c r="Y938" s="102"/>
      <c r="Z938" s="102"/>
    </row>
    <row r="939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  <c r="L939" s="102"/>
      <c r="M939" s="102"/>
      <c r="N939" s="102"/>
      <c r="O939" s="102"/>
      <c r="P939" s="102"/>
      <c r="Q939" s="102"/>
      <c r="R939" s="102"/>
      <c r="S939" s="102"/>
      <c r="T939" s="102"/>
      <c r="U939" s="102"/>
      <c r="V939" s="102"/>
      <c r="W939" s="102"/>
      <c r="X939" s="102"/>
      <c r="Y939" s="102"/>
      <c r="Z939" s="102"/>
    </row>
    <row r="940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  <c r="L940" s="102"/>
      <c r="M940" s="102"/>
      <c r="N940" s="102"/>
      <c r="O940" s="102"/>
      <c r="P940" s="102"/>
      <c r="Q940" s="102"/>
      <c r="R940" s="102"/>
      <c r="S940" s="102"/>
      <c r="T940" s="102"/>
      <c r="U940" s="102"/>
      <c r="V940" s="102"/>
      <c r="W940" s="102"/>
      <c r="X940" s="102"/>
      <c r="Y940" s="102"/>
      <c r="Z940" s="102"/>
    </row>
    <row r="941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  <c r="L941" s="102"/>
      <c r="M941" s="102"/>
      <c r="N941" s="102"/>
      <c r="O941" s="102"/>
      <c r="P941" s="102"/>
      <c r="Q941" s="102"/>
      <c r="R941" s="102"/>
      <c r="S941" s="102"/>
      <c r="T941" s="102"/>
      <c r="U941" s="102"/>
      <c r="V941" s="102"/>
      <c r="W941" s="102"/>
      <c r="X941" s="102"/>
      <c r="Y941" s="102"/>
      <c r="Z941" s="102"/>
    </row>
    <row r="942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  <c r="L942" s="102"/>
      <c r="M942" s="102"/>
      <c r="N942" s="102"/>
      <c r="O942" s="102"/>
      <c r="P942" s="102"/>
      <c r="Q942" s="102"/>
      <c r="R942" s="102"/>
      <c r="S942" s="102"/>
      <c r="T942" s="102"/>
      <c r="U942" s="102"/>
      <c r="V942" s="102"/>
      <c r="W942" s="102"/>
      <c r="X942" s="102"/>
      <c r="Y942" s="102"/>
      <c r="Z942" s="102"/>
    </row>
    <row r="943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  <c r="L943" s="102"/>
      <c r="M943" s="102"/>
      <c r="N943" s="102"/>
      <c r="O943" s="102"/>
      <c r="P943" s="102"/>
      <c r="Q943" s="102"/>
      <c r="R943" s="102"/>
      <c r="S943" s="102"/>
      <c r="T943" s="102"/>
      <c r="U943" s="102"/>
      <c r="V943" s="102"/>
      <c r="W943" s="102"/>
      <c r="X943" s="102"/>
      <c r="Y943" s="102"/>
      <c r="Z943" s="102"/>
    </row>
    <row r="944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  <c r="L944" s="102"/>
      <c r="M944" s="102"/>
      <c r="N944" s="102"/>
      <c r="O944" s="102"/>
      <c r="P944" s="102"/>
      <c r="Q944" s="102"/>
      <c r="R944" s="102"/>
      <c r="S944" s="102"/>
      <c r="T944" s="102"/>
      <c r="U944" s="102"/>
      <c r="V944" s="102"/>
      <c r="W944" s="102"/>
      <c r="X944" s="102"/>
      <c r="Y944" s="102"/>
      <c r="Z944" s="102"/>
    </row>
    <row r="945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  <c r="L945" s="102"/>
      <c r="M945" s="102"/>
      <c r="N945" s="102"/>
      <c r="O945" s="102"/>
      <c r="P945" s="102"/>
      <c r="Q945" s="102"/>
      <c r="R945" s="102"/>
      <c r="S945" s="102"/>
      <c r="T945" s="102"/>
      <c r="U945" s="102"/>
      <c r="V945" s="102"/>
      <c r="W945" s="102"/>
      <c r="X945" s="102"/>
      <c r="Y945" s="102"/>
      <c r="Z945" s="102"/>
    </row>
    <row r="946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  <c r="X946" s="102"/>
      <c r="Y946" s="102"/>
      <c r="Z946" s="102"/>
    </row>
    <row r="947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  <c r="L947" s="102"/>
      <c r="M947" s="102"/>
      <c r="N947" s="102"/>
      <c r="O947" s="102"/>
      <c r="P947" s="102"/>
      <c r="Q947" s="102"/>
      <c r="R947" s="102"/>
      <c r="S947" s="102"/>
      <c r="T947" s="102"/>
      <c r="U947" s="102"/>
      <c r="V947" s="102"/>
      <c r="W947" s="102"/>
      <c r="X947" s="102"/>
      <c r="Y947" s="102"/>
      <c r="Z947" s="102"/>
    </row>
    <row r="948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  <c r="L948" s="102"/>
      <c r="M948" s="102"/>
      <c r="N948" s="102"/>
      <c r="O948" s="102"/>
      <c r="P948" s="102"/>
      <c r="Q948" s="102"/>
      <c r="R948" s="102"/>
      <c r="S948" s="102"/>
      <c r="T948" s="102"/>
      <c r="U948" s="102"/>
      <c r="V948" s="102"/>
      <c r="W948" s="102"/>
      <c r="X948" s="102"/>
      <c r="Y948" s="102"/>
      <c r="Z948" s="102"/>
    </row>
    <row r="949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  <c r="L949" s="102"/>
      <c r="M949" s="102"/>
      <c r="N949" s="102"/>
      <c r="O949" s="102"/>
      <c r="P949" s="102"/>
      <c r="Q949" s="102"/>
      <c r="R949" s="102"/>
      <c r="S949" s="102"/>
      <c r="T949" s="102"/>
      <c r="U949" s="102"/>
      <c r="V949" s="102"/>
      <c r="W949" s="102"/>
      <c r="X949" s="102"/>
      <c r="Y949" s="102"/>
      <c r="Z949" s="102"/>
    </row>
    <row r="950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  <c r="L950" s="102"/>
      <c r="M950" s="102"/>
      <c r="N950" s="102"/>
      <c r="O950" s="102"/>
      <c r="P950" s="102"/>
      <c r="Q950" s="102"/>
      <c r="R950" s="102"/>
      <c r="S950" s="102"/>
      <c r="T950" s="102"/>
      <c r="U950" s="102"/>
      <c r="V950" s="102"/>
      <c r="W950" s="102"/>
      <c r="X950" s="102"/>
      <c r="Y950" s="102"/>
      <c r="Z950" s="102"/>
    </row>
    <row r="951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  <c r="L951" s="102"/>
      <c r="M951" s="102"/>
      <c r="N951" s="102"/>
      <c r="O951" s="102"/>
      <c r="P951" s="102"/>
      <c r="Q951" s="102"/>
      <c r="R951" s="102"/>
      <c r="S951" s="102"/>
      <c r="T951" s="102"/>
      <c r="U951" s="102"/>
      <c r="V951" s="102"/>
      <c r="W951" s="102"/>
      <c r="X951" s="102"/>
      <c r="Y951" s="102"/>
      <c r="Z951" s="102"/>
    </row>
    <row r="952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  <c r="L952" s="102"/>
      <c r="M952" s="102"/>
      <c r="N952" s="102"/>
      <c r="O952" s="102"/>
      <c r="P952" s="102"/>
      <c r="Q952" s="102"/>
      <c r="R952" s="102"/>
      <c r="S952" s="102"/>
      <c r="T952" s="102"/>
      <c r="U952" s="102"/>
      <c r="V952" s="102"/>
      <c r="W952" s="102"/>
      <c r="X952" s="102"/>
      <c r="Y952" s="102"/>
      <c r="Z952" s="102"/>
    </row>
    <row r="953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  <c r="L953" s="102"/>
      <c r="M953" s="102"/>
      <c r="N953" s="102"/>
      <c r="O953" s="102"/>
      <c r="P953" s="102"/>
      <c r="Q953" s="102"/>
      <c r="R953" s="102"/>
      <c r="S953" s="102"/>
      <c r="T953" s="102"/>
      <c r="U953" s="102"/>
      <c r="V953" s="102"/>
      <c r="W953" s="102"/>
      <c r="X953" s="102"/>
      <c r="Y953" s="102"/>
      <c r="Z953" s="102"/>
    </row>
    <row r="954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  <c r="L954" s="102"/>
      <c r="M954" s="102"/>
      <c r="N954" s="102"/>
      <c r="O954" s="102"/>
      <c r="P954" s="102"/>
      <c r="Q954" s="102"/>
      <c r="R954" s="102"/>
      <c r="S954" s="102"/>
      <c r="T954" s="102"/>
      <c r="U954" s="102"/>
      <c r="V954" s="102"/>
      <c r="W954" s="102"/>
      <c r="X954" s="102"/>
      <c r="Y954" s="102"/>
      <c r="Z954" s="102"/>
    </row>
    <row r="955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  <c r="L955" s="102"/>
      <c r="M955" s="102"/>
      <c r="N955" s="102"/>
      <c r="O955" s="102"/>
      <c r="P955" s="102"/>
      <c r="Q955" s="102"/>
      <c r="R955" s="102"/>
      <c r="S955" s="102"/>
      <c r="T955" s="102"/>
      <c r="U955" s="102"/>
      <c r="V955" s="102"/>
      <c r="W955" s="102"/>
      <c r="X955" s="102"/>
      <c r="Y955" s="102"/>
      <c r="Z955" s="102"/>
    </row>
    <row r="956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  <c r="L956" s="102"/>
      <c r="M956" s="102"/>
      <c r="N956" s="102"/>
      <c r="O956" s="102"/>
      <c r="P956" s="102"/>
      <c r="Q956" s="102"/>
      <c r="R956" s="102"/>
      <c r="S956" s="102"/>
      <c r="T956" s="102"/>
      <c r="U956" s="102"/>
      <c r="V956" s="102"/>
      <c r="W956" s="102"/>
      <c r="X956" s="102"/>
      <c r="Y956" s="102"/>
      <c r="Z956" s="102"/>
    </row>
    <row r="957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  <c r="L957" s="102"/>
      <c r="M957" s="102"/>
      <c r="N957" s="102"/>
      <c r="O957" s="102"/>
      <c r="P957" s="102"/>
      <c r="Q957" s="102"/>
      <c r="R957" s="102"/>
      <c r="S957" s="102"/>
      <c r="T957" s="102"/>
      <c r="U957" s="102"/>
      <c r="V957" s="102"/>
      <c r="W957" s="102"/>
      <c r="X957" s="102"/>
      <c r="Y957" s="102"/>
      <c r="Z957" s="102"/>
    </row>
    <row r="958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  <c r="L958" s="102"/>
      <c r="M958" s="102"/>
      <c r="N958" s="102"/>
      <c r="O958" s="102"/>
      <c r="P958" s="102"/>
      <c r="Q958" s="102"/>
      <c r="R958" s="102"/>
      <c r="S958" s="102"/>
      <c r="T958" s="102"/>
      <c r="U958" s="102"/>
      <c r="V958" s="102"/>
      <c r="W958" s="102"/>
      <c r="X958" s="102"/>
      <c r="Y958" s="102"/>
      <c r="Z958" s="102"/>
    </row>
    <row r="959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  <c r="L959" s="102"/>
      <c r="M959" s="102"/>
      <c r="N959" s="102"/>
      <c r="O959" s="102"/>
      <c r="P959" s="102"/>
      <c r="Q959" s="102"/>
      <c r="R959" s="102"/>
      <c r="S959" s="102"/>
      <c r="T959" s="102"/>
      <c r="U959" s="102"/>
      <c r="V959" s="102"/>
      <c r="W959" s="102"/>
      <c r="X959" s="102"/>
      <c r="Y959" s="102"/>
      <c r="Z959" s="102"/>
    </row>
    <row r="960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  <c r="L960" s="102"/>
      <c r="M960" s="102"/>
      <c r="N960" s="102"/>
      <c r="O960" s="102"/>
      <c r="P960" s="102"/>
      <c r="Q960" s="102"/>
      <c r="R960" s="102"/>
      <c r="S960" s="102"/>
      <c r="T960" s="102"/>
      <c r="U960" s="102"/>
      <c r="V960" s="102"/>
      <c r="W960" s="102"/>
      <c r="X960" s="102"/>
      <c r="Y960" s="102"/>
      <c r="Z960" s="102"/>
    </row>
    <row r="961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  <c r="L961" s="102"/>
      <c r="M961" s="102"/>
      <c r="N961" s="102"/>
      <c r="O961" s="102"/>
      <c r="P961" s="102"/>
      <c r="Q961" s="102"/>
      <c r="R961" s="102"/>
      <c r="S961" s="102"/>
      <c r="T961" s="102"/>
      <c r="U961" s="102"/>
      <c r="V961" s="102"/>
      <c r="W961" s="102"/>
      <c r="X961" s="102"/>
      <c r="Y961" s="102"/>
      <c r="Z961" s="102"/>
    </row>
    <row r="962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  <c r="L962" s="102"/>
      <c r="M962" s="102"/>
      <c r="N962" s="102"/>
      <c r="O962" s="102"/>
      <c r="P962" s="102"/>
      <c r="Q962" s="102"/>
      <c r="R962" s="102"/>
      <c r="S962" s="102"/>
      <c r="T962" s="102"/>
      <c r="U962" s="102"/>
      <c r="V962" s="102"/>
      <c r="W962" s="102"/>
      <c r="X962" s="102"/>
      <c r="Y962" s="102"/>
      <c r="Z962" s="102"/>
    </row>
    <row r="963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  <c r="L963" s="102"/>
      <c r="M963" s="102"/>
      <c r="N963" s="102"/>
      <c r="O963" s="102"/>
      <c r="P963" s="102"/>
      <c r="Q963" s="102"/>
      <c r="R963" s="102"/>
      <c r="S963" s="102"/>
      <c r="T963" s="102"/>
      <c r="U963" s="102"/>
      <c r="V963" s="102"/>
      <c r="W963" s="102"/>
      <c r="X963" s="102"/>
      <c r="Y963" s="102"/>
      <c r="Z963" s="102"/>
    </row>
    <row r="964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  <c r="L964" s="102"/>
      <c r="M964" s="102"/>
      <c r="N964" s="102"/>
      <c r="O964" s="102"/>
      <c r="P964" s="102"/>
      <c r="Q964" s="102"/>
      <c r="R964" s="102"/>
      <c r="S964" s="102"/>
      <c r="T964" s="102"/>
      <c r="U964" s="102"/>
      <c r="V964" s="102"/>
      <c r="W964" s="102"/>
      <c r="X964" s="102"/>
      <c r="Y964" s="102"/>
      <c r="Z964" s="102"/>
    </row>
    <row r="965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  <c r="L965" s="102"/>
      <c r="M965" s="102"/>
      <c r="N965" s="102"/>
      <c r="O965" s="102"/>
      <c r="P965" s="102"/>
      <c r="Q965" s="102"/>
      <c r="R965" s="102"/>
      <c r="S965" s="102"/>
      <c r="T965" s="102"/>
      <c r="U965" s="102"/>
      <c r="V965" s="102"/>
      <c r="W965" s="102"/>
      <c r="X965" s="102"/>
      <c r="Y965" s="102"/>
      <c r="Z965" s="102"/>
    </row>
    <row r="966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  <c r="L966" s="102"/>
      <c r="M966" s="102"/>
      <c r="N966" s="102"/>
      <c r="O966" s="102"/>
      <c r="P966" s="102"/>
      <c r="Q966" s="102"/>
      <c r="R966" s="102"/>
      <c r="S966" s="102"/>
      <c r="T966" s="102"/>
      <c r="U966" s="102"/>
      <c r="V966" s="102"/>
      <c r="W966" s="102"/>
      <c r="X966" s="102"/>
      <c r="Y966" s="102"/>
      <c r="Z966" s="102"/>
    </row>
    <row r="967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  <c r="L967" s="102"/>
      <c r="M967" s="102"/>
      <c r="N967" s="102"/>
      <c r="O967" s="102"/>
      <c r="P967" s="102"/>
      <c r="Q967" s="102"/>
      <c r="R967" s="102"/>
      <c r="S967" s="102"/>
      <c r="T967" s="102"/>
      <c r="U967" s="102"/>
      <c r="V967" s="102"/>
      <c r="W967" s="102"/>
      <c r="X967" s="102"/>
      <c r="Y967" s="102"/>
      <c r="Z967" s="102"/>
    </row>
    <row r="968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  <c r="L968" s="102"/>
      <c r="M968" s="102"/>
      <c r="N968" s="102"/>
      <c r="O968" s="102"/>
      <c r="P968" s="102"/>
      <c r="Q968" s="102"/>
      <c r="R968" s="102"/>
      <c r="S968" s="102"/>
      <c r="T968" s="102"/>
      <c r="U968" s="102"/>
      <c r="V968" s="102"/>
      <c r="W968" s="102"/>
      <c r="X968" s="102"/>
      <c r="Y968" s="102"/>
      <c r="Z968" s="102"/>
    </row>
    <row r="969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  <c r="L969" s="102"/>
      <c r="M969" s="102"/>
      <c r="N969" s="102"/>
      <c r="O969" s="102"/>
      <c r="P969" s="102"/>
      <c r="Q969" s="102"/>
      <c r="R969" s="102"/>
      <c r="S969" s="102"/>
      <c r="T969" s="102"/>
      <c r="U969" s="102"/>
      <c r="V969" s="102"/>
      <c r="W969" s="102"/>
      <c r="X969" s="102"/>
      <c r="Y969" s="102"/>
      <c r="Z969" s="102"/>
    </row>
    <row r="970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  <c r="L970" s="102"/>
      <c r="M970" s="102"/>
      <c r="N970" s="102"/>
      <c r="O970" s="102"/>
      <c r="P970" s="102"/>
      <c r="Q970" s="102"/>
      <c r="R970" s="102"/>
      <c r="S970" s="102"/>
      <c r="T970" s="102"/>
      <c r="U970" s="102"/>
      <c r="V970" s="102"/>
      <c r="W970" s="102"/>
      <c r="X970" s="102"/>
      <c r="Y970" s="102"/>
      <c r="Z970" s="102"/>
    </row>
    <row r="971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  <c r="X971" s="102"/>
      <c r="Y971" s="102"/>
      <c r="Z971" s="102"/>
    </row>
    <row r="972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  <c r="L972" s="102"/>
      <c r="M972" s="102"/>
      <c r="N972" s="102"/>
      <c r="O972" s="102"/>
      <c r="P972" s="102"/>
      <c r="Q972" s="102"/>
      <c r="R972" s="102"/>
      <c r="S972" s="102"/>
      <c r="T972" s="102"/>
      <c r="U972" s="102"/>
      <c r="V972" s="102"/>
      <c r="W972" s="102"/>
      <c r="X972" s="102"/>
      <c r="Y972" s="102"/>
      <c r="Z972" s="102"/>
    </row>
    <row r="973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  <c r="L973" s="102"/>
      <c r="M973" s="102"/>
      <c r="N973" s="102"/>
      <c r="O973" s="102"/>
      <c r="P973" s="102"/>
      <c r="Q973" s="102"/>
      <c r="R973" s="102"/>
      <c r="S973" s="102"/>
      <c r="T973" s="102"/>
      <c r="U973" s="102"/>
      <c r="V973" s="102"/>
      <c r="W973" s="102"/>
      <c r="X973" s="102"/>
      <c r="Y973" s="102"/>
      <c r="Z973" s="102"/>
    </row>
    <row r="974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  <c r="L974" s="102"/>
      <c r="M974" s="102"/>
      <c r="N974" s="102"/>
      <c r="O974" s="102"/>
      <c r="P974" s="102"/>
      <c r="Q974" s="102"/>
      <c r="R974" s="102"/>
      <c r="S974" s="102"/>
      <c r="T974" s="102"/>
      <c r="U974" s="102"/>
      <c r="V974" s="102"/>
      <c r="W974" s="102"/>
      <c r="X974" s="102"/>
      <c r="Y974" s="102"/>
      <c r="Z974" s="102"/>
    </row>
    <row r="975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  <c r="L975" s="102"/>
      <c r="M975" s="102"/>
      <c r="N975" s="102"/>
      <c r="O975" s="102"/>
      <c r="P975" s="102"/>
      <c r="Q975" s="102"/>
      <c r="R975" s="102"/>
      <c r="S975" s="102"/>
      <c r="T975" s="102"/>
      <c r="U975" s="102"/>
      <c r="V975" s="102"/>
      <c r="W975" s="102"/>
      <c r="X975" s="102"/>
      <c r="Y975" s="102"/>
      <c r="Z975" s="102"/>
    </row>
    <row r="976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  <c r="L976" s="102"/>
      <c r="M976" s="102"/>
      <c r="N976" s="102"/>
      <c r="O976" s="102"/>
      <c r="P976" s="102"/>
      <c r="Q976" s="102"/>
      <c r="R976" s="102"/>
      <c r="S976" s="102"/>
      <c r="T976" s="102"/>
      <c r="U976" s="102"/>
      <c r="V976" s="102"/>
      <c r="W976" s="102"/>
      <c r="X976" s="102"/>
      <c r="Y976" s="102"/>
      <c r="Z976" s="102"/>
    </row>
    <row r="977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  <c r="L977" s="102"/>
      <c r="M977" s="102"/>
      <c r="N977" s="102"/>
      <c r="O977" s="102"/>
      <c r="P977" s="102"/>
      <c r="Q977" s="102"/>
      <c r="R977" s="102"/>
      <c r="S977" s="102"/>
      <c r="T977" s="102"/>
      <c r="U977" s="102"/>
      <c r="V977" s="102"/>
      <c r="W977" s="102"/>
      <c r="X977" s="102"/>
      <c r="Y977" s="102"/>
      <c r="Z977" s="102"/>
    </row>
    <row r="978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  <c r="L978" s="102"/>
      <c r="M978" s="102"/>
      <c r="N978" s="102"/>
      <c r="O978" s="102"/>
      <c r="P978" s="102"/>
      <c r="Q978" s="102"/>
      <c r="R978" s="102"/>
      <c r="S978" s="102"/>
      <c r="T978" s="102"/>
      <c r="U978" s="102"/>
      <c r="V978" s="102"/>
      <c r="W978" s="102"/>
      <c r="X978" s="102"/>
      <c r="Y978" s="102"/>
      <c r="Z978" s="102"/>
    </row>
    <row r="979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  <c r="L979" s="102"/>
      <c r="M979" s="102"/>
      <c r="N979" s="102"/>
      <c r="O979" s="102"/>
      <c r="P979" s="102"/>
      <c r="Q979" s="102"/>
      <c r="R979" s="102"/>
      <c r="S979" s="102"/>
      <c r="T979" s="102"/>
      <c r="U979" s="102"/>
      <c r="V979" s="102"/>
      <c r="W979" s="102"/>
      <c r="X979" s="102"/>
      <c r="Y979" s="102"/>
      <c r="Z979" s="102"/>
    </row>
    <row r="980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102"/>
      <c r="S980" s="102"/>
      <c r="T980" s="102"/>
      <c r="U980" s="102"/>
      <c r="V980" s="102"/>
      <c r="W980" s="102"/>
      <c r="X980" s="102"/>
      <c r="Y980" s="102"/>
      <c r="Z980" s="102"/>
    </row>
    <row r="981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102"/>
      <c r="S981" s="102"/>
      <c r="T981" s="102"/>
      <c r="U981" s="102"/>
      <c r="V981" s="102"/>
      <c r="W981" s="102"/>
      <c r="X981" s="102"/>
      <c r="Y981" s="102"/>
      <c r="Z981" s="102"/>
    </row>
    <row r="982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102"/>
      <c r="S982" s="102"/>
      <c r="T982" s="102"/>
      <c r="U982" s="102"/>
      <c r="V982" s="102"/>
      <c r="W982" s="102"/>
      <c r="X982" s="102"/>
      <c r="Y982" s="102"/>
      <c r="Z982" s="102"/>
    </row>
    <row r="983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  <c r="L983" s="102"/>
      <c r="M983" s="102"/>
      <c r="N983" s="102"/>
      <c r="O983" s="102"/>
      <c r="P983" s="102"/>
      <c r="Q983" s="102"/>
      <c r="R983" s="102"/>
      <c r="S983" s="102"/>
      <c r="T983" s="102"/>
      <c r="U983" s="102"/>
      <c r="V983" s="102"/>
      <c r="W983" s="102"/>
      <c r="X983" s="102"/>
      <c r="Y983" s="102"/>
      <c r="Z983" s="102"/>
    </row>
    <row r="984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  <c r="L984" s="102"/>
      <c r="M984" s="102"/>
      <c r="N984" s="102"/>
      <c r="O984" s="102"/>
      <c r="P984" s="102"/>
      <c r="Q984" s="102"/>
      <c r="R984" s="102"/>
      <c r="S984" s="102"/>
      <c r="T984" s="102"/>
      <c r="U984" s="102"/>
      <c r="V984" s="102"/>
      <c r="W984" s="102"/>
      <c r="X984" s="102"/>
      <c r="Y984" s="102"/>
      <c r="Z984" s="102"/>
    </row>
    <row r="985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  <c r="L985" s="102"/>
      <c r="M985" s="102"/>
      <c r="N985" s="102"/>
      <c r="O985" s="102"/>
      <c r="P985" s="102"/>
      <c r="Q985" s="102"/>
      <c r="R985" s="102"/>
      <c r="S985" s="102"/>
      <c r="T985" s="102"/>
      <c r="U985" s="102"/>
      <c r="V985" s="102"/>
      <c r="W985" s="102"/>
      <c r="X985" s="102"/>
      <c r="Y985" s="102"/>
      <c r="Z985" s="102"/>
    </row>
    <row r="986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  <c r="L986" s="102"/>
      <c r="M986" s="102"/>
      <c r="N986" s="102"/>
      <c r="O986" s="102"/>
      <c r="P986" s="102"/>
      <c r="Q986" s="102"/>
      <c r="R986" s="102"/>
      <c r="S986" s="102"/>
      <c r="T986" s="102"/>
      <c r="U986" s="102"/>
      <c r="V986" s="102"/>
      <c r="W986" s="102"/>
      <c r="X986" s="102"/>
      <c r="Y986" s="102"/>
      <c r="Z986" s="102"/>
    </row>
    <row r="987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  <c r="L987" s="102"/>
      <c r="M987" s="102"/>
      <c r="N987" s="102"/>
      <c r="O987" s="102"/>
      <c r="P987" s="102"/>
      <c r="Q987" s="102"/>
      <c r="R987" s="102"/>
      <c r="S987" s="102"/>
      <c r="T987" s="102"/>
      <c r="U987" s="102"/>
      <c r="V987" s="102"/>
      <c r="W987" s="102"/>
      <c r="X987" s="102"/>
      <c r="Y987" s="102"/>
      <c r="Z987" s="102"/>
    </row>
    <row r="988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  <c r="L988" s="102"/>
      <c r="M988" s="102"/>
      <c r="N988" s="102"/>
      <c r="O988" s="102"/>
      <c r="P988" s="102"/>
      <c r="Q988" s="102"/>
      <c r="R988" s="102"/>
      <c r="S988" s="102"/>
      <c r="T988" s="102"/>
      <c r="U988" s="102"/>
      <c r="V988" s="102"/>
      <c r="W988" s="102"/>
      <c r="X988" s="102"/>
      <c r="Y988" s="102"/>
      <c r="Z988" s="102"/>
    </row>
    <row r="989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  <c r="L989" s="102"/>
      <c r="M989" s="102"/>
      <c r="N989" s="102"/>
      <c r="O989" s="102"/>
      <c r="P989" s="102"/>
      <c r="Q989" s="102"/>
      <c r="R989" s="102"/>
      <c r="S989" s="102"/>
      <c r="T989" s="102"/>
      <c r="U989" s="102"/>
      <c r="V989" s="102"/>
      <c r="W989" s="102"/>
      <c r="X989" s="102"/>
      <c r="Y989" s="102"/>
      <c r="Z989" s="102"/>
    </row>
    <row r="990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  <c r="L990" s="102"/>
      <c r="M990" s="102"/>
      <c r="N990" s="102"/>
      <c r="O990" s="102"/>
      <c r="P990" s="102"/>
      <c r="Q990" s="102"/>
      <c r="R990" s="102"/>
      <c r="S990" s="102"/>
      <c r="T990" s="102"/>
      <c r="U990" s="102"/>
      <c r="V990" s="102"/>
      <c r="W990" s="102"/>
      <c r="X990" s="102"/>
      <c r="Y990" s="102"/>
      <c r="Z990" s="102"/>
    </row>
    <row r="991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  <c r="L991" s="102"/>
      <c r="M991" s="102"/>
      <c r="N991" s="102"/>
      <c r="O991" s="102"/>
      <c r="P991" s="102"/>
      <c r="Q991" s="102"/>
      <c r="R991" s="102"/>
      <c r="S991" s="102"/>
      <c r="T991" s="102"/>
      <c r="U991" s="102"/>
      <c r="V991" s="102"/>
      <c r="W991" s="102"/>
      <c r="X991" s="102"/>
      <c r="Y991" s="102"/>
      <c r="Z991" s="102"/>
    </row>
    <row r="992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  <c r="L992" s="102"/>
      <c r="M992" s="102"/>
      <c r="N992" s="102"/>
      <c r="O992" s="102"/>
      <c r="P992" s="102"/>
      <c r="Q992" s="102"/>
      <c r="R992" s="102"/>
      <c r="S992" s="102"/>
      <c r="T992" s="102"/>
      <c r="U992" s="102"/>
      <c r="V992" s="102"/>
      <c r="W992" s="102"/>
      <c r="X992" s="102"/>
      <c r="Y992" s="102"/>
      <c r="Z992" s="102"/>
    </row>
    <row r="993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  <c r="L993" s="102"/>
      <c r="M993" s="102"/>
      <c r="N993" s="102"/>
      <c r="O993" s="102"/>
      <c r="P993" s="102"/>
      <c r="Q993" s="102"/>
      <c r="R993" s="102"/>
      <c r="S993" s="102"/>
      <c r="T993" s="102"/>
      <c r="U993" s="102"/>
      <c r="V993" s="102"/>
      <c r="W993" s="102"/>
      <c r="X993" s="102"/>
      <c r="Y993" s="102"/>
      <c r="Z993" s="102"/>
    </row>
    <row r="994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  <c r="L994" s="102"/>
      <c r="M994" s="102"/>
      <c r="N994" s="102"/>
      <c r="O994" s="102"/>
      <c r="P994" s="102"/>
      <c r="Q994" s="102"/>
      <c r="R994" s="102"/>
      <c r="S994" s="102"/>
      <c r="T994" s="102"/>
      <c r="U994" s="102"/>
      <c r="V994" s="102"/>
      <c r="W994" s="102"/>
      <c r="X994" s="102"/>
      <c r="Y994" s="102"/>
      <c r="Z994" s="102"/>
    </row>
    <row r="995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  <c r="L995" s="102"/>
      <c r="M995" s="102"/>
      <c r="N995" s="102"/>
      <c r="O995" s="102"/>
      <c r="P995" s="102"/>
      <c r="Q995" s="102"/>
      <c r="R995" s="102"/>
      <c r="S995" s="102"/>
      <c r="T995" s="102"/>
      <c r="U995" s="102"/>
      <c r="V995" s="102"/>
      <c r="W995" s="102"/>
      <c r="X995" s="102"/>
      <c r="Y995" s="102"/>
      <c r="Z995" s="102"/>
    </row>
    <row r="996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  <c r="X996" s="102"/>
      <c r="Y996" s="102"/>
      <c r="Z996" s="102"/>
    </row>
    <row r="997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  <c r="L997" s="102"/>
      <c r="M997" s="102"/>
      <c r="N997" s="102"/>
      <c r="O997" s="102"/>
      <c r="P997" s="102"/>
      <c r="Q997" s="102"/>
      <c r="R997" s="102"/>
      <c r="S997" s="102"/>
      <c r="T997" s="102"/>
      <c r="U997" s="102"/>
      <c r="V997" s="102"/>
      <c r="W997" s="102"/>
      <c r="X997" s="102"/>
      <c r="Y997" s="102"/>
      <c r="Z997" s="102"/>
    </row>
    <row r="998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  <c r="L998" s="102"/>
      <c r="M998" s="102"/>
      <c r="N998" s="102"/>
      <c r="O998" s="102"/>
      <c r="P998" s="102"/>
      <c r="Q998" s="102"/>
      <c r="R998" s="102"/>
      <c r="S998" s="102"/>
      <c r="T998" s="102"/>
      <c r="U998" s="102"/>
      <c r="V998" s="102"/>
      <c r="W998" s="102"/>
      <c r="X998" s="102"/>
      <c r="Y998" s="102"/>
      <c r="Z998" s="102"/>
    </row>
    <row r="999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102"/>
      <c r="S999" s="102"/>
      <c r="T999" s="102"/>
      <c r="U999" s="102"/>
      <c r="V999" s="102"/>
      <c r="W999" s="102"/>
      <c r="X999" s="102"/>
      <c r="Y999" s="102"/>
      <c r="Z999" s="102"/>
    </row>
    <row r="1000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  <c r="L1000" s="102"/>
      <c r="M1000" s="102"/>
      <c r="N1000" s="102"/>
      <c r="O1000" s="102"/>
      <c r="P1000" s="102"/>
      <c r="Q1000" s="102"/>
      <c r="R1000" s="102"/>
      <c r="S1000" s="102"/>
      <c r="T1000" s="102"/>
      <c r="U1000" s="102"/>
      <c r="V1000" s="102"/>
      <c r="W1000" s="102"/>
      <c r="X1000" s="102"/>
      <c r="Y1000" s="102"/>
      <c r="Z1000" s="102"/>
    </row>
  </sheetData>
  <mergeCells count="2">
    <mergeCell ref="A3:A4"/>
    <mergeCell ref="B3:G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1.43"/>
    <col customWidth="1" min="3" max="3" width="7.86"/>
    <col customWidth="1" min="4" max="4" width="13.57"/>
    <col customWidth="1" min="5" max="5" width="11.43"/>
    <col customWidth="1" min="6" max="6" width="7.43"/>
    <col customWidth="1" min="7" max="7" width="15.14"/>
    <col customWidth="1" min="8" max="8" width="11.43"/>
    <col customWidth="1" min="9" max="9" width="7.71"/>
    <col customWidth="1" min="10" max="10" width="17.86"/>
    <col customWidth="1" min="11" max="11" width="11.43"/>
    <col customWidth="1" min="12" max="12" width="7.71"/>
    <col customWidth="1" min="13" max="13" width="16.86"/>
    <col customWidth="1" min="14" max="14" width="11.43"/>
    <col customWidth="1" min="15" max="15" width="7.71"/>
    <col customWidth="1" min="16" max="16" width="17.0"/>
    <col customWidth="1" min="17" max="17" width="11.71"/>
    <col customWidth="1" min="18" max="18" width="7.71"/>
    <col customWidth="1" min="19" max="19" width="16.71"/>
    <col customWidth="1" min="20" max="20" width="11.57"/>
    <col customWidth="1" min="21" max="21" width="7.14"/>
    <col customWidth="1" min="22" max="22" width="8.71"/>
    <col customWidth="1" min="23" max="23" width="4.0"/>
    <col customWidth="1" min="24" max="24" width="20.43"/>
    <col customWidth="1" min="25" max="25" width="12.29"/>
    <col customWidth="1" min="26" max="26" width="8.71"/>
  </cols>
  <sheetData>
    <row r="1" ht="22.5" customHeight="1">
      <c r="A1" s="6" t="s">
        <v>521</v>
      </c>
      <c r="C1" s="2" t="s">
        <v>522</v>
      </c>
      <c r="F1" s="3"/>
      <c r="G1" s="10" t="s">
        <v>523</v>
      </c>
      <c r="Q1" s="3"/>
    </row>
    <row r="2">
      <c r="A2" s="6" t="s">
        <v>2</v>
      </c>
      <c r="C2" s="2" t="s">
        <v>83</v>
      </c>
      <c r="F2" s="3"/>
      <c r="Q2" s="3"/>
    </row>
    <row r="3">
      <c r="A3" s="6" t="s">
        <v>4</v>
      </c>
      <c r="C3" s="2" t="s">
        <v>83</v>
      </c>
      <c r="F3" s="3"/>
      <c r="Q3" s="3"/>
    </row>
    <row r="4">
      <c r="A4" s="575" t="s">
        <v>5</v>
      </c>
      <c r="B4" s="538"/>
      <c r="C4" s="2" t="s">
        <v>83</v>
      </c>
      <c r="F4" s="3"/>
      <c r="G4" s="3"/>
      <c r="H4" s="3"/>
      <c r="I4" s="3"/>
      <c r="J4" s="3"/>
      <c r="K4" s="3"/>
      <c r="L4" s="3"/>
      <c r="M4" s="3"/>
      <c r="N4" s="3"/>
      <c r="O4" s="99"/>
      <c r="P4" s="100"/>
      <c r="Q4" s="101"/>
    </row>
    <row r="5">
      <c r="A5" s="576"/>
      <c r="B5" s="321"/>
      <c r="C5" s="322"/>
      <c r="D5" s="577" t="s">
        <v>7</v>
      </c>
      <c r="E5" s="321"/>
      <c r="F5" s="322"/>
      <c r="G5" s="577" t="s">
        <v>8</v>
      </c>
      <c r="H5" s="321"/>
      <c r="I5" s="322"/>
      <c r="J5" s="577" t="s">
        <v>9</v>
      </c>
      <c r="K5" s="321"/>
      <c r="L5" s="322"/>
      <c r="M5" s="577" t="s">
        <v>10</v>
      </c>
      <c r="N5" s="321"/>
      <c r="O5" s="322"/>
      <c r="P5" s="577" t="s">
        <v>11</v>
      </c>
      <c r="Q5" s="321"/>
      <c r="R5" s="322"/>
      <c r="S5" s="578" t="s">
        <v>12</v>
      </c>
      <c r="T5" s="321"/>
      <c r="U5" s="322"/>
    </row>
    <row r="6">
      <c r="A6" s="579"/>
      <c r="B6" s="321"/>
      <c r="C6" s="322"/>
      <c r="D6" s="580">
        <v>45839.0</v>
      </c>
      <c r="E6" s="321"/>
      <c r="F6" s="322"/>
      <c r="G6" s="580">
        <f>D6+1</f>
        <v>45840</v>
      </c>
      <c r="H6" s="321"/>
      <c r="I6" s="322"/>
      <c r="J6" s="580">
        <f>G6+1</f>
        <v>45841</v>
      </c>
      <c r="K6" s="321"/>
      <c r="L6" s="322"/>
      <c r="M6" s="580">
        <f>J6+1</f>
        <v>45842</v>
      </c>
      <c r="N6" s="321"/>
      <c r="O6" s="322"/>
      <c r="P6" s="580">
        <f>M6+1</f>
        <v>45843</v>
      </c>
      <c r="Q6" s="321"/>
      <c r="R6" s="322"/>
      <c r="S6" s="581">
        <f>P6+1</f>
        <v>45844</v>
      </c>
      <c r="T6" s="321"/>
      <c r="U6" s="322"/>
    </row>
    <row r="7">
      <c r="A7" s="582"/>
      <c r="B7" s="582"/>
      <c r="C7" s="582"/>
      <c r="D7" s="583"/>
      <c r="E7" s="583"/>
      <c r="F7" s="583"/>
      <c r="G7" s="584"/>
      <c r="H7" s="584"/>
      <c r="I7" s="585"/>
      <c r="J7" s="582"/>
      <c r="K7" s="582"/>
      <c r="L7" s="582"/>
      <c r="M7" s="584"/>
      <c r="N7" s="584"/>
      <c r="O7" s="585"/>
      <c r="P7" s="584"/>
      <c r="Q7" s="584"/>
      <c r="R7" s="585"/>
      <c r="S7" s="582"/>
      <c r="T7" s="582"/>
      <c r="U7" s="582"/>
    </row>
    <row r="8">
      <c r="A8" s="582"/>
      <c r="B8" s="582"/>
      <c r="C8" s="582"/>
      <c r="D8" s="583"/>
      <c r="E8" s="583"/>
      <c r="F8" s="583"/>
      <c r="G8" s="584"/>
      <c r="H8" s="584"/>
      <c r="I8" s="585"/>
      <c r="J8" s="586"/>
      <c r="K8" s="587"/>
      <c r="L8" s="587"/>
      <c r="M8" s="586"/>
      <c r="N8" s="586"/>
      <c r="O8" s="586"/>
      <c r="P8" s="585"/>
      <c r="Q8" s="585"/>
      <c r="R8" s="588"/>
      <c r="S8" s="586"/>
      <c r="T8" s="587"/>
      <c r="U8" s="587"/>
    </row>
    <row r="9">
      <c r="A9" s="582"/>
      <c r="B9" s="582"/>
      <c r="C9" s="582"/>
      <c r="D9" s="589"/>
      <c r="E9" s="589"/>
      <c r="F9" s="589"/>
      <c r="G9" s="590" t="s">
        <v>524</v>
      </c>
      <c r="H9" s="590" t="s">
        <v>73</v>
      </c>
      <c r="I9" s="590" t="s">
        <v>27</v>
      </c>
      <c r="J9" s="586"/>
      <c r="K9" s="587"/>
      <c r="L9" s="587"/>
      <c r="M9" s="586"/>
      <c r="N9" s="586"/>
      <c r="O9" s="586"/>
      <c r="P9" s="86"/>
      <c r="Q9" s="86"/>
      <c r="R9" s="591"/>
      <c r="S9" s="592" t="s">
        <v>410</v>
      </c>
      <c r="T9" s="592" t="s">
        <v>264</v>
      </c>
      <c r="U9" s="592" t="s">
        <v>48</v>
      </c>
      <c r="W9" s="181" t="s">
        <v>14</v>
      </c>
      <c r="X9" s="377" t="s">
        <v>144</v>
      </c>
      <c r="Y9" s="219" t="s">
        <v>16</v>
      </c>
    </row>
    <row r="10">
      <c r="A10" s="582"/>
      <c r="B10" s="582"/>
      <c r="C10" s="582"/>
      <c r="D10" s="583"/>
      <c r="E10" s="583"/>
      <c r="F10" s="583"/>
      <c r="G10" s="593"/>
      <c r="H10" s="593"/>
      <c r="I10" s="593"/>
      <c r="J10" s="586" t="s">
        <v>402</v>
      </c>
      <c r="K10" s="586" t="s">
        <v>509</v>
      </c>
      <c r="L10" s="586" t="s">
        <v>48</v>
      </c>
      <c r="M10" s="594"/>
      <c r="N10" s="594"/>
      <c r="O10" s="594"/>
      <c r="P10" s="595"/>
      <c r="Q10" s="595"/>
      <c r="R10" s="596"/>
      <c r="S10" s="584"/>
      <c r="T10" s="584"/>
      <c r="U10" s="585"/>
      <c r="W10" s="186">
        <v>1.0</v>
      </c>
      <c r="X10" s="378" t="s">
        <v>401</v>
      </c>
      <c r="Y10" s="379">
        <f t="shared" ref="Y10:Y38" si="1">COUNTIF($A$5:$U$51,X10)</f>
        <v>2</v>
      </c>
    </row>
    <row r="11">
      <c r="A11" s="582"/>
      <c r="B11" s="582"/>
      <c r="C11" s="582"/>
      <c r="D11" s="583" t="s">
        <v>525</v>
      </c>
      <c r="E11" s="583" t="s">
        <v>404</v>
      </c>
      <c r="F11" s="583" t="s">
        <v>27</v>
      </c>
      <c r="G11" s="597" t="s">
        <v>226</v>
      </c>
      <c r="H11" s="597" t="s">
        <v>227</v>
      </c>
      <c r="I11" s="597" t="s">
        <v>48</v>
      </c>
      <c r="J11" s="585"/>
      <c r="K11" s="585"/>
      <c r="L11" s="585"/>
      <c r="M11" s="586" t="s">
        <v>327</v>
      </c>
      <c r="N11" s="586" t="s">
        <v>446</v>
      </c>
      <c r="O11" s="586" t="s">
        <v>48</v>
      </c>
      <c r="P11" s="589"/>
      <c r="Q11" s="598"/>
      <c r="R11" s="591"/>
      <c r="S11" s="599" t="s">
        <v>151</v>
      </c>
      <c r="T11" s="599" t="s">
        <v>152</v>
      </c>
      <c r="U11" s="592" t="s">
        <v>48</v>
      </c>
      <c r="W11" s="186">
        <v>2.0</v>
      </c>
      <c r="X11" s="378" t="s">
        <v>526</v>
      </c>
      <c r="Y11" s="379">
        <f t="shared" si="1"/>
        <v>0</v>
      </c>
    </row>
    <row r="12">
      <c r="A12" s="585"/>
      <c r="B12" s="585"/>
      <c r="C12" s="585"/>
      <c r="D12" s="600"/>
      <c r="E12" s="600"/>
      <c r="F12" s="600"/>
      <c r="G12" s="584"/>
      <c r="H12" s="584"/>
      <c r="I12" s="601"/>
      <c r="J12" s="585"/>
      <c r="K12" s="585"/>
      <c r="L12" s="585"/>
      <c r="M12" s="585"/>
      <c r="N12" s="585"/>
      <c r="O12" s="585"/>
      <c r="P12" s="584"/>
      <c r="Q12" s="584"/>
      <c r="R12" s="601"/>
      <c r="S12" s="585"/>
      <c r="T12" s="585"/>
      <c r="U12" s="585"/>
      <c r="W12" s="186">
        <v>3.0</v>
      </c>
      <c r="X12" s="378" t="s">
        <v>327</v>
      </c>
      <c r="Y12" s="379">
        <f t="shared" si="1"/>
        <v>2</v>
      </c>
    </row>
    <row r="13">
      <c r="A13" s="602" t="s">
        <v>6</v>
      </c>
      <c r="B13" s="321"/>
      <c r="C13" s="322"/>
      <c r="D13" s="602" t="s">
        <v>7</v>
      </c>
      <c r="E13" s="321"/>
      <c r="F13" s="322"/>
      <c r="G13" s="602" t="s">
        <v>8</v>
      </c>
      <c r="H13" s="321"/>
      <c r="I13" s="322"/>
      <c r="J13" s="602" t="s">
        <v>9</v>
      </c>
      <c r="K13" s="321"/>
      <c r="L13" s="322"/>
      <c r="M13" s="602" t="s">
        <v>85</v>
      </c>
      <c r="N13" s="321"/>
      <c r="O13" s="322"/>
      <c r="P13" s="602" t="s">
        <v>86</v>
      </c>
      <c r="Q13" s="321"/>
      <c r="R13" s="322"/>
      <c r="S13" s="603" t="s">
        <v>12</v>
      </c>
      <c r="T13" s="321"/>
      <c r="U13" s="322"/>
      <c r="W13" s="186">
        <v>4.0</v>
      </c>
      <c r="X13" s="378" t="s">
        <v>402</v>
      </c>
      <c r="Y13" s="379">
        <f t="shared" si="1"/>
        <v>4</v>
      </c>
    </row>
    <row r="14">
      <c r="A14" s="604">
        <f>S6+1</f>
        <v>45845</v>
      </c>
      <c r="B14" s="321"/>
      <c r="C14" s="322"/>
      <c r="D14" s="604">
        <f>A14+1</f>
        <v>45846</v>
      </c>
      <c r="E14" s="321"/>
      <c r="F14" s="322"/>
      <c r="G14" s="604">
        <f>D14+1</f>
        <v>45847</v>
      </c>
      <c r="H14" s="321"/>
      <c r="I14" s="322"/>
      <c r="J14" s="604">
        <f>G14+1</f>
        <v>45848</v>
      </c>
      <c r="K14" s="321"/>
      <c r="L14" s="322"/>
      <c r="M14" s="605">
        <f>J14+1</f>
        <v>45849</v>
      </c>
      <c r="N14" s="321"/>
      <c r="O14" s="322"/>
      <c r="P14" s="604">
        <f>M14+1</f>
        <v>45850</v>
      </c>
      <c r="Q14" s="321"/>
      <c r="R14" s="322"/>
      <c r="S14" s="606">
        <f>P14+1</f>
        <v>45851</v>
      </c>
      <c r="T14" s="321"/>
      <c r="U14" s="322"/>
      <c r="W14" s="186">
        <v>5.0</v>
      </c>
      <c r="X14" s="378" t="s">
        <v>151</v>
      </c>
      <c r="Y14" s="379">
        <f t="shared" si="1"/>
        <v>4</v>
      </c>
    </row>
    <row r="15">
      <c r="A15" s="584"/>
      <c r="B15" s="584"/>
      <c r="C15" s="584"/>
      <c r="D15" s="584"/>
      <c r="E15" s="584"/>
      <c r="F15" s="584"/>
      <c r="G15" s="584"/>
      <c r="H15" s="584"/>
      <c r="I15" s="584"/>
      <c r="J15" s="582"/>
      <c r="K15" s="582"/>
      <c r="L15" s="582"/>
      <c r="M15" s="584"/>
      <c r="N15" s="584"/>
      <c r="O15" s="584"/>
      <c r="P15" s="607"/>
      <c r="Q15" s="608"/>
      <c r="R15" s="609"/>
      <c r="S15" s="610"/>
      <c r="T15" s="610"/>
      <c r="U15" s="610"/>
      <c r="W15" s="186">
        <v>6.0</v>
      </c>
      <c r="X15" s="378" t="s">
        <v>147</v>
      </c>
      <c r="Y15" s="379">
        <f t="shared" si="1"/>
        <v>2</v>
      </c>
    </row>
    <row r="16">
      <c r="A16" s="584"/>
      <c r="B16" s="584"/>
      <c r="C16" s="584"/>
      <c r="D16" s="584"/>
      <c r="E16" s="584"/>
      <c r="F16" s="584"/>
      <c r="G16" s="584"/>
      <c r="H16" s="584"/>
      <c r="I16" s="584"/>
      <c r="J16" s="586"/>
      <c r="K16" s="587"/>
      <c r="L16" s="611"/>
      <c r="M16" s="584"/>
      <c r="N16" s="584"/>
      <c r="O16" s="584"/>
      <c r="P16" s="612" t="s">
        <v>384</v>
      </c>
      <c r="Q16" s="585" t="s">
        <v>75</v>
      </c>
      <c r="R16" s="588" t="s">
        <v>27</v>
      </c>
      <c r="S16" s="610"/>
      <c r="T16" s="610"/>
      <c r="U16" s="610"/>
      <c r="W16" s="186">
        <v>7.0</v>
      </c>
      <c r="X16" s="378" t="s">
        <v>527</v>
      </c>
      <c r="Y16" s="379">
        <f t="shared" si="1"/>
        <v>0</v>
      </c>
    </row>
    <row r="17">
      <c r="A17" s="582"/>
      <c r="B17" s="582"/>
      <c r="C17" s="582"/>
      <c r="D17" s="586"/>
      <c r="E17" s="587"/>
      <c r="F17" s="406"/>
      <c r="G17" s="584"/>
      <c r="H17" s="584"/>
      <c r="I17" s="584"/>
      <c r="J17" s="586"/>
      <c r="K17" s="587"/>
      <c r="L17" s="587"/>
      <c r="M17" s="582"/>
      <c r="N17" s="582"/>
      <c r="O17" s="582"/>
      <c r="P17" s="613" t="s">
        <v>166</v>
      </c>
      <c r="Q17" s="586" t="s">
        <v>175</v>
      </c>
      <c r="R17" s="613" t="s">
        <v>48</v>
      </c>
      <c r="S17" s="584"/>
      <c r="T17" s="584"/>
      <c r="U17" s="585"/>
      <c r="W17" s="186">
        <v>8.0</v>
      </c>
      <c r="X17" s="378" t="s">
        <v>419</v>
      </c>
      <c r="Y17" s="379">
        <f t="shared" si="1"/>
        <v>2</v>
      </c>
    </row>
    <row r="18">
      <c r="A18" s="582"/>
      <c r="B18" s="582"/>
      <c r="C18" s="582"/>
      <c r="D18" s="583" t="s">
        <v>525</v>
      </c>
      <c r="E18" s="583" t="s">
        <v>229</v>
      </c>
      <c r="F18" s="583" t="s">
        <v>27</v>
      </c>
      <c r="G18" s="593"/>
      <c r="H18" s="593"/>
      <c r="I18" s="593"/>
      <c r="J18" s="586" t="s">
        <v>402</v>
      </c>
      <c r="K18" s="586" t="s">
        <v>509</v>
      </c>
      <c r="L18" s="586" t="s">
        <v>438</v>
      </c>
      <c r="M18" s="586"/>
      <c r="N18" s="586"/>
      <c r="O18" s="586"/>
      <c r="P18" s="589"/>
      <c r="Q18" s="598"/>
      <c r="R18" s="591"/>
      <c r="S18" s="599" t="s">
        <v>151</v>
      </c>
      <c r="T18" s="599" t="s">
        <v>152</v>
      </c>
      <c r="U18" s="596" t="s">
        <v>117</v>
      </c>
      <c r="W18" s="186">
        <v>9.0</v>
      </c>
      <c r="X18" s="378" t="s">
        <v>166</v>
      </c>
      <c r="Y18" s="379">
        <f t="shared" si="1"/>
        <v>2</v>
      </c>
    </row>
    <row r="19" ht="15.0" customHeight="1">
      <c r="A19" s="582"/>
      <c r="B19" s="582"/>
      <c r="C19" s="582"/>
      <c r="D19" s="584"/>
      <c r="E19" s="584"/>
      <c r="F19" s="584"/>
      <c r="G19" s="597" t="s">
        <v>419</v>
      </c>
      <c r="H19" s="597" t="s">
        <v>284</v>
      </c>
      <c r="I19" s="597" t="s">
        <v>48</v>
      </c>
      <c r="J19" s="585"/>
      <c r="K19" s="585"/>
      <c r="L19" s="585"/>
      <c r="M19" s="599" t="s">
        <v>147</v>
      </c>
      <c r="N19" s="599" t="s">
        <v>152</v>
      </c>
      <c r="O19" s="599" t="s">
        <v>48</v>
      </c>
      <c r="P19" s="589" t="s">
        <v>401</v>
      </c>
      <c r="Q19" s="598" t="s">
        <v>49</v>
      </c>
      <c r="R19" s="591" t="s">
        <v>48</v>
      </c>
      <c r="S19" s="585"/>
      <c r="T19" s="585"/>
      <c r="U19" s="585"/>
      <c r="W19" s="186">
        <v>10.0</v>
      </c>
      <c r="X19" s="378" t="s">
        <v>19</v>
      </c>
      <c r="Y19" s="379">
        <f t="shared" si="1"/>
        <v>1</v>
      </c>
    </row>
    <row r="20" ht="15.0" customHeight="1">
      <c r="A20" s="585"/>
      <c r="B20" s="585"/>
      <c r="C20" s="585"/>
      <c r="D20" s="584"/>
      <c r="E20" s="584"/>
      <c r="F20" s="584"/>
      <c r="G20" s="584"/>
      <c r="H20" s="584"/>
      <c r="I20" s="601"/>
      <c r="J20" s="585"/>
      <c r="K20" s="585"/>
      <c r="L20" s="585"/>
      <c r="M20" s="585"/>
      <c r="N20" s="585"/>
      <c r="O20" s="585"/>
      <c r="P20" s="585"/>
      <c r="Q20" s="585"/>
      <c r="R20" s="585"/>
      <c r="S20" s="585"/>
      <c r="T20" s="585"/>
      <c r="U20" s="585"/>
      <c r="W20" s="186">
        <v>11.0</v>
      </c>
      <c r="X20" s="378" t="s">
        <v>18</v>
      </c>
      <c r="Y20" s="379">
        <f t="shared" si="1"/>
        <v>1</v>
      </c>
    </row>
    <row r="21" ht="15.75" customHeight="1">
      <c r="A21" s="576" t="s">
        <v>118</v>
      </c>
      <c r="B21" s="321"/>
      <c r="C21" s="322"/>
      <c r="D21" s="576" t="s">
        <v>7</v>
      </c>
      <c r="E21" s="321"/>
      <c r="F21" s="322"/>
      <c r="G21" s="576" t="s">
        <v>119</v>
      </c>
      <c r="H21" s="321"/>
      <c r="I21" s="322"/>
      <c r="J21" s="576" t="s">
        <v>9</v>
      </c>
      <c r="K21" s="321"/>
      <c r="L21" s="322"/>
      <c r="M21" s="576" t="s">
        <v>10</v>
      </c>
      <c r="N21" s="321"/>
      <c r="O21" s="322"/>
      <c r="P21" s="576" t="s">
        <v>86</v>
      </c>
      <c r="Q21" s="321"/>
      <c r="R21" s="322"/>
      <c r="S21" s="614" t="s">
        <v>120</v>
      </c>
      <c r="T21" s="321"/>
      <c r="U21" s="322"/>
      <c r="W21" s="186">
        <v>12.0</v>
      </c>
      <c r="X21" s="378" t="s">
        <v>32</v>
      </c>
      <c r="Y21" s="379">
        <f t="shared" si="1"/>
        <v>0</v>
      </c>
    </row>
    <row r="22" ht="15.75" customHeight="1">
      <c r="A22" s="579">
        <f>S14+1</f>
        <v>45852</v>
      </c>
      <c r="B22" s="321"/>
      <c r="C22" s="322"/>
      <c r="D22" s="579">
        <f>A22+1</f>
        <v>45853</v>
      </c>
      <c r="E22" s="321"/>
      <c r="F22" s="322"/>
      <c r="G22" s="579">
        <f>D22+1</f>
        <v>45854</v>
      </c>
      <c r="H22" s="321"/>
      <c r="I22" s="322"/>
      <c r="J22" s="579">
        <f>G22+1</f>
        <v>45855</v>
      </c>
      <c r="K22" s="321"/>
      <c r="L22" s="322"/>
      <c r="M22" s="579">
        <f>J22+1</f>
        <v>45856</v>
      </c>
      <c r="N22" s="321"/>
      <c r="O22" s="322"/>
      <c r="P22" s="579">
        <f>M22+1</f>
        <v>45857</v>
      </c>
      <c r="Q22" s="321"/>
      <c r="R22" s="322"/>
      <c r="S22" s="615">
        <f>P22+1</f>
        <v>45858</v>
      </c>
      <c r="T22" s="321"/>
      <c r="U22" s="322"/>
      <c r="W22" s="186">
        <v>13.0</v>
      </c>
      <c r="X22" s="378" t="s">
        <v>112</v>
      </c>
      <c r="Y22" s="379">
        <f t="shared" si="1"/>
        <v>1</v>
      </c>
    </row>
    <row r="23" ht="15.75" customHeight="1">
      <c r="A23" s="582"/>
      <c r="B23" s="582"/>
      <c r="C23" s="582"/>
      <c r="D23" s="616"/>
      <c r="E23" s="583"/>
      <c r="F23" s="583"/>
      <c r="G23" s="584"/>
      <c r="H23" s="584"/>
      <c r="I23" s="585"/>
      <c r="J23" s="582"/>
      <c r="K23" s="582"/>
      <c r="L23" s="582"/>
      <c r="M23" s="586"/>
      <c r="N23" s="617"/>
      <c r="O23" s="587"/>
      <c r="P23" s="582"/>
      <c r="Q23" s="582"/>
      <c r="R23" s="582"/>
      <c r="S23" s="586"/>
      <c r="T23" s="586"/>
      <c r="U23" s="586"/>
      <c r="W23" s="186">
        <v>14.0</v>
      </c>
      <c r="X23" s="378" t="s">
        <v>125</v>
      </c>
      <c r="Y23" s="379">
        <f t="shared" si="1"/>
        <v>1</v>
      </c>
    </row>
    <row r="24" ht="15.75" customHeight="1">
      <c r="A24" s="582"/>
      <c r="B24" s="582"/>
      <c r="C24" s="582"/>
      <c r="D24" s="616"/>
      <c r="E24" s="583"/>
      <c r="F24" s="583"/>
      <c r="G24" s="584"/>
      <c r="H24" s="584"/>
      <c r="I24" s="585"/>
      <c r="J24" s="582"/>
      <c r="K24" s="582"/>
      <c r="L24" s="582"/>
      <c r="M24" s="586"/>
      <c r="N24" s="586"/>
      <c r="O24" s="587"/>
      <c r="P24" s="585"/>
      <c r="Q24" s="585"/>
      <c r="R24" s="588"/>
      <c r="S24" s="592"/>
      <c r="T24" s="592"/>
      <c r="U24" s="592"/>
      <c r="W24" s="186">
        <v>15.0</v>
      </c>
      <c r="X24" s="378" t="s">
        <v>412</v>
      </c>
      <c r="Y24" s="379">
        <f t="shared" si="1"/>
        <v>0</v>
      </c>
    </row>
    <row r="25" ht="15.75" customHeight="1">
      <c r="A25" s="618" t="s">
        <v>528</v>
      </c>
      <c r="B25" s="618" t="s">
        <v>31</v>
      </c>
      <c r="C25" s="618" t="s">
        <v>529</v>
      </c>
      <c r="D25" s="616"/>
      <c r="E25" s="583"/>
      <c r="F25" s="583"/>
      <c r="G25" s="597" t="s">
        <v>226</v>
      </c>
      <c r="H25" s="597" t="s">
        <v>227</v>
      </c>
      <c r="I25" s="597" t="s">
        <v>48</v>
      </c>
      <c r="J25" s="582"/>
      <c r="K25" s="582"/>
      <c r="L25" s="582"/>
      <c r="M25" s="586" t="s">
        <v>530</v>
      </c>
      <c r="N25" s="586" t="s">
        <v>238</v>
      </c>
      <c r="O25" s="586"/>
      <c r="P25" s="585"/>
      <c r="Q25" s="585"/>
      <c r="R25" s="588"/>
      <c r="S25" s="592" t="s">
        <v>410</v>
      </c>
      <c r="T25" s="592" t="s">
        <v>264</v>
      </c>
      <c r="U25" s="592" t="s">
        <v>48</v>
      </c>
      <c r="W25" s="186">
        <v>16.0</v>
      </c>
      <c r="X25" s="378" t="s">
        <v>410</v>
      </c>
      <c r="Y25" s="379">
        <f t="shared" si="1"/>
        <v>2</v>
      </c>
    </row>
    <row r="26" ht="15.75" customHeight="1">
      <c r="A26" s="582"/>
      <c r="B26" s="582"/>
      <c r="C26" s="582"/>
      <c r="D26" s="583" t="s">
        <v>525</v>
      </c>
      <c r="E26" s="583" t="s">
        <v>229</v>
      </c>
      <c r="F26" s="583" t="s">
        <v>27</v>
      </c>
      <c r="G26" s="593"/>
      <c r="H26" s="593"/>
      <c r="I26" s="593"/>
      <c r="J26" s="586" t="s">
        <v>402</v>
      </c>
      <c r="K26" s="586" t="s">
        <v>509</v>
      </c>
      <c r="L26" s="586" t="s">
        <v>48</v>
      </c>
      <c r="M26" s="594"/>
      <c r="N26" s="594"/>
      <c r="O26" s="594"/>
      <c r="P26" s="591" t="s">
        <v>125</v>
      </c>
      <c r="Q26" s="619" t="s">
        <v>386</v>
      </c>
      <c r="R26" s="595" t="s">
        <v>27</v>
      </c>
      <c r="S26" s="584"/>
      <c r="T26" s="584"/>
      <c r="U26" s="584"/>
      <c r="W26" s="186">
        <v>17.0</v>
      </c>
      <c r="X26" s="378" t="s">
        <v>226</v>
      </c>
      <c r="Y26" s="379">
        <f t="shared" si="1"/>
        <v>2</v>
      </c>
    </row>
    <row r="27" ht="15.75" customHeight="1">
      <c r="A27" s="582"/>
      <c r="B27" s="582"/>
      <c r="C27" s="582"/>
      <c r="D27" s="620" t="s">
        <v>19</v>
      </c>
      <c r="E27" s="620" t="s">
        <v>44</v>
      </c>
      <c r="F27" s="620" t="s">
        <v>48</v>
      </c>
      <c r="G27" s="585"/>
      <c r="H27" s="585"/>
      <c r="I27" s="585"/>
      <c r="J27" s="582"/>
      <c r="K27" s="582"/>
      <c r="L27" s="582"/>
      <c r="M27" s="586" t="s">
        <v>327</v>
      </c>
      <c r="N27" s="586" t="s">
        <v>446</v>
      </c>
      <c r="O27" s="586" t="s">
        <v>48</v>
      </c>
      <c r="P27" s="621" t="s">
        <v>112</v>
      </c>
      <c r="Q27" s="621" t="s">
        <v>113</v>
      </c>
      <c r="R27" s="622" t="s">
        <v>48</v>
      </c>
      <c r="S27" s="599" t="s">
        <v>151</v>
      </c>
      <c r="T27" s="599" t="s">
        <v>152</v>
      </c>
      <c r="U27" s="592" t="s">
        <v>48</v>
      </c>
      <c r="W27" s="186">
        <v>18.0</v>
      </c>
      <c r="X27" s="378" t="s">
        <v>384</v>
      </c>
      <c r="Y27" s="379">
        <f t="shared" si="1"/>
        <v>2</v>
      </c>
    </row>
    <row r="28" ht="15.75" customHeight="1">
      <c r="A28" s="585"/>
      <c r="B28" s="585"/>
      <c r="C28" s="585"/>
      <c r="D28" s="586"/>
      <c r="E28" s="586"/>
      <c r="F28" s="586"/>
      <c r="G28" s="584"/>
      <c r="H28" s="584"/>
      <c r="I28" s="601"/>
      <c r="J28" s="585"/>
      <c r="K28" s="585"/>
      <c r="L28" s="585"/>
      <c r="M28" s="584"/>
      <c r="N28" s="584"/>
      <c r="O28" s="601"/>
      <c r="P28" s="585"/>
      <c r="Q28" s="585"/>
      <c r="R28" s="596" t="s">
        <v>355</v>
      </c>
      <c r="S28" s="585"/>
      <c r="T28" s="585"/>
      <c r="U28" s="585"/>
      <c r="W28" s="186">
        <v>19.0</v>
      </c>
      <c r="X28" s="378"/>
      <c r="Y28" s="379">
        <f t="shared" si="1"/>
        <v>0</v>
      </c>
    </row>
    <row r="29" ht="15.75" customHeight="1">
      <c r="A29" s="602" t="s">
        <v>118</v>
      </c>
      <c r="B29" s="321"/>
      <c r="C29" s="322"/>
      <c r="D29" s="602" t="s">
        <v>7</v>
      </c>
      <c r="E29" s="321"/>
      <c r="F29" s="322"/>
      <c r="G29" s="602" t="s">
        <v>119</v>
      </c>
      <c r="H29" s="321"/>
      <c r="I29" s="322"/>
      <c r="J29" s="602" t="s">
        <v>9</v>
      </c>
      <c r="K29" s="321"/>
      <c r="L29" s="322"/>
      <c r="M29" s="602" t="s">
        <v>85</v>
      </c>
      <c r="N29" s="321"/>
      <c r="O29" s="322"/>
      <c r="P29" s="623" t="s">
        <v>86</v>
      </c>
      <c r="Q29" s="321"/>
      <c r="R29" s="322"/>
      <c r="S29" s="603" t="s">
        <v>12</v>
      </c>
      <c r="T29" s="321"/>
      <c r="U29" s="322"/>
      <c r="W29" s="186">
        <v>20.0</v>
      </c>
      <c r="X29" s="378"/>
      <c r="Y29" s="379">
        <f t="shared" si="1"/>
        <v>0</v>
      </c>
    </row>
    <row r="30" ht="15.75" customHeight="1">
      <c r="A30" s="605">
        <f>S22+1</f>
        <v>45859</v>
      </c>
      <c r="B30" s="321"/>
      <c r="C30" s="322"/>
      <c r="D30" s="604">
        <f>A30+1</f>
        <v>45860</v>
      </c>
      <c r="E30" s="321"/>
      <c r="F30" s="322"/>
      <c r="G30" s="604">
        <f>D30+1</f>
        <v>45861</v>
      </c>
      <c r="H30" s="321"/>
      <c r="I30" s="322"/>
      <c r="J30" s="604">
        <f>G30+1</f>
        <v>45862</v>
      </c>
      <c r="K30" s="321"/>
      <c r="L30" s="322"/>
      <c r="M30" s="605">
        <f>J30+1</f>
        <v>45863</v>
      </c>
      <c r="N30" s="321"/>
      <c r="O30" s="322"/>
      <c r="P30" s="624">
        <f>M30+1</f>
        <v>45864</v>
      </c>
      <c r="Q30" s="321"/>
      <c r="R30" s="322"/>
      <c r="S30" s="606">
        <f>P30+1</f>
        <v>45865</v>
      </c>
      <c r="T30" s="321"/>
      <c r="U30" s="322"/>
      <c r="W30" s="186">
        <v>21.0</v>
      </c>
      <c r="X30" s="378"/>
      <c r="Y30" s="379">
        <f t="shared" si="1"/>
        <v>0</v>
      </c>
    </row>
    <row r="31" ht="15.75" customHeight="1">
      <c r="A31" s="582"/>
      <c r="B31" s="582"/>
      <c r="C31" s="582"/>
      <c r="D31" s="582"/>
      <c r="E31" s="582"/>
      <c r="F31" s="582"/>
      <c r="G31" s="582"/>
      <c r="H31" s="582"/>
      <c r="I31" s="582"/>
      <c r="J31" s="582"/>
      <c r="K31" s="582"/>
      <c r="L31" s="582"/>
      <c r="M31" s="586"/>
      <c r="N31" s="617"/>
      <c r="O31" s="587"/>
      <c r="P31" s="582"/>
      <c r="Q31" s="582"/>
      <c r="R31" s="582"/>
      <c r="S31" s="582"/>
      <c r="T31" s="582"/>
      <c r="U31" s="582"/>
      <c r="W31" s="186">
        <v>22.0</v>
      </c>
      <c r="X31" s="378"/>
      <c r="Y31" s="379">
        <f t="shared" si="1"/>
        <v>0</v>
      </c>
    </row>
    <row r="32" ht="15.75" customHeight="1">
      <c r="A32" s="582"/>
      <c r="B32" s="582"/>
      <c r="C32" s="582"/>
      <c r="D32" s="586"/>
      <c r="E32" s="587"/>
      <c r="F32" s="587"/>
      <c r="G32" s="582"/>
      <c r="H32" s="582"/>
      <c r="I32" s="582"/>
      <c r="J32" s="582" t="s">
        <v>531</v>
      </c>
      <c r="K32" s="582" t="s">
        <v>456</v>
      </c>
      <c r="L32" s="582" t="s">
        <v>532</v>
      </c>
      <c r="M32" s="582" t="s">
        <v>531</v>
      </c>
      <c r="N32" s="582" t="s">
        <v>456</v>
      </c>
      <c r="O32" s="582" t="s">
        <v>532</v>
      </c>
      <c r="P32" s="585" t="s">
        <v>384</v>
      </c>
      <c r="Q32" s="585" t="s">
        <v>75</v>
      </c>
      <c r="R32" s="588" t="s">
        <v>27</v>
      </c>
      <c r="S32" s="582"/>
      <c r="T32" s="582"/>
      <c r="U32" s="582"/>
      <c r="W32" s="186">
        <v>23.0</v>
      </c>
      <c r="X32" s="378"/>
      <c r="Y32" s="379">
        <f t="shared" si="1"/>
        <v>0</v>
      </c>
    </row>
    <row r="33" ht="15.75" customHeight="1">
      <c r="A33" s="582"/>
      <c r="B33" s="582"/>
      <c r="C33" s="582"/>
      <c r="D33" s="589"/>
      <c r="E33" s="589"/>
      <c r="F33" s="589"/>
      <c r="G33" s="582"/>
      <c r="H33" s="582"/>
      <c r="I33" s="582"/>
      <c r="J33" s="582"/>
      <c r="K33" s="582"/>
      <c r="L33" s="582"/>
      <c r="M33" s="586"/>
      <c r="N33" s="586"/>
      <c r="O33" s="587"/>
      <c r="P33" s="613" t="s">
        <v>166</v>
      </c>
      <c r="Q33" s="586" t="s">
        <v>175</v>
      </c>
      <c r="R33" s="613" t="s">
        <v>48</v>
      </c>
      <c r="S33" s="586"/>
      <c r="T33" s="586"/>
      <c r="U33" s="586"/>
      <c r="W33" s="186">
        <v>24.0</v>
      </c>
      <c r="X33" s="378"/>
      <c r="Y33" s="379">
        <f t="shared" si="1"/>
        <v>0</v>
      </c>
    </row>
    <row r="34" ht="15.0" customHeight="1">
      <c r="A34" s="582"/>
      <c r="B34" s="582"/>
      <c r="C34" s="582"/>
      <c r="D34" s="583" t="s">
        <v>525</v>
      </c>
      <c r="E34" s="583" t="s">
        <v>229</v>
      </c>
      <c r="F34" s="583" t="s">
        <v>27</v>
      </c>
      <c r="G34" s="597" t="s">
        <v>419</v>
      </c>
      <c r="H34" s="597" t="s">
        <v>284</v>
      </c>
      <c r="I34" s="597" t="s">
        <v>48</v>
      </c>
      <c r="J34" s="586" t="s">
        <v>402</v>
      </c>
      <c r="K34" s="586" t="s">
        <v>509</v>
      </c>
      <c r="L34" s="586" t="s">
        <v>438</v>
      </c>
      <c r="M34" s="599" t="s">
        <v>147</v>
      </c>
      <c r="N34" s="599" t="s">
        <v>152</v>
      </c>
      <c r="O34" s="599" t="s">
        <v>48</v>
      </c>
      <c r="P34" s="589" t="s">
        <v>401</v>
      </c>
      <c r="Q34" s="598" t="s">
        <v>49</v>
      </c>
      <c r="R34" s="591" t="s">
        <v>48</v>
      </c>
      <c r="S34" s="599" t="s">
        <v>151</v>
      </c>
      <c r="T34" s="599" t="s">
        <v>152</v>
      </c>
      <c r="U34" s="596" t="s">
        <v>117</v>
      </c>
      <c r="W34" s="186">
        <v>25.0</v>
      </c>
      <c r="X34" s="378"/>
      <c r="Y34" s="379">
        <f t="shared" si="1"/>
        <v>0</v>
      </c>
    </row>
    <row r="35" ht="15.75" customHeight="1">
      <c r="A35" s="582"/>
      <c r="B35" s="582"/>
      <c r="C35" s="582"/>
      <c r="D35" s="585"/>
      <c r="E35" s="585"/>
      <c r="F35" s="585"/>
      <c r="G35" s="582"/>
      <c r="H35" s="582"/>
      <c r="I35" s="582"/>
      <c r="J35" s="582"/>
      <c r="K35" s="582"/>
      <c r="L35" s="582"/>
      <c r="M35" s="586"/>
      <c r="N35" s="586"/>
      <c r="O35" s="586"/>
      <c r="P35" s="589"/>
      <c r="Q35" s="598"/>
      <c r="R35" s="591"/>
      <c r="S35" s="584"/>
      <c r="T35" s="584"/>
      <c r="U35" s="585"/>
      <c r="W35" s="186">
        <v>26.0</v>
      </c>
      <c r="X35" s="378"/>
      <c r="Y35" s="379">
        <f t="shared" si="1"/>
        <v>0</v>
      </c>
    </row>
    <row r="36" ht="14.25" customHeight="1">
      <c r="A36" s="585"/>
      <c r="B36" s="585"/>
      <c r="C36" s="585"/>
      <c r="D36" s="585"/>
      <c r="E36" s="585"/>
      <c r="F36" s="585"/>
      <c r="G36" s="585"/>
      <c r="H36" s="585"/>
      <c r="I36" s="585"/>
      <c r="J36" s="585"/>
      <c r="K36" s="585"/>
      <c r="L36" s="585"/>
      <c r="M36" s="584"/>
      <c r="N36" s="584"/>
      <c r="O36" s="601"/>
      <c r="P36" s="585"/>
      <c r="Q36" s="585"/>
      <c r="R36" s="585"/>
      <c r="S36" s="585"/>
      <c r="T36" s="585"/>
      <c r="U36" s="585"/>
      <c r="W36" s="186">
        <v>27.0</v>
      </c>
      <c r="X36" s="378"/>
      <c r="Y36" s="379">
        <f t="shared" si="1"/>
        <v>0</v>
      </c>
    </row>
    <row r="37" ht="15.75" customHeight="1">
      <c r="A37" s="576" t="s">
        <v>118</v>
      </c>
      <c r="B37" s="321"/>
      <c r="C37" s="322"/>
      <c r="D37" s="576" t="s">
        <v>7</v>
      </c>
      <c r="E37" s="321"/>
      <c r="F37" s="322"/>
      <c r="G37" s="576" t="s">
        <v>119</v>
      </c>
      <c r="H37" s="321"/>
      <c r="I37" s="322"/>
      <c r="J37" s="576" t="s">
        <v>9</v>
      </c>
      <c r="K37" s="321"/>
      <c r="L37" s="322"/>
      <c r="M37" s="576"/>
      <c r="N37" s="321"/>
      <c r="O37" s="322"/>
      <c r="P37" s="576"/>
      <c r="Q37" s="321"/>
      <c r="R37" s="322"/>
      <c r="S37" s="614"/>
      <c r="T37" s="321"/>
      <c r="U37" s="322"/>
      <c r="W37" s="186">
        <v>28.0</v>
      </c>
      <c r="X37" s="378"/>
      <c r="Y37" s="379">
        <f t="shared" si="1"/>
        <v>0</v>
      </c>
    </row>
    <row r="38" ht="15.75" customHeight="1">
      <c r="A38" s="579">
        <f>S30+1</f>
        <v>45866</v>
      </c>
      <c r="B38" s="321"/>
      <c r="C38" s="322"/>
      <c r="D38" s="579">
        <f>A38+1</f>
        <v>45867</v>
      </c>
      <c r="E38" s="321"/>
      <c r="F38" s="322"/>
      <c r="G38" s="579">
        <f>D38+1</f>
        <v>45868</v>
      </c>
      <c r="H38" s="321"/>
      <c r="I38" s="322"/>
      <c r="J38" s="579">
        <f>G38+1</f>
        <v>45869</v>
      </c>
      <c r="K38" s="321"/>
      <c r="L38" s="322"/>
      <c r="M38" s="579"/>
      <c r="N38" s="321"/>
      <c r="O38" s="322"/>
      <c r="P38" s="579"/>
      <c r="Q38" s="321"/>
      <c r="R38" s="322"/>
      <c r="S38" s="615"/>
      <c r="T38" s="321"/>
      <c r="U38" s="322"/>
      <c r="W38" s="186">
        <v>29.0</v>
      </c>
      <c r="X38" s="378"/>
      <c r="Y38" s="379">
        <f t="shared" si="1"/>
        <v>0</v>
      </c>
    </row>
    <row r="39" ht="15.75" customHeight="1">
      <c r="A39" s="584"/>
      <c r="B39" s="584"/>
      <c r="C39" s="585"/>
      <c r="D39" s="582"/>
      <c r="E39" s="582"/>
      <c r="F39" s="582"/>
      <c r="G39" s="584"/>
      <c r="H39" s="584"/>
      <c r="I39" s="585"/>
      <c r="J39" s="582"/>
      <c r="K39" s="582"/>
      <c r="L39" s="582"/>
      <c r="M39" s="586"/>
      <c r="N39" s="617"/>
      <c r="O39" s="587"/>
      <c r="P39" s="582"/>
      <c r="Q39" s="582"/>
      <c r="R39" s="582"/>
      <c r="S39" s="582"/>
      <c r="T39" s="582"/>
      <c r="U39" s="582"/>
    </row>
    <row r="40" ht="15.75" customHeight="1">
      <c r="A40" s="625"/>
      <c r="B40" s="625"/>
      <c r="C40" s="587"/>
      <c r="D40" s="586"/>
      <c r="E40" s="587"/>
      <c r="F40" s="587"/>
      <c r="G40" s="584"/>
      <c r="H40" s="584"/>
      <c r="I40" s="585"/>
      <c r="J40" s="582"/>
      <c r="K40" s="582"/>
      <c r="L40" s="582"/>
      <c r="M40" s="586"/>
      <c r="N40" s="586"/>
      <c r="O40" s="587"/>
      <c r="P40" s="582"/>
      <c r="Q40" s="582"/>
      <c r="R40" s="582"/>
      <c r="S40" s="582"/>
      <c r="T40" s="582"/>
      <c r="U40" s="582"/>
    </row>
    <row r="41" ht="15.75" customHeight="1">
      <c r="A41" s="626" t="s">
        <v>18</v>
      </c>
      <c r="B41" s="594" t="s">
        <v>49</v>
      </c>
      <c r="C41" s="594" t="s">
        <v>48</v>
      </c>
      <c r="D41" s="589"/>
      <c r="E41" s="589"/>
      <c r="F41" s="589"/>
      <c r="G41" s="584"/>
      <c r="H41" s="584"/>
      <c r="I41" s="585"/>
      <c r="J41" s="582"/>
      <c r="K41" s="582"/>
      <c r="L41" s="582"/>
      <c r="M41" s="584"/>
      <c r="N41" s="584"/>
      <c r="O41" s="585"/>
      <c r="P41" s="589"/>
      <c r="Q41" s="589"/>
      <c r="R41" s="589"/>
      <c r="S41" s="589"/>
      <c r="T41" s="589"/>
      <c r="U41" s="589"/>
    </row>
    <row r="42" ht="15.75" customHeight="1">
      <c r="A42" s="596"/>
      <c r="B42" s="585"/>
      <c r="C42" s="585"/>
      <c r="D42" s="583"/>
      <c r="E42" s="583"/>
      <c r="F42" s="583"/>
      <c r="G42" s="584"/>
      <c r="H42" s="584"/>
      <c r="I42" s="585"/>
      <c r="J42" s="582"/>
      <c r="K42" s="582"/>
      <c r="L42" s="582"/>
      <c r="M42" s="594"/>
      <c r="N42" s="594"/>
      <c r="O42" s="594"/>
      <c r="P42" s="589"/>
      <c r="Q42" s="598"/>
      <c r="R42" s="591"/>
      <c r="S42" s="589"/>
      <c r="T42" s="598"/>
      <c r="U42" s="591"/>
    </row>
    <row r="43" ht="15.75" customHeight="1">
      <c r="A43" s="584"/>
      <c r="B43" s="584"/>
      <c r="C43" s="585"/>
      <c r="D43" s="585"/>
      <c r="E43" s="585"/>
      <c r="F43" s="585"/>
      <c r="G43" s="585"/>
      <c r="H43" s="585"/>
      <c r="I43" s="585"/>
      <c r="J43" s="582"/>
      <c r="K43" s="582"/>
      <c r="L43" s="582"/>
      <c r="M43" s="586"/>
      <c r="N43" s="586"/>
      <c r="O43" s="586"/>
      <c r="P43" s="589"/>
      <c r="Q43" s="598"/>
      <c r="R43" s="591"/>
      <c r="S43" s="589"/>
      <c r="T43" s="598"/>
      <c r="U43" s="591"/>
    </row>
    <row r="44" ht="15.75" customHeight="1">
      <c r="A44" s="584"/>
      <c r="B44" s="584"/>
      <c r="C44" s="601"/>
      <c r="D44" s="585"/>
      <c r="E44" s="585"/>
      <c r="F44" s="585"/>
      <c r="G44" s="584"/>
      <c r="H44" s="584"/>
      <c r="I44" s="601"/>
      <c r="J44" s="582"/>
      <c r="K44" s="582"/>
      <c r="L44" s="582"/>
      <c r="M44" s="584"/>
      <c r="N44" s="584"/>
      <c r="O44" s="601"/>
      <c r="P44" s="585"/>
      <c r="Q44" s="585"/>
      <c r="R44" s="585"/>
      <c r="S44" s="585"/>
      <c r="T44" s="585"/>
      <c r="U44" s="585"/>
    </row>
    <row r="45" ht="15.75" customHeight="1">
      <c r="A45" s="602"/>
      <c r="B45" s="321"/>
      <c r="C45" s="322"/>
      <c r="D45" s="602"/>
      <c r="E45" s="321"/>
      <c r="F45" s="322"/>
      <c r="G45" s="602"/>
      <c r="H45" s="321"/>
      <c r="I45" s="322"/>
      <c r="J45" s="602"/>
      <c r="K45" s="321"/>
      <c r="L45" s="322"/>
      <c r="M45" s="602"/>
      <c r="N45" s="321"/>
      <c r="O45" s="322"/>
      <c r="P45" s="602"/>
      <c r="Q45" s="321"/>
      <c r="R45" s="322"/>
      <c r="S45" s="603"/>
      <c r="T45" s="321"/>
      <c r="U45" s="322"/>
    </row>
    <row r="46" ht="15.75" customHeight="1">
      <c r="A46" s="605"/>
      <c r="B46" s="321"/>
      <c r="C46" s="322"/>
      <c r="D46" s="604"/>
      <c r="E46" s="321"/>
      <c r="F46" s="322"/>
      <c r="G46" s="604"/>
      <c r="H46" s="321"/>
      <c r="I46" s="322"/>
      <c r="J46" s="604"/>
      <c r="K46" s="321"/>
      <c r="L46" s="322"/>
      <c r="M46" s="604"/>
      <c r="N46" s="321"/>
      <c r="O46" s="322"/>
      <c r="P46" s="604"/>
      <c r="Q46" s="321"/>
      <c r="R46" s="322"/>
      <c r="S46" s="605"/>
      <c r="T46" s="321"/>
      <c r="U46" s="322"/>
    </row>
    <row r="47" ht="15.75" customHeight="1">
      <c r="A47" s="582"/>
      <c r="B47" s="582"/>
      <c r="C47" s="582"/>
      <c r="D47" s="584"/>
      <c r="E47" s="584"/>
      <c r="F47" s="584"/>
      <c r="G47" s="584"/>
      <c r="H47" s="584"/>
      <c r="I47" s="585"/>
      <c r="J47" s="584"/>
      <c r="K47" s="584"/>
      <c r="L47" s="584"/>
      <c r="M47" s="584"/>
      <c r="N47" s="584"/>
      <c r="O47" s="584"/>
      <c r="P47" s="582"/>
      <c r="Q47" s="582"/>
      <c r="R47" s="582"/>
      <c r="S47" s="584"/>
      <c r="T47" s="584"/>
      <c r="U47" s="584"/>
    </row>
    <row r="48" ht="15.75" customHeight="1">
      <c r="A48" s="584"/>
      <c r="B48" s="584"/>
      <c r="C48" s="584"/>
      <c r="D48" s="584"/>
      <c r="E48" s="584"/>
      <c r="F48" s="584"/>
      <c r="G48" s="584"/>
      <c r="H48" s="584"/>
      <c r="I48" s="585"/>
      <c r="J48" s="584"/>
      <c r="K48" s="584"/>
      <c r="L48" s="584"/>
      <c r="M48" s="584"/>
      <c r="N48" s="584"/>
      <c r="O48" s="584"/>
      <c r="P48" s="582"/>
      <c r="Q48" s="582"/>
      <c r="R48" s="582"/>
      <c r="S48" s="584"/>
      <c r="T48" s="584"/>
      <c r="U48" s="584"/>
    </row>
    <row r="49" ht="15.75" customHeight="1">
      <c r="A49" s="586"/>
      <c r="B49" s="587"/>
      <c r="C49" s="587"/>
      <c r="D49" s="584"/>
      <c r="E49" s="584"/>
      <c r="F49" s="584"/>
      <c r="G49" s="584"/>
      <c r="H49" s="584"/>
      <c r="I49" s="584"/>
      <c r="J49" s="586"/>
      <c r="K49" s="587"/>
      <c r="L49" s="584"/>
      <c r="M49" s="585"/>
      <c r="N49" s="585"/>
      <c r="O49" s="585"/>
      <c r="P49" s="582"/>
      <c r="Q49" s="582"/>
      <c r="R49" s="582"/>
      <c r="S49" s="585"/>
      <c r="T49" s="585"/>
      <c r="U49" s="585"/>
    </row>
    <row r="50" ht="15.75" customHeight="1">
      <c r="A50" s="596"/>
      <c r="B50" s="596"/>
      <c r="C50" s="596"/>
      <c r="D50" s="600"/>
      <c r="E50" s="600"/>
      <c r="F50" s="600"/>
      <c r="G50" s="593"/>
      <c r="H50" s="593"/>
      <c r="I50" s="593"/>
      <c r="J50" s="584"/>
      <c r="K50" s="584"/>
      <c r="L50" s="584"/>
      <c r="M50" s="584"/>
      <c r="N50" s="584"/>
      <c r="O50" s="584"/>
      <c r="P50" s="593"/>
      <c r="Q50" s="592"/>
      <c r="R50" s="585"/>
      <c r="S50" s="584"/>
      <c r="T50" s="584"/>
      <c r="U50" s="584"/>
    </row>
    <row r="51" ht="15.75" customHeight="1">
      <c r="A51" s="585"/>
      <c r="B51" s="585"/>
      <c r="C51" s="585"/>
      <c r="D51" s="626"/>
      <c r="E51" s="594"/>
      <c r="F51" s="594"/>
      <c r="G51" s="585"/>
      <c r="H51" s="585"/>
      <c r="I51" s="585"/>
      <c r="J51" s="585"/>
      <c r="K51" s="585"/>
      <c r="L51" s="627"/>
      <c r="M51" s="585"/>
      <c r="N51" s="585"/>
      <c r="O51" s="627"/>
      <c r="P51" s="600"/>
      <c r="Q51" s="600"/>
      <c r="R51" s="600"/>
      <c r="S51" s="585"/>
      <c r="T51" s="585"/>
      <c r="U51" s="627"/>
    </row>
    <row r="52" ht="15.75" customHeight="1">
      <c r="A52" s="585"/>
      <c r="B52" s="585"/>
      <c r="C52" s="585"/>
      <c r="D52" s="584"/>
      <c r="E52" s="584"/>
      <c r="F52" s="584"/>
      <c r="G52" s="584"/>
      <c r="H52" s="584"/>
      <c r="I52" s="601"/>
      <c r="J52" s="584"/>
      <c r="K52" s="584"/>
      <c r="L52" s="584"/>
      <c r="M52" s="584"/>
      <c r="N52" s="584"/>
      <c r="O52" s="584"/>
      <c r="P52" s="585"/>
      <c r="Q52" s="585"/>
      <c r="R52" s="585"/>
      <c r="S52" s="584"/>
      <c r="T52" s="584"/>
      <c r="U52" s="584"/>
    </row>
    <row r="53" ht="15.75" customHeight="1"/>
    <row r="54" ht="15.75" customHeight="1"/>
    <row r="55" ht="15.75" customHeight="1">
      <c r="A55" s="83" t="s">
        <v>76</v>
      </c>
      <c r="B55" s="84"/>
    </row>
    <row r="56" ht="15.75" customHeight="1">
      <c r="A56" s="85"/>
      <c r="B56" s="86" t="s">
        <v>77</v>
      </c>
      <c r="C56" s="87"/>
      <c r="D56" s="88"/>
    </row>
    <row r="57" ht="15.75" customHeight="1">
      <c r="A57" s="92"/>
      <c r="B57" s="86" t="s">
        <v>78</v>
      </c>
      <c r="C57" s="87"/>
    </row>
    <row r="58" ht="15.75" customHeight="1">
      <c r="A58" s="95"/>
      <c r="B58" s="86" t="s">
        <v>79</v>
      </c>
      <c r="C58" s="87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4">
    <mergeCell ref="A21:C21"/>
    <mergeCell ref="D21:F21"/>
    <mergeCell ref="G21:I21"/>
    <mergeCell ref="J21:L21"/>
    <mergeCell ref="M21:O21"/>
    <mergeCell ref="P21:R21"/>
    <mergeCell ref="S21:U21"/>
    <mergeCell ref="A22:C22"/>
    <mergeCell ref="D22:F22"/>
    <mergeCell ref="G22:I22"/>
    <mergeCell ref="J22:L22"/>
    <mergeCell ref="M22:O22"/>
    <mergeCell ref="P22:R22"/>
    <mergeCell ref="S22:U22"/>
    <mergeCell ref="A29:C29"/>
    <mergeCell ref="D29:F29"/>
    <mergeCell ref="G29:I29"/>
    <mergeCell ref="J29:L29"/>
    <mergeCell ref="M29:O29"/>
    <mergeCell ref="P29:R29"/>
    <mergeCell ref="S29:U29"/>
    <mergeCell ref="A30:C30"/>
    <mergeCell ref="D30:F30"/>
    <mergeCell ref="G30:I30"/>
    <mergeCell ref="J30:L30"/>
    <mergeCell ref="M30:O30"/>
    <mergeCell ref="P30:R30"/>
    <mergeCell ref="S30:U30"/>
    <mergeCell ref="A37:C37"/>
    <mergeCell ref="D37:F37"/>
    <mergeCell ref="G37:I37"/>
    <mergeCell ref="J37:L37"/>
    <mergeCell ref="M37:O37"/>
    <mergeCell ref="P37:R37"/>
    <mergeCell ref="S37:U37"/>
    <mergeCell ref="A38:C38"/>
    <mergeCell ref="D38:F38"/>
    <mergeCell ref="G38:I38"/>
    <mergeCell ref="J38:L38"/>
    <mergeCell ref="M38:O38"/>
    <mergeCell ref="P38:R38"/>
    <mergeCell ref="S38:U38"/>
    <mergeCell ref="A1:B1"/>
    <mergeCell ref="C1:E1"/>
    <mergeCell ref="G1:P3"/>
    <mergeCell ref="A2:B2"/>
    <mergeCell ref="C2:E2"/>
    <mergeCell ref="A3:B3"/>
    <mergeCell ref="C3:E3"/>
    <mergeCell ref="P5:R5"/>
    <mergeCell ref="S5:U5"/>
    <mergeCell ref="A6:C6"/>
    <mergeCell ref="D6:F6"/>
    <mergeCell ref="G6:I6"/>
    <mergeCell ref="J6:L6"/>
    <mergeCell ref="M6:O6"/>
    <mergeCell ref="P6:R6"/>
    <mergeCell ref="S6:U6"/>
    <mergeCell ref="A4:B4"/>
    <mergeCell ref="C4:E4"/>
    <mergeCell ref="A5:C5"/>
    <mergeCell ref="D5:F5"/>
    <mergeCell ref="G5:I5"/>
    <mergeCell ref="J5:L5"/>
    <mergeCell ref="M5:O5"/>
    <mergeCell ref="A13:C13"/>
    <mergeCell ref="D13:F13"/>
    <mergeCell ref="G13:I13"/>
    <mergeCell ref="J13:L13"/>
    <mergeCell ref="M13:O13"/>
    <mergeCell ref="P13:R13"/>
    <mergeCell ref="S13:U13"/>
    <mergeCell ref="A14:C14"/>
    <mergeCell ref="D14:F14"/>
    <mergeCell ref="G14:I14"/>
    <mergeCell ref="J14:L14"/>
    <mergeCell ref="M14:O14"/>
    <mergeCell ref="P14:R14"/>
    <mergeCell ref="S14:U14"/>
    <mergeCell ref="A46:C46"/>
    <mergeCell ref="D46:F46"/>
    <mergeCell ref="G46:I46"/>
    <mergeCell ref="J46:L46"/>
    <mergeCell ref="M46:O46"/>
    <mergeCell ref="P46:R46"/>
    <mergeCell ref="S46:U46"/>
    <mergeCell ref="B55:D55"/>
    <mergeCell ref="A45:C45"/>
    <mergeCell ref="D45:F45"/>
    <mergeCell ref="G45:I45"/>
    <mergeCell ref="J45:L45"/>
    <mergeCell ref="M45:O45"/>
    <mergeCell ref="P45:R45"/>
    <mergeCell ref="S45:U45"/>
  </mergeCells>
  <printOptions/>
  <pageMargins bottom="0.15" footer="0.0" header="0.0" left="0.46" right="0.34" top="0.28"/>
  <pageSetup fitToHeight="0" paperSize="11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2021-03-25T16:44:31Z</dcterms:created>
  <dc:creator>compaq</dc:creator>
</cp:coreProperties>
</file>