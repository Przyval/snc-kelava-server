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BAR R" sheetId="1" r:id="rId4"/>
    <sheet state="visible" name="ANAM" sheetId="2" r:id="rId5"/>
    <sheet state="visible" name="ABU S" sheetId="3" r:id="rId6"/>
    <sheet state="visible" name="ALMAS " sheetId="4" r:id="rId7"/>
    <sheet state="visible" name="MAHRUS" sheetId="5" r:id="rId8"/>
    <sheet state="visible" name="ADAM" sheetId="6" r:id="rId9"/>
    <sheet state="visible" name="ANDIK" sheetId="7" r:id="rId10"/>
    <sheet state="visible" name="LUCKY" sheetId="8" r:id="rId11"/>
    <sheet state="visible" name="MAULANA" sheetId="9" r:id="rId12"/>
    <sheet state="visible" name="RANGGA" sheetId="10" r:id="rId13"/>
    <sheet state="visible" name="FATHUR" sheetId="11" r:id="rId14"/>
    <sheet state="visible" name="IMAM" sheetId="12" r:id="rId15"/>
    <sheet state="visible" name="ARGA" sheetId="13" r:id="rId16"/>
    <sheet state="hidden" name="RENDY" sheetId="14" r:id="rId17"/>
    <sheet state="visible" name="IRUL" sheetId="15" r:id="rId18"/>
    <sheet state="visible" name="MULYASARI" sheetId="16" r:id="rId19"/>
    <sheet state="visible" name="PM Jogja " sheetId="17" r:id="rId20"/>
    <sheet state="visible" name="PM SOLO" sheetId="18" r:id="rId21"/>
  </sheets>
  <definedNames>
    <definedName hidden="1" localSheetId="0" name="_xlnm._FilterDatabase">'AKBAR R'!$W$9:$Y$44</definedName>
    <definedName hidden="1" localSheetId="1" name="_xlnm._FilterDatabase">ANAM!$W$14:$Y$45</definedName>
    <definedName hidden="1" localSheetId="2" name="_xlnm._FilterDatabase">'ABU S'!$W$5:$Y$35</definedName>
    <definedName hidden="1" localSheetId="3" name="_xlnm._FilterDatabase">'ALMAS '!$W$6:$Y$34</definedName>
    <definedName hidden="1" localSheetId="4" name="_xlnm._FilterDatabase">MAHRUS!$W$9:$Y$35</definedName>
    <definedName hidden="1" localSheetId="5" name="_xlnm._FilterDatabase">ADAM!$W$9:$Y$38</definedName>
    <definedName hidden="1" localSheetId="6" name="_xlnm._FilterDatabase">ANDIK!$W$13:$Y$41</definedName>
    <definedName hidden="1" localSheetId="7" name="_xlnm._FilterDatabase">LUCKY!$W$13:$Z$42</definedName>
  </definedNames>
  <calcPr/>
  <extLst>
    <ext uri="GoogleSheetsCustomDataVersion2">
      <go:sheetsCustomData xmlns:go="http://customooxmlschemas.google.com/" r:id="rId22" roundtripDataChecksum="mchvwAm2SWkw3s8k/ASxHARyhuXyD7p0cTP47NCcw7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5">
      <text>
        <t xml:space="preserve">======
ID#AAAB69uz3kQ
Quality Control    (2026-05-15 06:46:04)
Instal dengan gilang</t>
      </text>
    </comment>
  </commentList>
  <extLst>
    <ext uri="GoogleSheetsCustomDataVersion2">
      <go:sheetsCustomData xmlns:go="http://customooxmlschemas.google.com/" r:id="rId1" roundtripDataSignature="AMtx7mjuMRusvtomOfbi8n+PPDMJSMTzl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3">
      <text>
        <t xml:space="preserve">======
ID#AAAB6iqeai4
Team Leader    (2026-05-18 03:58:45)
supot Gilang</t>
      </text>
    </comment>
    <comment authorId="0" ref="S40">
      <text>
        <t xml:space="preserve">======
ID#AAAB6EF7X5M
Team Leader    (2026-05-11 08:02:25)
Di kerjakan supot</t>
      </text>
    </comment>
    <comment authorId="0" ref="P19">
      <text>
        <t xml:space="preserve">======
ID#AAAB6AJNbcw
Admin Operasional    (2026-05-08 08:59:48)
pindah ke mas rendy</t>
      </text>
    </comment>
  </commentList>
  <extLst>
    <ext uri="GoogleSheetsCustomDataVersion2">
      <go:sheetsCustomData xmlns:go="http://customooxmlschemas.google.com/" r:id="rId1" roundtripDataSignature="AMtx7mhr3df7VvMMa7SwwrdH4P+kSxxOR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2">
      <text>
        <t xml:space="preserve">======
ID#AAAB6iqKNg8
Team Leader    (2026-05-18 01:45:45)
GT 1 supot</t>
      </text>
    </comment>
  </commentList>
  <extLst>
    <ext uri="GoogleSheetsCustomDataVersion2">
      <go:sheetsCustomData xmlns:go="http://customooxmlschemas.google.com/" r:id="rId1" roundtripDataSignature="AMtx7mgMHQiKyoJaBXjOcfTg3b5Vz60Tt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41">
      <text>
        <t xml:space="preserve">======
ID#AAAB4wZCRk8
Team Leader    (2026-04-27 05:12:10)
S-OUT</t>
      </text>
    </comment>
    <comment authorId="0" ref="R26">
      <text>
        <t xml:space="preserve">======
ID#AAAB4wZCRk4
Team Leader    (2026-04-27 05:11:45)
S-OUT</t>
      </text>
    </comment>
  </commentList>
  <extLst>
    <ext uri="GoogleSheetsCustomDataVersion2">
      <go:sheetsCustomData xmlns:go="http://customooxmlschemas.google.com/" r:id="rId1" roundtripDataSignature="AMtx7mjoEbwK128ah/EAqo9+L1m9p38OT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2">
      <text>
        <t xml:space="preserve">======
ID#AAAB6iqKNhU
Team Leader    (2026-05-18 02:42:43)
S-OUT</t>
      </text>
    </comment>
    <comment authorId="0" ref="O43">
      <text>
        <t xml:space="preserve">======
ID#AAAB69uz3lU
Quality Control    (2026-05-15 07:53:26)
jadinya GT atau tidak</t>
      </text>
    </comment>
  </commentList>
  <extLst>
    <ext uri="GoogleSheetsCustomDataVersion2">
      <go:sheetsCustomData xmlns:go="http://customooxmlschemas.google.com/" r:id="rId1" roundtripDataSignature="AMtx7mhmnEcqJiIFfl2+QpDudgxygfYK0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======
ID#AAAB6mbKbiQ
Admin Operasional    (2026-05-18 06:41:05)
Di jadwal station TP Sore, kata mbak imel ikut TP saja</t>
      </text>
    </comment>
    <comment authorId="0" ref="A42">
      <text>
        <t xml:space="preserve">======
ID#AAAB6X6j5ek
Admin Operasional    (2026-05-13 03:59:11)
Tambahan gilang kalau kang mul masuk, atau imam kalau gaada TC</t>
      </text>
    </comment>
  </commentList>
  <extLst>
    <ext uri="GoogleSheetsCustomDataVersion2">
      <go:sheetsCustomData xmlns:go="http://customooxmlschemas.google.com/" r:id="rId1" roundtripDataSignature="AMtx7mh1KnQAg6DjXJKcf8TNuGdTzlkb2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4">
      <text>
        <t xml:space="preserve">======
ID#AAAB7FXOFzc
Team Leader    (2026-05-25 03:06:57)
Masuk jam 03.00-06.00</t>
      </text>
    </comment>
  </commentList>
  <extLst>
    <ext uri="GoogleSheetsCustomDataVersion2">
      <go:sheetsCustomData xmlns:go="http://customooxmlschemas.google.com/" r:id="rId1" roundtripDataSignature="AMtx7mgvQAXZ6meBhwHmFDD3EfWKRx5QIQ=="/>
    </ext>
  </extLst>
</comments>
</file>

<file path=xl/sharedStrings.xml><?xml version="1.0" encoding="utf-8"?>
<sst xmlns="http://schemas.openxmlformats.org/spreadsheetml/2006/main" count="3678" uniqueCount="485">
  <si>
    <t xml:space="preserve"> </t>
  </si>
  <si>
    <t>: ALI AKBAR</t>
  </si>
  <si>
    <t>JADWAL TEKNISI BULAN MEI 2026</t>
  </si>
  <si>
    <t>SUPERVISOR</t>
  </si>
  <si>
    <t>: FAHMI</t>
  </si>
  <si>
    <t>TOTAL KUNJUNGAN</t>
  </si>
  <si>
    <t>JAM EFEKTIF</t>
  </si>
  <si>
    <t>SENIN</t>
  </si>
  <si>
    <t>SELASA</t>
  </si>
  <si>
    <t>RABU</t>
  </si>
  <si>
    <t>KAMIS</t>
  </si>
  <si>
    <t>JUMAT</t>
  </si>
  <si>
    <t>SABTU</t>
  </si>
  <si>
    <t>MINGGU</t>
  </si>
  <si>
    <t>OFF</t>
  </si>
  <si>
    <t>No</t>
  </si>
  <si>
    <t>Client</t>
  </si>
  <si>
    <t>Kunjungan</t>
  </si>
  <si>
    <t>AADK ARH</t>
  </si>
  <si>
    <t>AADK WIY</t>
  </si>
  <si>
    <t>ASIA CROFFLE</t>
  </si>
  <si>
    <t>ASINAN PTC</t>
  </si>
  <si>
    <t>BENHILL</t>
  </si>
  <si>
    <t>LAMORA</t>
  </si>
  <si>
    <t>13.00-15.00</t>
  </si>
  <si>
    <t>PRC</t>
  </si>
  <si>
    <t>21.00-22.00</t>
  </si>
  <si>
    <t>PC</t>
  </si>
  <si>
    <t>BRAVO M</t>
  </si>
  <si>
    <t>IMPERIAL CHEF</t>
  </si>
  <si>
    <t>SHELL MAST</t>
  </si>
  <si>
    <t>23.00-24.00</t>
  </si>
  <si>
    <t>TANG KITCHEN</t>
  </si>
  <si>
    <t>12.00-13.00</t>
  </si>
  <si>
    <t>RC</t>
  </si>
  <si>
    <t>BU ASTRID</t>
  </si>
  <si>
    <t>14.00-15.00</t>
  </si>
  <si>
    <t>G.LOGISTIK YPK</t>
  </si>
  <si>
    <t>16.00-17.00</t>
  </si>
  <si>
    <t>09.00-10.00</t>
  </si>
  <si>
    <t>23.00-00.30</t>
  </si>
  <si>
    <t>01.30-03.00</t>
  </si>
  <si>
    <t>SAGA DAR</t>
  </si>
  <si>
    <t>GF. SUKO</t>
  </si>
  <si>
    <t>BU.MARIA</t>
  </si>
  <si>
    <t>CV.DESEMBER</t>
  </si>
  <si>
    <t>CV.DMM</t>
  </si>
  <si>
    <t>DAPUR RT</t>
  </si>
  <si>
    <t>G.KUPANG</t>
  </si>
  <si>
    <t>11.00-12.00</t>
  </si>
  <si>
    <t>P. DANIEL</t>
  </si>
  <si>
    <t>G.PACAR</t>
  </si>
  <si>
    <t>08.00-09.00</t>
  </si>
  <si>
    <t>08.00-10.00</t>
  </si>
  <si>
    <t>GLORIA GP</t>
  </si>
  <si>
    <t>HAVANA M</t>
  </si>
  <si>
    <t>22.30-23.30</t>
  </si>
  <si>
    <t>G.SUKO</t>
  </si>
  <si>
    <t>22.00-24.00</t>
  </si>
  <si>
    <t>PAK.YANS</t>
  </si>
  <si>
    <t>19.30-20.30</t>
  </si>
  <si>
    <t>10.00-13.00</t>
  </si>
  <si>
    <t>S-OUT</t>
  </si>
  <si>
    <t>10.00-12.00</t>
  </si>
  <si>
    <t>Keterangan:</t>
  </si>
  <si>
    <t>: END</t>
  </si>
  <si>
    <t>: HOLD</t>
  </si>
  <si>
    <t>: NEW</t>
  </si>
  <si>
    <t>: RENEWAL</t>
  </si>
  <si>
    <t>TEKNISI</t>
  </si>
  <si>
    <t>: CHOIRUL ANAM</t>
  </si>
  <si>
    <t>:FAHMI</t>
  </si>
  <si>
    <t xml:space="preserve">: </t>
  </si>
  <si>
    <t>CEK JADWAL</t>
  </si>
  <si>
    <t xml:space="preserve">JUMAT </t>
  </si>
  <si>
    <t xml:space="preserve">SABTU </t>
  </si>
  <si>
    <t>WIENA CATERING</t>
  </si>
  <si>
    <t xml:space="preserve">INDO REMPAH </t>
  </si>
  <si>
    <t>15.00-16.00</t>
  </si>
  <si>
    <t>A. PLASTIK 27</t>
  </si>
  <si>
    <t>A. PLASTIK 52</t>
  </si>
  <si>
    <t>08.30-10.30</t>
  </si>
  <si>
    <t>PT.HCI</t>
  </si>
  <si>
    <t>CV.MANNA SDA</t>
  </si>
  <si>
    <t>P.HENDRIK</t>
  </si>
  <si>
    <t>CG KALIASIN</t>
  </si>
  <si>
    <t>DOSIDO</t>
  </si>
  <si>
    <t>11.00-12.30</t>
  </si>
  <si>
    <t>PT.CASA UTAMA</t>
  </si>
  <si>
    <t>16.30-18.00</t>
  </si>
  <si>
    <t>CV.KASABA</t>
  </si>
  <si>
    <t xml:space="preserve">SPBU </t>
  </si>
  <si>
    <t>AADK</t>
  </si>
  <si>
    <t>24.00-01.00</t>
  </si>
  <si>
    <t>CENTIMETER</t>
  </si>
  <si>
    <t>P.STEVEN G</t>
  </si>
  <si>
    <t>DAYS SBY</t>
  </si>
  <si>
    <t>21.30-22.30</t>
  </si>
  <si>
    <t>BENHIL SDA</t>
  </si>
  <si>
    <t>13.00-14.00</t>
  </si>
  <si>
    <t>DEMAND JS</t>
  </si>
  <si>
    <t>ISTANA D</t>
  </si>
  <si>
    <t>ANEKA JASUMA</t>
  </si>
  <si>
    <t>SAISHO GWLAK</t>
  </si>
  <si>
    <t>21:30-22:30</t>
  </si>
  <si>
    <t xml:space="preserve">SENIN </t>
  </si>
  <si>
    <t xml:space="preserve">RABU </t>
  </si>
  <si>
    <t xml:space="preserve">MINGGU </t>
  </si>
  <si>
    <t>CENTRAL AUTO P</t>
  </si>
  <si>
    <t xml:space="preserve">ICHIKAWA </t>
  </si>
  <si>
    <t>10.00-11.00</t>
  </si>
  <si>
    <t>06.30-07.30</t>
  </si>
  <si>
    <t>PRAMITA</t>
  </si>
  <si>
    <t>GKI</t>
  </si>
  <si>
    <t>INST</t>
  </si>
  <si>
    <t>SHELL WS</t>
  </si>
  <si>
    <t>22.00-23.00</t>
  </si>
  <si>
    <t>HAVANA SDA</t>
  </si>
  <si>
    <t>SHUYI GM</t>
  </si>
  <si>
    <t xml:space="preserve">OFFICE SNC </t>
  </si>
  <si>
    <t>17.00-18.00</t>
  </si>
  <si>
    <t>SHUYI CWS</t>
  </si>
  <si>
    <t>15.00-16.30</t>
  </si>
  <si>
    <t>21.00-22.30</t>
  </si>
  <si>
    <t>HONEY POK C</t>
  </si>
  <si>
    <t>:ABU SAMSUDIN</t>
  </si>
  <si>
    <t xml:space="preserve"> ING</t>
  </si>
  <si>
    <t>Mr.LEE</t>
  </si>
  <si>
    <t>DRAGON HP TP</t>
  </si>
  <si>
    <t>KOKKILI CAFE</t>
  </si>
  <si>
    <t>TANA TI</t>
  </si>
  <si>
    <t>AYAM RAJWANI</t>
  </si>
  <si>
    <t>FEEL MATCHA TP</t>
  </si>
  <si>
    <t>PAK.ALEX</t>
  </si>
  <si>
    <t>PLATINUM PADEL</t>
  </si>
  <si>
    <t>PAK.MARIO</t>
  </si>
  <si>
    <t>ACAII TP</t>
  </si>
  <si>
    <t>05.00-06.00</t>
  </si>
  <si>
    <t>JOY LEARNING</t>
  </si>
  <si>
    <t xml:space="preserve">CUTI </t>
  </si>
  <si>
    <t>SOGO RC</t>
  </si>
  <si>
    <t>19.00-20.00</t>
  </si>
  <si>
    <t xml:space="preserve">PELABUHAN </t>
  </si>
  <si>
    <t>EURO CHAIR</t>
  </si>
  <si>
    <t>SOGO</t>
  </si>
  <si>
    <t>AYAM BERKAT</t>
  </si>
  <si>
    <t>16.30-19.00</t>
  </si>
  <si>
    <t>STEAK WITH U</t>
  </si>
  <si>
    <t>NICi PM 2 G</t>
  </si>
  <si>
    <t>21.00-21.30</t>
  </si>
  <si>
    <t>NICI PTC OP</t>
  </si>
  <si>
    <t>22.00.23.00</t>
  </si>
  <si>
    <t>TONG TJI MJK</t>
  </si>
  <si>
    <t>MST</t>
  </si>
  <si>
    <t>SAISHO TIER</t>
  </si>
  <si>
    <t>20.00-21.00</t>
  </si>
  <si>
    <t>GUILIN R</t>
  </si>
  <si>
    <t>21.00-24.00</t>
  </si>
  <si>
    <t>TM GRAHA</t>
  </si>
  <si>
    <t>03.30-05.00</t>
  </si>
  <si>
    <t>KAYAROMA PTC</t>
  </si>
  <si>
    <t xml:space="preserve">ASIONG MEDAN </t>
  </si>
  <si>
    <t xml:space="preserve">NASI TEMPONG BU INDAH </t>
  </si>
  <si>
    <t>Bu Elly N BDG</t>
  </si>
  <si>
    <t>Bu Elly N DI</t>
  </si>
  <si>
    <t>21.00-23.00</t>
  </si>
  <si>
    <t xml:space="preserve">11.30-12.30 </t>
  </si>
  <si>
    <t>17.00-19.30</t>
  </si>
  <si>
    <t>Teknisi</t>
  </si>
  <si>
    <t>: ANANDA AS</t>
  </si>
  <si>
    <t xml:space="preserve">FAHMI </t>
  </si>
  <si>
    <t xml:space="preserve"> JAM</t>
  </si>
  <si>
    <t>AADK BANDUNGAN</t>
  </si>
  <si>
    <t>AADK MUL</t>
  </si>
  <si>
    <t>AADK TELOGOMAS</t>
  </si>
  <si>
    <t>PASAR KITA</t>
  </si>
  <si>
    <t>ACAII</t>
  </si>
  <si>
    <t>ASINAN TP</t>
  </si>
  <si>
    <t>GF KALUTA</t>
  </si>
  <si>
    <t>BEATUS</t>
  </si>
  <si>
    <t>GF SUHAT</t>
  </si>
  <si>
    <t>BU AMELIA</t>
  </si>
  <si>
    <t>CKP MEER</t>
  </si>
  <si>
    <t>GRAHA CBA</t>
  </si>
  <si>
    <t>PT.SMB</t>
  </si>
  <si>
    <t>08.00-12.00</t>
  </si>
  <si>
    <t>09.00-11.00</t>
  </si>
  <si>
    <t>BU GLADYS</t>
  </si>
  <si>
    <t>RJS</t>
  </si>
  <si>
    <t>PT SEGAR</t>
  </si>
  <si>
    <t>12.30-14.00</t>
  </si>
  <si>
    <t>HACHIYA</t>
  </si>
  <si>
    <t>BU ADELINE H</t>
  </si>
  <si>
    <t>STEPHANIE DH</t>
  </si>
  <si>
    <t>KYUKA R</t>
  </si>
  <si>
    <t>22.00-23.30</t>
  </si>
  <si>
    <t xml:space="preserve">KAMI GOHAN </t>
  </si>
  <si>
    <t>14.30-15.30</t>
  </si>
  <si>
    <t>KEDAI BUBU</t>
  </si>
  <si>
    <t>SHELL MARG</t>
  </si>
  <si>
    <t>23.00-00.00</t>
  </si>
  <si>
    <t>00.00-01.00</t>
  </si>
  <si>
    <t>HAVANNA JS</t>
  </si>
  <si>
    <t>KAMI GOHAN</t>
  </si>
  <si>
    <t>KEDAI BUBU H</t>
  </si>
  <si>
    <t>CUTI</t>
  </si>
  <si>
    <t>TONG TJIE R</t>
  </si>
  <si>
    <t>BU SASA WK</t>
  </si>
  <si>
    <t xml:space="preserve"> bb</t>
  </si>
  <si>
    <t>: MAHRUS</t>
  </si>
  <si>
    <t xml:space="preserve">:FAHMI </t>
  </si>
  <si>
    <t xml:space="preserve">  </t>
  </si>
  <si>
    <t>JAM</t>
  </si>
  <si>
    <t>AHYAT</t>
  </si>
  <si>
    <t>AMARIS EM</t>
  </si>
  <si>
    <t>B.GRACE</t>
  </si>
  <si>
    <t>BU.DIANA</t>
  </si>
  <si>
    <t>BU.LYLA</t>
  </si>
  <si>
    <t>BU.PUSPA</t>
  </si>
  <si>
    <t>CV KARINA</t>
  </si>
  <si>
    <t>HIGA BOX</t>
  </si>
  <si>
    <t>KOPI 3 AWANG</t>
  </si>
  <si>
    <t>14.00-18.00</t>
  </si>
  <si>
    <t>G. PAKUWON</t>
  </si>
  <si>
    <t>09.00-13.00</t>
  </si>
  <si>
    <t>16.00-18.00</t>
  </si>
  <si>
    <t>XL MEDIA</t>
  </si>
  <si>
    <t>TOKO KOPI</t>
  </si>
  <si>
    <t>KOPI 3 SAWAH</t>
  </si>
  <si>
    <t>MEDICELLE</t>
  </si>
  <si>
    <t>19.00-22.00</t>
  </si>
  <si>
    <t>DHDC</t>
  </si>
  <si>
    <t>PT.MING</t>
  </si>
  <si>
    <t>20.00-22.00</t>
  </si>
  <si>
    <t>SHELL MER</t>
  </si>
  <si>
    <t>WARE.H TM</t>
  </si>
  <si>
    <t>R M P</t>
  </si>
  <si>
    <t>20.00-23.00</t>
  </si>
  <si>
    <t>GYOPO PIZZA</t>
  </si>
  <si>
    <t>HAVANA</t>
  </si>
  <si>
    <t>KUWEH</t>
  </si>
  <si>
    <t>SAISHO PEM</t>
  </si>
  <si>
    <t>07.00-08.00</t>
  </si>
  <si>
    <t>KWANG T WAS</t>
  </si>
  <si>
    <t>PT.SURYA T.L</t>
  </si>
  <si>
    <t>17.00-19.00</t>
  </si>
  <si>
    <t>22.30-24.30</t>
  </si>
  <si>
    <t>WALLET</t>
  </si>
  <si>
    <t>PAK NIXON</t>
  </si>
  <si>
    <t>20.30-21.30</t>
  </si>
  <si>
    <t>24.00-02.00</t>
  </si>
  <si>
    <t>PT.PAKAL</t>
  </si>
  <si>
    <t>: ADAM</t>
  </si>
  <si>
    <t>88 EK</t>
  </si>
  <si>
    <t>AIO</t>
  </si>
  <si>
    <t>ASINAN GM</t>
  </si>
  <si>
    <t>BU LIE ING</t>
  </si>
  <si>
    <t>GOODFELLAS K</t>
  </si>
  <si>
    <t>BU.LILY</t>
  </si>
  <si>
    <t>KAWAN SEDUH</t>
  </si>
  <si>
    <t>MOOS CAFE</t>
  </si>
  <si>
    <t>DAYS DH</t>
  </si>
  <si>
    <t>18.00-20.00</t>
  </si>
  <si>
    <t>CIKAL</t>
  </si>
  <si>
    <t>15.00-18.00</t>
  </si>
  <si>
    <t>PAK DANIEL</t>
  </si>
  <si>
    <t>COMMOND G</t>
  </si>
  <si>
    <t>PAK REGGY</t>
  </si>
  <si>
    <t>TONG TJIE PTC</t>
  </si>
  <si>
    <t>TONG JI SILOAM</t>
  </si>
  <si>
    <t>PHOBABA GM</t>
  </si>
  <si>
    <t>DERM BEAUTY</t>
  </si>
  <si>
    <t>DRAGON H P</t>
  </si>
  <si>
    <t>OFFICE HCI</t>
  </si>
  <si>
    <t>06.30-08.00</t>
  </si>
  <si>
    <t>OKINAWA PM</t>
  </si>
  <si>
    <t>TAEYUNGSUNG</t>
  </si>
  <si>
    <t>PAK PETER</t>
  </si>
  <si>
    <t>SHELL VET</t>
  </si>
  <si>
    <t>PAK RONNY</t>
  </si>
  <si>
    <t>23.00-24.30</t>
  </si>
  <si>
    <t>21.30-23.00</t>
  </si>
  <si>
    <t>: ANDIK</t>
  </si>
  <si>
    <t>FAHMI</t>
  </si>
  <si>
    <t>BU FRANS</t>
  </si>
  <si>
    <t>CV.MANNA</t>
  </si>
  <si>
    <t>ALURA</t>
  </si>
  <si>
    <t>VOILA21</t>
  </si>
  <si>
    <t>SUJI PM</t>
  </si>
  <si>
    <t>VOILA.ID</t>
  </si>
  <si>
    <t>VERT</t>
  </si>
  <si>
    <t>23.30-24.30</t>
  </si>
  <si>
    <t>88 EM</t>
  </si>
  <si>
    <t>BU RINI</t>
  </si>
  <si>
    <t>BU ELLY</t>
  </si>
  <si>
    <t>11.30-12.30</t>
  </si>
  <si>
    <t>PT.BISI</t>
  </si>
  <si>
    <t>SUTRACO. B</t>
  </si>
  <si>
    <t>TOKO KOPI JS</t>
  </si>
  <si>
    <t>22.30-24.00</t>
  </si>
  <si>
    <t>P.HENGKY</t>
  </si>
  <si>
    <t>PT.BISI MOJO</t>
  </si>
  <si>
    <t>13.00-16.00</t>
  </si>
  <si>
    <t>SUTRACO M-P</t>
  </si>
  <si>
    <t xml:space="preserve">PT HASKARA </t>
  </si>
  <si>
    <t>S-IN</t>
  </si>
  <si>
    <t>S. HANDOYO</t>
  </si>
  <si>
    <t>HIGA AE</t>
  </si>
  <si>
    <t>HONEY POK</t>
  </si>
  <si>
    <t>P.VICTOR</t>
  </si>
  <si>
    <t>07.30-09.00</t>
  </si>
  <si>
    <t>PAK FERNANDO</t>
  </si>
  <si>
    <t>PAK WINANDA</t>
  </si>
  <si>
    <t>13.30-14.30</t>
  </si>
  <si>
    <t>PT HASKARA</t>
  </si>
  <si>
    <t>PAK HENDRA</t>
  </si>
  <si>
    <t>SUTRACO. L</t>
  </si>
  <si>
    <t>TANAMERA TRUN</t>
  </si>
  <si>
    <t>23.30-01.00</t>
  </si>
  <si>
    <t xml:space="preserve">PAK DANIEL </t>
  </si>
  <si>
    <t>LUCKY</t>
  </si>
  <si>
    <t xml:space="preserve">RAHUL </t>
  </si>
  <si>
    <t xml:space="preserve">PRC </t>
  </si>
  <si>
    <t>7 DERMAGA S</t>
  </si>
  <si>
    <t>B. YENY</t>
  </si>
  <si>
    <t>SANTIKA</t>
  </si>
  <si>
    <t>08.00-11.00</t>
  </si>
  <si>
    <t>TRISTAR</t>
  </si>
  <si>
    <t>BDG</t>
  </si>
  <si>
    <t>FEEL MATCHA WH</t>
  </si>
  <si>
    <t>PAK DANNY</t>
  </si>
  <si>
    <t>PAK MECHAEL</t>
  </si>
  <si>
    <t>TTD</t>
  </si>
  <si>
    <t>BU EDDY</t>
  </si>
  <si>
    <t>SAISHO PTC</t>
  </si>
  <si>
    <t>15.00-19.00</t>
  </si>
  <si>
    <t>DUTA BAYU</t>
  </si>
  <si>
    <t>PAK EVAN</t>
  </si>
  <si>
    <t>23.30-01.30</t>
  </si>
  <si>
    <t>23.00-01.00</t>
  </si>
  <si>
    <t>SON GA</t>
  </si>
  <si>
    <t>CV. ANDALAN SK</t>
  </si>
  <si>
    <t>HAVANA CIT</t>
  </si>
  <si>
    <t>P. STEVEN</t>
  </si>
  <si>
    <t>PAK AWI</t>
  </si>
  <si>
    <t>XIO XIANG PTC</t>
  </si>
  <si>
    <t>21,00-22,00</t>
  </si>
  <si>
    <t>PAK GEORGE</t>
  </si>
  <si>
    <t>PHOBABA PM</t>
  </si>
  <si>
    <t>22.15-23.15</t>
  </si>
  <si>
    <t>PAK.WISNU</t>
  </si>
  <si>
    <t>02.00-04.00</t>
  </si>
  <si>
    <t>MAULANA</t>
  </si>
  <si>
    <t>BU VICA</t>
  </si>
  <si>
    <t xml:space="preserve">PAK HERI </t>
  </si>
  <si>
    <t>SPPG</t>
  </si>
  <si>
    <t>TONG JIE PCM</t>
  </si>
  <si>
    <t>BOBBIE BURGER</t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</si>
  <si>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</si>
  <si>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t xml:space="preserve">TRISTAR </t>
  </si>
  <si>
    <t>HONEY P TMR</t>
  </si>
  <si>
    <t>BAGI KOPI</t>
  </si>
  <si>
    <t>MIST</t>
  </si>
  <si>
    <t>STEP KIDS</t>
  </si>
  <si>
    <t>14.00-16.00</t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</si>
  <si>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</si>
  <si>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t>KOPI 3 CIT</t>
  </si>
  <si>
    <t>NAUNG GROUP</t>
  </si>
  <si>
    <t>KAWAI</t>
  </si>
  <si>
    <t>17.30-18.30</t>
  </si>
  <si>
    <t>PHOBABA PCM</t>
  </si>
  <si>
    <t>ALBA</t>
  </si>
  <si>
    <t xml:space="preserve">PC </t>
  </si>
  <si>
    <t>HONEY POK CWS</t>
  </si>
  <si>
    <t>TONGJIE TP OP</t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</si>
  <si>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</si>
  <si>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r>
      <rPr>
        <rFont val="Times New Roman"/>
        <b/>
        <color theme="1"/>
        <sz val="11.0"/>
      </rPr>
      <t xml:space="preserve">TONGJIE TP </t>
    </r>
    <r>
      <rPr>
        <rFont val="Times New Roman"/>
        <b/>
        <color theme="1"/>
        <sz val="11.0"/>
      </rPr>
      <t>OP</t>
    </r>
  </si>
  <si>
    <t>TOFFIN SBY</t>
  </si>
  <si>
    <r>
      <rPr>
        <rFont val="Times New Roman"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</si>
  <si>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</si>
  <si>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r>
      <rPr>
        <rFont val="Times New Roman"/>
        <b/>
        <color theme="1"/>
        <sz val="11.0"/>
      </rPr>
      <t xml:space="preserve">TONGJIE TP </t>
    </r>
    <r>
      <rPr>
        <rFont val="Times New Roman"/>
        <b/>
        <color theme="1"/>
        <sz val="11.0"/>
      </rPr>
      <t>OT</t>
    </r>
  </si>
  <si>
    <r>
      <rPr>
        <rFont val="Times New Roman"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</si>
  <si>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t>DELIMA BAKERY</t>
  </si>
  <si>
    <t>16.30-17.30</t>
  </si>
  <si>
    <t>OFFICE KJJ</t>
  </si>
  <si>
    <t>08.00-09.30</t>
  </si>
  <si>
    <t>BU INGGRIT</t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</si>
  <si>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</si>
  <si>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t xml:space="preserve">RUMDIS JEPANG </t>
  </si>
  <si>
    <t>12.30-13.30</t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</si>
  <si>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</si>
  <si>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</si>
  <si>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</si>
  <si>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r>
      <rPr>
        <rFont val="Times New Roman"/>
        <b/>
        <color theme="1"/>
        <sz val="11.0"/>
      </rPr>
      <t xml:space="preserve">TONGJIE TP </t>
    </r>
    <r>
      <rPr>
        <rFont val="Times New Roman"/>
        <b/>
        <color theme="1"/>
        <sz val="11.0"/>
      </rPr>
      <t>OP</t>
    </r>
  </si>
  <si>
    <r>
      <rPr>
        <rFont val="Times New Roman"/>
        <b/>
        <color theme="1"/>
        <sz val="11.0"/>
      </rPr>
      <t xml:space="preserve">TONGJIE TP </t>
    </r>
    <r>
      <rPr>
        <rFont val="Times New Roman"/>
        <b/>
        <color theme="1"/>
        <sz val="11.0"/>
      </rPr>
      <t>OT</t>
    </r>
  </si>
  <si>
    <t>GT</t>
  </si>
  <si>
    <t>FATHUR</t>
  </si>
  <si>
    <t xml:space="preserve">TP </t>
  </si>
  <si>
    <t>07.00-15.00</t>
  </si>
  <si>
    <t>15.00-23.00</t>
  </si>
  <si>
    <t>PCM</t>
  </si>
  <si>
    <t>PTC</t>
  </si>
  <si>
    <t>PM</t>
  </si>
  <si>
    <t>TP</t>
  </si>
  <si>
    <t xml:space="preserve">PCM </t>
  </si>
  <si>
    <t>SUPP</t>
  </si>
  <si>
    <t>IMAM</t>
  </si>
  <si>
    <t>Vasa</t>
  </si>
  <si>
    <t>23.00-03.00</t>
  </si>
  <si>
    <t xml:space="preserve">         </t>
  </si>
  <si>
    <t>ARGA</t>
  </si>
  <si>
    <t>VASA</t>
  </si>
  <si>
    <t>08.00-16.00</t>
  </si>
  <si>
    <t>HOME GROUND PADEL</t>
  </si>
  <si>
    <t>JP</t>
  </si>
  <si>
    <t>22.00-02.00</t>
  </si>
  <si>
    <t>11.00-19.00</t>
  </si>
  <si>
    <t>ALMA</t>
  </si>
  <si>
    <t>02.00-03.00</t>
  </si>
  <si>
    <t>22.00-04.00</t>
  </si>
  <si>
    <t xml:space="preserve">PM </t>
  </si>
  <si>
    <t>RENDY</t>
  </si>
  <si>
    <t>JADWAL TEKNISI BULAN APRIL 2026</t>
  </si>
  <si>
    <t>07.00-10.00</t>
  </si>
  <si>
    <t>EL GRANDE</t>
  </si>
  <si>
    <t>GRAHA PADEL</t>
  </si>
  <si>
    <t>SUPRAMA</t>
  </si>
  <si>
    <t>ISNT</t>
  </si>
  <si>
    <t>TUBAN I</t>
  </si>
  <si>
    <t>BRAVO BJN</t>
  </si>
  <si>
    <t>BRAVO CEPU</t>
  </si>
  <si>
    <t>TUBAN II</t>
  </si>
  <si>
    <t>ALLOHAUS PADEL</t>
  </si>
  <si>
    <t xml:space="preserve">    </t>
  </si>
  <si>
    <t>GILANG</t>
  </si>
  <si>
    <t xml:space="preserve">   </t>
  </si>
  <si>
    <t>JADWAL TEKNISI STAY
AREA PAKUWON JOGJA &amp; SOLO</t>
  </si>
  <si>
    <t>NOTE</t>
  </si>
  <si>
    <t>NO</t>
  </si>
  <si>
    <t>NAMA</t>
  </si>
  <si>
    <t>J</t>
  </si>
  <si>
    <t>S</t>
  </si>
  <si>
    <t>M</t>
  </si>
  <si>
    <t>R</t>
  </si>
  <si>
    <t>K</t>
  </si>
  <si>
    <t>DANI J</t>
  </si>
  <si>
    <t>P</t>
  </si>
  <si>
    <t>X</t>
  </si>
  <si>
    <t>FG</t>
  </si>
  <si>
    <t>REZA</t>
  </si>
  <si>
    <t>PS</t>
  </si>
  <si>
    <t>RISKY</t>
  </si>
  <si>
    <t>PAGI</t>
  </si>
  <si>
    <t>SIANG</t>
  </si>
  <si>
    <t>KETERANGAN</t>
  </si>
  <si>
    <t>Service Tecnician</t>
  </si>
  <si>
    <t>: PAGI ( 05.30-14.00 )</t>
  </si>
  <si>
    <t xml:space="preserve">RISKI </t>
  </si>
  <si>
    <t>DANI</t>
  </si>
  <si>
    <t>: SORE ( 14.30-23.00 )</t>
  </si>
  <si>
    <t>: JADWAL SEWAKTU-WAKTU DAPAT BERUBAH JIKA ADA TREATMENT TAMBAHAN DAN DALAM KEADAAN URGENT</t>
  </si>
  <si>
    <t>: UNTUK PELAKSANAAN GENERAL TREATMENT TETAP ADA PERBANTUAN SELAIN TEKNISI STAY</t>
  </si>
  <si>
    <t>SNC TEAM</t>
  </si>
  <si>
    <t>Surabaya, 22 Februari 2026</t>
  </si>
  <si>
    <t>Di buat</t>
  </si>
  <si>
    <t>Mengetahui</t>
  </si>
  <si>
    <t>Menyetujui</t>
  </si>
  <si>
    <t>Penanggung Jawab</t>
  </si>
  <si>
    <t xml:space="preserve">Fahmi Idris M.A </t>
  </si>
  <si>
    <t>Alexander Laurenzy</t>
  </si>
  <si>
    <t>081334227988</t>
  </si>
  <si>
    <t xml:space="preserve">Awita </t>
  </si>
  <si>
    <t xml:space="preserve">Regional Supervisor </t>
  </si>
  <si>
    <t>Area Manager</t>
  </si>
  <si>
    <t>Housekeeping</t>
  </si>
  <si>
    <t>JADWAL TEKNISI STAY
AREA PAKUWON  SOLO</t>
  </si>
  <si>
    <t>ADAM</t>
  </si>
  <si>
    <t>DANI S</t>
  </si>
  <si>
    <t>: PAGI ( 06.30-15.00 )</t>
  </si>
  <si>
    <t xml:space="preserve">DANI.S </t>
  </si>
  <si>
    <t>ST</t>
  </si>
  <si>
    <t xml:space="preserve">: SPLIT </t>
  </si>
  <si>
    <t>: SPLIT (06.30-11.00-21.00-24.00) (GT)</t>
  </si>
  <si>
    <t>Surabaya, 01 Mei 2026</t>
  </si>
  <si>
    <t xml:space="preserve"> Supervisor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</si>
</sst>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"/>
    <numFmt numFmtId="165" formatCode="_([$IDR]\ * #,##0.00_);_([$IDR]\ * \(#,##0.00\);_([$IDR]\ * &quot;-&quot;??_);_(@_)"/>
    <numFmt numFmtId="166" formatCode="_-[$IDR]\ * #,##0.00_-;\-[$IDR]\ * #,##0.00_-;_-[$IDR]\ * &quot;-&quot;??_-;_-@"/>
    <numFmt numFmtId="167" formatCode="mmmm\ yyyy"/>
  </numFmts>
  <fonts count="46">
    <font>
      <sz val="11.0"/>
      <color theme="1"/>
      <name val="Calibri"/>
      <scheme val="minor"/>
    </font>
    <font>
      <b/>
      <color rgb="FF000000"/>
      <name val="Times New Roman"/>
    </font>
    <font>
      <b/>
      <sz val="10.0"/>
      <color rgb="FF000000"/>
      <name val="Times New Roman"/>
    </font>
    <font>
      <b/>
      <sz val="18.0"/>
      <color rgb="FF000000"/>
      <name val="Times New Roman"/>
    </font>
    <font>
      <color theme="1"/>
      <name val="Calibri"/>
    </font>
    <font>
      <b/>
      <sz val="11.0"/>
      <color theme="1"/>
      <name val="Times New Roman"/>
    </font>
    <font>
      <b/>
      <sz val="10.0"/>
      <color theme="1"/>
      <name val="Times New Roman"/>
    </font>
    <font/>
    <font>
      <b/>
      <sz val="11.0"/>
      <color rgb="FFFF0000"/>
      <name val="Times New Roman"/>
    </font>
    <font>
      <b/>
      <sz val="11.0"/>
      <color rgb="FFFFFF00"/>
      <name val="Times New Roman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Times New Roman"/>
    </font>
    <font>
      <b/>
      <sz val="11.0"/>
      <color rgb="FF000000"/>
      <name val="Times New Roman"/>
    </font>
    <font>
      <b/>
      <sz val="18.0"/>
      <color rgb="FF000000"/>
      <name val="Tahoma"/>
    </font>
    <font>
      <b/>
      <sz val="8.0"/>
      <color theme="1"/>
      <name val="Tahoma"/>
    </font>
    <font>
      <sz val="8.0"/>
      <color rgb="FF000000"/>
      <name val="Tahoma"/>
    </font>
    <font>
      <b/>
      <color theme="1"/>
      <name val="Calibri"/>
    </font>
    <font>
      <color theme="1"/>
      <name val="Times New Roman"/>
    </font>
    <font>
      <sz val="11.0"/>
      <color rgb="FF000000"/>
      <name val="Times New Roman"/>
    </font>
    <font>
      <sz val="12.0"/>
      <color rgb="FF000000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b/>
      <color theme="1"/>
      <name val="Times New Roman"/>
    </font>
    <font>
      <b/>
      <sz val="11.0"/>
      <color theme="1"/>
      <name val="Calibri"/>
    </font>
    <font>
      <b/>
      <sz val="8.0"/>
      <color theme="1"/>
      <name val="Times New Roman"/>
    </font>
    <font>
      <sz val="11.0"/>
      <color theme="1"/>
      <name val="Arial"/>
    </font>
    <font>
      <sz val="11.0"/>
      <color rgb="FF000000"/>
      <name val="Calibri"/>
    </font>
    <font>
      <b/>
      <color theme="1"/>
      <name val="Calibri"/>
      <scheme val="minor"/>
    </font>
    <font>
      <b/>
      <sz val="12.0"/>
      <color rgb="FF000000"/>
      <name val="Times New Roman"/>
    </font>
    <font>
      <sz val="18.0"/>
      <color rgb="FF000000"/>
      <name val="Times New Roman"/>
    </font>
    <font>
      <sz val="18.0"/>
      <color rgb="FF000000"/>
      <name val="Tahoma"/>
    </font>
    <font>
      <sz val="8.0"/>
      <color theme="1"/>
      <name val="Tahoma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Times New Roman"/>
    </font>
    <font>
      <b/>
      <u/>
      <sz val="11.0"/>
      <color rgb="FF000000"/>
      <name val="Times New Roman"/>
    </font>
    <font>
      <sz val="12.0"/>
      <color theme="1"/>
      <name val="Calibri"/>
    </font>
    <font>
      <b/>
      <sz val="11.0"/>
      <color rgb="FF0000FF"/>
      <name val="Times New Roman"/>
    </font>
    <font>
      <sz val="11.0"/>
      <color rgb="FFFF0000"/>
      <name val="Calibri"/>
    </font>
    <font>
      <color theme="1"/>
      <name val="Arial"/>
    </font>
    <font>
      <b/>
      <sz val="14.0"/>
      <color theme="1"/>
      <name val="Times New Roman"/>
    </font>
    <font>
      <b/>
      <sz val="13.0"/>
      <color theme="1"/>
      <name val="Times New Roman"/>
    </font>
    <font>
      <b/>
      <sz val="12.0"/>
      <color rgb="FFFF0000"/>
      <name val="Times New Roman"/>
    </font>
    <font>
      <b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4AE83"/>
        <bgColor rgb="FFF4AE83"/>
      </patternFill>
    </fill>
    <fill>
      <patternFill patternType="solid">
        <fgColor rgb="FFFFC000"/>
        <bgColor rgb="FFFFC000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</fills>
  <borders count="5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8EA9DB"/>
      </left>
      <top style="thin">
        <color rgb="FF8EA9DB"/>
      </top>
    </border>
    <border>
      <top style="thin">
        <color rgb="FF8EA9DB"/>
      </top>
    </border>
    <border>
      <right style="thin">
        <color rgb="FF8EA9DB"/>
      </right>
      <top style="thin">
        <color rgb="FF8EA9DB"/>
      </top>
    </border>
    <border>
      <bottom style="medium">
        <color rgb="FF000000"/>
      </bottom>
    </border>
    <border>
      <left style="thin">
        <color rgb="FF8EA9DB"/>
      </left>
      <bottom style="thin">
        <color rgb="FF8EA9D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thin">
        <color rgb="FF8EA9DB"/>
      </right>
      <bottom style="thin">
        <color rgb="FF8EA9DB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top/>
    </border>
    <border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double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bottom"/>
    </xf>
    <xf borderId="2" fillId="0" fontId="7" numFmtId="0" xfId="0" applyBorder="1" applyFont="1"/>
    <xf borderId="3" fillId="0" fontId="7" numFmtId="0" xfId="0" applyBorder="1" applyFont="1"/>
    <xf borderId="1" fillId="2" fontId="8" numFmtId="0" xfId="0" applyAlignment="1" applyBorder="1" applyFont="1">
      <alignment horizontal="center" vertical="bottom"/>
    </xf>
    <xf borderId="1" fillId="2" fontId="9" numFmtId="164" xfId="0" applyAlignment="1" applyBorder="1" applyFont="1" applyNumberFormat="1">
      <alignment horizontal="center" vertical="bottom"/>
    </xf>
    <xf borderId="1" fillId="2" fontId="5" numFmtId="164" xfId="0" applyAlignment="1" applyBorder="1" applyFont="1" applyNumberFormat="1">
      <alignment horizontal="center" vertical="bottom"/>
    </xf>
    <xf borderId="1" fillId="2" fontId="8" numFmtId="164" xfId="0" applyAlignment="1" applyBorder="1" applyFont="1" applyNumberFormat="1">
      <alignment horizontal="center" readingOrder="0" vertical="bottom"/>
    </xf>
    <xf borderId="1" fillId="2" fontId="8" numFmtId="164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vertical="bottom"/>
    </xf>
    <xf borderId="4" fillId="3" fontId="10" numFmtId="0" xfId="0" applyAlignment="1" applyBorder="1" applyFill="1" applyFont="1">
      <alignment vertical="bottom"/>
    </xf>
    <xf borderId="4" fillId="0" fontId="5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5" numFmtId="0" xfId="0" applyBorder="1" applyFont="1"/>
    <xf borderId="4" fillId="0" fontId="11" numFmtId="0" xfId="0" applyBorder="1" applyFont="1"/>
    <xf borderId="1" fillId="4" fontId="5" numFmtId="0" xfId="0" applyAlignment="1" applyBorder="1" applyFill="1" applyFont="1">
      <alignment horizontal="center" vertical="center"/>
    </xf>
    <xf borderId="5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4" fillId="0" fontId="13" numFmtId="0" xfId="0" applyAlignment="1" applyBorder="1" applyFont="1">
      <alignment vertical="bottom"/>
    </xf>
    <xf borderId="7" fillId="0" fontId="10" numFmtId="0" xfId="0" applyAlignment="1" applyBorder="1" applyFont="1">
      <alignment horizontal="center" vertical="bottom"/>
    </xf>
    <xf borderId="4" fillId="3" fontId="5" numFmtId="0" xfId="0" applyAlignment="1" applyBorder="1" applyFont="1">
      <alignment vertical="bottom"/>
    </xf>
    <xf borderId="1" fillId="5" fontId="5" numFmtId="0" xfId="0" applyAlignment="1" applyBorder="1" applyFill="1" applyFont="1">
      <alignment horizontal="center" vertical="bottom"/>
    </xf>
    <xf borderId="1" fillId="5" fontId="14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1" fillId="5" fontId="8" numFmtId="164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vertical="center"/>
    </xf>
    <xf borderId="4" fillId="0" fontId="10" numFmtId="164" xfId="0" applyAlignment="1" applyBorder="1" applyFont="1" applyNumberFormat="1">
      <alignment vertical="bottom"/>
    </xf>
    <xf borderId="4" fillId="0" fontId="5" numFmtId="0" xfId="0" applyAlignment="1" applyBorder="1" applyFont="1">
      <alignment readingOrder="0" vertical="bottom"/>
    </xf>
    <xf borderId="4" fillId="3" fontId="5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bottom"/>
    </xf>
    <xf borderId="4" fillId="6" fontId="5" numFmtId="164" xfId="0" applyAlignment="1" applyBorder="1" applyFill="1" applyFont="1" applyNumberFormat="1">
      <alignment vertical="bottom"/>
    </xf>
    <xf borderId="4" fillId="6" fontId="5" numFmtId="0" xfId="0" applyAlignment="1" applyBorder="1" applyFont="1">
      <alignment vertical="bottom"/>
    </xf>
    <xf borderId="4" fillId="3" fontId="13" numFmtId="0" xfId="0" applyAlignment="1" applyBorder="1" applyFont="1">
      <alignment vertical="bottom"/>
    </xf>
    <xf borderId="8" fillId="0" fontId="5" numFmtId="0" xfId="0" applyAlignment="1" applyBorder="1" applyFont="1">
      <alignment vertical="center"/>
    </xf>
    <xf borderId="4" fillId="3" fontId="5" numFmtId="164" xfId="0" applyAlignment="1" applyBorder="1" applyFont="1" applyNumberFormat="1">
      <alignment vertical="bottom"/>
    </xf>
    <xf borderId="9" fillId="0" fontId="7" numFmtId="0" xfId="0" applyBorder="1" applyFont="1"/>
    <xf borderId="10" fillId="0" fontId="7" numFmtId="0" xfId="0" applyBorder="1" applyFont="1"/>
    <xf borderId="1" fillId="7" fontId="5" numFmtId="164" xfId="0" applyAlignment="1" applyBorder="1" applyFill="1" applyFont="1" applyNumberFormat="1">
      <alignment horizontal="center" vertical="bottom"/>
    </xf>
    <xf borderId="4" fillId="8" fontId="5" numFmtId="0" xfId="0" applyAlignment="1" applyBorder="1" applyFill="1" applyFont="1">
      <alignment vertical="bottom"/>
    </xf>
    <xf borderId="8" fillId="8" fontId="5" numFmtId="0" xfId="0" applyAlignment="1" applyBorder="1" applyFont="1">
      <alignment vertical="center"/>
    </xf>
    <xf borderId="4" fillId="3" fontId="5" numFmtId="0" xfId="0" applyAlignment="1" applyBorder="1" applyFont="1">
      <alignment readingOrder="0" vertical="center"/>
    </xf>
    <xf borderId="4" fillId="3" fontId="5" numFmtId="0" xfId="0" applyAlignment="1" applyBorder="1" applyFont="1">
      <alignment readingOrder="0" vertical="bottom"/>
    </xf>
    <xf borderId="6" fillId="0" fontId="10" numFmtId="0" xfId="0" applyAlignment="1" applyBorder="1" applyFont="1">
      <alignment horizontal="center" vertical="bottom"/>
    </xf>
    <xf borderId="6" fillId="0" fontId="5" numFmtId="0" xfId="0" applyAlignment="1" applyBorder="1" applyFont="1">
      <alignment shrinkToFit="0" wrapText="0"/>
    </xf>
    <xf borderId="6" fillId="0" fontId="5" numFmtId="0" xfId="0" applyAlignment="1" applyBorder="1" applyFont="1">
      <alignment vertical="bottom"/>
    </xf>
    <xf borderId="4" fillId="8" fontId="5" numFmtId="164" xfId="0" applyAlignment="1" applyBorder="1" applyFont="1" applyNumberFormat="1">
      <alignment vertical="bottom"/>
    </xf>
    <xf borderId="1" fillId="7" fontId="8" numFmtId="164" xfId="0" applyAlignment="1" applyBorder="1" applyFont="1" applyNumberFormat="1">
      <alignment horizontal="center" vertical="bottom"/>
    </xf>
    <xf borderId="0" fillId="0" fontId="13" numFmtId="0" xfId="0" applyAlignment="1" applyFont="1">
      <alignment horizontal="left" vertical="top"/>
    </xf>
    <xf borderId="0" fillId="0" fontId="6" numFmtId="165" xfId="0" applyAlignment="1" applyFont="1" applyNumberFormat="1">
      <alignment horizontal="center"/>
    </xf>
    <xf borderId="11" fillId="4" fontId="4" numFmtId="0" xfId="0" applyBorder="1" applyFont="1"/>
    <xf borderId="11" fillId="0" fontId="5" numFmtId="0" xfId="0" applyAlignment="1" applyBorder="1" applyFont="1">
      <alignment vertical="bottom"/>
    </xf>
    <xf borderId="11" fillId="0" fontId="4" numFmtId="0" xfId="0" applyBorder="1" applyFont="1"/>
    <xf borderId="0" fillId="6" fontId="4" numFmtId="0" xfId="0" applyFont="1"/>
    <xf borderId="11" fillId="2" fontId="4" numFmtId="0" xfId="0" applyBorder="1" applyFont="1"/>
    <xf borderId="11" fillId="9" fontId="4" numFmtId="0" xfId="0" applyBorder="1" applyFill="1" applyFont="1"/>
    <xf borderId="11" fillId="8" fontId="4" numFmtId="0" xfId="0" applyBorder="1" applyFont="1"/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0" fillId="0" fontId="4" numFmtId="0" xfId="0" applyFont="1"/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14" numFmtId="0" xfId="0" applyAlignment="1" applyBorder="1" applyFont="1">
      <alignment horizontal="left" vertical="center"/>
    </xf>
    <xf borderId="0" fillId="0" fontId="18" numFmtId="0" xfId="0" applyFont="1"/>
    <xf borderId="4" fillId="6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center" shrinkToFit="0" vertical="center" wrapText="1"/>
    </xf>
    <xf borderId="1" fillId="5" fontId="8" numFmtId="16" xfId="0" applyAlignment="1" applyBorder="1" applyFont="1" applyNumberFormat="1">
      <alignment horizontal="center" shrinkToFit="0" vertical="center" wrapText="1"/>
    </xf>
    <xf borderId="1" fillId="5" fontId="14" numFmtId="164" xfId="0" applyAlignment="1" applyBorder="1" applyFont="1" applyNumberFormat="1">
      <alignment horizontal="center" shrinkToFit="1" vertical="center" wrapText="0"/>
    </xf>
    <xf borderId="1" fillId="5" fontId="5" numFmtId="164" xfId="0" applyAlignment="1" applyBorder="1" applyFont="1" applyNumberFormat="1">
      <alignment horizontal="center" shrinkToFit="1" vertical="center" wrapText="0"/>
    </xf>
    <xf borderId="1" fillId="5" fontId="8" numFmtId="164" xfId="0" applyAlignment="1" applyBorder="1" applyFont="1" applyNumberFormat="1">
      <alignment horizontal="center" shrinkToFit="1" vertical="center" wrapText="0"/>
    </xf>
    <xf borderId="4" fillId="0" fontId="19" numFmtId="0" xfId="0" applyBorder="1" applyFont="1"/>
    <xf borderId="4" fillId="2" fontId="14" numFmtId="0" xfId="0" applyAlignment="1" applyBorder="1" applyFont="1">
      <alignment horizontal="left" shrinkToFit="0" vertical="center" wrapText="1"/>
    </xf>
    <xf borderId="4" fillId="2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ont="1">
      <alignment horizontal="left" readingOrder="0"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4" fillId="0" fontId="19" numFmtId="0" xfId="0" applyAlignment="1" applyBorder="1" applyFont="1">
      <alignment horizontal="center"/>
    </xf>
    <xf borderId="10" fillId="3" fontId="20" numFmtId="0" xfId="0" applyBorder="1" applyFont="1"/>
    <xf borderId="4" fillId="6" fontId="14" numFmtId="0" xfId="0" applyAlignment="1" applyBorder="1" applyFont="1">
      <alignment horizontal="left" vertical="center"/>
    </xf>
    <xf borderId="4" fillId="3" fontId="14" numFmtId="0" xfId="0" applyBorder="1" applyFont="1"/>
    <xf borderId="4" fillId="2" fontId="14" numFmtId="0" xfId="0" applyBorder="1" applyFont="1"/>
    <xf borderId="4" fillId="6" fontId="14" numFmtId="0" xfId="0" applyBorder="1" applyFont="1"/>
    <xf borderId="4" fillId="0" fontId="14" numFmtId="0" xfId="0" applyBorder="1" applyFont="1"/>
    <xf borderId="4" fillId="4" fontId="5" numFmtId="0" xfId="0" applyAlignment="1" applyBorder="1" applyFont="1">
      <alignment horizontal="left" shrinkToFit="0" vertical="center" wrapText="1"/>
    </xf>
    <xf borderId="10" fillId="0" fontId="20" numFmtId="0" xfId="0" applyBorder="1" applyFont="1"/>
    <xf borderId="4" fillId="0" fontId="5" numFmtId="0" xfId="0" applyAlignment="1" applyBorder="1" applyFont="1">
      <alignment horizontal="left" readingOrder="0" shrinkToFit="0" vertical="center" wrapText="1"/>
    </xf>
    <xf borderId="4" fillId="6" fontId="1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shrinkToFit="0" vertical="bottom" wrapText="0"/>
    </xf>
    <xf borderId="1" fillId="2" fontId="5" numFmtId="164" xfId="0" applyAlignment="1" applyBorder="1" applyFont="1" applyNumberFormat="1">
      <alignment horizontal="center" shrinkToFit="1" vertical="center" wrapText="0"/>
    </xf>
    <xf borderId="1" fillId="2" fontId="8" numFmtId="164" xfId="0" applyAlignment="1" applyBorder="1" applyFont="1" applyNumberFormat="1">
      <alignment horizontal="center" shrinkToFit="1" vertical="center" wrapText="0"/>
    </xf>
    <xf borderId="4" fillId="6" fontId="5" numFmtId="0" xfId="0" applyAlignment="1" applyBorder="1" applyFont="1">
      <alignment vertical="center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readingOrder="0" shrinkToFit="0" wrapText="1"/>
    </xf>
    <xf borderId="4" fillId="8" fontId="5" numFmtId="0" xfId="0" applyAlignment="1" applyBorder="1" applyFont="1">
      <alignment shrinkToFit="0" vertical="bottom" wrapText="1"/>
    </xf>
    <xf borderId="4" fillId="8" fontId="5" numFmtId="0" xfId="0" applyAlignment="1" applyBorder="1" applyFont="1">
      <alignment readingOrder="0" shrinkToFit="0" vertical="bottom" wrapText="1"/>
    </xf>
    <xf borderId="4" fillId="3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readingOrder="0" vertical="center"/>
    </xf>
    <xf borderId="10" fillId="9" fontId="20" numFmtId="0" xfId="0" applyAlignment="1" applyBorder="1" applyFont="1">
      <alignment vertical="bottom"/>
    </xf>
    <xf borderId="11" fillId="0" fontId="13" numFmtId="0" xfId="0" applyAlignment="1" applyBorder="1" applyFont="1">
      <alignment shrinkToFit="0" wrapText="1"/>
    </xf>
    <xf borderId="4" fillId="3" fontId="5" numFmtId="0" xfId="0" applyAlignment="1" applyBorder="1" applyFont="1">
      <alignment horizontal="left" shrinkToFit="0" vertical="center" wrapText="1"/>
    </xf>
    <xf borderId="4" fillId="8" fontId="14" numFmtId="0" xfId="0" applyAlignment="1" applyBorder="1" applyFont="1">
      <alignment horizontal="left" vertical="center"/>
    </xf>
    <xf borderId="4" fillId="8" fontId="5" numFmtId="0" xfId="0" applyAlignment="1" applyBorder="1" applyFont="1">
      <alignment horizontal="left" vertical="center"/>
    </xf>
    <xf borderId="10" fillId="9" fontId="20" numFmtId="0" xfId="0" applyBorder="1" applyFont="1"/>
    <xf borderId="0" fillId="0" fontId="13" numFmtId="0" xfId="0" applyAlignment="1" applyFont="1">
      <alignment shrinkToFit="0" wrapText="1"/>
    </xf>
    <xf borderId="4" fillId="0" fontId="20" numFmtId="0" xfId="0" applyBorder="1" applyFont="1"/>
    <xf borderId="4" fillId="3" fontId="14" numFmtId="0" xfId="0" applyAlignment="1" applyBorder="1" applyFont="1">
      <alignment horizontal="left" vertical="center"/>
    </xf>
    <xf borderId="4" fillId="9" fontId="14" numFmtId="0" xfId="0" applyAlignment="1" applyBorder="1" applyFont="1">
      <alignment horizontal="left" readingOrder="0" shrinkToFit="0" vertical="center" wrapText="1"/>
    </xf>
    <xf borderId="11" fillId="9" fontId="13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vertical="center"/>
    </xf>
    <xf borderId="4" fillId="0" fontId="13" numFmtId="0" xfId="0" applyAlignment="1" applyBorder="1" applyFont="1">
      <alignment shrinkToFit="0" wrapText="1"/>
    </xf>
    <xf borderId="4" fillId="0" fontId="20" numFmtId="0" xfId="0" applyAlignment="1" applyBorder="1" applyFont="1">
      <alignment vertical="bottom"/>
    </xf>
    <xf borderId="4" fillId="6" fontId="2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4" fillId="3" fontId="5" numFmtId="0" xfId="0" applyAlignment="1" applyBorder="1" applyFont="1">
      <alignment shrinkToFit="0" wrapText="1"/>
    </xf>
    <xf borderId="0" fillId="0" fontId="14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12" fillId="0" fontId="22" numFmtId="0" xfId="0" applyAlignment="1" applyBorder="1" applyFont="1">
      <alignment horizontal="center" vertical="bottom"/>
    </xf>
    <xf borderId="13" fillId="0" fontId="22" numFmtId="0" xfId="0" applyAlignment="1" applyBorder="1" applyFont="1">
      <alignment horizontal="center" vertical="bottom"/>
    </xf>
    <xf borderId="14" fillId="0" fontId="22" numFmtId="0" xfId="0" applyAlignment="1" applyBorder="1" applyFont="1">
      <alignment horizontal="center" vertical="bottom"/>
    </xf>
    <xf borderId="4" fillId="0" fontId="22" numFmtId="0" xfId="0" applyAlignment="1" applyBorder="1" applyFont="1">
      <alignment horizontal="center" vertical="bottom"/>
    </xf>
    <xf borderId="4" fillId="0" fontId="23" numFmtId="0" xfId="0" applyAlignment="1" applyBorder="1" applyFont="1">
      <alignment vertical="bottom"/>
    </xf>
    <xf borderId="4" fillId="0" fontId="23" numFmtId="0" xfId="0" applyAlignment="1" applyBorder="1" applyFont="1">
      <alignment horizontal="center" vertical="bottom"/>
    </xf>
    <xf borderId="4" fillId="6" fontId="14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horizontal="left"/>
    </xf>
    <xf borderId="4" fillId="3" fontId="5" numFmtId="0" xfId="0" applyBorder="1" applyFont="1"/>
    <xf borderId="1" fillId="4" fontId="14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readingOrder="0" vertical="bottom"/>
    </xf>
    <xf borderId="4" fillId="9" fontId="5" numFmtId="0" xfId="0" applyAlignment="1" applyBorder="1" applyFont="1">
      <alignment readingOrder="0" shrinkToFit="0" wrapText="1"/>
    </xf>
    <xf borderId="4" fillId="9" fontId="5" numFmtId="0" xfId="0" applyAlignment="1" applyBorder="1" applyFont="1">
      <alignment horizontal="left" readingOrder="0" vertical="center"/>
    </xf>
    <xf borderId="4" fillId="0" fontId="13" numFmtId="0" xfId="0" applyBorder="1" applyFont="1"/>
    <xf borderId="4" fillId="0" fontId="19" numFmtId="0" xfId="0" applyAlignment="1" applyBorder="1" applyFont="1">
      <alignment vertical="bottom"/>
    </xf>
    <xf borderId="4" fillId="0" fontId="24" numFmtId="0" xfId="0" applyAlignment="1" applyBorder="1" applyFont="1">
      <alignment vertical="bottom"/>
    </xf>
    <xf borderId="4" fillId="0" fontId="24" numFmtId="0" xfId="0" applyAlignment="1" applyBorder="1" applyFont="1">
      <alignment readingOrder="0" vertical="bottom"/>
    </xf>
    <xf borderId="4" fillId="9" fontId="13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ont="1" applyNumberFormat="1">
      <alignment shrinkToFit="0" vertical="bottom" wrapText="1"/>
    </xf>
    <xf borderId="4" fillId="3" fontId="5" numFmtId="0" xfId="0" applyAlignment="1" applyBorder="1" applyFont="1">
      <alignment shrinkToFit="0" vertical="bottom" wrapText="1"/>
    </xf>
    <xf borderId="4" fillId="8" fontId="5" numFmtId="0" xfId="0" applyAlignment="1" applyBorder="1" applyFont="1">
      <alignment horizontal="left" readingOrder="0" vertical="center"/>
    </xf>
    <xf borderId="4" fillId="9" fontId="5" numFmtId="0" xfId="0" applyAlignment="1" applyBorder="1" applyFont="1">
      <alignment vertical="bottom"/>
    </xf>
    <xf borderId="4" fillId="8" fontId="24" numFmtId="0" xfId="0" applyAlignment="1" applyBorder="1" applyFont="1">
      <alignment vertical="bottom"/>
    </xf>
    <xf borderId="4" fillId="9" fontId="24" numFmtId="0" xfId="0" applyAlignment="1" applyBorder="1" applyFont="1">
      <alignment vertical="bottom"/>
    </xf>
    <xf borderId="4" fillId="9" fontId="19" numFmtId="0" xfId="0" applyAlignment="1" applyBorder="1" applyFont="1">
      <alignment vertical="bottom"/>
    </xf>
    <xf borderId="4" fillId="9" fontId="14" numFmtId="0" xfId="0" applyAlignment="1" applyBorder="1" applyFont="1">
      <alignment readingOrder="0" shrinkToFit="0" vertical="center" wrapText="1"/>
    </xf>
    <xf borderId="4" fillId="6" fontId="14" numFmtId="0" xfId="0" applyAlignment="1" applyBorder="1" applyFont="1">
      <alignment readingOrder="0" shrinkToFit="0" vertical="center" wrapText="1"/>
    </xf>
    <xf borderId="4" fillId="0" fontId="2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9" fontId="5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9" fontId="14" numFmtId="0" xfId="0" applyAlignment="1" applyBorder="1" applyFont="1">
      <alignment readingOrder="0"/>
    </xf>
    <xf borderId="4" fillId="6" fontId="13" numFmtId="0" xfId="0" applyAlignment="1" applyBorder="1" applyFont="1">
      <alignment horizontal="left" vertical="center"/>
    </xf>
    <xf borderId="4" fillId="9" fontId="24" numFmtId="0" xfId="0" applyAlignment="1" applyBorder="1" applyFont="1">
      <alignment readingOrder="0" vertical="bottom"/>
    </xf>
    <xf borderId="8" fillId="9" fontId="5" numFmtId="0" xfId="0" applyAlignment="1" applyBorder="1" applyFont="1">
      <alignment readingOrder="0" vertical="center"/>
    </xf>
    <xf borderId="4" fillId="9" fontId="5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/>
    </xf>
    <xf borderId="4" fillId="3" fontId="10" numFmtId="0" xfId="0" applyBorder="1" applyFont="1"/>
    <xf borderId="4" fillId="0" fontId="14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vertical="bottom"/>
    </xf>
    <xf borderId="4" fillId="6" fontId="6" numFmtId="0" xfId="0" applyAlignment="1" applyBorder="1" applyFont="1">
      <alignment horizontal="left" shrinkToFit="0" vertical="center" wrapText="1"/>
    </xf>
    <xf borderId="4" fillId="6" fontId="26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vertical="bottom"/>
    </xf>
    <xf borderId="4" fillId="6" fontId="2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4" fillId="6" fontId="14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ont="1">
      <alignment readingOrder="0"/>
    </xf>
    <xf borderId="0" fillId="0" fontId="6" numFmtId="166" xfId="0" applyAlignment="1" applyFont="1" applyNumberFormat="1">
      <alignment horizontal="left" shrinkToFit="0" vertical="center" wrapText="1"/>
    </xf>
    <xf borderId="15" fillId="0" fontId="1" numFmtId="0" xfId="0" applyAlignment="1" applyBorder="1" applyFont="1">
      <alignment horizontal="left"/>
    </xf>
    <xf borderId="15" fillId="0" fontId="7" numFmtId="0" xfId="0" applyBorder="1" applyFont="1"/>
    <xf borderId="15" fillId="0" fontId="6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4" fillId="9" fontId="20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4" fillId="3" fontId="27" numFmtId="0" xfId="0" applyAlignment="1" applyBorder="1" applyFont="1">
      <alignment vertical="bottom"/>
    </xf>
    <xf borderId="4" fillId="9" fontId="5" numFmtId="0" xfId="0" applyAlignment="1" applyBorder="1" applyFont="1">
      <alignment shrinkToFit="0" vertical="bottom" wrapText="1"/>
    </xf>
    <xf borderId="4" fillId="9" fontId="14" numFmtId="0" xfId="0" applyAlignment="1" applyBorder="1" applyFont="1">
      <alignment horizontal="left" readingOrder="0"/>
    </xf>
    <xf borderId="4" fillId="4" fontId="14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left" readingOrder="0" shrinkToFit="0" vertical="center" wrapText="1"/>
    </xf>
    <xf borderId="4" fillId="0" fontId="14" numFmtId="0" xfId="0" applyAlignment="1" applyBorder="1" applyFont="1">
      <alignment horizontal="left" readingOrder="0" vertical="center"/>
    </xf>
    <xf borderId="4" fillId="8" fontId="5" numFmtId="0" xfId="0" applyBorder="1" applyFont="1"/>
    <xf borderId="4" fillId="0" fontId="20" numFmtId="0" xfId="0" applyAlignment="1" applyBorder="1" applyFont="1">
      <alignment horizontal="left" vertical="center"/>
    </xf>
    <xf borderId="4" fillId="4" fontId="14" numFmtId="0" xfId="0" applyAlignment="1" applyBorder="1" applyFont="1">
      <alignment horizontal="left"/>
    </xf>
    <xf borderId="4" fillId="3" fontId="14" numFmtId="0" xfId="0" applyAlignment="1" applyBorder="1" applyFont="1">
      <alignment horizontal="left"/>
    </xf>
    <xf borderId="4" fillId="3" fontId="13" numFmtId="0" xfId="0" applyBorder="1" applyFont="1"/>
    <xf borderId="4" fillId="0" fontId="13" numFmtId="0" xfId="0" applyAlignment="1" applyBorder="1" applyFont="1">
      <alignment horizontal="left" shrinkToFit="0" vertical="center" wrapText="1"/>
    </xf>
    <xf borderId="16" fillId="0" fontId="22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left" readingOrder="0"/>
    </xf>
    <xf borderId="4" fillId="9" fontId="5" numFmtId="0" xfId="0" applyAlignment="1" applyBorder="1" applyFont="1">
      <alignment readingOrder="0" shrinkToFit="0" vertical="bottom" wrapText="1"/>
    </xf>
    <xf borderId="4" fillId="0" fontId="22" numFmtId="0" xfId="0" applyAlignment="1" applyBorder="1" applyFont="1">
      <alignment vertical="bottom"/>
    </xf>
    <xf borderId="1" fillId="5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vertical="top"/>
    </xf>
    <xf borderId="4" fillId="3" fontId="28" numFmtId="0" xfId="0" applyBorder="1" applyFont="1"/>
    <xf borderId="4" fillId="0" fontId="28" numFmtId="0" xfId="0" applyBorder="1" applyFont="1"/>
    <xf borderId="4" fillId="3" fontId="14" numFmtId="0" xfId="0" applyAlignment="1" applyBorder="1" applyFont="1">
      <alignment horizontal="center"/>
    </xf>
    <xf borderId="1" fillId="4" fontId="14" numFmtId="0" xfId="0" applyAlignment="1" applyBorder="1" applyFont="1">
      <alignment horizontal="center"/>
    </xf>
    <xf borderId="4" fillId="0" fontId="22" numFmtId="0" xfId="0" applyBorder="1" applyFont="1"/>
    <xf borderId="4" fillId="0" fontId="22" numFmtId="0" xfId="0" applyAlignment="1" applyBorder="1" applyFont="1">
      <alignment horizontal="center"/>
    </xf>
    <xf borderId="4" fillId="0" fontId="18" numFmtId="0" xfId="0" applyBorder="1" applyFont="1"/>
    <xf borderId="0" fillId="0" fontId="29" numFmtId="0" xfId="0" applyFont="1"/>
    <xf borderId="4" fillId="0" fontId="30" numFmtId="0" xfId="0" applyBorder="1" applyFont="1"/>
    <xf borderId="4" fillId="0" fontId="18" numFmtId="0" xfId="0" applyAlignment="1" applyBorder="1" applyFont="1">
      <alignment horizontal="center"/>
    </xf>
    <xf borderId="4" fillId="10" fontId="30" numFmtId="0" xfId="0" applyBorder="1" applyFill="1" applyFont="1"/>
    <xf borderId="4" fillId="3" fontId="28" numFmtId="0" xfId="0" applyAlignment="1" applyBorder="1" applyFont="1">
      <alignment horizontal="center"/>
    </xf>
    <xf borderId="4" fillId="3" fontId="30" numFmtId="0" xfId="0" applyBorder="1" applyFont="1"/>
    <xf borderId="4" fillId="0" fontId="22" numFmtId="0" xfId="0" applyAlignment="1" applyBorder="1" applyFont="1">
      <alignment horizontal="left" shrinkToFit="0" vertical="center" wrapText="1"/>
    </xf>
    <xf borderId="4" fillId="0" fontId="22" numFmtId="0" xfId="0" applyAlignment="1" applyBorder="1" applyFont="1">
      <alignment shrinkToFit="0" wrapText="1"/>
    </xf>
    <xf borderId="8" fillId="0" fontId="14" numFmtId="0" xfId="0" applyAlignment="1" applyBorder="1" applyFont="1">
      <alignment horizontal="center" vertical="center"/>
    </xf>
    <xf borderId="8" fillId="3" fontId="14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bottom"/>
    </xf>
    <xf borderId="4" fillId="4" fontId="14" numFmtId="0" xfId="0" applyBorder="1" applyFont="1"/>
    <xf borderId="4" fillId="0" fontId="5" numFmtId="0" xfId="0" applyAlignment="1" applyBorder="1" applyFont="1">
      <alignment horizontal="center" vertical="bottom"/>
    </xf>
    <xf borderId="4" fillId="9" fontId="14" numFmtId="0" xfId="0" applyBorder="1" applyFont="1"/>
    <xf borderId="4" fillId="4" fontId="5" numFmtId="0" xfId="0" applyBorder="1" applyFont="1"/>
    <xf borderId="4" fillId="4" fontId="22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readingOrder="0"/>
    </xf>
    <xf borderId="4" fillId="3" fontId="14" numFmtId="0" xfId="0" applyAlignment="1" applyBorder="1" applyFont="1">
      <alignment readingOrder="0"/>
    </xf>
    <xf borderId="4" fillId="0" fontId="14" numFmtId="0" xfId="0" applyAlignment="1" applyBorder="1" applyFont="1">
      <alignment vertical="center"/>
    </xf>
    <xf borderId="4" fillId="8" fontId="14" numFmtId="0" xfId="0" applyBorder="1" applyFont="1"/>
    <xf borderId="4" fillId="0" fontId="14" numFmtId="0" xfId="0" applyAlignment="1" applyBorder="1" applyFont="1">
      <alignment horizontal="center"/>
    </xf>
    <xf borderId="4" fillId="4" fontId="22" numFmtId="0" xfId="0" applyBorder="1" applyFont="1"/>
    <xf borderId="4" fillId="11" fontId="14" numFmtId="0" xfId="0" applyBorder="1" applyFill="1" applyFont="1"/>
    <xf borderId="11" fillId="3" fontId="30" numFmtId="0" xfId="0" applyBorder="1" applyFont="1"/>
    <xf borderId="11" fillId="0" fontId="22" numFmtId="0" xfId="0" applyAlignment="1" applyBorder="1" applyFont="1">
      <alignment vertical="bottom"/>
    </xf>
    <xf borderId="11" fillId="0" fontId="30" numFmtId="0" xfId="0" applyBorder="1" applyFont="1"/>
    <xf borderId="4" fillId="8" fontId="5" numFmtId="0" xfId="0" applyAlignment="1" applyBorder="1" applyFont="1">
      <alignment vertical="bottom"/>
    </xf>
    <xf borderId="8" fillId="0" fontId="22" numFmtId="0" xfId="0" applyAlignment="1" applyBorder="1" applyFont="1">
      <alignment shrinkToFit="0" wrapText="1"/>
    </xf>
    <xf borderId="1" fillId="0" fontId="22" numFmtId="0" xfId="0" applyAlignment="1" applyBorder="1" applyFont="1">
      <alignment horizontal="center"/>
    </xf>
    <xf borderId="3" fillId="0" fontId="22" numFmtId="0" xfId="0" applyAlignment="1" applyBorder="1" applyFont="1">
      <alignment horizontal="center"/>
    </xf>
    <xf borderId="10" fillId="0" fontId="22" numFmtId="0" xfId="0" applyAlignment="1" applyBorder="1" applyFont="1">
      <alignment horizontal="left" shrinkToFit="0" vertical="center" wrapText="1"/>
    </xf>
    <xf borderId="4" fillId="0" fontId="8" numFmtId="0" xfId="0" applyBorder="1" applyFont="1"/>
    <xf borderId="4" fillId="0" fontId="8" numFmtId="0" xfId="0" applyAlignment="1" applyBorder="1" applyFont="1">
      <alignment vertical="bottom"/>
    </xf>
    <xf borderId="4" fillId="3" fontId="8" numFmtId="0" xfId="0" applyBorder="1" applyFont="1"/>
    <xf borderId="0" fillId="0" fontId="31" numFmtId="0" xfId="0" applyAlignment="1" applyFont="1">
      <alignment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3" numFmtId="0" xfId="0" applyAlignment="1" applyFont="1">
      <alignment shrinkToFit="0" vertical="center" wrapText="1"/>
    </xf>
    <xf borderId="17" fillId="2" fontId="5" numFmtId="0" xfId="0" applyAlignment="1" applyBorder="1" applyFont="1">
      <alignment horizontal="center" vertical="bottom"/>
    </xf>
    <xf borderId="18" fillId="0" fontId="7" numFmtId="0" xfId="0" applyBorder="1" applyFont="1"/>
    <xf borderId="19" fillId="0" fontId="7" numFmtId="0" xfId="0" applyBorder="1" applyFont="1"/>
    <xf borderId="17" fillId="2" fontId="8" numFmtId="0" xfId="0" applyAlignment="1" applyBorder="1" applyFont="1">
      <alignment horizontal="center" vertical="bottom"/>
    </xf>
    <xf borderId="20" fillId="2" fontId="9" numFmtId="164" xfId="0" applyAlignment="1" applyBorder="1" applyFont="1" applyNumberFormat="1">
      <alignment horizontal="center" vertical="bottom"/>
    </xf>
    <xf borderId="21" fillId="0" fontId="7" numFmtId="0" xfId="0" applyBorder="1" applyFont="1"/>
    <xf borderId="22" fillId="0" fontId="7" numFmtId="0" xfId="0" applyBorder="1" applyFont="1"/>
    <xf borderId="0" fillId="2" fontId="9" numFmtId="164" xfId="0" applyAlignment="1" applyFont="1" applyNumberFormat="1">
      <alignment horizontal="center" vertical="bottom"/>
    </xf>
    <xf borderId="23" fillId="0" fontId="7" numFmtId="0" xfId="0" applyBorder="1" applyFont="1"/>
    <xf borderId="20" fillId="2" fontId="5" numFmtId="164" xfId="0" applyAlignment="1" applyBorder="1" applyFont="1" applyNumberFormat="1">
      <alignment horizontal="center" vertical="bottom"/>
    </xf>
    <xf borderId="20" fillId="2" fontId="8" numFmtId="164" xfId="0" applyAlignment="1" applyBorder="1" applyFont="1" applyNumberFormat="1">
      <alignment horizontal="center" readingOrder="0" vertical="bottom"/>
    </xf>
    <xf borderId="0" fillId="2" fontId="5" numFmtId="164" xfId="0" applyAlignment="1" applyFont="1" applyNumberFormat="1">
      <alignment horizontal="center" vertical="bottom"/>
    </xf>
    <xf borderId="0" fillId="2" fontId="8" numFmtId="164" xfId="0" applyAlignment="1" applyFont="1" applyNumberFormat="1">
      <alignment horizontal="center" vertical="bottom"/>
    </xf>
    <xf borderId="4" fillId="3" fontId="34" numFmtId="0" xfId="0" applyAlignment="1" applyBorder="1" applyFont="1">
      <alignment vertical="bottom"/>
    </xf>
    <xf borderId="4" fillId="6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4" fillId="0" fontId="14" numFmtId="0" xfId="0" applyAlignment="1" applyBorder="1" applyFont="1">
      <alignment horizontal="center" vertical="center"/>
    </xf>
    <xf borderId="4" fillId="0" fontId="13" numFmtId="0" xfId="0" applyAlignment="1" applyBorder="1" applyFont="1">
      <alignment shrinkToFit="0" vertical="bottom" wrapText="1"/>
    </xf>
    <xf borderId="4" fillId="3" fontId="35" numFmtId="0" xfId="0" applyAlignment="1" applyBorder="1" applyFont="1">
      <alignment vertical="bottom"/>
    </xf>
    <xf borderId="4" fillId="0" fontId="5" numFmtId="0" xfId="0" applyAlignment="1" applyBorder="1" applyFont="1">
      <alignment horizontal="center" readingOrder="0" vertical="bottom"/>
    </xf>
    <xf borderId="4" fillId="8" fontId="1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vertical="center"/>
    </xf>
    <xf borderId="4" fillId="8" fontId="5" numFmtId="0" xfId="0" applyAlignment="1" applyBorder="1" applyFont="1">
      <alignment horizontal="center" vertical="bottom"/>
    </xf>
    <xf borderId="4" fillId="9" fontId="14" numFmtId="0" xfId="0" applyAlignment="1" applyBorder="1" applyFont="1">
      <alignment horizontal="center" readingOrder="0" vertical="center"/>
    </xf>
    <xf borderId="4" fillId="3" fontId="24" numFmtId="0" xfId="0" applyAlignment="1" applyBorder="1" applyFont="1">
      <alignment shrinkToFit="0" wrapText="1"/>
    </xf>
    <xf borderId="1" fillId="7" fontId="5" numFmtId="0" xfId="0" applyAlignment="1" applyBorder="1" applyFont="1">
      <alignment horizontal="center" shrinkToFit="0" vertical="center" wrapText="1"/>
    </xf>
    <xf borderId="1" fillId="7" fontId="5" numFmtId="164" xfId="0" applyAlignment="1" applyBorder="1" applyFont="1" applyNumberFormat="1">
      <alignment horizontal="center" shrinkToFit="1" vertical="center" wrapText="0"/>
    </xf>
    <xf borderId="8" fillId="0" fontId="5" numFmtId="0" xfId="0" applyAlignment="1" applyBorder="1" applyFont="1">
      <alignment horizontal="center"/>
    </xf>
    <xf borderId="4" fillId="0" fontId="34" numFmtId="0" xfId="0" applyAlignment="1" applyBorder="1" applyFont="1">
      <alignment vertical="bottom"/>
    </xf>
    <xf borderId="4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4" fillId="3" fontId="2" numFmtId="0" xfId="0" applyBorder="1" applyFont="1"/>
    <xf borderId="4" fillId="6" fontId="36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vertical="top" wrapText="1"/>
    </xf>
    <xf borderId="0" fillId="0" fontId="6" numFmtId="165" xfId="0" applyAlignment="1" applyFont="1" applyNumberFormat="1">
      <alignment horizontal="left" shrinkToFit="0" vertical="top" wrapText="1"/>
    </xf>
    <xf borderId="4" fillId="3" fontId="14" numFmtId="0" xfId="0" applyAlignment="1" applyBorder="1" applyFont="1">
      <alignment vertical="bottom"/>
    </xf>
    <xf borderId="4" fillId="3" fontId="37" numFmtId="0" xfId="0" applyBorder="1" applyFont="1"/>
    <xf borderId="4" fillId="0" fontId="30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4" fillId="4" fontId="5" numFmtId="0" xfId="0" applyAlignment="1" applyBorder="1" applyFont="1">
      <alignment vertical="bottom"/>
    </xf>
    <xf borderId="4" fillId="0" fontId="38" numFmtId="0" xfId="0" applyAlignment="1" applyBorder="1" applyFont="1">
      <alignment horizontal="center"/>
    </xf>
    <xf borderId="4" fillId="3" fontId="14" numFmtId="0" xfId="0" applyAlignment="1" applyBorder="1" applyFont="1">
      <alignment horizontal="left" shrinkToFit="0" vertical="center" wrapText="1"/>
    </xf>
    <xf borderId="4" fillId="0" fontId="30" numFmtId="0" xfId="0" applyAlignment="1" applyBorder="1" applyFont="1">
      <alignment horizontal="left" shrinkToFit="0" vertical="center" wrapText="1"/>
    </xf>
    <xf borderId="4" fillId="3" fontId="39" numFmtId="0" xfId="0" applyBorder="1" applyFont="1"/>
    <xf borderId="4" fillId="0" fontId="23" numFmtId="0" xfId="0" applyAlignment="1" applyBorder="1" applyFont="1">
      <alignment shrinkToFit="0" wrapText="1"/>
    </xf>
    <xf borderId="4" fillId="4" fontId="22" numFmtId="0" xfId="0" applyAlignment="1" applyBorder="1" applyFont="1">
      <alignment horizontal="center"/>
    </xf>
    <xf borderId="4" fillId="4" fontId="30" numFmtId="0" xfId="0" applyBorder="1" applyFont="1"/>
    <xf borderId="0" fillId="0" fontId="22" numFmtId="0" xfId="0" applyAlignment="1" applyFont="1">
      <alignment horizontal="center"/>
    </xf>
    <xf borderId="0" fillId="0" fontId="33" numFmtId="0" xfId="0" applyAlignment="1" applyFont="1">
      <alignment horizontal="center" shrinkToFit="0" vertical="center" wrapText="1"/>
    </xf>
    <xf borderId="1" fillId="2" fontId="10" numFmtId="164" xfId="0" applyAlignment="1" applyBorder="1" applyFont="1" applyNumberFormat="1">
      <alignment vertical="bottom"/>
    </xf>
    <xf borderId="4" fillId="6" fontId="5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readingOrder="0"/>
    </xf>
    <xf borderId="4" fillId="0" fontId="1" numFmtId="0" xfId="0" applyBorder="1" applyFont="1"/>
    <xf borderId="4" fillId="3" fontId="1" numFmtId="0" xfId="0" applyBorder="1" applyFont="1"/>
    <xf borderId="10" fillId="0" fontId="20" numFmtId="0" xfId="0" applyAlignment="1" applyBorder="1" applyFont="1">
      <alignment vertical="bottom"/>
    </xf>
    <xf borderId="4" fillId="2" fontId="1" numFmtId="0" xfId="0" applyBorder="1" applyFont="1"/>
    <xf borderId="4" fillId="2" fontId="14" numFmtId="0" xfId="0" applyAlignment="1" applyBorder="1" applyFont="1">
      <alignment vertical="center"/>
    </xf>
    <xf borderId="4" fillId="3" fontId="40" numFmtId="0" xfId="0" applyBorder="1" applyFont="1"/>
    <xf borderId="4" fillId="8" fontId="14" numFmtId="0" xfId="0" applyAlignment="1" applyBorder="1" applyFont="1">
      <alignment readingOrder="0"/>
    </xf>
    <xf borderId="10" fillId="3" fontId="1" numFmtId="0" xfId="0" applyBorder="1" applyFont="1"/>
    <xf borderId="1" fillId="0" fontId="14" numFmtId="0" xfId="0" applyAlignment="1" applyBorder="1" applyFont="1">
      <alignment horizontal="center"/>
    </xf>
    <xf borderId="10" fillId="0" fontId="14" numFmtId="0" xfId="0" applyAlignment="1" applyBorder="1" applyFont="1">
      <alignment vertical="bottom"/>
    </xf>
    <xf borderId="5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24" fillId="0" fontId="10" numFmtId="0" xfId="0" applyAlignment="1" applyBorder="1" applyFont="1">
      <alignment vertical="bottom"/>
    </xf>
    <xf borderId="4" fillId="0" fontId="27" numFmtId="0" xfId="0" applyAlignment="1" applyBorder="1" applyFont="1">
      <alignment vertical="bottom"/>
    </xf>
    <xf borderId="24" fillId="0" fontId="23" numFmtId="0" xfId="0" applyAlignment="1" applyBorder="1" applyFont="1">
      <alignment horizontal="center" vertical="bottom"/>
    </xf>
    <xf borderId="1" fillId="5" fontId="8" numFmtId="16" xfId="0" applyAlignment="1" applyBorder="1" applyFont="1" applyNumberFormat="1">
      <alignment horizontal="center" vertical="bottom"/>
    </xf>
    <xf borderId="4" fillId="9" fontId="27" numFmtId="0" xfId="0" applyAlignment="1" applyBorder="1" applyFont="1">
      <alignment vertical="bottom"/>
    </xf>
    <xf borderId="4" fillId="0" fontId="5" numFmtId="164" xfId="0" applyAlignment="1" applyBorder="1" applyFont="1" applyNumberFormat="1">
      <alignment shrinkToFit="0" vertical="bottom" wrapText="1"/>
    </xf>
    <xf borderId="4" fillId="2" fontId="5" numFmtId="164" xfId="0" applyAlignment="1" applyBorder="1" applyFont="1" applyNumberFormat="1">
      <alignment vertical="bottom"/>
    </xf>
    <xf borderId="4" fillId="2" fontId="5" numFmtId="0" xfId="0" applyAlignment="1" applyBorder="1" applyFont="1">
      <alignment vertical="bottom"/>
    </xf>
    <xf borderId="11" fillId="0" fontId="5" numFmtId="164" xfId="0" applyAlignment="1" applyBorder="1" applyFont="1" applyNumberFormat="1">
      <alignment shrinkToFit="0" vertical="bottom" wrapText="1"/>
    </xf>
    <xf borderId="11" fillId="9" fontId="5" numFmtId="0" xfId="0" applyAlignment="1" applyBorder="1" applyFont="1">
      <alignment vertical="bottom"/>
    </xf>
    <xf borderId="1" fillId="4" fontId="5" numFmtId="164" xfId="0" applyAlignment="1" applyBorder="1" applyFont="1" applyNumberFormat="1">
      <alignment horizontal="center" vertical="bottom"/>
    </xf>
    <xf borderId="4" fillId="9" fontId="5" numFmtId="164" xfId="0" applyAlignment="1" applyBorder="1" applyFont="1" applyNumberFormat="1">
      <alignment vertical="bottom"/>
    </xf>
    <xf borderId="4" fillId="0" fontId="5" numFmtId="164" xfId="0" applyBorder="1" applyFont="1" applyNumberFormat="1"/>
    <xf borderId="4" fillId="8" fontId="5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4" fillId="12" fontId="5" numFmtId="0" xfId="0" applyAlignment="1" applyBorder="1" applyFill="1" applyFont="1">
      <alignment readingOrder="0" vertical="bottom"/>
    </xf>
    <xf borderId="1" fillId="2" fontId="8" numFmtId="16" xfId="0" applyAlignment="1" applyBorder="1" applyFont="1" applyNumberFormat="1">
      <alignment horizontal="center" vertical="bottom"/>
    </xf>
    <xf borderId="1" fillId="2" fontId="5" numFmtId="164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24" numFmtId="0" xfId="0" applyAlignment="1" applyFont="1">
      <alignment shrinkToFit="0" vertical="bottom" wrapText="1"/>
    </xf>
    <xf borderId="0" fillId="0" fontId="4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1" numFmtId="165" xfId="0" applyAlignment="1" applyFont="1" applyNumberFormat="1">
      <alignment vertical="bottom"/>
    </xf>
    <xf borderId="15" fillId="0" fontId="5" numFmtId="0" xfId="0" applyAlignment="1" applyBorder="1" applyFont="1">
      <alignment vertical="bottom"/>
    </xf>
    <xf borderId="15" fillId="0" fontId="41" numFmtId="0" xfId="0" applyAlignment="1" applyBorder="1" applyFont="1">
      <alignment vertical="top"/>
    </xf>
    <xf borderId="15" fillId="0" fontId="41" numFmtId="0" xfId="0" applyAlignment="1" applyBorder="1" applyFont="1">
      <alignment vertical="bottom"/>
    </xf>
    <xf borderId="17" fillId="2" fontId="10" numFmtId="164" xfId="0" applyAlignment="1" applyBorder="1" applyFont="1" applyNumberFormat="1">
      <alignment vertical="bottom"/>
    </xf>
    <xf borderId="15" fillId="2" fontId="10" numFmtId="164" xfId="0" applyAlignment="1" applyBorder="1" applyFont="1" applyNumberFormat="1">
      <alignment vertical="bottom"/>
    </xf>
    <xf borderId="25" fillId="0" fontId="7" numFmtId="0" xfId="0" applyBorder="1" applyFont="1"/>
    <xf borderId="17" fillId="2" fontId="8" numFmtId="164" xfId="0" applyAlignment="1" applyBorder="1" applyFont="1" applyNumberFormat="1">
      <alignment horizontal="center" vertical="bottom"/>
    </xf>
    <xf borderId="15" fillId="2" fontId="5" numFmtId="164" xfId="0" applyAlignment="1" applyBorder="1" applyFont="1" applyNumberFormat="1">
      <alignment horizontal="center" vertical="bottom"/>
    </xf>
    <xf borderId="15" fillId="2" fontId="8" numFmtId="164" xfId="0" applyAlignment="1" applyBorder="1" applyFont="1" applyNumberFormat="1">
      <alignment horizontal="center" vertical="bottom"/>
    </xf>
    <xf borderId="26" fillId="0" fontId="24" numFmtId="0" xfId="0" applyAlignment="1" applyBorder="1" applyFont="1">
      <alignment vertical="bottom"/>
    </xf>
    <xf borderId="25" fillId="0" fontId="24" numFmtId="0" xfId="0" applyAlignment="1" applyBorder="1" applyFont="1">
      <alignment vertical="bottom"/>
    </xf>
    <xf borderId="25" fillId="0" fontId="24" numFmtId="0" xfId="0" applyAlignment="1" applyBorder="1" applyFont="1">
      <alignment readingOrder="0" vertical="bottom"/>
    </xf>
    <xf borderId="26" fillId="3" fontId="24" numFmtId="0" xfId="0" applyAlignment="1" applyBorder="1" applyFont="1">
      <alignment vertical="bottom"/>
    </xf>
    <xf borderId="25" fillId="3" fontId="24" numFmtId="0" xfId="0" applyAlignment="1" applyBorder="1" applyFont="1">
      <alignment vertical="bottom"/>
    </xf>
    <xf borderId="27" fillId="5" fontId="5" numFmtId="0" xfId="0" applyAlignment="1" applyBorder="1" applyFont="1">
      <alignment horizontal="center" vertical="bottom"/>
    </xf>
    <xf borderId="15" fillId="5" fontId="5" numFmtId="0" xfId="0" applyAlignment="1" applyBorder="1" applyFont="1">
      <alignment horizontal="center" vertical="bottom"/>
    </xf>
    <xf borderId="15" fillId="5" fontId="8" numFmtId="0" xfId="0" applyAlignment="1" applyBorder="1" applyFont="1">
      <alignment horizontal="center" vertical="bottom"/>
    </xf>
    <xf borderId="27" fillId="5" fontId="5" numFmtId="164" xfId="0" applyAlignment="1" applyBorder="1" applyFont="1" applyNumberFormat="1">
      <alignment horizontal="center" vertical="bottom"/>
    </xf>
    <xf borderId="15" fillId="5" fontId="5" numFmtId="164" xfId="0" applyAlignment="1" applyBorder="1" applyFont="1" applyNumberFormat="1">
      <alignment horizontal="center" vertical="bottom"/>
    </xf>
    <xf borderId="15" fillId="5" fontId="8" numFmtId="164" xfId="0" applyAlignment="1" applyBorder="1" applyFont="1" applyNumberFormat="1">
      <alignment horizontal="center" vertical="bottom"/>
    </xf>
    <xf borderId="17" fillId="4" fontId="5" numFmtId="0" xfId="0" applyAlignment="1" applyBorder="1" applyFont="1">
      <alignment horizontal="center" readingOrder="0" vertical="bottom"/>
    </xf>
    <xf borderId="11" fillId="3" fontId="5" numFmtId="164" xfId="0" applyAlignment="1" applyBorder="1" applyFont="1" applyNumberFormat="1">
      <alignment shrinkToFit="0" vertical="bottom" wrapText="1"/>
    </xf>
    <xf borderId="11" fillId="3" fontId="5" numFmtId="0" xfId="0" applyAlignment="1" applyBorder="1" applyFont="1">
      <alignment shrinkToFit="0" vertical="bottom" wrapText="1"/>
    </xf>
    <xf borderId="11" fillId="3" fontId="5" numFmtId="164" xfId="0" applyAlignment="1" applyBorder="1" applyFont="1" applyNumberFormat="1">
      <alignment vertical="bottom"/>
    </xf>
    <xf borderId="27" fillId="2" fontId="5" numFmtId="0" xfId="0" applyAlignment="1" applyBorder="1" applyFont="1">
      <alignment horizontal="center" vertical="bottom"/>
    </xf>
    <xf borderId="15" fillId="2" fontId="5" numFmtId="0" xfId="0" applyAlignment="1" applyBorder="1" applyFont="1">
      <alignment horizontal="center" vertical="bottom"/>
    </xf>
    <xf borderId="15" fillId="2" fontId="8" numFmtId="0" xfId="0" applyAlignment="1" applyBorder="1" applyFont="1">
      <alignment horizontal="center" vertical="bottom"/>
    </xf>
    <xf borderId="27" fillId="2" fontId="5" numFmtId="164" xfId="0" applyAlignment="1" applyBorder="1" applyFont="1" applyNumberFormat="1">
      <alignment horizontal="center" vertical="bottom"/>
    </xf>
    <xf borderId="27" fillId="7" fontId="5" numFmtId="164" xfId="0" applyAlignment="1" applyBorder="1" applyFont="1" applyNumberFormat="1">
      <alignment horizontal="center" vertical="bottom"/>
    </xf>
    <xf borderId="15" fillId="7" fontId="5" numFmtId="164" xfId="0" applyAlignment="1" applyBorder="1" applyFont="1" applyNumberFormat="1">
      <alignment horizontal="center" vertical="bottom"/>
    </xf>
    <xf borderId="15" fillId="7" fontId="8" numFmtId="164" xfId="0" applyAlignment="1" applyBorder="1" applyFont="1" applyNumberFormat="1">
      <alignment horizontal="center" vertical="bottom"/>
    </xf>
    <xf borderId="15" fillId="5" fontId="41" numFmtId="0" xfId="0" applyAlignment="1" applyBorder="1" applyFont="1">
      <alignment vertical="bottom"/>
    </xf>
    <xf borderId="15" fillId="5" fontId="41" numFmtId="164" xfId="0" applyAlignment="1" applyBorder="1" applyFont="1" applyNumberFormat="1">
      <alignment vertical="bottom"/>
    </xf>
    <xf borderId="11" fillId="3" fontId="14" numFmtId="0" xfId="0" applyBorder="1" applyFont="1"/>
    <xf borderId="11" fillId="3" fontId="5" numFmtId="0" xfId="0" applyBorder="1" applyFont="1"/>
    <xf borderId="25" fillId="0" fontId="24" numFmtId="0" xfId="0" applyAlignment="1" applyBorder="1" applyFont="1">
      <alignment shrinkToFit="0" vertical="bottom" wrapText="1"/>
    </xf>
    <xf borderId="25" fillId="3" fontId="41" numFmtId="0" xfId="0" applyAlignment="1" applyBorder="1" applyFont="1">
      <alignment vertical="bottom"/>
    </xf>
    <xf borderId="25" fillId="0" fontId="41" numFmtId="0" xfId="0" applyAlignment="1" applyBorder="1" applyFont="1">
      <alignment vertical="bottom"/>
    </xf>
    <xf borderId="11" fillId="0" fontId="14" numFmtId="0" xfId="0" applyBorder="1" applyFont="1"/>
    <xf borderId="25" fillId="0" fontId="41" numFmtId="164" xfId="0" applyAlignment="1" applyBorder="1" applyFont="1" applyNumberFormat="1">
      <alignment vertical="bottom"/>
    </xf>
    <xf borderId="11" fillId="6" fontId="2" numFmtId="0" xfId="0" applyAlignment="1" applyBorder="1" applyFont="1">
      <alignment horizontal="left" shrinkToFit="0" vertical="center" wrapText="1"/>
    </xf>
    <xf borderId="26" fillId="3" fontId="41" numFmtId="0" xfId="0" applyAlignment="1" applyBorder="1" applyFont="1">
      <alignment vertical="bottom"/>
    </xf>
    <xf borderId="26" fillId="0" fontId="24" numFmtId="0" xfId="0" applyAlignment="1" applyBorder="1" applyFont="1">
      <alignment readingOrder="0" vertical="bottom"/>
    </xf>
    <xf borderId="11" fillId="0" fontId="14" numFmtId="0" xfId="0" applyAlignment="1" applyBorder="1" applyFont="1">
      <alignment readingOrder="0"/>
    </xf>
    <xf borderId="26" fillId="0" fontId="5" numFmtId="0" xfId="0" applyAlignment="1" applyBorder="1" applyFont="1">
      <alignment vertical="bottom"/>
    </xf>
    <xf borderId="25" fillId="0" fontId="5" numFmtId="0" xfId="0" applyAlignment="1" applyBorder="1" applyFont="1">
      <alignment vertical="bottom"/>
    </xf>
    <xf borderId="11" fillId="0" fontId="5" numFmtId="0" xfId="0" applyAlignment="1" applyBorder="1" applyFont="1">
      <alignment readingOrder="0" vertical="bottom"/>
    </xf>
    <xf borderId="11" fillId="0" fontId="5" numFmtId="164" xfId="0" applyAlignment="1" applyBorder="1" applyFont="1" applyNumberFormat="1">
      <alignment vertical="bottom"/>
    </xf>
    <xf borderId="11" fillId="3" fontId="5" numFmtId="0" xfId="0" applyAlignment="1" applyBorder="1" applyFont="1">
      <alignment readingOrder="0" shrinkToFit="0" vertical="bottom" wrapText="1"/>
    </xf>
    <xf borderId="17" fillId="4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shrinkToFit="0" vertical="bottom" wrapText="1"/>
    </xf>
    <xf borderId="11" fillId="3" fontId="5" numFmtId="0" xfId="0" applyAlignment="1" applyBorder="1" applyFont="1">
      <alignment vertical="bottom"/>
    </xf>
    <xf borderId="11" fillId="8" fontId="5" numFmtId="0" xfId="0" applyAlignment="1" applyBorder="1" applyFont="1">
      <alignment readingOrder="0" vertical="bottom"/>
    </xf>
    <xf borderId="17" fillId="4" fontId="14" numFmtId="0" xfId="0" applyAlignment="1" applyBorder="1" applyFont="1">
      <alignment horizontal="center"/>
    </xf>
    <xf borderId="25" fillId="3" fontId="5" numFmtId="0" xfId="0" applyAlignment="1" applyBorder="1" applyFont="1">
      <alignment vertical="bottom"/>
    </xf>
    <xf borderId="11" fillId="6" fontId="14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readingOrder="0" shrinkToFit="0" vertical="bottom" wrapText="1"/>
    </xf>
    <xf borderId="25" fillId="0" fontId="24" numFmtId="0" xfId="0" applyAlignment="1" applyBorder="1" applyFont="1">
      <alignment horizontal="left" vertical="bottom"/>
    </xf>
    <xf borderId="0" fillId="0" fontId="24" numFmtId="0" xfId="0" applyAlignment="1" applyFont="1">
      <alignment readingOrder="0" shrinkToFit="0" vertical="bottom" wrapText="1"/>
    </xf>
    <xf borderId="11" fillId="3" fontId="5" numFmtId="0" xfId="0" applyAlignment="1" applyBorder="1" applyFont="1">
      <alignment readingOrder="0"/>
    </xf>
    <xf borderId="28" fillId="7" fontId="5" numFmtId="164" xfId="0" applyAlignment="1" applyBorder="1" applyFont="1" applyNumberFormat="1">
      <alignment horizontal="center" vertical="bottom"/>
    </xf>
    <xf borderId="0" fillId="7" fontId="5" numFmtId="164" xfId="0" applyAlignment="1" applyFont="1" applyNumberFormat="1">
      <alignment horizontal="center" vertical="bottom"/>
    </xf>
    <xf borderId="0" fillId="7" fontId="8" numFmtId="164" xfId="0" applyAlignment="1" applyFont="1" applyNumberFormat="1">
      <alignment horizontal="center" vertical="bottom"/>
    </xf>
    <xf borderId="4" fillId="3" fontId="24" numFmtId="0" xfId="0" applyAlignment="1" applyBorder="1" applyFont="1">
      <alignment vertical="bottom"/>
    </xf>
    <xf borderId="1" fillId="5" fontId="41" numFmtId="0" xfId="0" applyAlignment="1" applyBorder="1" applyFont="1">
      <alignment vertical="bottom"/>
    </xf>
    <xf borderId="0" fillId="0" fontId="10" numFmtId="0" xfId="0" applyAlignment="1" applyFont="1">
      <alignment vertical="top"/>
    </xf>
    <xf borderId="0" fillId="0" fontId="42" numFmtId="0" xfId="0" applyAlignment="1" applyFont="1">
      <alignment horizontal="center" vertical="bottom"/>
    </xf>
    <xf borderId="4" fillId="3" fontId="43" numFmtId="0" xfId="0" applyAlignment="1" applyBorder="1" applyFont="1">
      <alignment vertical="bottom"/>
    </xf>
    <xf borderId="29" fillId="13" fontId="22" numFmtId="167" xfId="0" applyAlignment="1" applyBorder="1" applyFill="1" applyFont="1" applyNumberFormat="1">
      <alignment horizontal="center" vertical="top"/>
    </xf>
    <xf borderId="30" fillId="0" fontId="7" numFmtId="0" xfId="0" applyBorder="1" applyFont="1"/>
    <xf borderId="0" fillId="3" fontId="10" numFmtId="167" xfId="0" applyAlignment="1" applyFont="1" applyNumberFormat="1">
      <alignment vertical="top"/>
    </xf>
    <xf borderId="8" fillId="14" fontId="22" numFmtId="0" xfId="0" applyAlignment="1" applyBorder="1" applyFill="1" applyFont="1">
      <alignment horizontal="center" vertical="bottom"/>
    </xf>
    <xf borderId="4" fillId="14" fontId="10" numFmtId="0" xfId="0" applyAlignment="1" applyBorder="1" applyFont="1">
      <alignment vertical="top"/>
    </xf>
    <xf borderId="4" fillId="14" fontId="44" numFmtId="0" xfId="0" applyAlignment="1" applyBorder="1" applyFont="1">
      <alignment horizontal="center" vertical="top"/>
    </xf>
    <xf borderId="4" fillId="14" fontId="22" numFmtId="0" xfId="0" applyAlignment="1" applyBorder="1" applyFont="1">
      <alignment horizontal="center" vertical="top"/>
    </xf>
    <xf borderId="31" fillId="14" fontId="44" numFmtId="0" xfId="0" applyAlignment="1" applyBorder="1" applyFont="1">
      <alignment horizontal="center" vertical="top"/>
    </xf>
    <xf borderId="4" fillId="0" fontId="10" numFmtId="0" xfId="0" applyAlignment="1" applyBorder="1" applyFont="1">
      <alignment vertical="top"/>
    </xf>
    <xf borderId="0" fillId="3" fontId="10" numFmtId="0" xfId="0" applyAlignment="1" applyFont="1">
      <alignment vertical="top"/>
    </xf>
    <xf borderId="4" fillId="15" fontId="22" numFmtId="0" xfId="0" applyAlignment="1" applyBorder="1" applyFill="1" applyFont="1">
      <alignment horizontal="center" vertical="bottom"/>
    </xf>
    <xf borderId="4" fillId="15" fontId="22" numFmtId="0" xfId="0" applyAlignment="1" applyBorder="1" applyFont="1">
      <alignment vertical="bottom"/>
    </xf>
    <xf borderId="4" fillId="15" fontId="10" numFmtId="0" xfId="0" applyAlignment="1" applyBorder="1" applyFont="1">
      <alignment vertical="bottom"/>
    </xf>
    <xf borderId="4" fillId="15" fontId="44" numFmtId="0" xfId="0" applyAlignment="1" applyBorder="1" applyFont="1">
      <alignment horizontal="center" vertical="bottom"/>
    </xf>
    <xf borderId="4" fillId="15" fontId="45" numFmtId="0" xfId="0" applyAlignment="1" applyBorder="1" applyFont="1">
      <alignment horizontal="center" vertical="bottom"/>
    </xf>
    <xf borderId="4" fillId="0" fontId="44" numFmtId="0" xfId="0" applyAlignment="1" applyBorder="1" applyFont="1">
      <alignment horizontal="center" vertical="bottom"/>
    </xf>
    <xf borderId="4" fillId="15" fontId="10" numFmtId="0" xfId="0" applyAlignment="1" applyBorder="1" applyFont="1">
      <alignment readingOrder="0" vertical="bottom"/>
    </xf>
    <xf borderId="4" fillId="4" fontId="22" numFmtId="0" xfId="0" applyAlignment="1" applyBorder="1" applyFont="1">
      <alignment horizontal="center" readingOrder="0" vertical="bottom"/>
    </xf>
    <xf borderId="4" fillId="15" fontId="22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readingOrder="0" vertical="bottom"/>
    </xf>
    <xf borderId="4" fillId="16" fontId="22" numFmtId="0" xfId="0" applyAlignment="1" applyBorder="1" applyFill="1" applyFont="1">
      <alignment horizontal="center" readingOrder="0" vertical="bottom"/>
    </xf>
    <xf borderId="4" fillId="17" fontId="43" numFmtId="0" xfId="0" applyAlignment="1" applyBorder="1" applyFill="1" applyFont="1">
      <alignment readingOrder="0" vertical="bottom"/>
    </xf>
    <xf borderId="4" fillId="17" fontId="10" numFmtId="0" xfId="0" applyAlignment="1" applyBorder="1" applyFont="1">
      <alignment vertical="bottom"/>
    </xf>
    <xf borderId="4" fillId="17" fontId="22" numFmtId="0" xfId="0" applyAlignment="1" applyBorder="1" applyFont="1">
      <alignment horizontal="center" vertical="bottom"/>
    </xf>
    <xf borderId="4" fillId="17" fontId="22" numFmtId="0" xfId="0" applyAlignment="1" applyBorder="1" applyFont="1">
      <alignment horizontal="center" readingOrder="0" vertical="bottom"/>
    </xf>
    <xf borderId="4" fillId="0" fontId="43" numFmtId="0" xfId="0" applyAlignment="1" applyBorder="1" applyFont="1">
      <alignment vertical="bottom"/>
    </xf>
    <xf borderId="4" fillId="0" fontId="45" numFmtId="0" xfId="0" applyAlignment="1" applyBorder="1" applyFont="1">
      <alignment horizontal="center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horizontal="right" vertical="bottom"/>
    </xf>
    <xf borderId="0" fillId="0" fontId="10" numFmtId="0" xfId="0" applyAlignment="1" applyFont="1">
      <alignment readingOrder="0" vertical="bottom"/>
    </xf>
    <xf borderId="32" fillId="0" fontId="22" numFmtId="0" xfId="0" applyAlignment="1" applyBorder="1" applyFont="1">
      <alignment vertical="top"/>
    </xf>
    <xf borderId="33" fillId="0" fontId="10" numFmtId="0" xfId="0" applyAlignment="1" applyBorder="1" applyFont="1">
      <alignment vertical="top"/>
    </xf>
    <xf borderId="1" fillId="0" fontId="10" numFmtId="0" xfId="0" applyAlignment="1" applyBorder="1" applyFont="1">
      <alignment vertical="bottom"/>
    </xf>
    <xf borderId="33" fillId="0" fontId="22" numFmtId="0" xfId="0" applyAlignment="1" applyBorder="1" applyFont="1">
      <alignment horizontal="center" vertical="bottom"/>
    </xf>
    <xf borderId="33" fillId="0" fontId="7" numFmtId="0" xfId="0" applyBorder="1" applyFont="1"/>
    <xf borderId="34" fillId="0" fontId="7" numFmtId="0" xfId="0" applyBorder="1" applyFont="1"/>
    <xf borderId="35" fillId="0" fontId="22" numFmtId="0" xfId="0" applyAlignment="1" applyBorder="1" applyFont="1">
      <alignment horizontal="center" vertical="top"/>
    </xf>
    <xf borderId="36" fillId="0" fontId="22" numFmtId="0" xfId="0" applyAlignment="1" applyBorder="1" applyFont="1">
      <alignment vertical="top"/>
    </xf>
    <xf borderId="37" fillId="0" fontId="10" numFmtId="0" xfId="0" applyAlignment="1" applyBorder="1" applyFont="1">
      <alignment vertical="bottom"/>
    </xf>
    <xf borderId="37" fillId="0" fontId="7" numFmtId="0" xfId="0" applyBorder="1" applyFont="1"/>
    <xf borderId="36" fillId="0" fontId="7" numFmtId="0" xfId="0" applyBorder="1" applyFont="1"/>
    <xf borderId="38" fillId="0" fontId="22" numFmtId="0" xfId="0" applyAlignment="1" applyBorder="1" applyFont="1">
      <alignment horizontal="center" readingOrder="0" vertical="top"/>
    </xf>
    <xf borderId="39" fillId="0" fontId="7" numFmtId="0" xfId="0" applyBorder="1" applyFont="1"/>
    <xf borderId="40" fillId="0" fontId="7" numFmtId="0" xfId="0" applyBorder="1" applyFont="1"/>
    <xf borderId="38" fillId="0" fontId="22" numFmtId="0" xfId="0" applyAlignment="1" applyBorder="1" applyFont="1">
      <alignment horizontal="center" vertical="top"/>
    </xf>
    <xf borderId="35" fillId="0" fontId="44" numFmtId="0" xfId="0" applyAlignment="1" applyBorder="1" applyFont="1">
      <alignment horizontal="center" vertical="bottom"/>
    </xf>
    <xf borderId="36" fillId="0" fontId="44" numFmtId="0" xfId="0" applyAlignment="1" applyBorder="1" applyFont="1">
      <alignment vertical="bottom"/>
    </xf>
    <xf borderId="41" fillId="0" fontId="7" numFmtId="0" xfId="0" applyBorder="1" applyFont="1"/>
    <xf borderId="42" fillId="0" fontId="7" numFmtId="0" xfId="0" applyBorder="1" applyFont="1"/>
    <xf borderId="35" fillId="0" fontId="22" numFmtId="0" xfId="0" applyAlignment="1" applyBorder="1" applyFont="1">
      <alignment horizontal="center" vertical="bottom"/>
    </xf>
    <xf borderId="43" fillId="0" fontId="7" numFmtId="0" xfId="0" applyBorder="1" applyFont="1"/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44" fillId="14" fontId="22" numFmtId="0" xfId="0" applyAlignment="1" applyBorder="1" applyFont="1">
      <alignment horizontal="center" vertical="bottom"/>
    </xf>
    <xf borderId="45" fillId="0" fontId="23" numFmtId="0" xfId="0" applyAlignment="1" applyBorder="1" applyFont="1">
      <alignment horizontal="center" vertical="bottom"/>
    </xf>
    <xf borderId="45" fillId="0" fontId="7" numFmtId="0" xfId="0" applyBorder="1" applyFont="1"/>
    <xf borderId="46" fillId="0" fontId="7" numFmtId="0" xfId="0" applyBorder="1" applyFont="1"/>
    <xf borderId="35" fillId="0" fontId="23" numFmtId="0" xfId="0" applyAlignment="1" applyBorder="1" applyFont="1">
      <alignment horizontal="right" vertical="bottom"/>
    </xf>
    <xf borderId="36" fillId="0" fontId="23" numFmtId="0" xfId="0" applyAlignment="1" applyBorder="1" applyFont="1">
      <alignment vertical="bottom"/>
    </xf>
    <xf borderId="33" fillId="0" fontId="23" numFmtId="0" xfId="0" applyAlignment="1" applyBorder="1" applyFont="1">
      <alignment horizontal="center" vertical="bottom"/>
    </xf>
    <xf borderId="17" fillId="0" fontId="23" numFmtId="0" xfId="0" applyAlignment="1" applyBorder="1" applyFont="1">
      <alignment horizontal="center" vertical="bottom"/>
    </xf>
    <xf borderId="20" fillId="0" fontId="10" numFmtId="0" xfId="0" applyAlignment="1" applyBorder="1" applyFont="1">
      <alignment vertical="bottom"/>
    </xf>
    <xf borderId="28" fillId="0" fontId="7" numFmtId="0" xfId="0" applyBorder="1" applyFont="1"/>
    <xf borderId="35" fillId="0" fontId="10" numFmtId="0" xfId="0" applyAlignment="1" applyBorder="1" applyFont="1">
      <alignment vertical="bottom"/>
    </xf>
    <xf borderId="36" fillId="0" fontId="10" numFmtId="0" xfId="0" applyAlignment="1" applyBorder="1" applyFont="1">
      <alignment vertical="bottom"/>
    </xf>
    <xf borderId="39" fillId="0" fontId="23" numFmtId="0" xfId="0" applyAlignment="1" applyBorder="1" applyFont="1">
      <alignment horizontal="center" vertical="bottom"/>
    </xf>
    <xf borderId="47" fillId="0" fontId="7" numFmtId="0" xfId="0" applyBorder="1" applyFont="1"/>
    <xf borderId="37" fillId="0" fontId="23" numFmtId="0" xfId="0" applyAlignment="1" applyBorder="1" applyFont="1">
      <alignment vertical="bottom"/>
    </xf>
    <xf quotePrefix="1" borderId="48" fillId="0" fontId="23" numFmtId="0" xfId="0" applyAlignment="1" applyBorder="1" applyFont="1">
      <alignment horizontal="center" vertical="bottom"/>
    </xf>
    <xf borderId="49" fillId="0" fontId="7" numFmtId="0" xfId="0" applyBorder="1" applyFont="1"/>
    <xf borderId="50" fillId="0" fontId="7" numFmtId="0" xfId="0" applyBorder="1" applyFont="1"/>
    <xf borderId="27" fillId="0" fontId="7" numFmtId="0" xfId="0" applyBorder="1" applyFont="1"/>
    <xf borderId="33" fillId="0" fontId="10" numFmtId="0" xfId="0" applyAlignment="1" applyBorder="1" applyFont="1">
      <alignment vertical="bottom"/>
    </xf>
    <xf borderId="37" fillId="0" fontId="23" numFmtId="0" xfId="0" applyAlignment="1" applyBorder="1" applyFont="1">
      <alignment horizontal="center" vertical="bottom"/>
    </xf>
    <xf borderId="4" fillId="17" fontId="22" numFmtId="0" xfId="0" applyAlignment="1" applyBorder="1" applyFont="1">
      <alignment vertical="bottom"/>
    </xf>
    <xf borderId="4" fillId="17" fontId="44" numFmtId="0" xfId="0" applyAlignment="1" applyBorder="1" applyFont="1">
      <alignment horizontal="center" vertical="bottom"/>
    </xf>
    <xf borderId="4" fillId="17" fontId="43" numFmtId="0" xfId="0" applyAlignment="1" applyBorder="1" applyFont="1">
      <alignment vertical="bottom"/>
    </xf>
    <xf borderId="4" fillId="3" fontId="22" numFmtId="0" xfId="0" applyAlignment="1" applyBorder="1" applyFont="1">
      <alignment horizontal="center" vertical="bottom"/>
    </xf>
    <xf borderId="37" fillId="0" fontId="22" numFmtId="0" xfId="0" applyAlignment="1" applyBorder="1" applyFont="1">
      <alignment vertical="top"/>
    </xf>
    <xf borderId="45" fillId="0" fontId="23" numFmtId="0" xfId="0" applyAlignment="1" applyBorder="1" applyFont="1">
      <alignment horizontal="center" readingOrder="0" vertical="bottom"/>
    </xf>
    <xf borderId="17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voila.id" TargetMode="External"/><Relationship Id="rId2" Type="http://schemas.openxmlformats.org/officeDocument/2006/relationships/hyperlink" Target="http://voila.id" TargetMode="External"/><Relationship Id="rId3" Type="http://schemas.openxmlformats.org/officeDocument/2006/relationships/hyperlink" Target="http://voila.id" TargetMode="External"/><Relationship Id="rId4" Type="http://schemas.openxmlformats.org/officeDocument/2006/relationships/hyperlink" Target="http://voila.id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8.0"/>
    <col customWidth="1" min="4" max="4" width="17.29"/>
    <col customWidth="1" min="5" max="5" width="11.43"/>
    <col customWidth="1" min="6" max="6" width="8.71"/>
    <col customWidth="1" min="7" max="7" width="15.0"/>
    <col customWidth="1" min="8" max="8" width="11.29"/>
    <col customWidth="1" min="9" max="9" width="7.86"/>
    <col customWidth="1" min="10" max="10" width="18.86"/>
    <col customWidth="1" min="11" max="11" width="11.43"/>
    <col customWidth="1" min="12" max="12" width="7.71"/>
    <col customWidth="1" min="13" max="13" width="17.57"/>
    <col customWidth="1" min="14" max="14" width="11.43"/>
    <col customWidth="1" min="15" max="15" width="7.14"/>
    <col customWidth="1" min="16" max="16" width="17.57"/>
    <col customWidth="1" min="17" max="17" width="11.86"/>
    <col customWidth="1" min="18" max="18" width="6.71"/>
    <col customWidth="1" min="19" max="19" width="11.71"/>
    <col customWidth="1" min="20" max="20" width="10.71"/>
    <col customWidth="1" min="21" max="21" width="5.71"/>
    <col customWidth="1" min="22" max="23" width="8.71"/>
    <col customWidth="1" min="24" max="24" width="19.0"/>
    <col customWidth="1" min="25" max="25" width="12.14"/>
    <col customWidth="1" min="26" max="26" width="8.71"/>
  </cols>
  <sheetData>
    <row r="1" ht="15.0" customHeight="1">
      <c r="A1" s="1" t="s">
        <v>0</v>
      </c>
      <c r="C1" s="2" t="s">
        <v>1</v>
      </c>
      <c r="F1" s="3"/>
      <c r="G1" s="4" t="s">
        <v>2</v>
      </c>
      <c r="Q1" s="3"/>
      <c r="W1" s="5"/>
      <c r="Y1" s="5"/>
    </row>
    <row r="2" ht="15.0" customHeight="1">
      <c r="A2" s="6" t="s">
        <v>3</v>
      </c>
      <c r="C2" s="7" t="s">
        <v>4</v>
      </c>
      <c r="F2" s="3"/>
      <c r="Q2" s="3"/>
      <c r="W2" s="5"/>
      <c r="Y2" s="5"/>
    </row>
    <row r="3" ht="15.0" customHeight="1">
      <c r="A3" s="6" t="s">
        <v>5</v>
      </c>
      <c r="F3" s="3"/>
      <c r="Q3" s="3"/>
      <c r="W3" s="5"/>
      <c r="Y3" s="5"/>
    </row>
    <row r="4" ht="15.0" customHeight="1">
      <c r="A4" s="6" t="s">
        <v>6</v>
      </c>
      <c r="C4" s="8"/>
      <c r="F4" s="3"/>
      <c r="G4" s="9"/>
      <c r="H4" s="9"/>
      <c r="I4" s="9"/>
      <c r="J4" s="9"/>
      <c r="K4" s="9"/>
      <c r="L4" s="9"/>
      <c r="M4" s="10"/>
      <c r="N4" s="9"/>
      <c r="O4" s="9"/>
      <c r="P4" s="9"/>
      <c r="Q4" s="3"/>
      <c r="W4" s="5"/>
      <c r="Y4" s="5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4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  <c r="W5" s="5"/>
      <c r="Y5" s="5"/>
    </row>
    <row r="6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7">
        <v>46143.0</v>
      </c>
      <c r="N6" s="12"/>
      <c r="O6" s="13"/>
      <c r="P6" s="16">
        <f>M6+1</f>
        <v>46144</v>
      </c>
      <c r="Q6" s="12"/>
      <c r="R6" s="13"/>
      <c r="S6" s="18">
        <f>P6+1</f>
        <v>46145</v>
      </c>
      <c r="T6" s="12"/>
      <c r="U6" s="13"/>
      <c r="W6" s="5"/>
      <c r="Y6" s="5"/>
    </row>
    <row r="7">
      <c r="A7" s="19"/>
      <c r="B7" s="19"/>
      <c r="C7" s="19"/>
      <c r="D7" s="19"/>
      <c r="E7" s="19"/>
      <c r="F7" s="19"/>
      <c r="G7" s="20"/>
      <c r="H7" s="20"/>
      <c r="I7" s="20"/>
      <c r="J7" s="21"/>
      <c r="K7" s="21"/>
      <c r="L7" s="21"/>
      <c r="M7" s="19"/>
      <c r="N7" s="19"/>
      <c r="O7" s="19"/>
      <c r="P7" s="19"/>
      <c r="Q7" s="21"/>
      <c r="R7" s="19"/>
      <c r="S7" s="22"/>
      <c r="T7" s="22"/>
      <c r="U7" s="22"/>
      <c r="W7" s="5"/>
      <c r="Y7" s="5"/>
    </row>
    <row r="8">
      <c r="A8" s="23"/>
      <c r="B8" s="23"/>
      <c r="C8" s="23"/>
      <c r="D8" s="23"/>
      <c r="E8" s="23"/>
      <c r="F8" s="23"/>
      <c r="G8" s="20"/>
      <c r="H8" s="20"/>
      <c r="I8" s="20"/>
      <c r="J8" s="21"/>
      <c r="K8" s="21"/>
      <c r="L8" s="21"/>
      <c r="M8" s="21"/>
      <c r="N8" s="21"/>
      <c r="O8" s="21"/>
      <c r="P8" s="24"/>
      <c r="Q8" s="24"/>
      <c r="R8" s="24"/>
      <c r="S8" s="22"/>
      <c r="T8" s="22"/>
      <c r="U8" s="22"/>
      <c r="W8" s="5"/>
      <c r="Y8" s="5"/>
    </row>
    <row r="9" ht="15.75" customHeight="1">
      <c r="A9" s="23"/>
      <c r="B9" s="23"/>
      <c r="C9" s="23"/>
      <c r="D9" s="23"/>
      <c r="E9" s="23"/>
      <c r="F9" s="23"/>
      <c r="G9" s="20"/>
      <c r="H9" s="20"/>
      <c r="I9" s="20"/>
      <c r="J9" s="21"/>
      <c r="K9" s="21"/>
      <c r="L9" s="21"/>
      <c r="M9" s="25" t="s">
        <v>14</v>
      </c>
      <c r="N9" s="12"/>
      <c r="O9" s="13"/>
      <c r="P9" s="24"/>
      <c r="Q9" s="24"/>
      <c r="R9" s="24"/>
      <c r="S9" s="25" t="s">
        <v>14</v>
      </c>
      <c r="T9" s="12"/>
      <c r="U9" s="13"/>
      <c r="W9" s="26" t="s">
        <v>15</v>
      </c>
      <c r="X9" s="27" t="s">
        <v>16</v>
      </c>
      <c r="Y9" s="28" t="s">
        <v>17</v>
      </c>
    </row>
    <row r="10">
      <c r="A10" s="19"/>
      <c r="B10" s="21"/>
      <c r="C10" s="19"/>
      <c r="D10" s="19"/>
      <c r="E10" s="21"/>
      <c r="F10" s="19"/>
      <c r="G10" s="24"/>
      <c r="H10" s="24"/>
      <c r="I10" s="24"/>
      <c r="J10" s="21"/>
      <c r="K10" s="21"/>
      <c r="L10" s="21"/>
      <c r="M10" s="21"/>
      <c r="N10" s="21"/>
      <c r="O10" s="21"/>
      <c r="P10" s="24"/>
      <c r="Q10" s="24"/>
      <c r="R10" s="24"/>
      <c r="S10" s="22"/>
      <c r="T10" s="22"/>
      <c r="U10" s="22"/>
      <c r="W10" s="29">
        <v>1.0</v>
      </c>
      <c r="X10" s="30"/>
      <c r="Y10" s="31">
        <f t="shared" ref="Y10:Y38" si="1">COUNTIF($A$5:$U$52,X10)</f>
        <v>0</v>
      </c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32"/>
      <c r="L11" s="32"/>
      <c r="M11" s="21"/>
      <c r="N11" s="21"/>
      <c r="O11" s="21"/>
      <c r="P11" s="24"/>
      <c r="Q11" s="24"/>
      <c r="R11" s="24"/>
      <c r="S11" s="22"/>
      <c r="T11" s="22"/>
      <c r="U11" s="22"/>
      <c r="W11" s="29">
        <v>2.0</v>
      </c>
      <c r="X11" s="30" t="s">
        <v>18</v>
      </c>
      <c r="Y11" s="31">
        <f t="shared" si="1"/>
        <v>2</v>
      </c>
    </row>
    <row r="12" ht="15.0" customHeight="1">
      <c r="A12" s="21"/>
      <c r="B12" s="21"/>
      <c r="C12" s="21"/>
      <c r="D12" s="21"/>
      <c r="E12" s="21"/>
      <c r="F12" s="21"/>
      <c r="G12" s="24"/>
      <c r="H12" s="24"/>
      <c r="I12" s="24"/>
      <c r="J12" s="19"/>
      <c r="K12" s="19"/>
      <c r="L12" s="19"/>
      <c r="M12" s="21"/>
      <c r="N12" s="21"/>
      <c r="O12" s="21"/>
      <c r="P12" s="32"/>
      <c r="Q12" s="32"/>
      <c r="R12" s="32"/>
      <c r="S12" s="22"/>
      <c r="T12" s="22"/>
      <c r="U12" s="22"/>
      <c r="W12" s="29">
        <v>3.0</v>
      </c>
      <c r="X12" s="30" t="s">
        <v>19</v>
      </c>
      <c r="Y12" s="31">
        <f t="shared" si="1"/>
        <v>2</v>
      </c>
    </row>
    <row r="13" ht="15.75" customHeight="1">
      <c r="A13" s="33" t="s">
        <v>7</v>
      </c>
      <c r="B13" s="12"/>
      <c r="C13" s="13"/>
      <c r="D13" s="33" t="s">
        <v>8</v>
      </c>
      <c r="E13" s="12"/>
      <c r="F13" s="13"/>
      <c r="G13" s="33" t="s">
        <v>9</v>
      </c>
      <c r="H13" s="12"/>
      <c r="I13" s="13"/>
      <c r="J13" s="34" t="s">
        <v>10</v>
      </c>
      <c r="K13" s="12"/>
      <c r="L13" s="13"/>
      <c r="M13" s="33" t="s">
        <v>11</v>
      </c>
      <c r="N13" s="12"/>
      <c r="O13" s="13"/>
      <c r="P13" s="33" t="s">
        <v>12</v>
      </c>
      <c r="Q13" s="12"/>
      <c r="R13" s="13"/>
      <c r="S13" s="35" t="s">
        <v>13</v>
      </c>
      <c r="T13" s="12"/>
      <c r="U13" s="13"/>
      <c r="W13" s="29">
        <v>4.0</v>
      </c>
      <c r="X13" s="30" t="s">
        <v>20</v>
      </c>
      <c r="Y13" s="31">
        <f t="shared" si="1"/>
        <v>2</v>
      </c>
    </row>
    <row r="14">
      <c r="A14" s="36">
        <f>S6+1</f>
        <v>46146</v>
      </c>
      <c r="B14" s="12"/>
      <c r="C14" s="13"/>
      <c r="D14" s="36">
        <f>A14+1</f>
        <v>46147</v>
      </c>
      <c r="E14" s="12"/>
      <c r="F14" s="13"/>
      <c r="G14" s="36">
        <f>D14+1</f>
        <v>46148</v>
      </c>
      <c r="H14" s="12"/>
      <c r="I14" s="13"/>
      <c r="J14" s="36">
        <f>G14+1</f>
        <v>46149</v>
      </c>
      <c r="K14" s="12"/>
      <c r="L14" s="13"/>
      <c r="M14" s="36">
        <f>J14+1</f>
        <v>46150</v>
      </c>
      <c r="N14" s="12"/>
      <c r="O14" s="13"/>
      <c r="P14" s="36">
        <f>M14+1</f>
        <v>46151</v>
      </c>
      <c r="Q14" s="12"/>
      <c r="R14" s="13"/>
      <c r="S14" s="37">
        <f>P14+1</f>
        <v>46152</v>
      </c>
      <c r="T14" s="12"/>
      <c r="U14" s="13"/>
      <c r="W14" s="29">
        <v>5.0</v>
      </c>
      <c r="X14" s="30" t="s">
        <v>21</v>
      </c>
      <c r="Y14" s="31">
        <f t="shared" si="1"/>
        <v>2</v>
      </c>
    </row>
    <row r="15" ht="15.75" customHeight="1">
      <c r="A15" s="19"/>
      <c r="B15" s="19"/>
      <c r="C15" s="19"/>
      <c r="D15" s="19"/>
      <c r="E15" s="19"/>
      <c r="F15" s="19"/>
      <c r="G15" s="22"/>
      <c r="H15" s="22"/>
      <c r="I15" s="22"/>
      <c r="J15" s="24"/>
      <c r="K15" s="24"/>
      <c r="L15" s="24"/>
      <c r="M15" s="21"/>
      <c r="N15" s="21"/>
      <c r="O15" s="21"/>
      <c r="P15" s="32"/>
      <c r="Q15" s="32"/>
      <c r="R15" s="32"/>
      <c r="S15" s="22"/>
      <c r="T15" s="22"/>
      <c r="U15" s="22"/>
      <c r="W15" s="29">
        <v>6.0</v>
      </c>
      <c r="X15" s="30" t="s">
        <v>22</v>
      </c>
      <c r="Y15" s="31">
        <f t="shared" si="1"/>
        <v>2</v>
      </c>
    </row>
    <row r="16">
      <c r="A16" s="21" t="s">
        <v>23</v>
      </c>
      <c r="B16" s="19" t="s">
        <v>24</v>
      </c>
      <c r="C16" s="19" t="s">
        <v>25</v>
      </c>
      <c r="D16" s="21" t="s">
        <v>21</v>
      </c>
      <c r="E16" s="21" t="s">
        <v>26</v>
      </c>
      <c r="F16" s="21" t="s">
        <v>27</v>
      </c>
      <c r="G16" s="24"/>
      <c r="H16" s="24"/>
      <c r="I16" s="24"/>
      <c r="J16" s="24"/>
      <c r="K16" s="24"/>
      <c r="L16" s="24"/>
      <c r="M16" s="21"/>
      <c r="N16" s="38"/>
      <c r="O16" s="21"/>
      <c r="P16" s="32"/>
      <c r="Q16" s="32"/>
      <c r="R16" s="32"/>
      <c r="S16" s="39"/>
      <c r="T16" s="39"/>
      <c r="U16" s="39"/>
      <c r="W16" s="29">
        <v>7.0</v>
      </c>
      <c r="X16" s="30" t="s">
        <v>28</v>
      </c>
      <c r="Y16" s="31">
        <f t="shared" si="1"/>
        <v>2</v>
      </c>
    </row>
    <row r="17" ht="15.75" customHeight="1">
      <c r="A17" s="21" t="s">
        <v>29</v>
      </c>
      <c r="B17" s="21" t="s">
        <v>26</v>
      </c>
      <c r="C17" s="21" t="s">
        <v>25</v>
      </c>
      <c r="D17" s="21" t="s">
        <v>30</v>
      </c>
      <c r="E17" s="40" t="s">
        <v>31</v>
      </c>
      <c r="F17" s="40" t="s">
        <v>27</v>
      </c>
      <c r="G17" s="21" t="s">
        <v>32</v>
      </c>
      <c r="H17" s="21" t="s">
        <v>33</v>
      </c>
      <c r="I17" s="21" t="s">
        <v>34</v>
      </c>
      <c r="J17" s="21" t="s">
        <v>35</v>
      </c>
      <c r="K17" s="21" t="s">
        <v>36</v>
      </c>
      <c r="L17" s="21" t="s">
        <v>25</v>
      </c>
      <c r="M17" s="21" t="s">
        <v>37</v>
      </c>
      <c r="N17" s="21" t="s">
        <v>38</v>
      </c>
      <c r="O17" s="21" t="s">
        <v>25</v>
      </c>
      <c r="P17" s="21" t="s">
        <v>28</v>
      </c>
      <c r="Q17" s="41" t="s">
        <v>39</v>
      </c>
      <c r="R17" s="21" t="s">
        <v>34</v>
      </c>
      <c r="S17" s="42" t="s">
        <v>14</v>
      </c>
      <c r="T17" s="12"/>
      <c r="U17" s="13"/>
      <c r="W17" s="29">
        <v>8.0</v>
      </c>
      <c r="X17" s="30" t="s">
        <v>35</v>
      </c>
      <c r="Y17" s="31">
        <f t="shared" si="1"/>
        <v>2</v>
      </c>
    </row>
    <row r="18" ht="15.75" customHeight="1">
      <c r="A18" s="21" t="s">
        <v>18</v>
      </c>
      <c r="B18" s="21" t="s">
        <v>40</v>
      </c>
      <c r="C18" s="21" t="s">
        <v>25</v>
      </c>
      <c r="D18" s="21" t="s">
        <v>19</v>
      </c>
      <c r="E18" s="21" t="s">
        <v>41</v>
      </c>
      <c r="F18" s="21" t="s">
        <v>25</v>
      </c>
      <c r="G18" s="21" t="s">
        <v>42</v>
      </c>
      <c r="H18" s="21" t="s">
        <v>26</v>
      </c>
      <c r="I18" s="21" t="s">
        <v>25</v>
      </c>
      <c r="J18" s="43" t="s">
        <v>20</v>
      </c>
      <c r="K18" s="44" t="s">
        <v>26</v>
      </c>
      <c r="L18" s="43" t="s">
        <v>27</v>
      </c>
      <c r="M18" s="21" t="s">
        <v>43</v>
      </c>
      <c r="N18" s="21" t="s">
        <v>26</v>
      </c>
      <c r="O18" s="32" t="s">
        <v>25</v>
      </c>
      <c r="P18" s="21"/>
      <c r="Q18" s="21"/>
      <c r="R18" s="21"/>
      <c r="S18" s="22"/>
      <c r="T18" s="22"/>
      <c r="U18" s="22"/>
      <c r="W18" s="29">
        <v>9.0</v>
      </c>
      <c r="X18" s="30"/>
      <c r="Y18" s="31">
        <f t="shared" si="1"/>
        <v>0</v>
      </c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1"/>
      <c r="K19" s="21"/>
      <c r="L19" s="21"/>
      <c r="M19" s="24"/>
      <c r="N19" s="24"/>
      <c r="O19" s="24"/>
      <c r="P19" s="21"/>
      <c r="Q19" s="21"/>
      <c r="R19" s="21"/>
      <c r="S19" s="22"/>
      <c r="T19" s="22"/>
      <c r="U19" s="22"/>
      <c r="W19" s="29">
        <v>10.0</v>
      </c>
      <c r="X19" s="30" t="s">
        <v>44</v>
      </c>
      <c r="Y19" s="31">
        <f t="shared" si="1"/>
        <v>4</v>
      </c>
    </row>
    <row r="20" ht="15.75" customHeight="1">
      <c r="A20" s="21"/>
      <c r="B20" s="21"/>
      <c r="C20" s="21"/>
      <c r="D20" s="21"/>
      <c r="E20" s="21"/>
      <c r="F20" s="21"/>
      <c r="G20" s="32"/>
      <c r="H20" s="32"/>
      <c r="I20" s="32"/>
      <c r="J20" s="21"/>
      <c r="K20" s="21"/>
      <c r="L20" s="21"/>
      <c r="M20" s="21"/>
      <c r="N20" s="21"/>
      <c r="O20" s="21"/>
      <c r="P20" s="21"/>
      <c r="Q20" s="21"/>
      <c r="R20" s="21"/>
      <c r="S20" s="22"/>
      <c r="T20" s="22"/>
      <c r="U20" s="22"/>
      <c r="W20" s="29">
        <v>11.0</v>
      </c>
      <c r="X20" s="30" t="s">
        <v>45</v>
      </c>
      <c r="Y20" s="31">
        <f t="shared" si="1"/>
        <v>4</v>
      </c>
    </row>
    <row r="21" ht="16.5" customHeight="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4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  <c r="W21" s="29">
        <v>12.0</v>
      </c>
      <c r="X21" s="30" t="s">
        <v>46</v>
      </c>
      <c r="Y21" s="31">
        <f t="shared" si="1"/>
        <v>4</v>
      </c>
    </row>
    <row r="22" ht="15.75" customHeight="1">
      <c r="A22" s="16">
        <f>S14+1</f>
        <v>46153</v>
      </c>
      <c r="B22" s="12"/>
      <c r="C22" s="13"/>
      <c r="D22" s="16">
        <f>A22+1</f>
        <v>46154</v>
      </c>
      <c r="E22" s="12"/>
      <c r="F22" s="13"/>
      <c r="G22" s="16">
        <f>D22+1</f>
        <v>46155</v>
      </c>
      <c r="H22" s="12"/>
      <c r="I22" s="13"/>
      <c r="J22" s="18">
        <f>G22+1</f>
        <v>46156</v>
      </c>
      <c r="K22" s="12"/>
      <c r="L22" s="13"/>
      <c r="M22" s="16">
        <f>J22+1</f>
        <v>46157</v>
      </c>
      <c r="N22" s="12"/>
      <c r="O22" s="13"/>
      <c r="P22" s="16">
        <f>M22+1</f>
        <v>46158</v>
      </c>
      <c r="Q22" s="12"/>
      <c r="R22" s="13"/>
      <c r="S22" s="18">
        <f>P22+1</f>
        <v>46159</v>
      </c>
      <c r="T22" s="12"/>
      <c r="U22" s="13"/>
      <c r="W22" s="29">
        <v>13.0</v>
      </c>
      <c r="X22" s="45" t="s">
        <v>47</v>
      </c>
      <c r="Y22" s="31">
        <f t="shared" si="1"/>
        <v>3</v>
      </c>
    </row>
    <row r="23" ht="15.75" customHeight="1">
      <c r="A23" s="21"/>
      <c r="B23" s="21"/>
      <c r="C23" s="21"/>
      <c r="D23" s="22"/>
      <c r="E23" s="22"/>
      <c r="F23" s="22"/>
      <c r="G23" s="21"/>
      <c r="H23" s="21"/>
      <c r="I23" s="21"/>
      <c r="J23" s="21"/>
      <c r="K23" s="21"/>
      <c r="L23" s="21"/>
      <c r="M23" s="24"/>
      <c r="N23" s="24"/>
      <c r="O23" s="24"/>
      <c r="P23" s="24"/>
      <c r="Q23" s="24"/>
      <c r="R23" s="24"/>
      <c r="S23" s="22"/>
      <c r="T23" s="22"/>
      <c r="U23" s="22"/>
      <c r="W23" s="29">
        <v>14.0</v>
      </c>
      <c r="X23" s="30" t="s">
        <v>48</v>
      </c>
      <c r="Y23" s="31">
        <f t="shared" si="1"/>
        <v>2</v>
      </c>
    </row>
    <row r="24">
      <c r="A24" s="21"/>
      <c r="B24" s="21"/>
      <c r="C24" s="21"/>
      <c r="D24" s="22"/>
      <c r="E24" s="22"/>
      <c r="F24" s="22"/>
      <c r="G24" s="24"/>
      <c r="H24" s="24"/>
      <c r="I24" s="24"/>
      <c r="J24" s="24"/>
      <c r="K24" s="24"/>
      <c r="L24" s="24"/>
      <c r="M24" s="21" t="s">
        <v>45</v>
      </c>
      <c r="N24" s="46"/>
      <c r="O24" s="21" t="s">
        <v>25</v>
      </c>
      <c r="P24" s="32" t="s">
        <v>47</v>
      </c>
      <c r="Q24" s="32" t="s">
        <v>49</v>
      </c>
      <c r="R24" s="32" t="s">
        <v>34</v>
      </c>
      <c r="S24" s="39"/>
      <c r="T24" s="39"/>
      <c r="U24" s="39"/>
      <c r="W24" s="29">
        <v>15.0</v>
      </c>
      <c r="X24" s="30" t="s">
        <v>37</v>
      </c>
      <c r="Y24" s="31">
        <f t="shared" si="1"/>
        <v>2</v>
      </c>
    </row>
    <row r="25" ht="15.75" customHeight="1">
      <c r="A25" s="47" t="s">
        <v>50</v>
      </c>
      <c r="B25" s="32" t="s">
        <v>49</v>
      </c>
      <c r="C25" s="47" t="s">
        <v>25</v>
      </c>
      <c r="D25" s="21" t="s">
        <v>51</v>
      </c>
      <c r="E25" s="21" t="s">
        <v>52</v>
      </c>
      <c r="F25" s="21" t="s">
        <v>34</v>
      </c>
      <c r="G25" s="21" t="s">
        <v>48</v>
      </c>
      <c r="H25" s="21" t="s">
        <v>53</v>
      </c>
      <c r="I25" s="21" t="s">
        <v>34</v>
      </c>
      <c r="J25" s="25" t="s">
        <v>14</v>
      </c>
      <c r="K25" s="12"/>
      <c r="L25" s="13"/>
      <c r="M25" s="21" t="s">
        <v>44</v>
      </c>
      <c r="N25" s="48"/>
      <c r="O25" s="21" t="s">
        <v>34</v>
      </c>
      <c r="P25" s="21" t="s">
        <v>54</v>
      </c>
      <c r="Q25" s="21" t="s">
        <v>24</v>
      </c>
      <c r="R25" s="21" t="s">
        <v>34</v>
      </c>
      <c r="S25" s="42" t="s">
        <v>14</v>
      </c>
      <c r="T25" s="12"/>
      <c r="U25" s="13"/>
      <c r="W25" s="29">
        <v>16.0</v>
      </c>
      <c r="X25" s="30" t="s">
        <v>51</v>
      </c>
      <c r="Y25" s="31">
        <f t="shared" si="1"/>
        <v>2</v>
      </c>
    </row>
    <row r="26" ht="15.75" customHeight="1">
      <c r="A26" s="21" t="s">
        <v>23</v>
      </c>
      <c r="B26" s="21" t="s">
        <v>24</v>
      </c>
      <c r="C26" s="21" t="s">
        <v>25</v>
      </c>
      <c r="D26" s="32" t="s">
        <v>55</v>
      </c>
      <c r="E26" s="32" t="s">
        <v>56</v>
      </c>
      <c r="F26" s="32" t="s">
        <v>25</v>
      </c>
      <c r="G26" s="19" t="s">
        <v>57</v>
      </c>
      <c r="H26" s="19" t="s">
        <v>49</v>
      </c>
      <c r="I26" s="19" t="s">
        <v>34</v>
      </c>
      <c r="J26" s="24"/>
      <c r="K26" s="24"/>
      <c r="L26" s="24"/>
      <c r="M26" s="21" t="s">
        <v>46</v>
      </c>
      <c r="N26" s="49"/>
      <c r="O26" s="21" t="s">
        <v>25</v>
      </c>
      <c r="P26" s="24"/>
      <c r="Q26" s="24"/>
      <c r="R26" s="24"/>
      <c r="S26" s="22"/>
      <c r="T26" s="22"/>
      <c r="U26" s="22"/>
      <c r="W26" s="29">
        <v>17.0</v>
      </c>
      <c r="X26" s="30" t="s">
        <v>57</v>
      </c>
      <c r="Y26" s="31">
        <f t="shared" si="1"/>
        <v>2</v>
      </c>
    </row>
    <row r="27" ht="15.75" customHeight="1">
      <c r="A27" s="24"/>
      <c r="B27" s="24"/>
      <c r="C27" s="24"/>
      <c r="D27" s="24"/>
      <c r="E27" s="24"/>
      <c r="F27" s="24"/>
      <c r="G27" s="21" t="s">
        <v>23</v>
      </c>
      <c r="H27" s="40" t="s">
        <v>58</v>
      </c>
      <c r="I27" s="21" t="s">
        <v>25</v>
      </c>
      <c r="J27" s="21"/>
      <c r="K27" s="21"/>
      <c r="L27" s="21"/>
      <c r="M27" s="21" t="s">
        <v>59</v>
      </c>
      <c r="N27" s="21" t="s">
        <v>36</v>
      </c>
      <c r="O27" s="21" t="s">
        <v>25</v>
      </c>
      <c r="P27" s="32"/>
      <c r="Q27" s="32"/>
      <c r="R27" s="32"/>
      <c r="S27" s="22"/>
      <c r="T27" s="22"/>
      <c r="U27" s="22"/>
      <c r="W27" s="29">
        <v>18.0</v>
      </c>
      <c r="X27" s="30" t="s">
        <v>43</v>
      </c>
      <c r="Y27" s="31">
        <f t="shared" si="1"/>
        <v>2</v>
      </c>
    </row>
    <row r="28" ht="15.75" customHeight="1">
      <c r="A28" s="32"/>
      <c r="B28" s="32"/>
      <c r="C28" s="32"/>
      <c r="D28" s="22"/>
      <c r="E28" s="22"/>
      <c r="F28" s="22"/>
      <c r="G28" s="21"/>
      <c r="H28" s="21"/>
      <c r="I28" s="32"/>
      <c r="J28" s="21"/>
      <c r="K28" s="21"/>
      <c r="L28" s="21"/>
      <c r="M28" s="21" t="s">
        <v>22</v>
      </c>
      <c r="N28" s="21" t="s">
        <v>60</v>
      </c>
      <c r="O28" s="21" t="s">
        <v>25</v>
      </c>
      <c r="P28" s="32"/>
      <c r="Q28" s="32"/>
      <c r="R28" s="32"/>
      <c r="S28" s="22"/>
      <c r="T28" s="22"/>
      <c r="U28" s="22"/>
      <c r="W28" s="29">
        <v>19.0</v>
      </c>
      <c r="X28" s="30" t="s">
        <v>54</v>
      </c>
      <c r="Y28" s="31">
        <f t="shared" si="1"/>
        <v>2</v>
      </c>
    </row>
    <row r="29" ht="15.75" customHeight="1">
      <c r="A29" s="33" t="s">
        <v>7</v>
      </c>
      <c r="B29" s="12"/>
      <c r="C29" s="13"/>
      <c r="D29" s="33" t="s">
        <v>8</v>
      </c>
      <c r="E29" s="12"/>
      <c r="F29" s="13"/>
      <c r="G29" s="33" t="s">
        <v>9</v>
      </c>
      <c r="H29" s="12"/>
      <c r="I29" s="13"/>
      <c r="J29" s="33" t="s">
        <v>10</v>
      </c>
      <c r="K29" s="12"/>
      <c r="L29" s="13"/>
      <c r="M29" s="33" t="s">
        <v>11</v>
      </c>
      <c r="N29" s="12"/>
      <c r="O29" s="13"/>
      <c r="P29" s="33" t="s">
        <v>12</v>
      </c>
      <c r="Q29" s="12"/>
      <c r="R29" s="13"/>
      <c r="S29" s="35" t="s">
        <v>13</v>
      </c>
      <c r="T29" s="12"/>
      <c r="U29" s="13"/>
      <c r="W29" s="29">
        <v>20.0</v>
      </c>
      <c r="X29" s="30" t="s">
        <v>55</v>
      </c>
      <c r="Y29" s="31">
        <f t="shared" si="1"/>
        <v>2</v>
      </c>
    </row>
    <row r="30" ht="15.75" customHeight="1">
      <c r="A30" s="50">
        <f>S22+1</f>
        <v>46160</v>
      </c>
      <c r="B30" s="12"/>
      <c r="C30" s="13"/>
      <c r="D30" s="50">
        <f>A30+1</f>
        <v>46161</v>
      </c>
      <c r="E30" s="12"/>
      <c r="F30" s="13"/>
      <c r="G30" s="50">
        <f>D30+1</f>
        <v>46162</v>
      </c>
      <c r="H30" s="12"/>
      <c r="I30" s="13"/>
      <c r="J30" s="50">
        <f>G30+1</f>
        <v>46163</v>
      </c>
      <c r="K30" s="12"/>
      <c r="L30" s="13"/>
      <c r="M30" s="50">
        <f>J30+1</f>
        <v>46164</v>
      </c>
      <c r="N30" s="12"/>
      <c r="O30" s="13"/>
      <c r="P30" s="50">
        <f>M30+1</f>
        <v>46165</v>
      </c>
      <c r="Q30" s="12"/>
      <c r="R30" s="13"/>
      <c r="S30" s="50">
        <f>P30+1</f>
        <v>46166</v>
      </c>
      <c r="T30" s="12"/>
      <c r="U30" s="13"/>
      <c r="W30" s="29">
        <v>21.0</v>
      </c>
      <c r="X30" s="30" t="s">
        <v>29</v>
      </c>
      <c r="Y30" s="31">
        <f t="shared" si="1"/>
        <v>2</v>
      </c>
    </row>
    <row r="31" ht="15.75" customHeight="1">
      <c r="A31" s="19"/>
      <c r="B31" s="19"/>
      <c r="C31" s="19"/>
      <c r="D31" s="21"/>
      <c r="E31" s="38"/>
      <c r="F31" s="21"/>
      <c r="G31" s="19"/>
      <c r="H31" s="19"/>
      <c r="I31" s="19"/>
      <c r="J31" s="24"/>
      <c r="K31" s="24"/>
      <c r="L31" s="24"/>
      <c r="M31" s="51" t="s">
        <v>45</v>
      </c>
      <c r="N31" s="52"/>
      <c r="O31" s="51" t="s">
        <v>25</v>
      </c>
      <c r="P31" s="32"/>
      <c r="Q31" s="32"/>
      <c r="R31" s="32"/>
      <c r="S31" s="22"/>
      <c r="T31" s="22"/>
      <c r="U31" s="22"/>
      <c r="W31" s="29">
        <v>22.0</v>
      </c>
      <c r="X31" s="30" t="s">
        <v>23</v>
      </c>
      <c r="Y31" s="31">
        <f t="shared" si="1"/>
        <v>5</v>
      </c>
    </row>
    <row r="32">
      <c r="A32" s="21" t="s">
        <v>23</v>
      </c>
      <c r="B32" s="21" t="s">
        <v>24</v>
      </c>
      <c r="C32" s="19" t="s">
        <v>25</v>
      </c>
      <c r="D32" s="21" t="s">
        <v>21</v>
      </c>
      <c r="E32" s="21" t="s">
        <v>26</v>
      </c>
      <c r="F32" s="21" t="s">
        <v>27</v>
      </c>
      <c r="G32" s="21" t="s">
        <v>32</v>
      </c>
      <c r="H32" s="21" t="s">
        <v>33</v>
      </c>
      <c r="I32" s="21" t="s">
        <v>34</v>
      </c>
      <c r="J32" s="21" t="s">
        <v>35</v>
      </c>
      <c r="K32" s="21" t="s">
        <v>36</v>
      </c>
      <c r="L32" s="21" t="s">
        <v>25</v>
      </c>
      <c r="M32" s="51" t="s">
        <v>44</v>
      </c>
      <c r="N32" s="48"/>
      <c r="O32" s="51" t="s">
        <v>34</v>
      </c>
      <c r="P32" s="21" t="s">
        <v>28</v>
      </c>
      <c r="Q32" s="53" t="s">
        <v>52</v>
      </c>
      <c r="R32" s="21" t="s">
        <v>34</v>
      </c>
      <c r="S32" s="39"/>
      <c r="T32" s="39"/>
      <c r="U32" s="39"/>
      <c r="W32" s="29">
        <v>23.0</v>
      </c>
      <c r="X32" s="30"/>
      <c r="Y32" s="31">
        <f t="shared" si="1"/>
        <v>0</v>
      </c>
    </row>
    <row r="33" ht="15.75" customHeight="1">
      <c r="A33" s="21" t="s">
        <v>29</v>
      </c>
      <c r="B33" s="21" t="s">
        <v>26</v>
      </c>
      <c r="C33" s="21" t="s">
        <v>25</v>
      </c>
      <c r="D33" s="21" t="s">
        <v>30</v>
      </c>
      <c r="E33" s="40" t="s">
        <v>31</v>
      </c>
      <c r="F33" s="54" t="s">
        <v>27</v>
      </c>
      <c r="G33" s="21" t="s">
        <v>42</v>
      </c>
      <c r="H33" s="21" t="s">
        <v>26</v>
      </c>
      <c r="I33" s="21" t="s">
        <v>25</v>
      </c>
      <c r="J33" s="43" t="s">
        <v>20</v>
      </c>
      <c r="K33" s="44" t="s">
        <v>26</v>
      </c>
      <c r="L33" s="43" t="s">
        <v>27</v>
      </c>
      <c r="M33" s="51" t="s">
        <v>46</v>
      </c>
      <c r="N33" s="49"/>
      <c r="O33" s="51" t="s">
        <v>25</v>
      </c>
      <c r="P33" s="51" t="s">
        <v>45</v>
      </c>
      <c r="Q33" s="52" t="s">
        <v>61</v>
      </c>
      <c r="R33" s="51" t="s">
        <v>25</v>
      </c>
      <c r="S33" s="42" t="s">
        <v>14</v>
      </c>
      <c r="T33" s="12"/>
      <c r="U33" s="13"/>
      <c r="W33" s="29">
        <v>24.0</v>
      </c>
      <c r="X33" s="30" t="s">
        <v>50</v>
      </c>
      <c r="Y33" s="31">
        <f t="shared" si="1"/>
        <v>3</v>
      </c>
    </row>
    <row r="34" ht="15.75" customHeight="1">
      <c r="A34" s="21" t="s">
        <v>18</v>
      </c>
      <c r="B34" s="21" t="s">
        <v>40</v>
      </c>
      <c r="C34" s="21" t="s">
        <v>62</v>
      </c>
      <c r="D34" s="21" t="s">
        <v>19</v>
      </c>
      <c r="E34" s="21" t="s">
        <v>41</v>
      </c>
      <c r="F34" s="32" t="s">
        <v>62</v>
      </c>
      <c r="G34" s="24"/>
      <c r="H34" s="24"/>
      <c r="I34" s="24"/>
      <c r="J34" s="24"/>
      <c r="K34" s="24"/>
      <c r="L34" s="24"/>
      <c r="M34" s="21" t="s">
        <v>37</v>
      </c>
      <c r="N34" s="21" t="s">
        <v>38</v>
      </c>
      <c r="O34" s="21" t="s">
        <v>25</v>
      </c>
      <c r="P34" s="51" t="s">
        <v>44</v>
      </c>
      <c r="Q34" s="48"/>
      <c r="R34" s="51" t="s">
        <v>34</v>
      </c>
      <c r="S34" s="22"/>
      <c r="T34" s="22"/>
      <c r="U34" s="22"/>
      <c r="W34" s="29">
        <v>25.0</v>
      </c>
      <c r="X34" s="30" t="s">
        <v>59</v>
      </c>
      <c r="Y34" s="31">
        <f t="shared" si="1"/>
        <v>2</v>
      </c>
    </row>
    <row r="35" ht="15.75" customHeight="1">
      <c r="A35" s="24"/>
      <c r="B35" s="24"/>
      <c r="C35" s="24"/>
      <c r="D35" s="24"/>
      <c r="E35" s="24"/>
      <c r="F35" s="24"/>
      <c r="G35" s="21"/>
      <c r="H35" s="21"/>
      <c r="I35" s="21"/>
      <c r="J35" s="21"/>
      <c r="K35" s="21"/>
      <c r="L35" s="21"/>
      <c r="M35" s="21" t="s">
        <v>43</v>
      </c>
      <c r="N35" s="21" t="s">
        <v>26</v>
      </c>
      <c r="O35" s="32" t="s">
        <v>25</v>
      </c>
      <c r="P35" s="51" t="s">
        <v>46</v>
      </c>
      <c r="Q35" s="49"/>
      <c r="R35" s="51" t="s">
        <v>25</v>
      </c>
      <c r="S35" s="22"/>
      <c r="T35" s="22"/>
      <c r="U35" s="22"/>
      <c r="W35" s="29">
        <v>26.0</v>
      </c>
      <c r="X35" s="30" t="s">
        <v>42</v>
      </c>
      <c r="Y35" s="31">
        <f t="shared" si="1"/>
        <v>2</v>
      </c>
    </row>
    <row r="36" ht="15.75" customHeight="1">
      <c r="A36" s="24"/>
      <c r="B36" s="24"/>
      <c r="C36" s="24"/>
      <c r="D36" s="21"/>
      <c r="E36" s="21"/>
      <c r="F36" s="21"/>
      <c r="G36" s="21"/>
      <c r="H36" s="21"/>
      <c r="I36" s="21"/>
      <c r="J36" s="21"/>
      <c r="K36" s="21"/>
      <c r="L36" s="32"/>
      <c r="M36" s="22"/>
      <c r="N36" s="22"/>
      <c r="O36" s="22"/>
      <c r="P36" s="32"/>
      <c r="Q36" s="32"/>
      <c r="R36" s="32"/>
      <c r="S36" s="20"/>
      <c r="T36" s="20"/>
      <c r="U36" s="20"/>
      <c r="W36" s="29">
        <v>27.0</v>
      </c>
      <c r="X36" s="30" t="s">
        <v>30</v>
      </c>
      <c r="Y36" s="31">
        <f t="shared" si="1"/>
        <v>2</v>
      </c>
    </row>
    <row r="37" ht="16.5" customHeight="1">
      <c r="A37" s="11" t="s">
        <v>7</v>
      </c>
      <c r="B37" s="12"/>
      <c r="C37" s="13"/>
      <c r="D37" s="11" t="s">
        <v>8</v>
      </c>
      <c r="E37" s="12"/>
      <c r="F37" s="13"/>
      <c r="G37" s="14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 t="s">
        <v>13</v>
      </c>
      <c r="T37" s="12"/>
      <c r="U37" s="13"/>
      <c r="W37" s="29">
        <v>28.0</v>
      </c>
      <c r="X37" s="30"/>
      <c r="Y37" s="31">
        <f t="shared" si="1"/>
        <v>0</v>
      </c>
    </row>
    <row r="38" ht="15.75" customHeight="1">
      <c r="A38" s="16">
        <f>S30+1</f>
        <v>46167</v>
      </c>
      <c r="B38" s="12"/>
      <c r="C38" s="13"/>
      <c r="D38" s="16">
        <f>A38+1</f>
        <v>46168</v>
      </c>
      <c r="E38" s="12"/>
      <c r="F38" s="13"/>
      <c r="G38" s="18">
        <f>D38+1</f>
        <v>46169</v>
      </c>
      <c r="H38" s="12"/>
      <c r="I38" s="13"/>
      <c r="J38" s="16">
        <f>G38+1</f>
        <v>46170</v>
      </c>
      <c r="K38" s="12"/>
      <c r="L38" s="13"/>
      <c r="M38" s="16">
        <f>J38+1</f>
        <v>46171</v>
      </c>
      <c r="N38" s="12"/>
      <c r="O38" s="13"/>
      <c r="P38" s="16">
        <f>M38+1</f>
        <v>46172</v>
      </c>
      <c r="Q38" s="12"/>
      <c r="R38" s="13"/>
      <c r="S38" s="16">
        <f>P38+1</f>
        <v>46173</v>
      </c>
      <c r="T38" s="12"/>
      <c r="U38" s="13"/>
      <c r="V38" s="55">
        <v>29.0</v>
      </c>
      <c r="W38" s="29">
        <v>29.0</v>
      </c>
      <c r="X38" s="30" t="s">
        <v>32</v>
      </c>
      <c r="Y38" s="31">
        <f t="shared" si="1"/>
        <v>2</v>
      </c>
    </row>
    <row r="39" ht="15.75" customHeight="1">
      <c r="A39" s="21"/>
      <c r="B39" s="21"/>
      <c r="C39" s="21"/>
      <c r="D39" s="19"/>
      <c r="E39" s="19"/>
      <c r="F39" s="19"/>
      <c r="G39" s="19"/>
      <c r="H39" s="19"/>
      <c r="I39" s="19"/>
      <c r="J39" s="24"/>
      <c r="K39" s="24"/>
      <c r="L39" s="24"/>
      <c r="M39" s="21" t="s">
        <v>45</v>
      </c>
      <c r="N39" s="46" t="s">
        <v>61</v>
      </c>
      <c r="O39" s="21" t="s">
        <v>25</v>
      </c>
      <c r="P39" s="19"/>
      <c r="Q39" s="19"/>
      <c r="R39" s="19"/>
      <c r="S39" s="22"/>
      <c r="T39" s="22"/>
      <c r="U39" s="22"/>
      <c r="W39" s="29">
        <v>30.0</v>
      </c>
      <c r="X39" s="56"/>
      <c r="Y39" s="31"/>
    </row>
    <row r="40">
      <c r="A40" s="51" t="s">
        <v>47</v>
      </c>
      <c r="B40" s="51" t="s">
        <v>49</v>
      </c>
      <c r="C40" s="51" t="s">
        <v>34</v>
      </c>
      <c r="D40" s="21"/>
      <c r="E40" s="21"/>
      <c r="F40" s="21"/>
      <c r="G40" s="24"/>
      <c r="H40" s="24"/>
      <c r="I40" s="24"/>
      <c r="J40" s="24"/>
      <c r="K40" s="24"/>
      <c r="L40" s="24"/>
      <c r="M40" s="21" t="s">
        <v>44</v>
      </c>
      <c r="N40" s="48"/>
      <c r="O40" s="21" t="s">
        <v>34</v>
      </c>
      <c r="P40" s="19"/>
      <c r="Q40" s="19"/>
      <c r="R40" s="19"/>
      <c r="S40" s="39"/>
      <c r="T40" s="39"/>
      <c r="U40" s="39"/>
      <c r="W40" s="29">
        <v>31.0</v>
      </c>
      <c r="X40" s="56"/>
      <c r="Y40" s="31"/>
    </row>
    <row r="41" ht="15.75" customHeight="1">
      <c r="A41" s="47" t="s">
        <v>50</v>
      </c>
      <c r="B41" s="32"/>
      <c r="C41" s="47" t="s">
        <v>25</v>
      </c>
      <c r="D41" s="21" t="s">
        <v>51</v>
      </c>
      <c r="E41" s="21" t="s">
        <v>52</v>
      </c>
      <c r="F41" s="21" t="s">
        <v>34</v>
      </c>
      <c r="G41" s="25" t="s">
        <v>14</v>
      </c>
      <c r="H41" s="12"/>
      <c r="I41" s="13"/>
      <c r="J41" s="21" t="s">
        <v>48</v>
      </c>
      <c r="K41" s="21" t="s">
        <v>63</v>
      </c>
      <c r="L41" s="21" t="s">
        <v>34</v>
      </c>
      <c r="M41" s="21" t="s">
        <v>46</v>
      </c>
      <c r="N41" s="49"/>
      <c r="O41" s="21" t="s">
        <v>25</v>
      </c>
      <c r="P41" s="32" t="s">
        <v>47</v>
      </c>
      <c r="Q41" s="32" t="s">
        <v>49</v>
      </c>
      <c r="R41" s="32" t="s">
        <v>34</v>
      </c>
      <c r="S41" s="39"/>
      <c r="T41" s="39"/>
      <c r="U41" s="39"/>
      <c r="W41" s="29"/>
      <c r="X41" s="57"/>
      <c r="Y41" s="31"/>
    </row>
    <row r="42" ht="15.75" customHeight="1">
      <c r="A42" s="21" t="s">
        <v>23</v>
      </c>
      <c r="B42" s="21" t="s">
        <v>24</v>
      </c>
      <c r="C42" s="21" t="s">
        <v>25</v>
      </c>
      <c r="D42" s="32" t="s">
        <v>55</v>
      </c>
      <c r="E42" s="32" t="s">
        <v>56</v>
      </c>
      <c r="F42" s="32" t="s">
        <v>25</v>
      </c>
      <c r="G42" s="24"/>
      <c r="H42" s="24"/>
      <c r="I42" s="24"/>
      <c r="J42" s="19" t="s">
        <v>57</v>
      </c>
      <c r="K42" s="19" t="s">
        <v>49</v>
      </c>
      <c r="L42" s="19" t="s">
        <v>34</v>
      </c>
      <c r="M42" s="58" t="s">
        <v>50</v>
      </c>
      <c r="N42" s="51" t="s">
        <v>49</v>
      </c>
      <c r="O42" s="58" t="s">
        <v>25</v>
      </c>
      <c r="P42" s="21" t="s">
        <v>54</v>
      </c>
      <c r="Q42" s="21" t="s">
        <v>24</v>
      </c>
      <c r="R42" s="21" t="s">
        <v>34</v>
      </c>
      <c r="S42" s="39"/>
      <c r="T42" s="39"/>
      <c r="U42" s="39"/>
      <c r="W42" s="29"/>
      <c r="X42" s="56"/>
      <c r="Y42" s="31"/>
    </row>
    <row r="43" ht="15.75" customHeight="1">
      <c r="A43" s="21"/>
      <c r="B43" s="21"/>
      <c r="C43" s="21"/>
      <c r="D43" s="24"/>
      <c r="E43" s="24"/>
      <c r="F43" s="24"/>
      <c r="G43" s="19"/>
      <c r="H43" s="19"/>
      <c r="I43" s="19"/>
      <c r="M43" s="21" t="s">
        <v>59</v>
      </c>
      <c r="N43" s="21" t="s">
        <v>36</v>
      </c>
      <c r="O43" s="21" t="s">
        <v>25</v>
      </c>
      <c r="P43" s="19"/>
      <c r="Q43" s="19"/>
      <c r="R43" s="19"/>
      <c r="S43" s="22"/>
      <c r="T43" s="22"/>
      <c r="U43" s="22"/>
      <c r="W43" s="29"/>
      <c r="X43" s="56"/>
      <c r="Y43" s="31"/>
    </row>
    <row r="44" ht="15.75" customHeight="1">
      <c r="A44" s="21"/>
      <c r="B44" s="21"/>
      <c r="C44" s="21"/>
      <c r="D44" s="32"/>
      <c r="E44" s="32"/>
      <c r="F44" s="32"/>
      <c r="G44" s="19"/>
      <c r="H44" s="19"/>
      <c r="I44" s="19"/>
      <c r="J44" s="24"/>
      <c r="K44" s="24"/>
      <c r="L44" s="24"/>
      <c r="M44" s="21" t="s">
        <v>22</v>
      </c>
      <c r="N44" s="21" t="s">
        <v>60</v>
      </c>
      <c r="O44" s="21" t="s">
        <v>25</v>
      </c>
      <c r="P44" s="19"/>
      <c r="Q44" s="19"/>
      <c r="R44" s="19"/>
      <c r="S44" s="20"/>
      <c r="T44" s="20"/>
      <c r="U44" s="20"/>
      <c r="W44" s="29"/>
      <c r="Y44" s="5">
        <f>SUM(Y10:Y43)</f>
        <v>61</v>
      </c>
    </row>
    <row r="45" ht="15.75" customHeight="1">
      <c r="A45" s="33"/>
      <c r="B45" s="12"/>
      <c r="C45" s="13"/>
      <c r="D45" s="33"/>
      <c r="E45" s="12"/>
      <c r="F45" s="13"/>
      <c r="G45" s="33"/>
      <c r="H45" s="12"/>
      <c r="I45" s="13"/>
      <c r="J45" s="33"/>
      <c r="K45" s="12"/>
      <c r="L45" s="13"/>
      <c r="M45" s="33"/>
      <c r="N45" s="12"/>
      <c r="O45" s="13"/>
      <c r="P45" s="33"/>
      <c r="Q45" s="12"/>
      <c r="R45" s="13"/>
      <c r="S45" s="35"/>
      <c r="T45" s="12"/>
      <c r="U45" s="13"/>
      <c r="W45" s="5"/>
      <c r="Y45" s="5"/>
    </row>
    <row r="46" ht="15.75" customHeight="1">
      <c r="A46" s="50"/>
      <c r="B46" s="12"/>
      <c r="C46" s="13"/>
      <c r="D46" s="50"/>
      <c r="E46" s="12"/>
      <c r="F46" s="13"/>
      <c r="G46" s="50"/>
      <c r="H46" s="12"/>
      <c r="I46" s="13"/>
      <c r="J46" s="50"/>
      <c r="K46" s="12"/>
      <c r="L46" s="13"/>
      <c r="M46" s="50"/>
      <c r="N46" s="12"/>
      <c r="O46" s="13"/>
      <c r="P46" s="50"/>
      <c r="Q46" s="12"/>
      <c r="R46" s="13"/>
      <c r="S46" s="59"/>
      <c r="T46" s="12"/>
      <c r="U46" s="13"/>
      <c r="W46" s="5"/>
      <c r="Y46" s="5"/>
    </row>
    <row r="47" ht="15.75" customHeight="1">
      <c r="A47" s="19"/>
      <c r="B47" s="19"/>
      <c r="C47" s="19"/>
      <c r="D47" s="21"/>
      <c r="E47" s="21"/>
      <c r="F47" s="21"/>
      <c r="G47" s="21"/>
      <c r="H47" s="21"/>
      <c r="I47" s="21"/>
      <c r="J47" s="32"/>
      <c r="K47" s="32"/>
      <c r="L47" s="32"/>
      <c r="M47" s="32"/>
      <c r="N47" s="32"/>
      <c r="O47" s="32"/>
      <c r="P47" s="22"/>
      <c r="Q47" s="22"/>
      <c r="R47" s="22"/>
      <c r="S47" s="20"/>
      <c r="T47" s="20"/>
      <c r="U47" s="20"/>
      <c r="W47" s="5"/>
      <c r="Y47" s="5"/>
    </row>
    <row r="48" ht="15.75" customHeight="1">
      <c r="A48" s="47"/>
      <c r="B48" s="32"/>
      <c r="C48" s="47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2"/>
      <c r="R48" s="22"/>
      <c r="S48" s="22"/>
      <c r="T48" s="22"/>
      <c r="U48" s="22"/>
      <c r="W48" s="5"/>
      <c r="Y48" s="5"/>
    </row>
    <row r="49" ht="15.75" customHeight="1">
      <c r="A49" s="21"/>
      <c r="B49" s="21"/>
      <c r="C49" s="21"/>
      <c r="D49" s="21"/>
      <c r="E49" s="21"/>
      <c r="F49" s="21"/>
      <c r="G49" s="19"/>
      <c r="H49" s="19"/>
      <c r="I49" s="19"/>
      <c r="J49" s="21"/>
      <c r="K49" s="21"/>
      <c r="L49" s="21"/>
      <c r="M49" s="21"/>
      <c r="N49" s="21"/>
      <c r="O49" s="21"/>
      <c r="P49" s="21"/>
      <c r="Q49" s="22"/>
      <c r="R49" s="21"/>
      <c r="S49" s="22"/>
      <c r="T49" s="22"/>
      <c r="U49" s="22"/>
      <c r="W49" s="5"/>
      <c r="Y49" s="5"/>
    </row>
    <row r="50" ht="15.75" customHeight="1">
      <c r="A50" s="21"/>
      <c r="B50" s="21"/>
      <c r="C50" s="21"/>
      <c r="D50" s="32"/>
      <c r="E50" s="32"/>
      <c r="F50" s="32"/>
      <c r="G50" s="21"/>
      <c r="H50" s="21"/>
      <c r="I50" s="21"/>
      <c r="J50" s="21"/>
      <c r="K50" s="21"/>
      <c r="L50" s="21"/>
      <c r="M50" s="21"/>
      <c r="N50" s="21"/>
      <c r="O50" s="21"/>
      <c r="P50" s="23"/>
      <c r="Q50" s="23"/>
      <c r="R50" s="23"/>
      <c r="S50" s="20"/>
      <c r="T50" s="20"/>
      <c r="U50" s="20"/>
      <c r="W50" s="5"/>
      <c r="Y50" s="5"/>
    </row>
    <row r="51" ht="15.75" customHeight="1">
      <c r="A51" s="21"/>
      <c r="B51" s="21"/>
      <c r="C51" s="21"/>
      <c r="D51" s="21"/>
      <c r="E51" s="21"/>
      <c r="F51" s="21"/>
      <c r="G51" s="20"/>
      <c r="H51" s="20"/>
      <c r="I51" s="20"/>
      <c r="J51" s="21"/>
      <c r="K51" s="21"/>
      <c r="L51" s="21"/>
      <c r="M51" s="21"/>
      <c r="N51" s="21"/>
      <c r="O51" s="32"/>
      <c r="P51" s="21"/>
      <c r="Q51" s="21"/>
      <c r="R51" s="32"/>
      <c r="S51" s="22"/>
      <c r="T51" s="22"/>
      <c r="U51" s="22"/>
      <c r="W51" s="5"/>
      <c r="Y51" s="5"/>
    </row>
    <row r="52" ht="15.75" customHeight="1">
      <c r="A52" s="21"/>
      <c r="B52" s="38"/>
      <c r="C52" s="21"/>
      <c r="D52" s="32"/>
      <c r="E52" s="32"/>
      <c r="F52" s="32"/>
      <c r="G52" s="21"/>
      <c r="H52" s="21"/>
      <c r="I52" s="32"/>
      <c r="J52" s="32"/>
      <c r="K52" s="32"/>
      <c r="L52" s="32"/>
      <c r="M52" s="21"/>
      <c r="N52" s="21"/>
      <c r="O52" s="21"/>
      <c r="P52" s="22"/>
      <c r="Q52" s="22"/>
      <c r="R52" s="22"/>
      <c r="S52" s="20"/>
      <c r="T52" s="20"/>
      <c r="U52" s="20"/>
      <c r="W52" s="5"/>
      <c r="Y52" s="5"/>
    </row>
    <row r="53" ht="15.75" customHeight="1">
      <c r="W53" s="5"/>
      <c r="Y53" s="5"/>
    </row>
    <row r="54" ht="15.75" customHeight="1">
      <c r="A54" s="60" t="s">
        <v>64</v>
      </c>
      <c r="B54" s="61"/>
      <c r="W54" s="5"/>
      <c r="Y54" s="5"/>
    </row>
    <row r="55" ht="15.75" customHeight="1">
      <c r="A55" s="62"/>
      <c r="B55" s="63" t="s">
        <v>65</v>
      </c>
      <c r="C55" s="64"/>
      <c r="D55" s="65"/>
      <c r="W55" s="5"/>
      <c r="Y55" s="5"/>
    </row>
    <row r="56" ht="15.75" customHeight="1">
      <c r="A56" s="66"/>
      <c r="B56" s="63" t="s">
        <v>66</v>
      </c>
      <c r="C56" s="64"/>
      <c r="W56" s="5"/>
      <c r="Y56" s="5"/>
    </row>
    <row r="57" ht="15.75" customHeight="1">
      <c r="A57" s="67"/>
      <c r="B57" s="63" t="s">
        <v>67</v>
      </c>
      <c r="C57" s="64"/>
      <c r="W57" s="5"/>
      <c r="Y57" s="5"/>
    </row>
    <row r="58" ht="15.75" customHeight="1">
      <c r="A58" s="68"/>
      <c r="B58" s="63" t="s">
        <v>68</v>
      </c>
      <c r="C58" s="64"/>
      <c r="W58" s="5"/>
      <c r="Y58" s="5"/>
    </row>
    <row r="59" ht="15.75" customHeight="1">
      <c r="W59" s="5"/>
      <c r="Y59" s="5"/>
    </row>
    <row r="60" ht="15.75" customHeight="1">
      <c r="W60" s="5"/>
      <c r="Y60" s="5"/>
    </row>
    <row r="61" ht="15.75" customHeight="1">
      <c r="W61" s="5"/>
      <c r="Y61" s="5"/>
    </row>
    <row r="62" ht="15.75" customHeight="1">
      <c r="W62" s="5"/>
      <c r="Y62" s="5"/>
    </row>
    <row r="63" ht="15.75" customHeight="1">
      <c r="W63" s="5"/>
      <c r="Y63" s="5"/>
    </row>
    <row r="64" ht="15.75" customHeight="1">
      <c r="W64" s="5"/>
      <c r="Y64" s="5"/>
    </row>
    <row r="65" ht="15.75" customHeight="1">
      <c r="W65" s="5"/>
      <c r="Y65" s="5"/>
    </row>
    <row r="66" ht="15.75" customHeight="1">
      <c r="W66" s="5"/>
      <c r="Y66" s="5"/>
    </row>
    <row r="67" ht="15.75" customHeight="1">
      <c r="W67" s="5"/>
      <c r="Y67" s="5"/>
    </row>
    <row r="68" ht="15.75" customHeight="1">
      <c r="W68" s="5"/>
      <c r="Y68" s="5"/>
    </row>
    <row r="69" ht="15.75" customHeight="1">
      <c r="W69" s="5"/>
      <c r="Y69" s="5"/>
    </row>
    <row r="70" ht="15.75" customHeight="1">
      <c r="W70" s="5"/>
      <c r="Y70" s="5"/>
    </row>
    <row r="71" ht="15.75" customHeight="1">
      <c r="W71" s="5"/>
      <c r="Y71" s="5"/>
    </row>
    <row r="72" ht="15.75" customHeight="1">
      <c r="W72" s="5"/>
      <c r="Y72" s="5"/>
    </row>
    <row r="73" ht="15.75" customHeight="1">
      <c r="W73" s="5"/>
      <c r="Y73" s="5"/>
    </row>
    <row r="74" ht="15.75" customHeight="1">
      <c r="W74" s="5"/>
      <c r="Y74" s="5"/>
    </row>
    <row r="75" ht="15.75" customHeight="1">
      <c r="W75" s="5"/>
      <c r="Y75" s="5"/>
    </row>
    <row r="76" ht="15.75" customHeight="1">
      <c r="W76" s="5"/>
      <c r="Y76" s="5"/>
    </row>
    <row r="77" ht="15.75" customHeight="1">
      <c r="W77" s="5"/>
      <c r="Y77" s="5"/>
    </row>
    <row r="78" ht="15.75" customHeight="1">
      <c r="W78" s="5"/>
      <c r="Y78" s="5"/>
    </row>
    <row r="79" ht="15.75" customHeight="1">
      <c r="W79" s="5"/>
      <c r="Y79" s="5"/>
    </row>
    <row r="80" ht="15.75" customHeight="1">
      <c r="W80" s="5"/>
      <c r="Y80" s="5"/>
    </row>
    <row r="81" ht="15.75" customHeight="1">
      <c r="W81" s="5"/>
      <c r="Y81" s="5"/>
    </row>
    <row r="82" ht="15.75" customHeight="1">
      <c r="W82" s="5"/>
      <c r="Y82" s="5"/>
    </row>
    <row r="83" ht="15.75" customHeight="1">
      <c r="W83" s="5"/>
      <c r="Y83" s="5"/>
    </row>
    <row r="84" ht="15.75" customHeight="1">
      <c r="W84" s="5"/>
      <c r="Y84" s="5"/>
    </row>
    <row r="85" ht="15.75" customHeight="1">
      <c r="W85" s="5"/>
      <c r="Y85" s="5"/>
    </row>
    <row r="86" ht="15.75" customHeight="1">
      <c r="W86" s="5"/>
      <c r="Y86" s="5"/>
    </row>
    <row r="87" ht="15.75" customHeight="1">
      <c r="W87" s="5"/>
      <c r="Y87" s="5"/>
    </row>
    <row r="88" ht="15.75" customHeight="1">
      <c r="W88" s="5"/>
      <c r="Y88" s="5"/>
    </row>
    <row r="89" ht="15.75" customHeight="1">
      <c r="W89" s="5"/>
      <c r="Y89" s="5"/>
    </row>
    <row r="90" ht="15.75" customHeight="1">
      <c r="W90" s="5"/>
      <c r="Y90" s="5"/>
    </row>
    <row r="91" ht="15.75" customHeight="1">
      <c r="W91" s="5"/>
      <c r="Y91" s="5"/>
    </row>
    <row r="92" ht="15.75" customHeight="1">
      <c r="W92" s="5"/>
      <c r="Y92" s="5"/>
    </row>
    <row r="93" ht="15.75" customHeight="1">
      <c r="W93" s="5"/>
      <c r="Y93" s="5"/>
    </row>
    <row r="94" ht="15.75" customHeight="1">
      <c r="W94" s="5"/>
      <c r="Y94" s="5"/>
    </row>
    <row r="95" ht="15.75" customHeight="1">
      <c r="W95" s="5"/>
      <c r="Y95" s="5"/>
    </row>
    <row r="96" ht="15.75" customHeight="1">
      <c r="W96" s="5"/>
      <c r="Y96" s="5"/>
    </row>
    <row r="97" ht="15.75" customHeight="1">
      <c r="W97" s="5"/>
      <c r="Y97" s="5"/>
    </row>
    <row r="98" ht="15.75" customHeight="1">
      <c r="W98" s="5"/>
      <c r="Y98" s="5"/>
    </row>
    <row r="99" ht="15.75" customHeight="1">
      <c r="W99" s="5"/>
      <c r="Y99" s="5"/>
    </row>
    <row r="100" ht="15.75" customHeight="1">
      <c r="W100" s="5"/>
      <c r="Y100" s="5"/>
    </row>
    <row r="101" ht="15.75" customHeight="1">
      <c r="W101" s="5"/>
      <c r="Y101" s="5"/>
    </row>
    <row r="102" ht="15.75" customHeight="1">
      <c r="W102" s="5"/>
      <c r="Y102" s="5"/>
    </row>
    <row r="103" ht="15.75" customHeight="1">
      <c r="W103" s="5"/>
      <c r="Y103" s="5"/>
    </row>
    <row r="104" ht="15.75" customHeight="1">
      <c r="W104" s="5"/>
      <c r="Y104" s="5"/>
    </row>
    <row r="105" ht="15.75" customHeight="1">
      <c r="W105" s="5"/>
      <c r="Y105" s="5"/>
    </row>
    <row r="106" ht="15.75" customHeight="1">
      <c r="W106" s="5"/>
      <c r="Y106" s="5"/>
    </row>
    <row r="107" ht="15.75" customHeight="1">
      <c r="W107" s="5"/>
      <c r="Y107" s="5"/>
    </row>
    <row r="108" ht="15.75" customHeight="1">
      <c r="W108" s="5"/>
      <c r="Y108" s="5"/>
    </row>
    <row r="109" ht="15.75" customHeight="1">
      <c r="W109" s="5"/>
      <c r="Y109" s="5"/>
    </row>
    <row r="110" ht="15.75" customHeight="1">
      <c r="W110" s="5"/>
      <c r="Y110" s="5"/>
    </row>
    <row r="111" ht="15.75" customHeight="1">
      <c r="W111" s="5"/>
      <c r="Y111" s="5"/>
    </row>
    <row r="112" ht="15.75" customHeight="1">
      <c r="W112" s="5"/>
      <c r="Y112" s="5"/>
    </row>
    <row r="113" ht="15.75" customHeight="1">
      <c r="W113" s="5"/>
      <c r="Y113" s="5"/>
    </row>
    <row r="114" ht="15.75" customHeight="1">
      <c r="W114" s="5"/>
      <c r="Y114" s="5"/>
    </row>
    <row r="115" ht="15.75" customHeight="1">
      <c r="W115" s="5"/>
      <c r="Y115" s="5"/>
    </row>
    <row r="116" ht="15.75" customHeight="1">
      <c r="W116" s="5"/>
      <c r="Y116" s="5"/>
    </row>
    <row r="117" ht="15.75" customHeight="1">
      <c r="W117" s="5"/>
      <c r="Y117" s="5"/>
    </row>
    <row r="118" ht="15.75" customHeight="1">
      <c r="W118" s="5"/>
      <c r="Y118" s="5"/>
    </row>
    <row r="119" ht="15.75" customHeight="1">
      <c r="W119" s="5"/>
      <c r="Y119" s="5"/>
    </row>
    <row r="120" ht="15.75" customHeight="1">
      <c r="W120" s="5"/>
      <c r="Y120" s="5"/>
    </row>
    <row r="121" ht="15.75" customHeight="1">
      <c r="W121" s="5"/>
      <c r="Y121" s="5"/>
    </row>
    <row r="122" ht="15.75" customHeight="1">
      <c r="W122" s="5"/>
      <c r="Y122" s="5"/>
    </row>
    <row r="123" ht="15.75" customHeight="1">
      <c r="W123" s="5"/>
      <c r="Y123" s="5"/>
    </row>
    <row r="124" ht="15.75" customHeight="1">
      <c r="W124" s="5"/>
      <c r="Y124" s="5"/>
    </row>
    <row r="125" ht="15.75" customHeight="1">
      <c r="W125" s="5"/>
      <c r="Y125" s="5"/>
    </row>
    <row r="126" ht="15.75" customHeight="1">
      <c r="W126" s="5"/>
      <c r="Y126" s="5"/>
    </row>
    <row r="127" ht="15.75" customHeight="1">
      <c r="W127" s="5"/>
      <c r="Y127" s="5"/>
    </row>
    <row r="128" ht="15.75" customHeight="1">
      <c r="W128" s="5"/>
      <c r="Y128" s="5"/>
    </row>
    <row r="129" ht="15.75" customHeight="1">
      <c r="W129" s="5"/>
      <c r="Y129" s="5"/>
    </row>
    <row r="130" ht="15.75" customHeight="1">
      <c r="W130" s="5"/>
      <c r="Y130" s="5"/>
    </row>
    <row r="131" ht="15.75" customHeight="1">
      <c r="W131" s="5"/>
      <c r="Y131" s="5"/>
    </row>
    <row r="132" ht="15.75" customHeight="1">
      <c r="W132" s="5"/>
      <c r="Y132" s="5"/>
    </row>
    <row r="133" ht="15.75" customHeight="1">
      <c r="W133" s="5"/>
      <c r="Y133" s="5"/>
    </row>
    <row r="134" ht="15.75" customHeight="1">
      <c r="W134" s="5"/>
      <c r="Y134" s="5"/>
    </row>
    <row r="135" ht="15.75" customHeight="1">
      <c r="W135" s="5"/>
      <c r="Y135" s="5"/>
    </row>
    <row r="136" ht="15.75" customHeight="1">
      <c r="W136" s="5"/>
      <c r="Y136" s="5"/>
    </row>
    <row r="137" ht="15.75" customHeight="1">
      <c r="W137" s="5"/>
      <c r="Y137" s="5"/>
    </row>
    <row r="138" ht="15.75" customHeight="1">
      <c r="W138" s="5"/>
      <c r="Y138" s="5"/>
    </row>
    <row r="139" ht="15.75" customHeight="1">
      <c r="W139" s="5"/>
      <c r="Y139" s="5"/>
    </row>
    <row r="140" ht="15.75" customHeight="1">
      <c r="W140" s="5"/>
      <c r="Y140" s="5"/>
    </row>
    <row r="141" ht="15.75" customHeight="1">
      <c r="W141" s="5"/>
      <c r="Y141" s="5"/>
    </row>
    <row r="142" ht="15.75" customHeight="1">
      <c r="W142" s="5"/>
      <c r="Y142" s="5"/>
    </row>
    <row r="143" ht="15.75" customHeight="1">
      <c r="W143" s="5"/>
      <c r="Y143" s="5"/>
    </row>
    <row r="144" ht="15.75" customHeight="1">
      <c r="W144" s="5"/>
      <c r="Y144" s="5"/>
    </row>
    <row r="145" ht="15.75" customHeight="1">
      <c r="W145" s="5"/>
      <c r="Y145" s="5"/>
    </row>
    <row r="146" ht="15.75" customHeight="1">
      <c r="W146" s="5"/>
      <c r="Y146" s="5"/>
    </row>
    <row r="147" ht="15.75" customHeight="1">
      <c r="W147" s="5"/>
      <c r="Y147" s="5"/>
    </row>
    <row r="148" ht="15.75" customHeight="1">
      <c r="W148" s="5"/>
      <c r="Y148" s="5"/>
    </row>
    <row r="149" ht="15.75" customHeight="1">
      <c r="W149" s="5"/>
      <c r="Y149" s="5"/>
    </row>
    <row r="150" ht="15.75" customHeight="1">
      <c r="W150" s="5"/>
      <c r="Y150" s="5"/>
    </row>
    <row r="151" ht="15.75" customHeight="1">
      <c r="W151" s="5"/>
      <c r="Y151" s="5"/>
    </row>
    <row r="152" ht="15.75" customHeight="1">
      <c r="W152" s="5"/>
      <c r="Y152" s="5"/>
    </row>
    <row r="153" ht="15.75" customHeight="1">
      <c r="W153" s="5"/>
      <c r="Y153" s="5"/>
    </row>
    <row r="154" ht="15.75" customHeight="1">
      <c r="W154" s="5"/>
      <c r="Y154" s="5"/>
    </row>
    <row r="155" ht="15.75" customHeight="1">
      <c r="W155" s="5"/>
      <c r="Y155" s="5"/>
    </row>
    <row r="156" ht="15.75" customHeight="1">
      <c r="W156" s="5"/>
      <c r="Y156" s="5"/>
    </row>
    <row r="157" ht="15.75" customHeight="1">
      <c r="W157" s="5"/>
      <c r="Y157" s="5"/>
    </row>
    <row r="158" ht="15.75" customHeight="1">
      <c r="W158" s="5"/>
      <c r="Y158" s="5"/>
    </row>
    <row r="159" ht="15.75" customHeight="1">
      <c r="W159" s="5"/>
      <c r="Y159" s="5"/>
    </row>
    <row r="160" ht="15.75" customHeight="1">
      <c r="W160" s="5"/>
      <c r="Y160" s="5"/>
    </row>
    <row r="161" ht="15.75" customHeight="1">
      <c r="W161" s="5"/>
      <c r="Y161" s="5"/>
    </row>
    <row r="162" ht="15.75" customHeight="1">
      <c r="W162" s="5"/>
      <c r="Y162" s="5"/>
    </row>
    <row r="163" ht="15.75" customHeight="1">
      <c r="W163" s="5"/>
      <c r="Y163" s="5"/>
    </row>
    <row r="164" ht="15.75" customHeight="1">
      <c r="W164" s="5"/>
      <c r="Y164" s="5"/>
    </row>
    <row r="165" ht="15.75" customHeight="1">
      <c r="W165" s="5"/>
      <c r="Y165" s="5"/>
    </row>
    <row r="166" ht="15.75" customHeight="1">
      <c r="W166" s="5"/>
      <c r="Y166" s="5"/>
    </row>
    <row r="167" ht="15.75" customHeight="1">
      <c r="W167" s="5"/>
      <c r="Y167" s="5"/>
    </row>
    <row r="168" ht="15.75" customHeight="1">
      <c r="W168" s="5"/>
      <c r="Y168" s="5"/>
    </row>
    <row r="169" ht="15.75" customHeight="1">
      <c r="W169" s="5"/>
      <c r="Y169" s="5"/>
    </row>
    <row r="170" ht="15.75" customHeight="1">
      <c r="W170" s="5"/>
      <c r="Y170" s="5"/>
    </row>
    <row r="171" ht="15.75" customHeight="1">
      <c r="W171" s="5"/>
      <c r="Y171" s="5"/>
    </row>
    <row r="172" ht="15.75" customHeight="1">
      <c r="W172" s="5"/>
      <c r="Y172" s="5"/>
    </row>
    <row r="173" ht="15.75" customHeight="1">
      <c r="W173" s="5"/>
      <c r="Y173" s="5"/>
    </row>
    <row r="174" ht="15.75" customHeight="1">
      <c r="W174" s="5"/>
      <c r="Y174" s="5"/>
    </row>
    <row r="175" ht="15.75" customHeight="1">
      <c r="W175" s="5"/>
      <c r="Y175" s="5"/>
    </row>
    <row r="176" ht="15.75" customHeight="1">
      <c r="W176" s="5"/>
      <c r="Y176" s="5"/>
    </row>
    <row r="177" ht="15.75" customHeight="1">
      <c r="W177" s="5"/>
      <c r="Y177" s="5"/>
    </row>
    <row r="178" ht="15.75" customHeight="1">
      <c r="W178" s="5"/>
      <c r="Y178" s="5"/>
    </row>
    <row r="179" ht="15.75" customHeight="1">
      <c r="W179" s="5"/>
      <c r="Y179" s="5"/>
    </row>
    <row r="180" ht="15.75" customHeight="1">
      <c r="W180" s="5"/>
      <c r="Y180" s="5"/>
    </row>
    <row r="181" ht="15.75" customHeight="1">
      <c r="W181" s="5"/>
      <c r="Y181" s="5"/>
    </row>
    <row r="182" ht="15.75" customHeight="1">
      <c r="W182" s="5"/>
      <c r="Y182" s="5"/>
    </row>
    <row r="183" ht="15.75" customHeight="1">
      <c r="W183" s="5"/>
      <c r="Y183" s="5"/>
    </row>
    <row r="184" ht="15.75" customHeight="1">
      <c r="W184" s="5"/>
      <c r="Y184" s="5"/>
    </row>
    <row r="185" ht="15.75" customHeight="1">
      <c r="W185" s="5"/>
      <c r="Y185" s="5"/>
    </row>
    <row r="186" ht="15.75" customHeight="1">
      <c r="W186" s="5"/>
      <c r="Y186" s="5"/>
    </row>
    <row r="187" ht="15.75" customHeight="1">
      <c r="W187" s="5"/>
      <c r="Y187" s="5"/>
    </row>
    <row r="188" ht="15.75" customHeight="1">
      <c r="W188" s="5"/>
      <c r="Y188" s="5"/>
    </row>
    <row r="189" ht="15.75" customHeight="1">
      <c r="W189" s="5"/>
      <c r="Y189" s="5"/>
    </row>
    <row r="190" ht="15.75" customHeight="1">
      <c r="W190" s="5"/>
      <c r="Y190" s="5"/>
    </row>
    <row r="191" ht="15.75" customHeight="1">
      <c r="W191" s="5"/>
      <c r="Y191" s="5"/>
    </row>
    <row r="192" ht="15.75" customHeight="1">
      <c r="W192" s="5"/>
      <c r="Y192" s="5"/>
    </row>
    <row r="193" ht="15.75" customHeight="1">
      <c r="W193" s="5"/>
      <c r="Y193" s="5"/>
    </row>
    <row r="194" ht="15.75" customHeight="1">
      <c r="W194" s="5"/>
      <c r="Y194" s="5"/>
    </row>
    <row r="195" ht="15.75" customHeight="1">
      <c r="W195" s="5"/>
      <c r="Y195" s="5"/>
    </row>
    <row r="196" ht="15.75" customHeight="1">
      <c r="W196" s="5"/>
      <c r="Y196" s="5"/>
    </row>
    <row r="197" ht="15.75" customHeight="1">
      <c r="W197" s="5"/>
      <c r="Y197" s="5"/>
    </row>
    <row r="198" ht="15.75" customHeight="1">
      <c r="W198" s="5"/>
      <c r="Y198" s="5"/>
    </row>
    <row r="199" ht="15.75" customHeight="1">
      <c r="W199" s="5"/>
      <c r="Y199" s="5"/>
    </row>
    <row r="200" ht="15.75" customHeight="1">
      <c r="W200" s="5"/>
      <c r="Y200" s="5"/>
    </row>
    <row r="201" ht="15.75" customHeight="1">
      <c r="W201" s="5"/>
      <c r="Y201" s="5"/>
    </row>
    <row r="202" ht="15.75" customHeight="1">
      <c r="W202" s="5"/>
      <c r="Y202" s="5"/>
    </row>
    <row r="203" ht="15.75" customHeight="1">
      <c r="W203" s="5"/>
      <c r="Y203" s="5"/>
    </row>
    <row r="204" ht="15.75" customHeight="1">
      <c r="W204" s="5"/>
      <c r="Y204" s="5"/>
    </row>
    <row r="205" ht="15.75" customHeight="1">
      <c r="W205" s="5"/>
      <c r="Y205" s="5"/>
    </row>
    <row r="206" ht="15.75" customHeight="1">
      <c r="W206" s="5"/>
      <c r="Y206" s="5"/>
    </row>
    <row r="207" ht="15.75" customHeight="1">
      <c r="W207" s="5"/>
      <c r="Y207" s="5"/>
    </row>
    <row r="208" ht="15.75" customHeight="1">
      <c r="W208" s="5"/>
      <c r="Y208" s="5"/>
    </row>
    <row r="209" ht="15.75" customHeight="1">
      <c r="W209" s="5"/>
      <c r="Y209" s="5"/>
    </row>
    <row r="210" ht="15.75" customHeight="1">
      <c r="W210" s="5"/>
      <c r="Y210" s="5"/>
    </row>
    <row r="211" ht="15.75" customHeight="1">
      <c r="W211" s="5"/>
      <c r="Y211" s="5"/>
    </row>
    <row r="212" ht="15.75" customHeight="1">
      <c r="W212" s="5"/>
      <c r="Y212" s="5"/>
    </row>
    <row r="213" ht="15.75" customHeight="1">
      <c r="W213" s="5"/>
      <c r="Y213" s="5"/>
    </row>
    <row r="214" ht="15.75" customHeight="1">
      <c r="W214" s="5"/>
      <c r="Y214" s="5"/>
    </row>
    <row r="215" ht="15.75" customHeight="1">
      <c r="W215" s="5"/>
      <c r="Y215" s="5"/>
    </row>
    <row r="216" ht="15.75" customHeight="1">
      <c r="W216" s="5"/>
      <c r="Y216" s="5"/>
    </row>
    <row r="217" ht="15.75" customHeight="1">
      <c r="W217" s="5"/>
      <c r="Y217" s="5"/>
    </row>
    <row r="218" ht="15.75" customHeight="1">
      <c r="W218" s="5"/>
      <c r="Y218" s="5"/>
    </row>
    <row r="219" ht="15.75" customHeight="1">
      <c r="W219" s="5"/>
      <c r="Y219" s="5"/>
    </row>
    <row r="220" ht="15.75" customHeight="1">
      <c r="W220" s="5"/>
      <c r="Y220" s="5"/>
    </row>
    <row r="221" ht="15.75" customHeight="1">
      <c r="W221" s="5"/>
      <c r="Y221" s="5"/>
    </row>
    <row r="222" ht="15.75" customHeight="1">
      <c r="W222" s="5"/>
      <c r="Y222" s="5"/>
    </row>
    <row r="223" ht="15.75" customHeight="1">
      <c r="W223" s="5"/>
      <c r="Y223" s="5"/>
    </row>
    <row r="224" ht="15.75" customHeight="1">
      <c r="W224" s="5"/>
      <c r="Y224" s="5"/>
    </row>
    <row r="225" ht="15.75" customHeight="1">
      <c r="W225" s="5"/>
      <c r="Y225" s="5"/>
    </row>
    <row r="226" ht="15.75" customHeight="1">
      <c r="W226" s="5"/>
      <c r="Y226" s="5"/>
    </row>
    <row r="227" ht="15.75" customHeight="1">
      <c r="W227" s="5"/>
      <c r="Y227" s="5"/>
    </row>
    <row r="228" ht="15.75" customHeight="1">
      <c r="W228" s="5"/>
      <c r="Y228" s="5"/>
    </row>
    <row r="229" ht="15.75" customHeight="1">
      <c r="W229" s="5"/>
      <c r="Y229" s="5"/>
    </row>
    <row r="230" ht="15.75" customHeight="1">
      <c r="W230" s="5"/>
      <c r="Y230" s="5"/>
    </row>
    <row r="231" ht="15.75" customHeight="1">
      <c r="W231" s="5"/>
      <c r="Y231" s="5"/>
    </row>
    <row r="232" ht="15.75" customHeight="1">
      <c r="W232" s="5"/>
      <c r="Y232" s="5"/>
    </row>
    <row r="233" ht="15.75" customHeight="1">
      <c r="W233" s="5"/>
      <c r="Y233" s="5"/>
    </row>
    <row r="234" ht="15.75" customHeight="1">
      <c r="W234" s="5"/>
      <c r="Y234" s="5"/>
    </row>
    <row r="235" ht="15.75" customHeight="1">
      <c r="W235" s="5"/>
      <c r="Y235" s="5"/>
    </row>
    <row r="236" ht="15.75" customHeight="1">
      <c r="W236" s="5"/>
      <c r="Y236" s="5"/>
    </row>
    <row r="237" ht="15.75" customHeight="1">
      <c r="W237" s="5"/>
      <c r="Y237" s="5"/>
    </row>
    <row r="238" ht="15.75" customHeight="1">
      <c r="W238" s="5"/>
      <c r="Y238" s="5"/>
    </row>
    <row r="239" ht="15.75" customHeight="1">
      <c r="W239" s="5"/>
      <c r="Y239" s="5"/>
    </row>
    <row r="240" ht="15.75" customHeight="1">
      <c r="W240" s="5"/>
      <c r="Y240" s="5"/>
    </row>
    <row r="241" ht="15.75" customHeight="1">
      <c r="W241" s="5"/>
      <c r="Y241" s="5"/>
    </row>
    <row r="242" ht="15.75" customHeight="1">
      <c r="W242" s="5"/>
      <c r="Y242" s="5"/>
    </row>
    <row r="243" ht="15.75" customHeight="1">
      <c r="W243" s="5"/>
      <c r="Y243" s="5"/>
    </row>
    <row r="244" ht="15.75" customHeight="1">
      <c r="W244" s="5"/>
      <c r="Y244" s="5"/>
    </row>
    <row r="245" ht="15.75" customHeight="1">
      <c r="W245" s="5"/>
      <c r="Y245" s="5"/>
    </row>
    <row r="246" ht="15.75" customHeight="1">
      <c r="W246" s="5"/>
      <c r="Y246" s="5"/>
    </row>
    <row r="247" ht="15.75" customHeight="1">
      <c r="W247" s="5"/>
      <c r="Y247" s="5"/>
    </row>
    <row r="248" ht="15.75" customHeight="1">
      <c r="W248" s="5"/>
      <c r="Y248" s="5"/>
    </row>
    <row r="249" ht="15.75" customHeight="1">
      <c r="W249" s="5"/>
      <c r="Y249" s="5"/>
    </row>
    <row r="250" ht="15.75" customHeight="1">
      <c r="W250" s="5"/>
      <c r="Y250" s="5"/>
    </row>
    <row r="251" ht="15.75" customHeight="1">
      <c r="W251" s="5"/>
      <c r="Y251" s="5"/>
    </row>
    <row r="252" ht="15.75" customHeight="1">
      <c r="W252" s="5"/>
      <c r="Y252" s="5"/>
    </row>
    <row r="253" ht="15.75" customHeight="1">
      <c r="W253" s="5"/>
      <c r="Y253" s="5"/>
    </row>
    <row r="254" ht="15.75" customHeight="1">
      <c r="W254" s="5"/>
      <c r="Y254" s="5"/>
    </row>
    <row r="255" ht="15.75" customHeight="1">
      <c r="W255" s="5"/>
      <c r="Y255" s="5"/>
    </row>
    <row r="256" ht="15.75" customHeight="1">
      <c r="W256" s="5"/>
      <c r="Y256" s="5"/>
    </row>
    <row r="257" ht="15.75" customHeight="1">
      <c r="W257" s="5"/>
      <c r="Y257" s="5"/>
    </row>
    <row r="258" ht="15.75" customHeight="1">
      <c r="W258" s="5"/>
      <c r="Y258" s="5"/>
    </row>
    <row r="259" ht="15.75" customHeight="1">
      <c r="W259" s="5"/>
      <c r="Y259" s="5"/>
    </row>
    <row r="260" ht="15.75" customHeight="1">
      <c r="W260" s="5"/>
      <c r="Y260" s="5"/>
    </row>
    <row r="261" ht="15.75" customHeight="1">
      <c r="W261" s="5"/>
      <c r="Y261" s="5"/>
    </row>
    <row r="262" ht="15.75" customHeight="1">
      <c r="W262" s="5"/>
      <c r="Y262" s="5"/>
    </row>
    <row r="263" ht="15.75" customHeight="1">
      <c r="W263" s="5"/>
      <c r="Y263" s="5"/>
    </row>
    <row r="264" ht="15.75" customHeight="1">
      <c r="W264" s="5"/>
      <c r="Y264" s="5"/>
    </row>
    <row r="265" ht="15.75" customHeight="1">
      <c r="W265" s="5"/>
      <c r="Y265" s="5"/>
    </row>
    <row r="266" ht="15.75" customHeight="1">
      <c r="W266" s="5"/>
      <c r="Y266" s="5"/>
    </row>
    <row r="267" ht="15.75" customHeight="1">
      <c r="W267" s="5"/>
      <c r="Y267" s="5"/>
    </row>
    <row r="268" ht="15.75" customHeight="1">
      <c r="W268" s="5"/>
      <c r="Y268" s="5"/>
    </row>
    <row r="269" ht="15.75" customHeight="1">
      <c r="W269" s="5"/>
      <c r="Y269" s="5"/>
    </row>
    <row r="270" ht="15.75" customHeight="1">
      <c r="W270" s="5"/>
      <c r="Y270" s="5"/>
    </row>
    <row r="271" ht="15.75" customHeight="1">
      <c r="W271" s="5"/>
      <c r="Y271" s="5"/>
    </row>
    <row r="272" ht="15.75" customHeight="1">
      <c r="W272" s="5"/>
      <c r="Y272" s="5"/>
    </row>
    <row r="273" ht="15.75" customHeight="1">
      <c r="W273" s="5"/>
      <c r="Y273" s="5"/>
    </row>
    <row r="274" ht="15.75" customHeight="1">
      <c r="W274" s="5"/>
      <c r="Y274" s="5"/>
    </row>
    <row r="275" ht="15.75" customHeight="1">
      <c r="W275" s="5"/>
      <c r="Y275" s="5"/>
    </row>
    <row r="276" ht="15.75" customHeight="1">
      <c r="W276" s="5"/>
      <c r="Y276" s="5"/>
    </row>
    <row r="277" ht="15.75" customHeight="1">
      <c r="W277" s="5"/>
      <c r="Y277" s="5"/>
    </row>
    <row r="278" ht="15.75" customHeight="1">
      <c r="W278" s="5"/>
      <c r="Y278" s="5"/>
    </row>
    <row r="279" ht="15.75" customHeight="1">
      <c r="W279" s="5"/>
      <c r="Y279" s="5"/>
    </row>
    <row r="280" ht="15.75" customHeight="1">
      <c r="W280" s="5"/>
      <c r="Y280" s="5"/>
    </row>
    <row r="281" ht="15.75" customHeight="1">
      <c r="W281" s="5"/>
      <c r="Y281" s="5"/>
    </row>
    <row r="282" ht="15.75" customHeight="1">
      <c r="W282" s="5"/>
      <c r="Y282" s="5"/>
    </row>
    <row r="283" ht="15.75" customHeight="1">
      <c r="W283" s="5"/>
      <c r="Y283" s="5"/>
    </row>
    <row r="284" ht="15.75" customHeight="1">
      <c r="W284" s="5"/>
      <c r="Y284" s="5"/>
    </row>
    <row r="285" ht="15.75" customHeight="1">
      <c r="W285" s="5"/>
      <c r="Y285" s="5"/>
    </row>
    <row r="286" ht="15.75" customHeight="1">
      <c r="W286" s="5"/>
      <c r="Y286" s="5"/>
    </row>
    <row r="287" ht="15.75" customHeight="1">
      <c r="W287" s="5"/>
      <c r="Y287" s="5"/>
    </row>
    <row r="288" ht="15.75" customHeight="1">
      <c r="W288" s="5"/>
      <c r="Y288" s="5"/>
    </row>
    <row r="289" ht="15.75" customHeight="1">
      <c r="W289" s="5"/>
      <c r="Y289" s="5"/>
    </row>
    <row r="290" ht="15.75" customHeight="1">
      <c r="W290" s="5"/>
      <c r="Y290" s="5"/>
    </row>
    <row r="291" ht="15.75" customHeight="1">
      <c r="W291" s="5"/>
      <c r="Y291" s="5"/>
    </row>
    <row r="292" ht="15.75" customHeight="1">
      <c r="W292" s="5"/>
      <c r="Y292" s="5"/>
    </row>
    <row r="293" ht="15.75" customHeight="1">
      <c r="W293" s="5"/>
      <c r="Y293" s="5"/>
    </row>
    <row r="294" ht="15.75" customHeight="1">
      <c r="W294" s="5"/>
      <c r="Y294" s="5"/>
    </row>
    <row r="295" ht="15.75" customHeight="1">
      <c r="W295" s="5"/>
      <c r="Y295" s="5"/>
    </row>
    <row r="296" ht="15.75" customHeight="1">
      <c r="W296" s="5"/>
      <c r="Y296" s="5"/>
    </row>
    <row r="297" ht="15.75" customHeight="1">
      <c r="W297" s="5"/>
      <c r="Y297" s="5"/>
    </row>
    <row r="298" ht="15.75" customHeight="1">
      <c r="W298" s="5"/>
      <c r="Y298" s="5"/>
    </row>
    <row r="299" ht="15.75" customHeight="1">
      <c r="W299" s="5"/>
      <c r="Y299" s="5"/>
    </row>
    <row r="300" ht="15.75" customHeight="1">
      <c r="W300" s="5"/>
      <c r="Y300" s="5"/>
    </row>
    <row r="301" ht="15.75" customHeight="1">
      <c r="W301" s="5"/>
      <c r="Y301" s="5"/>
    </row>
    <row r="302" ht="15.75" customHeight="1">
      <c r="W302" s="5"/>
      <c r="Y302" s="5"/>
    </row>
    <row r="303" ht="15.75" customHeight="1">
      <c r="W303" s="5"/>
      <c r="Y303" s="5"/>
    </row>
    <row r="304" ht="15.75" customHeight="1">
      <c r="W304" s="5"/>
      <c r="Y304" s="5"/>
    </row>
    <row r="305" ht="15.75" customHeight="1">
      <c r="W305" s="5"/>
      <c r="Y305" s="5"/>
    </row>
    <row r="306" ht="15.75" customHeight="1">
      <c r="W306" s="5"/>
      <c r="Y306" s="5"/>
    </row>
    <row r="307" ht="15.75" customHeight="1">
      <c r="W307" s="5"/>
      <c r="Y307" s="5"/>
    </row>
    <row r="308" ht="15.75" customHeight="1">
      <c r="W308" s="5"/>
      <c r="Y308" s="5"/>
    </row>
    <row r="309" ht="15.75" customHeight="1">
      <c r="W309" s="5"/>
      <c r="Y309" s="5"/>
    </row>
    <row r="310" ht="15.75" customHeight="1">
      <c r="W310" s="5"/>
      <c r="Y310" s="5"/>
    </row>
    <row r="311" ht="15.75" customHeight="1">
      <c r="W311" s="5"/>
      <c r="Y311" s="5"/>
    </row>
    <row r="312" ht="15.75" customHeight="1">
      <c r="W312" s="5"/>
      <c r="Y312" s="5"/>
    </row>
    <row r="313" ht="15.75" customHeight="1">
      <c r="W313" s="5"/>
      <c r="Y313" s="5"/>
    </row>
    <row r="314" ht="15.75" customHeight="1">
      <c r="W314" s="5"/>
      <c r="Y314" s="5"/>
    </row>
    <row r="315" ht="15.75" customHeight="1">
      <c r="W315" s="5"/>
      <c r="Y315" s="5"/>
    </row>
    <row r="316" ht="15.75" customHeight="1">
      <c r="W316" s="5"/>
      <c r="Y316" s="5"/>
    </row>
    <row r="317" ht="15.75" customHeight="1">
      <c r="W317" s="5"/>
      <c r="Y317" s="5"/>
    </row>
    <row r="318" ht="15.75" customHeight="1">
      <c r="W318" s="5"/>
      <c r="Y318" s="5"/>
    </row>
    <row r="319" ht="15.75" customHeight="1">
      <c r="W319" s="5"/>
      <c r="Y319" s="5"/>
    </row>
    <row r="320" ht="15.75" customHeight="1">
      <c r="W320" s="5"/>
      <c r="Y320" s="5"/>
    </row>
    <row r="321" ht="15.75" customHeight="1">
      <c r="W321" s="5"/>
      <c r="Y321" s="5"/>
    </row>
    <row r="322" ht="15.75" customHeight="1">
      <c r="W322" s="5"/>
      <c r="Y322" s="5"/>
    </row>
    <row r="323" ht="15.75" customHeight="1">
      <c r="W323" s="5"/>
      <c r="Y323" s="5"/>
    </row>
    <row r="324" ht="15.75" customHeight="1">
      <c r="W324" s="5"/>
      <c r="Y324" s="5"/>
    </row>
    <row r="325" ht="15.75" customHeight="1">
      <c r="W325" s="5"/>
      <c r="Y325" s="5"/>
    </row>
    <row r="326" ht="15.75" customHeight="1">
      <c r="W326" s="5"/>
      <c r="Y326" s="5"/>
    </row>
    <row r="327" ht="15.75" customHeight="1">
      <c r="W327" s="5"/>
      <c r="Y327" s="5"/>
    </row>
    <row r="328" ht="15.75" customHeight="1">
      <c r="W328" s="5"/>
      <c r="Y328" s="5"/>
    </row>
    <row r="329" ht="15.75" customHeight="1">
      <c r="W329" s="5"/>
      <c r="Y329" s="5"/>
    </row>
    <row r="330" ht="15.75" customHeight="1">
      <c r="W330" s="5"/>
      <c r="Y330" s="5"/>
    </row>
    <row r="331" ht="15.75" customHeight="1">
      <c r="W331" s="5"/>
      <c r="Y331" s="5"/>
    </row>
    <row r="332" ht="15.75" customHeight="1">
      <c r="W332" s="5"/>
      <c r="Y332" s="5"/>
    </row>
    <row r="333" ht="15.75" customHeight="1">
      <c r="W333" s="5"/>
      <c r="Y333" s="5"/>
    </row>
    <row r="334" ht="15.75" customHeight="1">
      <c r="W334" s="5"/>
      <c r="Y334" s="5"/>
    </row>
    <row r="335" ht="15.75" customHeight="1">
      <c r="W335" s="5"/>
      <c r="Y335" s="5"/>
    </row>
    <row r="336" ht="15.75" customHeight="1">
      <c r="W336" s="5"/>
      <c r="Y336" s="5"/>
    </row>
    <row r="337" ht="15.75" customHeight="1">
      <c r="W337" s="5"/>
      <c r="Y337" s="5"/>
    </row>
    <row r="338" ht="15.75" customHeight="1">
      <c r="W338" s="5"/>
      <c r="Y338" s="5"/>
    </row>
    <row r="339" ht="15.75" customHeight="1">
      <c r="W339" s="5"/>
      <c r="Y339" s="5"/>
    </row>
    <row r="340" ht="15.75" customHeight="1">
      <c r="W340" s="5"/>
      <c r="Y340" s="5"/>
    </row>
    <row r="341" ht="15.75" customHeight="1">
      <c r="W341" s="5"/>
      <c r="Y341" s="5"/>
    </row>
    <row r="342" ht="15.75" customHeight="1">
      <c r="W342" s="5"/>
      <c r="Y342" s="5"/>
    </row>
    <row r="343" ht="15.75" customHeight="1">
      <c r="W343" s="5"/>
      <c r="Y343" s="5"/>
    </row>
    <row r="344" ht="15.75" customHeight="1">
      <c r="W344" s="5"/>
      <c r="Y344" s="5"/>
    </row>
    <row r="345" ht="15.75" customHeight="1">
      <c r="W345" s="5"/>
      <c r="Y345" s="5"/>
    </row>
    <row r="346" ht="15.75" customHeight="1">
      <c r="W346" s="5"/>
      <c r="Y346" s="5"/>
    </row>
    <row r="347" ht="15.75" customHeight="1">
      <c r="W347" s="5"/>
      <c r="Y347" s="5"/>
    </row>
    <row r="348" ht="15.75" customHeight="1">
      <c r="W348" s="5"/>
      <c r="Y348" s="5"/>
    </row>
    <row r="349" ht="15.75" customHeight="1">
      <c r="W349" s="5"/>
      <c r="Y349" s="5"/>
    </row>
    <row r="350" ht="15.75" customHeight="1">
      <c r="W350" s="5"/>
      <c r="Y350" s="5"/>
    </row>
    <row r="351" ht="15.75" customHeight="1">
      <c r="W351" s="5"/>
      <c r="Y351" s="5"/>
    </row>
    <row r="352" ht="15.75" customHeight="1">
      <c r="W352" s="5"/>
      <c r="Y352" s="5"/>
    </row>
    <row r="353" ht="15.75" customHeight="1">
      <c r="W353" s="5"/>
      <c r="Y353" s="5"/>
    </row>
    <row r="354" ht="15.75" customHeight="1">
      <c r="W354" s="5"/>
      <c r="Y354" s="5"/>
    </row>
    <row r="355" ht="15.75" customHeight="1">
      <c r="W355" s="5"/>
      <c r="Y355" s="5"/>
    </row>
    <row r="356" ht="15.75" customHeight="1">
      <c r="W356" s="5"/>
      <c r="Y356" s="5"/>
    </row>
    <row r="357" ht="15.75" customHeight="1">
      <c r="W357" s="5"/>
      <c r="Y357" s="5"/>
    </row>
    <row r="358" ht="15.75" customHeight="1">
      <c r="W358" s="5"/>
      <c r="Y358" s="5"/>
    </row>
    <row r="359" ht="15.75" customHeight="1">
      <c r="W359" s="5"/>
      <c r="Y359" s="5"/>
    </row>
    <row r="360" ht="15.75" customHeight="1">
      <c r="W360" s="5"/>
      <c r="Y360" s="5"/>
    </row>
    <row r="361" ht="15.75" customHeight="1">
      <c r="W361" s="5"/>
      <c r="Y361" s="5"/>
    </row>
    <row r="362" ht="15.75" customHeight="1">
      <c r="W362" s="5"/>
      <c r="Y362" s="5"/>
    </row>
    <row r="363" ht="15.75" customHeight="1">
      <c r="W363" s="5"/>
      <c r="Y363" s="5"/>
    </row>
    <row r="364" ht="15.75" customHeight="1">
      <c r="W364" s="5"/>
      <c r="Y364" s="5"/>
    </row>
    <row r="365" ht="15.75" customHeight="1">
      <c r="W365" s="5"/>
      <c r="Y365" s="5"/>
    </row>
    <row r="366" ht="15.75" customHeight="1">
      <c r="W366" s="5"/>
      <c r="Y366" s="5"/>
    </row>
    <row r="367" ht="15.75" customHeight="1">
      <c r="W367" s="5"/>
      <c r="Y367" s="5"/>
    </row>
    <row r="368" ht="15.75" customHeight="1">
      <c r="W368" s="5"/>
      <c r="Y368" s="5"/>
    </row>
    <row r="369" ht="15.75" customHeight="1">
      <c r="W369" s="5"/>
      <c r="Y369" s="5"/>
    </row>
    <row r="370" ht="15.75" customHeight="1">
      <c r="W370" s="5"/>
      <c r="Y370" s="5"/>
    </row>
    <row r="371" ht="15.75" customHeight="1">
      <c r="W371" s="5"/>
      <c r="Y371" s="5"/>
    </row>
    <row r="372" ht="15.75" customHeight="1">
      <c r="W372" s="5"/>
      <c r="Y372" s="5"/>
    </row>
    <row r="373" ht="15.75" customHeight="1">
      <c r="W373" s="5"/>
      <c r="Y373" s="5"/>
    </row>
    <row r="374" ht="15.75" customHeight="1">
      <c r="W374" s="5"/>
      <c r="Y374" s="5"/>
    </row>
    <row r="375" ht="15.75" customHeight="1">
      <c r="W375" s="5"/>
      <c r="Y375" s="5"/>
    </row>
    <row r="376" ht="15.75" customHeight="1">
      <c r="W376" s="5"/>
      <c r="Y376" s="5"/>
    </row>
    <row r="377" ht="15.75" customHeight="1">
      <c r="W377" s="5"/>
      <c r="Y377" s="5"/>
    </row>
    <row r="378" ht="15.75" customHeight="1">
      <c r="W378" s="5"/>
      <c r="Y378" s="5"/>
    </row>
    <row r="379" ht="15.75" customHeight="1">
      <c r="W379" s="5"/>
      <c r="Y379" s="5"/>
    </row>
    <row r="380" ht="15.75" customHeight="1">
      <c r="W380" s="5"/>
      <c r="Y380" s="5"/>
    </row>
    <row r="381" ht="15.75" customHeight="1">
      <c r="W381" s="5"/>
      <c r="Y381" s="5"/>
    </row>
    <row r="382" ht="15.75" customHeight="1">
      <c r="W382" s="5"/>
      <c r="Y382" s="5"/>
    </row>
    <row r="383" ht="15.75" customHeight="1">
      <c r="W383" s="5"/>
      <c r="Y383" s="5"/>
    </row>
    <row r="384" ht="15.75" customHeight="1">
      <c r="W384" s="5"/>
      <c r="Y384" s="5"/>
    </row>
    <row r="385" ht="15.75" customHeight="1">
      <c r="W385" s="5"/>
      <c r="Y385" s="5"/>
    </row>
    <row r="386" ht="15.75" customHeight="1">
      <c r="W386" s="5"/>
      <c r="Y386" s="5"/>
    </row>
    <row r="387" ht="15.75" customHeight="1">
      <c r="W387" s="5"/>
      <c r="Y387" s="5"/>
    </row>
    <row r="388" ht="15.75" customHeight="1">
      <c r="W388" s="5"/>
      <c r="Y388" s="5"/>
    </row>
    <row r="389" ht="15.75" customHeight="1">
      <c r="W389" s="5"/>
      <c r="Y389" s="5"/>
    </row>
    <row r="390" ht="15.75" customHeight="1">
      <c r="W390" s="5"/>
      <c r="Y390" s="5"/>
    </row>
    <row r="391" ht="15.75" customHeight="1">
      <c r="W391" s="5"/>
      <c r="Y391" s="5"/>
    </row>
    <row r="392" ht="15.75" customHeight="1">
      <c r="W392" s="5"/>
      <c r="Y392" s="5"/>
    </row>
    <row r="393" ht="15.75" customHeight="1">
      <c r="W393" s="5"/>
      <c r="Y393" s="5"/>
    </row>
    <row r="394" ht="15.75" customHeight="1">
      <c r="W394" s="5"/>
      <c r="Y394" s="5"/>
    </row>
    <row r="395" ht="15.75" customHeight="1">
      <c r="W395" s="5"/>
      <c r="Y395" s="5"/>
    </row>
    <row r="396" ht="15.75" customHeight="1">
      <c r="W396" s="5"/>
      <c r="Y396" s="5"/>
    </row>
    <row r="397" ht="15.75" customHeight="1">
      <c r="W397" s="5"/>
      <c r="Y397" s="5"/>
    </row>
    <row r="398" ht="15.75" customHeight="1">
      <c r="W398" s="5"/>
      <c r="Y398" s="5"/>
    </row>
    <row r="399" ht="15.75" customHeight="1">
      <c r="W399" s="5"/>
      <c r="Y399" s="5"/>
    </row>
    <row r="400" ht="15.75" customHeight="1">
      <c r="W400" s="5"/>
      <c r="Y400" s="5"/>
    </row>
    <row r="401" ht="15.75" customHeight="1">
      <c r="W401" s="5"/>
      <c r="Y401" s="5"/>
    </row>
    <row r="402" ht="15.75" customHeight="1">
      <c r="W402" s="5"/>
      <c r="Y402" s="5"/>
    </row>
    <row r="403" ht="15.75" customHeight="1">
      <c r="W403" s="5"/>
      <c r="Y403" s="5"/>
    </row>
    <row r="404" ht="15.75" customHeight="1">
      <c r="W404" s="5"/>
      <c r="Y404" s="5"/>
    </row>
    <row r="405" ht="15.75" customHeight="1">
      <c r="W405" s="5"/>
      <c r="Y405" s="5"/>
    </row>
    <row r="406" ht="15.75" customHeight="1">
      <c r="W406" s="5"/>
      <c r="Y406" s="5"/>
    </row>
    <row r="407" ht="15.75" customHeight="1">
      <c r="W407" s="5"/>
      <c r="Y407" s="5"/>
    </row>
    <row r="408" ht="15.75" customHeight="1">
      <c r="W408" s="5"/>
      <c r="Y408" s="5"/>
    </row>
    <row r="409" ht="15.75" customHeight="1">
      <c r="W409" s="5"/>
      <c r="Y409" s="5"/>
    </row>
    <row r="410" ht="15.75" customHeight="1">
      <c r="W410" s="5"/>
      <c r="Y410" s="5"/>
    </row>
    <row r="411" ht="15.75" customHeight="1">
      <c r="W411" s="5"/>
      <c r="Y411" s="5"/>
    </row>
    <row r="412" ht="15.75" customHeight="1">
      <c r="W412" s="5"/>
      <c r="Y412" s="5"/>
    </row>
    <row r="413" ht="15.75" customHeight="1">
      <c r="W413" s="5"/>
      <c r="Y413" s="5"/>
    </row>
    <row r="414" ht="15.75" customHeight="1">
      <c r="W414" s="5"/>
      <c r="Y414" s="5"/>
    </row>
    <row r="415" ht="15.75" customHeight="1">
      <c r="W415" s="5"/>
      <c r="Y415" s="5"/>
    </row>
    <row r="416" ht="15.75" customHeight="1">
      <c r="W416" s="5"/>
      <c r="Y416" s="5"/>
    </row>
    <row r="417" ht="15.75" customHeight="1">
      <c r="W417" s="5"/>
      <c r="Y417" s="5"/>
    </row>
    <row r="418" ht="15.75" customHeight="1">
      <c r="W418" s="5"/>
      <c r="Y418" s="5"/>
    </row>
    <row r="419" ht="15.75" customHeight="1">
      <c r="W419" s="5"/>
      <c r="Y419" s="5"/>
    </row>
    <row r="420" ht="15.75" customHeight="1">
      <c r="W420" s="5"/>
      <c r="Y420" s="5"/>
    </row>
    <row r="421" ht="15.75" customHeight="1">
      <c r="W421" s="5"/>
      <c r="Y421" s="5"/>
    </row>
    <row r="422" ht="15.75" customHeight="1">
      <c r="W422" s="5"/>
      <c r="Y422" s="5"/>
    </row>
    <row r="423" ht="15.75" customHeight="1">
      <c r="W423" s="5"/>
      <c r="Y423" s="5"/>
    </row>
    <row r="424" ht="15.75" customHeight="1">
      <c r="W424" s="5"/>
      <c r="Y424" s="5"/>
    </row>
    <row r="425" ht="15.75" customHeight="1">
      <c r="W425" s="5"/>
      <c r="Y425" s="5"/>
    </row>
    <row r="426" ht="15.75" customHeight="1">
      <c r="W426" s="5"/>
      <c r="Y426" s="5"/>
    </row>
    <row r="427" ht="15.75" customHeight="1">
      <c r="W427" s="5"/>
      <c r="Y427" s="5"/>
    </row>
    <row r="428" ht="15.75" customHeight="1">
      <c r="W428" s="5"/>
      <c r="Y428" s="5"/>
    </row>
    <row r="429" ht="15.75" customHeight="1">
      <c r="W429" s="5"/>
      <c r="Y429" s="5"/>
    </row>
    <row r="430" ht="15.75" customHeight="1">
      <c r="W430" s="5"/>
      <c r="Y430" s="5"/>
    </row>
    <row r="431" ht="15.75" customHeight="1">
      <c r="W431" s="5"/>
      <c r="Y431" s="5"/>
    </row>
    <row r="432" ht="15.75" customHeight="1">
      <c r="W432" s="5"/>
      <c r="Y432" s="5"/>
    </row>
    <row r="433" ht="15.75" customHeight="1">
      <c r="W433" s="5"/>
      <c r="Y433" s="5"/>
    </row>
    <row r="434" ht="15.75" customHeight="1">
      <c r="W434" s="5"/>
      <c r="Y434" s="5"/>
    </row>
    <row r="435" ht="15.75" customHeight="1">
      <c r="W435" s="5"/>
      <c r="Y435" s="5"/>
    </row>
    <row r="436" ht="15.75" customHeight="1">
      <c r="W436" s="5"/>
      <c r="Y436" s="5"/>
    </row>
    <row r="437" ht="15.75" customHeight="1">
      <c r="W437" s="5"/>
      <c r="Y437" s="5"/>
    </row>
    <row r="438" ht="15.75" customHeight="1">
      <c r="W438" s="5"/>
      <c r="Y438" s="5"/>
    </row>
    <row r="439" ht="15.75" customHeight="1">
      <c r="W439" s="5"/>
      <c r="Y439" s="5"/>
    </row>
    <row r="440" ht="15.75" customHeight="1">
      <c r="W440" s="5"/>
      <c r="Y440" s="5"/>
    </row>
    <row r="441" ht="15.75" customHeight="1">
      <c r="W441" s="5"/>
      <c r="Y441" s="5"/>
    </row>
    <row r="442" ht="15.75" customHeight="1">
      <c r="W442" s="5"/>
      <c r="Y442" s="5"/>
    </row>
    <row r="443" ht="15.75" customHeight="1">
      <c r="W443" s="5"/>
      <c r="Y443" s="5"/>
    </row>
    <row r="444" ht="15.75" customHeight="1">
      <c r="W444" s="5"/>
      <c r="Y444" s="5"/>
    </row>
    <row r="445" ht="15.75" customHeight="1">
      <c r="W445" s="5"/>
      <c r="Y445" s="5"/>
    </row>
    <row r="446" ht="15.75" customHeight="1">
      <c r="W446" s="5"/>
      <c r="Y446" s="5"/>
    </row>
    <row r="447" ht="15.75" customHeight="1">
      <c r="W447" s="5"/>
      <c r="Y447" s="5"/>
    </row>
    <row r="448" ht="15.75" customHeight="1">
      <c r="W448" s="5"/>
      <c r="Y448" s="5"/>
    </row>
    <row r="449" ht="15.75" customHeight="1">
      <c r="W449" s="5"/>
      <c r="Y449" s="5"/>
    </row>
    <row r="450" ht="15.75" customHeight="1">
      <c r="W450" s="5"/>
      <c r="Y450" s="5"/>
    </row>
    <row r="451" ht="15.75" customHeight="1">
      <c r="W451" s="5"/>
      <c r="Y451" s="5"/>
    </row>
    <row r="452" ht="15.75" customHeight="1">
      <c r="W452" s="5"/>
      <c r="Y452" s="5"/>
    </row>
    <row r="453" ht="15.75" customHeight="1">
      <c r="W453" s="5"/>
      <c r="Y453" s="5"/>
    </row>
    <row r="454" ht="15.75" customHeight="1">
      <c r="W454" s="5"/>
      <c r="Y454" s="5"/>
    </row>
    <row r="455" ht="15.75" customHeight="1">
      <c r="W455" s="5"/>
      <c r="Y455" s="5"/>
    </row>
    <row r="456" ht="15.75" customHeight="1">
      <c r="W456" s="5"/>
      <c r="Y456" s="5"/>
    </row>
    <row r="457" ht="15.75" customHeight="1">
      <c r="W457" s="5"/>
      <c r="Y457" s="5"/>
    </row>
    <row r="458" ht="15.75" customHeight="1">
      <c r="W458" s="5"/>
      <c r="Y458" s="5"/>
    </row>
    <row r="459" ht="15.75" customHeight="1">
      <c r="W459" s="5"/>
      <c r="Y459" s="5"/>
    </row>
    <row r="460" ht="15.75" customHeight="1">
      <c r="W460" s="5"/>
      <c r="Y460" s="5"/>
    </row>
    <row r="461" ht="15.75" customHeight="1">
      <c r="W461" s="5"/>
      <c r="Y461" s="5"/>
    </row>
    <row r="462" ht="15.75" customHeight="1">
      <c r="W462" s="5"/>
      <c r="Y462" s="5"/>
    </row>
    <row r="463" ht="15.75" customHeight="1">
      <c r="W463" s="5"/>
      <c r="Y463" s="5"/>
    </row>
    <row r="464" ht="15.75" customHeight="1">
      <c r="W464" s="5"/>
      <c r="Y464" s="5"/>
    </row>
    <row r="465" ht="15.75" customHeight="1">
      <c r="W465" s="5"/>
      <c r="Y465" s="5"/>
    </row>
    <row r="466" ht="15.75" customHeight="1">
      <c r="W466" s="5"/>
      <c r="Y466" s="5"/>
    </row>
    <row r="467" ht="15.75" customHeight="1">
      <c r="W467" s="5"/>
      <c r="Y467" s="5"/>
    </row>
    <row r="468" ht="15.75" customHeight="1">
      <c r="W468" s="5"/>
      <c r="Y468" s="5"/>
    </row>
    <row r="469" ht="15.75" customHeight="1">
      <c r="W469" s="5"/>
      <c r="Y469" s="5"/>
    </row>
    <row r="470" ht="15.75" customHeight="1">
      <c r="W470" s="5"/>
      <c r="Y470" s="5"/>
    </row>
    <row r="471" ht="15.75" customHeight="1">
      <c r="W471" s="5"/>
      <c r="Y471" s="5"/>
    </row>
    <row r="472" ht="15.75" customHeight="1">
      <c r="W472" s="5"/>
      <c r="Y472" s="5"/>
    </row>
    <row r="473" ht="15.75" customHeight="1">
      <c r="W473" s="5"/>
      <c r="Y473" s="5"/>
    </row>
    <row r="474" ht="15.75" customHeight="1">
      <c r="W474" s="5"/>
      <c r="Y474" s="5"/>
    </row>
    <row r="475" ht="15.75" customHeight="1">
      <c r="W475" s="5"/>
      <c r="Y475" s="5"/>
    </row>
    <row r="476" ht="15.75" customHeight="1">
      <c r="W476" s="5"/>
      <c r="Y476" s="5"/>
    </row>
    <row r="477" ht="15.75" customHeight="1">
      <c r="W477" s="5"/>
      <c r="Y477" s="5"/>
    </row>
    <row r="478" ht="15.75" customHeight="1">
      <c r="W478" s="5"/>
      <c r="Y478" s="5"/>
    </row>
    <row r="479" ht="15.75" customHeight="1">
      <c r="W479" s="5"/>
      <c r="Y479" s="5"/>
    </row>
    <row r="480" ht="15.75" customHeight="1">
      <c r="W480" s="5"/>
      <c r="Y480" s="5"/>
    </row>
    <row r="481" ht="15.75" customHeight="1">
      <c r="W481" s="5"/>
      <c r="Y481" s="5"/>
    </row>
    <row r="482" ht="15.75" customHeight="1">
      <c r="W482" s="5"/>
      <c r="Y482" s="5"/>
    </row>
    <row r="483" ht="15.75" customHeight="1">
      <c r="W483" s="5"/>
      <c r="Y483" s="5"/>
    </row>
    <row r="484" ht="15.75" customHeight="1">
      <c r="W484" s="5"/>
      <c r="Y484" s="5"/>
    </row>
    <row r="485" ht="15.75" customHeight="1">
      <c r="W485" s="5"/>
      <c r="Y485" s="5"/>
    </row>
    <row r="486" ht="15.75" customHeight="1">
      <c r="W486" s="5"/>
      <c r="Y486" s="5"/>
    </row>
    <row r="487" ht="15.75" customHeight="1">
      <c r="W487" s="5"/>
      <c r="Y487" s="5"/>
    </row>
    <row r="488" ht="15.75" customHeight="1">
      <c r="W488" s="5"/>
      <c r="Y488" s="5"/>
    </row>
    <row r="489" ht="15.75" customHeight="1">
      <c r="W489" s="5"/>
      <c r="Y489" s="5"/>
    </row>
    <row r="490" ht="15.75" customHeight="1">
      <c r="W490" s="5"/>
      <c r="Y490" s="5"/>
    </row>
    <row r="491" ht="15.75" customHeight="1">
      <c r="W491" s="5"/>
      <c r="Y491" s="5"/>
    </row>
    <row r="492" ht="15.75" customHeight="1">
      <c r="W492" s="5"/>
      <c r="Y492" s="5"/>
    </row>
    <row r="493" ht="15.75" customHeight="1">
      <c r="W493" s="5"/>
      <c r="Y493" s="5"/>
    </row>
    <row r="494" ht="15.75" customHeight="1">
      <c r="W494" s="5"/>
      <c r="Y494" s="5"/>
    </row>
    <row r="495" ht="15.75" customHeight="1">
      <c r="W495" s="5"/>
      <c r="Y495" s="5"/>
    </row>
    <row r="496" ht="15.75" customHeight="1">
      <c r="W496" s="5"/>
      <c r="Y496" s="5"/>
    </row>
    <row r="497" ht="15.75" customHeight="1">
      <c r="W497" s="5"/>
      <c r="Y497" s="5"/>
    </row>
    <row r="498" ht="15.75" customHeight="1">
      <c r="W498" s="5"/>
      <c r="Y498" s="5"/>
    </row>
    <row r="499" ht="15.75" customHeight="1">
      <c r="W499" s="5"/>
      <c r="Y499" s="5"/>
    </row>
    <row r="500" ht="15.75" customHeight="1">
      <c r="W500" s="5"/>
      <c r="Y500" s="5"/>
    </row>
    <row r="501" ht="15.75" customHeight="1">
      <c r="W501" s="5"/>
      <c r="Y501" s="5"/>
    </row>
    <row r="502" ht="15.75" customHeight="1">
      <c r="W502" s="5"/>
      <c r="Y502" s="5"/>
    </row>
    <row r="503" ht="15.75" customHeight="1">
      <c r="W503" s="5"/>
      <c r="Y503" s="5"/>
    </row>
    <row r="504" ht="15.75" customHeight="1">
      <c r="W504" s="5"/>
      <c r="Y504" s="5"/>
    </row>
    <row r="505" ht="15.75" customHeight="1">
      <c r="W505" s="5"/>
      <c r="Y505" s="5"/>
    </row>
    <row r="506" ht="15.75" customHeight="1">
      <c r="W506" s="5"/>
      <c r="Y506" s="5"/>
    </row>
    <row r="507" ht="15.75" customHeight="1">
      <c r="W507" s="5"/>
      <c r="Y507" s="5"/>
    </row>
    <row r="508" ht="15.75" customHeight="1">
      <c r="W508" s="5"/>
      <c r="Y508" s="5"/>
    </row>
    <row r="509" ht="15.75" customHeight="1">
      <c r="W509" s="5"/>
      <c r="Y509" s="5"/>
    </row>
    <row r="510" ht="15.75" customHeight="1">
      <c r="W510" s="5"/>
      <c r="Y510" s="5"/>
    </row>
    <row r="511" ht="15.75" customHeight="1">
      <c r="W511" s="5"/>
      <c r="Y511" s="5"/>
    </row>
    <row r="512" ht="15.75" customHeight="1">
      <c r="W512" s="5"/>
      <c r="Y512" s="5"/>
    </row>
    <row r="513" ht="15.75" customHeight="1">
      <c r="W513" s="5"/>
      <c r="Y513" s="5"/>
    </row>
    <row r="514" ht="15.75" customHeight="1">
      <c r="W514" s="5"/>
      <c r="Y514" s="5"/>
    </row>
    <row r="515" ht="15.75" customHeight="1">
      <c r="W515" s="5"/>
      <c r="Y515" s="5"/>
    </row>
    <row r="516" ht="15.75" customHeight="1">
      <c r="W516" s="5"/>
      <c r="Y516" s="5"/>
    </row>
    <row r="517" ht="15.75" customHeight="1">
      <c r="W517" s="5"/>
      <c r="Y517" s="5"/>
    </row>
    <row r="518" ht="15.75" customHeight="1">
      <c r="W518" s="5"/>
      <c r="Y518" s="5"/>
    </row>
    <row r="519" ht="15.75" customHeight="1">
      <c r="W519" s="5"/>
      <c r="Y519" s="5"/>
    </row>
    <row r="520" ht="15.75" customHeight="1">
      <c r="W520" s="5"/>
      <c r="Y520" s="5"/>
    </row>
    <row r="521" ht="15.75" customHeight="1">
      <c r="W521" s="5"/>
      <c r="Y521" s="5"/>
    </row>
    <row r="522" ht="15.75" customHeight="1">
      <c r="W522" s="5"/>
      <c r="Y522" s="5"/>
    </row>
    <row r="523" ht="15.75" customHeight="1">
      <c r="W523" s="5"/>
      <c r="Y523" s="5"/>
    </row>
    <row r="524" ht="15.75" customHeight="1">
      <c r="W524" s="5"/>
      <c r="Y524" s="5"/>
    </row>
    <row r="525" ht="15.75" customHeight="1">
      <c r="W525" s="5"/>
      <c r="Y525" s="5"/>
    </row>
    <row r="526" ht="15.75" customHeight="1">
      <c r="W526" s="5"/>
      <c r="Y526" s="5"/>
    </row>
    <row r="527" ht="15.75" customHeight="1">
      <c r="W527" s="5"/>
      <c r="Y527" s="5"/>
    </row>
    <row r="528" ht="15.75" customHeight="1">
      <c r="W528" s="5"/>
      <c r="Y528" s="5"/>
    </row>
    <row r="529" ht="15.75" customHeight="1">
      <c r="W529" s="5"/>
      <c r="Y529" s="5"/>
    </row>
    <row r="530" ht="15.75" customHeight="1">
      <c r="W530" s="5"/>
      <c r="Y530" s="5"/>
    </row>
    <row r="531" ht="15.75" customHeight="1">
      <c r="W531" s="5"/>
      <c r="Y531" s="5"/>
    </row>
    <row r="532" ht="15.75" customHeight="1">
      <c r="W532" s="5"/>
      <c r="Y532" s="5"/>
    </row>
    <row r="533" ht="15.75" customHeight="1">
      <c r="W533" s="5"/>
      <c r="Y533" s="5"/>
    </row>
    <row r="534" ht="15.75" customHeight="1">
      <c r="W534" s="5"/>
      <c r="Y534" s="5"/>
    </row>
    <row r="535" ht="15.75" customHeight="1">
      <c r="W535" s="5"/>
      <c r="Y535" s="5"/>
    </row>
    <row r="536" ht="15.75" customHeight="1">
      <c r="W536" s="5"/>
      <c r="Y536" s="5"/>
    </row>
    <row r="537" ht="15.75" customHeight="1">
      <c r="W537" s="5"/>
      <c r="Y537" s="5"/>
    </row>
    <row r="538" ht="15.75" customHeight="1">
      <c r="W538" s="5"/>
      <c r="Y538" s="5"/>
    </row>
    <row r="539" ht="15.75" customHeight="1">
      <c r="W539" s="5"/>
      <c r="Y539" s="5"/>
    </row>
    <row r="540" ht="15.75" customHeight="1">
      <c r="W540" s="5"/>
      <c r="Y540" s="5"/>
    </row>
    <row r="541" ht="15.75" customHeight="1">
      <c r="W541" s="5"/>
      <c r="Y541" s="5"/>
    </row>
    <row r="542" ht="15.75" customHeight="1">
      <c r="W542" s="5"/>
      <c r="Y542" s="5"/>
    </row>
    <row r="543" ht="15.75" customHeight="1">
      <c r="W543" s="5"/>
      <c r="Y543" s="5"/>
    </row>
    <row r="544" ht="15.75" customHeight="1">
      <c r="W544" s="5"/>
      <c r="Y544" s="5"/>
    </row>
    <row r="545" ht="15.75" customHeight="1">
      <c r="W545" s="5"/>
      <c r="Y545" s="5"/>
    </row>
    <row r="546" ht="15.75" customHeight="1">
      <c r="W546" s="5"/>
      <c r="Y546" s="5"/>
    </row>
    <row r="547" ht="15.75" customHeight="1">
      <c r="W547" s="5"/>
      <c r="Y547" s="5"/>
    </row>
    <row r="548" ht="15.75" customHeight="1">
      <c r="W548" s="5"/>
      <c r="Y548" s="5"/>
    </row>
    <row r="549" ht="15.75" customHeight="1">
      <c r="W549" s="5"/>
      <c r="Y549" s="5"/>
    </row>
    <row r="550" ht="15.75" customHeight="1">
      <c r="W550" s="5"/>
      <c r="Y550" s="5"/>
    </row>
    <row r="551" ht="15.75" customHeight="1">
      <c r="W551" s="5"/>
      <c r="Y551" s="5"/>
    </row>
    <row r="552" ht="15.75" customHeight="1">
      <c r="W552" s="5"/>
      <c r="Y552" s="5"/>
    </row>
    <row r="553" ht="15.75" customHeight="1">
      <c r="W553" s="5"/>
      <c r="Y553" s="5"/>
    </row>
    <row r="554" ht="15.75" customHeight="1">
      <c r="W554" s="5"/>
      <c r="Y554" s="5"/>
    </row>
    <row r="555" ht="15.75" customHeight="1">
      <c r="W555" s="5"/>
      <c r="Y555" s="5"/>
    </row>
    <row r="556" ht="15.75" customHeight="1">
      <c r="W556" s="5"/>
      <c r="Y556" s="5"/>
    </row>
    <row r="557" ht="15.75" customHeight="1">
      <c r="W557" s="5"/>
      <c r="Y557" s="5"/>
    </row>
    <row r="558" ht="15.75" customHeight="1">
      <c r="W558" s="5"/>
      <c r="Y558" s="5"/>
    </row>
    <row r="559" ht="15.75" customHeight="1">
      <c r="W559" s="5"/>
      <c r="Y559" s="5"/>
    </row>
    <row r="560" ht="15.75" customHeight="1">
      <c r="W560" s="5"/>
      <c r="Y560" s="5"/>
    </row>
    <row r="561" ht="15.75" customHeight="1">
      <c r="W561" s="5"/>
      <c r="Y561" s="5"/>
    </row>
    <row r="562" ht="15.75" customHeight="1">
      <c r="W562" s="5"/>
      <c r="Y562" s="5"/>
    </row>
    <row r="563" ht="15.75" customHeight="1">
      <c r="W563" s="5"/>
      <c r="Y563" s="5"/>
    </row>
    <row r="564" ht="15.75" customHeight="1">
      <c r="W564" s="5"/>
      <c r="Y564" s="5"/>
    </row>
    <row r="565" ht="15.75" customHeight="1">
      <c r="W565" s="5"/>
      <c r="Y565" s="5"/>
    </row>
    <row r="566" ht="15.75" customHeight="1">
      <c r="W566" s="5"/>
      <c r="Y566" s="5"/>
    </row>
    <row r="567" ht="15.75" customHeight="1">
      <c r="W567" s="5"/>
      <c r="Y567" s="5"/>
    </row>
    <row r="568" ht="15.75" customHeight="1">
      <c r="W568" s="5"/>
      <c r="Y568" s="5"/>
    </row>
    <row r="569" ht="15.75" customHeight="1">
      <c r="W569" s="5"/>
      <c r="Y569" s="5"/>
    </row>
    <row r="570" ht="15.75" customHeight="1">
      <c r="W570" s="5"/>
      <c r="Y570" s="5"/>
    </row>
    <row r="571" ht="15.75" customHeight="1">
      <c r="W571" s="5"/>
      <c r="Y571" s="5"/>
    </row>
    <row r="572" ht="15.75" customHeight="1">
      <c r="W572" s="5"/>
      <c r="Y572" s="5"/>
    </row>
    <row r="573" ht="15.75" customHeight="1">
      <c r="W573" s="5"/>
      <c r="Y573" s="5"/>
    </row>
    <row r="574" ht="15.75" customHeight="1">
      <c r="W574" s="5"/>
      <c r="Y574" s="5"/>
    </row>
    <row r="575" ht="15.75" customHeight="1">
      <c r="W575" s="5"/>
      <c r="Y575" s="5"/>
    </row>
    <row r="576" ht="15.75" customHeight="1">
      <c r="W576" s="5"/>
      <c r="Y576" s="5"/>
    </row>
    <row r="577" ht="15.75" customHeight="1">
      <c r="W577" s="5"/>
      <c r="Y577" s="5"/>
    </row>
    <row r="578" ht="15.75" customHeight="1">
      <c r="W578" s="5"/>
      <c r="Y578" s="5"/>
    </row>
    <row r="579" ht="15.75" customHeight="1">
      <c r="W579" s="5"/>
      <c r="Y579" s="5"/>
    </row>
    <row r="580" ht="15.75" customHeight="1">
      <c r="W580" s="5"/>
      <c r="Y580" s="5"/>
    </row>
    <row r="581" ht="15.75" customHeight="1">
      <c r="W581" s="5"/>
      <c r="Y581" s="5"/>
    </row>
    <row r="582" ht="15.75" customHeight="1">
      <c r="W582" s="5"/>
      <c r="Y582" s="5"/>
    </row>
    <row r="583" ht="15.75" customHeight="1">
      <c r="W583" s="5"/>
      <c r="Y583" s="5"/>
    </row>
    <row r="584" ht="15.75" customHeight="1">
      <c r="W584" s="5"/>
      <c r="Y584" s="5"/>
    </row>
    <row r="585" ht="15.75" customHeight="1">
      <c r="W585" s="5"/>
      <c r="Y585" s="5"/>
    </row>
    <row r="586" ht="15.75" customHeight="1">
      <c r="W586" s="5"/>
      <c r="Y586" s="5"/>
    </row>
    <row r="587" ht="15.75" customHeight="1">
      <c r="W587" s="5"/>
      <c r="Y587" s="5"/>
    </row>
    <row r="588" ht="15.75" customHeight="1">
      <c r="W588" s="5"/>
      <c r="Y588" s="5"/>
    </row>
    <row r="589" ht="15.75" customHeight="1">
      <c r="W589" s="5"/>
      <c r="Y589" s="5"/>
    </row>
    <row r="590" ht="15.75" customHeight="1">
      <c r="W590" s="5"/>
      <c r="Y590" s="5"/>
    </row>
    <row r="591" ht="15.75" customHeight="1">
      <c r="W591" s="5"/>
      <c r="Y591" s="5"/>
    </row>
    <row r="592" ht="15.75" customHeight="1">
      <c r="W592" s="5"/>
      <c r="Y592" s="5"/>
    </row>
    <row r="593" ht="15.75" customHeight="1">
      <c r="W593" s="5"/>
      <c r="Y593" s="5"/>
    </row>
    <row r="594" ht="15.75" customHeight="1">
      <c r="W594" s="5"/>
      <c r="Y594" s="5"/>
    </row>
    <row r="595" ht="15.75" customHeight="1">
      <c r="W595" s="5"/>
      <c r="Y595" s="5"/>
    </row>
    <row r="596" ht="15.75" customHeight="1">
      <c r="W596" s="5"/>
      <c r="Y596" s="5"/>
    </row>
    <row r="597" ht="15.75" customHeight="1">
      <c r="W597" s="5"/>
      <c r="Y597" s="5"/>
    </row>
    <row r="598" ht="15.75" customHeight="1">
      <c r="W598" s="5"/>
      <c r="Y598" s="5"/>
    </row>
    <row r="599" ht="15.75" customHeight="1">
      <c r="W599" s="5"/>
      <c r="Y599" s="5"/>
    </row>
    <row r="600" ht="15.75" customHeight="1">
      <c r="W600" s="5"/>
      <c r="Y600" s="5"/>
    </row>
    <row r="601" ht="15.75" customHeight="1">
      <c r="W601" s="5"/>
      <c r="Y601" s="5"/>
    </row>
    <row r="602" ht="15.75" customHeight="1">
      <c r="W602" s="5"/>
      <c r="Y602" s="5"/>
    </row>
    <row r="603" ht="15.75" customHeight="1">
      <c r="W603" s="5"/>
      <c r="Y603" s="5"/>
    </row>
    <row r="604" ht="15.75" customHeight="1">
      <c r="W604" s="5"/>
      <c r="Y604" s="5"/>
    </row>
    <row r="605" ht="15.75" customHeight="1">
      <c r="W605" s="5"/>
      <c r="Y605" s="5"/>
    </row>
    <row r="606" ht="15.75" customHeight="1">
      <c r="W606" s="5"/>
      <c r="Y606" s="5"/>
    </row>
    <row r="607" ht="15.75" customHeight="1">
      <c r="W607" s="5"/>
      <c r="Y607" s="5"/>
    </row>
    <row r="608" ht="15.75" customHeight="1">
      <c r="W608" s="5"/>
      <c r="Y608" s="5"/>
    </row>
    <row r="609" ht="15.75" customHeight="1">
      <c r="W609" s="5"/>
      <c r="Y609" s="5"/>
    </row>
    <row r="610" ht="15.75" customHeight="1">
      <c r="W610" s="5"/>
      <c r="Y610" s="5"/>
    </row>
    <row r="611" ht="15.75" customHeight="1">
      <c r="W611" s="5"/>
      <c r="Y611" s="5"/>
    </row>
    <row r="612" ht="15.75" customHeight="1">
      <c r="W612" s="5"/>
      <c r="Y612" s="5"/>
    </row>
    <row r="613" ht="15.75" customHeight="1">
      <c r="W613" s="5"/>
      <c r="Y613" s="5"/>
    </row>
    <row r="614" ht="15.75" customHeight="1">
      <c r="W614" s="5"/>
      <c r="Y614" s="5"/>
    </row>
    <row r="615" ht="15.75" customHeight="1">
      <c r="W615" s="5"/>
      <c r="Y615" s="5"/>
    </row>
    <row r="616" ht="15.75" customHeight="1">
      <c r="W616" s="5"/>
      <c r="Y616" s="5"/>
    </row>
    <row r="617" ht="15.75" customHeight="1">
      <c r="W617" s="5"/>
      <c r="Y617" s="5"/>
    </row>
    <row r="618" ht="15.75" customHeight="1">
      <c r="W618" s="5"/>
      <c r="Y618" s="5"/>
    </row>
    <row r="619" ht="15.75" customHeight="1">
      <c r="W619" s="5"/>
      <c r="Y619" s="5"/>
    </row>
    <row r="620" ht="15.75" customHeight="1">
      <c r="W620" s="5"/>
      <c r="Y620" s="5"/>
    </row>
    <row r="621" ht="15.75" customHeight="1">
      <c r="W621" s="5"/>
      <c r="Y621" s="5"/>
    </row>
    <row r="622" ht="15.75" customHeight="1">
      <c r="W622" s="5"/>
      <c r="Y622" s="5"/>
    </row>
    <row r="623" ht="15.75" customHeight="1">
      <c r="W623" s="5"/>
      <c r="Y623" s="5"/>
    </row>
    <row r="624" ht="15.75" customHeight="1">
      <c r="W624" s="5"/>
      <c r="Y624" s="5"/>
    </row>
    <row r="625" ht="15.75" customHeight="1">
      <c r="W625" s="5"/>
      <c r="Y625" s="5"/>
    </row>
    <row r="626" ht="15.75" customHeight="1">
      <c r="W626" s="5"/>
      <c r="Y626" s="5"/>
    </row>
    <row r="627" ht="15.75" customHeight="1">
      <c r="W627" s="5"/>
      <c r="Y627" s="5"/>
    </row>
    <row r="628" ht="15.75" customHeight="1">
      <c r="W628" s="5"/>
      <c r="Y628" s="5"/>
    </row>
    <row r="629" ht="15.75" customHeight="1">
      <c r="W629" s="5"/>
      <c r="Y629" s="5"/>
    </row>
    <row r="630" ht="15.75" customHeight="1">
      <c r="W630" s="5"/>
      <c r="Y630" s="5"/>
    </row>
    <row r="631" ht="15.75" customHeight="1">
      <c r="W631" s="5"/>
      <c r="Y631" s="5"/>
    </row>
    <row r="632" ht="15.75" customHeight="1">
      <c r="W632" s="5"/>
      <c r="Y632" s="5"/>
    </row>
    <row r="633" ht="15.75" customHeight="1">
      <c r="W633" s="5"/>
      <c r="Y633" s="5"/>
    </row>
    <row r="634" ht="15.75" customHeight="1">
      <c r="W634" s="5"/>
      <c r="Y634" s="5"/>
    </row>
    <row r="635" ht="15.75" customHeight="1">
      <c r="W635" s="5"/>
      <c r="Y635" s="5"/>
    </row>
    <row r="636" ht="15.75" customHeight="1">
      <c r="W636" s="5"/>
      <c r="Y636" s="5"/>
    </row>
    <row r="637" ht="15.75" customHeight="1">
      <c r="W637" s="5"/>
      <c r="Y637" s="5"/>
    </row>
    <row r="638" ht="15.75" customHeight="1">
      <c r="W638" s="5"/>
      <c r="Y638" s="5"/>
    </row>
    <row r="639" ht="15.75" customHeight="1">
      <c r="W639" s="5"/>
      <c r="Y639" s="5"/>
    </row>
    <row r="640" ht="15.75" customHeight="1">
      <c r="W640" s="5"/>
      <c r="Y640" s="5"/>
    </row>
    <row r="641" ht="15.75" customHeight="1">
      <c r="W641" s="5"/>
      <c r="Y641" s="5"/>
    </row>
    <row r="642" ht="15.75" customHeight="1">
      <c r="W642" s="5"/>
      <c r="Y642" s="5"/>
    </row>
    <row r="643" ht="15.75" customHeight="1">
      <c r="W643" s="5"/>
      <c r="Y643" s="5"/>
    </row>
    <row r="644" ht="15.75" customHeight="1">
      <c r="W644" s="5"/>
      <c r="Y644" s="5"/>
    </row>
    <row r="645" ht="15.75" customHeight="1">
      <c r="W645" s="5"/>
      <c r="Y645" s="5"/>
    </row>
    <row r="646" ht="15.75" customHeight="1">
      <c r="W646" s="5"/>
      <c r="Y646" s="5"/>
    </row>
    <row r="647" ht="15.75" customHeight="1">
      <c r="W647" s="5"/>
      <c r="Y647" s="5"/>
    </row>
    <row r="648" ht="15.75" customHeight="1">
      <c r="W648" s="5"/>
      <c r="Y648" s="5"/>
    </row>
    <row r="649" ht="15.75" customHeight="1">
      <c r="W649" s="5"/>
      <c r="Y649" s="5"/>
    </row>
    <row r="650" ht="15.75" customHeight="1">
      <c r="W650" s="5"/>
      <c r="Y650" s="5"/>
    </row>
    <row r="651" ht="15.75" customHeight="1">
      <c r="W651" s="5"/>
      <c r="Y651" s="5"/>
    </row>
    <row r="652" ht="15.75" customHeight="1">
      <c r="W652" s="5"/>
      <c r="Y652" s="5"/>
    </row>
    <row r="653" ht="15.75" customHeight="1">
      <c r="W653" s="5"/>
      <c r="Y653" s="5"/>
    </row>
    <row r="654" ht="15.75" customHeight="1">
      <c r="W654" s="5"/>
      <c r="Y654" s="5"/>
    </row>
    <row r="655" ht="15.75" customHeight="1">
      <c r="W655" s="5"/>
      <c r="Y655" s="5"/>
    </row>
    <row r="656" ht="15.75" customHeight="1">
      <c r="W656" s="5"/>
      <c r="Y656" s="5"/>
    </row>
    <row r="657" ht="15.75" customHeight="1">
      <c r="W657" s="5"/>
      <c r="Y657" s="5"/>
    </row>
    <row r="658" ht="15.75" customHeight="1">
      <c r="W658" s="5"/>
      <c r="Y658" s="5"/>
    </row>
    <row r="659" ht="15.75" customHeight="1">
      <c r="W659" s="5"/>
      <c r="Y659" s="5"/>
    </row>
    <row r="660" ht="15.75" customHeight="1">
      <c r="W660" s="5"/>
      <c r="Y660" s="5"/>
    </row>
    <row r="661" ht="15.75" customHeight="1">
      <c r="W661" s="5"/>
      <c r="Y661" s="5"/>
    </row>
    <row r="662" ht="15.75" customHeight="1">
      <c r="W662" s="5"/>
      <c r="Y662" s="5"/>
    </row>
    <row r="663" ht="15.75" customHeight="1">
      <c r="W663" s="5"/>
      <c r="Y663" s="5"/>
    </row>
    <row r="664" ht="15.75" customHeight="1">
      <c r="W664" s="5"/>
      <c r="Y664" s="5"/>
    </row>
    <row r="665" ht="15.75" customHeight="1">
      <c r="W665" s="5"/>
      <c r="Y665" s="5"/>
    </row>
    <row r="666" ht="15.75" customHeight="1">
      <c r="W666" s="5"/>
      <c r="Y666" s="5"/>
    </row>
    <row r="667" ht="15.75" customHeight="1">
      <c r="W667" s="5"/>
      <c r="Y667" s="5"/>
    </row>
    <row r="668" ht="15.75" customHeight="1">
      <c r="W668" s="5"/>
      <c r="Y668" s="5"/>
    </row>
    <row r="669" ht="15.75" customHeight="1">
      <c r="W669" s="5"/>
      <c r="Y669" s="5"/>
    </row>
    <row r="670" ht="15.75" customHeight="1">
      <c r="W670" s="5"/>
      <c r="Y670" s="5"/>
    </row>
    <row r="671" ht="15.75" customHeight="1">
      <c r="W671" s="5"/>
      <c r="Y671" s="5"/>
    </row>
    <row r="672" ht="15.75" customHeight="1">
      <c r="W672" s="5"/>
      <c r="Y672" s="5"/>
    </row>
    <row r="673" ht="15.75" customHeight="1">
      <c r="W673" s="5"/>
      <c r="Y673" s="5"/>
    </row>
    <row r="674" ht="15.75" customHeight="1">
      <c r="W674" s="5"/>
      <c r="Y674" s="5"/>
    </row>
    <row r="675" ht="15.75" customHeight="1">
      <c r="W675" s="5"/>
      <c r="Y675" s="5"/>
    </row>
    <row r="676" ht="15.75" customHeight="1">
      <c r="W676" s="5"/>
      <c r="Y676" s="5"/>
    </row>
    <row r="677" ht="15.75" customHeight="1">
      <c r="W677" s="5"/>
      <c r="Y677" s="5"/>
    </row>
    <row r="678" ht="15.75" customHeight="1">
      <c r="W678" s="5"/>
      <c r="Y678" s="5"/>
    </row>
    <row r="679" ht="15.75" customHeight="1">
      <c r="W679" s="5"/>
      <c r="Y679" s="5"/>
    </row>
    <row r="680" ht="15.75" customHeight="1">
      <c r="W680" s="5"/>
      <c r="Y680" s="5"/>
    </row>
    <row r="681" ht="15.75" customHeight="1">
      <c r="W681" s="5"/>
      <c r="Y681" s="5"/>
    </row>
    <row r="682" ht="15.75" customHeight="1">
      <c r="W682" s="5"/>
      <c r="Y682" s="5"/>
    </row>
    <row r="683" ht="15.75" customHeight="1">
      <c r="W683" s="5"/>
      <c r="Y683" s="5"/>
    </row>
    <row r="684" ht="15.75" customHeight="1">
      <c r="W684" s="5"/>
      <c r="Y684" s="5"/>
    </row>
    <row r="685" ht="15.75" customHeight="1">
      <c r="W685" s="5"/>
      <c r="Y685" s="5"/>
    </row>
    <row r="686" ht="15.75" customHeight="1">
      <c r="W686" s="5"/>
      <c r="Y686" s="5"/>
    </row>
    <row r="687" ht="15.75" customHeight="1">
      <c r="W687" s="5"/>
      <c r="Y687" s="5"/>
    </row>
    <row r="688" ht="15.75" customHeight="1">
      <c r="W688" s="5"/>
      <c r="Y688" s="5"/>
    </row>
    <row r="689" ht="15.75" customHeight="1">
      <c r="W689" s="5"/>
      <c r="Y689" s="5"/>
    </row>
    <row r="690" ht="15.75" customHeight="1">
      <c r="W690" s="5"/>
      <c r="Y690" s="5"/>
    </row>
    <row r="691" ht="15.75" customHeight="1">
      <c r="W691" s="5"/>
      <c r="Y691" s="5"/>
    </row>
    <row r="692" ht="15.75" customHeight="1">
      <c r="W692" s="5"/>
      <c r="Y692" s="5"/>
    </row>
    <row r="693" ht="15.75" customHeight="1">
      <c r="W693" s="5"/>
      <c r="Y693" s="5"/>
    </row>
    <row r="694" ht="15.75" customHeight="1">
      <c r="W694" s="5"/>
      <c r="Y694" s="5"/>
    </row>
    <row r="695" ht="15.75" customHeight="1">
      <c r="W695" s="5"/>
      <c r="Y695" s="5"/>
    </row>
    <row r="696" ht="15.75" customHeight="1">
      <c r="W696" s="5"/>
      <c r="Y696" s="5"/>
    </row>
    <row r="697" ht="15.75" customHeight="1">
      <c r="W697" s="5"/>
      <c r="Y697" s="5"/>
    </row>
    <row r="698" ht="15.75" customHeight="1">
      <c r="W698" s="5"/>
      <c r="Y698" s="5"/>
    </row>
    <row r="699" ht="15.75" customHeight="1">
      <c r="W699" s="5"/>
      <c r="Y699" s="5"/>
    </row>
    <row r="700" ht="15.75" customHeight="1">
      <c r="W700" s="5"/>
      <c r="Y700" s="5"/>
    </row>
    <row r="701" ht="15.75" customHeight="1">
      <c r="W701" s="5"/>
      <c r="Y701" s="5"/>
    </row>
    <row r="702" ht="15.75" customHeight="1">
      <c r="W702" s="5"/>
      <c r="Y702" s="5"/>
    </row>
    <row r="703" ht="15.75" customHeight="1">
      <c r="W703" s="5"/>
      <c r="Y703" s="5"/>
    </row>
    <row r="704" ht="15.75" customHeight="1">
      <c r="W704" s="5"/>
      <c r="Y704" s="5"/>
    </row>
    <row r="705" ht="15.75" customHeight="1">
      <c r="W705" s="5"/>
      <c r="Y705" s="5"/>
    </row>
    <row r="706" ht="15.75" customHeight="1">
      <c r="W706" s="5"/>
      <c r="Y706" s="5"/>
    </row>
    <row r="707" ht="15.75" customHeight="1">
      <c r="W707" s="5"/>
      <c r="Y707" s="5"/>
    </row>
    <row r="708" ht="15.75" customHeight="1">
      <c r="W708" s="5"/>
      <c r="Y708" s="5"/>
    </row>
    <row r="709" ht="15.75" customHeight="1">
      <c r="W709" s="5"/>
      <c r="Y709" s="5"/>
    </row>
    <row r="710" ht="15.75" customHeight="1">
      <c r="W710" s="5"/>
      <c r="Y710" s="5"/>
    </row>
    <row r="711" ht="15.75" customHeight="1">
      <c r="W711" s="5"/>
      <c r="Y711" s="5"/>
    </row>
    <row r="712" ht="15.75" customHeight="1">
      <c r="W712" s="5"/>
      <c r="Y712" s="5"/>
    </row>
    <row r="713" ht="15.75" customHeight="1">
      <c r="W713" s="5"/>
      <c r="Y713" s="5"/>
    </row>
    <row r="714" ht="15.75" customHeight="1">
      <c r="W714" s="5"/>
      <c r="Y714" s="5"/>
    </row>
    <row r="715" ht="15.75" customHeight="1">
      <c r="W715" s="5"/>
      <c r="Y715" s="5"/>
    </row>
    <row r="716" ht="15.75" customHeight="1">
      <c r="W716" s="5"/>
      <c r="Y716" s="5"/>
    </row>
    <row r="717" ht="15.75" customHeight="1">
      <c r="W717" s="5"/>
      <c r="Y717" s="5"/>
    </row>
    <row r="718" ht="15.75" customHeight="1">
      <c r="W718" s="5"/>
      <c r="Y718" s="5"/>
    </row>
    <row r="719" ht="15.75" customHeight="1">
      <c r="W719" s="5"/>
      <c r="Y719" s="5"/>
    </row>
    <row r="720" ht="15.75" customHeight="1">
      <c r="W720" s="5"/>
      <c r="Y720" s="5"/>
    </row>
    <row r="721" ht="15.75" customHeight="1">
      <c r="W721" s="5"/>
      <c r="Y721" s="5"/>
    </row>
    <row r="722" ht="15.75" customHeight="1">
      <c r="W722" s="5"/>
      <c r="Y722" s="5"/>
    </row>
    <row r="723" ht="15.75" customHeight="1">
      <c r="W723" s="5"/>
      <c r="Y723" s="5"/>
    </row>
    <row r="724" ht="15.75" customHeight="1">
      <c r="W724" s="5"/>
      <c r="Y724" s="5"/>
    </row>
    <row r="725" ht="15.75" customHeight="1">
      <c r="W725" s="5"/>
      <c r="Y725" s="5"/>
    </row>
    <row r="726" ht="15.75" customHeight="1">
      <c r="W726" s="5"/>
      <c r="Y726" s="5"/>
    </row>
    <row r="727" ht="15.75" customHeight="1">
      <c r="W727" s="5"/>
      <c r="Y727" s="5"/>
    </row>
    <row r="728" ht="15.75" customHeight="1">
      <c r="W728" s="5"/>
      <c r="Y728" s="5"/>
    </row>
    <row r="729" ht="15.75" customHeight="1">
      <c r="W729" s="5"/>
      <c r="Y729" s="5"/>
    </row>
    <row r="730" ht="15.75" customHeight="1">
      <c r="W730" s="5"/>
      <c r="Y730" s="5"/>
    </row>
    <row r="731" ht="15.75" customHeight="1">
      <c r="W731" s="5"/>
      <c r="Y731" s="5"/>
    </row>
    <row r="732" ht="15.75" customHeight="1">
      <c r="W732" s="5"/>
      <c r="Y732" s="5"/>
    </row>
    <row r="733" ht="15.75" customHeight="1">
      <c r="W733" s="5"/>
      <c r="Y733" s="5"/>
    </row>
    <row r="734" ht="15.75" customHeight="1">
      <c r="W734" s="5"/>
      <c r="Y734" s="5"/>
    </row>
    <row r="735" ht="15.75" customHeight="1">
      <c r="W735" s="5"/>
      <c r="Y735" s="5"/>
    </row>
    <row r="736" ht="15.75" customHeight="1">
      <c r="W736" s="5"/>
      <c r="Y736" s="5"/>
    </row>
    <row r="737" ht="15.75" customHeight="1">
      <c r="W737" s="5"/>
      <c r="Y737" s="5"/>
    </row>
    <row r="738" ht="15.75" customHeight="1">
      <c r="W738" s="5"/>
      <c r="Y738" s="5"/>
    </row>
    <row r="739" ht="15.75" customHeight="1">
      <c r="W739" s="5"/>
      <c r="Y739" s="5"/>
    </row>
    <row r="740" ht="15.75" customHeight="1">
      <c r="W740" s="5"/>
      <c r="Y740" s="5"/>
    </row>
    <row r="741" ht="15.75" customHeight="1">
      <c r="W741" s="5"/>
      <c r="Y741" s="5"/>
    </row>
    <row r="742" ht="15.75" customHeight="1">
      <c r="W742" s="5"/>
      <c r="Y742" s="5"/>
    </row>
    <row r="743" ht="15.75" customHeight="1">
      <c r="W743" s="5"/>
      <c r="Y743" s="5"/>
    </row>
    <row r="744" ht="15.75" customHeight="1">
      <c r="W744" s="5"/>
      <c r="Y744" s="5"/>
    </row>
    <row r="745" ht="15.75" customHeight="1">
      <c r="W745" s="5"/>
      <c r="Y745" s="5"/>
    </row>
    <row r="746" ht="15.75" customHeight="1">
      <c r="W746" s="5"/>
      <c r="Y746" s="5"/>
    </row>
    <row r="747" ht="15.75" customHeight="1">
      <c r="W747" s="5"/>
      <c r="Y747" s="5"/>
    </row>
    <row r="748" ht="15.75" customHeight="1">
      <c r="W748" s="5"/>
      <c r="Y748" s="5"/>
    </row>
    <row r="749" ht="15.75" customHeight="1">
      <c r="W749" s="5"/>
      <c r="Y749" s="5"/>
    </row>
    <row r="750" ht="15.75" customHeight="1">
      <c r="W750" s="5"/>
      <c r="Y750" s="5"/>
    </row>
    <row r="751" ht="15.75" customHeight="1">
      <c r="W751" s="5"/>
      <c r="Y751" s="5"/>
    </row>
    <row r="752" ht="15.75" customHeight="1">
      <c r="W752" s="5"/>
      <c r="Y752" s="5"/>
    </row>
    <row r="753" ht="15.75" customHeight="1">
      <c r="W753" s="5"/>
      <c r="Y753" s="5"/>
    </row>
    <row r="754" ht="15.75" customHeight="1">
      <c r="W754" s="5"/>
      <c r="Y754" s="5"/>
    </row>
    <row r="755" ht="15.75" customHeight="1">
      <c r="W755" s="5"/>
      <c r="Y755" s="5"/>
    </row>
    <row r="756" ht="15.75" customHeight="1">
      <c r="W756" s="5"/>
      <c r="Y756" s="5"/>
    </row>
    <row r="757" ht="15.75" customHeight="1">
      <c r="W757" s="5"/>
      <c r="Y757" s="5"/>
    </row>
    <row r="758" ht="15.75" customHeight="1">
      <c r="W758" s="5"/>
      <c r="Y758" s="5"/>
    </row>
    <row r="759" ht="15.75" customHeight="1">
      <c r="W759" s="5"/>
      <c r="Y759" s="5"/>
    </row>
    <row r="760" ht="15.75" customHeight="1">
      <c r="W760" s="5"/>
      <c r="Y760" s="5"/>
    </row>
    <row r="761" ht="15.75" customHeight="1">
      <c r="W761" s="5"/>
      <c r="Y761" s="5"/>
    </row>
    <row r="762" ht="15.75" customHeight="1">
      <c r="W762" s="5"/>
      <c r="Y762" s="5"/>
    </row>
    <row r="763" ht="15.75" customHeight="1">
      <c r="W763" s="5"/>
      <c r="Y763" s="5"/>
    </row>
    <row r="764" ht="15.75" customHeight="1">
      <c r="W764" s="5"/>
      <c r="Y764" s="5"/>
    </row>
    <row r="765" ht="15.75" customHeight="1">
      <c r="W765" s="5"/>
      <c r="Y765" s="5"/>
    </row>
    <row r="766" ht="15.75" customHeight="1">
      <c r="W766" s="5"/>
      <c r="Y766" s="5"/>
    </row>
    <row r="767" ht="15.75" customHeight="1">
      <c r="W767" s="5"/>
      <c r="Y767" s="5"/>
    </row>
    <row r="768" ht="15.75" customHeight="1">
      <c r="W768" s="5"/>
      <c r="Y768" s="5"/>
    </row>
    <row r="769" ht="15.75" customHeight="1">
      <c r="W769" s="5"/>
      <c r="Y769" s="5"/>
    </row>
    <row r="770" ht="15.75" customHeight="1">
      <c r="W770" s="5"/>
      <c r="Y770" s="5"/>
    </row>
    <row r="771" ht="15.75" customHeight="1">
      <c r="W771" s="5"/>
      <c r="Y771" s="5"/>
    </row>
    <row r="772" ht="15.75" customHeight="1">
      <c r="W772" s="5"/>
      <c r="Y772" s="5"/>
    </row>
    <row r="773" ht="15.75" customHeight="1">
      <c r="W773" s="5"/>
      <c r="Y773" s="5"/>
    </row>
    <row r="774" ht="15.75" customHeight="1">
      <c r="W774" s="5"/>
      <c r="Y774" s="5"/>
    </row>
    <row r="775" ht="15.75" customHeight="1">
      <c r="W775" s="5"/>
      <c r="Y775" s="5"/>
    </row>
    <row r="776" ht="15.75" customHeight="1">
      <c r="W776" s="5"/>
      <c r="Y776" s="5"/>
    </row>
    <row r="777" ht="15.75" customHeight="1">
      <c r="W777" s="5"/>
      <c r="Y777" s="5"/>
    </row>
    <row r="778" ht="15.75" customHeight="1">
      <c r="W778" s="5"/>
      <c r="Y778" s="5"/>
    </row>
    <row r="779" ht="15.75" customHeight="1">
      <c r="W779" s="5"/>
      <c r="Y779" s="5"/>
    </row>
    <row r="780" ht="15.75" customHeight="1">
      <c r="W780" s="5"/>
      <c r="Y780" s="5"/>
    </row>
    <row r="781" ht="15.75" customHeight="1">
      <c r="W781" s="5"/>
      <c r="Y781" s="5"/>
    </row>
    <row r="782" ht="15.75" customHeight="1">
      <c r="W782" s="5"/>
      <c r="Y782" s="5"/>
    </row>
    <row r="783" ht="15.75" customHeight="1">
      <c r="W783" s="5"/>
      <c r="Y783" s="5"/>
    </row>
    <row r="784" ht="15.75" customHeight="1">
      <c r="W784" s="5"/>
      <c r="Y784" s="5"/>
    </row>
    <row r="785" ht="15.75" customHeight="1">
      <c r="W785" s="5"/>
      <c r="Y785" s="5"/>
    </row>
    <row r="786" ht="15.75" customHeight="1">
      <c r="W786" s="5"/>
      <c r="Y786" s="5"/>
    </row>
    <row r="787" ht="15.75" customHeight="1">
      <c r="W787" s="5"/>
      <c r="Y787" s="5"/>
    </row>
    <row r="788" ht="15.75" customHeight="1">
      <c r="W788" s="5"/>
      <c r="Y788" s="5"/>
    </row>
    <row r="789" ht="15.75" customHeight="1">
      <c r="W789" s="5"/>
      <c r="Y789" s="5"/>
    </row>
    <row r="790" ht="15.75" customHeight="1">
      <c r="W790" s="5"/>
      <c r="Y790" s="5"/>
    </row>
    <row r="791" ht="15.75" customHeight="1">
      <c r="W791" s="5"/>
      <c r="Y791" s="5"/>
    </row>
    <row r="792" ht="15.75" customHeight="1">
      <c r="W792" s="5"/>
      <c r="Y792" s="5"/>
    </row>
    <row r="793" ht="15.75" customHeight="1">
      <c r="W793" s="5"/>
      <c r="Y793" s="5"/>
    </row>
    <row r="794" ht="15.75" customHeight="1">
      <c r="W794" s="5"/>
      <c r="Y794" s="5"/>
    </row>
    <row r="795" ht="15.75" customHeight="1">
      <c r="W795" s="5"/>
      <c r="Y795" s="5"/>
    </row>
    <row r="796" ht="15.75" customHeight="1">
      <c r="W796" s="5"/>
      <c r="Y796" s="5"/>
    </row>
    <row r="797" ht="15.75" customHeight="1">
      <c r="W797" s="5"/>
      <c r="Y797" s="5"/>
    </row>
    <row r="798" ht="15.75" customHeight="1">
      <c r="W798" s="5"/>
      <c r="Y798" s="5"/>
    </row>
    <row r="799" ht="15.75" customHeight="1">
      <c r="W799" s="5"/>
      <c r="Y799" s="5"/>
    </row>
    <row r="800" ht="15.75" customHeight="1">
      <c r="W800" s="5"/>
      <c r="Y800" s="5"/>
    </row>
    <row r="801" ht="15.75" customHeight="1">
      <c r="W801" s="5"/>
      <c r="Y801" s="5"/>
    </row>
    <row r="802" ht="15.75" customHeight="1">
      <c r="W802" s="5"/>
      <c r="Y802" s="5"/>
    </row>
    <row r="803" ht="15.75" customHeight="1">
      <c r="W803" s="5"/>
      <c r="Y803" s="5"/>
    </row>
    <row r="804" ht="15.75" customHeight="1">
      <c r="W804" s="5"/>
      <c r="Y804" s="5"/>
    </row>
    <row r="805" ht="15.75" customHeight="1">
      <c r="W805" s="5"/>
      <c r="Y805" s="5"/>
    </row>
    <row r="806" ht="15.75" customHeight="1">
      <c r="W806" s="5"/>
      <c r="Y806" s="5"/>
    </row>
    <row r="807" ht="15.75" customHeight="1">
      <c r="W807" s="5"/>
      <c r="Y807" s="5"/>
    </row>
    <row r="808" ht="15.75" customHeight="1">
      <c r="W808" s="5"/>
      <c r="Y808" s="5"/>
    </row>
    <row r="809" ht="15.75" customHeight="1">
      <c r="W809" s="5"/>
      <c r="Y809" s="5"/>
    </row>
    <row r="810" ht="15.75" customHeight="1">
      <c r="W810" s="5"/>
      <c r="Y810" s="5"/>
    </row>
    <row r="811" ht="15.75" customHeight="1">
      <c r="W811" s="5"/>
      <c r="Y811" s="5"/>
    </row>
    <row r="812" ht="15.75" customHeight="1">
      <c r="W812" s="5"/>
      <c r="Y812" s="5"/>
    </row>
    <row r="813" ht="15.75" customHeight="1">
      <c r="W813" s="5"/>
      <c r="Y813" s="5"/>
    </row>
    <row r="814" ht="15.75" customHeight="1">
      <c r="W814" s="5"/>
      <c r="Y814" s="5"/>
    </row>
    <row r="815" ht="15.75" customHeight="1">
      <c r="W815" s="5"/>
      <c r="Y815" s="5"/>
    </row>
    <row r="816" ht="15.75" customHeight="1">
      <c r="W816" s="5"/>
      <c r="Y816" s="5"/>
    </row>
    <row r="817" ht="15.75" customHeight="1">
      <c r="W817" s="5"/>
      <c r="Y817" s="5"/>
    </row>
    <row r="818" ht="15.75" customHeight="1">
      <c r="W818" s="5"/>
      <c r="Y818" s="5"/>
    </row>
    <row r="819" ht="15.75" customHeight="1">
      <c r="W819" s="5"/>
      <c r="Y819" s="5"/>
    </row>
    <row r="820" ht="15.75" customHeight="1">
      <c r="W820" s="5"/>
      <c r="Y820" s="5"/>
    </row>
    <row r="821" ht="15.75" customHeight="1">
      <c r="W821" s="5"/>
      <c r="Y821" s="5"/>
    </row>
    <row r="822" ht="15.75" customHeight="1">
      <c r="W822" s="5"/>
      <c r="Y822" s="5"/>
    </row>
    <row r="823" ht="15.75" customHeight="1">
      <c r="W823" s="5"/>
      <c r="Y823" s="5"/>
    </row>
    <row r="824" ht="15.75" customHeight="1">
      <c r="W824" s="5"/>
      <c r="Y824" s="5"/>
    </row>
    <row r="825" ht="15.75" customHeight="1">
      <c r="W825" s="5"/>
      <c r="Y825" s="5"/>
    </row>
    <row r="826" ht="15.75" customHeight="1">
      <c r="W826" s="5"/>
      <c r="Y826" s="5"/>
    </row>
    <row r="827" ht="15.75" customHeight="1">
      <c r="W827" s="5"/>
      <c r="Y827" s="5"/>
    </row>
    <row r="828" ht="15.75" customHeight="1">
      <c r="W828" s="5"/>
      <c r="Y828" s="5"/>
    </row>
    <row r="829" ht="15.75" customHeight="1">
      <c r="W829" s="5"/>
      <c r="Y829" s="5"/>
    </row>
    <row r="830" ht="15.75" customHeight="1">
      <c r="W830" s="5"/>
      <c r="Y830" s="5"/>
    </row>
    <row r="831" ht="15.75" customHeight="1">
      <c r="W831" s="5"/>
      <c r="Y831" s="5"/>
    </row>
    <row r="832" ht="15.75" customHeight="1">
      <c r="W832" s="5"/>
      <c r="Y832" s="5"/>
    </row>
    <row r="833" ht="15.75" customHeight="1">
      <c r="W833" s="5"/>
      <c r="Y833" s="5"/>
    </row>
    <row r="834" ht="15.75" customHeight="1">
      <c r="W834" s="5"/>
      <c r="Y834" s="5"/>
    </row>
    <row r="835" ht="15.75" customHeight="1">
      <c r="W835" s="5"/>
      <c r="Y835" s="5"/>
    </row>
    <row r="836" ht="15.75" customHeight="1">
      <c r="W836" s="5"/>
      <c r="Y836" s="5"/>
    </row>
    <row r="837" ht="15.75" customHeight="1">
      <c r="W837" s="5"/>
      <c r="Y837" s="5"/>
    </row>
    <row r="838" ht="15.75" customHeight="1">
      <c r="W838" s="5"/>
      <c r="Y838" s="5"/>
    </row>
    <row r="839" ht="15.75" customHeight="1">
      <c r="W839" s="5"/>
      <c r="Y839" s="5"/>
    </row>
    <row r="840" ht="15.75" customHeight="1">
      <c r="W840" s="5"/>
      <c r="Y840" s="5"/>
    </row>
    <row r="841" ht="15.75" customHeight="1">
      <c r="W841" s="5"/>
      <c r="Y841" s="5"/>
    </row>
    <row r="842" ht="15.75" customHeight="1">
      <c r="W842" s="5"/>
      <c r="Y842" s="5"/>
    </row>
    <row r="843" ht="15.75" customHeight="1">
      <c r="W843" s="5"/>
      <c r="Y843" s="5"/>
    </row>
    <row r="844" ht="15.75" customHeight="1">
      <c r="W844" s="5"/>
      <c r="Y844" s="5"/>
    </row>
    <row r="845" ht="15.75" customHeight="1">
      <c r="W845" s="5"/>
      <c r="Y845" s="5"/>
    </row>
    <row r="846" ht="15.75" customHeight="1">
      <c r="W846" s="5"/>
      <c r="Y846" s="5"/>
    </row>
    <row r="847" ht="15.75" customHeight="1">
      <c r="W847" s="5"/>
      <c r="Y847" s="5"/>
    </row>
    <row r="848" ht="15.75" customHeight="1">
      <c r="W848" s="5"/>
      <c r="Y848" s="5"/>
    </row>
    <row r="849" ht="15.75" customHeight="1">
      <c r="W849" s="5"/>
      <c r="Y849" s="5"/>
    </row>
    <row r="850" ht="15.75" customHeight="1">
      <c r="W850" s="5"/>
      <c r="Y850" s="5"/>
    </row>
    <row r="851" ht="15.75" customHeight="1">
      <c r="W851" s="5"/>
      <c r="Y851" s="5"/>
    </row>
    <row r="852" ht="15.75" customHeight="1">
      <c r="W852" s="5"/>
      <c r="Y852" s="5"/>
    </row>
    <row r="853" ht="15.75" customHeight="1">
      <c r="W853" s="5"/>
      <c r="Y853" s="5"/>
    </row>
    <row r="854" ht="15.75" customHeight="1">
      <c r="W854" s="5"/>
      <c r="Y854" s="5"/>
    </row>
    <row r="855" ht="15.75" customHeight="1">
      <c r="W855" s="5"/>
      <c r="Y855" s="5"/>
    </row>
    <row r="856" ht="15.75" customHeight="1">
      <c r="W856" s="5"/>
      <c r="Y856" s="5"/>
    </row>
    <row r="857" ht="15.75" customHeight="1">
      <c r="W857" s="5"/>
      <c r="Y857" s="5"/>
    </row>
    <row r="858" ht="15.75" customHeight="1">
      <c r="W858" s="5"/>
      <c r="Y858" s="5"/>
    </row>
    <row r="859" ht="15.75" customHeight="1">
      <c r="W859" s="5"/>
      <c r="Y859" s="5"/>
    </row>
    <row r="860" ht="15.75" customHeight="1">
      <c r="W860" s="5"/>
      <c r="Y860" s="5"/>
    </row>
    <row r="861" ht="15.75" customHeight="1">
      <c r="W861" s="5"/>
      <c r="Y861" s="5"/>
    </row>
    <row r="862" ht="15.75" customHeight="1">
      <c r="W862" s="5"/>
      <c r="Y862" s="5"/>
    </row>
    <row r="863" ht="15.75" customHeight="1">
      <c r="W863" s="5"/>
      <c r="Y863" s="5"/>
    </row>
    <row r="864" ht="15.75" customHeight="1">
      <c r="W864" s="5"/>
      <c r="Y864" s="5"/>
    </row>
    <row r="865" ht="15.75" customHeight="1">
      <c r="W865" s="5"/>
      <c r="Y865" s="5"/>
    </row>
    <row r="866" ht="15.75" customHeight="1">
      <c r="W866" s="5"/>
      <c r="Y866" s="5"/>
    </row>
    <row r="867" ht="15.75" customHeight="1">
      <c r="W867" s="5"/>
      <c r="Y867" s="5"/>
    </row>
    <row r="868" ht="15.75" customHeight="1">
      <c r="W868" s="5"/>
      <c r="Y868" s="5"/>
    </row>
    <row r="869" ht="15.75" customHeight="1">
      <c r="W869" s="5"/>
      <c r="Y869" s="5"/>
    </row>
    <row r="870" ht="15.75" customHeight="1">
      <c r="W870" s="5"/>
      <c r="Y870" s="5"/>
    </row>
    <row r="871" ht="15.75" customHeight="1">
      <c r="W871" s="5"/>
      <c r="Y871" s="5"/>
    </row>
    <row r="872" ht="15.75" customHeight="1">
      <c r="W872" s="5"/>
      <c r="Y872" s="5"/>
    </row>
    <row r="873" ht="15.75" customHeight="1">
      <c r="W873" s="5"/>
      <c r="Y873" s="5"/>
    </row>
    <row r="874" ht="15.75" customHeight="1">
      <c r="W874" s="5"/>
      <c r="Y874" s="5"/>
    </row>
    <row r="875" ht="15.75" customHeight="1">
      <c r="W875" s="5"/>
      <c r="Y875" s="5"/>
    </row>
    <row r="876" ht="15.75" customHeight="1">
      <c r="W876" s="5"/>
      <c r="Y876" s="5"/>
    </row>
    <row r="877" ht="15.75" customHeight="1">
      <c r="W877" s="5"/>
      <c r="Y877" s="5"/>
    </row>
    <row r="878" ht="15.75" customHeight="1">
      <c r="W878" s="5"/>
      <c r="Y878" s="5"/>
    </row>
    <row r="879" ht="15.75" customHeight="1">
      <c r="W879" s="5"/>
      <c r="Y879" s="5"/>
    </row>
    <row r="880" ht="15.75" customHeight="1">
      <c r="W880" s="5"/>
      <c r="Y880" s="5"/>
    </row>
    <row r="881" ht="15.75" customHeight="1">
      <c r="W881" s="5"/>
      <c r="Y881" s="5"/>
    </row>
    <row r="882" ht="15.75" customHeight="1">
      <c r="W882" s="5"/>
      <c r="Y882" s="5"/>
    </row>
    <row r="883" ht="15.75" customHeight="1">
      <c r="W883" s="5"/>
      <c r="Y883" s="5"/>
    </row>
    <row r="884" ht="15.75" customHeight="1">
      <c r="W884" s="5"/>
      <c r="Y884" s="5"/>
    </row>
    <row r="885" ht="15.75" customHeight="1">
      <c r="W885" s="5"/>
      <c r="Y885" s="5"/>
    </row>
    <row r="886" ht="15.75" customHeight="1">
      <c r="W886" s="5"/>
      <c r="Y886" s="5"/>
    </row>
    <row r="887" ht="15.75" customHeight="1">
      <c r="W887" s="5"/>
      <c r="Y887" s="5"/>
    </row>
    <row r="888" ht="15.75" customHeight="1">
      <c r="W888" s="5"/>
      <c r="Y888" s="5"/>
    </row>
    <row r="889" ht="15.75" customHeight="1">
      <c r="W889" s="5"/>
      <c r="Y889" s="5"/>
    </row>
    <row r="890" ht="15.75" customHeight="1">
      <c r="W890" s="5"/>
      <c r="Y890" s="5"/>
    </row>
    <row r="891" ht="15.75" customHeight="1">
      <c r="W891" s="5"/>
      <c r="Y891" s="5"/>
    </row>
    <row r="892" ht="15.75" customHeight="1">
      <c r="W892" s="5"/>
      <c r="Y892" s="5"/>
    </row>
    <row r="893" ht="15.75" customHeight="1">
      <c r="W893" s="5"/>
      <c r="Y893" s="5"/>
    </row>
    <row r="894" ht="15.75" customHeight="1">
      <c r="W894" s="5"/>
      <c r="Y894" s="5"/>
    </row>
    <row r="895" ht="15.75" customHeight="1">
      <c r="W895" s="5"/>
      <c r="Y895" s="5"/>
    </row>
    <row r="896" ht="15.75" customHeight="1">
      <c r="W896" s="5"/>
      <c r="Y896" s="5"/>
    </row>
    <row r="897" ht="15.75" customHeight="1">
      <c r="W897" s="5"/>
      <c r="Y897" s="5"/>
    </row>
    <row r="898" ht="15.75" customHeight="1">
      <c r="W898" s="5"/>
      <c r="Y898" s="5"/>
    </row>
    <row r="899" ht="15.75" customHeight="1">
      <c r="W899" s="5"/>
      <c r="Y899" s="5"/>
    </row>
    <row r="900" ht="15.75" customHeight="1">
      <c r="W900" s="5"/>
      <c r="Y900" s="5"/>
    </row>
    <row r="901" ht="15.75" customHeight="1">
      <c r="W901" s="5"/>
      <c r="Y901" s="5"/>
    </row>
    <row r="902" ht="15.75" customHeight="1">
      <c r="W902" s="5"/>
      <c r="Y902" s="5"/>
    </row>
    <row r="903" ht="15.75" customHeight="1">
      <c r="W903" s="5"/>
      <c r="Y903" s="5"/>
    </row>
    <row r="904" ht="15.75" customHeight="1">
      <c r="W904" s="5"/>
      <c r="Y904" s="5"/>
    </row>
    <row r="905" ht="15.75" customHeight="1">
      <c r="W905" s="5"/>
      <c r="Y905" s="5"/>
    </row>
    <row r="906" ht="15.75" customHeight="1">
      <c r="W906" s="5"/>
      <c r="Y906" s="5"/>
    </row>
    <row r="907" ht="15.75" customHeight="1">
      <c r="W907" s="5"/>
      <c r="Y907" s="5"/>
    </row>
    <row r="908" ht="15.75" customHeight="1">
      <c r="W908" s="5"/>
      <c r="Y908" s="5"/>
    </row>
    <row r="909" ht="15.75" customHeight="1">
      <c r="W909" s="5"/>
      <c r="Y909" s="5"/>
    </row>
    <row r="910" ht="15.75" customHeight="1">
      <c r="W910" s="5"/>
      <c r="Y910" s="5"/>
    </row>
    <row r="911" ht="15.75" customHeight="1">
      <c r="W911" s="5"/>
      <c r="Y911" s="5"/>
    </row>
    <row r="912" ht="15.75" customHeight="1">
      <c r="W912" s="5"/>
      <c r="Y912" s="5"/>
    </row>
    <row r="913" ht="15.75" customHeight="1">
      <c r="W913" s="5"/>
      <c r="Y913" s="5"/>
    </row>
    <row r="914" ht="15.75" customHeight="1">
      <c r="W914" s="5"/>
      <c r="Y914" s="5"/>
    </row>
    <row r="915" ht="15.75" customHeight="1">
      <c r="W915" s="5"/>
      <c r="Y915" s="5"/>
    </row>
    <row r="916" ht="15.75" customHeight="1">
      <c r="W916" s="5"/>
      <c r="Y916" s="5"/>
    </row>
    <row r="917" ht="15.75" customHeight="1">
      <c r="W917" s="5"/>
      <c r="Y917" s="5"/>
    </row>
    <row r="918" ht="15.75" customHeight="1">
      <c r="W918" s="5"/>
      <c r="Y918" s="5"/>
    </row>
    <row r="919" ht="15.75" customHeight="1">
      <c r="W919" s="5"/>
      <c r="Y919" s="5"/>
    </row>
    <row r="920" ht="15.75" customHeight="1">
      <c r="W920" s="5"/>
      <c r="Y920" s="5"/>
    </row>
    <row r="921" ht="15.75" customHeight="1">
      <c r="W921" s="5"/>
      <c r="Y921" s="5"/>
    </row>
    <row r="922" ht="15.75" customHeight="1">
      <c r="W922" s="5"/>
      <c r="Y922" s="5"/>
    </row>
    <row r="923" ht="15.75" customHeight="1">
      <c r="W923" s="5"/>
      <c r="Y923" s="5"/>
    </row>
    <row r="924" ht="15.75" customHeight="1">
      <c r="W924" s="5"/>
      <c r="Y924" s="5"/>
    </row>
    <row r="925" ht="15.75" customHeight="1">
      <c r="W925" s="5"/>
      <c r="Y925" s="5"/>
    </row>
    <row r="926" ht="15.75" customHeight="1">
      <c r="W926" s="5"/>
      <c r="Y926" s="5"/>
    </row>
    <row r="927" ht="15.75" customHeight="1">
      <c r="W927" s="5"/>
      <c r="Y927" s="5"/>
    </row>
    <row r="928" ht="15.75" customHeight="1">
      <c r="W928" s="5"/>
      <c r="Y928" s="5"/>
    </row>
    <row r="929" ht="15.75" customHeight="1">
      <c r="W929" s="5"/>
      <c r="Y929" s="5"/>
    </row>
    <row r="930" ht="15.75" customHeight="1">
      <c r="W930" s="5"/>
      <c r="Y930" s="5"/>
    </row>
    <row r="931" ht="15.75" customHeight="1">
      <c r="W931" s="5"/>
      <c r="Y931" s="5"/>
    </row>
    <row r="932" ht="15.75" customHeight="1">
      <c r="W932" s="5"/>
      <c r="Y932" s="5"/>
    </row>
    <row r="933" ht="15.75" customHeight="1">
      <c r="W933" s="5"/>
      <c r="Y933" s="5"/>
    </row>
    <row r="934" ht="15.75" customHeight="1">
      <c r="W934" s="5"/>
      <c r="Y934" s="5"/>
    </row>
    <row r="935" ht="15.75" customHeight="1">
      <c r="W935" s="5"/>
      <c r="Y935" s="5"/>
    </row>
    <row r="936" ht="15.75" customHeight="1">
      <c r="W936" s="5"/>
      <c r="Y936" s="5"/>
    </row>
    <row r="937" ht="15.75" customHeight="1">
      <c r="W937" s="5"/>
      <c r="Y937" s="5"/>
    </row>
    <row r="938" ht="15.75" customHeight="1">
      <c r="W938" s="5"/>
      <c r="Y938" s="5"/>
    </row>
    <row r="939" ht="15.75" customHeight="1">
      <c r="W939" s="5"/>
      <c r="Y939" s="5"/>
    </row>
    <row r="940" ht="15.75" customHeight="1">
      <c r="W940" s="5"/>
      <c r="Y940" s="5"/>
    </row>
    <row r="941" ht="15.75" customHeight="1">
      <c r="W941" s="5"/>
      <c r="Y941" s="5"/>
    </row>
    <row r="942" ht="15.75" customHeight="1">
      <c r="W942" s="5"/>
      <c r="Y942" s="5"/>
    </row>
    <row r="943" ht="15.75" customHeight="1">
      <c r="W943" s="5"/>
      <c r="Y943" s="5"/>
    </row>
    <row r="944" ht="15.75" customHeight="1">
      <c r="W944" s="5"/>
      <c r="Y944" s="5"/>
    </row>
    <row r="945" ht="15.75" customHeight="1">
      <c r="W945" s="5"/>
      <c r="Y945" s="5"/>
    </row>
    <row r="946" ht="15.75" customHeight="1">
      <c r="W946" s="5"/>
      <c r="Y946" s="5"/>
    </row>
    <row r="947" ht="15.75" customHeight="1">
      <c r="W947" s="5"/>
      <c r="Y947" s="5"/>
    </row>
    <row r="948" ht="15.75" customHeight="1">
      <c r="W948" s="5"/>
      <c r="Y948" s="5"/>
    </row>
    <row r="949" ht="15.75" customHeight="1">
      <c r="W949" s="5"/>
      <c r="Y949" s="5"/>
    </row>
    <row r="950" ht="15.75" customHeight="1">
      <c r="W950" s="5"/>
      <c r="Y950" s="5"/>
    </row>
    <row r="951" ht="15.75" customHeight="1">
      <c r="W951" s="5"/>
      <c r="Y951" s="5"/>
    </row>
    <row r="952" ht="15.75" customHeight="1">
      <c r="W952" s="5"/>
      <c r="Y952" s="5"/>
    </row>
    <row r="953" ht="15.75" customHeight="1">
      <c r="W953" s="5"/>
      <c r="Y953" s="5"/>
    </row>
    <row r="954" ht="15.75" customHeight="1">
      <c r="W954" s="5"/>
      <c r="Y954" s="5"/>
    </row>
    <row r="955" ht="15.75" customHeight="1">
      <c r="W955" s="5"/>
      <c r="Y955" s="5"/>
    </row>
    <row r="956" ht="15.75" customHeight="1">
      <c r="W956" s="5"/>
      <c r="Y956" s="5"/>
    </row>
    <row r="957" ht="15.75" customHeight="1">
      <c r="W957" s="5"/>
      <c r="Y957" s="5"/>
    </row>
    <row r="958" ht="15.75" customHeight="1">
      <c r="W958" s="5"/>
      <c r="Y958" s="5"/>
    </row>
    <row r="959" ht="15.75" customHeight="1">
      <c r="W959" s="5"/>
      <c r="Y959" s="5"/>
    </row>
    <row r="960" ht="15.75" customHeight="1">
      <c r="W960" s="5"/>
      <c r="Y960" s="5"/>
    </row>
    <row r="961" ht="15.75" customHeight="1">
      <c r="W961" s="5"/>
      <c r="Y961" s="5"/>
    </row>
    <row r="962" ht="15.75" customHeight="1">
      <c r="W962" s="5"/>
      <c r="Y962" s="5"/>
    </row>
    <row r="963" ht="15.75" customHeight="1">
      <c r="W963" s="5"/>
      <c r="Y963" s="5"/>
    </row>
    <row r="964" ht="15.75" customHeight="1">
      <c r="W964" s="5"/>
      <c r="Y964" s="5"/>
    </row>
    <row r="965" ht="15.75" customHeight="1">
      <c r="W965" s="5"/>
      <c r="Y965" s="5"/>
    </row>
    <row r="966" ht="15.75" customHeight="1">
      <c r="W966" s="5"/>
      <c r="Y966" s="5"/>
    </row>
    <row r="967" ht="15.75" customHeight="1">
      <c r="W967" s="5"/>
      <c r="Y967" s="5"/>
    </row>
    <row r="968" ht="15.75" customHeight="1">
      <c r="W968" s="5"/>
      <c r="Y968" s="5"/>
    </row>
    <row r="969" ht="15.75" customHeight="1">
      <c r="W969" s="5"/>
      <c r="Y969" s="5"/>
    </row>
    <row r="970" ht="15.75" customHeight="1">
      <c r="W970" s="5"/>
      <c r="Y970" s="5"/>
    </row>
    <row r="971" ht="15.75" customHeight="1">
      <c r="W971" s="5"/>
      <c r="Y971" s="5"/>
    </row>
  </sheetData>
  <autoFilter ref="$W$9:$Y$44">
    <sortState ref="W9:Y44">
      <sortCondition ref="X9:X44"/>
    </sortState>
  </autoFilter>
  <mergeCells count="105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P22:R22"/>
    <mergeCell ref="S22:U22"/>
    <mergeCell ref="A30:C30"/>
    <mergeCell ref="D30:F30"/>
    <mergeCell ref="G30:I30"/>
    <mergeCell ref="J30:L30"/>
    <mergeCell ref="M30:O30"/>
    <mergeCell ref="P30:R30"/>
    <mergeCell ref="S30:U30"/>
    <mergeCell ref="M22:O22"/>
    <mergeCell ref="N24:N26"/>
    <mergeCell ref="J25:L25"/>
    <mergeCell ref="S25:U25"/>
    <mergeCell ref="A29:C29"/>
    <mergeCell ref="D29:F29"/>
    <mergeCell ref="G29:I29"/>
    <mergeCell ref="M37:O37"/>
    <mergeCell ref="P37:R37"/>
    <mergeCell ref="M38:O38"/>
    <mergeCell ref="P38:R38"/>
    <mergeCell ref="S38:U38"/>
    <mergeCell ref="N39:N41"/>
    <mergeCell ref="G41:I41"/>
    <mergeCell ref="P29:R29"/>
    <mergeCell ref="S29:U29"/>
    <mergeCell ref="N31:N33"/>
    <mergeCell ref="Q33:Q35"/>
    <mergeCell ref="S33:U33"/>
    <mergeCell ref="A37:C37"/>
    <mergeCell ref="D37:F37"/>
    <mergeCell ref="S37:U37"/>
    <mergeCell ref="D45:F45"/>
    <mergeCell ref="G45:I45"/>
    <mergeCell ref="M45:O45"/>
    <mergeCell ref="P45:R45"/>
    <mergeCell ref="S45:U45"/>
    <mergeCell ref="A45:C45"/>
    <mergeCell ref="A46:C46"/>
    <mergeCell ref="D46:F46"/>
    <mergeCell ref="G46:I46"/>
    <mergeCell ref="J46:L46"/>
    <mergeCell ref="M46:O46"/>
    <mergeCell ref="P46:R46"/>
    <mergeCell ref="S46:U46"/>
    <mergeCell ref="G37:I37"/>
    <mergeCell ref="J37:L37"/>
    <mergeCell ref="A38:C38"/>
    <mergeCell ref="D38:F38"/>
    <mergeCell ref="G38:I38"/>
    <mergeCell ref="J38:L38"/>
    <mergeCell ref="J45:L45"/>
    <mergeCell ref="B54:D54"/>
    <mergeCell ref="A1:B1"/>
    <mergeCell ref="C1:E1"/>
    <mergeCell ref="G1:P3"/>
    <mergeCell ref="A2:B2"/>
    <mergeCell ref="C2:E2"/>
    <mergeCell ref="A3:B3"/>
    <mergeCell ref="C4:E4"/>
    <mergeCell ref="A4:B4"/>
    <mergeCell ref="D5:F5"/>
    <mergeCell ref="G5:I5"/>
    <mergeCell ref="J5:L5"/>
    <mergeCell ref="M5:O5"/>
    <mergeCell ref="P5:R5"/>
    <mergeCell ref="S5:U5"/>
    <mergeCell ref="S6:U6"/>
    <mergeCell ref="Y6:Z6"/>
    <mergeCell ref="M9:O9"/>
    <mergeCell ref="S9:U9"/>
    <mergeCell ref="A5:C5"/>
    <mergeCell ref="A6:C6"/>
    <mergeCell ref="D6:F6"/>
    <mergeCell ref="G6:I6"/>
    <mergeCell ref="J6:L6"/>
    <mergeCell ref="M6:O6"/>
    <mergeCell ref="P6:R6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J29:L29"/>
    <mergeCell ref="M29:O29"/>
  </mergeCells>
  <printOptions horizontalCentered="1" verticalCentered="1"/>
  <pageMargins bottom="0.0" footer="0.0" header="0.0" left="0.0" right="0.0" top="0.0"/>
  <pageSetup fitToHeight="0" paperSize="1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43"/>
    <col customWidth="1" min="3" max="3" width="6.57"/>
    <col customWidth="1" min="4" max="4" width="21.57"/>
    <col customWidth="1" min="5" max="5" width="11.71"/>
    <col customWidth="1" min="6" max="6" width="7.57"/>
    <col customWidth="1" min="7" max="7" width="20.71"/>
    <col customWidth="1" min="8" max="8" width="11.71"/>
    <col customWidth="1" min="9" max="9" width="7.86"/>
    <col customWidth="1" min="10" max="10" width="20.29"/>
    <col customWidth="1" min="11" max="11" width="12.43"/>
    <col customWidth="1" min="12" max="12" width="5.57"/>
    <col customWidth="1" min="13" max="13" width="18.29"/>
    <col customWidth="1" min="14" max="14" width="12.29"/>
    <col customWidth="1" min="15" max="15" width="5.57"/>
    <col customWidth="1" min="16" max="16" width="19.86"/>
    <col customWidth="1" min="17" max="17" width="11.43"/>
    <col customWidth="1" min="18" max="18" width="7.71"/>
    <col customWidth="1" min="19" max="19" width="11.29"/>
    <col customWidth="1" min="20" max="20" width="11.57"/>
    <col customWidth="1" min="21" max="21" width="9.86"/>
    <col customWidth="1" min="22" max="23" width="8.71"/>
    <col customWidth="1" min="24" max="24" width="19.71"/>
    <col customWidth="1" min="25" max="25" width="14.29"/>
    <col customWidth="1" min="26" max="26" width="8.71"/>
  </cols>
  <sheetData>
    <row r="1" ht="15.0" customHeight="1">
      <c r="A1" s="6" t="s">
        <v>69</v>
      </c>
      <c r="C1" s="2" t="s">
        <v>70</v>
      </c>
      <c r="F1" s="3"/>
      <c r="G1" s="4" t="s">
        <v>2</v>
      </c>
      <c r="Q1" s="3"/>
    </row>
    <row r="2" ht="15.0" customHeight="1">
      <c r="A2" s="6" t="s">
        <v>3</v>
      </c>
      <c r="C2" s="7" t="s">
        <v>71</v>
      </c>
      <c r="F2" s="3"/>
      <c r="Q2" s="3"/>
    </row>
    <row r="3" ht="15.0" customHeight="1">
      <c r="A3" s="6" t="s">
        <v>5</v>
      </c>
      <c r="C3" s="2" t="s">
        <v>72</v>
      </c>
      <c r="F3" s="3"/>
      <c r="Q3" s="3"/>
    </row>
    <row r="4" ht="15.0" customHeight="1">
      <c r="A4" s="69" t="s">
        <v>6</v>
      </c>
      <c r="B4" s="13"/>
      <c r="C4" s="70" t="s">
        <v>72</v>
      </c>
      <c r="D4" s="12"/>
      <c r="E4" s="13"/>
      <c r="F4" s="71"/>
      <c r="G4" s="71"/>
      <c r="H4" s="71"/>
      <c r="I4" s="71"/>
      <c r="J4" s="71"/>
      <c r="K4" s="71"/>
      <c r="L4" s="71"/>
      <c r="M4" s="71"/>
      <c r="N4" s="71"/>
      <c r="O4" s="72"/>
      <c r="P4" s="73"/>
      <c r="Q4" s="74"/>
      <c r="R4" s="24"/>
      <c r="S4" s="24"/>
      <c r="T4" s="24"/>
      <c r="U4" s="24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4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7">
        <v>46143.0</v>
      </c>
      <c r="N6" s="12"/>
      <c r="O6" s="13"/>
      <c r="P6" s="16">
        <f>M6+1</f>
        <v>46144</v>
      </c>
      <c r="Q6" s="12"/>
      <c r="R6" s="13"/>
      <c r="S6" s="18">
        <f>P6+1</f>
        <v>46145</v>
      </c>
      <c r="T6" s="12"/>
      <c r="U6" s="13"/>
      <c r="W6" s="75">
        <f>COUNTA(#REF!,#REF!,M13:M25,#REF!,G7:G12,#REF!,#REF!,#REF!,#REF!,P13:P14,S15:S20,#REF!,M7:M12,#REF!,J7:J12,#REF!,D23:D28,A17:A20,D31:D34,#REF!,J15:J18,P13:P14,#REF!,D39:D44,G16:G36,J31:J35,M29:M38)</f>
        <v>66</v>
      </c>
    </row>
    <row r="7">
      <c r="A7" s="76"/>
      <c r="B7" s="76"/>
      <c r="C7" s="76"/>
      <c r="D7" s="76"/>
      <c r="E7" s="76"/>
      <c r="F7" s="76"/>
      <c r="G7" s="77"/>
      <c r="H7" s="77"/>
      <c r="I7" s="76"/>
      <c r="J7" s="24"/>
      <c r="K7" s="24"/>
      <c r="L7" s="24"/>
      <c r="M7" s="76"/>
      <c r="N7" s="76"/>
      <c r="O7" s="76"/>
      <c r="P7" s="76"/>
      <c r="Q7" s="76"/>
      <c r="R7" s="76"/>
      <c r="S7" s="78"/>
      <c r="T7" s="79"/>
      <c r="U7" s="79"/>
    </row>
    <row r="8">
      <c r="A8" s="77"/>
      <c r="B8" s="77"/>
      <c r="C8" s="77"/>
      <c r="D8" s="77"/>
      <c r="E8" s="77"/>
      <c r="F8" s="77"/>
      <c r="G8" s="77"/>
      <c r="H8" s="77"/>
      <c r="I8" s="76"/>
      <c r="J8" s="80"/>
      <c r="K8" s="23"/>
      <c r="L8" s="38"/>
      <c r="M8" s="77"/>
      <c r="N8" s="77"/>
      <c r="O8" s="77"/>
      <c r="P8" s="76"/>
      <c r="Q8" s="76"/>
      <c r="R8" s="76"/>
      <c r="S8" s="78"/>
      <c r="T8" s="79"/>
      <c r="U8" s="79"/>
    </row>
    <row r="9">
      <c r="A9" s="77"/>
      <c r="B9" s="77"/>
      <c r="C9" s="77"/>
      <c r="D9" s="77"/>
      <c r="E9" s="77"/>
      <c r="F9" s="77"/>
      <c r="G9" s="77"/>
      <c r="H9" s="77"/>
      <c r="I9" s="76"/>
      <c r="J9" s="77"/>
      <c r="K9" s="77"/>
      <c r="L9" s="77"/>
      <c r="M9" s="25" t="s">
        <v>14</v>
      </c>
      <c r="N9" s="12"/>
      <c r="O9" s="13"/>
      <c r="P9" s="77"/>
      <c r="Q9" s="77"/>
      <c r="R9" s="76"/>
      <c r="S9" s="25" t="s">
        <v>14</v>
      </c>
      <c r="T9" s="12"/>
      <c r="U9" s="13"/>
    </row>
    <row r="10">
      <c r="A10" s="76"/>
      <c r="B10" s="76"/>
      <c r="C10" s="76"/>
      <c r="D10" s="76"/>
      <c r="E10" s="76"/>
      <c r="F10" s="76"/>
      <c r="G10" s="77"/>
      <c r="H10" s="77"/>
      <c r="I10" s="76"/>
      <c r="J10" s="24"/>
      <c r="K10" s="24"/>
      <c r="L10" s="24"/>
      <c r="M10" s="76"/>
      <c r="N10" s="76"/>
      <c r="O10" s="76"/>
      <c r="P10" s="77"/>
      <c r="Q10" s="77"/>
      <c r="R10" s="76"/>
      <c r="S10" s="78"/>
      <c r="T10" s="79"/>
      <c r="U10" s="79"/>
      <c r="W10" s="81" t="s">
        <v>73</v>
      </c>
    </row>
    <row r="11">
      <c r="A11" s="76"/>
      <c r="B11" s="76"/>
      <c r="C11" s="76"/>
      <c r="D11" s="76"/>
      <c r="E11" s="76"/>
      <c r="F11" s="76"/>
      <c r="G11" s="24"/>
      <c r="H11" s="24"/>
      <c r="I11" s="24"/>
      <c r="J11" s="76"/>
      <c r="K11" s="76"/>
      <c r="L11" s="76"/>
      <c r="M11" s="76"/>
      <c r="N11" s="76"/>
      <c r="O11" s="76"/>
      <c r="P11" s="77"/>
      <c r="Q11" s="77"/>
      <c r="R11" s="76"/>
      <c r="S11" s="78"/>
      <c r="T11" s="79"/>
      <c r="U11" s="79"/>
    </row>
    <row r="12">
      <c r="A12" s="77"/>
      <c r="B12" s="77"/>
      <c r="C12" s="77"/>
      <c r="D12" s="77"/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82"/>
      <c r="Q12" s="82"/>
      <c r="R12" s="83"/>
      <c r="S12" s="78"/>
      <c r="T12" s="79"/>
      <c r="U12" s="79"/>
    </row>
    <row r="13" ht="15.75" customHeight="1">
      <c r="A13" s="84" t="s">
        <v>7</v>
      </c>
      <c r="B13" s="12"/>
      <c r="C13" s="13"/>
      <c r="D13" s="84" t="s">
        <v>8</v>
      </c>
      <c r="E13" s="12"/>
      <c r="F13" s="13"/>
      <c r="G13" s="84" t="s">
        <v>9</v>
      </c>
      <c r="H13" s="12"/>
      <c r="I13" s="13"/>
      <c r="J13" s="84" t="s">
        <v>10</v>
      </c>
      <c r="K13" s="12"/>
      <c r="L13" s="13"/>
      <c r="M13" s="84" t="s">
        <v>74</v>
      </c>
      <c r="N13" s="12"/>
      <c r="O13" s="13"/>
      <c r="P13" s="84" t="s">
        <v>75</v>
      </c>
      <c r="Q13" s="12"/>
      <c r="R13" s="13"/>
      <c r="S13" s="85" t="s">
        <v>13</v>
      </c>
      <c r="T13" s="12"/>
      <c r="U13" s="13"/>
    </row>
    <row r="14">
      <c r="A14" s="86">
        <f>S6+1</f>
        <v>46146</v>
      </c>
      <c r="B14" s="12"/>
      <c r="C14" s="13"/>
      <c r="D14" s="86">
        <f>A14+1</f>
        <v>46147</v>
      </c>
      <c r="E14" s="12"/>
      <c r="F14" s="13"/>
      <c r="G14" s="86">
        <f>D14+1</f>
        <v>46148</v>
      </c>
      <c r="H14" s="12"/>
      <c r="I14" s="13"/>
      <c r="J14" s="86">
        <f>G14+1</f>
        <v>46149</v>
      </c>
      <c r="K14" s="12"/>
      <c r="L14" s="13"/>
      <c r="M14" s="87">
        <f>J14+1</f>
        <v>46150</v>
      </c>
      <c r="N14" s="12"/>
      <c r="O14" s="13"/>
      <c r="P14" s="86">
        <f>M14+1</f>
        <v>46151</v>
      </c>
      <c r="Q14" s="12"/>
      <c r="R14" s="13"/>
      <c r="S14" s="88">
        <f>P14+1</f>
        <v>46152</v>
      </c>
      <c r="T14" s="12"/>
      <c r="U14" s="13"/>
      <c r="W14" s="89" t="s">
        <v>15</v>
      </c>
      <c r="X14" s="89" t="s">
        <v>16</v>
      </c>
      <c r="Y14" s="89" t="s">
        <v>17</v>
      </c>
    </row>
    <row r="15">
      <c r="A15" s="76"/>
      <c r="B15" s="76"/>
      <c r="C15" s="76"/>
      <c r="D15" s="77"/>
      <c r="E15" s="77"/>
      <c r="F15" s="76"/>
      <c r="G15" s="90" t="s">
        <v>76</v>
      </c>
      <c r="H15" s="90" t="s">
        <v>39</v>
      </c>
      <c r="I15" s="91" t="s">
        <v>34</v>
      </c>
      <c r="J15" s="77"/>
      <c r="K15" s="77"/>
      <c r="L15" s="77"/>
      <c r="M15" s="92" t="s">
        <v>77</v>
      </c>
      <c r="N15" s="93" t="s">
        <v>78</v>
      </c>
      <c r="O15" s="38" t="s">
        <v>34</v>
      </c>
      <c r="P15" s="94"/>
      <c r="Q15" s="94"/>
      <c r="R15" s="76"/>
      <c r="S15" s="76"/>
      <c r="T15" s="76"/>
      <c r="U15" s="76"/>
      <c r="W15" s="95">
        <v>1.0</v>
      </c>
      <c r="X15" s="96" t="s">
        <v>79</v>
      </c>
      <c r="Y15" s="95">
        <f t="shared" ref="Y15:Y42" si="1">COUNTIF($A$5:$U$52,X15)</f>
        <v>4</v>
      </c>
    </row>
    <row r="16">
      <c r="A16" s="97" t="s">
        <v>80</v>
      </c>
      <c r="B16" s="97" t="s">
        <v>81</v>
      </c>
      <c r="C16" s="97" t="s">
        <v>25</v>
      </c>
      <c r="D16" s="98" t="s">
        <v>82</v>
      </c>
      <c r="E16" s="98" t="s">
        <v>24</v>
      </c>
      <c r="F16" s="76" t="s">
        <v>34</v>
      </c>
      <c r="G16" s="94" t="s">
        <v>83</v>
      </c>
      <c r="H16" s="94" t="s">
        <v>49</v>
      </c>
      <c r="I16" s="76" t="s">
        <v>34</v>
      </c>
      <c r="J16" s="76" t="s">
        <v>84</v>
      </c>
      <c r="K16" s="76" t="s">
        <v>49</v>
      </c>
      <c r="L16" s="77" t="s">
        <v>34</v>
      </c>
      <c r="M16" s="77" t="s">
        <v>85</v>
      </c>
      <c r="N16" s="77" t="s">
        <v>56</v>
      </c>
      <c r="O16" s="76" t="s">
        <v>25</v>
      </c>
      <c r="P16" s="77" t="s">
        <v>86</v>
      </c>
      <c r="Q16" s="76" t="s">
        <v>52</v>
      </c>
      <c r="R16" s="76" t="s">
        <v>27</v>
      </c>
      <c r="S16" s="77"/>
      <c r="T16" s="77"/>
      <c r="U16" s="77"/>
      <c r="W16" s="95">
        <v>2.0</v>
      </c>
      <c r="X16" s="96" t="s">
        <v>80</v>
      </c>
      <c r="Y16" s="95">
        <f t="shared" si="1"/>
        <v>4</v>
      </c>
    </row>
    <row r="17">
      <c r="A17" s="83" t="s">
        <v>79</v>
      </c>
      <c r="B17" s="83" t="s">
        <v>87</v>
      </c>
      <c r="C17" s="83" t="s">
        <v>25</v>
      </c>
      <c r="D17" s="76" t="s">
        <v>88</v>
      </c>
      <c r="E17" s="76" t="s">
        <v>89</v>
      </c>
      <c r="F17" s="76" t="s">
        <v>25</v>
      </c>
      <c r="G17" s="90" t="s">
        <v>90</v>
      </c>
      <c r="H17" s="24"/>
      <c r="I17" s="99" t="s">
        <v>34</v>
      </c>
      <c r="J17" s="94" t="s">
        <v>91</v>
      </c>
      <c r="K17" s="76" t="s">
        <v>38</v>
      </c>
      <c r="L17" s="94" t="s">
        <v>25</v>
      </c>
      <c r="M17" s="77" t="s">
        <v>92</v>
      </c>
      <c r="N17" s="77" t="s">
        <v>93</v>
      </c>
      <c r="O17" s="38" t="s">
        <v>27</v>
      </c>
      <c r="P17" s="80" t="s">
        <v>94</v>
      </c>
      <c r="Q17" s="23" t="s">
        <v>49</v>
      </c>
      <c r="R17" s="38" t="s">
        <v>34</v>
      </c>
      <c r="S17" s="25" t="s">
        <v>14</v>
      </c>
      <c r="T17" s="12"/>
      <c r="U17" s="13"/>
      <c r="W17" s="95">
        <v>3.0</v>
      </c>
      <c r="X17" s="96" t="s">
        <v>92</v>
      </c>
      <c r="Y17" s="95">
        <f t="shared" si="1"/>
        <v>2</v>
      </c>
    </row>
    <row r="18">
      <c r="A18" s="76" t="s">
        <v>95</v>
      </c>
      <c r="B18" s="76" t="s">
        <v>36</v>
      </c>
      <c r="C18" s="76" t="s">
        <v>34</v>
      </c>
      <c r="D18" s="83" t="s">
        <v>96</v>
      </c>
      <c r="E18" s="83" t="s">
        <v>97</v>
      </c>
      <c r="F18" s="83" t="s">
        <v>25</v>
      </c>
      <c r="G18" s="100" t="s">
        <v>98</v>
      </c>
      <c r="H18" s="101" t="s">
        <v>99</v>
      </c>
      <c r="I18" s="101" t="s">
        <v>34</v>
      </c>
      <c r="J18" s="102" t="s">
        <v>100</v>
      </c>
      <c r="K18" s="76" t="s">
        <v>97</v>
      </c>
      <c r="L18" s="76" t="s">
        <v>25</v>
      </c>
      <c r="M18" s="94"/>
      <c r="N18" s="94"/>
      <c r="O18" s="94"/>
      <c r="P18" s="76" t="s">
        <v>101</v>
      </c>
      <c r="Q18" s="80"/>
      <c r="R18" s="77" t="s">
        <v>27</v>
      </c>
      <c r="S18" s="76"/>
      <c r="T18" s="76"/>
      <c r="U18" s="76"/>
      <c r="W18" s="95">
        <v>4.0</v>
      </c>
      <c r="X18" s="103" t="s">
        <v>102</v>
      </c>
      <c r="Y18" s="95">
        <f t="shared" si="1"/>
        <v>2</v>
      </c>
    </row>
    <row r="19">
      <c r="G19" s="76" t="s">
        <v>77</v>
      </c>
      <c r="H19" s="104"/>
      <c r="I19" s="38" t="s">
        <v>34</v>
      </c>
      <c r="J19" s="76" t="s">
        <v>103</v>
      </c>
      <c r="K19" s="76" t="s">
        <v>104</v>
      </c>
      <c r="L19" s="76" t="s">
        <v>27</v>
      </c>
      <c r="M19" s="105"/>
      <c r="N19" s="105"/>
      <c r="O19" s="105"/>
      <c r="P19" s="94"/>
      <c r="Q19" s="94"/>
      <c r="R19" s="94"/>
      <c r="S19" s="76"/>
      <c r="T19" s="76"/>
      <c r="U19" s="76"/>
      <c r="W19" s="95">
        <v>5.0</v>
      </c>
      <c r="X19" s="103" t="s">
        <v>98</v>
      </c>
      <c r="Y19" s="95">
        <f t="shared" si="1"/>
        <v>2</v>
      </c>
      <c r="Z19" s="75"/>
    </row>
    <row r="20">
      <c r="A20" s="77"/>
      <c r="B20" s="77"/>
      <c r="C20" s="77"/>
      <c r="D20" s="83"/>
      <c r="E20" s="83"/>
      <c r="F20" s="83"/>
      <c r="G20" s="83"/>
      <c r="H20" s="83"/>
      <c r="I20" s="83"/>
      <c r="J20" s="105"/>
      <c r="K20" s="105"/>
      <c r="L20" s="105"/>
      <c r="M20" s="77"/>
      <c r="N20" s="77"/>
      <c r="O20" s="76"/>
      <c r="P20" s="105"/>
      <c r="Q20" s="105"/>
      <c r="R20" s="105"/>
      <c r="S20" s="77"/>
      <c r="T20" s="77"/>
      <c r="U20" s="77"/>
      <c r="W20" s="95">
        <v>6.0</v>
      </c>
      <c r="X20" s="103" t="s">
        <v>94</v>
      </c>
      <c r="Y20" s="95">
        <f t="shared" si="1"/>
        <v>4</v>
      </c>
    </row>
    <row r="21" ht="15.75" customHeight="1">
      <c r="A21" s="106" t="s">
        <v>105</v>
      </c>
      <c r="B21" s="12"/>
      <c r="C21" s="13"/>
      <c r="D21" s="106" t="s">
        <v>8</v>
      </c>
      <c r="E21" s="12"/>
      <c r="F21" s="13"/>
      <c r="G21" s="106" t="s">
        <v>106</v>
      </c>
      <c r="H21" s="12"/>
      <c r="I21" s="13"/>
      <c r="J21" s="107" t="s">
        <v>10</v>
      </c>
      <c r="K21" s="12"/>
      <c r="L21" s="13"/>
      <c r="M21" s="106" t="s">
        <v>11</v>
      </c>
      <c r="N21" s="12"/>
      <c r="O21" s="13"/>
      <c r="P21" s="106" t="s">
        <v>75</v>
      </c>
      <c r="Q21" s="12"/>
      <c r="R21" s="13"/>
      <c r="S21" s="107" t="s">
        <v>107</v>
      </c>
      <c r="T21" s="12"/>
      <c r="U21" s="13"/>
      <c r="W21" s="95">
        <v>7.0</v>
      </c>
      <c r="X21" s="108" t="s">
        <v>108</v>
      </c>
      <c r="Y21" s="95">
        <f t="shared" si="1"/>
        <v>3</v>
      </c>
    </row>
    <row r="22" ht="15.75" customHeight="1">
      <c r="A22" s="109">
        <f>S14+1</f>
        <v>46153</v>
      </c>
      <c r="B22" s="12"/>
      <c r="C22" s="13"/>
      <c r="D22" s="109">
        <f>A22+1</f>
        <v>46154</v>
      </c>
      <c r="E22" s="12"/>
      <c r="F22" s="13"/>
      <c r="G22" s="109">
        <f>D22+1</f>
        <v>46155</v>
      </c>
      <c r="H22" s="12"/>
      <c r="I22" s="13"/>
      <c r="J22" s="110">
        <f>G22+1</f>
        <v>46156</v>
      </c>
      <c r="K22" s="12"/>
      <c r="L22" s="13"/>
      <c r="M22" s="109">
        <f>J22+1</f>
        <v>46157</v>
      </c>
      <c r="N22" s="12"/>
      <c r="O22" s="13"/>
      <c r="P22" s="109">
        <f>M22+1</f>
        <v>46158</v>
      </c>
      <c r="Q22" s="12"/>
      <c r="R22" s="13"/>
      <c r="S22" s="110">
        <f>P22+1</f>
        <v>46159</v>
      </c>
      <c r="T22" s="12"/>
      <c r="U22" s="13"/>
      <c r="W22" s="95">
        <v>8.0</v>
      </c>
      <c r="X22" s="103" t="s">
        <v>90</v>
      </c>
      <c r="Y22" s="95">
        <f t="shared" si="1"/>
        <v>2</v>
      </c>
    </row>
    <row r="23" ht="15.75" customHeight="1">
      <c r="A23" s="24"/>
      <c r="B23" s="24"/>
      <c r="C23" s="24"/>
      <c r="D23" s="82"/>
      <c r="E23" s="82"/>
      <c r="F23" s="82"/>
      <c r="G23" s="76"/>
      <c r="H23" s="76"/>
      <c r="I23" s="76"/>
      <c r="J23" s="77"/>
      <c r="K23" s="83"/>
      <c r="L23" s="111"/>
      <c r="M23" s="94"/>
      <c r="N23" s="94"/>
      <c r="O23" s="76"/>
      <c r="P23" s="24"/>
      <c r="Q23" s="24"/>
      <c r="R23" s="24"/>
      <c r="S23" s="78"/>
      <c r="T23" s="79"/>
      <c r="U23" s="79"/>
      <c r="W23" s="95">
        <v>9.0</v>
      </c>
      <c r="X23" s="103" t="s">
        <v>83</v>
      </c>
      <c r="Y23" s="95">
        <f t="shared" si="1"/>
        <v>2</v>
      </c>
    </row>
    <row r="24" ht="15.75" customHeight="1">
      <c r="A24" s="80" t="s">
        <v>80</v>
      </c>
      <c r="B24" s="80" t="s">
        <v>81</v>
      </c>
      <c r="C24" s="80" t="s">
        <v>25</v>
      </c>
      <c r="D24" s="77" t="s">
        <v>102</v>
      </c>
      <c r="E24" s="76" t="s">
        <v>63</v>
      </c>
      <c r="F24" s="76" t="s">
        <v>34</v>
      </c>
      <c r="G24" s="112" t="s">
        <v>109</v>
      </c>
      <c r="H24" s="112" t="s">
        <v>110</v>
      </c>
      <c r="I24" s="112" t="s">
        <v>27</v>
      </c>
      <c r="J24" s="77"/>
      <c r="K24" s="77"/>
      <c r="L24" s="77"/>
      <c r="M24" s="77" t="s">
        <v>85</v>
      </c>
      <c r="N24" s="77" t="s">
        <v>111</v>
      </c>
      <c r="O24" s="76" t="s">
        <v>25</v>
      </c>
      <c r="P24" s="80" t="s">
        <v>94</v>
      </c>
      <c r="Q24" s="23" t="s">
        <v>33</v>
      </c>
      <c r="R24" s="38" t="s">
        <v>34</v>
      </c>
      <c r="S24" s="78"/>
      <c r="T24" s="79"/>
      <c r="U24" s="79"/>
      <c r="W24" s="95">
        <v>10.0</v>
      </c>
      <c r="X24" s="96" t="s">
        <v>96</v>
      </c>
      <c r="Y24" s="95">
        <f t="shared" si="1"/>
        <v>2</v>
      </c>
    </row>
    <row r="25">
      <c r="A25" s="77" t="s">
        <v>79</v>
      </c>
      <c r="B25" s="77" t="s">
        <v>87</v>
      </c>
      <c r="C25" s="77" t="s">
        <v>25</v>
      </c>
      <c r="D25" s="112" t="s">
        <v>108</v>
      </c>
      <c r="E25" s="113"/>
      <c r="F25" s="112" t="s">
        <v>34</v>
      </c>
      <c r="G25" s="83" t="s">
        <v>112</v>
      </c>
      <c r="H25" s="83" t="s">
        <v>36</v>
      </c>
      <c r="I25" s="111" t="s">
        <v>34</v>
      </c>
      <c r="J25" s="25" t="s">
        <v>14</v>
      </c>
      <c r="K25" s="12"/>
      <c r="L25" s="13"/>
      <c r="M25" s="77" t="s">
        <v>113</v>
      </c>
      <c r="N25" s="77" t="s">
        <v>24</v>
      </c>
      <c r="O25" s="38" t="s">
        <v>34</v>
      </c>
      <c r="P25" s="114" t="s">
        <v>108</v>
      </c>
      <c r="Q25" s="114" t="s">
        <v>36</v>
      </c>
      <c r="R25" s="115" t="s">
        <v>114</v>
      </c>
      <c r="S25" s="25" t="s">
        <v>14</v>
      </c>
      <c r="T25" s="12"/>
      <c r="U25" s="13"/>
      <c r="W25" s="95">
        <v>11.0</v>
      </c>
      <c r="X25" s="103" t="s">
        <v>100</v>
      </c>
      <c r="Y25" s="95">
        <f t="shared" si="1"/>
        <v>2</v>
      </c>
    </row>
    <row r="26">
      <c r="A26" s="116" t="s">
        <v>115</v>
      </c>
      <c r="B26" s="116" t="s">
        <v>116</v>
      </c>
      <c r="C26" s="116" t="s">
        <v>25</v>
      </c>
      <c r="D26" s="97" t="s">
        <v>117</v>
      </c>
      <c r="E26" s="97" t="s">
        <v>56</v>
      </c>
      <c r="F26" s="97" t="s">
        <v>27</v>
      </c>
      <c r="G26" s="94"/>
      <c r="H26" s="94"/>
      <c r="I26" s="94"/>
      <c r="J26" s="24"/>
      <c r="K26" s="24"/>
      <c r="L26" s="24"/>
      <c r="M26" s="76" t="s">
        <v>118</v>
      </c>
      <c r="N26" s="76"/>
      <c r="O26" s="76" t="s">
        <v>25</v>
      </c>
      <c r="P26" s="117" t="s">
        <v>119</v>
      </c>
      <c r="Q26" s="104" t="s">
        <v>120</v>
      </c>
      <c r="R26" s="76" t="s">
        <v>27</v>
      </c>
      <c r="S26" s="78"/>
      <c r="T26" s="79"/>
      <c r="U26" s="79"/>
      <c r="W26" s="95">
        <v>13.0</v>
      </c>
      <c r="X26" s="118" t="s">
        <v>86</v>
      </c>
      <c r="Y26" s="95">
        <f t="shared" si="1"/>
        <v>2</v>
      </c>
    </row>
    <row r="27" ht="15.75" customHeight="1">
      <c r="A27" s="94"/>
      <c r="B27" s="94"/>
      <c r="C27" s="94"/>
      <c r="D27" s="24"/>
      <c r="E27" s="24"/>
      <c r="F27" s="24"/>
      <c r="G27" s="100"/>
      <c r="H27" s="101"/>
      <c r="I27" s="101"/>
      <c r="J27" s="24"/>
      <c r="K27" s="24"/>
      <c r="L27" s="24"/>
      <c r="M27" s="24"/>
      <c r="N27" s="24"/>
      <c r="O27" s="24"/>
      <c r="P27" s="77" t="s">
        <v>121</v>
      </c>
      <c r="Q27" s="76" t="s">
        <v>26</v>
      </c>
      <c r="R27" s="76" t="s">
        <v>27</v>
      </c>
      <c r="S27" s="78"/>
      <c r="T27" s="79"/>
      <c r="U27" s="79"/>
      <c r="W27" s="95">
        <v>14.0</v>
      </c>
      <c r="X27" s="103" t="s">
        <v>113</v>
      </c>
      <c r="Y27" s="95">
        <f t="shared" si="1"/>
        <v>2</v>
      </c>
    </row>
    <row r="28" ht="15.75" customHeight="1">
      <c r="A28" s="76"/>
      <c r="B28" s="76"/>
      <c r="C28" s="76"/>
      <c r="D28" s="76"/>
      <c r="E28" s="76"/>
      <c r="F28" s="76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78"/>
      <c r="T28" s="79"/>
      <c r="U28" s="79"/>
      <c r="W28" s="95">
        <v>15.0</v>
      </c>
      <c r="X28" s="103" t="s">
        <v>117</v>
      </c>
      <c r="Y28" s="95">
        <f t="shared" si="1"/>
        <v>2</v>
      </c>
    </row>
    <row r="29" ht="15.75" customHeight="1">
      <c r="A29" s="84" t="s">
        <v>105</v>
      </c>
      <c r="B29" s="12"/>
      <c r="C29" s="13"/>
      <c r="D29" s="84" t="s">
        <v>8</v>
      </c>
      <c r="E29" s="12"/>
      <c r="F29" s="13"/>
      <c r="G29" s="84" t="s">
        <v>106</v>
      </c>
      <c r="H29" s="12"/>
      <c r="I29" s="13"/>
      <c r="J29" s="84" t="s">
        <v>10</v>
      </c>
      <c r="K29" s="12"/>
      <c r="L29" s="13"/>
      <c r="M29" s="84" t="s">
        <v>11</v>
      </c>
      <c r="N29" s="12"/>
      <c r="O29" s="13"/>
      <c r="P29" s="84" t="s">
        <v>75</v>
      </c>
      <c r="Q29" s="12"/>
      <c r="R29" s="13"/>
      <c r="S29" s="85" t="s">
        <v>107</v>
      </c>
      <c r="T29" s="12"/>
      <c r="U29" s="13"/>
      <c r="W29" s="95">
        <v>16.0</v>
      </c>
      <c r="X29" s="119" t="s">
        <v>109</v>
      </c>
      <c r="Y29" s="95">
        <f t="shared" si="1"/>
        <v>2</v>
      </c>
    </row>
    <row r="30" ht="15.75" customHeight="1">
      <c r="A30" s="87">
        <f>S22+1</f>
        <v>46160</v>
      </c>
      <c r="B30" s="12"/>
      <c r="C30" s="13"/>
      <c r="D30" s="86">
        <f>A30+1</f>
        <v>46161</v>
      </c>
      <c r="E30" s="12"/>
      <c r="F30" s="13"/>
      <c r="G30" s="86">
        <f>D30+1</f>
        <v>46162</v>
      </c>
      <c r="H30" s="12"/>
      <c r="I30" s="13"/>
      <c r="J30" s="86">
        <f>G30+1</f>
        <v>46163</v>
      </c>
      <c r="K30" s="12"/>
      <c r="L30" s="13"/>
      <c r="M30" s="86">
        <f>J30+1</f>
        <v>46164</v>
      </c>
      <c r="N30" s="12"/>
      <c r="O30" s="13"/>
      <c r="P30" s="87">
        <f>M30+1</f>
        <v>46165</v>
      </c>
      <c r="Q30" s="12"/>
      <c r="R30" s="13"/>
      <c r="S30" s="88">
        <f>P30+1</f>
        <v>46166</v>
      </c>
      <c r="T30" s="12"/>
      <c r="U30" s="13"/>
      <c r="W30" s="95">
        <v>17.0</v>
      </c>
      <c r="X30" s="96" t="s">
        <v>101</v>
      </c>
      <c r="Y30" s="95">
        <f t="shared" si="1"/>
        <v>2</v>
      </c>
    </row>
    <row r="31" ht="15.75" customHeight="1">
      <c r="A31" s="24"/>
      <c r="B31" s="24"/>
      <c r="C31" s="24"/>
      <c r="D31" s="77"/>
      <c r="E31" s="77"/>
      <c r="F31" s="76"/>
      <c r="G31" s="32" t="s">
        <v>98</v>
      </c>
      <c r="H31" s="21" t="s">
        <v>99</v>
      </c>
      <c r="I31" s="21" t="s">
        <v>34</v>
      </c>
      <c r="J31" s="101"/>
      <c r="K31" s="101"/>
      <c r="L31" s="101"/>
      <c r="M31" s="94"/>
      <c r="N31" s="94"/>
      <c r="O31" s="76"/>
      <c r="P31" s="24"/>
      <c r="Q31" s="24"/>
      <c r="R31" s="24"/>
      <c r="S31" s="120"/>
      <c r="T31" s="120"/>
      <c r="U31" s="120"/>
      <c r="W31" s="95">
        <v>18.0</v>
      </c>
      <c r="X31" s="103" t="s">
        <v>84</v>
      </c>
      <c r="Y31" s="95">
        <f t="shared" si="1"/>
        <v>2</v>
      </c>
    </row>
    <row r="32" ht="15.75" customHeight="1">
      <c r="A32" s="97" t="s">
        <v>80</v>
      </c>
      <c r="B32" s="97" t="s">
        <v>81</v>
      </c>
      <c r="C32" s="97" t="s">
        <v>25</v>
      </c>
      <c r="D32" s="98" t="s">
        <v>82</v>
      </c>
      <c r="E32" s="98" t="s">
        <v>24</v>
      </c>
      <c r="F32" s="76" t="s">
        <v>34</v>
      </c>
      <c r="G32" s="90" t="s">
        <v>76</v>
      </c>
      <c r="H32" s="90" t="s">
        <v>39</v>
      </c>
      <c r="I32" s="91" t="s">
        <v>34</v>
      </c>
      <c r="M32" s="94"/>
      <c r="N32" s="94"/>
      <c r="O32" s="76"/>
      <c r="S32" s="120"/>
      <c r="T32" s="120"/>
      <c r="U32" s="120"/>
      <c r="W32" s="95">
        <v>19.0</v>
      </c>
      <c r="X32" s="103" t="s">
        <v>95</v>
      </c>
      <c r="Y32" s="95">
        <f t="shared" si="1"/>
        <v>2</v>
      </c>
    </row>
    <row r="33" ht="15.75" customHeight="1">
      <c r="A33" s="83" t="s">
        <v>79</v>
      </c>
      <c r="B33" s="83" t="s">
        <v>87</v>
      </c>
      <c r="C33" s="83" t="s">
        <v>25</v>
      </c>
      <c r="D33" s="76" t="s">
        <v>88</v>
      </c>
      <c r="E33" s="76" t="s">
        <v>89</v>
      </c>
      <c r="F33" s="76" t="s">
        <v>25</v>
      </c>
      <c r="G33" s="94" t="s">
        <v>83</v>
      </c>
      <c r="H33" s="94" t="s">
        <v>49</v>
      </c>
      <c r="I33" s="76" t="s">
        <v>34</v>
      </c>
      <c r="J33" s="76" t="s">
        <v>84</v>
      </c>
      <c r="K33" s="76" t="s">
        <v>110</v>
      </c>
      <c r="L33" s="77" t="s">
        <v>34</v>
      </c>
      <c r="M33" s="77" t="s">
        <v>85</v>
      </c>
      <c r="N33" s="77" t="s">
        <v>56</v>
      </c>
      <c r="O33" s="76" t="s">
        <v>25</v>
      </c>
      <c r="P33" s="77" t="s">
        <v>86</v>
      </c>
      <c r="Q33" s="76" t="s">
        <v>52</v>
      </c>
      <c r="R33" s="76" t="s">
        <v>27</v>
      </c>
      <c r="S33" s="25" t="s">
        <v>14</v>
      </c>
      <c r="T33" s="12"/>
      <c r="U33" s="13"/>
      <c r="W33" s="95">
        <v>20.0</v>
      </c>
      <c r="X33" s="96" t="s">
        <v>112</v>
      </c>
      <c r="Y33" s="95">
        <f t="shared" si="1"/>
        <v>2</v>
      </c>
    </row>
    <row r="34" ht="15.75" customHeight="1">
      <c r="A34" s="76" t="s">
        <v>95</v>
      </c>
      <c r="B34" s="76" t="s">
        <v>36</v>
      </c>
      <c r="C34" s="76" t="s">
        <v>34</v>
      </c>
      <c r="D34" s="83" t="s">
        <v>96</v>
      </c>
      <c r="E34" s="83" t="s">
        <v>97</v>
      </c>
      <c r="F34" s="83" t="s">
        <v>25</v>
      </c>
      <c r="G34" s="90" t="s">
        <v>90</v>
      </c>
      <c r="H34" s="24"/>
      <c r="I34" s="99" t="s">
        <v>34</v>
      </c>
      <c r="J34" s="94" t="s">
        <v>91</v>
      </c>
      <c r="K34" s="76" t="s">
        <v>38</v>
      </c>
      <c r="L34" s="94" t="s">
        <v>25</v>
      </c>
      <c r="M34" s="77" t="s">
        <v>92</v>
      </c>
      <c r="N34" s="77" t="s">
        <v>93</v>
      </c>
      <c r="O34" s="38" t="s">
        <v>27</v>
      </c>
      <c r="P34" s="80" t="s">
        <v>94</v>
      </c>
      <c r="Q34" s="23" t="s">
        <v>49</v>
      </c>
      <c r="R34" s="38" t="s">
        <v>34</v>
      </c>
      <c r="S34" s="94"/>
      <c r="T34" s="94"/>
      <c r="U34" s="94"/>
      <c r="W34" s="95">
        <v>21.0</v>
      </c>
      <c r="X34" s="103" t="s">
        <v>88</v>
      </c>
      <c r="Y34" s="95">
        <f t="shared" si="1"/>
        <v>2</v>
      </c>
    </row>
    <row r="35" ht="15.75" customHeight="1">
      <c r="A35" s="83"/>
      <c r="B35" s="83"/>
      <c r="C35" s="111"/>
      <c r="D35" s="24"/>
      <c r="E35" s="24"/>
      <c r="F35" s="24"/>
      <c r="G35" s="76" t="s">
        <v>77</v>
      </c>
      <c r="H35" s="101" t="s">
        <v>99</v>
      </c>
      <c r="I35" s="38" t="s">
        <v>34</v>
      </c>
      <c r="J35" s="102" t="s">
        <v>100</v>
      </c>
      <c r="K35" s="76" t="s">
        <v>97</v>
      </c>
      <c r="L35" s="76" t="s">
        <v>25</v>
      </c>
      <c r="P35" s="92" t="s">
        <v>101</v>
      </c>
      <c r="Q35" s="121" t="s">
        <v>122</v>
      </c>
      <c r="R35" s="122" t="s">
        <v>27</v>
      </c>
      <c r="S35" s="83"/>
      <c r="T35" s="83"/>
      <c r="U35" s="83"/>
      <c r="W35" s="95">
        <v>22.0</v>
      </c>
      <c r="X35" s="103" t="s">
        <v>82</v>
      </c>
      <c r="Y35" s="95">
        <f t="shared" si="1"/>
        <v>2</v>
      </c>
      <c r="Z35" s="75">
        <v>0.0</v>
      </c>
    </row>
    <row r="36" ht="15.75" customHeight="1">
      <c r="A36" s="83"/>
      <c r="B36" s="83"/>
      <c r="C36" s="111"/>
      <c r="D36" s="24"/>
      <c r="E36" s="24"/>
      <c r="F36" s="24"/>
      <c r="G36" s="92" t="s">
        <v>118</v>
      </c>
      <c r="H36" s="92" t="s">
        <v>116</v>
      </c>
      <c r="I36" s="92" t="s">
        <v>25</v>
      </c>
      <c r="J36" s="76" t="s">
        <v>103</v>
      </c>
      <c r="K36" s="76" t="s">
        <v>104</v>
      </c>
      <c r="L36" s="76" t="s">
        <v>27</v>
      </c>
      <c r="M36" s="77"/>
      <c r="N36" s="77"/>
      <c r="O36" s="76"/>
      <c r="S36" s="80"/>
      <c r="T36" s="80"/>
      <c r="U36" s="80"/>
      <c r="W36" s="95">
        <v>23.0</v>
      </c>
      <c r="X36" s="103" t="s">
        <v>103</v>
      </c>
      <c r="Y36" s="95">
        <f t="shared" si="1"/>
        <v>2</v>
      </c>
    </row>
    <row r="37" ht="15.75" customHeight="1">
      <c r="A37" s="106" t="s">
        <v>105</v>
      </c>
      <c r="B37" s="12"/>
      <c r="C37" s="13"/>
      <c r="D37" s="106" t="s">
        <v>8</v>
      </c>
      <c r="E37" s="12"/>
      <c r="F37" s="13"/>
      <c r="G37" s="107" t="s">
        <v>106</v>
      </c>
      <c r="H37" s="12"/>
      <c r="I37" s="13"/>
      <c r="J37" s="106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 t="s">
        <v>13</v>
      </c>
      <c r="T37" s="12"/>
      <c r="U37" s="13"/>
      <c r="W37" s="95">
        <v>24.0</v>
      </c>
      <c r="X37" s="103" t="s">
        <v>115</v>
      </c>
      <c r="Y37" s="95">
        <f t="shared" si="1"/>
        <v>2</v>
      </c>
    </row>
    <row r="38" ht="15.75" customHeight="1">
      <c r="A38" s="109">
        <f>S30+1</f>
        <v>46167</v>
      </c>
      <c r="B38" s="12"/>
      <c r="C38" s="13"/>
      <c r="D38" s="109">
        <f>A38+1</f>
        <v>46168</v>
      </c>
      <c r="E38" s="12"/>
      <c r="F38" s="13"/>
      <c r="G38" s="110">
        <f>D38+1</f>
        <v>46169</v>
      </c>
      <c r="H38" s="12"/>
      <c r="I38" s="13"/>
      <c r="J38" s="109">
        <f>G38+1</f>
        <v>46170</v>
      </c>
      <c r="K38" s="12"/>
      <c r="L38" s="13"/>
      <c r="M38" s="16">
        <f>J38+1</f>
        <v>46171</v>
      </c>
      <c r="N38" s="12"/>
      <c r="O38" s="13"/>
      <c r="P38" s="16">
        <f>M38+1</f>
        <v>46172</v>
      </c>
      <c r="Q38" s="12"/>
      <c r="R38" s="13"/>
      <c r="S38" s="16">
        <f>P38+1</f>
        <v>46173</v>
      </c>
      <c r="T38" s="12"/>
      <c r="U38" s="13"/>
      <c r="W38" s="95">
        <v>25.0</v>
      </c>
      <c r="X38" s="118" t="s">
        <v>121</v>
      </c>
      <c r="Y38" s="95">
        <f t="shared" si="1"/>
        <v>2</v>
      </c>
    </row>
    <row r="39" ht="15.75" customHeight="1">
      <c r="A39" s="80"/>
      <c r="B39" s="80"/>
      <c r="C39" s="80"/>
      <c r="D39" s="82"/>
      <c r="E39" s="82"/>
      <c r="F39" s="82"/>
      <c r="G39" s="24"/>
      <c r="H39" s="24"/>
      <c r="I39" s="24"/>
      <c r="J39" s="83"/>
      <c r="K39" s="83"/>
      <c r="L39" s="83"/>
      <c r="M39" s="23"/>
      <c r="N39" s="23"/>
      <c r="O39" s="23"/>
      <c r="P39" s="82"/>
      <c r="Q39" s="82"/>
      <c r="R39" s="82"/>
      <c r="S39" s="76"/>
      <c r="T39" s="76"/>
      <c r="U39" s="76"/>
      <c r="W39" s="95">
        <v>26.0</v>
      </c>
      <c r="X39" s="123" t="s">
        <v>118</v>
      </c>
      <c r="Y39" s="95">
        <f t="shared" si="1"/>
        <v>3</v>
      </c>
    </row>
    <row r="40" ht="15.75" customHeight="1">
      <c r="A40" s="23" t="s">
        <v>80</v>
      </c>
      <c r="B40" s="23" t="s">
        <v>81</v>
      </c>
      <c r="C40" s="23" t="s">
        <v>25</v>
      </c>
      <c r="D40" s="77" t="s">
        <v>102</v>
      </c>
      <c r="E40" s="76" t="s">
        <v>63</v>
      </c>
      <c r="F40" s="76" t="s">
        <v>34</v>
      </c>
      <c r="G40" s="24"/>
      <c r="H40" s="24"/>
      <c r="I40" s="24"/>
      <c r="J40" s="94" t="s">
        <v>109</v>
      </c>
      <c r="K40" s="94" t="s">
        <v>110</v>
      </c>
      <c r="L40" s="94" t="s">
        <v>27</v>
      </c>
      <c r="M40" s="77" t="s">
        <v>85</v>
      </c>
      <c r="N40" s="77" t="s">
        <v>111</v>
      </c>
      <c r="O40" s="76" t="s">
        <v>25</v>
      </c>
      <c r="P40" s="80" t="s">
        <v>94</v>
      </c>
      <c r="Q40" s="23" t="s">
        <v>33</v>
      </c>
      <c r="R40" s="38" t="s">
        <v>34</v>
      </c>
      <c r="S40" s="77"/>
      <c r="T40" s="77"/>
      <c r="U40" s="77"/>
      <c r="W40" s="95">
        <v>29.0</v>
      </c>
      <c r="X40" s="124" t="s">
        <v>91</v>
      </c>
      <c r="Y40" s="95">
        <f t="shared" si="1"/>
        <v>2</v>
      </c>
    </row>
    <row r="41" ht="15.75" customHeight="1">
      <c r="A41" s="23" t="s">
        <v>79</v>
      </c>
      <c r="B41" s="23" t="s">
        <v>87</v>
      </c>
      <c r="C41" s="23" t="s">
        <v>25</v>
      </c>
      <c r="D41" s="112" t="s">
        <v>108</v>
      </c>
      <c r="E41" s="113" t="s">
        <v>36</v>
      </c>
      <c r="F41" s="112" t="s">
        <v>34</v>
      </c>
      <c r="G41" s="77"/>
      <c r="H41" s="76"/>
      <c r="I41" s="76"/>
      <c r="J41" s="77" t="s">
        <v>112</v>
      </c>
      <c r="K41" s="77" t="s">
        <v>123</v>
      </c>
      <c r="L41" s="76" t="s">
        <v>25</v>
      </c>
      <c r="M41" s="77" t="s">
        <v>113</v>
      </c>
      <c r="N41" s="77" t="s">
        <v>24</v>
      </c>
      <c r="O41" s="38" t="s">
        <v>34</v>
      </c>
      <c r="P41" s="77" t="s">
        <v>121</v>
      </c>
      <c r="Q41" s="76" t="s">
        <v>26</v>
      </c>
      <c r="R41" s="76" t="s">
        <v>27</v>
      </c>
      <c r="S41" s="25" t="s">
        <v>14</v>
      </c>
      <c r="T41" s="12"/>
      <c r="U41" s="13"/>
      <c r="W41" s="95">
        <v>27.0</v>
      </c>
      <c r="X41" s="125" t="s">
        <v>76</v>
      </c>
      <c r="Y41" s="95">
        <f t="shared" si="1"/>
        <v>2</v>
      </c>
    </row>
    <row r="42" ht="15.75" customHeight="1">
      <c r="A42" s="23" t="s">
        <v>115</v>
      </c>
      <c r="B42" s="23" t="s">
        <v>116</v>
      </c>
      <c r="C42" s="23" t="s">
        <v>25</v>
      </c>
      <c r="D42" s="126" t="s">
        <v>117</v>
      </c>
      <c r="E42" s="126" t="s">
        <v>56</v>
      </c>
      <c r="F42" s="126" t="s">
        <v>0</v>
      </c>
      <c r="G42" s="25" t="s">
        <v>14</v>
      </c>
      <c r="H42" s="12"/>
      <c r="I42" s="13"/>
      <c r="J42" s="76" t="s">
        <v>118</v>
      </c>
      <c r="K42" s="76" t="s">
        <v>116</v>
      </c>
      <c r="L42" s="76" t="s">
        <v>25</v>
      </c>
      <c r="M42" s="127" t="s">
        <v>124</v>
      </c>
      <c r="N42" s="127" t="s">
        <v>26</v>
      </c>
      <c r="O42" s="127" t="s">
        <v>27</v>
      </c>
      <c r="S42" s="76"/>
      <c r="T42" s="76"/>
      <c r="U42" s="76"/>
      <c r="W42" s="95">
        <v>30.0</v>
      </c>
      <c r="X42" s="128" t="s">
        <v>85</v>
      </c>
      <c r="Y42" s="95">
        <f t="shared" si="1"/>
        <v>4</v>
      </c>
    </row>
    <row r="43" ht="15.75" customHeight="1">
      <c r="G43" s="24"/>
      <c r="H43" s="24"/>
      <c r="I43" s="24"/>
      <c r="J43" s="94"/>
      <c r="K43" s="94"/>
      <c r="L43" s="94"/>
      <c r="M43" s="105"/>
      <c r="N43" s="105"/>
      <c r="O43" s="105"/>
      <c r="P43" s="24"/>
      <c r="Q43" s="24"/>
      <c r="R43" s="24"/>
      <c r="S43" s="76"/>
      <c r="T43" s="76"/>
      <c r="U43" s="76"/>
      <c r="W43" s="95">
        <v>28.0</v>
      </c>
      <c r="X43" s="125"/>
      <c r="Y43" s="95"/>
    </row>
    <row r="44" ht="15.75" customHeight="1">
      <c r="A44" s="24"/>
      <c r="B44" s="24"/>
      <c r="C44" s="24"/>
      <c r="D44" s="76"/>
      <c r="E44" s="76"/>
      <c r="F44" s="76"/>
      <c r="G44" s="80"/>
      <c r="H44" s="80"/>
      <c r="I44" s="129"/>
      <c r="J44" s="105"/>
      <c r="K44" s="105"/>
      <c r="L44" s="105"/>
      <c r="M44" s="79"/>
      <c r="N44" s="79"/>
      <c r="O44" s="79"/>
      <c r="P44" s="83"/>
      <c r="Q44" s="83"/>
      <c r="R44" s="83"/>
      <c r="S44" s="77"/>
      <c r="T44" s="77"/>
      <c r="U44" s="77"/>
      <c r="W44" s="95">
        <v>31.0</v>
      </c>
      <c r="X44" s="130"/>
      <c r="Y44" s="95"/>
    </row>
    <row r="45" ht="15.75" customHeight="1">
      <c r="A45" s="84"/>
      <c r="B45" s="12"/>
      <c r="C45" s="13"/>
      <c r="D45" s="84"/>
      <c r="E45" s="12"/>
      <c r="F45" s="13"/>
      <c r="G45" s="84"/>
      <c r="H45" s="12"/>
      <c r="I45" s="13"/>
      <c r="J45" s="84"/>
      <c r="K45" s="12"/>
      <c r="L45" s="13"/>
      <c r="M45" s="84"/>
      <c r="N45" s="12"/>
      <c r="O45" s="13"/>
      <c r="P45" s="84"/>
      <c r="Q45" s="12"/>
      <c r="R45" s="13"/>
      <c r="S45" s="85"/>
      <c r="T45" s="12"/>
      <c r="U45" s="13"/>
      <c r="W45" s="95">
        <v>12.0</v>
      </c>
      <c r="X45" s="131"/>
      <c r="Y45" s="95"/>
    </row>
    <row r="46" ht="15.75" customHeight="1">
      <c r="A46" s="87"/>
      <c r="B46" s="12"/>
      <c r="C46" s="13"/>
      <c r="D46" s="86"/>
      <c r="E46" s="12"/>
      <c r="F46" s="13"/>
      <c r="G46" s="86"/>
      <c r="H46" s="12"/>
      <c r="I46" s="13"/>
      <c r="J46" s="86"/>
      <c r="K46" s="12"/>
      <c r="L46" s="13"/>
      <c r="M46" s="86"/>
      <c r="N46" s="12"/>
      <c r="O46" s="13"/>
      <c r="P46" s="86"/>
      <c r="Q46" s="12"/>
      <c r="R46" s="13"/>
      <c r="S46" s="86"/>
      <c r="T46" s="12"/>
      <c r="U46" s="13"/>
      <c r="W46" s="95">
        <v>32.0</v>
      </c>
      <c r="X46" s="125"/>
      <c r="Y46" s="95"/>
    </row>
    <row r="47" ht="15.75" customHeight="1">
      <c r="A47" s="76"/>
      <c r="B47" s="76"/>
      <c r="C47" s="76"/>
      <c r="D47" s="76"/>
      <c r="E47" s="76"/>
      <c r="F47" s="77"/>
      <c r="G47" s="76"/>
      <c r="H47" s="76"/>
      <c r="I47" s="76"/>
      <c r="J47" s="82"/>
      <c r="K47" s="82"/>
      <c r="L47" s="82"/>
      <c r="M47" s="76"/>
      <c r="N47" s="76"/>
      <c r="O47" s="76"/>
      <c r="P47" s="76"/>
      <c r="Q47" s="76"/>
      <c r="R47" s="76"/>
      <c r="S47" s="132"/>
      <c r="T47" s="132"/>
      <c r="U47" s="132"/>
      <c r="W47" s="95">
        <v>33.0</v>
      </c>
      <c r="X47" s="133"/>
      <c r="Y47" s="95"/>
    </row>
    <row r="48" ht="15.75" customHeight="1">
      <c r="A48" s="77"/>
      <c r="B48" s="77"/>
      <c r="C48" s="77"/>
      <c r="D48" s="21"/>
      <c r="E48" s="21"/>
      <c r="F48" s="21"/>
      <c r="G48" s="77"/>
      <c r="H48" s="77"/>
      <c r="I48" s="76"/>
      <c r="J48" s="21"/>
      <c r="K48" s="21"/>
      <c r="L48" s="21"/>
      <c r="M48" s="76"/>
      <c r="N48" s="76"/>
      <c r="O48" s="76"/>
      <c r="P48" s="77"/>
      <c r="Q48" s="77"/>
      <c r="R48" s="76"/>
      <c r="S48" s="134"/>
      <c r="T48" s="134"/>
      <c r="U48" s="134"/>
    </row>
    <row r="49" ht="15.75" customHeight="1">
      <c r="A49" s="77"/>
      <c r="B49" s="77"/>
      <c r="C49" s="77"/>
      <c r="D49" s="98"/>
      <c r="E49" s="98"/>
      <c r="F49" s="98"/>
      <c r="G49" s="83"/>
      <c r="H49" s="83"/>
      <c r="I49" s="111"/>
      <c r="J49" s="94"/>
      <c r="K49" s="94"/>
      <c r="L49" s="94"/>
      <c r="M49" s="21"/>
      <c r="N49" s="21"/>
      <c r="O49" s="21"/>
      <c r="P49" s="77"/>
      <c r="Q49" s="77"/>
      <c r="R49" s="38"/>
      <c r="S49" s="78"/>
      <c r="T49" s="78"/>
      <c r="U49" s="78"/>
      <c r="Y49" s="75">
        <f>SUM(Y15:Y48)</f>
        <v>66</v>
      </c>
    </row>
    <row r="50" ht="15.75" customHeight="1">
      <c r="A50" s="76"/>
      <c r="B50" s="76"/>
      <c r="C50" s="76"/>
      <c r="D50" s="21"/>
      <c r="E50" s="21"/>
      <c r="F50" s="21"/>
      <c r="G50" s="76"/>
      <c r="H50" s="76"/>
      <c r="I50" s="76"/>
      <c r="J50" s="76"/>
      <c r="K50" s="76"/>
      <c r="L50" s="76"/>
      <c r="M50" s="135"/>
      <c r="N50" s="135"/>
      <c r="O50" s="135"/>
      <c r="P50" s="77"/>
      <c r="Q50" s="77"/>
      <c r="R50" s="38"/>
      <c r="S50" s="134"/>
      <c r="T50" s="134"/>
      <c r="U50" s="134"/>
    </row>
    <row r="51" ht="15.75" customHeight="1">
      <c r="A51" s="76"/>
      <c r="B51" s="76"/>
      <c r="C51" s="76"/>
      <c r="D51" s="116"/>
      <c r="E51" s="116"/>
      <c r="F51" s="116"/>
      <c r="G51" s="83"/>
      <c r="H51" s="83"/>
      <c r="I51" s="111"/>
      <c r="J51" s="83"/>
      <c r="K51" s="83"/>
      <c r="L51" s="83"/>
      <c r="M51" s="76"/>
      <c r="N51" s="76"/>
      <c r="O51" s="76"/>
      <c r="P51" s="77"/>
      <c r="Q51" s="77"/>
      <c r="R51" s="38"/>
      <c r="S51" s="78"/>
      <c r="T51" s="78"/>
      <c r="U51" s="78"/>
    </row>
    <row r="52" ht="15.75" customHeight="1">
      <c r="A52" s="77"/>
      <c r="B52" s="77"/>
      <c r="C52" s="77"/>
      <c r="D52" s="80"/>
      <c r="E52" s="80"/>
      <c r="F52" s="129"/>
      <c r="G52" s="83"/>
      <c r="H52" s="83"/>
      <c r="I52" s="111"/>
      <c r="J52" s="83"/>
      <c r="K52" s="83"/>
      <c r="L52" s="83"/>
      <c r="M52" s="76"/>
      <c r="N52" s="76"/>
      <c r="O52" s="76"/>
      <c r="P52" s="94"/>
      <c r="Q52" s="77"/>
      <c r="R52" s="76"/>
      <c r="S52" s="134"/>
      <c r="T52" s="134"/>
      <c r="U52" s="134"/>
    </row>
    <row r="53" ht="15.75" customHeight="1"/>
    <row r="54" ht="15.75" customHeight="1"/>
    <row r="55" ht="15.75" customHeight="1">
      <c r="A55" s="60" t="s">
        <v>64</v>
      </c>
      <c r="B55" s="61"/>
    </row>
    <row r="56" ht="15.75" customHeight="1">
      <c r="A56" s="62"/>
      <c r="B56" s="63" t="s">
        <v>65</v>
      </c>
      <c r="C56" s="64"/>
      <c r="D56" s="65"/>
    </row>
    <row r="57" ht="15.75" customHeight="1">
      <c r="A57" s="66"/>
      <c r="B57" s="63" t="s">
        <v>66</v>
      </c>
      <c r="C57" s="64"/>
    </row>
    <row r="58" ht="15.75" customHeight="1">
      <c r="A58" s="67"/>
      <c r="B58" s="63" t="s">
        <v>67</v>
      </c>
      <c r="C58" s="64"/>
    </row>
    <row r="59" ht="15.75" customHeight="1">
      <c r="A59" s="68"/>
      <c r="B59" s="63" t="s">
        <v>68</v>
      </c>
      <c r="C59" s="6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4:$Y$45">
    <sortState ref="W14:Y45">
      <sortCondition ref="X14:X45"/>
    </sortState>
  </autoFilter>
  <mergeCells count="102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M22:O22"/>
    <mergeCell ref="P22:R22"/>
    <mergeCell ref="S22:U22"/>
    <mergeCell ref="M29:O29"/>
    <mergeCell ref="P29:R29"/>
    <mergeCell ref="J22:L22"/>
    <mergeCell ref="J25:L25"/>
    <mergeCell ref="S25:U25"/>
    <mergeCell ref="D29:F29"/>
    <mergeCell ref="G29:I29"/>
    <mergeCell ref="J29:L29"/>
    <mergeCell ref="S29:U29"/>
    <mergeCell ref="S30:U30"/>
    <mergeCell ref="S33:U33"/>
    <mergeCell ref="A29:C29"/>
    <mergeCell ref="A30:C30"/>
    <mergeCell ref="D30:F30"/>
    <mergeCell ref="G30:I30"/>
    <mergeCell ref="J30:L30"/>
    <mergeCell ref="M30:O30"/>
    <mergeCell ref="P30:R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J38:L38"/>
    <mergeCell ref="M38:O38"/>
    <mergeCell ref="P38:R38"/>
    <mergeCell ref="S38:U38"/>
    <mergeCell ref="S41:U41"/>
    <mergeCell ref="A46:C46"/>
    <mergeCell ref="D46:F46"/>
    <mergeCell ref="G46:I46"/>
    <mergeCell ref="J46:L46"/>
    <mergeCell ref="M46:O46"/>
    <mergeCell ref="B55:D55"/>
    <mergeCell ref="G38:I38"/>
    <mergeCell ref="G42:I42"/>
    <mergeCell ref="A45:C45"/>
    <mergeCell ref="D45:F45"/>
    <mergeCell ref="G45:I45"/>
    <mergeCell ref="J45:L45"/>
    <mergeCell ref="M45:O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P45:R45"/>
    <mergeCell ref="S45:U45"/>
    <mergeCell ref="P46:R46"/>
    <mergeCell ref="S46:U46"/>
  </mergeCells>
  <printOptions horizontalCentered="1" verticalCentered="1"/>
  <pageMargins bottom="0.0" footer="0.0" header="0.0" left="0.0" right="0.0" top="0.0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6.14"/>
    <col customWidth="1" min="4" max="4" width="19.86"/>
    <col customWidth="1" min="5" max="5" width="11.57"/>
    <col customWidth="1" min="6" max="6" width="7.71"/>
    <col customWidth="1" min="7" max="7" width="19.29"/>
    <col customWidth="1" min="8" max="8" width="11.57"/>
    <col customWidth="1" min="9" max="9" width="7.43"/>
    <col customWidth="1" min="10" max="10" width="18.86"/>
    <col customWidth="1" min="11" max="11" width="11.57"/>
    <col customWidth="1" min="12" max="12" width="7.57"/>
    <col customWidth="1" min="13" max="13" width="16.71"/>
    <col customWidth="1" min="14" max="14" width="11.43"/>
    <col customWidth="1" min="15" max="15" width="7.71"/>
    <col customWidth="1" min="16" max="16" width="17.43"/>
    <col customWidth="1" min="17" max="17" width="12.86"/>
    <col customWidth="1" min="18" max="18" width="7.43"/>
    <col customWidth="1" min="19" max="19" width="19.0"/>
    <col customWidth="1" min="20" max="20" width="11.57"/>
    <col customWidth="1" min="21" max="21" width="8.43"/>
    <col customWidth="1" min="22" max="22" width="8.71"/>
    <col customWidth="1" min="23" max="23" width="4.0"/>
    <col customWidth="1" min="24" max="24" width="18.86"/>
    <col customWidth="1" min="25" max="25" width="12.29"/>
    <col customWidth="1" min="26" max="26" width="8.71"/>
  </cols>
  <sheetData>
    <row r="1" ht="22.5" customHeight="1">
      <c r="A1" s="6" t="s">
        <v>69</v>
      </c>
      <c r="C1" s="136" t="s">
        <v>125</v>
      </c>
      <c r="F1" s="3"/>
      <c r="G1" s="4" t="s">
        <v>2</v>
      </c>
      <c r="Q1" s="3"/>
    </row>
    <row r="2">
      <c r="A2" s="6" t="s">
        <v>3</v>
      </c>
      <c r="C2" s="7" t="s">
        <v>71</v>
      </c>
      <c r="F2" s="3"/>
      <c r="Q2" s="3"/>
    </row>
    <row r="3">
      <c r="A3" s="6" t="s">
        <v>5</v>
      </c>
      <c r="C3" s="137" t="s">
        <v>72</v>
      </c>
      <c r="F3" s="3"/>
      <c r="Q3" s="3"/>
    </row>
    <row r="4">
      <c r="A4" s="6" t="s">
        <v>6</v>
      </c>
      <c r="C4" s="137" t="s">
        <v>72</v>
      </c>
      <c r="F4" s="3"/>
      <c r="G4" s="3"/>
      <c r="H4" s="3"/>
      <c r="I4" s="3"/>
      <c r="J4" s="3"/>
      <c r="K4" s="3"/>
      <c r="L4" s="3"/>
      <c r="M4" s="3"/>
      <c r="N4" s="3"/>
      <c r="O4" s="138"/>
      <c r="P4" s="139"/>
      <c r="Q4" s="14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4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  <c r="W5" s="141" t="s">
        <v>15</v>
      </c>
      <c r="X5" s="142" t="s">
        <v>126</v>
      </c>
      <c r="Y5" s="143" t="s">
        <v>17</v>
      </c>
    </row>
    <row r="6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7">
        <v>46143.0</v>
      </c>
      <c r="N6" s="12"/>
      <c r="O6" s="13"/>
      <c r="P6" s="16">
        <f>M6+1</f>
        <v>46144</v>
      </c>
      <c r="Q6" s="12"/>
      <c r="R6" s="13"/>
      <c r="S6" s="18">
        <f>P6+1</f>
        <v>46145</v>
      </c>
      <c r="T6" s="12"/>
      <c r="U6" s="13"/>
      <c r="W6" s="144">
        <v>1.0</v>
      </c>
      <c r="X6" s="145" t="s">
        <v>127</v>
      </c>
      <c r="Y6" s="146">
        <f t="shared" ref="Y6:Y34" si="1">COUNTIF($A$5:$U$51,X6)</f>
        <v>2</v>
      </c>
    </row>
    <row r="7">
      <c r="A7" s="147"/>
      <c r="B7" s="147"/>
      <c r="C7" s="147"/>
      <c r="D7" s="147"/>
      <c r="E7" s="147"/>
      <c r="F7" s="147"/>
      <c r="G7" s="105"/>
      <c r="H7" s="105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W7" s="144">
        <v>2.0</v>
      </c>
      <c r="X7" s="22"/>
      <c r="Y7" s="146">
        <f t="shared" si="1"/>
        <v>0</v>
      </c>
    </row>
    <row r="8">
      <c r="A8" s="82"/>
      <c r="B8" s="82"/>
      <c r="C8" s="82"/>
      <c r="D8" s="148"/>
      <c r="E8" s="148"/>
      <c r="F8" s="148"/>
      <c r="G8" s="105"/>
      <c r="H8" s="105"/>
      <c r="I8" s="105"/>
      <c r="J8" s="147"/>
      <c r="K8" s="147"/>
      <c r="L8" s="147"/>
      <c r="M8" s="82"/>
      <c r="N8" s="82"/>
      <c r="O8" s="82"/>
      <c r="P8" s="147"/>
      <c r="Q8" s="147"/>
      <c r="R8" s="147"/>
      <c r="S8" s="147"/>
      <c r="T8" s="147"/>
      <c r="U8" s="147"/>
      <c r="W8" s="144">
        <v>3.0</v>
      </c>
      <c r="X8" s="145" t="s">
        <v>128</v>
      </c>
      <c r="Y8" s="146">
        <f t="shared" si="1"/>
        <v>2</v>
      </c>
    </row>
    <row r="9">
      <c r="A9" s="21"/>
      <c r="B9" s="82"/>
      <c r="C9" s="82"/>
      <c r="D9" s="105"/>
      <c r="E9" s="105"/>
      <c r="F9" s="105"/>
      <c r="G9" s="149"/>
      <c r="H9" s="149"/>
      <c r="I9" s="149"/>
      <c r="J9" s="105"/>
      <c r="K9" s="105"/>
      <c r="L9" s="105"/>
      <c r="M9" s="150" t="s">
        <v>14</v>
      </c>
      <c r="N9" s="12"/>
      <c r="O9" s="13"/>
      <c r="P9" s="151" t="s">
        <v>129</v>
      </c>
      <c r="Q9" s="151" t="s">
        <v>110</v>
      </c>
      <c r="R9" s="152" t="s">
        <v>34</v>
      </c>
      <c r="S9" s="150" t="s">
        <v>14</v>
      </c>
      <c r="T9" s="12"/>
      <c r="U9" s="13"/>
      <c r="W9" s="144">
        <v>4.0</v>
      </c>
      <c r="X9" s="145" t="s">
        <v>130</v>
      </c>
      <c r="Y9" s="146">
        <f t="shared" si="1"/>
        <v>2</v>
      </c>
    </row>
    <row r="10">
      <c r="A10" s="21"/>
      <c r="B10" s="82"/>
      <c r="C10" s="82"/>
      <c r="D10" s="149"/>
      <c r="E10" s="149"/>
      <c r="F10" s="149"/>
      <c r="G10" s="149"/>
      <c r="H10" s="149"/>
      <c r="I10" s="149"/>
      <c r="J10" s="147"/>
      <c r="K10" s="147"/>
      <c r="L10" s="147"/>
      <c r="M10" s="21"/>
      <c r="N10" s="82"/>
      <c r="O10" s="82"/>
      <c r="P10" s="82"/>
      <c r="Q10" s="82"/>
      <c r="R10" s="82"/>
      <c r="S10" s="82"/>
      <c r="T10" s="82"/>
      <c r="U10" s="82"/>
      <c r="W10" s="144">
        <v>5.0</v>
      </c>
      <c r="X10" s="153" t="s">
        <v>131</v>
      </c>
      <c r="Y10" s="146">
        <f t="shared" si="1"/>
        <v>4</v>
      </c>
    </row>
    <row r="11">
      <c r="A11" s="94"/>
      <c r="B11" s="94"/>
      <c r="C11" s="94"/>
      <c r="D11" s="98"/>
      <c r="E11" s="98"/>
      <c r="F11" s="98"/>
      <c r="G11" s="24"/>
      <c r="H11" s="24"/>
      <c r="I11" s="24"/>
      <c r="J11" s="147"/>
      <c r="K11" s="147"/>
      <c r="L11" s="147"/>
      <c r="M11" s="94"/>
      <c r="N11" s="94"/>
      <c r="O11" s="94"/>
      <c r="P11" s="82"/>
      <c r="Q11" s="82"/>
      <c r="R11" s="82"/>
      <c r="S11" s="82"/>
      <c r="T11" s="82"/>
      <c r="U11" s="82"/>
      <c r="W11" s="144">
        <v>6.0</v>
      </c>
      <c r="X11" s="154" t="s">
        <v>132</v>
      </c>
      <c r="Y11" s="146">
        <f t="shared" si="1"/>
        <v>2</v>
      </c>
    </row>
    <row r="12">
      <c r="A12" s="82"/>
      <c r="B12" s="82"/>
      <c r="C12" s="82"/>
      <c r="D12" s="82"/>
      <c r="E12" s="82"/>
      <c r="F12" s="82"/>
      <c r="G12" s="149"/>
      <c r="H12" s="149"/>
      <c r="I12" s="149"/>
      <c r="J12" s="149"/>
      <c r="K12" s="149"/>
      <c r="L12" s="149"/>
      <c r="M12" s="82"/>
      <c r="N12" s="82"/>
      <c r="O12" s="82"/>
      <c r="P12" s="82"/>
      <c r="Q12" s="82"/>
      <c r="R12" s="82"/>
      <c r="S12" s="82"/>
      <c r="T12" s="82"/>
      <c r="U12" s="147"/>
      <c r="W12" s="144">
        <v>7.0</v>
      </c>
      <c r="X12" s="145" t="s">
        <v>133</v>
      </c>
      <c r="Y12" s="146">
        <f t="shared" si="1"/>
        <v>2</v>
      </c>
    </row>
    <row r="13">
      <c r="A13" s="84" t="s">
        <v>7</v>
      </c>
      <c r="B13" s="12"/>
      <c r="C13" s="13"/>
      <c r="D13" s="84" t="s">
        <v>8</v>
      </c>
      <c r="E13" s="12"/>
      <c r="F13" s="13"/>
      <c r="G13" s="84" t="s">
        <v>9</v>
      </c>
      <c r="H13" s="12"/>
      <c r="I13" s="13"/>
      <c r="J13" s="84" t="s">
        <v>10</v>
      </c>
      <c r="K13" s="12"/>
      <c r="L13" s="13"/>
      <c r="M13" s="84" t="s">
        <v>74</v>
      </c>
      <c r="N13" s="12"/>
      <c r="O13" s="13"/>
      <c r="P13" s="84" t="s">
        <v>75</v>
      </c>
      <c r="Q13" s="12"/>
      <c r="R13" s="13"/>
      <c r="S13" s="85" t="s">
        <v>13</v>
      </c>
      <c r="T13" s="12"/>
      <c r="U13" s="13"/>
      <c r="W13" s="144">
        <v>8.0</v>
      </c>
      <c r="X13" s="155" t="s">
        <v>134</v>
      </c>
      <c r="Y13" s="146">
        <f t="shared" si="1"/>
        <v>4</v>
      </c>
    </row>
    <row r="14">
      <c r="A14" s="86">
        <f>S6+1</f>
        <v>46146</v>
      </c>
      <c r="B14" s="12"/>
      <c r="C14" s="13"/>
      <c r="D14" s="86">
        <f>A14+1</f>
        <v>46147</v>
      </c>
      <c r="E14" s="12"/>
      <c r="F14" s="13"/>
      <c r="G14" s="86">
        <f>D14+1</f>
        <v>46148</v>
      </c>
      <c r="H14" s="12"/>
      <c r="I14" s="13"/>
      <c r="J14" s="86">
        <f>G14+1</f>
        <v>46149</v>
      </c>
      <c r="K14" s="12"/>
      <c r="L14" s="13"/>
      <c r="M14" s="87">
        <f>J14+1</f>
        <v>46150</v>
      </c>
      <c r="N14" s="12"/>
      <c r="O14" s="13"/>
      <c r="P14" s="86">
        <f>M14+1</f>
        <v>46151</v>
      </c>
      <c r="Q14" s="12"/>
      <c r="R14" s="13"/>
      <c r="S14" s="88">
        <f>P14+1</f>
        <v>46152</v>
      </c>
      <c r="T14" s="12"/>
      <c r="U14" s="13"/>
      <c r="W14" s="144">
        <v>9.0</v>
      </c>
      <c r="X14" s="145" t="s">
        <v>135</v>
      </c>
      <c r="Y14" s="146">
        <f t="shared" si="1"/>
        <v>2</v>
      </c>
    </row>
    <row r="15">
      <c r="A15" s="24"/>
      <c r="B15" s="24"/>
      <c r="C15" s="24"/>
      <c r="D15" s="105"/>
      <c r="E15" s="105"/>
      <c r="F15" s="82"/>
      <c r="G15" s="82"/>
      <c r="H15" s="82"/>
      <c r="I15" s="135"/>
      <c r="J15" s="82"/>
      <c r="K15" s="82"/>
      <c r="L15" s="135"/>
      <c r="M15" s="82"/>
      <c r="N15" s="82"/>
      <c r="O15" s="135"/>
      <c r="P15" s="147"/>
      <c r="Q15" s="147"/>
      <c r="R15" s="147"/>
      <c r="S15" s="24"/>
      <c r="T15" s="24"/>
      <c r="U15" s="24"/>
      <c r="W15" s="144">
        <v>10.0</v>
      </c>
      <c r="X15" s="145" t="s">
        <v>136</v>
      </c>
      <c r="Y15" s="146">
        <f t="shared" si="1"/>
        <v>2</v>
      </c>
    </row>
    <row r="16">
      <c r="A16" s="24"/>
      <c r="B16" s="24"/>
      <c r="C16" s="24"/>
      <c r="D16" s="156" t="s">
        <v>134</v>
      </c>
      <c r="E16" s="156" t="s">
        <v>137</v>
      </c>
      <c r="F16" s="157" t="s">
        <v>62</v>
      </c>
      <c r="G16" s="105"/>
      <c r="H16" s="105"/>
      <c r="I16" s="105"/>
      <c r="J16" s="82"/>
      <c r="K16" s="82"/>
      <c r="L16" s="82"/>
      <c r="M16" s="82"/>
      <c r="N16" s="82"/>
      <c r="O16" s="135"/>
      <c r="P16" s="147"/>
      <c r="Q16" s="147"/>
      <c r="R16" s="147"/>
      <c r="S16" s="24"/>
      <c r="T16" s="24"/>
      <c r="U16" s="24"/>
      <c r="W16" s="144">
        <v>11.0</v>
      </c>
      <c r="X16" s="158" t="s">
        <v>138</v>
      </c>
      <c r="Y16" s="146">
        <f t="shared" si="1"/>
        <v>2</v>
      </c>
    </row>
    <row r="17">
      <c r="A17" s="82" t="s">
        <v>133</v>
      </c>
      <c r="B17" s="82" t="s">
        <v>110</v>
      </c>
      <c r="C17" s="82" t="s">
        <v>25</v>
      </c>
      <c r="D17" s="40"/>
      <c r="E17" s="40"/>
      <c r="F17" s="113"/>
      <c r="G17" s="159" t="s">
        <v>139</v>
      </c>
      <c r="H17" s="12"/>
      <c r="I17" s="13"/>
      <c r="J17" s="157" t="s">
        <v>140</v>
      </c>
      <c r="K17" s="21" t="s">
        <v>141</v>
      </c>
      <c r="L17" s="21" t="s">
        <v>34</v>
      </c>
      <c r="M17" s="21" t="s">
        <v>142</v>
      </c>
      <c r="N17" s="21" t="s">
        <v>110</v>
      </c>
      <c r="O17" s="21" t="s">
        <v>25</v>
      </c>
      <c r="P17" s="160" t="s">
        <v>143</v>
      </c>
      <c r="Q17" s="161" t="s">
        <v>63</v>
      </c>
      <c r="R17" s="47" t="s">
        <v>27</v>
      </c>
      <c r="S17" s="102" t="s">
        <v>127</v>
      </c>
      <c r="T17" s="102" t="s">
        <v>39</v>
      </c>
      <c r="U17" s="102" t="s">
        <v>34</v>
      </c>
      <c r="W17" s="144">
        <v>12.0</v>
      </c>
      <c r="X17" s="155" t="s">
        <v>144</v>
      </c>
      <c r="Y17" s="146">
        <f t="shared" si="1"/>
        <v>5</v>
      </c>
    </row>
    <row r="18">
      <c r="A18" s="21" t="s">
        <v>136</v>
      </c>
      <c r="B18" s="21" t="s">
        <v>26</v>
      </c>
      <c r="C18" s="21" t="s">
        <v>27</v>
      </c>
      <c r="D18" s="21" t="s">
        <v>145</v>
      </c>
      <c r="E18" s="21" t="s">
        <v>146</v>
      </c>
      <c r="F18" s="112" t="s">
        <v>27</v>
      </c>
      <c r="G18" s="82"/>
      <c r="H18" s="82"/>
      <c r="I18" s="82"/>
      <c r="J18" s="82"/>
      <c r="K18" s="82"/>
      <c r="L18" s="135"/>
      <c r="M18" s="21" t="s">
        <v>130</v>
      </c>
      <c r="N18" s="101" t="s">
        <v>97</v>
      </c>
      <c r="O18" s="21" t="s">
        <v>25</v>
      </c>
      <c r="P18" s="162" t="s">
        <v>131</v>
      </c>
      <c r="Q18" s="162" t="s">
        <v>116</v>
      </c>
      <c r="R18" s="92" t="s">
        <v>25</v>
      </c>
      <c r="S18" s="150" t="s">
        <v>14</v>
      </c>
      <c r="T18" s="12"/>
      <c r="U18" s="13"/>
      <c r="W18" s="144">
        <v>13.0</v>
      </c>
      <c r="X18" s="145" t="s">
        <v>145</v>
      </c>
      <c r="Y18" s="146">
        <f t="shared" si="1"/>
        <v>4</v>
      </c>
    </row>
    <row r="19" ht="15.0" customHeight="1">
      <c r="A19" s="23" t="s">
        <v>132</v>
      </c>
      <c r="B19" s="23" t="s">
        <v>116</v>
      </c>
      <c r="C19" s="23" t="s">
        <v>27</v>
      </c>
      <c r="D19" s="21" t="s">
        <v>147</v>
      </c>
      <c r="E19" s="21" t="s">
        <v>97</v>
      </c>
      <c r="F19" s="94" t="s">
        <v>25</v>
      </c>
      <c r="G19" s="82"/>
      <c r="H19" s="82"/>
      <c r="I19" s="82"/>
      <c r="J19" s="163" t="s">
        <v>148</v>
      </c>
      <c r="K19" s="21" t="s">
        <v>149</v>
      </c>
      <c r="L19" s="21" t="s">
        <v>27</v>
      </c>
      <c r="M19" s="105"/>
      <c r="N19" s="105"/>
      <c r="O19" s="135"/>
      <c r="P19" s="156" t="s">
        <v>144</v>
      </c>
      <c r="Q19" s="157"/>
      <c r="R19" s="156" t="s">
        <v>27</v>
      </c>
      <c r="S19" s="164" t="s">
        <v>144</v>
      </c>
      <c r="T19" s="164" t="s">
        <v>31</v>
      </c>
      <c r="U19" s="164" t="s">
        <v>27</v>
      </c>
      <c r="W19" s="144">
        <v>14.0</v>
      </c>
      <c r="X19" s="30" t="s">
        <v>147</v>
      </c>
      <c r="Y19" s="146">
        <f t="shared" si="1"/>
        <v>2</v>
      </c>
    </row>
    <row r="20" ht="15.0" customHeight="1">
      <c r="A20" s="82"/>
      <c r="B20" s="82"/>
      <c r="C20" s="82"/>
      <c r="D20" s="82"/>
      <c r="E20" s="82"/>
      <c r="F20" s="82"/>
      <c r="G20" s="82"/>
      <c r="H20" s="82"/>
      <c r="I20" s="82"/>
      <c r="J20" s="165" t="s">
        <v>150</v>
      </c>
      <c r="K20" s="156" t="s">
        <v>151</v>
      </c>
      <c r="L20" s="156" t="s">
        <v>27</v>
      </c>
      <c r="M20" s="105"/>
      <c r="N20" s="105"/>
      <c r="O20" s="135"/>
      <c r="P20" s="135"/>
      <c r="Q20" s="135"/>
      <c r="R20" s="135"/>
      <c r="S20" s="105"/>
      <c r="T20" s="105"/>
      <c r="U20" s="105"/>
      <c r="W20" s="144">
        <v>15.0</v>
      </c>
      <c r="X20" s="158" t="s">
        <v>148</v>
      </c>
      <c r="Y20" s="146">
        <f t="shared" si="1"/>
        <v>2</v>
      </c>
    </row>
    <row r="21" ht="15.75" customHeight="1">
      <c r="A21" s="106" t="s">
        <v>105</v>
      </c>
      <c r="B21" s="12"/>
      <c r="C21" s="13"/>
      <c r="D21" s="106" t="s">
        <v>8</v>
      </c>
      <c r="E21" s="12"/>
      <c r="F21" s="13"/>
      <c r="G21" s="106" t="s">
        <v>106</v>
      </c>
      <c r="H21" s="12"/>
      <c r="I21" s="13"/>
      <c r="J21" s="107" t="s">
        <v>10</v>
      </c>
      <c r="K21" s="12"/>
      <c r="L21" s="13"/>
      <c r="M21" s="106" t="s">
        <v>11</v>
      </c>
      <c r="N21" s="12"/>
      <c r="O21" s="13"/>
      <c r="P21" s="106" t="s">
        <v>75</v>
      </c>
      <c r="Q21" s="12"/>
      <c r="R21" s="13"/>
      <c r="S21" s="107" t="s">
        <v>107</v>
      </c>
      <c r="T21" s="12"/>
      <c r="U21" s="13"/>
      <c r="W21" s="144">
        <v>16.0</v>
      </c>
      <c r="X21" s="166" t="s">
        <v>150</v>
      </c>
      <c r="Y21" s="146">
        <f t="shared" si="1"/>
        <v>2</v>
      </c>
    </row>
    <row r="22" ht="15.75" customHeight="1">
      <c r="A22" s="109">
        <f>S14+1</f>
        <v>46153</v>
      </c>
      <c r="B22" s="12"/>
      <c r="C22" s="13"/>
      <c r="D22" s="109">
        <f>A22+1</f>
        <v>46154</v>
      </c>
      <c r="E22" s="12"/>
      <c r="F22" s="13"/>
      <c r="G22" s="109">
        <f>D22+1</f>
        <v>46155</v>
      </c>
      <c r="H22" s="12"/>
      <c r="I22" s="13"/>
      <c r="J22" s="110">
        <f>G22+1</f>
        <v>46156</v>
      </c>
      <c r="K22" s="12"/>
      <c r="L22" s="13"/>
      <c r="M22" s="109">
        <f>J22+1</f>
        <v>46157</v>
      </c>
      <c r="N22" s="12"/>
      <c r="O22" s="13"/>
      <c r="P22" s="109">
        <f>M22+1</f>
        <v>46158</v>
      </c>
      <c r="Q22" s="12"/>
      <c r="R22" s="13"/>
      <c r="S22" s="110">
        <f>P22+1</f>
        <v>46159</v>
      </c>
      <c r="T22" s="12"/>
      <c r="U22" s="13"/>
      <c r="W22" s="144">
        <v>17.0</v>
      </c>
      <c r="X22" s="63" t="s">
        <v>142</v>
      </c>
      <c r="Y22" s="146">
        <f t="shared" si="1"/>
        <v>4</v>
      </c>
    </row>
    <row r="23" ht="15.75" customHeight="1">
      <c r="A23" s="21"/>
      <c r="B23" s="21"/>
      <c r="C23" s="21"/>
      <c r="D23" s="105"/>
      <c r="E23" s="105"/>
      <c r="F23" s="82"/>
      <c r="G23" s="147"/>
      <c r="H23" s="147"/>
      <c r="I23" s="147"/>
      <c r="J23" s="147"/>
      <c r="K23" s="147"/>
      <c r="L23" s="147"/>
      <c r="M23" s="82"/>
      <c r="N23" s="82"/>
      <c r="O23" s="135"/>
      <c r="P23" s="147"/>
      <c r="Q23" s="147"/>
      <c r="R23" s="147"/>
      <c r="S23" s="105"/>
      <c r="T23" s="82"/>
      <c r="U23" s="105"/>
      <c r="W23" s="144">
        <v>18.0</v>
      </c>
      <c r="X23" s="157" t="s">
        <v>152</v>
      </c>
      <c r="Y23" s="146">
        <f t="shared" si="1"/>
        <v>2</v>
      </c>
    </row>
    <row r="24" ht="15.75" customHeight="1">
      <c r="A24" s="21"/>
      <c r="B24" s="21"/>
      <c r="C24" s="21"/>
      <c r="G24" s="148"/>
      <c r="H24" s="148"/>
      <c r="I24" s="148"/>
      <c r="J24" s="147"/>
      <c r="K24" s="147"/>
      <c r="L24" s="147"/>
      <c r="M24" s="147"/>
      <c r="N24" s="147"/>
      <c r="O24" s="147"/>
      <c r="P24" s="147"/>
      <c r="Q24" s="147"/>
      <c r="R24" s="147"/>
      <c r="S24" s="24"/>
      <c r="T24" s="24"/>
      <c r="U24" s="24"/>
      <c r="W24" s="144">
        <v>19.0</v>
      </c>
      <c r="X24" s="151" t="s">
        <v>129</v>
      </c>
      <c r="Y24" s="146">
        <f t="shared" si="1"/>
        <v>3</v>
      </c>
    </row>
    <row r="25" ht="15.75" customHeight="1">
      <c r="A25" s="76" t="s">
        <v>135</v>
      </c>
      <c r="B25" s="76" t="s">
        <v>78</v>
      </c>
      <c r="C25" s="76" t="s">
        <v>34</v>
      </c>
      <c r="D25" s="156" t="s">
        <v>134</v>
      </c>
      <c r="E25" s="156" t="s">
        <v>137</v>
      </c>
      <c r="F25" s="156" t="s">
        <v>153</v>
      </c>
      <c r="G25" s="151" t="s">
        <v>129</v>
      </c>
      <c r="H25" s="151" t="s">
        <v>110</v>
      </c>
      <c r="I25" s="152" t="s">
        <v>34</v>
      </c>
      <c r="J25" s="150" t="s">
        <v>14</v>
      </c>
      <c r="K25" s="12"/>
      <c r="L25" s="12"/>
      <c r="M25" s="167" t="s">
        <v>154</v>
      </c>
      <c r="N25" s="168" t="s">
        <v>155</v>
      </c>
      <c r="O25" s="168" t="s">
        <v>27</v>
      </c>
      <c r="P25" s="150" t="s">
        <v>14</v>
      </c>
      <c r="Q25" s="12"/>
      <c r="R25" s="13"/>
      <c r="S25" s="21" t="s">
        <v>138</v>
      </c>
      <c r="T25" s="169" t="s">
        <v>39</v>
      </c>
      <c r="U25" s="169" t="s">
        <v>27</v>
      </c>
      <c r="W25" s="144">
        <v>20.0</v>
      </c>
      <c r="X25" s="167" t="s">
        <v>154</v>
      </c>
      <c r="Y25" s="146">
        <f t="shared" si="1"/>
        <v>2</v>
      </c>
    </row>
    <row r="26" ht="15.75" customHeight="1">
      <c r="A26" s="170" t="s">
        <v>144</v>
      </c>
      <c r="B26" s="170" t="s">
        <v>141</v>
      </c>
      <c r="C26" s="170" t="s">
        <v>34</v>
      </c>
      <c r="D26" s="153" t="s">
        <v>131</v>
      </c>
      <c r="E26" s="153"/>
      <c r="F26" s="171" t="s">
        <v>25</v>
      </c>
      <c r="G26" s="21" t="s">
        <v>145</v>
      </c>
      <c r="H26" s="21" t="s">
        <v>146</v>
      </c>
      <c r="I26" s="112" t="s">
        <v>27</v>
      </c>
      <c r="J26" s="76"/>
      <c r="K26" s="76"/>
      <c r="L26" s="76"/>
      <c r="M26" s="21" t="s">
        <v>142</v>
      </c>
      <c r="N26" s="21" t="s">
        <v>116</v>
      </c>
      <c r="O26" s="21" t="s">
        <v>25</v>
      </c>
      <c r="S26" s="102" t="s">
        <v>127</v>
      </c>
      <c r="T26" s="172" t="s">
        <v>49</v>
      </c>
      <c r="U26" s="102" t="s">
        <v>34</v>
      </c>
      <c r="W26" s="144">
        <v>21.0</v>
      </c>
      <c r="X26" s="173" t="s">
        <v>156</v>
      </c>
      <c r="Y26" s="146">
        <f t="shared" si="1"/>
        <v>2</v>
      </c>
    </row>
    <row r="27" ht="15.75" customHeight="1">
      <c r="A27" s="23" t="s">
        <v>128</v>
      </c>
      <c r="B27" s="23" t="s">
        <v>97</v>
      </c>
      <c r="C27" s="23" t="s">
        <v>27</v>
      </c>
      <c r="D27" s="157" t="s">
        <v>152</v>
      </c>
      <c r="E27" s="157" t="s">
        <v>157</v>
      </c>
      <c r="F27" s="94" t="s">
        <v>25</v>
      </c>
      <c r="G27" s="156"/>
      <c r="H27" s="21"/>
      <c r="I27" s="21"/>
      <c r="J27" s="76"/>
      <c r="K27" s="76"/>
      <c r="L27" s="76"/>
      <c r="M27" s="23" t="s">
        <v>158</v>
      </c>
      <c r="N27" s="23" t="s">
        <v>159</v>
      </c>
      <c r="O27" s="23" t="s">
        <v>25</v>
      </c>
      <c r="P27" s="82"/>
      <c r="Q27" s="82"/>
      <c r="R27" s="82"/>
      <c r="W27" s="144">
        <v>22.0</v>
      </c>
      <c r="X27" s="151" t="s">
        <v>160</v>
      </c>
      <c r="Y27" s="146">
        <f t="shared" si="1"/>
        <v>1</v>
      </c>
    </row>
    <row r="28" ht="15.75" customHeight="1">
      <c r="A28" s="82"/>
      <c r="B28" s="82"/>
      <c r="C28" s="21"/>
      <c r="D28" s="24"/>
      <c r="E28" s="24"/>
      <c r="F28" s="24"/>
      <c r="G28" s="105"/>
      <c r="H28" s="105"/>
      <c r="I28" s="82"/>
      <c r="J28" s="149"/>
      <c r="K28" s="149"/>
      <c r="L28" s="149"/>
      <c r="M28" s="105"/>
      <c r="N28" s="105"/>
      <c r="O28" s="174"/>
      <c r="P28" s="82"/>
      <c r="Q28" s="82"/>
      <c r="R28" s="82"/>
      <c r="S28" s="82"/>
      <c r="T28" s="82"/>
      <c r="U28" s="82"/>
      <c r="W28" s="144">
        <v>23.0</v>
      </c>
      <c r="X28" s="151" t="s">
        <v>161</v>
      </c>
      <c r="Y28" s="146">
        <f t="shared" si="1"/>
        <v>1</v>
      </c>
    </row>
    <row r="29" ht="15.75" customHeight="1">
      <c r="A29" s="84" t="s">
        <v>105</v>
      </c>
      <c r="B29" s="12"/>
      <c r="C29" s="13"/>
      <c r="D29" s="84" t="s">
        <v>8</v>
      </c>
      <c r="E29" s="12"/>
      <c r="F29" s="13"/>
      <c r="G29" s="84" t="s">
        <v>106</v>
      </c>
      <c r="H29" s="12"/>
      <c r="I29" s="13"/>
      <c r="J29" s="84" t="s">
        <v>10</v>
      </c>
      <c r="K29" s="12"/>
      <c r="L29" s="13"/>
      <c r="M29" s="84" t="s">
        <v>74</v>
      </c>
      <c r="N29" s="12"/>
      <c r="O29" s="13"/>
      <c r="P29" s="84" t="s">
        <v>75</v>
      </c>
      <c r="Q29" s="12"/>
      <c r="R29" s="13"/>
      <c r="S29" s="85" t="s">
        <v>13</v>
      </c>
      <c r="T29" s="12"/>
      <c r="U29" s="13"/>
      <c r="W29" s="144">
        <v>24.0</v>
      </c>
      <c r="X29" s="151" t="s">
        <v>162</v>
      </c>
      <c r="Y29" s="146">
        <f t="shared" si="1"/>
        <v>1</v>
      </c>
    </row>
    <row r="30" ht="15.75" customHeight="1">
      <c r="A30" s="87">
        <f>S22+1</f>
        <v>46160</v>
      </c>
      <c r="B30" s="12"/>
      <c r="C30" s="13"/>
      <c r="D30" s="86">
        <f>A30+1</f>
        <v>46161</v>
      </c>
      <c r="E30" s="12"/>
      <c r="F30" s="13"/>
      <c r="G30" s="86">
        <f>D30+1</f>
        <v>46162</v>
      </c>
      <c r="H30" s="12"/>
      <c r="I30" s="13"/>
      <c r="J30" s="86">
        <f>G30+1</f>
        <v>46163</v>
      </c>
      <c r="K30" s="12"/>
      <c r="L30" s="13"/>
      <c r="M30" s="86">
        <f>J30+1</f>
        <v>46164</v>
      </c>
      <c r="N30" s="12"/>
      <c r="O30" s="13"/>
      <c r="P30" s="87">
        <f>M30+1</f>
        <v>46165</v>
      </c>
      <c r="Q30" s="12"/>
      <c r="R30" s="13"/>
      <c r="S30" s="88">
        <f>P30+1</f>
        <v>46166</v>
      </c>
      <c r="T30" s="12"/>
      <c r="U30" s="13"/>
      <c r="W30" s="144">
        <v>25.0</v>
      </c>
      <c r="X30" s="175" t="s">
        <v>163</v>
      </c>
      <c r="Y30" s="146">
        <f t="shared" si="1"/>
        <v>1</v>
      </c>
    </row>
    <row r="31" ht="15.75" customHeight="1">
      <c r="A31" s="21"/>
      <c r="B31" s="21"/>
      <c r="C31" s="21"/>
      <c r="D31" s="94"/>
      <c r="E31" s="105"/>
      <c r="F31" s="82"/>
      <c r="G31" s="82"/>
      <c r="H31" s="82"/>
      <c r="I31" s="82"/>
      <c r="J31" s="105"/>
      <c r="K31" s="105"/>
      <c r="L31" s="82"/>
      <c r="M31" s="82"/>
      <c r="N31" s="82"/>
      <c r="O31" s="148"/>
      <c r="P31" s="147"/>
      <c r="Q31" s="147"/>
      <c r="R31" s="147"/>
      <c r="S31" s="24"/>
      <c r="T31" s="24"/>
      <c r="U31" s="24"/>
      <c r="W31" s="144">
        <v>26.0</v>
      </c>
      <c r="X31" s="175" t="s">
        <v>164</v>
      </c>
      <c r="Y31" s="146">
        <f t="shared" si="1"/>
        <v>1</v>
      </c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157" t="s">
        <v>140</v>
      </c>
      <c r="K32" s="21" t="s">
        <v>141</v>
      </c>
      <c r="L32" s="21" t="s">
        <v>34</v>
      </c>
      <c r="P32" s="175" t="s">
        <v>163</v>
      </c>
      <c r="Q32" s="175" t="s">
        <v>110</v>
      </c>
      <c r="R32" s="175" t="s">
        <v>34</v>
      </c>
      <c r="S32" s="24"/>
      <c r="T32" s="24"/>
      <c r="U32" s="24"/>
      <c r="W32" s="144">
        <v>27.0</v>
      </c>
      <c r="X32" s="145"/>
      <c r="Y32" s="146">
        <f t="shared" si="1"/>
        <v>0</v>
      </c>
    </row>
    <row r="33" ht="15.75" customHeight="1">
      <c r="A33" s="82" t="s">
        <v>133</v>
      </c>
      <c r="B33" s="82" t="s">
        <v>110</v>
      </c>
      <c r="C33" s="82" t="s">
        <v>25</v>
      </c>
      <c r="D33" s="156" t="s">
        <v>134</v>
      </c>
      <c r="E33" s="156" t="s">
        <v>137</v>
      </c>
      <c r="F33" s="157" t="s">
        <v>62</v>
      </c>
      <c r="G33" s="151" t="s">
        <v>129</v>
      </c>
      <c r="H33" s="151" t="s">
        <v>110</v>
      </c>
      <c r="I33" s="152" t="s">
        <v>34</v>
      </c>
      <c r="J33" s="151" t="s">
        <v>160</v>
      </c>
      <c r="K33" s="176" t="s">
        <v>165</v>
      </c>
      <c r="L33" s="163" t="s">
        <v>25</v>
      </c>
      <c r="M33" s="21" t="s">
        <v>142</v>
      </c>
      <c r="N33" s="21" t="s">
        <v>110</v>
      </c>
      <c r="O33" s="21" t="s">
        <v>25</v>
      </c>
      <c r="P33" s="175" t="s">
        <v>164</v>
      </c>
      <c r="Q33" s="177" t="s">
        <v>166</v>
      </c>
      <c r="R33" s="175" t="s">
        <v>34</v>
      </c>
      <c r="W33" s="144">
        <v>28.0</v>
      </c>
      <c r="X33" s="145"/>
      <c r="Y33" s="146">
        <f t="shared" si="1"/>
        <v>0</v>
      </c>
    </row>
    <row r="34" ht="15.0" customHeight="1">
      <c r="A34" s="164" t="s">
        <v>144</v>
      </c>
      <c r="B34" s="164" t="s">
        <v>31</v>
      </c>
      <c r="C34" s="164" t="s">
        <v>27</v>
      </c>
      <c r="D34" s="153" t="s">
        <v>131</v>
      </c>
      <c r="E34" s="153" t="s">
        <v>116</v>
      </c>
      <c r="F34" s="171" t="s">
        <v>25</v>
      </c>
      <c r="G34" s="21" t="s">
        <v>145</v>
      </c>
      <c r="H34" s="21" t="s">
        <v>167</v>
      </c>
      <c r="I34" s="112" t="s">
        <v>27</v>
      </c>
      <c r="J34" s="151" t="s">
        <v>161</v>
      </c>
      <c r="K34" s="48"/>
      <c r="L34" s="163" t="s">
        <v>25</v>
      </c>
      <c r="M34" s="21" t="s">
        <v>130</v>
      </c>
      <c r="N34" s="101" t="s">
        <v>97</v>
      </c>
      <c r="O34" s="21" t="s">
        <v>25</v>
      </c>
      <c r="P34" s="21" t="s">
        <v>128</v>
      </c>
      <c r="Q34" s="21" t="s">
        <v>97</v>
      </c>
      <c r="R34" s="21" t="s">
        <v>27</v>
      </c>
      <c r="S34" s="150" t="s">
        <v>14</v>
      </c>
      <c r="T34" s="12"/>
      <c r="U34" s="13"/>
      <c r="W34" s="144">
        <v>29.0</v>
      </c>
      <c r="X34" s="145"/>
      <c r="Y34" s="146">
        <f t="shared" si="1"/>
        <v>0</v>
      </c>
    </row>
    <row r="35" ht="15.75" customHeight="1">
      <c r="A35" s="21" t="s">
        <v>136</v>
      </c>
      <c r="B35" s="21" t="s">
        <v>26</v>
      </c>
      <c r="C35" s="21" t="s">
        <v>27</v>
      </c>
      <c r="D35" s="21" t="s">
        <v>147</v>
      </c>
      <c r="E35" s="21" t="s">
        <v>97</v>
      </c>
      <c r="F35" s="94" t="s">
        <v>25</v>
      </c>
      <c r="G35" s="173" t="s">
        <v>156</v>
      </c>
      <c r="H35" s="173" t="s">
        <v>116</v>
      </c>
      <c r="I35" s="173" t="s">
        <v>114</v>
      </c>
      <c r="J35" s="151" t="s">
        <v>162</v>
      </c>
      <c r="K35" s="49"/>
      <c r="L35" s="163" t="s">
        <v>25</v>
      </c>
      <c r="M35" s="23"/>
      <c r="N35" s="23"/>
      <c r="O35" s="23"/>
      <c r="P35" s="23"/>
      <c r="Q35" s="23"/>
      <c r="R35" s="23"/>
      <c r="S35" s="147"/>
      <c r="T35" s="147"/>
      <c r="U35" s="24"/>
      <c r="W35" s="24"/>
      <c r="X35" s="24"/>
      <c r="Y35" s="178">
        <f>SUM(Y6:Y34)</f>
        <v>57</v>
      </c>
    </row>
    <row r="36" ht="14.25" customHeight="1">
      <c r="A36" s="23" t="s">
        <v>132</v>
      </c>
      <c r="B36" s="23" t="s">
        <v>116</v>
      </c>
      <c r="C36" s="23" t="s">
        <v>27</v>
      </c>
      <c r="D36" s="24"/>
      <c r="E36" s="24"/>
      <c r="F36" s="24"/>
      <c r="J36" s="21"/>
      <c r="K36" s="21"/>
      <c r="L36" s="112"/>
      <c r="M36" s="105"/>
      <c r="N36" s="105"/>
      <c r="O36" s="23"/>
      <c r="P36" s="23"/>
      <c r="Q36" s="23"/>
      <c r="R36" s="23"/>
      <c r="S36" s="82"/>
      <c r="T36" s="82"/>
      <c r="U36" s="82"/>
    </row>
    <row r="37" ht="15.75" customHeight="1">
      <c r="A37" s="106" t="s">
        <v>105</v>
      </c>
      <c r="B37" s="12"/>
      <c r="C37" s="13"/>
      <c r="D37" s="106" t="s">
        <v>8</v>
      </c>
      <c r="E37" s="12"/>
      <c r="F37" s="13"/>
      <c r="G37" s="107" t="s">
        <v>106</v>
      </c>
      <c r="H37" s="12"/>
      <c r="I37" s="13"/>
      <c r="J37" s="106" t="s">
        <v>10</v>
      </c>
      <c r="K37" s="12"/>
      <c r="L37" s="13"/>
      <c r="M37" s="106" t="s">
        <v>11</v>
      </c>
      <c r="N37" s="12"/>
      <c r="O37" s="13"/>
      <c r="P37" s="106" t="s">
        <v>75</v>
      </c>
      <c r="Q37" s="12"/>
      <c r="R37" s="13"/>
      <c r="S37" s="107" t="s">
        <v>107</v>
      </c>
      <c r="T37" s="12"/>
      <c r="U37" s="13"/>
    </row>
    <row r="38" ht="15.75" customHeight="1">
      <c r="A38" s="109">
        <f>S30+1</f>
        <v>46167</v>
      </c>
      <c r="B38" s="12"/>
      <c r="C38" s="13"/>
      <c r="D38" s="109">
        <f>A38+1</f>
        <v>46168</v>
      </c>
      <c r="E38" s="12"/>
      <c r="F38" s="13"/>
      <c r="G38" s="110">
        <f>D38+1</f>
        <v>46169</v>
      </c>
      <c r="H38" s="12"/>
      <c r="I38" s="13"/>
      <c r="J38" s="109">
        <f>G38+1</f>
        <v>46170</v>
      </c>
      <c r="K38" s="12"/>
      <c r="L38" s="13"/>
      <c r="M38" s="109">
        <f>J38+1</f>
        <v>46171</v>
      </c>
      <c r="N38" s="12"/>
      <c r="O38" s="13"/>
      <c r="P38" s="109">
        <f>M38+1</f>
        <v>46172</v>
      </c>
      <c r="Q38" s="12"/>
      <c r="R38" s="13"/>
      <c r="S38" s="110">
        <f>P38+1</f>
        <v>46173</v>
      </c>
      <c r="T38" s="12"/>
      <c r="U38" s="13"/>
    </row>
    <row r="39" ht="15.75" customHeight="1">
      <c r="A39" s="22"/>
      <c r="B39" s="22"/>
      <c r="C39" s="22"/>
      <c r="D39" s="179"/>
      <c r="E39" s="179"/>
      <c r="F39" s="179"/>
      <c r="G39" s="179"/>
      <c r="H39" s="179"/>
      <c r="I39" s="20"/>
      <c r="J39" s="105"/>
      <c r="K39" s="105"/>
      <c r="L39" s="105"/>
      <c r="M39" s="105"/>
      <c r="N39" s="105"/>
      <c r="O39" s="105"/>
      <c r="P39" s="180"/>
      <c r="Q39" s="180"/>
      <c r="R39" s="180"/>
      <c r="S39" s="181"/>
      <c r="T39" s="181"/>
      <c r="U39" s="181"/>
    </row>
    <row r="40" ht="15.75" customHeight="1">
      <c r="A40" s="22"/>
      <c r="B40" s="22"/>
      <c r="C40" s="182"/>
      <c r="D40" s="179"/>
      <c r="E40" s="179"/>
      <c r="F40" s="179"/>
      <c r="G40" s="150" t="s">
        <v>14</v>
      </c>
      <c r="H40" s="12"/>
      <c r="I40" s="13"/>
      <c r="J40" s="105"/>
      <c r="K40" s="105"/>
      <c r="L40" s="105"/>
      <c r="M40" s="105"/>
      <c r="N40" s="105"/>
      <c r="O40" s="105"/>
      <c r="Q40" s="180"/>
      <c r="R40" s="180"/>
      <c r="S40" s="21" t="s">
        <v>138</v>
      </c>
      <c r="T40" s="169" t="s">
        <v>39</v>
      </c>
      <c r="U40" s="169" t="s">
        <v>27</v>
      </c>
    </row>
    <row r="41" ht="15.75" customHeight="1">
      <c r="A41" s="112" t="s">
        <v>135</v>
      </c>
      <c r="B41" s="112" t="s">
        <v>78</v>
      </c>
      <c r="C41" s="112" t="s">
        <v>34</v>
      </c>
      <c r="D41" s="21" t="s">
        <v>134</v>
      </c>
      <c r="E41" s="21" t="s">
        <v>137</v>
      </c>
      <c r="F41" s="156" t="s">
        <v>153</v>
      </c>
      <c r="G41" s="135"/>
      <c r="H41" s="135"/>
      <c r="I41" s="135"/>
      <c r="J41" s="21" t="s">
        <v>145</v>
      </c>
      <c r="K41" s="21" t="s">
        <v>146</v>
      </c>
      <c r="L41" s="112" t="s">
        <v>27</v>
      </c>
      <c r="M41" s="167" t="s">
        <v>154</v>
      </c>
      <c r="N41" s="168" t="s">
        <v>155</v>
      </c>
      <c r="O41" s="168" t="s">
        <v>27</v>
      </c>
      <c r="P41" s="180"/>
      <c r="Q41" s="180"/>
      <c r="R41" s="180"/>
    </row>
    <row r="42" ht="15.75" customHeight="1">
      <c r="A42" s="163" t="s">
        <v>148</v>
      </c>
      <c r="B42" s="21" t="s">
        <v>149</v>
      </c>
      <c r="C42" s="21" t="s">
        <v>27</v>
      </c>
      <c r="D42" s="153" t="s">
        <v>131</v>
      </c>
      <c r="E42" s="153" t="s">
        <v>52</v>
      </c>
      <c r="F42" s="171" t="s">
        <v>25</v>
      </c>
      <c r="G42" s="179"/>
      <c r="H42" s="179"/>
      <c r="I42" s="179"/>
      <c r="J42" s="173" t="s">
        <v>156</v>
      </c>
      <c r="K42" s="173" t="s">
        <v>116</v>
      </c>
      <c r="L42" s="173" t="s">
        <v>25</v>
      </c>
      <c r="M42" s="21" t="s">
        <v>142</v>
      </c>
      <c r="N42" s="21" t="s">
        <v>116</v>
      </c>
      <c r="O42" s="21" t="s">
        <v>25</v>
      </c>
      <c r="Q42" s="180"/>
      <c r="R42" s="180"/>
      <c r="S42" s="150" t="s">
        <v>14</v>
      </c>
      <c r="T42" s="12"/>
      <c r="U42" s="13"/>
    </row>
    <row r="43" ht="15.75" customHeight="1">
      <c r="A43" s="165" t="s">
        <v>150</v>
      </c>
      <c r="B43" s="156" t="s">
        <v>151</v>
      </c>
      <c r="C43" s="156" t="s">
        <v>27</v>
      </c>
      <c r="D43" s="157" t="s">
        <v>152</v>
      </c>
      <c r="E43" s="157" t="s">
        <v>157</v>
      </c>
      <c r="F43" s="94" t="s">
        <v>25</v>
      </c>
      <c r="G43" s="135"/>
      <c r="H43" s="135"/>
      <c r="I43" s="135"/>
      <c r="J43" s="170" t="s">
        <v>144</v>
      </c>
      <c r="K43" s="40" t="s">
        <v>31</v>
      </c>
      <c r="L43" s="156" t="s">
        <v>27</v>
      </c>
      <c r="M43" s="23" t="s">
        <v>158</v>
      </c>
      <c r="N43" s="23" t="s">
        <v>159</v>
      </c>
      <c r="O43" s="23" t="s">
        <v>25</v>
      </c>
      <c r="P43" s="82"/>
      <c r="Q43" s="82"/>
      <c r="R43" s="82"/>
      <c r="S43" s="183"/>
      <c r="T43" s="183"/>
      <c r="U43" s="184"/>
    </row>
    <row r="44" ht="15.75" customHeight="1">
      <c r="A44" s="179"/>
      <c r="B44" s="179"/>
      <c r="C44" s="22"/>
      <c r="D44" s="185"/>
      <c r="E44" s="185"/>
      <c r="F44" s="185"/>
      <c r="G44" s="179"/>
      <c r="H44" s="82"/>
      <c r="I44" s="82"/>
      <c r="J44" s="105"/>
      <c r="K44" s="105"/>
      <c r="L44" s="82"/>
      <c r="M44" s="105"/>
      <c r="N44" s="105"/>
      <c r="O44" s="82"/>
      <c r="P44" s="82"/>
      <c r="Q44" s="82"/>
      <c r="R44" s="82"/>
      <c r="S44" s="186"/>
      <c r="T44" s="186"/>
      <c r="U44" s="186"/>
    </row>
    <row r="45" ht="15.75" customHeight="1">
      <c r="A45" s="84"/>
      <c r="B45" s="12"/>
      <c r="C45" s="13"/>
      <c r="D45" s="84"/>
      <c r="E45" s="12"/>
      <c r="F45" s="13"/>
      <c r="G45" s="84"/>
      <c r="H45" s="12"/>
      <c r="I45" s="13"/>
      <c r="J45" s="84"/>
      <c r="K45" s="12"/>
      <c r="L45" s="13"/>
      <c r="M45" s="84"/>
      <c r="N45" s="12"/>
      <c r="O45" s="13"/>
      <c r="P45" s="84"/>
      <c r="Q45" s="12"/>
      <c r="R45" s="13"/>
      <c r="S45" s="85"/>
      <c r="T45" s="12"/>
      <c r="U45" s="13"/>
    </row>
    <row r="46" ht="15.75" customHeight="1">
      <c r="A46" s="87"/>
      <c r="B46" s="12"/>
      <c r="C46" s="13"/>
      <c r="D46" s="86"/>
      <c r="E46" s="12"/>
      <c r="F46" s="13"/>
      <c r="G46" s="86"/>
      <c r="H46" s="12"/>
      <c r="I46" s="13"/>
      <c r="J46" s="86"/>
      <c r="K46" s="12"/>
      <c r="L46" s="13"/>
      <c r="M46" s="86"/>
      <c r="N46" s="12"/>
      <c r="O46" s="13"/>
      <c r="P46" s="87"/>
      <c r="Q46" s="12"/>
      <c r="R46" s="13"/>
      <c r="S46" s="88"/>
      <c r="T46" s="12"/>
      <c r="U46" s="13"/>
    </row>
    <row r="47" ht="15.75" customHeight="1">
      <c r="A47" s="147"/>
      <c r="B47" s="147"/>
      <c r="C47" s="147"/>
      <c r="D47" s="105"/>
      <c r="E47" s="105"/>
      <c r="F47" s="82"/>
      <c r="G47" s="147"/>
      <c r="H47" s="147"/>
      <c r="I47" s="147"/>
      <c r="J47" s="82"/>
      <c r="K47" s="82"/>
      <c r="L47" s="135"/>
      <c r="M47" s="82"/>
      <c r="N47" s="82"/>
      <c r="O47" s="135"/>
      <c r="P47" s="147"/>
      <c r="Q47" s="147"/>
      <c r="R47" s="147"/>
      <c r="S47" s="186"/>
      <c r="T47" s="186"/>
      <c r="U47" s="186"/>
    </row>
    <row r="48" ht="15.75" customHeight="1">
      <c r="A48" s="82"/>
      <c r="B48" s="82"/>
      <c r="C48" s="82"/>
      <c r="D48" s="21"/>
      <c r="E48" s="21"/>
      <c r="F48" s="21"/>
      <c r="G48" s="148"/>
      <c r="H48" s="148"/>
      <c r="I48" s="148"/>
      <c r="J48" s="187"/>
      <c r="K48" s="82"/>
      <c r="L48" s="82"/>
      <c r="M48" s="105"/>
      <c r="N48" s="105"/>
      <c r="O48" s="105"/>
      <c r="P48" s="147"/>
      <c r="Q48" s="147"/>
      <c r="R48" s="147"/>
      <c r="S48" s="186"/>
      <c r="T48" s="186"/>
      <c r="U48" s="186"/>
    </row>
    <row r="49" ht="15.75" customHeight="1">
      <c r="A49" s="82"/>
      <c r="B49" s="82"/>
      <c r="C49" s="82"/>
      <c r="D49" s="105"/>
      <c r="E49" s="105"/>
      <c r="F49" s="105"/>
      <c r="G49" s="105"/>
      <c r="H49" s="105"/>
      <c r="I49" s="105"/>
      <c r="J49" s="188"/>
      <c r="K49" s="105"/>
      <c r="L49" s="105"/>
      <c r="M49" s="105"/>
      <c r="N49" s="105"/>
      <c r="O49" s="105"/>
      <c r="P49" s="147"/>
      <c r="Q49" s="147"/>
      <c r="R49" s="147"/>
      <c r="S49" s="183"/>
      <c r="T49" s="183"/>
      <c r="U49" s="183"/>
    </row>
    <row r="50" ht="15.75" customHeight="1">
      <c r="A50" s="82"/>
      <c r="B50" s="82"/>
      <c r="C50" s="82"/>
      <c r="D50" s="149"/>
      <c r="E50" s="149"/>
      <c r="F50" s="149"/>
      <c r="G50" s="149"/>
      <c r="H50" s="149"/>
      <c r="I50" s="149"/>
      <c r="J50" s="189"/>
      <c r="K50" s="149"/>
      <c r="L50" s="149"/>
      <c r="M50" s="105"/>
      <c r="N50" s="105"/>
      <c r="O50" s="105"/>
      <c r="P50" s="82"/>
      <c r="Q50" s="82"/>
      <c r="R50" s="82"/>
      <c r="S50" s="186"/>
      <c r="T50" s="186"/>
      <c r="U50" s="186"/>
    </row>
    <row r="51" ht="15.75" customHeight="1">
      <c r="A51" s="94"/>
      <c r="B51" s="94"/>
      <c r="C51" s="94"/>
      <c r="D51" s="21"/>
      <c r="E51" s="21"/>
      <c r="F51" s="21"/>
      <c r="G51" s="98"/>
      <c r="H51" s="98"/>
      <c r="I51" s="98"/>
      <c r="J51" s="76"/>
      <c r="K51" s="76"/>
      <c r="L51" s="76"/>
      <c r="M51" s="82"/>
      <c r="N51" s="82"/>
      <c r="O51" s="82"/>
      <c r="P51" s="82"/>
      <c r="Q51" s="82"/>
      <c r="R51" s="82"/>
      <c r="S51" s="183"/>
      <c r="T51" s="183"/>
      <c r="U51" s="184"/>
    </row>
    <row r="52" ht="15.75" customHeight="1">
      <c r="A52" s="82"/>
      <c r="B52" s="82"/>
      <c r="C52" s="82"/>
      <c r="D52" s="105"/>
      <c r="E52" s="105"/>
      <c r="F52" s="105"/>
      <c r="G52" s="82"/>
      <c r="H52" s="82"/>
      <c r="I52" s="82"/>
      <c r="J52" s="149"/>
      <c r="K52" s="149"/>
      <c r="L52" s="149"/>
      <c r="M52" s="105"/>
      <c r="N52" s="105"/>
      <c r="O52" s="174"/>
      <c r="P52" s="82"/>
      <c r="Q52" s="82"/>
      <c r="R52" s="82"/>
      <c r="S52" s="186"/>
      <c r="T52" s="186"/>
      <c r="U52" s="186"/>
    </row>
    <row r="53" ht="15.75" customHeight="1"/>
    <row r="54" ht="15.75" customHeight="1"/>
    <row r="55" ht="15.75" customHeight="1">
      <c r="A55" s="60" t="s">
        <v>64</v>
      </c>
      <c r="B55" s="61"/>
    </row>
    <row r="56" ht="15.75" customHeight="1">
      <c r="A56" s="62"/>
      <c r="B56" s="63" t="s">
        <v>65</v>
      </c>
      <c r="C56" s="64"/>
      <c r="D56" s="65"/>
    </row>
    <row r="57" ht="15.75" customHeight="1">
      <c r="A57" s="66"/>
      <c r="B57" s="63" t="s">
        <v>66</v>
      </c>
      <c r="C57" s="64"/>
    </row>
    <row r="58" ht="15.75" customHeight="1">
      <c r="A58" s="67"/>
      <c r="B58" s="63" t="s">
        <v>67</v>
      </c>
      <c r="C58" s="64"/>
    </row>
    <row r="59" ht="15.75" customHeight="1">
      <c r="A59" s="68"/>
      <c r="B59" s="63" t="s">
        <v>68</v>
      </c>
      <c r="C59" s="6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5:$Y$35">
    <sortState ref="W5:Y35">
      <sortCondition ref="X5:X35"/>
      <sortCondition ref="W5:W35"/>
    </sortState>
  </autoFilter>
  <mergeCells count="104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S14:U14"/>
    <mergeCell ref="S18:U18"/>
    <mergeCell ref="A14:C14"/>
    <mergeCell ref="D14:F14"/>
    <mergeCell ref="G14:I14"/>
    <mergeCell ref="J14:L14"/>
    <mergeCell ref="M14:O14"/>
    <mergeCell ref="P14:R14"/>
    <mergeCell ref="G17:I17"/>
    <mergeCell ref="P37:R37"/>
    <mergeCell ref="S37:U37"/>
    <mergeCell ref="S42:U42"/>
    <mergeCell ref="P45:R45"/>
    <mergeCell ref="S45:U45"/>
    <mergeCell ref="J37:L37"/>
    <mergeCell ref="M37:O37"/>
    <mergeCell ref="G40:I40"/>
    <mergeCell ref="D45:F45"/>
    <mergeCell ref="G45:I45"/>
    <mergeCell ref="J45:L45"/>
    <mergeCell ref="M45:O45"/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30:C30"/>
    <mergeCell ref="D30:F30"/>
    <mergeCell ref="G30:I30"/>
    <mergeCell ref="J30:L30"/>
    <mergeCell ref="M30:O30"/>
    <mergeCell ref="P30:R30"/>
    <mergeCell ref="S30:U30"/>
    <mergeCell ref="J25:L25"/>
    <mergeCell ref="P25:R25"/>
    <mergeCell ref="A29:C29"/>
    <mergeCell ref="D29:F29"/>
    <mergeCell ref="G29:I29"/>
    <mergeCell ref="J29:L29"/>
    <mergeCell ref="M29:O29"/>
    <mergeCell ref="A38:C38"/>
    <mergeCell ref="D38:F38"/>
    <mergeCell ref="G38:I38"/>
    <mergeCell ref="J38:L38"/>
    <mergeCell ref="M38:O38"/>
    <mergeCell ref="P38:R38"/>
    <mergeCell ref="S38:U38"/>
    <mergeCell ref="P29:R29"/>
    <mergeCell ref="S29:U29"/>
    <mergeCell ref="K33:K35"/>
    <mergeCell ref="S34:U34"/>
    <mergeCell ref="A37:C37"/>
    <mergeCell ref="D37:F37"/>
    <mergeCell ref="G37:I37"/>
    <mergeCell ref="A46:C46"/>
    <mergeCell ref="B55:D55"/>
    <mergeCell ref="A45:C45"/>
    <mergeCell ref="D46:F46"/>
    <mergeCell ref="G46:I46"/>
    <mergeCell ref="J46:L46"/>
    <mergeCell ref="M46:O46"/>
    <mergeCell ref="P46:R46"/>
    <mergeCell ref="S46:U46"/>
  </mergeCells>
  <printOptions/>
  <pageMargins bottom="0.15" footer="0.0" header="0.0" left="0.46" right="0.34" top="0.28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57"/>
    <col customWidth="1" min="3" max="3" width="7.29"/>
    <col customWidth="1" min="4" max="4" width="16.86"/>
    <col customWidth="1" min="5" max="5" width="11.71"/>
    <col customWidth="1" min="6" max="6" width="6.86"/>
    <col customWidth="1" min="7" max="7" width="17.43"/>
    <col customWidth="1" min="8" max="8" width="11.43"/>
    <col customWidth="1" min="9" max="9" width="7.71"/>
    <col customWidth="1" min="10" max="10" width="25.43"/>
    <col customWidth="1" min="11" max="11" width="11.43"/>
    <col customWidth="1" min="12" max="12" width="7.0"/>
    <col customWidth="1" min="13" max="13" width="25.43"/>
    <col customWidth="1" min="14" max="14" width="11.43"/>
    <col customWidth="1" min="15" max="15" width="7.71"/>
    <col customWidth="1" min="16" max="16" width="15.29"/>
    <col customWidth="1" min="17" max="17" width="13.57"/>
    <col customWidth="1" min="18" max="18" width="9.29"/>
    <col customWidth="1" min="19" max="19" width="13.43"/>
    <col customWidth="1" min="20" max="20" width="10.86"/>
    <col customWidth="1" min="21" max="21" width="9.0"/>
    <col customWidth="1" min="22" max="23" width="8.71"/>
    <col customWidth="1" min="24" max="24" width="19.0"/>
    <col customWidth="1" min="25" max="25" width="12.29"/>
    <col customWidth="1" min="26" max="26" width="14.86"/>
    <col customWidth="1" min="27" max="27" width="8.71"/>
  </cols>
  <sheetData>
    <row r="1" ht="15.75" customHeight="1">
      <c r="A1" s="1" t="s">
        <v>168</v>
      </c>
      <c r="C1" s="2" t="s">
        <v>169</v>
      </c>
      <c r="F1" s="3"/>
      <c r="G1" s="4" t="s">
        <v>2</v>
      </c>
      <c r="Q1" s="3"/>
    </row>
    <row r="2" ht="15.75" customHeight="1">
      <c r="A2" s="6" t="s">
        <v>3</v>
      </c>
      <c r="C2" s="7" t="s">
        <v>170</v>
      </c>
      <c r="F2" s="3"/>
      <c r="Q2" s="3"/>
    </row>
    <row r="3" ht="15.75" customHeight="1">
      <c r="A3" s="6" t="s">
        <v>5</v>
      </c>
      <c r="C3" s="190"/>
      <c r="F3" s="3"/>
      <c r="Q3" s="3"/>
    </row>
    <row r="4" ht="15.75" customHeight="1">
      <c r="A4" s="191" t="s">
        <v>6</v>
      </c>
      <c r="B4" s="192"/>
      <c r="C4" s="193" t="s">
        <v>171</v>
      </c>
      <c r="D4" s="192"/>
      <c r="E4" s="3"/>
      <c r="F4" s="3"/>
      <c r="Q4" s="3"/>
    </row>
    <row r="5" ht="15.75" customHeight="1">
      <c r="A5" s="137"/>
      <c r="B5" s="137"/>
      <c r="C5" s="137"/>
      <c r="D5" s="137"/>
      <c r="E5" s="137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3"/>
    </row>
    <row r="6" ht="15.75" customHeight="1">
      <c r="A6" s="11" t="s">
        <v>7</v>
      </c>
      <c r="B6" s="12"/>
      <c r="C6" s="13"/>
      <c r="D6" s="11" t="s">
        <v>8</v>
      </c>
      <c r="E6" s="12"/>
      <c r="F6" s="13"/>
      <c r="G6" s="11" t="s">
        <v>9</v>
      </c>
      <c r="H6" s="12"/>
      <c r="I6" s="13"/>
      <c r="J6" s="11" t="s">
        <v>10</v>
      </c>
      <c r="K6" s="12"/>
      <c r="L6" s="13"/>
      <c r="M6" s="14" t="s">
        <v>11</v>
      </c>
      <c r="N6" s="12"/>
      <c r="O6" s="13"/>
      <c r="P6" s="11" t="s">
        <v>12</v>
      </c>
      <c r="Q6" s="12"/>
      <c r="R6" s="13"/>
      <c r="S6" s="14" t="s">
        <v>13</v>
      </c>
      <c r="T6" s="12"/>
      <c r="U6" s="13"/>
      <c r="W6" s="141" t="s">
        <v>15</v>
      </c>
      <c r="X6" s="142" t="s">
        <v>126</v>
      </c>
      <c r="Y6" s="143" t="s">
        <v>17</v>
      </c>
    </row>
    <row r="7" ht="15.75" customHeight="1">
      <c r="A7" s="15"/>
      <c r="B7" s="12"/>
      <c r="C7" s="13"/>
      <c r="D7" s="15"/>
      <c r="E7" s="12"/>
      <c r="F7" s="13"/>
      <c r="G7" s="16"/>
      <c r="H7" s="12"/>
      <c r="I7" s="13"/>
      <c r="J7" s="16"/>
      <c r="K7" s="12"/>
      <c r="L7" s="13"/>
      <c r="M7" s="17">
        <v>46143.0</v>
      </c>
      <c r="N7" s="12"/>
      <c r="O7" s="13"/>
      <c r="P7" s="16">
        <f>M7+1</f>
        <v>46144</v>
      </c>
      <c r="Q7" s="12"/>
      <c r="R7" s="13"/>
      <c r="S7" s="18">
        <f>P7+1</f>
        <v>46145</v>
      </c>
      <c r="T7" s="12"/>
      <c r="U7" s="13"/>
      <c r="W7" s="146">
        <v>17.0</v>
      </c>
      <c r="X7" s="194" t="s">
        <v>172</v>
      </c>
      <c r="Y7" s="146">
        <f t="shared" ref="Y7:Y34" si="1">COUNTIF($A$5:$U$47,X7)</f>
        <v>2</v>
      </c>
      <c r="Z7" s="75" t="s">
        <v>172</v>
      </c>
      <c r="AA7" s="75">
        <v>2.0</v>
      </c>
    </row>
    <row r="8" ht="15.75" customHeight="1">
      <c r="A8" s="76"/>
      <c r="B8" s="76"/>
      <c r="C8" s="76"/>
      <c r="D8" s="76"/>
      <c r="E8" s="76"/>
      <c r="F8" s="76"/>
      <c r="G8" s="76"/>
      <c r="H8" s="76"/>
      <c r="I8" s="76"/>
      <c r="J8" s="24"/>
      <c r="K8" s="24"/>
      <c r="L8" s="24"/>
      <c r="M8" s="82"/>
      <c r="N8" s="82"/>
      <c r="O8" s="82"/>
      <c r="P8" s="24"/>
      <c r="Q8" s="24"/>
      <c r="R8" s="24"/>
      <c r="S8" s="82"/>
      <c r="T8" s="82"/>
      <c r="U8" s="82"/>
      <c r="W8" s="146">
        <v>25.0</v>
      </c>
      <c r="X8" s="195" t="s">
        <v>173</v>
      </c>
      <c r="Y8" s="146">
        <f t="shared" si="1"/>
        <v>2</v>
      </c>
      <c r="Z8" s="75" t="s">
        <v>173</v>
      </c>
      <c r="AA8" s="75">
        <v>2.0</v>
      </c>
    </row>
    <row r="9" ht="15.75" customHeight="1">
      <c r="A9" s="94"/>
      <c r="B9" s="94"/>
      <c r="C9" s="94"/>
      <c r="D9" s="94"/>
      <c r="E9" s="94"/>
      <c r="F9" s="94"/>
      <c r="G9" s="94"/>
      <c r="H9" s="94"/>
      <c r="I9" s="94"/>
      <c r="J9" s="24"/>
      <c r="K9" s="24"/>
      <c r="L9" s="24"/>
      <c r="M9" s="196" t="s">
        <v>172</v>
      </c>
      <c r="N9" s="196" t="s">
        <v>110</v>
      </c>
      <c r="O9" s="196" t="s">
        <v>34</v>
      </c>
      <c r="P9" s="44"/>
      <c r="Q9" s="21"/>
      <c r="R9" s="82"/>
      <c r="S9" s="82"/>
      <c r="T9" s="82"/>
      <c r="U9" s="82"/>
      <c r="W9" s="146"/>
      <c r="X9" s="194" t="s">
        <v>174</v>
      </c>
      <c r="Y9" s="146">
        <f t="shared" si="1"/>
        <v>2</v>
      </c>
      <c r="Z9" s="75" t="s">
        <v>174</v>
      </c>
      <c r="AA9" s="75">
        <v>2.0</v>
      </c>
    </row>
    <row r="10" ht="15.75" customHeight="1">
      <c r="A10" s="105"/>
      <c r="B10" s="105"/>
      <c r="C10" s="105"/>
      <c r="D10" s="105"/>
      <c r="E10" s="105"/>
      <c r="F10" s="105"/>
      <c r="G10" s="24"/>
      <c r="H10" s="24"/>
      <c r="I10" s="24"/>
      <c r="J10" s="24"/>
      <c r="K10" s="24"/>
      <c r="L10" s="24"/>
      <c r="M10" s="32" t="s">
        <v>175</v>
      </c>
      <c r="N10" s="196" t="s">
        <v>49</v>
      </c>
      <c r="O10" s="196" t="s">
        <v>34</v>
      </c>
      <c r="P10" s="197" t="s">
        <v>14</v>
      </c>
      <c r="Q10" s="12"/>
      <c r="R10" s="13"/>
      <c r="S10" s="198" t="s">
        <v>14</v>
      </c>
      <c r="T10" s="12"/>
      <c r="U10" s="13"/>
      <c r="W10" s="146">
        <v>21.0</v>
      </c>
      <c r="X10" s="145" t="s">
        <v>176</v>
      </c>
      <c r="Y10" s="146">
        <f t="shared" si="1"/>
        <v>2</v>
      </c>
      <c r="Z10" s="75" t="s">
        <v>176</v>
      </c>
      <c r="AA10" s="75">
        <v>2.0</v>
      </c>
    </row>
    <row r="11" ht="15.75" customHeight="1">
      <c r="A11" s="105"/>
      <c r="B11" s="105"/>
      <c r="C11" s="105"/>
      <c r="D11" s="105"/>
      <c r="E11" s="105"/>
      <c r="F11" s="105"/>
      <c r="G11" s="24"/>
      <c r="H11" s="24"/>
      <c r="I11" s="24"/>
      <c r="J11" s="24"/>
      <c r="K11" s="24"/>
      <c r="L11" s="24"/>
      <c r="M11" s="196" t="s">
        <v>174</v>
      </c>
      <c r="N11" s="196" t="s">
        <v>33</v>
      </c>
      <c r="O11" s="196" t="s">
        <v>34</v>
      </c>
      <c r="P11" s="24"/>
      <c r="Q11" s="24"/>
      <c r="R11" s="24"/>
      <c r="S11" s="82"/>
      <c r="T11" s="82"/>
      <c r="U11" s="82"/>
      <c r="W11" s="146">
        <v>6.0</v>
      </c>
      <c r="X11" s="145" t="s">
        <v>177</v>
      </c>
      <c r="Y11" s="146">
        <f t="shared" si="1"/>
        <v>2</v>
      </c>
      <c r="Z11" s="75" t="s">
        <v>177</v>
      </c>
      <c r="AA11" s="75">
        <v>3.0</v>
      </c>
    </row>
    <row r="12" ht="15.75" customHeight="1">
      <c r="A12" s="105"/>
      <c r="B12" s="105"/>
      <c r="C12" s="105"/>
      <c r="D12" s="105"/>
      <c r="E12" s="105"/>
      <c r="F12" s="105"/>
      <c r="G12" s="105"/>
      <c r="H12" s="105"/>
      <c r="I12" s="105"/>
      <c r="J12" s="24"/>
      <c r="K12" s="24"/>
      <c r="L12" s="24"/>
      <c r="M12" s="21" t="s">
        <v>178</v>
      </c>
      <c r="N12" s="196" t="s">
        <v>99</v>
      </c>
      <c r="O12" s="196" t="s">
        <v>34</v>
      </c>
      <c r="P12" s="24"/>
      <c r="Q12" s="24"/>
      <c r="R12" s="24"/>
      <c r="S12" s="82"/>
      <c r="T12" s="82"/>
      <c r="U12" s="82"/>
      <c r="W12" s="146">
        <v>7.0</v>
      </c>
      <c r="X12" s="145" t="s">
        <v>179</v>
      </c>
      <c r="Y12" s="146">
        <f t="shared" si="1"/>
        <v>4</v>
      </c>
      <c r="Z12" s="75" t="s">
        <v>179</v>
      </c>
      <c r="AA12" s="75">
        <v>5.0</v>
      </c>
    </row>
    <row r="13" ht="15.75" customHeight="1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21" t="s">
        <v>180</v>
      </c>
      <c r="N13" s="196" t="s">
        <v>78</v>
      </c>
      <c r="O13" s="196" t="s">
        <v>34</v>
      </c>
      <c r="P13" s="105"/>
      <c r="Q13" s="105"/>
      <c r="R13" s="105"/>
      <c r="S13" s="82"/>
      <c r="T13" s="82"/>
      <c r="U13" s="82"/>
      <c r="W13" s="146"/>
      <c r="X13" s="194" t="s">
        <v>181</v>
      </c>
      <c r="Y13" s="146">
        <f t="shared" si="1"/>
        <v>3</v>
      </c>
      <c r="Z13" s="75" t="s">
        <v>181</v>
      </c>
      <c r="AA13" s="75">
        <v>2.0</v>
      </c>
    </row>
    <row r="14" ht="15.75" customHeight="1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82"/>
      <c r="N14" s="82"/>
      <c r="O14" s="82"/>
      <c r="P14" s="24"/>
      <c r="Q14" s="24"/>
      <c r="R14" s="24"/>
      <c r="S14" s="82"/>
      <c r="T14" s="82"/>
      <c r="U14" s="82"/>
      <c r="W14" s="146"/>
      <c r="X14" s="194" t="s">
        <v>182</v>
      </c>
      <c r="Y14" s="146">
        <f t="shared" si="1"/>
        <v>4</v>
      </c>
      <c r="Z14" s="75" t="s">
        <v>182</v>
      </c>
      <c r="AA14" s="75">
        <v>4.0</v>
      </c>
    </row>
    <row r="15" ht="15.75" customHeight="1">
      <c r="A15" s="84" t="s">
        <v>105</v>
      </c>
      <c r="B15" s="12"/>
      <c r="C15" s="13"/>
      <c r="D15" s="84" t="s">
        <v>8</v>
      </c>
      <c r="E15" s="12"/>
      <c r="F15" s="13"/>
      <c r="G15" s="84" t="s">
        <v>106</v>
      </c>
      <c r="H15" s="12"/>
      <c r="I15" s="13"/>
      <c r="J15" s="84" t="s">
        <v>10</v>
      </c>
      <c r="K15" s="12"/>
      <c r="L15" s="13"/>
      <c r="M15" s="84" t="s">
        <v>74</v>
      </c>
      <c r="N15" s="12"/>
      <c r="O15" s="13"/>
      <c r="P15" s="84" t="s">
        <v>75</v>
      </c>
      <c r="Q15" s="12"/>
      <c r="R15" s="13"/>
      <c r="S15" s="199" t="s">
        <v>13</v>
      </c>
      <c r="T15" s="12"/>
      <c r="U15" s="13"/>
      <c r="W15" s="146">
        <v>20.0</v>
      </c>
      <c r="X15" s="145" t="s">
        <v>178</v>
      </c>
      <c r="Y15" s="146">
        <f t="shared" si="1"/>
        <v>2</v>
      </c>
      <c r="Z15" s="75" t="s">
        <v>178</v>
      </c>
      <c r="AA15" s="75">
        <v>2.0</v>
      </c>
    </row>
    <row r="16" ht="15.75" customHeight="1">
      <c r="A16" s="86">
        <f>S7+1</f>
        <v>46146</v>
      </c>
      <c r="B16" s="12"/>
      <c r="C16" s="13"/>
      <c r="D16" s="86">
        <f>A16+1</f>
        <v>46147</v>
      </c>
      <c r="E16" s="12"/>
      <c r="F16" s="13"/>
      <c r="G16" s="86">
        <f>D16+1</f>
        <v>46148</v>
      </c>
      <c r="H16" s="12"/>
      <c r="I16" s="13"/>
      <c r="J16" s="86">
        <f>G16+1</f>
        <v>46149</v>
      </c>
      <c r="K16" s="12"/>
      <c r="L16" s="13"/>
      <c r="M16" s="87">
        <f>J16+1</f>
        <v>46150</v>
      </c>
      <c r="N16" s="12"/>
      <c r="O16" s="13"/>
      <c r="P16" s="86">
        <f>M16+1</f>
        <v>46151</v>
      </c>
      <c r="Q16" s="12"/>
      <c r="R16" s="13"/>
      <c r="S16" s="88">
        <f>P16+1</f>
        <v>46152</v>
      </c>
      <c r="T16" s="12"/>
      <c r="U16" s="13"/>
      <c r="W16" s="146">
        <v>9.0</v>
      </c>
      <c r="X16" s="30" t="s">
        <v>180</v>
      </c>
      <c r="Y16" s="146">
        <f t="shared" si="1"/>
        <v>2</v>
      </c>
      <c r="Z16" s="75" t="s">
        <v>180</v>
      </c>
      <c r="AA16" s="75">
        <v>2.0</v>
      </c>
    </row>
    <row r="17" ht="15.75" customHeight="1">
      <c r="A17" s="200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76"/>
      <c r="Q17" s="76"/>
      <c r="R17" s="76"/>
      <c r="S17" s="24"/>
      <c r="T17" s="24"/>
      <c r="U17" s="24"/>
      <c r="W17" s="146">
        <v>16.0</v>
      </c>
      <c r="X17" s="145" t="s">
        <v>183</v>
      </c>
      <c r="Y17" s="146">
        <f t="shared" si="1"/>
        <v>2</v>
      </c>
      <c r="Z17" s="75" t="s">
        <v>183</v>
      </c>
      <c r="AA17" s="75">
        <v>2.0</v>
      </c>
    </row>
    <row r="18" ht="15.75" customHeight="1">
      <c r="A18" s="21" t="s">
        <v>184</v>
      </c>
      <c r="B18" s="21" t="s">
        <v>185</v>
      </c>
      <c r="C18" s="22"/>
      <c r="D18" s="82" t="s">
        <v>179</v>
      </c>
      <c r="E18" s="82" t="s">
        <v>186</v>
      </c>
      <c r="F18" s="82" t="s">
        <v>25</v>
      </c>
      <c r="G18" s="163" t="s">
        <v>187</v>
      </c>
      <c r="H18" s="201"/>
      <c r="I18" s="201" t="s">
        <v>27</v>
      </c>
      <c r="J18" s="32" t="s">
        <v>175</v>
      </c>
      <c r="K18" s="196" t="s">
        <v>78</v>
      </c>
      <c r="L18" s="196" t="s">
        <v>34</v>
      </c>
      <c r="M18" s="80" t="s">
        <v>188</v>
      </c>
      <c r="N18" s="23"/>
      <c r="O18" s="80" t="s">
        <v>34</v>
      </c>
      <c r="P18" s="97" t="s">
        <v>189</v>
      </c>
      <c r="Q18" s="149" t="s">
        <v>190</v>
      </c>
      <c r="R18" s="111" t="s">
        <v>25</v>
      </c>
      <c r="S18" s="82"/>
      <c r="T18" s="82"/>
      <c r="U18" s="82"/>
      <c r="W18" s="146">
        <v>5.0</v>
      </c>
      <c r="X18" s="145" t="s">
        <v>191</v>
      </c>
      <c r="Y18" s="146">
        <f t="shared" si="1"/>
        <v>4</v>
      </c>
      <c r="Z18" s="75" t="s">
        <v>191</v>
      </c>
      <c r="AA18" s="75">
        <v>4.0</v>
      </c>
    </row>
    <row r="19" ht="15.75" customHeight="1">
      <c r="A19" s="202" t="s">
        <v>192</v>
      </c>
      <c r="B19" s="202" t="s">
        <v>99</v>
      </c>
      <c r="C19" s="202" t="s">
        <v>34</v>
      </c>
      <c r="D19" s="112" t="s">
        <v>182</v>
      </c>
      <c r="E19" s="113" t="s">
        <v>78</v>
      </c>
      <c r="F19" s="113" t="s">
        <v>114</v>
      </c>
      <c r="G19" s="203" t="s">
        <v>193</v>
      </c>
      <c r="H19" s="204" t="s">
        <v>33</v>
      </c>
      <c r="I19" s="203" t="s">
        <v>34</v>
      </c>
      <c r="J19" s="32" t="s">
        <v>55</v>
      </c>
      <c r="K19" s="196" t="s">
        <v>56</v>
      </c>
      <c r="L19" s="196" t="s">
        <v>27</v>
      </c>
      <c r="M19" s="80" t="s">
        <v>177</v>
      </c>
      <c r="N19" s="205" t="s">
        <v>155</v>
      </c>
      <c r="O19" s="80" t="s">
        <v>27</v>
      </c>
      <c r="P19" s="105" t="s">
        <v>194</v>
      </c>
      <c r="Q19" s="105" t="s">
        <v>195</v>
      </c>
      <c r="R19" s="105" t="s">
        <v>25</v>
      </c>
      <c r="S19" s="197" t="s">
        <v>14</v>
      </c>
      <c r="T19" s="12"/>
      <c r="U19" s="13"/>
      <c r="W19" s="146">
        <v>13.0</v>
      </c>
      <c r="X19" s="145" t="s">
        <v>55</v>
      </c>
      <c r="Y19" s="146">
        <f t="shared" si="1"/>
        <v>2</v>
      </c>
      <c r="Z19" s="75" t="s">
        <v>55</v>
      </c>
      <c r="AA19" s="75">
        <v>2.0</v>
      </c>
    </row>
    <row r="20" ht="15.75" customHeight="1">
      <c r="A20" s="21" t="s">
        <v>196</v>
      </c>
      <c r="B20" s="40" t="s">
        <v>197</v>
      </c>
      <c r="C20" s="21" t="s">
        <v>27</v>
      </c>
      <c r="D20" s="80" t="s">
        <v>198</v>
      </c>
      <c r="E20" s="23" t="s">
        <v>141</v>
      </c>
      <c r="F20" s="112" t="s">
        <v>34</v>
      </c>
      <c r="G20" s="121" t="s">
        <v>188</v>
      </c>
      <c r="H20" s="206" t="s">
        <v>24</v>
      </c>
      <c r="I20" s="121" t="s">
        <v>34</v>
      </c>
      <c r="J20" s="22"/>
      <c r="K20" s="22"/>
      <c r="L20" s="22"/>
      <c r="M20" s="76" t="s">
        <v>199</v>
      </c>
      <c r="N20" s="82" t="s">
        <v>200</v>
      </c>
      <c r="O20" s="82" t="s">
        <v>27</v>
      </c>
      <c r="P20" s="94" t="s">
        <v>173</v>
      </c>
      <c r="Q20" s="94" t="s">
        <v>201</v>
      </c>
      <c r="R20" s="94" t="s">
        <v>27</v>
      </c>
      <c r="S20" s="82"/>
      <c r="T20" s="82"/>
      <c r="U20" s="82"/>
      <c r="W20" s="146">
        <v>1.0</v>
      </c>
      <c r="X20" s="30" t="s">
        <v>202</v>
      </c>
      <c r="Y20" s="146">
        <f t="shared" si="1"/>
        <v>2</v>
      </c>
      <c r="Z20" s="75" t="s">
        <v>202</v>
      </c>
      <c r="AA20" s="75">
        <v>2.0</v>
      </c>
    </row>
    <row r="21" ht="15.75" customHeight="1">
      <c r="A21" s="76" t="s">
        <v>176</v>
      </c>
      <c r="B21" s="76" t="s">
        <v>97</v>
      </c>
      <c r="C21" s="76" t="s">
        <v>27</v>
      </c>
      <c r="D21" s="148" t="s">
        <v>191</v>
      </c>
      <c r="E21" s="148" t="s">
        <v>123</v>
      </c>
      <c r="F21" s="148" t="s">
        <v>27</v>
      </c>
      <c r="J21" s="76"/>
      <c r="K21" s="76"/>
      <c r="L21" s="76"/>
      <c r="P21" s="24"/>
      <c r="Q21" s="24"/>
      <c r="R21" s="24"/>
      <c r="S21" s="105"/>
      <c r="T21" s="105"/>
      <c r="U21" s="105"/>
      <c r="W21" s="146"/>
      <c r="X21" s="30" t="s">
        <v>196</v>
      </c>
      <c r="Y21" s="146">
        <f t="shared" si="1"/>
        <v>5</v>
      </c>
      <c r="Z21" s="75" t="s">
        <v>203</v>
      </c>
      <c r="AA21" s="75">
        <v>5.0</v>
      </c>
    </row>
    <row r="22" ht="15.75" customHeight="1">
      <c r="A22" s="106" t="s">
        <v>105</v>
      </c>
      <c r="B22" s="12"/>
      <c r="C22" s="13"/>
      <c r="D22" s="106" t="s">
        <v>8</v>
      </c>
      <c r="E22" s="12"/>
      <c r="F22" s="13"/>
      <c r="G22" s="106" t="s">
        <v>106</v>
      </c>
      <c r="H22" s="12"/>
      <c r="I22" s="13"/>
      <c r="J22" s="107" t="s">
        <v>10</v>
      </c>
      <c r="K22" s="12"/>
      <c r="L22" s="13"/>
      <c r="M22" s="106" t="s">
        <v>11</v>
      </c>
      <c r="N22" s="12"/>
      <c r="O22" s="13"/>
      <c r="P22" s="106" t="s">
        <v>75</v>
      </c>
      <c r="Q22" s="12"/>
      <c r="R22" s="13"/>
      <c r="S22" s="107" t="s">
        <v>107</v>
      </c>
      <c r="T22" s="12"/>
      <c r="U22" s="13"/>
      <c r="W22" s="146"/>
      <c r="X22" s="207" t="s">
        <v>198</v>
      </c>
      <c r="Y22" s="146">
        <f t="shared" si="1"/>
        <v>2</v>
      </c>
      <c r="Z22" s="75" t="s">
        <v>204</v>
      </c>
      <c r="AA22" s="75">
        <v>3.0</v>
      </c>
    </row>
    <row r="23" ht="15.75" customHeight="1">
      <c r="A23" s="109">
        <f>S16+1</f>
        <v>46153</v>
      </c>
      <c r="B23" s="12"/>
      <c r="C23" s="13"/>
      <c r="D23" s="109">
        <f>A23+1</f>
        <v>46154</v>
      </c>
      <c r="E23" s="12"/>
      <c r="F23" s="13"/>
      <c r="G23" s="109">
        <f>D23+1</f>
        <v>46155</v>
      </c>
      <c r="H23" s="12"/>
      <c r="I23" s="13"/>
      <c r="J23" s="110">
        <f>G23+1</f>
        <v>46156</v>
      </c>
      <c r="K23" s="12"/>
      <c r="L23" s="13"/>
      <c r="M23" s="109">
        <f>J23+1</f>
        <v>46157</v>
      </c>
      <c r="N23" s="12"/>
      <c r="O23" s="13"/>
      <c r="P23" s="109">
        <f>M23+1</f>
        <v>46158</v>
      </c>
      <c r="Q23" s="12"/>
      <c r="R23" s="13"/>
      <c r="S23" s="110">
        <f>P23+1</f>
        <v>46159</v>
      </c>
      <c r="T23" s="12"/>
      <c r="U23" s="13"/>
      <c r="W23" s="146">
        <v>2.0</v>
      </c>
      <c r="X23" s="30" t="s">
        <v>194</v>
      </c>
      <c r="Y23" s="146">
        <f t="shared" si="1"/>
        <v>2</v>
      </c>
      <c r="Z23" s="75" t="s">
        <v>194</v>
      </c>
      <c r="AA23" s="75">
        <v>2.0</v>
      </c>
    </row>
    <row r="24" ht="15.75" customHeight="1">
      <c r="A24" s="82"/>
      <c r="B24" s="105"/>
      <c r="C24" s="105"/>
      <c r="D24" s="105"/>
      <c r="E24" s="105"/>
      <c r="F24" s="105"/>
      <c r="G24" s="94"/>
      <c r="H24" s="94"/>
      <c r="I24" s="94"/>
      <c r="J24" s="24"/>
      <c r="K24" s="24"/>
      <c r="L24" s="24"/>
      <c r="M24" s="32"/>
      <c r="N24" s="196"/>
      <c r="O24" s="196"/>
      <c r="P24" s="20"/>
      <c r="Q24" s="20"/>
      <c r="R24" s="20"/>
      <c r="S24" s="82"/>
      <c r="T24" s="82"/>
      <c r="U24" s="82"/>
      <c r="W24" s="146">
        <v>12.0</v>
      </c>
      <c r="X24" s="145" t="s">
        <v>175</v>
      </c>
      <c r="Y24" s="146">
        <f t="shared" si="1"/>
        <v>4</v>
      </c>
      <c r="Z24" s="75" t="s">
        <v>175</v>
      </c>
      <c r="AA24" s="75">
        <v>4.0</v>
      </c>
    </row>
    <row r="25" ht="15.75" customHeight="1">
      <c r="A25" s="76"/>
      <c r="B25" s="76"/>
      <c r="C25" s="76"/>
      <c r="D25" s="105"/>
      <c r="E25" s="105"/>
      <c r="F25" s="105"/>
      <c r="G25" s="94"/>
      <c r="H25" s="94"/>
      <c r="I25" s="94"/>
      <c r="J25" s="76"/>
      <c r="K25" s="76"/>
      <c r="L25" s="76"/>
      <c r="M25" s="24"/>
      <c r="N25" s="24"/>
      <c r="O25" s="24"/>
      <c r="P25" s="20"/>
      <c r="Q25" s="20"/>
      <c r="R25" s="20"/>
      <c r="S25" s="82"/>
      <c r="T25" s="82"/>
      <c r="U25" s="82"/>
      <c r="W25" s="146">
        <v>11.0</v>
      </c>
      <c r="X25" s="145" t="s">
        <v>184</v>
      </c>
      <c r="Y25" s="146">
        <f t="shared" si="1"/>
        <v>4</v>
      </c>
      <c r="Z25" s="75" t="s">
        <v>184</v>
      </c>
      <c r="AA25" s="75">
        <v>4.0</v>
      </c>
    </row>
    <row r="26" ht="15.75" customHeight="1">
      <c r="A26" s="21" t="s">
        <v>184</v>
      </c>
      <c r="B26" s="21" t="s">
        <v>185</v>
      </c>
      <c r="C26" s="22"/>
      <c r="D26" s="148" t="s">
        <v>181</v>
      </c>
      <c r="E26" s="148"/>
      <c r="F26" s="148" t="s">
        <v>27</v>
      </c>
      <c r="G26" s="24"/>
      <c r="H26" s="24"/>
      <c r="I26" s="24"/>
      <c r="J26" s="24"/>
      <c r="K26" s="24"/>
      <c r="L26" s="24"/>
      <c r="M26" s="203" t="s">
        <v>193</v>
      </c>
      <c r="N26" s="203" t="s">
        <v>110</v>
      </c>
      <c r="O26" s="203" t="s">
        <v>34</v>
      </c>
      <c r="P26" s="97" t="s">
        <v>189</v>
      </c>
      <c r="Q26" s="149" t="s">
        <v>190</v>
      </c>
      <c r="R26" s="111" t="s">
        <v>25</v>
      </c>
      <c r="S26" s="197" t="s">
        <v>14</v>
      </c>
      <c r="T26" s="12"/>
      <c r="U26" s="13"/>
      <c r="W26" s="146">
        <v>10.0</v>
      </c>
      <c r="X26" s="145" t="s">
        <v>188</v>
      </c>
      <c r="Y26" s="146">
        <f t="shared" si="1"/>
        <v>6</v>
      </c>
      <c r="Z26" s="75" t="s">
        <v>188</v>
      </c>
      <c r="AA26" s="75">
        <v>4.0</v>
      </c>
    </row>
    <row r="27" ht="15.75" customHeight="1">
      <c r="A27" s="21" t="s">
        <v>196</v>
      </c>
      <c r="B27" s="21"/>
      <c r="C27" s="21" t="s">
        <v>27</v>
      </c>
      <c r="D27" s="51" t="s">
        <v>196</v>
      </c>
      <c r="E27" s="51" t="s">
        <v>36</v>
      </c>
      <c r="F27" s="51" t="s">
        <v>27</v>
      </c>
      <c r="G27" s="159" t="s">
        <v>205</v>
      </c>
      <c r="H27" s="12"/>
      <c r="I27" s="13"/>
      <c r="J27" s="197" t="s">
        <v>14</v>
      </c>
      <c r="K27" s="12"/>
      <c r="L27" s="13"/>
      <c r="M27" s="80" t="s">
        <v>188</v>
      </c>
      <c r="N27" s="23" t="s">
        <v>24</v>
      </c>
      <c r="O27" s="80" t="s">
        <v>34</v>
      </c>
      <c r="P27" s="163" t="s">
        <v>183</v>
      </c>
      <c r="Q27" s="163" t="s">
        <v>38</v>
      </c>
      <c r="R27" s="171" t="s">
        <v>34</v>
      </c>
      <c r="S27" s="82"/>
      <c r="T27" s="82"/>
      <c r="U27" s="82"/>
      <c r="W27" s="146">
        <v>24.0</v>
      </c>
      <c r="X27" s="145" t="s">
        <v>199</v>
      </c>
      <c r="Y27" s="146">
        <f t="shared" si="1"/>
        <v>2</v>
      </c>
      <c r="Z27" s="75" t="s">
        <v>199</v>
      </c>
      <c r="AA27" s="75">
        <v>2.0</v>
      </c>
    </row>
    <row r="28" ht="15.75" customHeight="1">
      <c r="A28" s="208" t="s">
        <v>181</v>
      </c>
      <c r="B28" s="208" t="s">
        <v>99</v>
      </c>
      <c r="C28" s="208" t="s">
        <v>27</v>
      </c>
      <c r="D28" s="112" t="s">
        <v>182</v>
      </c>
      <c r="E28" s="113" t="s">
        <v>78</v>
      </c>
      <c r="F28" s="112" t="s">
        <v>25</v>
      </c>
      <c r="G28" s="24"/>
      <c r="H28" s="24"/>
      <c r="I28" s="24"/>
      <c r="J28" s="24"/>
      <c r="K28" s="24"/>
      <c r="L28" s="24"/>
      <c r="M28" s="105" t="s">
        <v>179</v>
      </c>
      <c r="N28" s="105" t="s">
        <v>165</v>
      </c>
      <c r="O28" s="105" t="s">
        <v>25</v>
      </c>
      <c r="P28" s="209" t="s">
        <v>202</v>
      </c>
      <c r="Q28" s="98" t="s">
        <v>116</v>
      </c>
      <c r="R28" s="98" t="s">
        <v>27</v>
      </c>
      <c r="S28" s="105"/>
      <c r="T28" s="105"/>
      <c r="U28" s="105"/>
      <c r="W28" s="146"/>
      <c r="X28" s="194" t="s">
        <v>193</v>
      </c>
      <c r="Y28" s="146">
        <f t="shared" si="1"/>
        <v>4</v>
      </c>
      <c r="Z28" s="75" t="s">
        <v>193</v>
      </c>
      <c r="AA28" s="75">
        <v>4.0</v>
      </c>
    </row>
    <row r="29" ht="15.75" customHeight="1">
      <c r="A29" s="51" t="s">
        <v>187</v>
      </c>
      <c r="B29" s="115" t="s">
        <v>197</v>
      </c>
      <c r="C29" s="114" t="s">
        <v>27</v>
      </c>
      <c r="D29" s="209" t="s">
        <v>191</v>
      </c>
      <c r="E29" s="209" t="s">
        <v>123</v>
      </c>
      <c r="F29" s="209" t="s">
        <v>27</v>
      </c>
      <c r="G29" s="24"/>
      <c r="H29" s="24"/>
      <c r="I29" s="24"/>
      <c r="J29" s="104" t="s">
        <v>0</v>
      </c>
      <c r="K29" s="76"/>
      <c r="L29" s="76"/>
      <c r="M29" s="76"/>
      <c r="N29" s="76"/>
      <c r="O29" s="76"/>
      <c r="P29" s="24"/>
      <c r="Q29" s="24"/>
      <c r="R29" s="24"/>
      <c r="S29" s="82"/>
      <c r="T29" s="82"/>
      <c r="U29" s="82"/>
      <c r="W29" s="146">
        <v>4.0</v>
      </c>
      <c r="X29" s="210" t="s">
        <v>158</v>
      </c>
      <c r="Y29" s="146">
        <f t="shared" si="1"/>
        <v>0</v>
      </c>
      <c r="Z29" s="75" t="s">
        <v>158</v>
      </c>
      <c r="AA29" s="75">
        <v>2.0</v>
      </c>
    </row>
    <row r="30" ht="15.75" customHeight="1">
      <c r="A30" s="76" t="s">
        <v>206</v>
      </c>
      <c r="B30" s="76" t="s">
        <v>195</v>
      </c>
      <c r="C30" s="76" t="s">
        <v>25</v>
      </c>
      <c r="D30" s="82"/>
      <c r="E30" s="82"/>
      <c r="F30" s="82"/>
      <c r="G30" s="82"/>
      <c r="H30" s="82"/>
      <c r="I30" s="82"/>
      <c r="J30" s="21"/>
      <c r="K30" s="196"/>
      <c r="L30" s="196"/>
      <c r="M30" s="76"/>
      <c r="N30" s="76"/>
      <c r="O30" s="76"/>
      <c r="P30" s="179"/>
      <c r="Q30" s="179"/>
      <c r="R30" s="179"/>
      <c r="S30" s="105"/>
      <c r="T30" s="105"/>
      <c r="U30" s="105"/>
      <c r="W30" s="146">
        <v>22.0</v>
      </c>
      <c r="X30" s="211" t="s">
        <v>206</v>
      </c>
      <c r="Y30" s="146">
        <f t="shared" si="1"/>
        <v>2</v>
      </c>
      <c r="Z30" s="75" t="s">
        <v>206</v>
      </c>
      <c r="AA30" s="75">
        <v>2.0</v>
      </c>
    </row>
    <row r="31" ht="15.75" customHeight="1">
      <c r="A31" s="84" t="s">
        <v>105</v>
      </c>
      <c r="B31" s="12"/>
      <c r="C31" s="13"/>
      <c r="D31" s="84" t="s">
        <v>8</v>
      </c>
      <c r="E31" s="12"/>
      <c r="F31" s="13"/>
      <c r="G31" s="84" t="s">
        <v>106</v>
      </c>
      <c r="H31" s="12"/>
      <c r="I31" s="13"/>
      <c r="J31" s="84" t="s">
        <v>10</v>
      </c>
      <c r="K31" s="12"/>
      <c r="L31" s="13"/>
      <c r="M31" s="84" t="s">
        <v>11</v>
      </c>
      <c r="N31" s="12"/>
      <c r="O31" s="13"/>
      <c r="P31" s="84" t="s">
        <v>75</v>
      </c>
      <c r="Q31" s="12"/>
      <c r="R31" s="13"/>
      <c r="S31" s="85" t="s">
        <v>107</v>
      </c>
      <c r="T31" s="12"/>
      <c r="U31" s="13"/>
      <c r="W31" s="212"/>
      <c r="X31" s="94" t="s">
        <v>193</v>
      </c>
      <c r="Y31" s="146">
        <f t="shared" si="1"/>
        <v>4</v>
      </c>
    </row>
    <row r="32" ht="15.75" customHeight="1">
      <c r="A32" s="87">
        <f>S23+1</f>
        <v>46160</v>
      </c>
      <c r="B32" s="12"/>
      <c r="C32" s="13"/>
      <c r="D32" s="86">
        <f>A32+1</f>
        <v>46161</v>
      </c>
      <c r="E32" s="12"/>
      <c r="F32" s="13"/>
      <c r="G32" s="86">
        <f>D32+1</f>
        <v>46162</v>
      </c>
      <c r="H32" s="12"/>
      <c r="I32" s="13"/>
      <c r="J32" s="86">
        <f>G32+1</f>
        <v>46163</v>
      </c>
      <c r="K32" s="12"/>
      <c r="L32" s="13"/>
      <c r="M32" s="86">
        <f>J32+1</f>
        <v>46164</v>
      </c>
      <c r="N32" s="12"/>
      <c r="O32" s="13"/>
      <c r="P32" s="86">
        <f>M32+1</f>
        <v>46165</v>
      </c>
      <c r="Q32" s="12"/>
      <c r="R32" s="13"/>
      <c r="S32" s="88">
        <f>P32+1</f>
        <v>46166</v>
      </c>
      <c r="T32" s="12"/>
      <c r="U32" s="13"/>
      <c r="W32" s="212"/>
      <c r="X32" s="213" t="s">
        <v>192</v>
      </c>
      <c r="Y32" s="146">
        <f t="shared" si="1"/>
        <v>2</v>
      </c>
    </row>
    <row r="33" ht="15.75" customHeight="1">
      <c r="G33" s="105"/>
      <c r="H33" s="105"/>
      <c r="I33" s="105"/>
      <c r="M33" s="24"/>
      <c r="N33" s="24"/>
      <c r="O33" s="24"/>
      <c r="P33" s="76"/>
      <c r="Q33" s="76"/>
      <c r="R33" s="76"/>
      <c r="S33" s="82"/>
      <c r="T33" s="82"/>
      <c r="U33" s="82"/>
      <c r="W33" s="212"/>
      <c r="X33" s="211"/>
      <c r="Y33" s="146">
        <f t="shared" si="1"/>
        <v>0</v>
      </c>
    </row>
    <row r="34" ht="15.75" customHeight="1">
      <c r="A34" s="21" t="s">
        <v>184</v>
      </c>
      <c r="B34" s="21" t="s">
        <v>185</v>
      </c>
      <c r="C34" s="22"/>
      <c r="D34" s="82" t="s">
        <v>179</v>
      </c>
      <c r="E34" s="82" t="s">
        <v>186</v>
      </c>
      <c r="F34" s="82" t="s">
        <v>25</v>
      </c>
      <c r="G34" s="202" t="s">
        <v>192</v>
      </c>
      <c r="H34" s="202" t="s">
        <v>52</v>
      </c>
      <c r="I34" s="202" t="s">
        <v>34</v>
      </c>
      <c r="J34" s="32" t="s">
        <v>175</v>
      </c>
      <c r="K34" s="196" t="s">
        <v>78</v>
      </c>
      <c r="L34" s="196" t="s">
        <v>34</v>
      </c>
      <c r="M34" s="163" t="s">
        <v>187</v>
      </c>
      <c r="N34" s="214" t="s">
        <v>99</v>
      </c>
      <c r="O34" s="201" t="s">
        <v>27</v>
      </c>
      <c r="P34" s="97" t="s">
        <v>189</v>
      </c>
      <c r="Q34" s="149" t="s">
        <v>190</v>
      </c>
      <c r="R34" s="111" t="s">
        <v>25</v>
      </c>
      <c r="S34" s="197" t="s">
        <v>14</v>
      </c>
      <c r="T34" s="12"/>
      <c r="U34" s="13"/>
      <c r="W34" s="212"/>
      <c r="X34" s="211"/>
      <c r="Y34" s="146">
        <f t="shared" si="1"/>
        <v>0</v>
      </c>
    </row>
    <row r="35" ht="15.75" customHeight="1">
      <c r="A35" s="21" t="s">
        <v>196</v>
      </c>
      <c r="B35" s="21" t="s">
        <v>36</v>
      </c>
      <c r="C35" s="21" t="s">
        <v>27</v>
      </c>
      <c r="D35" s="196" t="s">
        <v>182</v>
      </c>
      <c r="E35" s="113" t="s">
        <v>78</v>
      </c>
      <c r="F35" s="196" t="s">
        <v>25</v>
      </c>
      <c r="G35" s="163" t="s">
        <v>187</v>
      </c>
      <c r="H35" s="201"/>
      <c r="I35" s="201" t="s">
        <v>27</v>
      </c>
      <c r="J35" s="32" t="s">
        <v>55</v>
      </c>
      <c r="K35" s="196" t="s">
        <v>56</v>
      </c>
      <c r="L35" s="196" t="s">
        <v>27</v>
      </c>
      <c r="M35" s="80" t="s">
        <v>188</v>
      </c>
      <c r="N35" s="23"/>
      <c r="O35" s="80" t="s">
        <v>34</v>
      </c>
      <c r="P35" s="105" t="s">
        <v>194</v>
      </c>
      <c r="Q35" s="105" t="s">
        <v>195</v>
      </c>
      <c r="R35" s="105" t="s">
        <v>25</v>
      </c>
      <c r="S35" s="82"/>
      <c r="T35" s="82"/>
      <c r="U35" s="82"/>
      <c r="W35" s="212"/>
      <c r="X35" s="215"/>
      <c r="Y35" s="144"/>
    </row>
    <row r="36" ht="15.75" customHeight="1">
      <c r="A36" s="76" t="s">
        <v>176</v>
      </c>
      <c r="B36" s="76" t="s">
        <v>97</v>
      </c>
      <c r="C36" s="76" t="s">
        <v>27</v>
      </c>
      <c r="D36" s="80" t="s">
        <v>198</v>
      </c>
      <c r="E36" s="23" t="s">
        <v>141</v>
      </c>
      <c r="F36" s="112" t="s">
        <v>34</v>
      </c>
      <c r="G36" s="203" t="s">
        <v>193</v>
      </c>
      <c r="H36" s="204" t="s">
        <v>33</v>
      </c>
      <c r="I36" s="203" t="s">
        <v>34</v>
      </c>
      <c r="J36" s="94"/>
      <c r="K36" s="94"/>
      <c r="L36" s="94"/>
      <c r="M36" s="80" t="s">
        <v>177</v>
      </c>
      <c r="N36" s="205" t="s">
        <v>155</v>
      </c>
      <c r="O36" s="80" t="s">
        <v>27</v>
      </c>
      <c r="P36" s="94" t="s">
        <v>173</v>
      </c>
      <c r="Q36" s="94" t="s">
        <v>201</v>
      </c>
      <c r="R36" s="94" t="s">
        <v>27</v>
      </c>
      <c r="S36" s="82"/>
      <c r="T36" s="82"/>
      <c r="U36" s="82"/>
      <c r="Y36" s="75">
        <f>SUM(Y7:Y35)</f>
        <v>72</v>
      </c>
    </row>
    <row r="37" ht="15.75" customHeight="1">
      <c r="A37" s="76"/>
      <c r="B37" s="76"/>
      <c r="C37" s="94"/>
      <c r="D37" s="148" t="s">
        <v>191</v>
      </c>
      <c r="E37" s="148" t="s">
        <v>123</v>
      </c>
      <c r="F37" s="148" t="s">
        <v>27</v>
      </c>
      <c r="G37" s="121" t="s">
        <v>188</v>
      </c>
      <c r="H37" s="206" t="s">
        <v>24</v>
      </c>
      <c r="I37" s="121" t="s">
        <v>34</v>
      </c>
      <c r="J37" s="105"/>
      <c r="K37" s="105"/>
      <c r="L37" s="105"/>
      <c r="M37" s="76" t="s">
        <v>199</v>
      </c>
      <c r="N37" s="82" t="s">
        <v>200</v>
      </c>
      <c r="O37" s="82" t="s">
        <v>27</v>
      </c>
      <c r="P37" s="76"/>
      <c r="Q37" s="76"/>
      <c r="R37" s="76"/>
      <c r="S37" s="82"/>
      <c r="T37" s="82"/>
      <c r="U37" s="82"/>
    </row>
    <row r="38" ht="15.75" customHeight="1">
      <c r="A38" s="106" t="s">
        <v>105</v>
      </c>
      <c r="B38" s="12"/>
      <c r="C38" s="13"/>
      <c r="D38" s="106" t="s">
        <v>8</v>
      </c>
      <c r="E38" s="12"/>
      <c r="F38" s="13"/>
      <c r="G38" s="107" t="s">
        <v>106</v>
      </c>
      <c r="H38" s="12"/>
      <c r="I38" s="13"/>
      <c r="J38" s="106" t="s">
        <v>10</v>
      </c>
      <c r="K38" s="12"/>
      <c r="L38" s="13"/>
      <c r="M38" s="106" t="s">
        <v>11</v>
      </c>
      <c r="N38" s="12"/>
      <c r="O38" s="13"/>
      <c r="P38" s="106" t="s">
        <v>75</v>
      </c>
      <c r="Q38" s="12"/>
      <c r="R38" s="13"/>
      <c r="S38" s="107" t="s">
        <v>107</v>
      </c>
      <c r="T38" s="12"/>
      <c r="U38" s="13"/>
    </row>
    <row r="39" ht="15.75" customHeight="1">
      <c r="A39" s="109">
        <f>S32+1</f>
        <v>46167</v>
      </c>
      <c r="B39" s="12"/>
      <c r="C39" s="13"/>
      <c r="D39" s="109">
        <f>A39+1</f>
        <v>46168</v>
      </c>
      <c r="E39" s="12"/>
      <c r="F39" s="13"/>
      <c r="G39" s="110">
        <f>D39+1</f>
        <v>46169</v>
      </c>
      <c r="H39" s="12"/>
      <c r="I39" s="13"/>
      <c r="J39" s="109">
        <f>G39+1</f>
        <v>46170</v>
      </c>
      <c r="K39" s="12"/>
      <c r="L39" s="13"/>
      <c r="M39" s="109">
        <f>J39+1</f>
        <v>46171</v>
      </c>
      <c r="N39" s="12"/>
      <c r="O39" s="13"/>
      <c r="P39" s="109">
        <f>M39+1</f>
        <v>46172</v>
      </c>
      <c r="Q39" s="12"/>
      <c r="R39" s="13"/>
      <c r="S39" s="110">
        <f>P39+1</f>
        <v>46173</v>
      </c>
      <c r="T39" s="12"/>
      <c r="U39" s="13"/>
    </row>
    <row r="40" ht="15.75" customHeight="1">
      <c r="A40" s="76"/>
      <c r="B40" s="76"/>
      <c r="C40" s="76"/>
      <c r="D40" s="76"/>
      <c r="E40" s="76"/>
      <c r="F40" s="76"/>
      <c r="G40" s="94"/>
      <c r="H40" s="94"/>
      <c r="I40" s="94"/>
      <c r="J40" s="94"/>
      <c r="K40" s="94"/>
      <c r="L40" s="94"/>
      <c r="M40" s="200"/>
      <c r="N40" s="200"/>
      <c r="O40" s="200"/>
      <c r="P40" s="200"/>
      <c r="Q40" s="200"/>
      <c r="R40" s="200"/>
      <c r="S40" s="82"/>
      <c r="T40" s="82"/>
      <c r="U40" s="82"/>
    </row>
    <row r="41" ht="15.75" customHeight="1">
      <c r="A41" s="94"/>
      <c r="B41" s="94"/>
      <c r="C41" s="94"/>
      <c r="D41" s="127" t="s">
        <v>207</v>
      </c>
      <c r="E41" s="127" t="s">
        <v>99</v>
      </c>
      <c r="F41" s="127" t="s">
        <v>114</v>
      </c>
      <c r="G41" s="105"/>
      <c r="H41" s="105"/>
      <c r="I41" s="105"/>
      <c r="J41" s="105"/>
      <c r="K41" s="105"/>
      <c r="L41" s="105"/>
      <c r="M41" s="24"/>
      <c r="N41" s="24"/>
      <c r="O41" s="24"/>
      <c r="P41" s="200"/>
      <c r="Q41" s="200"/>
      <c r="R41" s="200"/>
      <c r="S41" s="82"/>
      <c r="T41" s="82"/>
      <c r="U41" s="82"/>
    </row>
    <row r="42" ht="15.75" customHeight="1">
      <c r="A42" s="21" t="s">
        <v>184</v>
      </c>
      <c r="B42" s="21" t="s">
        <v>185</v>
      </c>
      <c r="C42" s="22"/>
      <c r="D42" s="208" t="s">
        <v>181</v>
      </c>
      <c r="E42" s="208" t="s">
        <v>99</v>
      </c>
      <c r="F42" s="208" t="s">
        <v>27</v>
      </c>
      <c r="G42" s="24"/>
      <c r="H42" s="24"/>
      <c r="I42" s="24"/>
      <c r="J42" s="196" t="s">
        <v>172</v>
      </c>
      <c r="K42" s="196" t="s">
        <v>110</v>
      </c>
      <c r="L42" s="196" t="s">
        <v>34</v>
      </c>
      <c r="M42" s="203" t="s">
        <v>193</v>
      </c>
      <c r="N42" s="203" t="s">
        <v>110</v>
      </c>
      <c r="O42" s="203" t="s">
        <v>34</v>
      </c>
      <c r="P42" s="97" t="s">
        <v>189</v>
      </c>
      <c r="Q42" s="149" t="s">
        <v>190</v>
      </c>
      <c r="R42" s="111" t="s">
        <v>25</v>
      </c>
      <c r="S42" s="82"/>
      <c r="T42" s="82"/>
      <c r="U42" s="82"/>
    </row>
    <row r="43" ht="15.75" customHeight="1">
      <c r="A43" s="21" t="s">
        <v>196</v>
      </c>
      <c r="B43" s="21" t="s">
        <v>36</v>
      </c>
      <c r="C43" s="21" t="s">
        <v>27</v>
      </c>
      <c r="D43" s="196" t="s">
        <v>182</v>
      </c>
      <c r="E43" s="113" t="s">
        <v>78</v>
      </c>
      <c r="F43" s="196" t="s">
        <v>25</v>
      </c>
      <c r="G43" s="197" t="s">
        <v>14</v>
      </c>
      <c r="H43" s="12"/>
      <c r="I43" s="13"/>
      <c r="J43" s="32" t="s">
        <v>175</v>
      </c>
      <c r="K43" s="196" t="s">
        <v>49</v>
      </c>
      <c r="L43" s="196" t="s">
        <v>34</v>
      </c>
      <c r="M43" s="80" t="s">
        <v>188</v>
      </c>
      <c r="N43" s="23" t="s">
        <v>24</v>
      </c>
      <c r="O43" s="80" t="s">
        <v>34</v>
      </c>
      <c r="P43" s="163" t="s">
        <v>183</v>
      </c>
      <c r="Q43" s="163" t="s">
        <v>38</v>
      </c>
      <c r="R43" s="171" t="s">
        <v>34</v>
      </c>
      <c r="S43" s="197" t="s">
        <v>14</v>
      </c>
      <c r="T43" s="12"/>
      <c r="U43" s="13"/>
    </row>
    <row r="44" ht="15.75" customHeight="1">
      <c r="A44" s="76" t="s">
        <v>206</v>
      </c>
      <c r="B44" s="76" t="s">
        <v>195</v>
      </c>
      <c r="C44" s="76" t="s">
        <v>25</v>
      </c>
      <c r="D44" s="148" t="s">
        <v>191</v>
      </c>
      <c r="E44" s="148" t="s">
        <v>123</v>
      </c>
      <c r="F44" s="148" t="s">
        <v>27</v>
      </c>
      <c r="G44" s="24"/>
      <c r="H44" s="24"/>
      <c r="I44" s="24"/>
      <c r="J44" s="196" t="s">
        <v>174</v>
      </c>
      <c r="K44" s="196" t="s">
        <v>33</v>
      </c>
      <c r="L44" s="196" t="s">
        <v>34</v>
      </c>
      <c r="M44" s="94" t="s">
        <v>179</v>
      </c>
      <c r="N44" s="94" t="s">
        <v>165</v>
      </c>
      <c r="O44" s="94" t="s">
        <v>25</v>
      </c>
      <c r="P44" s="209" t="s">
        <v>202</v>
      </c>
      <c r="Q44" s="98" t="s">
        <v>116</v>
      </c>
      <c r="R44" s="98" t="s">
        <v>27</v>
      </c>
      <c r="S44" s="82"/>
      <c r="T44" s="82"/>
      <c r="U44" s="82"/>
    </row>
    <row r="45" ht="15.75" customHeight="1">
      <c r="A45" s="82"/>
      <c r="B45" s="82"/>
      <c r="C45" s="82"/>
      <c r="G45" s="82"/>
      <c r="H45" s="82"/>
      <c r="I45" s="82"/>
      <c r="J45" s="21" t="s">
        <v>178</v>
      </c>
      <c r="K45" s="196" t="s">
        <v>99</v>
      </c>
      <c r="L45" s="196" t="s">
        <v>34</v>
      </c>
      <c r="M45" s="200"/>
      <c r="N45" s="200"/>
      <c r="O45" s="200"/>
      <c r="P45" s="200"/>
      <c r="Q45" s="200"/>
      <c r="R45" s="200"/>
      <c r="S45" s="82"/>
      <c r="T45" s="82"/>
      <c r="U45" s="82"/>
    </row>
    <row r="46" ht="15.75" customHeight="1">
      <c r="A46" s="82"/>
      <c r="B46" s="82"/>
      <c r="C46" s="82"/>
      <c r="D46" s="82"/>
      <c r="E46" s="82"/>
      <c r="F46" s="82"/>
      <c r="G46" s="187" t="s">
        <v>0</v>
      </c>
      <c r="H46" s="82"/>
      <c r="I46" s="82"/>
      <c r="J46" s="21" t="s">
        <v>180</v>
      </c>
      <c r="K46" s="196" t="s">
        <v>78</v>
      </c>
      <c r="L46" s="196" t="s">
        <v>34</v>
      </c>
      <c r="M46" s="200"/>
      <c r="N46" s="200"/>
      <c r="O46" s="200"/>
      <c r="P46" s="200"/>
      <c r="Q46" s="200"/>
      <c r="R46" s="200"/>
      <c r="S46" s="82"/>
      <c r="T46" s="82"/>
      <c r="U46" s="82"/>
    </row>
    <row r="47" ht="15.75" customHeight="1">
      <c r="A47" s="84"/>
      <c r="B47" s="12"/>
      <c r="C47" s="13"/>
      <c r="D47" s="84"/>
      <c r="E47" s="12"/>
      <c r="F47" s="13"/>
      <c r="G47" s="216" t="s">
        <v>208</v>
      </c>
      <c r="H47" s="12"/>
      <c r="I47" s="13"/>
      <c r="J47" s="84"/>
      <c r="K47" s="12"/>
      <c r="L47" s="13"/>
      <c r="M47" s="84"/>
      <c r="N47" s="12"/>
      <c r="O47" s="13"/>
      <c r="P47" s="84"/>
      <c r="Q47" s="12"/>
      <c r="R47" s="13"/>
      <c r="S47" s="85"/>
      <c r="T47" s="12"/>
      <c r="U47" s="13"/>
    </row>
    <row r="48" ht="15.75" customHeight="1">
      <c r="A48" s="87"/>
      <c r="B48" s="12"/>
      <c r="C48" s="13"/>
      <c r="D48" s="86"/>
      <c r="E48" s="12"/>
      <c r="F48" s="13"/>
      <c r="G48" s="87"/>
      <c r="H48" s="12"/>
      <c r="I48" s="13"/>
      <c r="J48" s="87"/>
      <c r="K48" s="12"/>
      <c r="L48" s="13"/>
      <c r="M48" s="87"/>
      <c r="N48" s="12"/>
      <c r="O48" s="13"/>
      <c r="P48" s="87"/>
      <c r="Q48" s="12"/>
      <c r="R48" s="13"/>
      <c r="S48" s="87"/>
      <c r="T48" s="12"/>
      <c r="U48" s="13"/>
    </row>
    <row r="49" ht="15.75" customHeight="1">
      <c r="A49" s="76"/>
      <c r="B49" s="76"/>
      <c r="C49" s="76"/>
      <c r="D49" s="105"/>
      <c r="E49" s="105"/>
      <c r="F49" s="105"/>
      <c r="G49" s="76"/>
      <c r="H49" s="76"/>
      <c r="I49" s="76"/>
      <c r="J49" s="105"/>
      <c r="K49" s="105"/>
      <c r="L49" s="105"/>
      <c r="M49" s="105"/>
      <c r="N49" s="105"/>
      <c r="O49" s="105"/>
      <c r="P49" s="105"/>
      <c r="Q49" s="76"/>
      <c r="R49" s="76"/>
      <c r="S49" s="105"/>
      <c r="T49" s="76"/>
      <c r="U49" s="76"/>
    </row>
    <row r="50" ht="15.75" customHeight="1">
      <c r="A50" s="94"/>
      <c r="B50" s="94"/>
      <c r="C50" s="94"/>
      <c r="D50" s="105"/>
      <c r="E50" s="105"/>
      <c r="F50" s="105"/>
      <c r="G50" s="94"/>
      <c r="H50" s="94"/>
      <c r="I50" s="94"/>
      <c r="J50" s="105"/>
      <c r="K50" s="105"/>
      <c r="L50" s="105"/>
      <c r="M50" s="105"/>
      <c r="N50" s="105"/>
      <c r="O50" s="105"/>
      <c r="P50" s="105"/>
      <c r="Q50" s="94"/>
      <c r="R50" s="129"/>
      <c r="S50" s="105"/>
      <c r="T50" s="94"/>
      <c r="U50" s="129"/>
    </row>
    <row r="51" ht="15.75" customHeight="1">
      <c r="A51" s="105"/>
      <c r="B51" s="105"/>
      <c r="C51" s="105"/>
      <c r="D51" s="82"/>
      <c r="E51" s="82"/>
      <c r="F51" s="82"/>
      <c r="G51" s="76"/>
      <c r="H51" s="76"/>
      <c r="I51" s="76"/>
      <c r="J51" s="82"/>
      <c r="K51" s="82"/>
      <c r="L51" s="82"/>
      <c r="M51" s="82"/>
      <c r="N51" s="82"/>
      <c r="O51" s="82"/>
      <c r="P51" s="82"/>
      <c r="Q51" s="94"/>
      <c r="R51" s="77"/>
      <c r="S51" s="82"/>
      <c r="T51" s="94"/>
      <c r="U51" s="77"/>
    </row>
    <row r="52" ht="15.75" customHeight="1">
      <c r="A52" s="105"/>
      <c r="B52" s="105"/>
      <c r="C52" s="105"/>
      <c r="D52" s="82"/>
      <c r="E52" s="82"/>
      <c r="F52" s="82"/>
      <c r="G52" s="76"/>
      <c r="H52" s="76"/>
      <c r="I52" s="76"/>
      <c r="J52" s="82"/>
      <c r="K52" s="82"/>
      <c r="L52" s="82"/>
      <c r="M52" s="82"/>
      <c r="N52" s="82"/>
      <c r="O52" s="82"/>
      <c r="P52" s="82"/>
      <c r="Q52" s="94"/>
      <c r="R52" s="77"/>
      <c r="S52" s="82"/>
      <c r="T52" s="94"/>
      <c r="U52" s="77"/>
    </row>
    <row r="53" ht="15.75" customHeight="1">
      <c r="A53" s="105"/>
      <c r="B53" s="105"/>
      <c r="C53" s="105"/>
      <c r="D53" s="82"/>
      <c r="E53" s="82"/>
      <c r="F53" s="82"/>
      <c r="G53" s="94"/>
      <c r="H53" s="94"/>
      <c r="I53" s="94"/>
      <c r="J53" s="105"/>
      <c r="K53" s="105"/>
      <c r="L53" s="105"/>
      <c r="M53" s="82"/>
      <c r="N53" s="105"/>
      <c r="O53" s="105"/>
      <c r="P53" s="105"/>
      <c r="Q53" s="94"/>
      <c r="R53" s="129"/>
      <c r="S53" s="105"/>
      <c r="T53" s="94"/>
      <c r="U53" s="129"/>
    </row>
    <row r="54" ht="15.75" customHeight="1">
      <c r="A54" s="82"/>
      <c r="B54" s="82"/>
      <c r="C54" s="82"/>
      <c r="D54" s="82"/>
      <c r="E54" s="82"/>
      <c r="F54" s="82"/>
      <c r="G54" s="94"/>
      <c r="H54" s="94"/>
      <c r="I54" s="94"/>
      <c r="J54" s="82"/>
      <c r="K54" s="82"/>
      <c r="L54" s="82"/>
      <c r="M54" s="82"/>
      <c r="N54" s="82"/>
      <c r="O54" s="82"/>
      <c r="P54" s="82"/>
      <c r="Q54" s="82"/>
      <c r="R54" s="83"/>
      <c r="S54" s="82"/>
      <c r="T54" s="82"/>
      <c r="U54" s="83"/>
    </row>
    <row r="55" ht="15.75" customHeight="1">
      <c r="A55" s="94"/>
      <c r="B55" s="94"/>
      <c r="C55" s="94"/>
      <c r="D55" s="105"/>
      <c r="E55" s="105"/>
      <c r="F55" s="105"/>
      <c r="G55" s="76"/>
      <c r="H55" s="105"/>
      <c r="I55" s="105"/>
      <c r="J55" s="105"/>
      <c r="K55" s="105"/>
      <c r="L55" s="105"/>
      <c r="M55" s="82"/>
      <c r="N55" s="105"/>
      <c r="O55" s="105"/>
      <c r="P55" s="105"/>
      <c r="Q55" s="94"/>
      <c r="R55" s="129"/>
      <c r="S55" s="105"/>
      <c r="T55" s="94"/>
      <c r="U55" s="129"/>
    </row>
    <row r="56" ht="15.75" customHeight="1">
      <c r="A56" s="217"/>
      <c r="B56" s="61"/>
    </row>
    <row r="57" ht="15.75" customHeight="1"/>
    <row r="58" ht="15.75" customHeight="1">
      <c r="A58" s="60" t="s">
        <v>64</v>
      </c>
      <c r="B58" s="61"/>
    </row>
    <row r="59" ht="15.75" customHeight="1">
      <c r="A59" s="62"/>
      <c r="B59" s="63" t="s">
        <v>65</v>
      </c>
      <c r="C59" s="64"/>
      <c r="D59" s="65"/>
    </row>
    <row r="60" ht="15.75" customHeight="1">
      <c r="A60" s="66"/>
      <c r="B60" s="63" t="s">
        <v>66</v>
      </c>
      <c r="C60" s="64"/>
    </row>
    <row r="61" ht="15.75" customHeight="1">
      <c r="A61" s="67"/>
      <c r="B61" s="63" t="s">
        <v>67</v>
      </c>
      <c r="C61" s="64"/>
    </row>
    <row r="62" ht="15.75" customHeight="1">
      <c r="A62" s="68"/>
      <c r="B62" s="63" t="s">
        <v>68</v>
      </c>
      <c r="C62" s="6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6:$Y$34">
    <sortState ref="W6:Y34">
      <sortCondition ref="X6:X34"/>
    </sortState>
  </autoFilter>
  <mergeCells count="104">
    <mergeCell ref="A22:C22"/>
    <mergeCell ref="D22:F22"/>
    <mergeCell ref="G22:I22"/>
    <mergeCell ref="J22:L22"/>
    <mergeCell ref="M22:O22"/>
    <mergeCell ref="P22:R22"/>
    <mergeCell ref="S22:U22"/>
    <mergeCell ref="A23:C23"/>
    <mergeCell ref="D23:F23"/>
    <mergeCell ref="G23:I23"/>
    <mergeCell ref="J23:L23"/>
    <mergeCell ref="M23:O23"/>
    <mergeCell ref="P23:R23"/>
    <mergeCell ref="S23:U23"/>
    <mergeCell ref="G27:I27"/>
    <mergeCell ref="J27:L27"/>
    <mergeCell ref="A31:C31"/>
    <mergeCell ref="D31:F31"/>
    <mergeCell ref="G31:I31"/>
    <mergeCell ref="J31:L31"/>
    <mergeCell ref="M31:O31"/>
    <mergeCell ref="D32:F32"/>
    <mergeCell ref="G32:I32"/>
    <mergeCell ref="J32:L32"/>
    <mergeCell ref="M32:O32"/>
    <mergeCell ref="P32:R32"/>
    <mergeCell ref="S32:U32"/>
    <mergeCell ref="S34:U34"/>
    <mergeCell ref="A32:C32"/>
    <mergeCell ref="D38:F38"/>
    <mergeCell ref="G38:I38"/>
    <mergeCell ref="J38:L38"/>
    <mergeCell ref="M38:O38"/>
    <mergeCell ref="P38:R38"/>
    <mergeCell ref="S38:U38"/>
    <mergeCell ref="A38:C38"/>
    <mergeCell ref="A39:C39"/>
    <mergeCell ref="D39:F39"/>
    <mergeCell ref="J39:L39"/>
    <mergeCell ref="M39:O39"/>
    <mergeCell ref="P39:R39"/>
    <mergeCell ref="S39:U39"/>
    <mergeCell ref="M47:O47"/>
    <mergeCell ref="P47:R47"/>
    <mergeCell ref="B56:D56"/>
    <mergeCell ref="B58:D58"/>
    <mergeCell ref="A47:C47"/>
    <mergeCell ref="A48:C48"/>
    <mergeCell ref="D48:F48"/>
    <mergeCell ref="G48:I48"/>
    <mergeCell ref="J48:L48"/>
    <mergeCell ref="M48:O48"/>
    <mergeCell ref="P48:R48"/>
    <mergeCell ref="S48:U48"/>
    <mergeCell ref="G39:I39"/>
    <mergeCell ref="G43:I43"/>
    <mergeCell ref="S43:U43"/>
    <mergeCell ref="D47:F47"/>
    <mergeCell ref="G47:I47"/>
    <mergeCell ref="J47:L47"/>
    <mergeCell ref="S47:U47"/>
    <mergeCell ref="A1:B1"/>
    <mergeCell ref="C1:E1"/>
    <mergeCell ref="G1:P4"/>
    <mergeCell ref="A2:B2"/>
    <mergeCell ref="C2:E2"/>
    <mergeCell ref="A3:B3"/>
    <mergeCell ref="C3:E3"/>
    <mergeCell ref="P6:R6"/>
    <mergeCell ref="S6:U6"/>
    <mergeCell ref="P10:R10"/>
    <mergeCell ref="S10:U10"/>
    <mergeCell ref="S19:U19"/>
    <mergeCell ref="S26:U26"/>
    <mergeCell ref="A7:C7"/>
    <mergeCell ref="D7:F7"/>
    <mergeCell ref="G7:I7"/>
    <mergeCell ref="J7:L7"/>
    <mergeCell ref="M7:O7"/>
    <mergeCell ref="P7:R7"/>
    <mergeCell ref="S7:U7"/>
    <mergeCell ref="A4:B4"/>
    <mergeCell ref="C4:D4"/>
    <mergeCell ref="A6:C6"/>
    <mergeCell ref="D6:F6"/>
    <mergeCell ref="G6:I6"/>
    <mergeCell ref="J6:L6"/>
    <mergeCell ref="M6:O6"/>
    <mergeCell ref="A15:C15"/>
    <mergeCell ref="D15:F15"/>
    <mergeCell ref="G15:I15"/>
    <mergeCell ref="J15:L15"/>
    <mergeCell ref="M15:O15"/>
    <mergeCell ref="P15:R15"/>
    <mergeCell ref="S15:U15"/>
    <mergeCell ref="A16:C16"/>
    <mergeCell ref="D16:F16"/>
    <mergeCell ref="G16:I16"/>
    <mergeCell ref="J16:L16"/>
    <mergeCell ref="M16:O16"/>
    <mergeCell ref="P16:R16"/>
    <mergeCell ref="S16:U16"/>
    <mergeCell ref="P31:R31"/>
    <mergeCell ref="S31:U31"/>
  </mergeCells>
  <printOptions horizontalCentered="1" verticalCentered="1"/>
  <pageMargins bottom="0.0" footer="0.0" header="0.0" left="0.0" right="0.0" top="0.0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1.43"/>
    <col customWidth="1" min="3" max="3" width="9.29"/>
    <col customWidth="1" min="4" max="4" width="17.57"/>
    <col customWidth="1" min="5" max="5" width="13.14"/>
    <col customWidth="1" min="6" max="6" width="7.71"/>
    <col customWidth="1" min="7" max="7" width="18.57"/>
    <col customWidth="1" min="8" max="8" width="11.14"/>
    <col customWidth="1" min="9" max="9" width="7.71"/>
    <col customWidth="1" min="10" max="10" width="16.43"/>
    <col customWidth="1" min="11" max="11" width="11.71"/>
    <col customWidth="1" min="12" max="12" width="7.71"/>
    <col customWidth="1" min="13" max="13" width="17.71"/>
    <col customWidth="1" min="14" max="14" width="11.43"/>
    <col customWidth="1" min="15" max="15" width="7.71"/>
    <col customWidth="1" min="16" max="16" width="15.0"/>
    <col customWidth="1" min="17" max="17" width="11.43"/>
    <col customWidth="1" min="18" max="19" width="7.71"/>
    <col customWidth="1" min="20" max="20" width="7.57"/>
    <col customWidth="1" min="21" max="21" width="7.43"/>
    <col customWidth="1" min="22" max="23" width="8.71"/>
    <col customWidth="1" min="24" max="24" width="19.0"/>
    <col customWidth="1" min="25" max="25" width="10.43"/>
    <col customWidth="1" min="26" max="29" width="8.71"/>
  </cols>
  <sheetData>
    <row r="1">
      <c r="A1" s="1" t="s">
        <v>168</v>
      </c>
      <c r="C1" s="136" t="s">
        <v>209</v>
      </c>
      <c r="F1" s="3"/>
      <c r="G1" s="4" t="s">
        <v>2</v>
      </c>
      <c r="Q1" s="9"/>
    </row>
    <row r="2">
      <c r="A2" s="6" t="s">
        <v>3</v>
      </c>
      <c r="C2" s="7" t="s">
        <v>210</v>
      </c>
      <c r="F2" s="3"/>
      <c r="Q2" s="9"/>
    </row>
    <row r="3">
      <c r="A3" s="6" t="s">
        <v>5</v>
      </c>
      <c r="C3" s="190"/>
      <c r="F3" s="3"/>
      <c r="Q3" s="9"/>
    </row>
    <row r="4">
      <c r="A4" s="6" t="s">
        <v>6</v>
      </c>
      <c r="C4" s="137"/>
      <c r="E4" s="3"/>
      <c r="F4" s="3"/>
      <c r="G4" s="3"/>
      <c r="H4" s="3"/>
      <c r="I4" s="3"/>
      <c r="J4" s="3"/>
      <c r="K4" s="3"/>
      <c r="L4" s="3"/>
      <c r="M4" s="3"/>
      <c r="N4" s="3"/>
      <c r="O4" s="138"/>
      <c r="P4" s="139"/>
      <c r="Q4" s="139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4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  <c r="W5" s="75" t="s">
        <v>211</v>
      </c>
    </row>
    <row r="6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7">
        <v>46143.0</v>
      </c>
      <c r="N6" s="12"/>
      <c r="O6" s="13"/>
      <c r="P6" s="16">
        <f>M6+1</f>
        <v>46144</v>
      </c>
      <c r="Q6" s="12"/>
      <c r="R6" s="13"/>
      <c r="S6" s="18">
        <f>P6+1</f>
        <v>46145</v>
      </c>
      <c r="T6" s="12"/>
      <c r="U6" s="13"/>
      <c r="W6" s="75">
        <f>COUNTA(#REF!,#REF!,#REF!,#REF!,#REF!,#REF!,#REF!,P27:P28,D16:D20,#REF!,#REF!,#REF!,M16:M20,P31:P36,A15:A19,D23:D26,G24:G25,#REF!,P7:P12,A23:A28,D31:D36,#REF!,J15:J28)</f>
        <v>41</v>
      </c>
    </row>
    <row r="7">
      <c r="A7" s="149"/>
      <c r="B7" s="149"/>
      <c r="C7" s="149"/>
      <c r="D7" s="149"/>
      <c r="E7" s="149"/>
      <c r="F7" s="149"/>
      <c r="G7" s="24"/>
      <c r="H7" s="24"/>
      <c r="I7" s="24"/>
      <c r="J7" s="98"/>
      <c r="K7" s="98"/>
      <c r="L7" s="98"/>
      <c r="M7" s="218"/>
      <c r="N7" s="218"/>
      <c r="O7" s="219"/>
      <c r="P7" s="98"/>
      <c r="Q7" s="220"/>
      <c r="R7" s="98"/>
      <c r="S7" s="218"/>
      <c r="T7" s="218"/>
      <c r="U7" s="219"/>
    </row>
    <row r="8">
      <c r="A8" s="149"/>
      <c r="B8" s="149"/>
      <c r="C8" s="149"/>
      <c r="D8" s="149"/>
      <c r="E8" s="149"/>
      <c r="F8" s="149"/>
      <c r="G8" s="24"/>
      <c r="H8" s="24"/>
      <c r="I8" s="24"/>
      <c r="J8" s="24"/>
      <c r="K8" s="24"/>
      <c r="L8" s="24"/>
      <c r="M8" s="218"/>
      <c r="N8" s="218"/>
      <c r="O8" s="218"/>
      <c r="P8" s="24"/>
      <c r="Q8" s="24"/>
      <c r="R8" s="24"/>
      <c r="S8" s="218"/>
      <c r="T8" s="218"/>
      <c r="U8" s="218"/>
    </row>
    <row r="9">
      <c r="A9" s="149"/>
      <c r="B9" s="149"/>
      <c r="C9" s="149"/>
      <c r="D9" s="149"/>
      <c r="E9" s="149"/>
      <c r="F9" s="149"/>
      <c r="G9" s="24"/>
      <c r="H9" s="24"/>
      <c r="I9" s="24"/>
      <c r="J9" s="24"/>
      <c r="K9" s="24"/>
      <c r="L9" s="24"/>
      <c r="M9" s="221" t="s">
        <v>14</v>
      </c>
      <c r="N9" s="12"/>
      <c r="O9" s="13"/>
      <c r="P9" s="221" t="s">
        <v>14</v>
      </c>
      <c r="Q9" s="12"/>
      <c r="R9" s="13"/>
      <c r="S9" s="221" t="s">
        <v>14</v>
      </c>
      <c r="T9" s="12"/>
      <c r="U9" s="13"/>
      <c r="W9" s="222" t="s">
        <v>15</v>
      </c>
      <c r="X9" s="222" t="s">
        <v>16</v>
      </c>
      <c r="Y9" s="223" t="s">
        <v>17</v>
      </c>
      <c r="Z9" s="224" t="s">
        <v>212</v>
      </c>
      <c r="AA9" s="225"/>
    </row>
    <row r="10">
      <c r="A10" s="98"/>
      <c r="B10" s="98"/>
      <c r="C10" s="98"/>
      <c r="D10" s="98"/>
      <c r="E10" s="98"/>
      <c r="F10" s="98"/>
      <c r="G10" s="24"/>
      <c r="H10" s="24"/>
      <c r="I10" s="24"/>
      <c r="J10" s="24"/>
      <c r="K10" s="24"/>
      <c r="L10" s="24"/>
      <c r="M10" s="218"/>
      <c r="N10" s="218"/>
      <c r="O10" s="218"/>
      <c r="P10" s="24"/>
      <c r="Q10" s="24"/>
      <c r="R10" s="24"/>
      <c r="S10" s="218"/>
      <c r="T10" s="218"/>
      <c r="U10" s="218"/>
      <c r="W10" s="223">
        <v>2.0</v>
      </c>
      <c r="X10" s="226" t="s">
        <v>213</v>
      </c>
      <c r="Y10" s="223">
        <f t="shared" ref="Y10:Y40" si="1">countif($A$5:$U$52,X10)</f>
        <v>4</v>
      </c>
      <c r="Z10" s="227">
        <f t="shared" ref="Z10:Z40" si="2">COUNTIF($A$5:$U$51,X10)</f>
        <v>4</v>
      </c>
      <c r="AA10" s="215" t="s">
        <v>213</v>
      </c>
      <c r="AB10" s="75">
        <v>4.0</v>
      </c>
    </row>
    <row r="11">
      <c r="A11" s="149"/>
      <c r="B11" s="149"/>
      <c r="C11" s="149"/>
      <c r="D11" s="149"/>
      <c r="E11" s="149"/>
      <c r="F11" s="149"/>
      <c r="G11" s="24"/>
      <c r="H11" s="24"/>
      <c r="I11" s="24"/>
      <c r="J11" s="24"/>
      <c r="K11" s="24"/>
      <c r="L11" s="24"/>
      <c r="M11" s="218"/>
      <c r="N11" s="218"/>
      <c r="O11" s="218"/>
      <c r="P11" s="218"/>
      <c r="Q11" s="218"/>
      <c r="R11" s="218"/>
      <c r="S11" s="218"/>
      <c r="T11" s="218"/>
      <c r="U11" s="218"/>
      <c r="W11" s="223">
        <v>3.0</v>
      </c>
      <c r="X11" s="228" t="s">
        <v>214</v>
      </c>
      <c r="Y11" s="223">
        <f t="shared" si="1"/>
        <v>8</v>
      </c>
      <c r="Z11" s="227">
        <f t="shared" si="2"/>
        <v>8</v>
      </c>
      <c r="AA11" s="215" t="s">
        <v>214</v>
      </c>
      <c r="AB11" s="75">
        <v>9.0</v>
      </c>
    </row>
    <row r="12">
      <c r="A12" s="98"/>
      <c r="B12" s="98"/>
      <c r="C12" s="98"/>
      <c r="D12" s="98"/>
      <c r="E12" s="98"/>
      <c r="F12" s="98"/>
      <c r="G12" s="98"/>
      <c r="H12" s="98"/>
      <c r="I12" s="98"/>
      <c r="J12" s="76"/>
      <c r="K12" s="76"/>
      <c r="L12" s="76"/>
      <c r="M12" s="218"/>
      <c r="N12" s="218"/>
      <c r="O12" s="218"/>
      <c r="P12" s="218"/>
      <c r="Q12" s="229"/>
      <c r="R12" s="218"/>
      <c r="S12" s="218"/>
      <c r="T12" s="218"/>
      <c r="U12" s="218"/>
      <c r="W12" s="223">
        <v>4.0</v>
      </c>
      <c r="X12" s="230" t="s">
        <v>215</v>
      </c>
      <c r="Y12" s="223">
        <f t="shared" si="1"/>
        <v>2</v>
      </c>
      <c r="Z12" s="227">
        <f t="shared" si="2"/>
        <v>2</v>
      </c>
      <c r="AA12" s="215" t="s">
        <v>215</v>
      </c>
      <c r="AB12" s="75">
        <v>2.0</v>
      </c>
    </row>
    <row r="13" ht="15.75" customHeight="1">
      <c r="A13" s="84" t="s">
        <v>7</v>
      </c>
      <c r="B13" s="12"/>
      <c r="C13" s="13"/>
      <c r="D13" s="84" t="s">
        <v>8</v>
      </c>
      <c r="E13" s="12"/>
      <c r="F13" s="13"/>
      <c r="G13" s="84" t="s">
        <v>9</v>
      </c>
      <c r="H13" s="12"/>
      <c r="I13" s="13"/>
      <c r="J13" s="84" t="s">
        <v>10</v>
      </c>
      <c r="K13" s="12"/>
      <c r="L13" s="13"/>
      <c r="M13" s="84" t="s">
        <v>74</v>
      </c>
      <c r="N13" s="12"/>
      <c r="O13" s="13"/>
      <c r="P13" s="84" t="s">
        <v>75</v>
      </c>
      <c r="Q13" s="12"/>
      <c r="R13" s="13"/>
      <c r="S13" s="85" t="s">
        <v>13</v>
      </c>
      <c r="T13" s="12"/>
      <c r="U13" s="13"/>
      <c r="W13" s="223">
        <v>5.0</v>
      </c>
      <c r="X13" s="226" t="s">
        <v>216</v>
      </c>
      <c r="Y13" s="223">
        <f t="shared" si="1"/>
        <v>3</v>
      </c>
      <c r="Z13" s="227">
        <f t="shared" si="2"/>
        <v>3</v>
      </c>
      <c r="AA13" s="215" t="s">
        <v>216</v>
      </c>
      <c r="AB13" s="75">
        <v>3.0</v>
      </c>
    </row>
    <row r="14" ht="20.25" customHeight="1">
      <c r="A14" s="86">
        <f>S6+1</f>
        <v>46146</v>
      </c>
      <c r="B14" s="12"/>
      <c r="C14" s="13"/>
      <c r="D14" s="86">
        <f>A14+1</f>
        <v>46147</v>
      </c>
      <c r="E14" s="12"/>
      <c r="F14" s="13"/>
      <c r="G14" s="86">
        <f>D14+1</f>
        <v>46148</v>
      </c>
      <c r="H14" s="12"/>
      <c r="I14" s="13"/>
      <c r="J14" s="86">
        <f>G14+1</f>
        <v>46149</v>
      </c>
      <c r="K14" s="12"/>
      <c r="L14" s="13"/>
      <c r="M14" s="87">
        <f>J14+1</f>
        <v>46150</v>
      </c>
      <c r="N14" s="12"/>
      <c r="O14" s="13"/>
      <c r="P14" s="86">
        <f>M14+1</f>
        <v>46151</v>
      </c>
      <c r="Q14" s="12"/>
      <c r="R14" s="13"/>
      <c r="S14" s="88">
        <f>P14+1</f>
        <v>46152</v>
      </c>
      <c r="T14" s="12"/>
      <c r="U14" s="13"/>
      <c r="W14" s="223">
        <v>6.0</v>
      </c>
      <c r="X14" s="231" t="s">
        <v>217</v>
      </c>
      <c r="Y14" s="223">
        <f t="shared" si="1"/>
        <v>2</v>
      </c>
      <c r="Z14" s="227">
        <f t="shared" si="2"/>
        <v>2</v>
      </c>
      <c r="AA14" s="232" t="s">
        <v>217</v>
      </c>
      <c r="AB14" s="75">
        <v>2.0</v>
      </c>
    </row>
    <row r="15">
      <c r="A15" s="82"/>
      <c r="B15" s="82"/>
      <c r="C15" s="82"/>
      <c r="D15" s="24"/>
      <c r="E15" s="24"/>
      <c r="F15" s="24"/>
      <c r="G15" s="24"/>
      <c r="H15" s="24"/>
      <c r="I15" s="24"/>
      <c r="J15" s="148"/>
      <c r="K15" s="148"/>
      <c r="L15" s="148"/>
      <c r="M15" s="98"/>
      <c r="N15" s="98"/>
      <c r="O15" s="98"/>
      <c r="P15" s="98"/>
      <c r="Q15" s="98"/>
      <c r="R15" s="98"/>
      <c r="S15" s="218"/>
      <c r="T15" s="218"/>
      <c r="U15" s="219"/>
      <c r="W15" s="223">
        <v>7.0</v>
      </c>
      <c r="X15" s="226" t="s">
        <v>218</v>
      </c>
      <c r="Y15" s="223">
        <f t="shared" si="1"/>
        <v>2</v>
      </c>
      <c r="Z15" s="227">
        <f t="shared" si="2"/>
        <v>2</v>
      </c>
      <c r="AA15" s="215" t="s">
        <v>218</v>
      </c>
      <c r="AB15" s="75">
        <v>3.0</v>
      </c>
    </row>
    <row r="16">
      <c r="A16" s="101" t="s">
        <v>219</v>
      </c>
      <c r="B16" s="98" t="s">
        <v>49</v>
      </c>
      <c r="C16" s="98" t="s">
        <v>34</v>
      </c>
      <c r="D16" s="101" t="s">
        <v>214</v>
      </c>
      <c r="E16" s="101" t="s">
        <v>61</v>
      </c>
      <c r="F16" s="101" t="s">
        <v>25</v>
      </c>
      <c r="G16" s="101" t="s">
        <v>220</v>
      </c>
      <c r="H16" s="101" t="s">
        <v>49</v>
      </c>
      <c r="I16" s="101" t="s">
        <v>34</v>
      </c>
      <c r="J16" s="101" t="s">
        <v>214</v>
      </c>
      <c r="K16" s="101" t="s">
        <v>61</v>
      </c>
      <c r="L16" s="101" t="s">
        <v>25</v>
      </c>
      <c r="M16" s="98" t="s">
        <v>221</v>
      </c>
      <c r="N16" s="233" t="s">
        <v>222</v>
      </c>
      <c r="O16" s="234" t="s">
        <v>34</v>
      </c>
      <c r="P16" s="32" t="s">
        <v>223</v>
      </c>
      <c r="Q16" s="235" t="s">
        <v>224</v>
      </c>
      <c r="R16" s="32" t="s">
        <v>34</v>
      </c>
      <c r="S16" s="218"/>
      <c r="T16" s="218"/>
      <c r="U16" s="218"/>
      <c r="W16" s="223">
        <v>8.0</v>
      </c>
      <c r="X16" s="215" t="s">
        <v>219</v>
      </c>
      <c r="Y16" s="223">
        <f t="shared" si="1"/>
        <v>2</v>
      </c>
      <c r="Z16" s="227">
        <f t="shared" si="2"/>
        <v>2</v>
      </c>
      <c r="AA16" s="215" t="s">
        <v>219</v>
      </c>
      <c r="AB16" s="75">
        <v>2.0</v>
      </c>
    </row>
    <row r="17">
      <c r="A17" s="148" t="s">
        <v>213</v>
      </c>
      <c r="B17" s="148" t="s">
        <v>225</v>
      </c>
      <c r="C17" s="148" t="s">
        <v>25</v>
      </c>
      <c r="D17" s="236" t="s">
        <v>226</v>
      </c>
      <c r="E17" s="101" t="s">
        <v>78</v>
      </c>
      <c r="F17" s="101" t="s">
        <v>34</v>
      </c>
      <c r="G17" s="101" t="s">
        <v>218</v>
      </c>
      <c r="H17" s="101" t="s">
        <v>36</v>
      </c>
      <c r="I17" s="101" t="s">
        <v>25</v>
      </c>
      <c r="J17" s="101" t="s">
        <v>227</v>
      </c>
      <c r="K17" s="101" t="s">
        <v>31</v>
      </c>
      <c r="L17" s="101" t="s">
        <v>25</v>
      </c>
      <c r="M17" s="98" t="s">
        <v>228</v>
      </c>
      <c r="N17" s="49"/>
      <c r="O17" s="49"/>
      <c r="P17" s="101" t="s">
        <v>229</v>
      </c>
      <c r="Q17" s="237" t="s">
        <v>230</v>
      </c>
      <c r="R17" s="101" t="s">
        <v>25</v>
      </c>
      <c r="S17" s="221" t="s">
        <v>14</v>
      </c>
      <c r="T17" s="12"/>
      <c r="U17" s="13"/>
      <c r="W17" s="223">
        <v>24.0</v>
      </c>
      <c r="X17" s="226" t="s">
        <v>231</v>
      </c>
      <c r="Y17" s="223">
        <f t="shared" si="1"/>
        <v>2</v>
      </c>
      <c r="Z17" s="227">
        <f t="shared" si="2"/>
        <v>2</v>
      </c>
      <c r="AA17" s="215" t="s">
        <v>231</v>
      </c>
      <c r="AB17" s="75">
        <v>2.0</v>
      </c>
    </row>
    <row r="18">
      <c r="A18" s="98" t="s">
        <v>232</v>
      </c>
      <c r="B18" s="98" t="s">
        <v>233</v>
      </c>
      <c r="C18" s="98" t="s">
        <v>25</v>
      </c>
      <c r="D18" s="238" t="s">
        <v>234</v>
      </c>
      <c r="E18" s="238"/>
      <c r="F18" s="238" t="s">
        <v>25</v>
      </c>
      <c r="G18" s="101" t="s">
        <v>235</v>
      </c>
      <c r="H18" s="101" t="s">
        <v>38</v>
      </c>
      <c r="I18" s="101" t="s">
        <v>25</v>
      </c>
      <c r="J18" s="24"/>
      <c r="K18" s="24"/>
      <c r="L18" s="24"/>
      <c r="M18" s="98"/>
      <c r="N18" s="98"/>
      <c r="O18" s="98"/>
      <c r="P18" s="24"/>
      <c r="Q18" s="24"/>
      <c r="R18" s="24"/>
      <c r="S18" s="218"/>
      <c r="T18" s="218"/>
      <c r="U18" s="218"/>
      <c r="W18" s="223">
        <v>9.0</v>
      </c>
      <c r="X18" s="226" t="s">
        <v>223</v>
      </c>
      <c r="Y18" s="223">
        <f t="shared" si="1"/>
        <v>3</v>
      </c>
      <c r="Z18" s="227">
        <f t="shared" si="2"/>
        <v>3</v>
      </c>
      <c r="AA18" s="215" t="s">
        <v>223</v>
      </c>
      <c r="AB18" s="75">
        <v>2.0</v>
      </c>
    </row>
    <row r="19" ht="21.0" customHeight="1">
      <c r="A19" s="98"/>
      <c r="B19" s="98"/>
      <c r="C19" s="98"/>
      <c r="D19" s="98"/>
      <c r="E19" s="98"/>
      <c r="G19" s="239" t="s">
        <v>236</v>
      </c>
      <c r="H19" s="239" t="s">
        <v>237</v>
      </c>
      <c r="I19" s="239" t="s">
        <v>25</v>
      </c>
      <c r="J19" s="24"/>
      <c r="K19" s="24"/>
      <c r="L19" s="24"/>
      <c r="M19" s="148"/>
      <c r="N19" s="148"/>
      <c r="O19" s="148"/>
      <c r="P19" s="98"/>
      <c r="Q19" s="98"/>
      <c r="R19" s="98"/>
      <c r="S19" s="218"/>
      <c r="T19" s="218"/>
      <c r="U19" s="218"/>
      <c r="W19" s="223">
        <v>10.0</v>
      </c>
      <c r="X19" s="240" t="s">
        <v>238</v>
      </c>
      <c r="Y19" s="223">
        <f t="shared" si="1"/>
        <v>0</v>
      </c>
      <c r="Z19" s="227">
        <f t="shared" si="2"/>
        <v>0</v>
      </c>
      <c r="AA19" s="232" t="s">
        <v>238</v>
      </c>
      <c r="AB19" s="75">
        <v>0.0</v>
      </c>
    </row>
    <row r="20">
      <c r="A20" s="24"/>
      <c r="B20" s="24"/>
      <c r="C20" s="24"/>
      <c r="D20" s="149"/>
      <c r="E20" s="149"/>
      <c r="F20" s="149"/>
      <c r="G20" s="24"/>
      <c r="H20" s="24"/>
      <c r="I20" s="24"/>
      <c r="J20" s="24"/>
      <c r="K20" s="24"/>
      <c r="L20" s="24"/>
      <c r="M20" s="98"/>
      <c r="N20" s="98"/>
      <c r="O20" s="98"/>
      <c r="P20" s="101"/>
      <c r="Q20" s="101"/>
      <c r="R20" s="101"/>
      <c r="S20" s="218"/>
      <c r="T20" s="218"/>
      <c r="U20" s="218"/>
      <c r="W20" s="223">
        <v>11.0</v>
      </c>
      <c r="X20" s="226" t="s">
        <v>239</v>
      </c>
      <c r="Y20" s="223">
        <f t="shared" si="1"/>
        <v>3</v>
      </c>
      <c r="Z20" s="227">
        <f t="shared" si="2"/>
        <v>3</v>
      </c>
      <c r="AA20" s="215" t="s">
        <v>239</v>
      </c>
      <c r="AB20" s="75">
        <v>2.0</v>
      </c>
    </row>
    <row r="21" ht="15.75" customHeight="1">
      <c r="A21" s="106" t="s">
        <v>105</v>
      </c>
      <c r="B21" s="12"/>
      <c r="C21" s="13"/>
      <c r="D21" s="106" t="s">
        <v>8</v>
      </c>
      <c r="E21" s="12"/>
      <c r="F21" s="13"/>
      <c r="G21" s="106" t="s">
        <v>106</v>
      </c>
      <c r="H21" s="12"/>
      <c r="I21" s="13"/>
      <c r="J21" s="107" t="s">
        <v>10</v>
      </c>
      <c r="K21" s="12"/>
      <c r="L21" s="13"/>
      <c r="M21" s="106" t="s">
        <v>74</v>
      </c>
      <c r="N21" s="12"/>
      <c r="O21" s="13"/>
      <c r="P21" s="106" t="s">
        <v>75</v>
      </c>
      <c r="Q21" s="12"/>
      <c r="R21" s="13"/>
      <c r="S21" s="107" t="s">
        <v>13</v>
      </c>
      <c r="T21" s="12"/>
      <c r="U21" s="13"/>
      <c r="W21" s="223">
        <v>12.0</v>
      </c>
      <c r="X21" s="226" t="s">
        <v>221</v>
      </c>
      <c r="Y21" s="223">
        <f t="shared" si="1"/>
        <v>2</v>
      </c>
      <c r="Z21" s="227">
        <f t="shared" si="2"/>
        <v>2</v>
      </c>
      <c r="AA21" s="215" t="s">
        <v>221</v>
      </c>
      <c r="AB21" s="75">
        <v>2.0</v>
      </c>
    </row>
    <row r="22" ht="15.75" customHeight="1">
      <c r="A22" s="109">
        <f>S14+1</f>
        <v>46153</v>
      </c>
      <c r="B22" s="12"/>
      <c r="C22" s="13"/>
      <c r="D22" s="109">
        <f>A22+1</f>
        <v>46154</v>
      </c>
      <c r="E22" s="12"/>
      <c r="F22" s="13"/>
      <c r="G22" s="109">
        <f>D22+1</f>
        <v>46155</v>
      </c>
      <c r="H22" s="12"/>
      <c r="I22" s="13"/>
      <c r="J22" s="110">
        <f>G22+1</f>
        <v>46156</v>
      </c>
      <c r="K22" s="12"/>
      <c r="L22" s="13"/>
      <c r="M22" s="109">
        <f>J22+1</f>
        <v>46157</v>
      </c>
      <c r="N22" s="12"/>
      <c r="O22" s="13"/>
      <c r="P22" s="109">
        <f>M22+1</f>
        <v>46158</v>
      </c>
      <c r="Q22" s="12"/>
      <c r="R22" s="13"/>
      <c r="S22" s="110">
        <f>P22+1</f>
        <v>46159</v>
      </c>
      <c r="T22" s="12"/>
      <c r="U22" s="13"/>
      <c r="W22" s="223">
        <v>13.0</v>
      </c>
      <c r="X22" s="226" t="s">
        <v>228</v>
      </c>
      <c r="Y22" s="223">
        <f t="shared" si="1"/>
        <v>2</v>
      </c>
      <c r="Z22" s="227">
        <f t="shared" si="2"/>
        <v>2</v>
      </c>
      <c r="AA22" s="215" t="s">
        <v>228</v>
      </c>
      <c r="AB22" s="75">
        <v>2.0</v>
      </c>
    </row>
    <row r="23" ht="15.75" customHeight="1">
      <c r="A23" s="149"/>
      <c r="B23" s="149"/>
      <c r="C23" s="149"/>
      <c r="D23" s="98"/>
      <c r="E23" s="98"/>
      <c r="F23" s="98"/>
      <c r="G23" s="21"/>
      <c r="H23" s="23"/>
      <c r="I23" s="21"/>
      <c r="J23" s="24"/>
      <c r="K23" s="24"/>
      <c r="L23" s="24"/>
      <c r="M23" s="98" t="s">
        <v>215</v>
      </c>
      <c r="N23" s="241" t="s">
        <v>39</v>
      </c>
      <c r="O23" s="98" t="s">
        <v>25</v>
      </c>
      <c r="P23" s="32" t="s">
        <v>223</v>
      </c>
      <c r="Q23" s="235" t="s">
        <v>224</v>
      </c>
      <c r="R23" s="32" t="s">
        <v>34</v>
      </c>
      <c r="S23" s="218"/>
      <c r="T23" s="218"/>
      <c r="U23" s="219"/>
      <c r="W23" s="223">
        <v>14.0</v>
      </c>
      <c r="X23" s="226" t="s">
        <v>240</v>
      </c>
      <c r="Y23" s="223">
        <f t="shared" si="1"/>
        <v>2</v>
      </c>
      <c r="Z23" s="227">
        <f t="shared" si="2"/>
        <v>2</v>
      </c>
      <c r="AA23" s="215" t="s">
        <v>240</v>
      </c>
      <c r="AB23" s="75">
        <v>2.0</v>
      </c>
    </row>
    <row r="24" ht="15.75" customHeight="1">
      <c r="A24" s="98" t="s">
        <v>232</v>
      </c>
      <c r="B24" s="242" t="s">
        <v>99</v>
      </c>
      <c r="C24" s="98" t="s">
        <v>25</v>
      </c>
      <c r="D24" s="101" t="s">
        <v>214</v>
      </c>
      <c r="E24" s="101" t="s">
        <v>61</v>
      </c>
      <c r="F24" s="101" t="s">
        <v>25</v>
      </c>
      <c r="G24" s="98" t="s">
        <v>220</v>
      </c>
      <c r="H24" s="98" t="s">
        <v>49</v>
      </c>
      <c r="I24" s="98" t="s">
        <v>34</v>
      </c>
      <c r="J24" s="148" t="s">
        <v>241</v>
      </c>
      <c r="K24" s="148" t="s">
        <v>242</v>
      </c>
      <c r="L24" s="148" t="s">
        <v>27</v>
      </c>
      <c r="M24" s="21" t="s">
        <v>217</v>
      </c>
      <c r="N24" s="98" t="s">
        <v>49</v>
      </c>
      <c r="O24" s="98" t="s">
        <v>27</v>
      </c>
      <c r="P24" s="101" t="s">
        <v>216</v>
      </c>
      <c r="Q24" s="23"/>
      <c r="R24" s="21" t="s">
        <v>27</v>
      </c>
      <c r="S24" s="218"/>
      <c r="T24" s="218"/>
      <c r="U24" s="218"/>
      <c r="W24" s="223">
        <v>15.0</v>
      </c>
      <c r="X24" s="231" t="s">
        <v>243</v>
      </c>
      <c r="Y24" s="223">
        <f t="shared" si="1"/>
        <v>2</v>
      </c>
      <c r="Z24" s="227">
        <f t="shared" si="2"/>
        <v>2</v>
      </c>
      <c r="AA24" s="232" t="s">
        <v>243</v>
      </c>
      <c r="AB24" s="75">
        <v>2.0</v>
      </c>
    </row>
    <row r="25" ht="15.75" customHeight="1">
      <c r="A25" s="148" t="s">
        <v>213</v>
      </c>
      <c r="B25" s="148" t="s">
        <v>225</v>
      </c>
      <c r="C25" s="148" t="s">
        <v>25</v>
      </c>
      <c r="D25" s="236" t="s">
        <v>226</v>
      </c>
      <c r="E25" s="101" t="s">
        <v>78</v>
      </c>
      <c r="F25" s="101" t="s">
        <v>34</v>
      </c>
      <c r="G25" s="239" t="s">
        <v>236</v>
      </c>
      <c r="H25" s="239" t="s">
        <v>237</v>
      </c>
      <c r="I25" s="239" t="s">
        <v>62</v>
      </c>
      <c r="J25" s="101" t="s">
        <v>227</v>
      </c>
      <c r="K25" s="243" t="s">
        <v>39</v>
      </c>
      <c r="L25" s="243" t="s">
        <v>25</v>
      </c>
      <c r="M25" s="244" t="s">
        <v>216</v>
      </c>
      <c r="N25" s="206" t="s">
        <v>99</v>
      </c>
      <c r="O25" s="51" t="s">
        <v>27</v>
      </c>
      <c r="P25" s="101" t="s">
        <v>244</v>
      </c>
      <c r="Q25" s="237" t="s">
        <v>245</v>
      </c>
      <c r="R25" s="101" t="s">
        <v>27</v>
      </c>
      <c r="S25" s="221" t="s">
        <v>14</v>
      </c>
      <c r="T25" s="12"/>
      <c r="U25" s="13"/>
      <c r="W25" s="223">
        <v>16.0</v>
      </c>
      <c r="X25" s="226" t="s">
        <v>229</v>
      </c>
      <c r="Y25" s="223">
        <f t="shared" si="1"/>
        <v>4</v>
      </c>
      <c r="Z25" s="227">
        <f t="shared" si="2"/>
        <v>4</v>
      </c>
      <c r="AA25" s="215" t="s">
        <v>229</v>
      </c>
      <c r="AB25" s="75">
        <v>4.0</v>
      </c>
    </row>
    <row r="26" ht="15.75" customHeight="1">
      <c r="A26" s="101" t="s">
        <v>231</v>
      </c>
      <c r="B26" s="245" t="s">
        <v>246</v>
      </c>
      <c r="C26" s="148" t="s">
        <v>27</v>
      </c>
      <c r="D26" s="101" t="s">
        <v>239</v>
      </c>
      <c r="E26" s="101" t="s">
        <v>56</v>
      </c>
      <c r="F26" s="101" t="s">
        <v>27</v>
      </c>
      <c r="G26" s="101" t="s">
        <v>240</v>
      </c>
      <c r="H26" s="101" t="s">
        <v>99</v>
      </c>
      <c r="I26" s="101" t="s">
        <v>34</v>
      </c>
      <c r="J26" s="101" t="s">
        <v>247</v>
      </c>
      <c r="K26" s="101" t="s">
        <v>49</v>
      </c>
      <c r="L26" s="101" t="s">
        <v>25</v>
      </c>
      <c r="M26" s="98"/>
      <c r="N26" s="98"/>
      <c r="O26" s="98"/>
      <c r="P26" s="98" t="s">
        <v>229</v>
      </c>
      <c r="Q26" s="235" t="s">
        <v>157</v>
      </c>
      <c r="R26" s="98" t="s">
        <v>25</v>
      </c>
      <c r="S26" s="218"/>
      <c r="T26" s="218"/>
      <c r="U26" s="218"/>
      <c r="W26" s="223">
        <v>25.0</v>
      </c>
      <c r="X26" s="239" t="s">
        <v>248</v>
      </c>
      <c r="Y26" s="223">
        <f t="shared" si="1"/>
        <v>0</v>
      </c>
      <c r="Z26" s="227">
        <f t="shared" si="2"/>
        <v>0</v>
      </c>
      <c r="AA26" s="21" t="s">
        <v>248</v>
      </c>
      <c r="AB26" s="75">
        <v>0.0</v>
      </c>
    </row>
    <row r="27" ht="15.75" customHeight="1">
      <c r="A27" s="24"/>
      <c r="B27" s="24"/>
      <c r="C27" s="24"/>
      <c r="D27" s="24"/>
      <c r="E27" s="24"/>
      <c r="F27" s="24"/>
      <c r="G27" s="23" t="s">
        <v>243</v>
      </c>
      <c r="H27" s="23" t="s">
        <v>249</v>
      </c>
      <c r="I27" s="23" t="s">
        <v>25</v>
      </c>
      <c r="J27" s="24"/>
      <c r="K27" s="24"/>
      <c r="L27" s="24"/>
      <c r="M27" s="101" t="s">
        <v>214</v>
      </c>
      <c r="N27" s="101" t="s">
        <v>250</v>
      </c>
      <c r="O27" s="101" t="s">
        <v>62</v>
      </c>
      <c r="P27" s="218"/>
      <c r="Q27" s="229"/>
      <c r="R27" s="218"/>
      <c r="S27" s="218"/>
      <c r="T27" s="218"/>
      <c r="U27" s="218"/>
      <c r="W27" s="223">
        <v>18.0</v>
      </c>
      <c r="X27" s="226" t="s">
        <v>232</v>
      </c>
      <c r="Y27" s="223">
        <f t="shared" si="1"/>
        <v>4</v>
      </c>
      <c r="Z27" s="227">
        <f t="shared" si="2"/>
        <v>4</v>
      </c>
      <c r="AA27" s="215" t="s">
        <v>232</v>
      </c>
      <c r="AB27" s="75">
        <v>4.0</v>
      </c>
    </row>
    <row r="28" ht="15.75" customHeight="1">
      <c r="A28" s="82"/>
      <c r="B28" s="82"/>
      <c r="C28" s="82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18"/>
      <c r="Q28" s="229"/>
      <c r="R28" s="218"/>
      <c r="S28" s="218"/>
      <c r="T28" s="218"/>
      <c r="U28" s="218"/>
      <c r="W28" s="223">
        <v>19.0</v>
      </c>
      <c r="X28" s="246" t="s">
        <v>251</v>
      </c>
      <c r="Y28" s="223">
        <f t="shared" si="1"/>
        <v>0</v>
      </c>
      <c r="Z28" s="227">
        <f t="shared" si="2"/>
        <v>0</v>
      </c>
      <c r="AA28" s="169"/>
    </row>
    <row r="29" ht="15.75" customHeight="1">
      <c r="A29" s="84" t="s">
        <v>105</v>
      </c>
      <c r="B29" s="12"/>
      <c r="C29" s="13"/>
      <c r="D29" s="84" t="s">
        <v>8</v>
      </c>
      <c r="E29" s="12"/>
      <c r="F29" s="13"/>
      <c r="G29" s="84" t="s">
        <v>106</v>
      </c>
      <c r="H29" s="12"/>
      <c r="I29" s="13"/>
      <c r="J29" s="84" t="s">
        <v>10</v>
      </c>
      <c r="K29" s="12"/>
      <c r="L29" s="13"/>
      <c r="M29" s="84" t="s">
        <v>74</v>
      </c>
      <c r="N29" s="12"/>
      <c r="O29" s="13"/>
      <c r="P29" s="84" t="s">
        <v>75</v>
      </c>
      <c r="Q29" s="12"/>
      <c r="R29" s="13"/>
      <c r="S29" s="199" t="s">
        <v>13</v>
      </c>
      <c r="T29" s="12"/>
      <c r="U29" s="13"/>
      <c r="W29" s="223">
        <v>20.0</v>
      </c>
      <c r="X29" s="215" t="s">
        <v>244</v>
      </c>
      <c r="Y29" s="223">
        <f t="shared" si="1"/>
        <v>2</v>
      </c>
      <c r="Z29" s="227">
        <f t="shared" si="2"/>
        <v>2</v>
      </c>
      <c r="AA29" s="215" t="s">
        <v>244</v>
      </c>
      <c r="AB29" s="75">
        <v>2.0</v>
      </c>
    </row>
    <row r="30" ht="15.75" customHeight="1">
      <c r="A30" s="87">
        <f>S22+1</f>
        <v>46160</v>
      </c>
      <c r="B30" s="12"/>
      <c r="C30" s="13"/>
      <c r="D30" s="86">
        <f>A30+1</f>
        <v>46161</v>
      </c>
      <c r="E30" s="12"/>
      <c r="F30" s="13"/>
      <c r="G30" s="86">
        <f>D30+1</f>
        <v>46162</v>
      </c>
      <c r="H30" s="12"/>
      <c r="I30" s="13"/>
      <c r="J30" s="86">
        <f>G30+1</f>
        <v>46163</v>
      </c>
      <c r="K30" s="12"/>
      <c r="L30" s="13"/>
      <c r="M30" s="86">
        <f>J30+1</f>
        <v>46164</v>
      </c>
      <c r="N30" s="12"/>
      <c r="O30" s="13"/>
      <c r="P30" s="86">
        <f>M30+1</f>
        <v>46165</v>
      </c>
      <c r="Q30" s="12"/>
      <c r="R30" s="13"/>
      <c r="S30" s="88">
        <f>P30+1</f>
        <v>46166</v>
      </c>
      <c r="T30" s="12"/>
      <c r="U30" s="13"/>
      <c r="W30" s="223">
        <v>21.0</v>
      </c>
      <c r="X30" s="222" t="s">
        <v>236</v>
      </c>
      <c r="Y30" s="223">
        <f t="shared" si="1"/>
        <v>4</v>
      </c>
      <c r="Z30" s="227">
        <f t="shared" si="2"/>
        <v>4</v>
      </c>
      <c r="AA30" s="215" t="s">
        <v>236</v>
      </c>
      <c r="AB30" s="75">
        <v>4.0</v>
      </c>
    </row>
    <row r="31" ht="15.75" customHeight="1">
      <c r="A31" s="98"/>
      <c r="B31" s="98"/>
      <c r="C31" s="98"/>
      <c r="D31" s="148"/>
      <c r="E31" s="148"/>
      <c r="F31" s="148"/>
      <c r="G31" s="98"/>
      <c r="H31" s="98"/>
      <c r="I31" s="98"/>
      <c r="J31" s="148"/>
      <c r="K31" s="148"/>
      <c r="L31" s="148"/>
      <c r="M31" s="98"/>
      <c r="N31" s="98"/>
      <c r="O31" s="98"/>
      <c r="P31" s="101"/>
      <c r="Q31" s="101"/>
      <c r="R31" s="101"/>
      <c r="S31" s="218"/>
      <c r="T31" s="218"/>
      <c r="U31" s="219"/>
      <c r="W31" s="223">
        <v>26.0</v>
      </c>
      <c r="X31" s="148" t="s">
        <v>241</v>
      </c>
      <c r="Y31" s="223">
        <f t="shared" si="1"/>
        <v>2</v>
      </c>
      <c r="Z31" s="227">
        <f t="shared" si="2"/>
        <v>2</v>
      </c>
      <c r="AA31" s="21" t="s">
        <v>241</v>
      </c>
      <c r="AB31" s="75">
        <v>2.0</v>
      </c>
    </row>
    <row r="32" ht="15.75" customHeight="1">
      <c r="A32" s="101" t="s">
        <v>219</v>
      </c>
      <c r="B32" s="98" t="s">
        <v>49</v>
      </c>
      <c r="C32" s="98" t="s">
        <v>34</v>
      </c>
      <c r="D32" s="101" t="s">
        <v>214</v>
      </c>
      <c r="E32" s="101" t="s">
        <v>61</v>
      </c>
      <c r="F32" s="101" t="s">
        <v>25</v>
      </c>
      <c r="G32" s="98" t="s">
        <v>220</v>
      </c>
      <c r="H32" s="98" t="s">
        <v>49</v>
      </c>
      <c r="I32" s="98" t="s">
        <v>34</v>
      </c>
      <c r="J32" s="101" t="s">
        <v>214</v>
      </c>
      <c r="K32" s="101" t="s">
        <v>61</v>
      </c>
      <c r="L32" s="101" t="s">
        <v>25</v>
      </c>
      <c r="M32" s="98" t="s">
        <v>221</v>
      </c>
      <c r="N32" s="233" t="s">
        <v>222</v>
      </c>
      <c r="O32" s="234" t="s">
        <v>34</v>
      </c>
      <c r="P32" s="32" t="s">
        <v>223</v>
      </c>
      <c r="Q32" s="235" t="s">
        <v>224</v>
      </c>
      <c r="R32" s="32" t="s">
        <v>34</v>
      </c>
      <c r="S32" s="218"/>
      <c r="T32" s="218"/>
      <c r="U32" s="218"/>
      <c r="W32" s="223">
        <v>22.0</v>
      </c>
      <c r="X32" s="226" t="s">
        <v>227</v>
      </c>
      <c r="Y32" s="223">
        <f t="shared" si="1"/>
        <v>4</v>
      </c>
      <c r="Z32" s="227">
        <f t="shared" si="2"/>
        <v>4</v>
      </c>
      <c r="AA32" s="215" t="s">
        <v>227</v>
      </c>
      <c r="AB32" s="75">
        <v>4.0</v>
      </c>
    </row>
    <row r="33" ht="15.0" customHeight="1">
      <c r="A33" s="148" t="s">
        <v>213</v>
      </c>
      <c r="B33" s="148" t="s">
        <v>225</v>
      </c>
      <c r="C33" s="148" t="s">
        <v>25</v>
      </c>
      <c r="D33" s="236" t="s">
        <v>226</v>
      </c>
      <c r="E33" s="98" t="s">
        <v>78</v>
      </c>
      <c r="F33" s="98" t="s">
        <v>34</v>
      </c>
      <c r="G33" s="101" t="s">
        <v>218</v>
      </c>
      <c r="H33" s="101" t="s">
        <v>36</v>
      </c>
      <c r="I33" s="101" t="s">
        <v>25</v>
      </c>
      <c r="J33" s="101" t="s">
        <v>227</v>
      </c>
      <c r="K33" s="101" t="s">
        <v>31</v>
      </c>
      <c r="L33" s="101" t="s">
        <v>25</v>
      </c>
      <c r="M33" s="98" t="s">
        <v>228</v>
      </c>
      <c r="N33" s="49"/>
      <c r="O33" s="49"/>
      <c r="P33" s="101" t="s">
        <v>229</v>
      </c>
      <c r="Q33" s="237" t="s">
        <v>230</v>
      </c>
      <c r="R33" s="101" t="s">
        <v>25</v>
      </c>
      <c r="S33" s="221" t="s">
        <v>14</v>
      </c>
      <c r="T33" s="12"/>
      <c r="U33" s="13"/>
      <c r="W33" s="223">
        <v>23.0</v>
      </c>
      <c r="X33" s="226" t="s">
        <v>247</v>
      </c>
      <c r="Y33" s="223">
        <f t="shared" si="1"/>
        <v>2</v>
      </c>
      <c r="Z33" s="227">
        <f t="shared" si="2"/>
        <v>2</v>
      </c>
      <c r="AA33" s="215" t="s">
        <v>247</v>
      </c>
      <c r="AB33" s="75">
        <v>2.0</v>
      </c>
    </row>
    <row r="34" ht="15.75" customHeight="1">
      <c r="A34" s="98" t="s">
        <v>232</v>
      </c>
      <c r="B34" s="98" t="s">
        <v>233</v>
      </c>
      <c r="C34" s="98" t="s">
        <v>25</v>
      </c>
      <c r="D34" s="247" t="s">
        <v>239</v>
      </c>
      <c r="E34" s="247" t="s">
        <v>56</v>
      </c>
      <c r="F34" s="247" t="s">
        <v>27</v>
      </c>
      <c r="G34" s="101" t="s">
        <v>235</v>
      </c>
      <c r="H34" s="101" t="s">
        <v>38</v>
      </c>
      <c r="I34" s="101" t="s">
        <v>25</v>
      </c>
      <c r="J34" s="24"/>
      <c r="K34" s="24"/>
      <c r="L34" s="24"/>
      <c r="M34" s="82"/>
      <c r="N34" s="82"/>
      <c r="O34" s="82"/>
      <c r="P34" s="24"/>
      <c r="Q34" s="24"/>
      <c r="R34" s="24"/>
      <c r="S34" s="218"/>
      <c r="T34" s="218"/>
      <c r="U34" s="218"/>
      <c r="W34" s="223">
        <v>17.0</v>
      </c>
      <c r="X34" s="248" t="s">
        <v>235</v>
      </c>
      <c r="Y34" s="223">
        <f t="shared" si="1"/>
        <v>2</v>
      </c>
      <c r="Z34" s="227">
        <f t="shared" si="2"/>
        <v>2</v>
      </c>
      <c r="AA34" s="249" t="s">
        <v>235</v>
      </c>
      <c r="AB34" s="75">
        <v>2.0</v>
      </c>
    </row>
    <row r="35" ht="15.75" customHeight="1">
      <c r="A35" s="98"/>
      <c r="B35" s="98"/>
      <c r="C35" s="98"/>
      <c r="G35" s="239" t="s">
        <v>236</v>
      </c>
      <c r="H35" s="239" t="s">
        <v>237</v>
      </c>
      <c r="I35" s="239" t="s">
        <v>25</v>
      </c>
      <c r="J35" s="24"/>
      <c r="K35" s="24"/>
      <c r="L35" s="24"/>
      <c r="M35" s="98"/>
      <c r="N35" s="98"/>
      <c r="O35" s="98"/>
      <c r="P35" s="98"/>
      <c r="Q35" s="98"/>
      <c r="R35" s="98"/>
      <c r="S35" s="218"/>
      <c r="T35" s="218"/>
      <c r="U35" s="218"/>
      <c r="W35" s="223">
        <v>1.0</v>
      </c>
      <c r="X35" s="250" t="s">
        <v>226</v>
      </c>
      <c r="Y35" s="223">
        <f t="shared" si="1"/>
        <v>4</v>
      </c>
      <c r="Z35" s="227">
        <f t="shared" si="2"/>
        <v>4</v>
      </c>
      <c r="AA35" s="249" t="s">
        <v>226</v>
      </c>
      <c r="AB35" s="75">
        <v>5.0</v>
      </c>
    </row>
    <row r="36" ht="15.75" customHeight="1">
      <c r="A36" s="98"/>
      <c r="B36" s="98"/>
      <c r="C36" s="98"/>
      <c r="D36" s="98"/>
      <c r="E36" s="98"/>
      <c r="F36" s="98"/>
      <c r="G36" s="251" t="s">
        <v>234</v>
      </c>
      <c r="H36" s="251" t="s">
        <v>26</v>
      </c>
      <c r="I36" s="251" t="s">
        <v>25</v>
      </c>
      <c r="J36" s="148"/>
      <c r="K36" s="213" t="s">
        <v>0</v>
      </c>
      <c r="L36" s="148"/>
      <c r="M36" s="98"/>
      <c r="N36" s="98"/>
      <c r="O36" s="98"/>
      <c r="P36" s="101"/>
      <c r="Q36" s="101"/>
      <c r="R36" s="101"/>
      <c r="S36" s="218"/>
      <c r="T36" s="218"/>
      <c r="U36" s="218"/>
      <c r="W36" s="223">
        <v>27.0</v>
      </c>
      <c r="X36" s="252" t="s">
        <v>220</v>
      </c>
      <c r="Y36" s="223">
        <f t="shared" si="1"/>
        <v>4</v>
      </c>
      <c r="Z36" s="227">
        <f t="shared" si="2"/>
        <v>4</v>
      </c>
      <c r="AA36" s="252" t="s">
        <v>220</v>
      </c>
      <c r="AB36" s="75">
        <v>6.0</v>
      </c>
    </row>
    <row r="37" ht="15.75" customHeight="1">
      <c r="A37" s="106" t="s">
        <v>105</v>
      </c>
      <c r="B37" s="12"/>
      <c r="C37" s="13"/>
      <c r="D37" s="106" t="s">
        <v>8</v>
      </c>
      <c r="E37" s="12"/>
      <c r="F37" s="13"/>
      <c r="G37" s="107" t="s">
        <v>106</v>
      </c>
      <c r="H37" s="12"/>
      <c r="I37" s="13"/>
      <c r="J37" s="106" t="s">
        <v>10</v>
      </c>
      <c r="K37" s="12"/>
      <c r="L37" s="13"/>
      <c r="M37" s="106" t="s">
        <v>11</v>
      </c>
      <c r="N37" s="12"/>
      <c r="O37" s="13"/>
      <c r="P37" s="106" t="s">
        <v>75</v>
      </c>
      <c r="Q37" s="12"/>
      <c r="R37" s="13"/>
      <c r="S37" s="107" t="s">
        <v>107</v>
      </c>
      <c r="T37" s="12"/>
      <c r="U37" s="13"/>
      <c r="W37" s="253">
        <v>28.0</v>
      </c>
      <c r="X37" s="98"/>
      <c r="Y37" s="254">
        <f t="shared" si="1"/>
        <v>0</v>
      </c>
      <c r="Z37" s="227">
        <f t="shared" si="2"/>
        <v>0</v>
      </c>
    </row>
    <row r="38" ht="15.75" customHeight="1">
      <c r="A38" s="109">
        <f>S30+1</f>
        <v>46167</v>
      </c>
      <c r="B38" s="12"/>
      <c r="C38" s="13"/>
      <c r="D38" s="109">
        <f>A38+1</f>
        <v>46168</v>
      </c>
      <c r="E38" s="12"/>
      <c r="F38" s="13"/>
      <c r="G38" s="110">
        <f>D38+1</f>
        <v>46169</v>
      </c>
      <c r="H38" s="12"/>
      <c r="I38" s="13"/>
      <c r="J38" s="109">
        <f>G38+1</f>
        <v>46170</v>
      </c>
      <c r="K38" s="12"/>
      <c r="L38" s="13"/>
      <c r="M38" s="109">
        <f>J38+1</f>
        <v>46171</v>
      </c>
      <c r="N38" s="12"/>
      <c r="O38" s="13"/>
      <c r="P38" s="109">
        <f>M38+1</f>
        <v>46172</v>
      </c>
      <c r="Q38" s="12"/>
      <c r="R38" s="13"/>
      <c r="S38" s="110">
        <f>P38+1</f>
        <v>46173</v>
      </c>
      <c r="T38" s="12"/>
      <c r="U38" s="13"/>
      <c r="W38" s="223">
        <v>29.0</v>
      </c>
      <c r="X38" s="255"/>
      <c r="Y38" s="223">
        <f t="shared" si="1"/>
        <v>0</v>
      </c>
      <c r="Z38" s="227">
        <f t="shared" si="2"/>
        <v>0</v>
      </c>
    </row>
    <row r="39" ht="15.75" customHeight="1">
      <c r="A39" s="149"/>
      <c r="B39" s="149"/>
      <c r="C39" s="149"/>
      <c r="D39" s="32"/>
      <c r="E39" s="32"/>
      <c r="F39" s="32"/>
      <c r="G39" s="98"/>
      <c r="H39" s="98"/>
      <c r="I39" s="98"/>
      <c r="J39" s="24"/>
      <c r="K39" s="24"/>
      <c r="L39" s="24"/>
      <c r="M39" s="98"/>
      <c r="N39" s="98"/>
      <c r="O39" s="98"/>
      <c r="P39" s="98"/>
      <c r="Q39" s="98"/>
      <c r="R39" s="98"/>
      <c r="S39" s="183"/>
      <c r="T39" s="183"/>
      <c r="U39" s="186"/>
      <c r="W39" s="223">
        <v>30.0</v>
      </c>
      <c r="X39" s="231"/>
      <c r="Y39" s="223">
        <f t="shared" si="1"/>
        <v>0</v>
      </c>
      <c r="Z39" s="227">
        <f t="shared" si="2"/>
        <v>0</v>
      </c>
    </row>
    <row r="40" ht="15.75" customHeight="1">
      <c r="A40" s="98" t="s">
        <v>232</v>
      </c>
      <c r="B40" s="242" t="s">
        <v>99</v>
      </c>
      <c r="C40" s="98" t="s">
        <v>25</v>
      </c>
      <c r="D40" s="101" t="s">
        <v>214</v>
      </c>
      <c r="E40" s="101" t="s">
        <v>61</v>
      </c>
      <c r="F40" s="101" t="s">
        <v>25</v>
      </c>
      <c r="G40" s="24"/>
      <c r="H40" s="24"/>
      <c r="I40" s="24"/>
      <c r="J40" s="148" t="s">
        <v>241</v>
      </c>
      <c r="K40" s="148" t="s">
        <v>242</v>
      </c>
      <c r="L40" s="148" t="s">
        <v>27</v>
      </c>
      <c r="M40" s="98" t="s">
        <v>215</v>
      </c>
      <c r="N40" s="23" t="s">
        <v>39</v>
      </c>
      <c r="O40" s="98" t="s">
        <v>25</v>
      </c>
      <c r="P40" s="101" t="s">
        <v>216</v>
      </c>
      <c r="Q40" s="23" t="s">
        <v>99</v>
      </c>
      <c r="R40" s="21" t="s">
        <v>27</v>
      </c>
      <c r="S40" s="186"/>
      <c r="T40" s="186"/>
      <c r="U40" s="186"/>
      <c r="W40" s="223">
        <v>31.0</v>
      </c>
      <c r="X40" s="231"/>
      <c r="Y40" s="223">
        <f t="shared" si="1"/>
        <v>0</v>
      </c>
      <c r="Z40" s="227">
        <f t="shared" si="2"/>
        <v>0</v>
      </c>
    </row>
    <row r="41" ht="15.75" customHeight="1">
      <c r="A41" s="149" t="s">
        <v>220</v>
      </c>
      <c r="B41" s="189" t="s">
        <v>99</v>
      </c>
      <c r="C41" s="149" t="s">
        <v>34</v>
      </c>
      <c r="D41" s="236" t="s">
        <v>226</v>
      </c>
      <c r="E41" s="98" t="s">
        <v>78</v>
      </c>
      <c r="F41" s="98" t="s">
        <v>34</v>
      </c>
      <c r="G41" s="256"/>
      <c r="H41" s="256"/>
      <c r="I41" s="257"/>
      <c r="J41" s="101" t="s">
        <v>227</v>
      </c>
      <c r="K41" s="243" t="s">
        <v>39</v>
      </c>
      <c r="L41" s="243" t="s">
        <v>25</v>
      </c>
      <c r="M41" s="21" t="s">
        <v>217</v>
      </c>
      <c r="N41" s="98" t="s">
        <v>49</v>
      </c>
      <c r="O41" s="98" t="s">
        <v>27</v>
      </c>
      <c r="P41" s="101" t="s">
        <v>244</v>
      </c>
      <c r="Q41" s="237" t="s">
        <v>245</v>
      </c>
      <c r="R41" s="101" t="s">
        <v>27</v>
      </c>
      <c r="S41" s="221" t="s">
        <v>14</v>
      </c>
      <c r="T41" s="12"/>
      <c r="U41" s="13"/>
    </row>
    <row r="42" ht="15.75" customHeight="1">
      <c r="A42" s="148" t="s">
        <v>213</v>
      </c>
      <c r="B42" s="148" t="s">
        <v>225</v>
      </c>
      <c r="C42" s="148" t="s">
        <v>25</v>
      </c>
      <c r="D42" s="101" t="s">
        <v>239</v>
      </c>
      <c r="E42" s="101" t="s">
        <v>56</v>
      </c>
      <c r="F42" s="101" t="s">
        <v>27</v>
      </c>
      <c r="G42" s="221" t="s">
        <v>14</v>
      </c>
      <c r="H42" s="12"/>
      <c r="I42" s="13"/>
      <c r="J42" s="101" t="s">
        <v>247</v>
      </c>
      <c r="K42" s="101" t="s">
        <v>49</v>
      </c>
      <c r="L42" s="101" t="s">
        <v>25</v>
      </c>
      <c r="M42" s="149" t="s">
        <v>236</v>
      </c>
      <c r="N42" s="149" t="s">
        <v>237</v>
      </c>
      <c r="O42" s="149" t="s">
        <v>62</v>
      </c>
      <c r="P42" s="98" t="s">
        <v>229</v>
      </c>
      <c r="Q42" s="235" t="s">
        <v>157</v>
      </c>
      <c r="R42" s="98" t="s">
        <v>25</v>
      </c>
      <c r="S42" s="183"/>
      <c r="T42" s="183"/>
      <c r="U42" s="186"/>
    </row>
    <row r="43" ht="15.75" customHeight="1">
      <c r="A43" s="101" t="s">
        <v>231</v>
      </c>
      <c r="B43" s="245" t="s">
        <v>246</v>
      </c>
      <c r="C43" s="148" t="s">
        <v>27</v>
      </c>
      <c r="D43" s="101"/>
      <c r="E43" s="101"/>
      <c r="F43" s="101"/>
      <c r="G43" s="258"/>
      <c r="H43" s="258"/>
      <c r="I43" s="258"/>
      <c r="J43" s="101" t="s">
        <v>240</v>
      </c>
      <c r="K43" s="101" t="s">
        <v>99</v>
      </c>
      <c r="L43" s="101" t="s">
        <v>34</v>
      </c>
      <c r="M43" s="101" t="s">
        <v>214</v>
      </c>
      <c r="N43" s="101" t="s">
        <v>250</v>
      </c>
      <c r="O43" s="101" t="s">
        <v>62</v>
      </c>
      <c r="P43" s="98"/>
      <c r="Q43" s="98"/>
      <c r="R43" s="98"/>
      <c r="S43" s="186"/>
      <c r="T43" s="186"/>
      <c r="U43" s="186"/>
      <c r="Y43" s="75">
        <f t="shared" ref="Y43:Z43" si="3">SUM(Y10:Y42)</f>
        <v>71</v>
      </c>
      <c r="Z43" s="75">
        <f t="shared" si="3"/>
        <v>71</v>
      </c>
    </row>
    <row r="44" ht="15.75" customHeight="1">
      <c r="A44" s="98"/>
      <c r="B44" s="98"/>
      <c r="C44" s="98"/>
      <c r="D44" s="24"/>
      <c r="E44" s="24"/>
      <c r="F44" s="24"/>
      <c r="G44" s="24"/>
      <c r="H44" s="24"/>
      <c r="I44" s="24"/>
      <c r="J44" s="23" t="s">
        <v>243</v>
      </c>
      <c r="K44" s="23" t="s">
        <v>249</v>
      </c>
      <c r="L44" s="23" t="s">
        <v>25</v>
      </c>
      <c r="M44" s="98"/>
      <c r="N44" s="98"/>
      <c r="O44" s="98"/>
      <c r="P44" s="98"/>
      <c r="Q44" s="98"/>
      <c r="R44" s="98"/>
      <c r="S44" s="181"/>
      <c r="T44" s="181"/>
      <c r="U44" s="181"/>
    </row>
    <row r="45" ht="15.75" customHeight="1">
      <c r="A45" s="84"/>
      <c r="B45" s="12"/>
      <c r="C45" s="13"/>
      <c r="D45" s="84"/>
      <c r="E45" s="12"/>
      <c r="F45" s="13"/>
      <c r="G45" s="199"/>
      <c r="H45" s="12"/>
      <c r="I45" s="13"/>
      <c r="J45" s="84"/>
      <c r="K45" s="12"/>
      <c r="L45" s="13"/>
      <c r="M45" s="84"/>
      <c r="N45" s="12"/>
      <c r="O45" s="13"/>
      <c r="P45" s="84"/>
      <c r="Q45" s="12"/>
      <c r="R45" s="13"/>
      <c r="S45" s="84"/>
      <c r="T45" s="12"/>
      <c r="U45" s="13"/>
    </row>
    <row r="46" ht="15.75" customHeight="1">
      <c r="A46" s="87"/>
      <c r="B46" s="12"/>
      <c r="C46" s="13"/>
      <c r="D46" s="86"/>
      <c r="E46" s="12"/>
      <c r="F46" s="13"/>
      <c r="G46" s="86"/>
      <c r="H46" s="12"/>
      <c r="I46" s="13"/>
      <c r="J46" s="86"/>
      <c r="K46" s="12"/>
      <c r="L46" s="13"/>
      <c r="M46" s="86"/>
      <c r="N46" s="12"/>
      <c r="O46" s="13"/>
      <c r="P46" s="86"/>
      <c r="Q46" s="12"/>
      <c r="R46" s="13"/>
      <c r="S46" s="87"/>
      <c r="T46" s="12"/>
      <c r="U46" s="13"/>
    </row>
    <row r="47" ht="15.75" customHeight="1">
      <c r="A47" s="218"/>
      <c r="B47" s="218"/>
      <c r="C47" s="219"/>
      <c r="D47" s="149"/>
      <c r="E47" s="149"/>
      <c r="F47" s="149"/>
      <c r="G47" s="149"/>
      <c r="H47" s="149"/>
      <c r="I47" s="149"/>
      <c r="J47" s="98"/>
      <c r="K47" s="98"/>
      <c r="L47" s="98"/>
      <c r="M47" s="98"/>
      <c r="N47" s="98"/>
      <c r="O47" s="98"/>
      <c r="P47" s="98"/>
      <c r="Q47" s="98"/>
      <c r="R47" s="98"/>
      <c r="S47" s="183"/>
      <c r="T47" s="183"/>
      <c r="U47" s="186"/>
    </row>
    <row r="48" ht="15.75" customHeight="1">
      <c r="A48" s="218"/>
      <c r="B48" s="218"/>
      <c r="C48" s="218"/>
      <c r="D48" s="149"/>
      <c r="E48" s="149"/>
      <c r="F48" s="149"/>
      <c r="G48" s="149"/>
      <c r="H48" s="149"/>
      <c r="I48" s="149"/>
      <c r="J48" s="98"/>
      <c r="K48" s="98"/>
      <c r="L48" s="98"/>
      <c r="M48" s="98"/>
      <c r="N48" s="98"/>
      <c r="O48" s="98"/>
      <c r="P48" s="98"/>
      <c r="Q48" s="98"/>
      <c r="R48" s="98"/>
      <c r="S48" s="186"/>
      <c r="T48" s="186"/>
      <c r="U48" s="186"/>
    </row>
    <row r="49" ht="15.75" customHeight="1">
      <c r="A49" s="98"/>
      <c r="B49" s="149"/>
      <c r="C49" s="98"/>
      <c r="D49" s="149"/>
      <c r="E49" s="149"/>
      <c r="F49" s="149"/>
      <c r="G49" s="149"/>
      <c r="H49" s="149"/>
      <c r="I49" s="149"/>
      <c r="J49" s="98"/>
      <c r="K49" s="98"/>
      <c r="L49" s="98"/>
      <c r="M49" s="98"/>
      <c r="N49" s="98"/>
      <c r="O49" s="98"/>
      <c r="P49" s="101"/>
      <c r="Q49" s="101"/>
      <c r="R49" s="148"/>
      <c r="S49" s="186"/>
      <c r="T49" s="186"/>
      <c r="U49" s="186"/>
    </row>
    <row r="50" ht="15.75" customHeight="1">
      <c r="A50" s="218"/>
      <c r="B50" s="218"/>
      <c r="C50" s="218"/>
      <c r="D50" s="149"/>
      <c r="E50" s="149"/>
      <c r="F50" s="149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183"/>
      <c r="T50" s="183"/>
      <c r="U50" s="186"/>
    </row>
    <row r="51" ht="15.75" customHeight="1">
      <c r="A51" s="218"/>
      <c r="B51" s="218"/>
      <c r="C51" s="218"/>
      <c r="D51" s="186"/>
      <c r="E51" s="186"/>
      <c r="F51" s="186"/>
      <c r="G51" s="149"/>
      <c r="H51" s="149"/>
      <c r="I51" s="149"/>
      <c r="J51" s="98"/>
      <c r="K51" s="98"/>
      <c r="L51" s="98"/>
      <c r="M51" s="98"/>
      <c r="N51" s="98"/>
      <c r="O51" s="98"/>
      <c r="P51" s="98"/>
      <c r="Q51" s="98"/>
      <c r="R51" s="98"/>
      <c r="S51" s="186"/>
      <c r="T51" s="186"/>
      <c r="U51" s="186"/>
    </row>
    <row r="52" ht="15.75" customHeight="1">
      <c r="A52" s="218"/>
      <c r="B52" s="218"/>
      <c r="C52" s="218"/>
      <c r="D52" s="181"/>
      <c r="E52" s="181"/>
      <c r="F52" s="181"/>
      <c r="G52" s="98"/>
      <c r="H52" s="98"/>
      <c r="I52" s="98"/>
      <c r="J52" s="218"/>
      <c r="K52" s="218"/>
      <c r="L52" s="218"/>
      <c r="M52" s="98"/>
      <c r="N52" s="98"/>
      <c r="O52" s="98"/>
      <c r="P52" s="218"/>
      <c r="Q52" s="218"/>
      <c r="R52" s="218"/>
      <c r="S52" s="181"/>
      <c r="T52" s="181"/>
      <c r="U52" s="181"/>
    </row>
    <row r="53" ht="15.75" customHeight="1"/>
    <row r="54" ht="15.75" customHeight="1"/>
    <row r="55" ht="15.75" customHeight="1">
      <c r="A55" s="60" t="s">
        <v>64</v>
      </c>
      <c r="B55" s="61"/>
    </row>
    <row r="56" ht="15.75" customHeight="1">
      <c r="A56" s="62"/>
      <c r="B56" s="63" t="s">
        <v>65</v>
      </c>
      <c r="C56" s="64"/>
      <c r="D56" s="65"/>
      <c r="I56" s="81"/>
    </row>
    <row r="57" ht="15.75" customHeight="1">
      <c r="A57" s="66"/>
      <c r="B57" s="63" t="s">
        <v>66</v>
      </c>
      <c r="C57" s="64"/>
    </row>
    <row r="58" ht="15.75" customHeight="1">
      <c r="A58" s="67"/>
      <c r="B58" s="63" t="s">
        <v>67</v>
      </c>
      <c r="C58" s="64"/>
    </row>
    <row r="59" ht="15.75" customHeight="1">
      <c r="A59" s="68"/>
      <c r="B59" s="63" t="s">
        <v>68</v>
      </c>
      <c r="C59" s="6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5">
    <sortState ref="W9:Y35">
      <sortCondition ref="X9:X35"/>
    </sortState>
  </autoFilter>
  <mergeCells count="106">
    <mergeCell ref="M21:O21"/>
    <mergeCell ref="P21:R21"/>
    <mergeCell ref="N16:N17"/>
    <mergeCell ref="O16:O17"/>
    <mergeCell ref="S17:U17"/>
    <mergeCell ref="D21:F21"/>
    <mergeCell ref="G21:I21"/>
    <mergeCell ref="J21:L21"/>
    <mergeCell ref="S21:U21"/>
    <mergeCell ref="S22:U22"/>
    <mergeCell ref="S25:U25"/>
    <mergeCell ref="A21:C21"/>
    <mergeCell ref="A22:C22"/>
    <mergeCell ref="D22:F22"/>
    <mergeCell ref="G22:I22"/>
    <mergeCell ref="J22:L22"/>
    <mergeCell ref="M22:O22"/>
    <mergeCell ref="P22:R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M37:O37"/>
    <mergeCell ref="P37:R37"/>
    <mergeCell ref="N32:N33"/>
    <mergeCell ref="O32:O33"/>
    <mergeCell ref="S33:U33"/>
    <mergeCell ref="D37:F37"/>
    <mergeCell ref="G37:I37"/>
    <mergeCell ref="J37:L37"/>
    <mergeCell ref="S37:U37"/>
    <mergeCell ref="A37:C37"/>
    <mergeCell ref="A38:C38"/>
    <mergeCell ref="D38:F38"/>
    <mergeCell ref="G38:I38"/>
    <mergeCell ref="J38:L38"/>
    <mergeCell ref="M38:O38"/>
    <mergeCell ref="P38:R38"/>
    <mergeCell ref="S38:U38"/>
    <mergeCell ref="S41:U41"/>
    <mergeCell ref="G42:I42"/>
    <mergeCell ref="A45:C45"/>
    <mergeCell ref="D45:F45"/>
    <mergeCell ref="G45:I45"/>
    <mergeCell ref="J45:L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P9:R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46:R46"/>
    <mergeCell ref="S46:U46"/>
    <mergeCell ref="M45:O45"/>
    <mergeCell ref="P45:R45"/>
    <mergeCell ref="A46:C46"/>
    <mergeCell ref="D46:F46"/>
    <mergeCell ref="G46:I46"/>
    <mergeCell ref="J46:L46"/>
    <mergeCell ref="M46:O46"/>
    <mergeCell ref="B55:D55"/>
  </mergeCells>
  <printOptions/>
  <pageMargins bottom="0.3167068834137669" footer="0.0" header="0.0" left="0.20002540005080013" right="0.25003175006350015" top="0.21669418338836682"/>
  <pageSetup fitToHeight="0"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57"/>
    <col customWidth="1" min="3" max="3" width="7.86"/>
    <col customWidth="1" min="4" max="4" width="19.29"/>
    <col customWidth="1" min="5" max="5" width="11.43"/>
    <col customWidth="1" min="6" max="6" width="7.43"/>
    <col customWidth="1" min="7" max="7" width="22.43"/>
    <col customWidth="1" min="8" max="8" width="11.43"/>
    <col customWidth="1" min="9" max="9" width="7.14"/>
    <col customWidth="1" min="10" max="10" width="17.0"/>
    <col customWidth="1" min="11" max="11" width="11.43"/>
    <col customWidth="1" min="12" max="12" width="7.71"/>
    <col customWidth="1" min="13" max="13" width="20.86"/>
    <col customWidth="1" min="14" max="14" width="11.43"/>
    <col customWidth="1" min="15" max="15" width="7.71"/>
    <col customWidth="1" min="16" max="16" width="17.29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16.5" customHeight="1">
      <c r="A1" s="6" t="s">
        <v>69</v>
      </c>
      <c r="C1" s="2" t="s">
        <v>252</v>
      </c>
      <c r="F1" s="259"/>
      <c r="G1" s="4" t="s">
        <v>2</v>
      </c>
      <c r="Q1" s="259"/>
    </row>
    <row r="2">
      <c r="A2" s="6" t="s">
        <v>3</v>
      </c>
      <c r="C2" s="7" t="s">
        <v>71</v>
      </c>
      <c r="F2" s="259"/>
      <c r="Q2" s="259"/>
    </row>
    <row r="3">
      <c r="A3" s="6" t="s">
        <v>5</v>
      </c>
      <c r="C3" s="2" t="s">
        <v>72</v>
      </c>
      <c r="F3" s="259"/>
      <c r="Q3" s="259"/>
    </row>
    <row r="4">
      <c r="A4" s="191" t="s">
        <v>6</v>
      </c>
      <c r="B4" s="192"/>
      <c r="C4" s="2" t="s">
        <v>72</v>
      </c>
      <c r="F4" s="259"/>
      <c r="G4" s="259"/>
      <c r="H4" s="259"/>
      <c r="I4" s="259"/>
      <c r="J4" s="259"/>
      <c r="K4" s="259"/>
      <c r="L4" s="259"/>
      <c r="M4" s="259"/>
      <c r="N4" s="259"/>
      <c r="O4" s="260"/>
      <c r="P4" s="261"/>
      <c r="Q4" s="140"/>
    </row>
    <row r="5">
      <c r="A5" s="262" t="s">
        <v>7</v>
      </c>
      <c r="B5" s="263"/>
      <c r="C5" s="264"/>
      <c r="D5" s="262" t="s">
        <v>8</v>
      </c>
      <c r="E5" s="263"/>
      <c r="F5" s="264"/>
      <c r="G5" s="262" t="s">
        <v>9</v>
      </c>
      <c r="H5" s="263"/>
      <c r="I5" s="264"/>
      <c r="J5" s="262" t="s">
        <v>10</v>
      </c>
      <c r="K5" s="263"/>
      <c r="L5" s="264"/>
      <c r="M5" s="265" t="s">
        <v>11</v>
      </c>
      <c r="N5" s="263"/>
      <c r="O5" s="264"/>
      <c r="P5" s="262" t="s">
        <v>12</v>
      </c>
      <c r="Q5" s="263"/>
      <c r="R5" s="264"/>
      <c r="S5" s="265" t="s">
        <v>13</v>
      </c>
      <c r="T5" s="263"/>
      <c r="U5" s="264"/>
    </row>
    <row r="6">
      <c r="A6" s="266"/>
      <c r="B6" s="267"/>
      <c r="C6" s="268"/>
      <c r="D6" s="269"/>
      <c r="F6" s="270"/>
      <c r="G6" s="271"/>
      <c r="H6" s="267"/>
      <c r="I6" s="268"/>
      <c r="J6" s="271"/>
      <c r="K6" s="267"/>
      <c r="L6" s="268"/>
      <c r="M6" s="272">
        <v>46143.0</v>
      </c>
      <c r="N6" s="267"/>
      <c r="O6" s="268"/>
      <c r="P6" s="273">
        <f>M6+1</f>
        <v>46144</v>
      </c>
      <c r="R6" s="270"/>
      <c r="S6" s="274">
        <f>P6+1</f>
        <v>46145</v>
      </c>
      <c r="U6" s="270"/>
    </row>
    <row r="7">
      <c r="A7" s="275"/>
      <c r="B7" s="275"/>
      <c r="C7" s="275"/>
      <c r="D7" s="275"/>
      <c r="E7" s="275"/>
      <c r="F7" s="275"/>
      <c r="G7" s="21"/>
      <c r="H7" s="21"/>
      <c r="I7" s="21"/>
      <c r="J7" s="98"/>
      <c r="K7" s="101"/>
      <c r="L7" s="101"/>
      <c r="M7" s="275"/>
      <c r="N7" s="275"/>
      <c r="O7" s="275"/>
      <c r="P7" s="21"/>
      <c r="Q7" s="21"/>
      <c r="R7" s="21"/>
      <c r="S7" s="276"/>
      <c r="T7" s="276"/>
      <c r="U7" s="276"/>
    </row>
    <row r="8">
      <c r="A8" s="275"/>
      <c r="B8" s="275"/>
      <c r="C8" s="275"/>
      <c r="D8" s="275"/>
      <c r="E8" s="275"/>
      <c r="F8" s="275"/>
      <c r="G8" s="21"/>
      <c r="H8" s="21"/>
      <c r="I8" s="21"/>
      <c r="J8" s="98"/>
      <c r="K8" s="101"/>
      <c r="L8" s="101"/>
      <c r="M8" s="275"/>
      <c r="N8" s="275"/>
      <c r="O8" s="275"/>
      <c r="P8" s="24"/>
      <c r="Q8" s="24"/>
      <c r="R8" s="24"/>
      <c r="S8" s="277" t="s">
        <v>14</v>
      </c>
      <c r="T8" s="12"/>
      <c r="U8" s="13"/>
    </row>
    <row r="9">
      <c r="A9" s="275"/>
      <c r="B9" s="275"/>
      <c r="C9" s="275"/>
      <c r="D9" s="275"/>
      <c r="E9" s="275"/>
      <c r="F9" s="275"/>
      <c r="G9" s="24"/>
      <c r="H9" s="24"/>
      <c r="I9" s="24"/>
      <c r="J9" s="98"/>
      <c r="K9" s="101"/>
      <c r="L9" s="101"/>
      <c r="M9" s="275"/>
      <c r="N9" s="275"/>
      <c r="O9" s="275"/>
      <c r="P9" s="24"/>
      <c r="Q9" s="24"/>
      <c r="R9" s="24"/>
      <c r="S9" s="278"/>
      <c r="T9" s="278"/>
      <c r="U9" s="278"/>
      <c r="W9" s="141" t="s">
        <v>15</v>
      </c>
      <c r="X9" s="142" t="s">
        <v>126</v>
      </c>
      <c r="Y9" s="143" t="s">
        <v>17</v>
      </c>
    </row>
    <row r="10">
      <c r="A10" s="275"/>
      <c r="B10" s="275"/>
      <c r="C10" s="275"/>
      <c r="D10" s="275"/>
      <c r="E10" s="275"/>
      <c r="F10" s="275"/>
      <c r="G10" s="24"/>
      <c r="H10" s="24"/>
      <c r="I10" s="24"/>
      <c r="J10" s="24"/>
      <c r="K10" s="24"/>
      <c r="L10" s="24"/>
      <c r="M10" s="277" t="s">
        <v>14</v>
      </c>
      <c r="N10" s="12"/>
      <c r="O10" s="13"/>
      <c r="P10" s="277" t="s">
        <v>14</v>
      </c>
      <c r="Q10" s="12"/>
      <c r="R10" s="13"/>
      <c r="S10" s="186"/>
      <c r="T10" s="186"/>
      <c r="U10" s="183"/>
      <c r="W10" s="146">
        <v>10.0</v>
      </c>
      <c r="X10" s="145" t="s">
        <v>253</v>
      </c>
      <c r="Y10" s="146">
        <f t="shared" ref="Y10:Y32" si="1">COUNTIF($A$5:$U$51,X10)</f>
        <v>0</v>
      </c>
    </row>
    <row r="11">
      <c r="A11" s="275"/>
      <c r="B11" s="275"/>
      <c r="C11" s="275"/>
      <c r="D11" s="275"/>
      <c r="E11" s="275"/>
      <c r="F11" s="275"/>
      <c r="G11" s="24"/>
      <c r="H11" s="24"/>
      <c r="I11" s="24"/>
      <c r="J11" s="24"/>
      <c r="K11" s="24"/>
      <c r="L11" s="24"/>
      <c r="M11" s="275"/>
      <c r="N11" s="275"/>
      <c r="O11" s="275"/>
      <c r="P11" s="24"/>
      <c r="Q11" s="24"/>
      <c r="R11" s="24"/>
      <c r="S11" s="105"/>
      <c r="T11" s="105"/>
      <c r="U11" s="82"/>
      <c r="W11" s="146">
        <v>12.0</v>
      </c>
      <c r="X11" s="145" t="s">
        <v>213</v>
      </c>
      <c r="Y11" s="146">
        <f t="shared" si="1"/>
        <v>4</v>
      </c>
    </row>
    <row r="12">
      <c r="A12" s="82"/>
      <c r="B12" s="82"/>
      <c r="C12" s="82"/>
      <c r="D12" s="82"/>
      <c r="E12" s="82"/>
      <c r="F12" s="82"/>
      <c r="G12" s="24"/>
      <c r="H12" s="24"/>
      <c r="I12" s="24"/>
      <c r="J12" s="24"/>
      <c r="K12" s="24"/>
      <c r="L12" s="24"/>
      <c r="M12" s="82"/>
      <c r="N12" s="82"/>
      <c r="O12" s="82"/>
      <c r="P12" s="82"/>
      <c r="Q12" s="82"/>
      <c r="R12" s="82"/>
      <c r="S12" s="183"/>
      <c r="T12" s="183"/>
      <c r="U12" s="183"/>
      <c r="W12" s="146">
        <v>6.0</v>
      </c>
      <c r="X12" s="30" t="s">
        <v>254</v>
      </c>
      <c r="Y12" s="146">
        <f t="shared" si="1"/>
        <v>3</v>
      </c>
    </row>
    <row r="13">
      <c r="A13" s="84" t="s">
        <v>7</v>
      </c>
      <c r="B13" s="12"/>
      <c r="C13" s="13"/>
      <c r="D13" s="84" t="s">
        <v>8</v>
      </c>
      <c r="E13" s="12"/>
      <c r="F13" s="13"/>
      <c r="G13" s="84" t="s">
        <v>9</v>
      </c>
      <c r="H13" s="12"/>
      <c r="I13" s="13"/>
      <c r="J13" s="84" t="s">
        <v>10</v>
      </c>
      <c r="K13" s="12"/>
      <c r="L13" s="13"/>
      <c r="M13" s="84" t="s">
        <v>74</v>
      </c>
      <c r="N13" s="12"/>
      <c r="O13" s="13"/>
      <c r="P13" s="84" t="s">
        <v>75</v>
      </c>
      <c r="Q13" s="12"/>
      <c r="R13" s="13"/>
      <c r="S13" s="85" t="s">
        <v>13</v>
      </c>
      <c r="T13" s="12"/>
      <c r="U13" s="13"/>
      <c r="W13" s="146">
        <v>13.0</v>
      </c>
      <c r="X13" s="145" t="s">
        <v>255</v>
      </c>
      <c r="Y13" s="146">
        <f t="shared" si="1"/>
        <v>2</v>
      </c>
    </row>
    <row r="14">
      <c r="A14" s="86">
        <f>S6+1</f>
        <v>46146</v>
      </c>
      <c r="B14" s="12"/>
      <c r="C14" s="13"/>
      <c r="D14" s="86">
        <f>A14+1</f>
        <v>46147</v>
      </c>
      <c r="E14" s="12"/>
      <c r="F14" s="13"/>
      <c r="G14" s="86">
        <f>D14+1</f>
        <v>46148</v>
      </c>
      <c r="H14" s="12"/>
      <c r="I14" s="13"/>
      <c r="J14" s="86">
        <f>G14+1</f>
        <v>46149</v>
      </c>
      <c r="K14" s="12"/>
      <c r="L14" s="13"/>
      <c r="M14" s="87">
        <f>J14+1</f>
        <v>46150</v>
      </c>
      <c r="N14" s="12"/>
      <c r="O14" s="13"/>
      <c r="P14" s="86">
        <f>M14+1</f>
        <v>46151</v>
      </c>
      <c r="Q14" s="12"/>
      <c r="R14" s="13"/>
      <c r="S14" s="88">
        <f>P14+1</f>
        <v>46152</v>
      </c>
      <c r="T14" s="12"/>
      <c r="U14" s="13"/>
      <c r="W14" s="146">
        <v>15.0</v>
      </c>
      <c r="X14" s="145" t="s">
        <v>256</v>
      </c>
      <c r="Y14" s="146">
        <f t="shared" si="1"/>
        <v>2</v>
      </c>
    </row>
    <row r="15">
      <c r="A15" s="275"/>
      <c r="B15" s="275"/>
      <c r="C15" s="275"/>
      <c r="D15" s="275"/>
      <c r="E15" s="275"/>
      <c r="F15" s="275"/>
      <c r="G15" s="24"/>
      <c r="H15" s="24"/>
      <c r="I15" s="24"/>
      <c r="J15" s="98"/>
      <c r="K15" s="101"/>
      <c r="L15" s="101"/>
      <c r="M15" s="24"/>
      <c r="N15" s="24"/>
      <c r="O15" s="24"/>
      <c r="P15" s="101" t="s">
        <v>257</v>
      </c>
      <c r="Q15" s="279" t="s">
        <v>110</v>
      </c>
      <c r="R15" s="148" t="s">
        <v>34</v>
      </c>
      <c r="S15" s="276"/>
      <c r="T15" s="276"/>
      <c r="U15" s="276"/>
      <c r="W15" s="146">
        <v>25.0</v>
      </c>
      <c r="X15" s="280" t="s">
        <v>258</v>
      </c>
      <c r="Y15" s="146">
        <f t="shared" si="1"/>
        <v>3</v>
      </c>
    </row>
    <row r="16">
      <c r="A16" s="82" t="s">
        <v>259</v>
      </c>
      <c r="B16" s="82" t="s">
        <v>52</v>
      </c>
      <c r="C16" s="82" t="s">
        <v>34</v>
      </c>
      <c r="D16" s="196" t="s">
        <v>260</v>
      </c>
      <c r="E16" s="196" t="s">
        <v>242</v>
      </c>
      <c r="F16" s="196" t="s">
        <v>25</v>
      </c>
      <c r="G16" s="21" t="s">
        <v>256</v>
      </c>
      <c r="H16" s="21" t="s">
        <v>36</v>
      </c>
      <c r="I16" s="21" t="s">
        <v>25</v>
      </c>
      <c r="J16" s="101" t="s">
        <v>261</v>
      </c>
      <c r="K16" s="243" t="s">
        <v>262</v>
      </c>
      <c r="L16" s="101" t="s">
        <v>25</v>
      </c>
      <c r="M16" s="21" t="s">
        <v>254</v>
      </c>
      <c r="N16" s="237"/>
      <c r="O16" s="21" t="s">
        <v>27</v>
      </c>
      <c r="P16" s="101" t="s">
        <v>263</v>
      </c>
      <c r="Q16" s="101" t="s">
        <v>264</v>
      </c>
      <c r="R16" s="101" t="s">
        <v>25</v>
      </c>
      <c r="S16" s="277" t="s">
        <v>14</v>
      </c>
      <c r="T16" s="12"/>
      <c r="U16" s="13"/>
      <c r="W16" s="146">
        <v>16.0</v>
      </c>
      <c r="X16" s="145" t="s">
        <v>263</v>
      </c>
      <c r="Y16" s="146">
        <f t="shared" si="1"/>
        <v>4</v>
      </c>
    </row>
    <row r="17">
      <c r="A17" s="82" t="s">
        <v>213</v>
      </c>
      <c r="B17" s="281" t="s">
        <v>225</v>
      </c>
      <c r="C17" s="275" t="s">
        <v>25</v>
      </c>
      <c r="D17" s="21" t="s">
        <v>265</v>
      </c>
      <c r="E17" s="40" t="s">
        <v>99</v>
      </c>
      <c r="F17" s="21" t="s">
        <v>25</v>
      </c>
      <c r="G17" s="275"/>
      <c r="H17" s="275"/>
      <c r="I17" s="275"/>
      <c r="J17" s="21" t="s">
        <v>266</v>
      </c>
      <c r="K17" s="237" t="s">
        <v>97</v>
      </c>
      <c r="L17" s="21" t="s">
        <v>25</v>
      </c>
      <c r="M17" s="21" t="s">
        <v>267</v>
      </c>
      <c r="N17" s="21" t="s">
        <v>49</v>
      </c>
      <c r="O17" s="21" t="s">
        <v>34</v>
      </c>
      <c r="P17" s="94" t="s">
        <v>268</v>
      </c>
      <c r="Q17" s="94"/>
      <c r="R17" s="94" t="s">
        <v>25</v>
      </c>
      <c r="S17" s="21"/>
      <c r="T17" s="278"/>
      <c r="U17" s="278"/>
      <c r="W17" s="146">
        <v>17.0</v>
      </c>
      <c r="X17" s="145" t="s">
        <v>266</v>
      </c>
      <c r="Y17" s="146">
        <f t="shared" si="1"/>
        <v>4</v>
      </c>
    </row>
    <row r="18">
      <c r="A18" s="24"/>
      <c r="B18" s="24"/>
      <c r="C18" s="24"/>
      <c r="G18" s="21" t="s">
        <v>269</v>
      </c>
      <c r="H18" s="282" t="s">
        <v>116</v>
      </c>
      <c r="I18" s="21" t="s">
        <v>25</v>
      </c>
      <c r="J18" s="24"/>
      <c r="K18" s="24"/>
      <c r="L18" s="24"/>
      <c r="M18" s="283" t="s">
        <v>268</v>
      </c>
      <c r="N18" s="283" t="s">
        <v>97</v>
      </c>
      <c r="O18" s="283" t="s">
        <v>25</v>
      </c>
      <c r="P18" s="24"/>
      <c r="Q18" s="24"/>
      <c r="R18" s="24"/>
      <c r="S18" s="186"/>
      <c r="T18" s="186"/>
      <c r="U18" s="183"/>
      <c r="W18" s="146">
        <v>18.0</v>
      </c>
      <c r="X18" s="145" t="s">
        <v>261</v>
      </c>
      <c r="Y18" s="146">
        <f t="shared" si="1"/>
        <v>2</v>
      </c>
    </row>
    <row r="19" ht="15.0" customHeight="1">
      <c r="A19" s="24"/>
      <c r="B19" s="24"/>
      <c r="C19" s="24"/>
      <c r="D19" s="21" t="s">
        <v>270</v>
      </c>
      <c r="E19" s="284" t="s">
        <v>58</v>
      </c>
      <c r="F19" s="21" t="s">
        <v>25</v>
      </c>
      <c r="G19" s="21"/>
      <c r="H19" s="21"/>
      <c r="I19" s="21"/>
      <c r="J19" s="24"/>
      <c r="K19" s="24"/>
      <c r="L19" s="24"/>
      <c r="M19" s="275"/>
      <c r="N19" s="275"/>
      <c r="O19" s="275"/>
      <c r="P19" s="183"/>
      <c r="Q19" s="183"/>
      <c r="R19" s="183"/>
      <c r="S19" s="105"/>
      <c r="T19" s="105"/>
      <c r="U19" s="82"/>
      <c r="W19" s="146">
        <v>27.0</v>
      </c>
      <c r="X19" s="30" t="s">
        <v>271</v>
      </c>
      <c r="Y19" s="146">
        <f t="shared" si="1"/>
        <v>3</v>
      </c>
    </row>
    <row r="20" ht="15.0" customHeight="1">
      <c r="A20" s="82"/>
      <c r="B20" s="82"/>
      <c r="C20" s="82"/>
      <c r="D20" s="21" t="s">
        <v>255</v>
      </c>
      <c r="E20" s="49"/>
      <c r="F20" s="21" t="s">
        <v>27</v>
      </c>
      <c r="G20" s="101"/>
      <c r="H20" s="148"/>
      <c r="I20" s="101"/>
      <c r="J20" s="101"/>
      <c r="K20" s="101"/>
      <c r="L20" s="101"/>
      <c r="M20" s="82"/>
      <c r="N20" s="82"/>
      <c r="O20" s="82"/>
      <c r="P20" s="183"/>
      <c r="Q20" s="183"/>
      <c r="R20" s="183"/>
      <c r="S20" s="183"/>
      <c r="T20" s="183"/>
      <c r="U20" s="183"/>
      <c r="W20" s="146">
        <v>19.0</v>
      </c>
      <c r="X20" s="145" t="s">
        <v>272</v>
      </c>
      <c r="Y20" s="146">
        <f t="shared" si="1"/>
        <v>2</v>
      </c>
    </row>
    <row r="21" ht="15.75" customHeight="1">
      <c r="A21" s="106" t="s">
        <v>105</v>
      </c>
      <c r="B21" s="12"/>
      <c r="C21" s="13"/>
      <c r="D21" s="106" t="s">
        <v>8</v>
      </c>
      <c r="E21" s="12"/>
      <c r="F21" s="13"/>
      <c r="G21" s="106" t="s">
        <v>106</v>
      </c>
      <c r="H21" s="12"/>
      <c r="I21" s="13"/>
      <c r="J21" s="107" t="s">
        <v>10</v>
      </c>
      <c r="K21" s="12"/>
      <c r="L21" s="13"/>
      <c r="M21" s="106" t="s">
        <v>11</v>
      </c>
      <c r="N21" s="12"/>
      <c r="O21" s="13"/>
      <c r="P21" s="106" t="s">
        <v>75</v>
      </c>
      <c r="Q21" s="12"/>
      <c r="R21" s="13"/>
      <c r="S21" s="107" t="s">
        <v>107</v>
      </c>
      <c r="T21" s="12"/>
      <c r="U21" s="13"/>
      <c r="W21" s="146">
        <v>21.0</v>
      </c>
      <c r="X21" s="145" t="s">
        <v>257</v>
      </c>
      <c r="Y21" s="146">
        <f t="shared" si="1"/>
        <v>2</v>
      </c>
    </row>
    <row r="22" ht="15.75" customHeight="1">
      <c r="A22" s="109">
        <f>S14+1</f>
        <v>46153</v>
      </c>
      <c r="B22" s="12"/>
      <c r="C22" s="13"/>
      <c r="D22" s="109">
        <f>A22+1</f>
        <v>46154</v>
      </c>
      <c r="E22" s="12"/>
      <c r="F22" s="13"/>
      <c r="G22" s="109">
        <f>D22+1</f>
        <v>46155</v>
      </c>
      <c r="H22" s="12"/>
      <c r="I22" s="13"/>
      <c r="J22" s="110">
        <f>G22+1</f>
        <v>46156</v>
      </c>
      <c r="K22" s="12"/>
      <c r="L22" s="13"/>
      <c r="M22" s="109">
        <f>J22+1</f>
        <v>46157</v>
      </c>
      <c r="N22" s="12"/>
      <c r="O22" s="13"/>
      <c r="P22" s="109">
        <f>M22+1</f>
        <v>46158</v>
      </c>
      <c r="Q22" s="12"/>
      <c r="R22" s="13"/>
      <c r="S22" s="110">
        <f>P22+1</f>
        <v>46159</v>
      </c>
      <c r="T22" s="12"/>
      <c r="U22" s="13"/>
      <c r="W22" s="146">
        <v>26.0</v>
      </c>
      <c r="X22" s="30" t="s">
        <v>259</v>
      </c>
      <c r="Y22" s="146">
        <f t="shared" si="1"/>
        <v>5</v>
      </c>
    </row>
    <row r="23" ht="15.75" customHeight="1">
      <c r="A23" s="275"/>
      <c r="B23" s="275"/>
      <c r="C23" s="275"/>
      <c r="D23" s="275"/>
      <c r="E23" s="275"/>
      <c r="F23" s="275"/>
      <c r="G23" s="21"/>
      <c r="H23" s="21"/>
      <c r="I23" s="21"/>
      <c r="J23" s="98"/>
      <c r="K23" s="101"/>
      <c r="L23" s="101"/>
      <c r="M23" s="275"/>
      <c r="N23" s="275"/>
      <c r="O23" s="275"/>
      <c r="P23" s="21"/>
      <c r="Q23" s="21"/>
      <c r="R23" s="21"/>
      <c r="S23" s="156"/>
      <c r="T23" s="156"/>
      <c r="U23" s="156"/>
      <c r="W23" s="146">
        <v>4.0</v>
      </c>
      <c r="X23" s="145" t="s">
        <v>260</v>
      </c>
      <c r="Y23" s="146">
        <f t="shared" si="1"/>
        <v>4</v>
      </c>
    </row>
    <row r="24" ht="15.75" customHeight="1">
      <c r="A24" s="82" t="s">
        <v>259</v>
      </c>
      <c r="B24" s="82" t="s">
        <v>52</v>
      </c>
      <c r="C24" s="82" t="s">
        <v>34</v>
      </c>
      <c r="D24" s="51" t="s">
        <v>254</v>
      </c>
      <c r="E24" s="285" t="s">
        <v>110</v>
      </c>
      <c r="F24" s="51" t="s">
        <v>27</v>
      </c>
      <c r="G24" s="101" t="s">
        <v>273</v>
      </c>
      <c r="H24" s="148" t="s">
        <v>36</v>
      </c>
      <c r="I24" s="148" t="s">
        <v>34</v>
      </c>
      <c r="J24" s="21" t="s">
        <v>266</v>
      </c>
      <c r="K24" s="237" t="s">
        <v>274</v>
      </c>
      <c r="L24" s="21" t="s">
        <v>25</v>
      </c>
      <c r="M24" s="21" t="s">
        <v>271</v>
      </c>
      <c r="N24" s="21" t="s">
        <v>33</v>
      </c>
      <c r="O24" s="21" t="s">
        <v>34</v>
      </c>
      <c r="P24" s="92" t="s">
        <v>259</v>
      </c>
      <c r="Q24" s="92" t="s">
        <v>52</v>
      </c>
      <c r="R24" s="92" t="s">
        <v>34</v>
      </c>
      <c r="S24" s="156"/>
      <c r="T24" s="156"/>
      <c r="U24" s="156"/>
      <c r="W24" s="146">
        <v>14.0</v>
      </c>
      <c r="X24" s="145" t="s">
        <v>275</v>
      </c>
      <c r="Y24" s="146">
        <f t="shared" si="1"/>
        <v>3</v>
      </c>
    </row>
    <row r="25" ht="15.75" customHeight="1">
      <c r="A25" s="82" t="s">
        <v>213</v>
      </c>
      <c r="B25" s="281" t="s">
        <v>225</v>
      </c>
      <c r="C25" s="275" t="s">
        <v>25</v>
      </c>
      <c r="D25" s="32" t="s">
        <v>258</v>
      </c>
      <c r="E25" s="54" t="s">
        <v>38</v>
      </c>
      <c r="F25" s="32" t="s">
        <v>25</v>
      </c>
      <c r="G25" s="196" t="s">
        <v>276</v>
      </c>
      <c r="H25" s="196" t="s">
        <v>97</v>
      </c>
      <c r="I25" s="196" t="s">
        <v>25</v>
      </c>
      <c r="J25" s="21" t="s">
        <v>277</v>
      </c>
      <c r="K25" s="21" t="s">
        <v>110</v>
      </c>
      <c r="L25" s="21" t="s">
        <v>34</v>
      </c>
      <c r="M25" s="51" t="s">
        <v>278</v>
      </c>
      <c r="N25" s="285" t="s">
        <v>116</v>
      </c>
      <c r="O25" s="51" t="s">
        <v>27</v>
      </c>
      <c r="P25" s="173" t="s">
        <v>279</v>
      </c>
      <c r="Q25" s="286" t="s">
        <v>99</v>
      </c>
      <c r="R25" s="202" t="s">
        <v>114</v>
      </c>
      <c r="S25" s="277" t="s">
        <v>14</v>
      </c>
      <c r="T25" s="12"/>
      <c r="U25" s="13"/>
      <c r="W25" s="146">
        <v>11.0</v>
      </c>
      <c r="X25" s="30" t="s">
        <v>265</v>
      </c>
      <c r="Y25" s="146">
        <f t="shared" si="1"/>
        <v>2</v>
      </c>
    </row>
    <row r="26" ht="15.75" customHeight="1">
      <c r="A26" s="21" t="s">
        <v>272</v>
      </c>
      <c r="B26" s="21" t="s">
        <v>116</v>
      </c>
      <c r="C26" s="21" t="s">
        <v>27</v>
      </c>
      <c r="D26" s="32" t="s">
        <v>260</v>
      </c>
      <c r="E26" s="54" t="s">
        <v>280</v>
      </c>
      <c r="F26" s="32" t="s">
        <v>25</v>
      </c>
      <c r="G26" s="24"/>
      <c r="H26" s="24"/>
      <c r="I26" s="24"/>
      <c r="J26" s="51" t="s">
        <v>275</v>
      </c>
      <c r="K26" s="51" t="s">
        <v>281</v>
      </c>
      <c r="L26" s="51" t="s">
        <v>25</v>
      </c>
      <c r="M26" s="32" t="s">
        <v>275</v>
      </c>
      <c r="N26" s="32"/>
      <c r="O26" s="32" t="s">
        <v>25</v>
      </c>
      <c r="P26" s="101" t="s">
        <v>263</v>
      </c>
      <c r="Q26" s="101" t="s">
        <v>264</v>
      </c>
      <c r="R26" s="101" t="s">
        <v>25</v>
      </c>
      <c r="S26" s="287"/>
      <c r="T26" s="287"/>
      <c r="U26" s="287"/>
      <c r="W26" s="146">
        <v>29.0</v>
      </c>
      <c r="X26" s="30" t="s">
        <v>277</v>
      </c>
      <c r="Y26" s="146">
        <f t="shared" si="1"/>
        <v>2</v>
      </c>
    </row>
    <row r="27" ht="15.75" customHeight="1">
      <c r="A27" s="24"/>
      <c r="B27" s="24"/>
      <c r="C27" s="24"/>
      <c r="D27" s="275"/>
      <c r="E27" s="275"/>
      <c r="F27" s="275"/>
      <c r="G27" s="24"/>
      <c r="H27" s="24"/>
      <c r="I27" s="24"/>
      <c r="J27" s="21" t="s">
        <v>278</v>
      </c>
      <c r="K27" s="237"/>
      <c r="L27" s="21" t="s">
        <v>27</v>
      </c>
      <c r="M27" s="24"/>
      <c r="N27" s="24"/>
      <c r="O27" s="24"/>
      <c r="P27" s="24"/>
      <c r="Q27" s="24"/>
      <c r="R27" s="24"/>
      <c r="S27" s="183"/>
      <c r="T27" s="183"/>
      <c r="U27" s="183"/>
      <c r="W27" s="146">
        <v>22.0</v>
      </c>
      <c r="X27" s="30" t="s">
        <v>267</v>
      </c>
      <c r="Y27" s="146">
        <f t="shared" si="1"/>
        <v>2</v>
      </c>
    </row>
    <row r="28" ht="15.75" customHeight="1">
      <c r="A28" s="82"/>
      <c r="B28" s="82"/>
      <c r="C28" s="82"/>
      <c r="D28" s="82"/>
      <c r="E28" s="82"/>
      <c r="F28" s="82"/>
      <c r="G28" s="24"/>
      <c r="H28" s="24"/>
      <c r="I28" s="24"/>
      <c r="J28" s="24"/>
      <c r="K28" s="24"/>
      <c r="L28" s="24"/>
      <c r="M28" s="82"/>
      <c r="N28" s="82"/>
      <c r="O28" s="82"/>
      <c r="P28" s="21"/>
      <c r="Q28" s="21"/>
      <c r="R28" s="21"/>
      <c r="S28" s="183"/>
      <c r="T28" s="183"/>
      <c r="U28" s="183"/>
      <c r="W28" s="146">
        <v>23.0</v>
      </c>
      <c r="X28" s="145" t="s">
        <v>270</v>
      </c>
      <c r="Y28" s="146">
        <f t="shared" si="1"/>
        <v>2</v>
      </c>
    </row>
    <row r="29" ht="15.75" customHeight="1">
      <c r="A29" s="84" t="s">
        <v>105</v>
      </c>
      <c r="B29" s="12"/>
      <c r="C29" s="13"/>
      <c r="D29" s="84" t="s">
        <v>8</v>
      </c>
      <c r="E29" s="12"/>
      <c r="F29" s="13"/>
      <c r="G29" s="84" t="s">
        <v>106</v>
      </c>
      <c r="H29" s="12"/>
      <c r="I29" s="13"/>
      <c r="J29" s="84" t="s">
        <v>10</v>
      </c>
      <c r="K29" s="12"/>
      <c r="L29" s="13"/>
      <c r="M29" s="84" t="s">
        <v>74</v>
      </c>
      <c r="N29" s="12"/>
      <c r="O29" s="13"/>
      <c r="P29" s="288" t="s">
        <v>75</v>
      </c>
      <c r="Q29" s="12"/>
      <c r="R29" s="13"/>
      <c r="S29" s="85" t="s">
        <v>13</v>
      </c>
      <c r="T29" s="12"/>
      <c r="U29" s="13"/>
      <c r="W29" s="146">
        <v>24.0</v>
      </c>
      <c r="X29" s="145" t="s">
        <v>278</v>
      </c>
      <c r="Y29" s="146">
        <f t="shared" si="1"/>
        <v>3</v>
      </c>
    </row>
    <row r="30" ht="15.75" customHeight="1">
      <c r="A30" s="87">
        <f>S22+1</f>
        <v>46160</v>
      </c>
      <c r="B30" s="12"/>
      <c r="C30" s="13"/>
      <c r="D30" s="86">
        <f>A30+1</f>
        <v>46161</v>
      </c>
      <c r="E30" s="12"/>
      <c r="F30" s="13"/>
      <c r="G30" s="86">
        <f>D30+1</f>
        <v>46162</v>
      </c>
      <c r="H30" s="12"/>
      <c r="I30" s="13"/>
      <c r="J30" s="86">
        <f>G30+1</f>
        <v>46163</v>
      </c>
      <c r="K30" s="12"/>
      <c r="L30" s="13"/>
      <c r="M30" s="86">
        <f>J30+1</f>
        <v>46164</v>
      </c>
      <c r="N30" s="12"/>
      <c r="O30" s="13"/>
      <c r="P30" s="289">
        <f>M30+1</f>
        <v>46165</v>
      </c>
      <c r="Q30" s="12"/>
      <c r="R30" s="13"/>
      <c r="S30" s="88">
        <f>P30+1</f>
        <v>46166</v>
      </c>
      <c r="T30" s="12"/>
      <c r="U30" s="13"/>
      <c r="W30" s="146">
        <v>7.0</v>
      </c>
      <c r="X30" s="130" t="s">
        <v>276</v>
      </c>
      <c r="Y30" s="146">
        <f t="shared" si="1"/>
        <v>2</v>
      </c>
    </row>
    <row r="31" ht="15.75" customHeight="1">
      <c r="A31" s="275"/>
      <c r="B31" s="275"/>
      <c r="C31" s="275"/>
      <c r="D31" s="24"/>
      <c r="E31" s="24"/>
      <c r="F31" s="24"/>
      <c r="G31" s="24"/>
      <c r="H31" s="24"/>
      <c r="I31" s="24"/>
      <c r="J31" s="24"/>
      <c r="K31" s="24"/>
      <c r="L31" s="24"/>
      <c r="M31" s="275"/>
      <c r="N31" s="275"/>
      <c r="O31" s="275"/>
      <c r="P31" s="101"/>
      <c r="Q31" s="279"/>
      <c r="R31" s="148"/>
      <c r="S31" s="101"/>
      <c r="T31" s="101"/>
      <c r="U31" s="101"/>
      <c r="W31" s="146">
        <v>8.0</v>
      </c>
      <c r="X31" s="30" t="s">
        <v>269</v>
      </c>
      <c r="Y31" s="146">
        <f t="shared" si="1"/>
        <v>2</v>
      </c>
    </row>
    <row r="32" ht="15.75" customHeight="1">
      <c r="A32" s="82" t="s">
        <v>259</v>
      </c>
      <c r="B32" s="82"/>
      <c r="C32" s="82" t="s">
        <v>34</v>
      </c>
      <c r="D32" s="196" t="s">
        <v>260</v>
      </c>
      <c r="E32" s="196" t="s">
        <v>242</v>
      </c>
      <c r="F32" s="196" t="s">
        <v>25</v>
      </c>
      <c r="G32" s="21" t="s">
        <v>256</v>
      </c>
      <c r="H32" s="21" t="s">
        <v>36</v>
      </c>
      <c r="I32" s="21" t="s">
        <v>25</v>
      </c>
      <c r="J32" s="101" t="s">
        <v>261</v>
      </c>
      <c r="K32" s="243" t="s">
        <v>262</v>
      </c>
      <c r="L32" s="101" t="s">
        <v>25</v>
      </c>
      <c r="M32" s="21" t="s">
        <v>267</v>
      </c>
      <c r="N32" s="21" t="s">
        <v>49</v>
      </c>
      <c r="O32" s="21" t="s">
        <v>34</v>
      </c>
      <c r="P32" s="101" t="s">
        <v>257</v>
      </c>
      <c r="Q32" s="279" t="s">
        <v>110</v>
      </c>
      <c r="R32" s="148" t="s">
        <v>34</v>
      </c>
      <c r="S32" s="277" t="s">
        <v>14</v>
      </c>
      <c r="T32" s="12"/>
      <c r="U32" s="13"/>
      <c r="W32" s="146">
        <v>1.0</v>
      </c>
      <c r="X32" s="130" t="s">
        <v>268</v>
      </c>
      <c r="Y32" s="146">
        <f t="shared" si="1"/>
        <v>3</v>
      </c>
    </row>
    <row r="33" ht="15.75" customHeight="1">
      <c r="A33" s="82" t="s">
        <v>213</v>
      </c>
      <c r="B33" s="281"/>
      <c r="C33" s="275" t="s">
        <v>25</v>
      </c>
      <c r="D33" s="21" t="s">
        <v>265</v>
      </c>
      <c r="E33" s="40" t="s">
        <v>99</v>
      </c>
      <c r="F33" s="21" t="s">
        <v>25</v>
      </c>
      <c r="G33" s="21" t="s">
        <v>269</v>
      </c>
      <c r="H33" s="282" t="s">
        <v>116</v>
      </c>
      <c r="I33" s="21" t="s">
        <v>25</v>
      </c>
      <c r="J33" s="21" t="s">
        <v>266</v>
      </c>
      <c r="K33" s="237" t="s">
        <v>97</v>
      </c>
      <c r="L33" s="21" t="s">
        <v>25</v>
      </c>
      <c r="M33" s="51" t="s">
        <v>271</v>
      </c>
      <c r="N33" s="51" t="s">
        <v>33</v>
      </c>
      <c r="O33" s="51" t="s">
        <v>34</v>
      </c>
      <c r="P33" s="101" t="s">
        <v>263</v>
      </c>
      <c r="Q33" s="101" t="s">
        <v>264</v>
      </c>
      <c r="R33" s="101" t="s">
        <v>25</v>
      </c>
      <c r="S33" s="278"/>
      <c r="T33" s="278"/>
      <c r="U33" s="278"/>
      <c r="W33" s="146">
        <v>28.0</v>
      </c>
      <c r="X33" s="30"/>
      <c r="Y33" s="146"/>
    </row>
    <row r="34" ht="15.0" customHeight="1">
      <c r="A34" s="159" t="s">
        <v>205</v>
      </c>
      <c r="B34" s="12"/>
      <c r="C34" s="13"/>
      <c r="D34" s="21" t="s">
        <v>270</v>
      </c>
      <c r="E34" s="290" t="s">
        <v>58</v>
      </c>
      <c r="F34" s="21" t="s">
        <v>25</v>
      </c>
      <c r="J34" s="24"/>
      <c r="K34" s="24"/>
      <c r="L34" s="24"/>
      <c r="M34" s="94" t="s">
        <v>268</v>
      </c>
      <c r="N34" s="94" t="s">
        <v>97</v>
      </c>
      <c r="O34" s="94" t="s">
        <v>25</v>
      </c>
      <c r="S34" s="186"/>
      <c r="T34" s="186"/>
      <c r="U34" s="186"/>
      <c r="W34" s="146"/>
      <c r="X34" s="145"/>
      <c r="Y34" s="146"/>
    </row>
    <row r="35" ht="15.75" customHeight="1">
      <c r="A35" s="82"/>
      <c r="B35" s="82"/>
      <c r="C35" s="82"/>
      <c r="D35" s="21" t="s">
        <v>255</v>
      </c>
      <c r="E35" s="49"/>
      <c r="F35" s="21" t="s">
        <v>27</v>
      </c>
      <c r="G35" s="275" t="s">
        <v>211</v>
      </c>
      <c r="H35" s="275"/>
      <c r="I35" s="275"/>
      <c r="J35" s="32"/>
      <c r="K35" s="32"/>
      <c r="L35" s="32"/>
      <c r="M35" s="275"/>
      <c r="N35" s="275"/>
      <c r="O35" s="275"/>
      <c r="P35" s="24"/>
      <c r="Q35" s="24"/>
      <c r="R35" s="24"/>
      <c r="S35" s="186"/>
      <c r="T35" s="186"/>
      <c r="U35" s="186"/>
      <c r="W35" s="146"/>
      <c r="X35" s="30"/>
      <c r="Y35" s="146"/>
    </row>
    <row r="36" ht="14.25" customHeight="1">
      <c r="A36" s="82"/>
      <c r="B36" s="82"/>
      <c r="C36" s="82"/>
      <c r="G36" s="101"/>
      <c r="H36" s="148"/>
      <c r="I36" s="101"/>
      <c r="J36" s="101"/>
      <c r="K36" s="101"/>
      <c r="L36" s="101"/>
      <c r="M36" s="82"/>
      <c r="N36" s="82"/>
      <c r="O36" s="82"/>
      <c r="P36" s="183"/>
      <c r="Q36" s="183"/>
      <c r="R36" s="78"/>
      <c r="S36" s="183"/>
      <c r="T36" s="183"/>
      <c r="U36" s="183"/>
      <c r="W36" s="146">
        <v>3.0</v>
      </c>
      <c r="X36" s="22"/>
      <c r="Y36" s="146">
        <f t="shared" ref="Y36:Y38" si="2">COUNTIF($A$5:$U$51,X36)</f>
        <v>0</v>
      </c>
    </row>
    <row r="37" ht="15.75" customHeight="1">
      <c r="A37" s="106" t="s">
        <v>105</v>
      </c>
      <c r="B37" s="12"/>
      <c r="C37" s="13"/>
      <c r="D37" s="106" t="s">
        <v>8</v>
      </c>
      <c r="E37" s="12"/>
      <c r="F37" s="13"/>
      <c r="G37" s="107" t="s">
        <v>106</v>
      </c>
      <c r="H37" s="12"/>
      <c r="I37" s="13"/>
      <c r="J37" s="106" t="s">
        <v>10</v>
      </c>
      <c r="K37" s="12"/>
      <c r="L37" s="13"/>
      <c r="M37" s="106" t="s">
        <v>11</v>
      </c>
      <c r="N37" s="12"/>
      <c r="O37" s="13"/>
      <c r="P37" s="106" t="s">
        <v>75</v>
      </c>
      <c r="Q37" s="12"/>
      <c r="R37" s="13"/>
      <c r="S37" s="107" t="s">
        <v>107</v>
      </c>
      <c r="T37" s="12"/>
      <c r="U37" s="13"/>
      <c r="W37" s="146">
        <v>9.0</v>
      </c>
      <c r="X37" s="22"/>
      <c r="Y37" s="146">
        <f t="shared" si="2"/>
        <v>0</v>
      </c>
    </row>
    <row r="38" ht="15.75" customHeight="1">
      <c r="A38" s="109">
        <f>S30+1</f>
        <v>46167</v>
      </c>
      <c r="B38" s="12"/>
      <c r="C38" s="13"/>
      <c r="D38" s="109">
        <f>A38+1</f>
        <v>46168</v>
      </c>
      <c r="E38" s="12"/>
      <c r="F38" s="13"/>
      <c r="G38" s="110">
        <f>D38+1</f>
        <v>46169</v>
      </c>
      <c r="H38" s="12"/>
      <c r="I38" s="13"/>
      <c r="J38" s="109">
        <f>G38+1</f>
        <v>46170</v>
      </c>
      <c r="K38" s="12"/>
      <c r="L38" s="13"/>
      <c r="M38" s="109">
        <f>J38+1</f>
        <v>46171</v>
      </c>
      <c r="N38" s="12"/>
      <c r="O38" s="13"/>
      <c r="P38" s="109">
        <f>M38+1</f>
        <v>46172</v>
      </c>
      <c r="Q38" s="12"/>
      <c r="R38" s="13"/>
      <c r="S38" s="110">
        <f>P38+1</f>
        <v>46173</v>
      </c>
      <c r="T38" s="12"/>
      <c r="U38" s="13"/>
      <c r="W38" s="146">
        <v>20.0</v>
      </c>
      <c r="X38" s="22"/>
      <c r="Y38" s="146">
        <f t="shared" si="2"/>
        <v>0</v>
      </c>
    </row>
    <row r="39" ht="15.75" customHeight="1">
      <c r="A39" s="275"/>
      <c r="B39" s="275"/>
      <c r="C39" s="275"/>
      <c r="G39" s="101"/>
      <c r="H39" s="148"/>
      <c r="I39" s="101"/>
      <c r="J39" s="98"/>
      <c r="K39" s="101"/>
      <c r="L39" s="101"/>
      <c r="M39" s="291"/>
      <c r="N39" s="291"/>
      <c r="O39" s="291"/>
      <c r="P39" s="173" t="s">
        <v>279</v>
      </c>
      <c r="Q39" s="286" t="s">
        <v>99</v>
      </c>
      <c r="R39" s="202" t="s">
        <v>34</v>
      </c>
      <c r="S39" s="292"/>
      <c r="T39" s="292"/>
      <c r="U39" s="292"/>
    </row>
    <row r="40" ht="15.75" customHeight="1">
      <c r="A40" s="82" t="s">
        <v>259</v>
      </c>
      <c r="B40" s="82" t="s">
        <v>52</v>
      </c>
      <c r="C40" s="82" t="s">
        <v>34</v>
      </c>
      <c r="D40" s="21" t="s">
        <v>254</v>
      </c>
      <c r="E40" s="237" t="s">
        <v>110</v>
      </c>
      <c r="F40" s="21" t="s">
        <v>27</v>
      </c>
      <c r="G40" s="101"/>
      <c r="H40" s="148"/>
      <c r="I40" s="101"/>
      <c r="J40" s="21" t="s">
        <v>266</v>
      </c>
      <c r="K40" s="237" t="s">
        <v>274</v>
      </c>
      <c r="L40" s="21" t="s">
        <v>25</v>
      </c>
      <c r="M40" s="21" t="s">
        <v>271</v>
      </c>
      <c r="N40" s="21"/>
      <c r="O40" s="21" t="s">
        <v>34</v>
      </c>
      <c r="P40" s="101" t="s">
        <v>263</v>
      </c>
      <c r="Q40" s="101" t="s">
        <v>264</v>
      </c>
      <c r="R40" s="101" t="s">
        <v>25</v>
      </c>
      <c r="S40" s="293"/>
      <c r="T40" s="12"/>
      <c r="U40" s="13"/>
    </row>
    <row r="41" ht="15.75" customHeight="1">
      <c r="A41" s="82" t="s">
        <v>213</v>
      </c>
      <c r="B41" s="281" t="s">
        <v>225</v>
      </c>
      <c r="C41" s="275" t="s">
        <v>25</v>
      </c>
      <c r="D41" s="32" t="s">
        <v>258</v>
      </c>
      <c r="E41" s="32"/>
      <c r="F41" s="32" t="s">
        <v>25</v>
      </c>
      <c r="G41" s="21"/>
      <c r="H41" s="21"/>
      <c r="I41" s="21"/>
      <c r="J41" s="21" t="s">
        <v>277</v>
      </c>
      <c r="K41" s="21" t="s">
        <v>110</v>
      </c>
      <c r="L41" s="21" t="s">
        <v>34</v>
      </c>
      <c r="M41" s="101" t="s">
        <v>273</v>
      </c>
      <c r="N41" s="148" t="s">
        <v>36</v>
      </c>
      <c r="O41" s="148" t="s">
        <v>34</v>
      </c>
      <c r="P41" s="21" t="s">
        <v>278</v>
      </c>
      <c r="Q41" s="237" t="s">
        <v>116</v>
      </c>
      <c r="R41" s="21" t="s">
        <v>27</v>
      </c>
      <c r="S41" s="277" t="s">
        <v>14</v>
      </c>
      <c r="T41" s="12"/>
      <c r="U41" s="13"/>
    </row>
    <row r="42" ht="15.75" customHeight="1">
      <c r="A42" s="82"/>
      <c r="B42" s="82"/>
      <c r="C42" s="82"/>
      <c r="D42" s="32" t="s">
        <v>260</v>
      </c>
      <c r="E42" s="54" t="s">
        <v>280</v>
      </c>
      <c r="F42" s="32" t="s">
        <v>25</v>
      </c>
      <c r="G42" s="277" t="s">
        <v>14</v>
      </c>
      <c r="H42" s="12"/>
      <c r="I42" s="13"/>
      <c r="J42" s="98"/>
      <c r="K42" s="101"/>
      <c r="L42" s="101"/>
      <c r="M42" s="32" t="s">
        <v>275</v>
      </c>
      <c r="N42" s="32" t="s">
        <v>281</v>
      </c>
      <c r="O42" s="32" t="s">
        <v>25</v>
      </c>
      <c r="P42" s="183"/>
      <c r="Q42" s="183"/>
      <c r="R42" s="183"/>
      <c r="S42" s="186"/>
      <c r="T42" s="186"/>
      <c r="U42" s="183"/>
    </row>
    <row r="43" ht="15.75" customHeight="1">
      <c r="A43" s="21" t="s">
        <v>272</v>
      </c>
      <c r="B43" s="21" t="s">
        <v>116</v>
      </c>
      <c r="C43" s="21" t="s">
        <v>27</v>
      </c>
      <c r="D43" s="275"/>
      <c r="E43" s="275"/>
      <c r="F43" s="275"/>
      <c r="G43" s="24"/>
      <c r="H43" s="24"/>
      <c r="I43" s="24"/>
      <c r="J43" s="196" t="s">
        <v>276</v>
      </c>
      <c r="K43" s="196" t="s">
        <v>97</v>
      </c>
      <c r="L43" s="196" t="s">
        <v>25</v>
      </c>
      <c r="M43" s="24"/>
      <c r="N43" s="24"/>
      <c r="O43" s="24"/>
      <c r="P43" s="183"/>
      <c r="Q43" s="183"/>
      <c r="R43" s="183"/>
      <c r="S43" s="105"/>
      <c r="T43" s="105"/>
      <c r="U43" s="82"/>
    </row>
    <row r="44" ht="15.75" customHeight="1">
      <c r="A44" s="24"/>
      <c r="B44" s="24"/>
      <c r="C44" s="24"/>
      <c r="D44" s="82"/>
      <c r="E44" s="82"/>
      <c r="F44" s="82"/>
      <c r="G44" s="101"/>
      <c r="H44" s="148"/>
      <c r="I44" s="101"/>
      <c r="J44" s="98"/>
      <c r="K44" s="101"/>
      <c r="L44" s="101"/>
      <c r="M44" s="82"/>
      <c r="N44" s="82"/>
      <c r="O44" s="82"/>
      <c r="P44" s="183"/>
      <c r="Q44" s="183"/>
      <c r="R44" s="183"/>
      <c r="S44" s="183"/>
      <c r="T44" s="183"/>
      <c r="U44" s="183"/>
    </row>
    <row r="45" ht="15.75" customHeight="1">
      <c r="A45" s="84"/>
      <c r="B45" s="12"/>
      <c r="C45" s="13"/>
      <c r="D45" s="84"/>
      <c r="E45" s="12"/>
      <c r="F45" s="13"/>
      <c r="G45" s="84"/>
      <c r="H45" s="12"/>
      <c r="I45" s="13"/>
      <c r="J45" s="84"/>
      <c r="K45" s="12"/>
      <c r="L45" s="13"/>
      <c r="M45" s="84"/>
      <c r="N45" s="12"/>
      <c r="O45" s="13"/>
      <c r="P45" s="84"/>
      <c r="Q45" s="12"/>
      <c r="R45" s="13"/>
      <c r="S45" s="85"/>
      <c r="T45" s="12"/>
      <c r="U45" s="13"/>
    </row>
    <row r="46" ht="15.75" customHeight="1">
      <c r="A46" s="87"/>
      <c r="B46" s="12"/>
      <c r="C46" s="13"/>
      <c r="D46" s="86"/>
      <c r="E46" s="12"/>
      <c r="F46" s="13"/>
      <c r="G46" s="86"/>
      <c r="H46" s="12"/>
      <c r="I46" s="13"/>
      <c r="J46" s="86"/>
      <c r="K46" s="12"/>
      <c r="L46" s="13"/>
      <c r="M46" s="86"/>
      <c r="N46" s="12"/>
      <c r="O46" s="13"/>
      <c r="P46" s="86"/>
      <c r="Q46" s="12"/>
      <c r="R46" s="13"/>
      <c r="S46" s="87"/>
      <c r="T46" s="12"/>
      <c r="U46" s="13"/>
    </row>
    <row r="47" ht="15.75" customHeight="1">
      <c r="A47" s="276"/>
      <c r="B47" s="276"/>
      <c r="C47" s="276"/>
      <c r="D47" s="186"/>
      <c r="E47" s="186"/>
      <c r="F47" s="186"/>
      <c r="G47" s="186"/>
      <c r="H47" s="186"/>
      <c r="I47" s="183"/>
      <c r="J47" s="186"/>
      <c r="K47" s="186"/>
      <c r="L47" s="186"/>
      <c r="M47" s="186"/>
      <c r="N47" s="186"/>
      <c r="O47" s="186"/>
      <c r="P47" s="276"/>
      <c r="Q47" s="276"/>
      <c r="R47" s="276"/>
      <c r="S47" s="186"/>
      <c r="T47" s="186"/>
      <c r="U47" s="186"/>
    </row>
    <row r="48" ht="15.75" customHeight="1">
      <c r="A48" s="186"/>
      <c r="B48" s="186"/>
      <c r="C48" s="186"/>
      <c r="D48" s="186"/>
      <c r="E48" s="186"/>
      <c r="F48" s="186"/>
      <c r="G48" s="186"/>
      <c r="H48" s="186"/>
      <c r="I48" s="183"/>
      <c r="J48" s="186"/>
      <c r="K48" s="186"/>
      <c r="L48" s="186"/>
      <c r="M48" s="186"/>
      <c r="N48" s="186"/>
      <c r="O48" s="186"/>
      <c r="P48" s="276"/>
      <c r="Q48" s="276"/>
      <c r="R48" s="276"/>
      <c r="S48" s="186"/>
      <c r="T48" s="186"/>
      <c r="U48" s="186"/>
    </row>
    <row r="49" ht="15.75" customHeight="1">
      <c r="A49" s="98"/>
      <c r="B49" s="98"/>
      <c r="C49" s="98"/>
      <c r="D49" s="51" t="s">
        <v>258</v>
      </c>
      <c r="E49" s="51" t="s">
        <v>36</v>
      </c>
      <c r="F49" s="51" t="s">
        <v>25</v>
      </c>
      <c r="G49" s="186"/>
      <c r="H49" s="186"/>
      <c r="I49" s="186"/>
      <c r="J49" s="101"/>
      <c r="K49" s="148"/>
      <c r="L49" s="186"/>
      <c r="M49" s="183"/>
      <c r="N49" s="183"/>
      <c r="O49" s="183"/>
      <c r="P49" s="276"/>
      <c r="Q49" s="276"/>
      <c r="R49" s="276"/>
      <c r="S49" s="183"/>
      <c r="T49" s="183"/>
      <c r="U49" s="183"/>
    </row>
    <row r="50" ht="15.75" customHeight="1">
      <c r="A50" s="82"/>
      <c r="B50" s="82"/>
      <c r="C50" s="82"/>
      <c r="D50" s="149"/>
      <c r="E50" s="149"/>
      <c r="F50" s="149"/>
      <c r="G50" s="294"/>
      <c r="H50" s="294"/>
      <c r="I50" s="294"/>
      <c r="J50" s="186"/>
      <c r="K50" s="186"/>
      <c r="L50" s="186"/>
      <c r="M50" s="186"/>
      <c r="N50" s="186"/>
      <c r="O50" s="186"/>
      <c r="P50" s="294"/>
      <c r="Q50" s="278"/>
      <c r="R50" s="183"/>
      <c r="S50" s="186"/>
      <c r="T50" s="186"/>
      <c r="U50" s="186"/>
    </row>
    <row r="51" ht="15.75" customHeight="1">
      <c r="A51" s="183"/>
      <c r="B51" s="183"/>
      <c r="C51" s="183"/>
      <c r="D51" s="21"/>
      <c r="E51" s="21"/>
      <c r="F51" s="21"/>
      <c r="G51" s="183"/>
      <c r="H51" s="183"/>
      <c r="I51" s="183"/>
      <c r="J51" s="183"/>
      <c r="K51" s="183"/>
      <c r="L51" s="184"/>
      <c r="M51" s="183"/>
      <c r="N51" s="183"/>
      <c r="O51" s="184"/>
      <c r="P51" s="149"/>
      <c r="Q51" s="149"/>
      <c r="R51" s="149"/>
      <c r="S51" s="183"/>
      <c r="T51" s="183"/>
      <c r="U51" s="184"/>
    </row>
    <row r="52" ht="15.75" customHeight="1">
      <c r="A52" s="183"/>
      <c r="B52" s="183"/>
      <c r="C52" s="183"/>
      <c r="D52" s="186"/>
      <c r="E52" s="186"/>
      <c r="F52" s="186"/>
      <c r="G52" s="186"/>
      <c r="H52" s="186"/>
      <c r="I52" s="295"/>
      <c r="J52" s="186"/>
      <c r="K52" s="186"/>
      <c r="L52" s="186"/>
      <c r="M52" s="186"/>
      <c r="N52" s="186"/>
      <c r="O52" s="186"/>
      <c r="P52" s="183"/>
      <c r="Q52" s="183"/>
      <c r="R52" s="183"/>
      <c r="S52" s="186"/>
      <c r="T52" s="186"/>
      <c r="U52" s="186"/>
    </row>
    <row r="53" ht="15.75" customHeight="1"/>
    <row r="54" ht="15.75" customHeight="1"/>
    <row r="55" ht="15.75" customHeight="1">
      <c r="A55" s="60" t="s">
        <v>64</v>
      </c>
      <c r="B55" s="61"/>
    </row>
    <row r="56" ht="15.75" customHeight="1">
      <c r="A56" s="62"/>
      <c r="B56" s="63" t="s">
        <v>65</v>
      </c>
      <c r="C56" s="64"/>
      <c r="D56" s="65"/>
    </row>
    <row r="57" ht="15.75" customHeight="1">
      <c r="A57" s="66"/>
      <c r="B57" s="63" t="s">
        <v>66</v>
      </c>
      <c r="C57" s="64"/>
    </row>
    <row r="58" ht="15.75" customHeight="1">
      <c r="A58" s="67"/>
      <c r="B58" s="63" t="s">
        <v>67</v>
      </c>
      <c r="C58" s="6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8">
    <sortState ref="W9:Y38">
      <sortCondition ref="X9:X38"/>
    </sortState>
  </autoFilter>
  <mergeCells count="106">
    <mergeCell ref="A14:C14"/>
    <mergeCell ref="G14:I14"/>
    <mergeCell ref="J14:L14"/>
    <mergeCell ref="M14:O14"/>
    <mergeCell ref="P14:R14"/>
    <mergeCell ref="S14:U14"/>
    <mergeCell ref="S16:U16"/>
    <mergeCell ref="D14:F14"/>
    <mergeCell ref="E19:E20"/>
    <mergeCell ref="A21:C21"/>
    <mergeCell ref="D21:F21"/>
    <mergeCell ref="G21:I21"/>
    <mergeCell ref="J21:L21"/>
    <mergeCell ref="M21:O21"/>
    <mergeCell ref="A29:C29"/>
    <mergeCell ref="D29:F29"/>
    <mergeCell ref="G29:I29"/>
    <mergeCell ref="J29:L29"/>
    <mergeCell ref="M29:O29"/>
    <mergeCell ref="P29:R29"/>
    <mergeCell ref="S29:U29"/>
    <mergeCell ref="D30:F30"/>
    <mergeCell ref="G30:I30"/>
    <mergeCell ref="J30:L30"/>
    <mergeCell ref="M30:O30"/>
    <mergeCell ref="P30:R30"/>
    <mergeCell ref="S30:U30"/>
    <mergeCell ref="S32:U32"/>
    <mergeCell ref="M37:O37"/>
    <mergeCell ref="P37:R37"/>
    <mergeCell ref="S37:U37"/>
    <mergeCell ref="S40:U40"/>
    <mergeCell ref="S41:U41"/>
    <mergeCell ref="G42:I42"/>
    <mergeCell ref="A38:C38"/>
    <mergeCell ref="D38:F38"/>
    <mergeCell ref="G38:I38"/>
    <mergeCell ref="J38:L38"/>
    <mergeCell ref="M38:O38"/>
    <mergeCell ref="P38:R38"/>
    <mergeCell ref="S38:U38"/>
    <mergeCell ref="A30:C30"/>
    <mergeCell ref="A34:C34"/>
    <mergeCell ref="E34:E35"/>
    <mergeCell ref="A37:C37"/>
    <mergeCell ref="D37:F37"/>
    <mergeCell ref="G37:I37"/>
    <mergeCell ref="J37:L37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M10:O10"/>
    <mergeCell ref="P10:R10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P21:R21"/>
    <mergeCell ref="S21:U21"/>
    <mergeCell ref="S25:U25"/>
    <mergeCell ref="A22:C22"/>
    <mergeCell ref="D22:F22"/>
    <mergeCell ref="G22:I22"/>
    <mergeCell ref="J22:L22"/>
    <mergeCell ref="M22:O22"/>
    <mergeCell ref="P22:R22"/>
    <mergeCell ref="S22:U22"/>
  </mergeCells>
  <printOptions/>
  <pageMargins bottom="0.15" footer="0.0" header="0.0" left="0.46" right="0.34" top="0.28"/>
  <pageSetup fitToHeight="0" paperSize="11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1.57"/>
    <col customWidth="1" min="3" max="3" width="8.14"/>
    <col customWidth="1" min="4" max="4" width="17.57"/>
    <col customWidth="1" min="5" max="5" width="11.57"/>
    <col customWidth="1" min="6" max="6" width="9.86"/>
    <col customWidth="1" min="7" max="7" width="15.43"/>
    <col customWidth="1" min="8" max="8" width="11.43"/>
    <col customWidth="1" min="9" max="9" width="7.0"/>
    <col customWidth="1" min="10" max="10" width="20.29"/>
    <col customWidth="1" min="11" max="11" width="11.57"/>
    <col customWidth="1" min="12" max="12" width="5.57"/>
    <col customWidth="1" min="13" max="13" width="19.86"/>
    <col customWidth="1" min="14" max="14" width="11.57"/>
    <col customWidth="1" min="15" max="15" width="7.29"/>
    <col customWidth="1" min="16" max="16" width="18.43"/>
    <col customWidth="1" min="17" max="17" width="11.57"/>
    <col customWidth="1" min="18" max="18" width="5.57"/>
    <col customWidth="1" min="19" max="19" width="18.14"/>
    <col customWidth="1" min="20" max="20" width="11.57"/>
    <col customWidth="1" min="21" max="21" width="7.14"/>
    <col customWidth="1" min="22" max="23" width="8.71"/>
    <col customWidth="1" min="24" max="24" width="21.43"/>
    <col customWidth="1" min="25" max="25" width="15.14"/>
    <col customWidth="1" min="26" max="26" width="15.29"/>
    <col customWidth="1" min="27" max="27" width="8.71"/>
  </cols>
  <sheetData>
    <row r="1" ht="15.75" customHeight="1">
      <c r="A1" s="1" t="s">
        <v>168</v>
      </c>
      <c r="C1" s="296" t="s">
        <v>282</v>
      </c>
      <c r="F1" s="3"/>
      <c r="G1" s="4" t="s">
        <v>2</v>
      </c>
      <c r="Q1" s="3"/>
    </row>
    <row r="2" ht="15.75" customHeight="1">
      <c r="A2" s="6" t="s">
        <v>3</v>
      </c>
      <c r="C2" s="7" t="s">
        <v>283</v>
      </c>
      <c r="F2" s="3"/>
      <c r="Q2" s="3"/>
    </row>
    <row r="3" ht="15.75" customHeight="1">
      <c r="A3" s="6" t="s">
        <v>5</v>
      </c>
      <c r="C3" s="297"/>
      <c r="F3" s="3"/>
      <c r="Q3" s="3"/>
    </row>
    <row r="4" ht="15.75" customHeight="1">
      <c r="A4" s="6" t="s">
        <v>6</v>
      </c>
      <c r="C4" s="8"/>
      <c r="E4" s="3"/>
      <c r="F4" s="3"/>
      <c r="G4" s="3"/>
      <c r="H4" s="3"/>
      <c r="I4" s="3"/>
      <c r="J4" s="3"/>
      <c r="K4" s="3"/>
      <c r="L4" s="3"/>
      <c r="M4" s="3"/>
      <c r="N4" s="3"/>
      <c r="O4" s="138"/>
      <c r="P4" s="139"/>
      <c r="Q4" s="140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4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 ht="15.75" customHeight="1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7">
        <v>46143.0</v>
      </c>
      <c r="N6" s="12"/>
      <c r="O6" s="13"/>
      <c r="P6" s="16">
        <f>M6+1</f>
        <v>46144</v>
      </c>
      <c r="Q6" s="12"/>
      <c r="R6" s="13"/>
      <c r="S6" s="18">
        <f>P6+1</f>
        <v>46145</v>
      </c>
      <c r="T6" s="12"/>
      <c r="U6" s="13"/>
      <c r="W6" s="75">
        <f>COUNTA(#REF!,M7:M16,P31:P34,S13:S14,#REF!,#REF!,M15:M16,P7:P19,#REF!,A15:A20,D15:D20,#REF!,#REF!,P15:P19,S7:S12,S7:S11,A24,D23:D28,M31:M36,#REF!,S15:S20,A31:A36,D39,#REF!)</f>
        <v>50</v>
      </c>
    </row>
    <row r="7" ht="15.75" customHeight="1">
      <c r="A7" s="218"/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98"/>
      <c r="Q7" s="298"/>
      <c r="R7" s="298"/>
      <c r="S7" s="100"/>
      <c r="T7" s="100"/>
      <c r="U7" s="100"/>
    </row>
    <row r="8" ht="15.75" customHeight="1">
      <c r="A8" s="98"/>
      <c r="B8" s="98"/>
      <c r="C8" s="98"/>
      <c r="D8" s="218"/>
      <c r="E8" s="218"/>
      <c r="F8" s="218"/>
      <c r="G8" s="24"/>
      <c r="H8" s="24"/>
      <c r="I8" s="24"/>
      <c r="J8" s="218"/>
      <c r="K8" s="218"/>
      <c r="L8" s="218"/>
      <c r="M8" s="218"/>
      <c r="N8" s="218"/>
      <c r="O8" s="218"/>
      <c r="P8" s="101" t="s">
        <v>284</v>
      </c>
      <c r="Q8" s="101" t="s">
        <v>49</v>
      </c>
      <c r="R8" s="101" t="s">
        <v>34</v>
      </c>
    </row>
    <row r="9" ht="15.75" customHeight="1">
      <c r="A9" s="98"/>
      <c r="B9" s="98"/>
      <c r="C9" s="98"/>
      <c r="D9" s="98"/>
      <c r="E9" s="98"/>
      <c r="F9" s="98"/>
      <c r="G9" s="24"/>
      <c r="H9" s="24"/>
      <c r="I9" s="24"/>
      <c r="J9" s="218"/>
      <c r="K9" s="218"/>
      <c r="L9" s="218"/>
      <c r="M9" s="221" t="s">
        <v>14</v>
      </c>
      <c r="N9" s="12"/>
      <c r="O9" s="13"/>
      <c r="P9" s="98" t="s">
        <v>285</v>
      </c>
      <c r="Q9" s="98" t="s">
        <v>99</v>
      </c>
      <c r="R9" s="98" t="s">
        <v>25</v>
      </c>
      <c r="S9" s="298" t="s">
        <v>286</v>
      </c>
      <c r="T9" s="298" t="s">
        <v>52</v>
      </c>
      <c r="U9" s="298" t="s">
        <v>25</v>
      </c>
    </row>
    <row r="10" ht="15.75" customHeight="1">
      <c r="A10" s="98"/>
      <c r="B10" s="98"/>
      <c r="C10" s="98"/>
      <c r="D10" s="98"/>
      <c r="E10" s="98"/>
      <c r="F10" s="98"/>
      <c r="G10" s="101"/>
      <c r="H10" s="101"/>
      <c r="I10" s="101"/>
      <c r="J10" s="218"/>
      <c r="K10" s="218"/>
      <c r="L10" s="218"/>
      <c r="M10" s="218"/>
      <c r="N10" s="218"/>
      <c r="O10" s="218"/>
      <c r="P10" s="101"/>
      <c r="Q10" s="101"/>
      <c r="R10" s="101"/>
      <c r="S10" s="98" t="s">
        <v>287</v>
      </c>
      <c r="T10" s="98" t="s">
        <v>26</v>
      </c>
      <c r="U10" s="98" t="s">
        <v>34</v>
      </c>
    </row>
    <row r="11" ht="15.75" customHeight="1">
      <c r="A11" s="98"/>
      <c r="B11" s="98"/>
      <c r="C11" s="98"/>
      <c r="D11" s="98"/>
      <c r="E11" s="98"/>
      <c r="F11" s="98"/>
      <c r="G11" s="101"/>
      <c r="H11" s="101"/>
      <c r="I11" s="101"/>
      <c r="J11" s="218"/>
      <c r="K11" s="218"/>
      <c r="L11" s="218"/>
      <c r="M11" s="218"/>
      <c r="N11" s="218"/>
      <c r="O11" s="218"/>
      <c r="P11" s="94" t="s">
        <v>288</v>
      </c>
      <c r="Q11" s="94" t="s">
        <v>97</v>
      </c>
      <c r="R11" s="76" t="s">
        <v>27</v>
      </c>
      <c r="S11" s="299" t="s">
        <v>289</v>
      </c>
      <c r="T11" s="220" t="s">
        <v>116</v>
      </c>
      <c r="U11" s="220" t="s">
        <v>25</v>
      </c>
    </row>
    <row r="12" ht="15.75" customHeight="1">
      <c r="A12" s="98"/>
      <c r="B12" s="98"/>
      <c r="C12" s="98"/>
      <c r="D12" s="98"/>
      <c r="E12" s="98"/>
      <c r="F12" s="98"/>
      <c r="G12" s="218"/>
      <c r="H12" s="218"/>
      <c r="I12" s="218"/>
      <c r="J12" s="218"/>
      <c r="K12" s="218"/>
      <c r="L12" s="218"/>
      <c r="M12" s="218"/>
      <c r="N12" s="218"/>
      <c r="O12" s="218"/>
      <c r="S12" s="101" t="s">
        <v>290</v>
      </c>
      <c r="T12" s="245" t="s">
        <v>291</v>
      </c>
      <c r="U12" s="101" t="s">
        <v>25</v>
      </c>
    </row>
    <row r="13" ht="15.75" customHeight="1">
      <c r="A13" s="84" t="s">
        <v>7</v>
      </c>
      <c r="B13" s="12"/>
      <c r="C13" s="13"/>
      <c r="D13" s="84" t="s">
        <v>8</v>
      </c>
      <c r="E13" s="12"/>
      <c r="F13" s="13"/>
      <c r="G13" s="84" t="s">
        <v>9</v>
      </c>
      <c r="H13" s="12"/>
      <c r="I13" s="13"/>
      <c r="J13" s="84" t="s">
        <v>10</v>
      </c>
      <c r="K13" s="12"/>
      <c r="L13" s="13"/>
      <c r="M13" s="84" t="s">
        <v>74</v>
      </c>
      <c r="N13" s="12"/>
      <c r="O13" s="13"/>
      <c r="P13" s="84" t="s">
        <v>75</v>
      </c>
      <c r="Q13" s="12"/>
      <c r="R13" s="13"/>
      <c r="S13" s="85" t="s">
        <v>13</v>
      </c>
      <c r="T13" s="12"/>
      <c r="U13" s="13"/>
      <c r="W13" s="222" t="s">
        <v>15</v>
      </c>
      <c r="X13" s="222" t="s">
        <v>16</v>
      </c>
      <c r="Y13" s="223" t="s">
        <v>17</v>
      </c>
      <c r="Z13" s="24"/>
      <c r="AA13" s="24"/>
    </row>
    <row r="14" ht="15.75" customHeight="1">
      <c r="A14" s="86">
        <f>S6+1</f>
        <v>46146</v>
      </c>
      <c r="B14" s="12"/>
      <c r="C14" s="13"/>
      <c r="D14" s="86">
        <f>A14+1</f>
        <v>46147</v>
      </c>
      <c r="E14" s="12"/>
      <c r="F14" s="13"/>
      <c r="G14" s="86">
        <f>D14+1</f>
        <v>46148</v>
      </c>
      <c r="H14" s="12"/>
      <c r="I14" s="13"/>
      <c r="J14" s="86">
        <f>G14+1</f>
        <v>46149</v>
      </c>
      <c r="K14" s="12"/>
      <c r="L14" s="13"/>
      <c r="M14" s="87">
        <f>J14+1</f>
        <v>46150</v>
      </c>
      <c r="N14" s="12"/>
      <c r="O14" s="13"/>
      <c r="P14" s="86">
        <f>M14+1</f>
        <v>46151</v>
      </c>
      <c r="Q14" s="12"/>
      <c r="R14" s="13"/>
      <c r="S14" s="88">
        <f>P14+1</f>
        <v>46152</v>
      </c>
      <c r="T14" s="12"/>
      <c r="U14" s="13"/>
      <c r="W14" s="223">
        <v>2.0</v>
      </c>
      <c r="X14" s="226" t="s">
        <v>292</v>
      </c>
      <c r="Y14" s="223">
        <f t="shared" ref="Y14:Y37" si="1">countif($A$5:$U$52,X14)</f>
        <v>0</v>
      </c>
      <c r="Z14" s="145" t="s">
        <v>292</v>
      </c>
      <c r="AA14" s="146">
        <v>8.0</v>
      </c>
    </row>
    <row r="15" ht="15.75" customHeight="1">
      <c r="A15" s="100"/>
      <c r="B15" s="100"/>
      <c r="C15" s="100"/>
      <c r="D15" s="98"/>
      <c r="E15" s="98"/>
      <c r="F15" s="98"/>
      <c r="G15" s="218"/>
      <c r="H15" s="218"/>
      <c r="I15" s="218"/>
      <c r="J15" s="219"/>
      <c r="K15" s="219"/>
      <c r="L15" s="219"/>
      <c r="M15" s="101"/>
      <c r="N15" s="101"/>
      <c r="O15" s="101"/>
      <c r="P15" s="101"/>
      <c r="Q15" s="101"/>
      <c r="R15" s="101"/>
      <c r="S15" s="98"/>
      <c r="T15" s="98"/>
      <c r="U15" s="98"/>
      <c r="W15" s="223">
        <v>3.0</v>
      </c>
      <c r="X15" s="300" t="s">
        <v>286</v>
      </c>
      <c r="Y15" s="223">
        <f t="shared" si="1"/>
        <v>4</v>
      </c>
      <c r="Z15" s="145" t="s">
        <v>286</v>
      </c>
      <c r="AA15" s="146">
        <v>4.0</v>
      </c>
    </row>
    <row r="16" ht="15.75" customHeight="1">
      <c r="A16" s="98" t="s">
        <v>293</v>
      </c>
      <c r="B16" s="98" t="s">
        <v>197</v>
      </c>
      <c r="C16" s="98" t="s">
        <v>34</v>
      </c>
      <c r="D16" s="98" t="s">
        <v>294</v>
      </c>
      <c r="E16" s="98" t="s">
        <v>295</v>
      </c>
      <c r="F16" s="98" t="s">
        <v>34</v>
      </c>
      <c r="G16" s="218"/>
      <c r="H16" s="218"/>
      <c r="I16" s="218"/>
      <c r="J16" s="101" t="s">
        <v>296</v>
      </c>
      <c r="K16" s="101" t="s">
        <v>186</v>
      </c>
      <c r="L16" s="101" t="s">
        <v>34</v>
      </c>
      <c r="M16" s="101" t="s">
        <v>297</v>
      </c>
      <c r="N16" s="101" t="s">
        <v>49</v>
      </c>
      <c r="O16" s="21" t="s">
        <v>25</v>
      </c>
      <c r="P16" s="101" t="s">
        <v>284</v>
      </c>
      <c r="Q16" s="101" t="s">
        <v>49</v>
      </c>
      <c r="R16" s="101" t="s">
        <v>34</v>
      </c>
      <c r="W16" s="223">
        <v>6.0</v>
      </c>
      <c r="X16" s="30" t="s">
        <v>294</v>
      </c>
      <c r="Y16" s="223">
        <f t="shared" si="1"/>
        <v>2</v>
      </c>
      <c r="Z16" s="30" t="s">
        <v>294</v>
      </c>
      <c r="AA16" s="146">
        <v>1.0</v>
      </c>
    </row>
    <row r="17" ht="15.75" customHeight="1">
      <c r="A17" s="98" t="s">
        <v>298</v>
      </c>
      <c r="B17" s="98" t="s">
        <v>299</v>
      </c>
      <c r="C17" s="98" t="s">
        <v>25</v>
      </c>
      <c r="D17" s="100" t="s">
        <v>300</v>
      </c>
      <c r="E17" s="100" t="s">
        <v>99</v>
      </c>
      <c r="F17" s="100" t="s">
        <v>34</v>
      </c>
      <c r="G17" s="221" t="s">
        <v>14</v>
      </c>
      <c r="H17" s="12"/>
      <c r="I17" s="13"/>
      <c r="J17" s="101" t="s">
        <v>301</v>
      </c>
      <c r="K17" s="101" t="s">
        <v>302</v>
      </c>
      <c r="L17" s="101" t="s">
        <v>34</v>
      </c>
      <c r="M17" s="238" t="s">
        <v>303</v>
      </c>
      <c r="N17" s="238" t="s">
        <v>99</v>
      </c>
      <c r="O17" s="238" t="s">
        <v>34</v>
      </c>
      <c r="P17" s="101"/>
      <c r="Q17" s="101"/>
      <c r="R17" s="101"/>
      <c r="S17" s="101" t="s">
        <v>304</v>
      </c>
      <c r="T17" s="101" t="s">
        <v>186</v>
      </c>
      <c r="U17" s="101" t="s">
        <v>305</v>
      </c>
      <c r="W17" s="223">
        <v>4.0</v>
      </c>
      <c r="X17" s="226" t="s">
        <v>284</v>
      </c>
      <c r="Y17" s="223">
        <f t="shared" si="1"/>
        <v>4</v>
      </c>
      <c r="Z17" s="145" t="s">
        <v>284</v>
      </c>
      <c r="AA17" s="146">
        <v>4.0</v>
      </c>
    </row>
    <row r="18" ht="15.75" customHeight="1">
      <c r="A18" s="24"/>
      <c r="B18" s="24"/>
      <c r="C18" s="24"/>
      <c r="D18" s="24"/>
      <c r="E18" s="24"/>
      <c r="F18" s="24"/>
      <c r="G18" s="218"/>
      <c r="H18" s="218"/>
      <c r="I18" s="218"/>
      <c r="J18" s="101"/>
      <c r="K18" s="101"/>
      <c r="L18" s="101"/>
      <c r="M18" s="101"/>
      <c r="N18" s="101"/>
      <c r="O18" s="101"/>
      <c r="P18" s="101" t="s">
        <v>306</v>
      </c>
      <c r="Q18" s="101"/>
      <c r="R18" s="101" t="s">
        <v>27</v>
      </c>
      <c r="S18" s="101"/>
      <c r="T18" s="101"/>
      <c r="U18" s="98"/>
      <c r="W18" s="223">
        <v>5.0</v>
      </c>
      <c r="X18" s="226" t="s">
        <v>293</v>
      </c>
      <c r="Y18" s="223">
        <f t="shared" si="1"/>
        <v>2</v>
      </c>
      <c r="Z18" s="145" t="s">
        <v>293</v>
      </c>
      <c r="AA18" s="146">
        <v>2.0</v>
      </c>
    </row>
    <row r="19" ht="15.75" customHeight="1">
      <c r="A19" s="24"/>
      <c r="B19" s="24"/>
      <c r="C19" s="24"/>
      <c r="D19" s="24"/>
      <c r="E19" s="24"/>
      <c r="F19" s="24"/>
      <c r="G19" s="218"/>
      <c r="H19" s="218"/>
      <c r="I19" s="218"/>
      <c r="J19" s="101"/>
      <c r="K19" s="101"/>
      <c r="L19" s="101"/>
      <c r="M19" s="101" t="s">
        <v>307</v>
      </c>
      <c r="N19" s="101" t="s">
        <v>281</v>
      </c>
      <c r="O19" s="101" t="s">
        <v>25</v>
      </c>
      <c r="P19" s="301" t="s">
        <v>286</v>
      </c>
      <c r="Q19" s="301" t="s">
        <v>31</v>
      </c>
      <c r="R19" s="301" t="s">
        <v>25</v>
      </c>
      <c r="S19" s="299" t="s">
        <v>289</v>
      </c>
      <c r="T19" s="220" t="s">
        <v>116</v>
      </c>
      <c r="U19" s="220" t="s">
        <v>25</v>
      </c>
      <c r="W19" s="223">
        <v>8.0</v>
      </c>
      <c r="X19" s="226" t="s">
        <v>285</v>
      </c>
      <c r="Y19" s="223">
        <f t="shared" si="1"/>
        <v>2</v>
      </c>
      <c r="Z19" s="145" t="s">
        <v>285</v>
      </c>
      <c r="AA19" s="146">
        <v>2.0</v>
      </c>
    </row>
    <row r="20" ht="15.75" customHeight="1">
      <c r="A20" s="98"/>
      <c r="B20" s="32"/>
      <c r="C20" s="98"/>
      <c r="D20" s="218"/>
      <c r="E20" s="218"/>
      <c r="F20" s="218"/>
      <c r="G20" s="218"/>
      <c r="H20" s="218"/>
      <c r="I20" s="218"/>
      <c r="J20" s="219"/>
      <c r="K20" s="219"/>
      <c r="L20" s="219"/>
      <c r="M20" s="24"/>
      <c r="N20" s="24"/>
      <c r="O20" s="24"/>
      <c r="S20" s="101" t="s">
        <v>290</v>
      </c>
      <c r="T20" s="245" t="s">
        <v>291</v>
      </c>
      <c r="U20" s="101" t="s">
        <v>25</v>
      </c>
      <c r="W20" s="223">
        <v>9.0</v>
      </c>
      <c r="X20" s="226" t="s">
        <v>307</v>
      </c>
      <c r="Y20" s="223">
        <f t="shared" si="1"/>
        <v>2</v>
      </c>
      <c r="Z20" s="145" t="s">
        <v>307</v>
      </c>
      <c r="AA20" s="146">
        <v>2.0</v>
      </c>
    </row>
    <row r="21" ht="15.75" customHeight="1">
      <c r="A21" s="106" t="s">
        <v>105</v>
      </c>
      <c r="B21" s="12"/>
      <c r="C21" s="13"/>
      <c r="D21" s="106" t="s">
        <v>8</v>
      </c>
      <c r="E21" s="12"/>
      <c r="F21" s="13"/>
      <c r="G21" s="106" t="s">
        <v>106</v>
      </c>
      <c r="H21" s="12"/>
      <c r="I21" s="13"/>
      <c r="J21" s="107" t="s">
        <v>10</v>
      </c>
      <c r="K21" s="12"/>
      <c r="L21" s="13"/>
      <c r="M21" s="106" t="s">
        <v>74</v>
      </c>
      <c r="N21" s="12"/>
      <c r="O21" s="13"/>
      <c r="P21" s="106" t="s">
        <v>75</v>
      </c>
      <c r="Q21" s="12"/>
      <c r="R21" s="13"/>
      <c r="S21" s="107" t="s">
        <v>13</v>
      </c>
      <c r="T21" s="12"/>
      <c r="U21" s="13"/>
      <c r="W21" s="223">
        <v>10.0</v>
      </c>
      <c r="X21" s="215" t="s">
        <v>308</v>
      </c>
      <c r="Y21" s="223">
        <f t="shared" si="1"/>
        <v>2</v>
      </c>
      <c r="Z21" s="145" t="s">
        <v>308</v>
      </c>
      <c r="AA21" s="146">
        <v>2.0</v>
      </c>
    </row>
    <row r="22" ht="15.75" customHeight="1">
      <c r="A22" s="109">
        <f>S14+1</f>
        <v>46153</v>
      </c>
      <c r="B22" s="12"/>
      <c r="C22" s="13"/>
      <c r="D22" s="109">
        <f>A22+1</f>
        <v>46154</v>
      </c>
      <c r="E22" s="12"/>
      <c r="F22" s="13"/>
      <c r="G22" s="109">
        <f>D22+1</f>
        <v>46155</v>
      </c>
      <c r="H22" s="12"/>
      <c r="I22" s="13"/>
      <c r="J22" s="110">
        <f>G22+1</f>
        <v>46156</v>
      </c>
      <c r="K22" s="12"/>
      <c r="L22" s="13"/>
      <c r="M22" s="109">
        <f>J22+1</f>
        <v>46157</v>
      </c>
      <c r="N22" s="12"/>
      <c r="O22" s="13"/>
      <c r="P22" s="109">
        <f>M22+1</f>
        <v>46158</v>
      </c>
      <c r="Q22" s="12"/>
      <c r="R22" s="13"/>
      <c r="S22" s="110">
        <f>P22+1</f>
        <v>46159</v>
      </c>
      <c r="T22" s="12"/>
      <c r="U22" s="13"/>
      <c r="W22" s="223">
        <v>12.0</v>
      </c>
      <c r="X22" s="226" t="s">
        <v>300</v>
      </c>
      <c r="Y22" s="223">
        <f t="shared" si="1"/>
        <v>2</v>
      </c>
      <c r="Z22" s="22"/>
      <c r="AA22" s="146">
        <v>0.0</v>
      </c>
    </row>
    <row r="23" ht="15.75" customHeight="1">
      <c r="A23" s="24"/>
      <c r="B23" s="24"/>
      <c r="C23" s="24"/>
      <c r="D23" s="101"/>
      <c r="E23" s="101"/>
      <c r="F23" s="101"/>
      <c r="G23" s="218"/>
      <c r="H23" s="218"/>
      <c r="I23" s="218"/>
      <c r="J23" s="219"/>
      <c r="K23" s="219"/>
      <c r="L23" s="219"/>
      <c r="M23" s="24"/>
      <c r="N23" s="24"/>
      <c r="O23" s="24"/>
      <c r="P23" s="24"/>
      <c r="Q23" s="24"/>
      <c r="R23" s="24"/>
      <c r="S23" s="100"/>
      <c r="T23" s="100"/>
      <c r="U23" s="100"/>
      <c r="W23" s="223">
        <v>13.0</v>
      </c>
      <c r="X23" s="226" t="s">
        <v>309</v>
      </c>
      <c r="Y23" s="223">
        <f t="shared" si="1"/>
        <v>1</v>
      </c>
      <c r="Z23" s="145" t="s">
        <v>300</v>
      </c>
      <c r="AA23" s="146">
        <v>2.0</v>
      </c>
    </row>
    <row r="24" ht="15.75" customHeight="1">
      <c r="A24" s="98" t="s">
        <v>298</v>
      </c>
      <c r="B24" s="98" t="s">
        <v>310</v>
      </c>
      <c r="C24" s="98" t="s">
        <v>25</v>
      </c>
      <c r="D24" s="101" t="s">
        <v>301</v>
      </c>
      <c r="E24" s="101" t="s">
        <v>224</v>
      </c>
      <c r="F24" s="101" t="s">
        <v>34</v>
      </c>
      <c r="G24" s="218"/>
      <c r="H24" s="218"/>
      <c r="I24" s="218"/>
      <c r="J24" s="219"/>
      <c r="K24" s="219"/>
      <c r="L24" s="219"/>
      <c r="M24" s="236" t="s">
        <v>311</v>
      </c>
      <c r="N24" s="236" t="s">
        <v>39</v>
      </c>
      <c r="O24" s="236" t="s">
        <v>27</v>
      </c>
      <c r="P24" s="101" t="s">
        <v>284</v>
      </c>
      <c r="Q24" s="101" t="s">
        <v>49</v>
      </c>
      <c r="R24" s="101" t="s">
        <v>34</v>
      </c>
      <c r="W24" s="223">
        <v>1.0</v>
      </c>
      <c r="X24" s="215" t="s">
        <v>312</v>
      </c>
      <c r="Y24" s="223">
        <f t="shared" si="1"/>
        <v>1</v>
      </c>
      <c r="Z24" s="145" t="s">
        <v>309</v>
      </c>
      <c r="AA24" s="146">
        <v>1.0</v>
      </c>
    </row>
    <row r="25" ht="15.75" customHeight="1">
      <c r="A25" s="98" t="s">
        <v>309</v>
      </c>
      <c r="B25" s="242" t="s">
        <v>313</v>
      </c>
      <c r="C25" s="98" t="s">
        <v>27</v>
      </c>
      <c r="D25" s="101" t="s">
        <v>296</v>
      </c>
      <c r="E25" s="101" t="s">
        <v>78</v>
      </c>
      <c r="F25" s="101" t="s">
        <v>34</v>
      </c>
      <c r="G25" s="221" t="s">
        <v>14</v>
      </c>
      <c r="H25" s="12"/>
      <c r="I25" s="13"/>
      <c r="J25" s="221" t="s">
        <v>14</v>
      </c>
      <c r="K25" s="12"/>
      <c r="L25" s="13"/>
      <c r="M25" s="219"/>
      <c r="N25" s="219"/>
      <c r="O25" s="219"/>
      <c r="P25" s="98" t="s">
        <v>285</v>
      </c>
      <c r="Q25" s="98" t="s">
        <v>99</v>
      </c>
      <c r="R25" s="98" t="s">
        <v>25</v>
      </c>
      <c r="S25" s="298" t="s">
        <v>286</v>
      </c>
      <c r="T25" s="298" t="s">
        <v>52</v>
      </c>
      <c r="U25" s="298" t="s">
        <v>25</v>
      </c>
      <c r="W25" s="223">
        <v>14.0</v>
      </c>
      <c r="X25" s="226" t="s">
        <v>314</v>
      </c>
      <c r="Y25" s="223">
        <f t="shared" si="1"/>
        <v>1</v>
      </c>
      <c r="Z25" s="145" t="s">
        <v>315</v>
      </c>
      <c r="AA25" s="146">
        <v>1.0</v>
      </c>
    </row>
    <row r="26" ht="15.75" customHeight="1">
      <c r="A26" s="21" t="s">
        <v>308</v>
      </c>
      <c r="B26" s="21" t="s">
        <v>26</v>
      </c>
      <c r="C26" s="21" t="s">
        <v>27</v>
      </c>
      <c r="D26" s="24"/>
      <c r="E26" s="24"/>
      <c r="F26" s="24"/>
      <c r="G26" s="218"/>
      <c r="H26" s="218"/>
      <c r="I26" s="218"/>
      <c r="J26" s="24"/>
      <c r="K26" s="24"/>
      <c r="L26" s="24"/>
      <c r="M26" s="101" t="s">
        <v>316</v>
      </c>
      <c r="N26" s="101" t="s">
        <v>49</v>
      </c>
      <c r="O26" s="101" t="s">
        <v>34</v>
      </c>
      <c r="P26" s="302" t="s">
        <v>312</v>
      </c>
      <c r="Q26" s="302" t="s">
        <v>78</v>
      </c>
      <c r="R26" s="302" t="s">
        <v>25</v>
      </c>
      <c r="S26" s="98" t="s">
        <v>287</v>
      </c>
      <c r="T26" s="98" t="s">
        <v>26</v>
      </c>
      <c r="U26" s="98" t="s">
        <v>34</v>
      </c>
      <c r="W26" s="223">
        <v>15.0</v>
      </c>
      <c r="X26" s="222" t="s">
        <v>296</v>
      </c>
      <c r="Y26" s="223">
        <f t="shared" si="1"/>
        <v>4</v>
      </c>
      <c r="Z26" s="145" t="s">
        <v>312</v>
      </c>
      <c r="AA26" s="146">
        <v>1.0</v>
      </c>
    </row>
    <row r="27" ht="15.75" customHeight="1">
      <c r="A27" s="101" t="s">
        <v>317</v>
      </c>
      <c r="B27" s="101" t="s">
        <v>318</v>
      </c>
      <c r="C27" s="101" t="s">
        <v>25</v>
      </c>
      <c r="D27" s="98"/>
      <c r="E27" s="98"/>
      <c r="F27" s="98"/>
      <c r="G27" s="218"/>
      <c r="H27" s="218"/>
      <c r="I27" s="218"/>
      <c r="J27" s="24"/>
      <c r="K27" s="24"/>
      <c r="L27" s="24"/>
      <c r="M27" s="101" t="s">
        <v>297</v>
      </c>
      <c r="N27" s="101" t="s">
        <v>99</v>
      </c>
      <c r="O27" s="101" t="s">
        <v>34</v>
      </c>
      <c r="P27" s="244" t="s">
        <v>306</v>
      </c>
      <c r="Q27" s="244" t="s">
        <v>120</v>
      </c>
      <c r="R27" s="244" t="s">
        <v>27</v>
      </c>
      <c r="S27" s="299" t="s">
        <v>289</v>
      </c>
      <c r="T27" s="220" t="s">
        <v>116</v>
      </c>
      <c r="U27" s="220" t="s">
        <v>25</v>
      </c>
      <c r="W27" s="303">
        <v>26.0</v>
      </c>
      <c r="X27" s="101" t="s">
        <v>301</v>
      </c>
      <c r="Y27" s="223">
        <f t="shared" si="1"/>
        <v>4</v>
      </c>
      <c r="Z27" s="30" t="s">
        <v>304</v>
      </c>
      <c r="AA27" s="146">
        <v>2.0</v>
      </c>
    </row>
    <row r="28" ht="15.75" customHeight="1">
      <c r="A28" s="24"/>
      <c r="B28" s="24"/>
      <c r="C28" s="24"/>
      <c r="D28" s="98"/>
      <c r="E28" s="98"/>
      <c r="F28" s="98"/>
      <c r="G28" s="98"/>
      <c r="H28" s="218"/>
      <c r="I28" s="218"/>
      <c r="J28" s="101"/>
      <c r="K28" s="101"/>
      <c r="L28" s="101"/>
      <c r="M28" s="101"/>
      <c r="N28" s="101"/>
      <c r="O28" s="101"/>
      <c r="P28" s="304" t="s">
        <v>288</v>
      </c>
      <c r="Q28" s="304" t="s">
        <v>97</v>
      </c>
      <c r="R28" s="120" t="s">
        <v>27</v>
      </c>
      <c r="S28" s="101" t="s">
        <v>290</v>
      </c>
      <c r="T28" s="245" t="s">
        <v>291</v>
      </c>
      <c r="U28" s="101" t="s">
        <v>25</v>
      </c>
      <c r="W28" s="223">
        <v>16.0</v>
      </c>
      <c r="X28" s="101" t="s">
        <v>306</v>
      </c>
      <c r="Y28" s="223">
        <f t="shared" si="1"/>
        <v>3</v>
      </c>
      <c r="Z28" s="145" t="s">
        <v>296</v>
      </c>
      <c r="AA28" s="146">
        <v>4.0</v>
      </c>
    </row>
    <row r="29" ht="15.75" customHeight="1">
      <c r="A29" s="84" t="s">
        <v>105</v>
      </c>
      <c r="B29" s="12"/>
      <c r="C29" s="13"/>
      <c r="D29" s="84" t="s">
        <v>8</v>
      </c>
      <c r="E29" s="12"/>
      <c r="F29" s="13"/>
      <c r="G29" s="84" t="s">
        <v>106</v>
      </c>
      <c r="H29" s="12"/>
      <c r="I29" s="13"/>
      <c r="J29" s="84" t="s">
        <v>10</v>
      </c>
      <c r="K29" s="12"/>
      <c r="L29" s="13"/>
      <c r="M29" s="84" t="s">
        <v>74</v>
      </c>
      <c r="N29" s="12"/>
      <c r="O29" s="13"/>
      <c r="P29" s="84" t="s">
        <v>75</v>
      </c>
      <c r="Q29" s="12"/>
      <c r="R29" s="13"/>
      <c r="S29" s="85" t="s">
        <v>13</v>
      </c>
      <c r="T29" s="12"/>
      <c r="U29" s="13"/>
      <c r="W29" s="223">
        <v>17.0</v>
      </c>
      <c r="X29" s="305" t="s">
        <v>288</v>
      </c>
      <c r="Y29" s="223">
        <f t="shared" si="1"/>
        <v>2</v>
      </c>
      <c r="Z29" s="30" t="s">
        <v>301</v>
      </c>
      <c r="AA29" s="146">
        <v>4.0</v>
      </c>
    </row>
    <row r="30" ht="15.75" customHeight="1">
      <c r="A30" s="87">
        <f>S22+1</f>
        <v>46160</v>
      </c>
      <c r="B30" s="12"/>
      <c r="C30" s="13"/>
      <c r="D30" s="86">
        <f>A30+1</f>
        <v>46161</v>
      </c>
      <c r="E30" s="12"/>
      <c r="F30" s="13"/>
      <c r="G30" s="86">
        <f>D30+1</f>
        <v>46162</v>
      </c>
      <c r="H30" s="12"/>
      <c r="I30" s="13"/>
      <c r="J30" s="86">
        <f>G30+1</f>
        <v>46163</v>
      </c>
      <c r="K30" s="12"/>
      <c r="L30" s="13"/>
      <c r="M30" s="86">
        <f>J30+1</f>
        <v>46164</v>
      </c>
      <c r="N30" s="12"/>
      <c r="O30" s="13"/>
      <c r="P30" s="87">
        <f>M30+1</f>
        <v>46165</v>
      </c>
      <c r="Q30" s="12"/>
      <c r="R30" s="13"/>
      <c r="S30" s="88">
        <f>P30+1</f>
        <v>46166</v>
      </c>
      <c r="T30" s="12"/>
      <c r="U30" s="13"/>
      <c r="W30" s="223">
        <v>7.0</v>
      </c>
      <c r="X30" s="101" t="s">
        <v>303</v>
      </c>
      <c r="Y30" s="223">
        <f t="shared" si="1"/>
        <v>2</v>
      </c>
      <c r="Z30" s="30" t="s">
        <v>306</v>
      </c>
      <c r="AA30" s="146">
        <v>2.0</v>
      </c>
    </row>
    <row r="31" ht="15.75" customHeight="1">
      <c r="A31" s="306"/>
      <c r="B31" s="306"/>
      <c r="C31" s="101"/>
      <c r="D31" s="98"/>
      <c r="E31" s="98"/>
      <c r="F31" s="98"/>
      <c r="G31" s="218"/>
      <c r="H31" s="218"/>
      <c r="I31" s="218"/>
      <c r="J31" s="219"/>
      <c r="K31" s="219"/>
      <c r="L31" s="219"/>
      <c r="M31" s="218"/>
      <c r="N31" s="218"/>
      <c r="O31" s="218"/>
      <c r="P31" s="298"/>
      <c r="Q31" s="298"/>
      <c r="R31" s="298"/>
      <c r="S31" s="24"/>
      <c r="T31" s="24"/>
      <c r="U31" s="24"/>
      <c r="W31" s="223">
        <v>18.0</v>
      </c>
      <c r="X31" s="226" t="s">
        <v>297</v>
      </c>
      <c r="Y31" s="223">
        <f t="shared" si="1"/>
        <v>4</v>
      </c>
      <c r="Z31" s="307" t="s">
        <v>288</v>
      </c>
      <c r="AA31" s="146">
        <v>2.0</v>
      </c>
    </row>
    <row r="32" ht="15.75" customHeight="1">
      <c r="A32" s="98" t="s">
        <v>293</v>
      </c>
      <c r="B32" s="98" t="s">
        <v>197</v>
      </c>
      <c r="C32" s="98" t="s">
        <v>34</v>
      </c>
      <c r="D32" s="98" t="s">
        <v>294</v>
      </c>
      <c r="E32" s="98" t="s">
        <v>49</v>
      </c>
      <c r="F32" s="98" t="s">
        <v>34</v>
      </c>
      <c r="G32" s="218"/>
      <c r="H32" s="218"/>
      <c r="I32" s="218"/>
      <c r="J32" s="101" t="s">
        <v>301</v>
      </c>
      <c r="K32" s="101" t="s">
        <v>224</v>
      </c>
      <c r="L32" s="101" t="s">
        <v>34</v>
      </c>
      <c r="M32" s="101" t="s">
        <v>297</v>
      </c>
      <c r="N32" s="101" t="s">
        <v>49</v>
      </c>
      <c r="O32" s="21" t="s">
        <v>25</v>
      </c>
      <c r="P32" s="101" t="s">
        <v>284</v>
      </c>
      <c r="Q32" s="101" t="s">
        <v>49</v>
      </c>
      <c r="R32" s="101" t="s">
        <v>34</v>
      </c>
      <c r="W32" s="223">
        <v>19.0</v>
      </c>
      <c r="X32" s="226" t="s">
        <v>316</v>
      </c>
      <c r="Y32" s="223">
        <f t="shared" si="1"/>
        <v>1</v>
      </c>
      <c r="Z32" s="145" t="s">
        <v>297</v>
      </c>
      <c r="AA32" s="146">
        <v>4.0</v>
      </c>
    </row>
    <row r="33" ht="15.75" customHeight="1">
      <c r="A33" s="98" t="s">
        <v>298</v>
      </c>
      <c r="B33" s="98" t="s">
        <v>299</v>
      </c>
      <c r="C33" s="98" t="s">
        <v>25</v>
      </c>
      <c r="D33" s="100" t="s">
        <v>300</v>
      </c>
      <c r="E33" s="100" t="s">
        <v>99</v>
      </c>
      <c r="F33" s="100" t="s">
        <v>34</v>
      </c>
      <c r="G33" s="221" t="s">
        <v>14</v>
      </c>
      <c r="H33" s="12"/>
      <c r="I33" s="13"/>
      <c r="J33" s="101" t="s">
        <v>296</v>
      </c>
      <c r="K33" s="101" t="s">
        <v>78</v>
      </c>
      <c r="L33" s="101" t="s">
        <v>34</v>
      </c>
      <c r="M33" s="238" t="s">
        <v>303</v>
      </c>
      <c r="N33" s="238" t="s">
        <v>99</v>
      </c>
      <c r="O33" s="238" t="s">
        <v>34</v>
      </c>
      <c r="P33" s="21"/>
      <c r="Q33" s="21"/>
      <c r="R33" s="21"/>
      <c r="S33" s="101" t="s">
        <v>314</v>
      </c>
      <c r="T33" s="101" t="s">
        <v>186</v>
      </c>
      <c r="U33" s="101" t="s">
        <v>305</v>
      </c>
      <c r="W33" s="223">
        <v>20.0</v>
      </c>
      <c r="X33" s="215" t="s">
        <v>317</v>
      </c>
      <c r="Y33" s="223">
        <f t="shared" si="1"/>
        <v>2</v>
      </c>
      <c r="Z33" s="145" t="s">
        <v>316</v>
      </c>
      <c r="AA33" s="146">
        <v>0.0</v>
      </c>
    </row>
    <row r="34" ht="15.75" customHeight="1">
      <c r="A34" s="24"/>
      <c r="B34" s="24"/>
      <c r="C34" s="24"/>
      <c r="D34" s="24"/>
      <c r="E34" s="24"/>
      <c r="F34" s="24"/>
      <c r="G34" s="218"/>
      <c r="H34" s="218"/>
      <c r="I34" s="218"/>
      <c r="J34" s="24"/>
      <c r="K34" s="24"/>
      <c r="L34" s="24"/>
      <c r="M34" s="98"/>
      <c r="N34" s="98"/>
      <c r="O34" s="21"/>
      <c r="P34" s="101" t="s">
        <v>306</v>
      </c>
      <c r="Q34" s="101" t="s">
        <v>120</v>
      </c>
      <c r="R34" s="101" t="s">
        <v>27</v>
      </c>
      <c r="S34" s="21"/>
      <c r="T34" s="21"/>
      <c r="U34" s="21"/>
      <c r="W34" s="223">
        <v>21.0</v>
      </c>
      <c r="X34" s="226" t="s">
        <v>298</v>
      </c>
      <c r="Y34" s="223">
        <f t="shared" si="1"/>
        <v>4</v>
      </c>
      <c r="Z34" s="145" t="s">
        <v>317</v>
      </c>
      <c r="AA34" s="146">
        <v>2.0</v>
      </c>
    </row>
    <row r="35" ht="15.75" customHeight="1">
      <c r="A35" s="24"/>
      <c r="B35" s="24"/>
      <c r="C35" s="24"/>
      <c r="D35" s="98"/>
      <c r="E35" s="98"/>
      <c r="F35" s="98"/>
      <c r="G35" s="218"/>
      <c r="H35" s="218"/>
      <c r="I35" s="218"/>
      <c r="J35" s="101"/>
      <c r="K35" s="101"/>
      <c r="L35" s="101"/>
      <c r="M35" s="100" t="s">
        <v>307</v>
      </c>
      <c r="N35" s="100" t="s">
        <v>281</v>
      </c>
      <c r="O35" s="100" t="s">
        <v>25</v>
      </c>
      <c r="P35" s="301" t="s">
        <v>286</v>
      </c>
      <c r="Q35" s="301" t="s">
        <v>31</v>
      </c>
      <c r="R35" s="301" t="s">
        <v>25</v>
      </c>
      <c r="S35" s="299" t="s">
        <v>289</v>
      </c>
      <c r="T35" s="220" t="s">
        <v>116</v>
      </c>
      <c r="U35" s="220" t="s">
        <v>25</v>
      </c>
      <c r="W35" s="223">
        <v>22.0</v>
      </c>
      <c r="X35" s="226" t="s">
        <v>290</v>
      </c>
      <c r="Y35" s="223">
        <f t="shared" si="1"/>
        <v>4</v>
      </c>
      <c r="Z35" s="145" t="s">
        <v>298</v>
      </c>
      <c r="AA35" s="146">
        <v>4.0</v>
      </c>
    </row>
    <row r="36" ht="15.75" customHeight="1">
      <c r="A36" s="98"/>
      <c r="B36" s="32"/>
      <c r="C36" s="98"/>
      <c r="D36" s="98"/>
      <c r="E36" s="242" t="s">
        <v>0</v>
      </c>
      <c r="F36" s="98"/>
      <c r="G36" s="218"/>
      <c r="H36" s="218"/>
      <c r="I36" s="218"/>
      <c r="J36" s="219"/>
      <c r="K36" s="219"/>
      <c r="L36" s="219"/>
      <c r="M36" s="98"/>
      <c r="N36" s="98"/>
      <c r="O36" s="21"/>
      <c r="P36" s="24"/>
      <c r="Q36" s="24"/>
      <c r="R36" s="24"/>
      <c r="S36" s="101" t="s">
        <v>290</v>
      </c>
      <c r="T36" s="245" t="s">
        <v>291</v>
      </c>
      <c r="U36" s="101" t="s">
        <v>25</v>
      </c>
      <c r="W36" s="223">
        <v>23.0</v>
      </c>
      <c r="X36" s="226" t="s">
        <v>289</v>
      </c>
      <c r="Y36" s="223">
        <f t="shared" si="1"/>
        <v>4</v>
      </c>
      <c r="Z36" s="145" t="s">
        <v>290</v>
      </c>
      <c r="AA36" s="146">
        <v>4.0</v>
      </c>
    </row>
    <row r="37" ht="15.75" customHeight="1">
      <c r="A37" s="106" t="s">
        <v>105</v>
      </c>
      <c r="B37" s="12"/>
      <c r="C37" s="13"/>
      <c r="D37" s="106" t="s">
        <v>8</v>
      </c>
      <c r="E37" s="12"/>
      <c r="F37" s="13"/>
      <c r="G37" s="107" t="s">
        <v>106</v>
      </c>
      <c r="H37" s="12"/>
      <c r="I37" s="13"/>
      <c r="J37" s="106" t="s">
        <v>10</v>
      </c>
      <c r="K37" s="12"/>
      <c r="L37" s="13"/>
      <c r="M37" s="106" t="s">
        <v>11</v>
      </c>
      <c r="N37" s="12"/>
      <c r="O37" s="13"/>
      <c r="P37" s="106" t="s">
        <v>75</v>
      </c>
      <c r="Q37" s="12"/>
      <c r="R37" s="13"/>
      <c r="S37" s="107" t="s">
        <v>107</v>
      </c>
      <c r="T37" s="12"/>
      <c r="U37" s="13"/>
      <c r="W37" s="223">
        <v>24.0</v>
      </c>
      <c r="X37" s="226" t="s">
        <v>287</v>
      </c>
      <c r="Y37" s="223">
        <f t="shared" si="1"/>
        <v>2</v>
      </c>
      <c r="Z37" s="145" t="s">
        <v>289</v>
      </c>
      <c r="AA37" s="146">
        <v>0.0</v>
      </c>
    </row>
    <row r="38" ht="15.75" customHeight="1">
      <c r="A38" s="109">
        <f>S30+1</f>
        <v>46167</v>
      </c>
      <c r="B38" s="12"/>
      <c r="C38" s="13"/>
      <c r="D38" s="109">
        <f>A38+1</f>
        <v>46168</v>
      </c>
      <c r="E38" s="12"/>
      <c r="F38" s="13"/>
      <c r="G38" s="110">
        <f>D38+1</f>
        <v>46169</v>
      </c>
      <c r="H38" s="12"/>
      <c r="I38" s="13"/>
      <c r="J38" s="109">
        <f>G38+1</f>
        <v>46170</v>
      </c>
      <c r="K38" s="12"/>
      <c r="L38" s="13"/>
      <c r="M38" s="109">
        <f>J38+1</f>
        <v>46171</v>
      </c>
      <c r="N38" s="12"/>
      <c r="O38" s="13"/>
      <c r="P38" s="109">
        <f>M38+1</f>
        <v>46172</v>
      </c>
      <c r="Q38" s="12"/>
      <c r="R38" s="13"/>
      <c r="S38" s="110">
        <f>P38+1</f>
        <v>46173</v>
      </c>
      <c r="T38" s="12"/>
      <c r="U38" s="13"/>
      <c r="W38" s="223"/>
      <c r="X38" s="226"/>
      <c r="Y38" s="223"/>
      <c r="Z38" s="145" t="s">
        <v>287</v>
      </c>
      <c r="AA38" s="146">
        <v>2.0</v>
      </c>
    </row>
    <row r="39" ht="15.75" customHeight="1">
      <c r="A39" s="98"/>
      <c r="B39" s="32"/>
      <c r="C39" s="98"/>
      <c r="D39" s="98"/>
      <c r="E39" s="101"/>
      <c r="F39" s="98"/>
      <c r="G39" s="82"/>
      <c r="H39" s="105"/>
      <c r="I39" s="105"/>
      <c r="J39" s="219"/>
      <c r="K39" s="219"/>
      <c r="L39" s="219"/>
      <c r="M39" s="236" t="s">
        <v>311</v>
      </c>
      <c r="N39" s="236" t="s">
        <v>39</v>
      </c>
      <c r="O39" s="236" t="s">
        <v>27</v>
      </c>
      <c r="P39" s="298"/>
      <c r="Q39" s="298"/>
      <c r="R39" s="298"/>
      <c r="S39" s="82"/>
      <c r="T39" s="105"/>
      <c r="U39" s="105"/>
      <c r="W39" s="308"/>
      <c r="X39" s="309"/>
      <c r="Y39" s="308"/>
    </row>
    <row r="40" ht="15.75" customHeight="1">
      <c r="A40" s="24"/>
      <c r="B40" s="24"/>
      <c r="C40" s="24"/>
      <c r="D40" s="101"/>
      <c r="E40" s="101"/>
      <c r="F40" s="101"/>
      <c r="G40" s="82"/>
      <c r="H40" s="105"/>
      <c r="I40" s="105"/>
      <c r="J40" s="98"/>
      <c r="K40" s="98"/>
      <c r="L40" s="98"/>
      <c r="M40" s="219"/>
      <c r="N40" s="219"/>
      <c r="O40" s="219"/>
      <c r="P40" s="298"/>
      <c r="Q40" s="298"/>
      <c r="R40" s="298"/>
      <c r="S40" s="82"/>
      <c r="T40" s="105"/>
      <c r="U40" s="105"/>
      <c r="W40" s="223">
        <v>27.0</v>
      </c>
      <c r="X40" s="222"/>
      <c r="Y40" s="223">
        <f t="shared" ref="Y40:Y41" si="2">countif($A$5:$U$52,X40)</f>
        <v>0</v>
      </c>
    </row>
    <row r="41" ht="15.75" customHeight="1">
      <c r="A41" s="98" t="s">
        <v>298</v>
      </c>
      <c r="B41" s="98" t="s">
        <v>310</v>
      </c>
      <c r="C41" s="98" t="s">
        <v>25</v>
      </c>
      <c r="D41" s="101" t="s">
        <v>301</v>
      </c>
      <c r="E41" s="101" t="s">
        <v>224</v>
      </c>
      <c r="F41" s="101" t="s">
        <v>34</v>
      </c>
      <c r="G41" s="221" t="s">
        <v>14</v>
      </c>
      <c r="H41" s="12"/>
      <c r="I41" s="13"/>
      <c r="J41" s="221" t="s">
        <v>14</v>
      </c>
      <c r="K41" s="12"/>
      <c r="L41" s="13"/>
      <c r="M41" s="173" t="s">
        <v>319</v>
      </c>
      <c r="N41" s="173" t="s">
        <v>39</v>
      </c>
      <c r="O41" s="173" t="s">
        <v>114</v>
      </c>
      <c r="P41" s="298"/>
      <c r="Q41" s="298"/>
      <c r="R41" s="298"/>
      <c r="S41" s="82"/>
      <c r="T41" s="105"/>
      <c r="U41" s="105"/>
      <c r="W41" s="303">
        <v>28.0</v>
      </c>
      <c r="X41" s="230"/>
      <c r="Y41" s="223">
        <f t="shared" si="2"/>
        <v>0</v>
      </c>
    </row>
    <row r="42" ht="15.75" customHeight="1">
      <c r="A42" s="21" t="s">
        <v>308</v>
      </c>
      <c r="B42" s="21" t="s">
        <v>26</v>
      </c>
      <c r="C42" s="21" t="s">
        <v>27</v>
      </c>
      <c r="D42" s="101" t="s">
        <v>296</v>
      </c>
      <c r="E42" s="101" t="s">
        <v>78</v>
      </c>
      <c r="F42" s="101" t="s">
        <v>34</v>
      </c>
      <c r="G42" s="82"/>
      <c r="H42" s="105"/>
      <c r="I42" s="105"/>
      <c r="J42" s="24"/>
      <c r="K42" s="24"/>
      <c r="L42" s="24"/>
      <c r="M42" s="101" t="s">
        <v>297</v>
      </c>
      <c r="N42" s="101" t="s">
        <v>99</v>
      </c>
      <c r="O42" s="101" t="s">
        <v>34</v>
      </c>
      <c r="P42" s="298"/>
      <c r="Q42" s="298"/>
      <c r="R42" s="298"/>
      <c r="S42" s="82"/>
      <c r="T42" s="105"/>
      <c r="U42" s="105"/>
    </row>
    <row r="43" ht="15.75" customHeight="1">
      <c r="A43" s="101" t="s">
        <v>317</v>
      </c>
      <c r="B43" s="101" t="s">
        <v>318</v>
      </c>
      <c r="C43" s="101" t="s">
        <v>25</v>
      </c>
      <c r="D43" s="101"/>
      <c r="E43" s="101"/>
      <c r="F43" s="101"/>
      <c r="G43" s="82"/>
      <c r="H43" s="105"/>
      <c r="I43" s="105"/>
      <c r="J43" s="219"/>
      <c r="K43" s="219"/>
      <c r="L43" s="219"/>
      <c r="M43" s="101"/>
      <c r="N43" s="101"/>
      <c r="O43" s="101"/>
      <c r="P43" s="98"/>
      <c r="Q43" s="98"/>
      <c r="R43" s="98"/>
      <c r="S43" s="82"/>
      <c r="T43" s="105"/>
      <c r="U43" s="105"/>
      <c r="W43" s="310"/>
      <c r="Y43" s="310">
        <f>SUM(Y14:Y42)</f>
        <v>59</v>
      </c>
    </row>
    <row r="44" ht="15.75" customHeight="1">
      <c r="A44" s="24"/>
      <c r="B44" s="24"/>
      <c r="C44" s="24"/>
      <c r="D44" s="82"/>
      <c r="E44" s="105"/>
      <c r="F44" s="105"/>
      <c r="G44" s="82"/>
      <c r="H44" s="105"/>
      <c r="I44" s="105"/>
      <c r="J44" s="219"/>
      <c r="K44" s="219"/>
      <c r="L44" s="219"/>
      <c r="M44" s="101"/>
      <c r="N44" s="101"/>
      <c r="O44" s="101"/>
      <c r="P44" s="298"/>
      <c r="Q44" s="298"/>
      <c r="R44" s="298"/>
      <c r="S44" s="105"/>
      <c r="T44" s="105"/>
      <c r="U44" s="105"/>
    </row>
    <row r="45" ht="15.75" customHeight="1">
      <c r="A45" s="84"/>
      <c r="B45" s="12"/>
      <c r="C45" s="13"/>
      <c r="D45" s="84"/>
      <c r="E45" s="12"/>
      <c r="F45" s="13"/>
      <c r="G45" s="84"/>
      <c r="H45" s="12"/>
      <c r="I45" s="13"/>
      <c r="J45" s="84"/>
      <c r="K45" s="12"/>
      <c r="L45" s="13"/>
      <c r="M45" s="84"/>
      <c r="N45" s="12"/>
      <c r="O45" s="13"/>
      <c r="P45" s="84"/>
      <c r="Q45" s="12"/>
      <c r="R45" s="13"/>
      <c r="S45" s="85"/>
      <c r="T45" s="12"/>
      <c r="U45" s="13"/>
    </row>
    <row r="46" ht="15.75" customHeight="1">
      <c r="A46" s="87"/>
      <c r="B46" s="12"/>
      <c r="C46" s="13"/>
      <c r="D46" s="86"/>
      <c r="E46" s="12"/>
      <c r="F46" s="13"/>
      <c r="G46" s="86"/>
      <c r="H46" s="12"/>
      <c r="I46" s="13"/>
      <c r="J46" s="86"/>
      <c r="K46" s="12"/>
      <c r="L46" s="13"/>
      <c r="M46" s="86"/>
      <c r="N46" s="12"/>
      <c r="O46" s="13"/>
      <c r="P46" s="87"/>
      <c r="Q46" s="12"/>
      <c r="R46" s="13"/>
      <c r="S46" s="88"/>
      <c r="T46" s="12"/>
      <c r="U46" s="13"/>
      <c r="W46" s="310"/>
      <c r="Y46" s="310"/>
    </row>
    <row r="47" ht="15.75" customHeight="1">
      <c r="A47" s="98"/>
      <c r="B47" s="98"/>
      <c r="C47" s="98"/>
      <c r="D47" s="98"/>
      <c r="E47" s="98"/>
      <c r="F47" s="98"/>
      <c r="G47" s="82"/>
      <c r="H47" s="105"/>
      <c r="I47" s="105"/>
      <c r="J47" s="98"/>
      <c r="K47" s="98"/>
      <c r="L47" s="98"/>
      <c r="M47" s="101"/>
      <c r="N47" s="101"/>
      <c r="O47" s="101"/>
      <c r="P47" s="24"/>
      <c r="Q47" s="24"/>
      <c r="R47" s="24"/>
      <c r="S47" s="24"/>
      <c r="T47" s="24"/>
      <c r="U47" s="24"/>
    </row>
    <row r="48" ht="15.75" customHeight="1">
      <c r="A48" s="98"/>
      <c r="B48" s="98"/>
      <c r="C48" s="98"/>
      <c r="D48" s="98"/>
      <c r="E48" s="98"/>
      <c r="F48" s="98"/>
      <c r="G48" s="82"/>
      <c r="H48" s="105"/>
      <c r="I48" s="105"/>
      <c r="J48" s="82"/>
      <c r="K48" s="105"/>
      <c r="L48" s="105"/>
      <c r="M48" s="98"/>
      <c r="N48" s="98"/>
      <c r="O48" s="98"/>
      <c r="P48" s="24"/>
      <c r="Q48" s="24"/>
      <c r="R48" s="24"/>
      <c r="S48" s="24"/>
      <c r="T48" s="24"/>
      <c r="U48" s="24"/>
    </row>
    <row r="49" ht="15.75" customHeight="1">
      <c r="A49" s="98"/>
      <c r="B49" s="98"/>
      <c r="C49" s="98"/>
      <c r="D49" s="98"/>
      <c r="E49" s="98"/>
      <c r="F49" s="98"/>
      <c r="G49" s="82"/>
      <c r="H49" s="105"/>
      <c r="I49" s="105"/>
      <c r="J49" s="82"/>
      <c r="K49" s="105"/>
      <c r="L49" s="105"/>
      <c r="M49" s="101"/>
      <c r="N49" s="101"/>
      <c r="O49" s="101"/>
      <c r="P49" s="24"/>
      <c r="Q49" s="24"/>
      <c r="R49" s="24"/>
      <c r="S49" s="24"/>
      <c r="T49" s="24"/>
      <c r="U49" s="24"/>
      <c r="W49" s="310"/>
      <c r="Y49" s="310"/>
    </row>
    <row r="50" ht="15.75" customHeight="1">
      <c r="A50" s="100"/>
      <c r="B50" s="100"/>
      <c r="C50" s="100"/>
      <c r="D50" s="218"/>
      <c r="E50" s="218"/>
      <c r="F50" s="218"/>
      <c r="G50" s="82"/>
      <c r="H50" s="105"/>
      <c r="I50" s="105"/>
      <c r="J50" s="98"/>
      <c r="K50" s="98"/>
      <c r="L50" s="98"/>
      <c r="M50" s="101"/>
      <c r="N50" s="101"/>
      <c r="O50" s="101"/>
      <c r="P50" s="24"/>
      <c r="Q50" s="24"/>
      <c r="R50" s="24"/>
      <c r="S50" s="24"/>
      <c r="T50" s="24"/>
      <c r="U50" s="24"/>
    </row>
    <row r="51" ht="15.75" customHeight="1">
      <c r="A51" s="98"/>
      <c r="B51" s="98"/>
      <c r="C51" s="98"/>
      <c r="D51" s="218"/>
      <c r="E51" s="218"/>
      <c r="F51" s="218"/>
      <c r="G51" s="82"/>
      <c r="H51" s="105"/>
      <c r="I51" s="105"/>
      <c r="J51" s="82"/>
      <c r="K51" s="105"/>
      <c r="L51" s="105"/>
      <c r="M51" s="32"/>
      <c r="N51" s="32"/>
      <c r="O51" s="32"/>
      <c r="P51" s="24"/>
      <c r="Q51" s="24"/>
      <c r="R51" s="24"/>
      <c r="S51" s="24"/>
      <c r="T51" s="24"/>
      <c r="U51" s="24"/>
      <c r="W51" s="310"/>
      <c r="Y51" s="310"/>
    </row>
    <row r="52" ht="15.75" customHeight="1">
      <c r="A52" s="98"/>
      <c r="B52" s="98"/>
      <c r="C52" s="98"/>
      <c r="D52" s="218"/>
      <c r="E52" s="218"/>
      <c r="F52" s="218"/>
      <c r="G52" s="105"/>
      <c r="H52" s="105"/>
      <c r="I52" s="105"/>
      <c r="J52" s="105"/>
      <c r="K52" s="105"/>
      <c r="L52" s="105"/>
      <c r="M52" s="21"/>
      <c r="N52" s="21"/>
      <c r="O52" s="21"/>
      <c r="P52" s="24"/>
      <c r="Q52" s="24"/>
      <c r="R52" s="24"/>
      <c r="S52" s="24"/>
      <c r="T52" s="24"/>
      <c r="U52" s="24"/>
    </row>
    <row r="53" ht="15.75" customHeight="1"/>
    <row r="54" ht="15.75" customHeight="1"/>
    <row r="55" ht="15.75" customHeight="1">
      <c r="A55" s="60" t="s">
        <v>64</v>
      </c>
      <c r="B55" s="61"/>
    </row>
    <row r="56" ht="15.75" customHeight="1">
      <c r="A56" s="62"/>
      <c r="B56" s="63" t="s">
        <v>65</v>
      </c>
      <c r="C56" s="64"/>
      <c r="D56" s="65"/>
    </row>
    <row r="57" ht="15.75" customHeight="1">
      <c r="A57" s="66"/>
      <c r="B57" s="63" t="s">
        <v>66</v>
      </c>
      <c r="C57" s="64"/>
      <c r="W57" s="310"/>
      <c r="Y57" s="310"/>
    </row>
    <row r="58" ht="15.75" customHeight="1">
      <c r="A58" s="67"/>
      <c r="B58" s="63" t="s">
        <v>67</v>
      </c>
      <c r="C58" s="64"/>
    </row>
    <row r="59" ht="15.75" customHeight="1">
      <c r="A59" s="68"/>
      <c r="B59" s="63" t="s">
        <v>68</v>
      </c>
      <c r="C59" s="6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W67" s="310"/>
      <c r="Y67" s="310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W73" s="310"/>
      <c r="Y73" s="310"/>
    </row>
    <row r="74" ht="15.75" customHeight="1"/>
    <row r="75" ht="15.75" customHeight="1">
      <c r="W75" s="310"/>
      <c r="Y75" s="310"/>
    </row>
    <row r="76" ht="15.75" customHeight="1"/>
    <row r="77" ht="15.75" customHeight="1"/>
    <row r="78" ht="15.75" customHeight="1"/>
    <row r="79" ht="15.75" customHeight="1">
      <c r="W79" s="310"/>
      <c r="Y79" s="310"/>
    </row>
    <row r="80" ht="15.75" customHeight="1"/>
    <row r="81" ht="15.75" customHeight="1"/>
    <row r="82" ht="15.75" customHeight="1"/>
    <row r="83" ht="15.75" customHeight="1">
      <c r="W83" s="310"/>
      <c r="Y83" s="310"/>
    </row>
    <row r="84" ht="15.75" customHeight="1"/>
    <row r="85" ht="15.75" customHeight="1">
      <c r="W85" s="310"/>
      <c r="Y85" s="310"/>
    </row>
    <row r="86" ht="15.75" customHeight="1">
      <c r="W86" s="310"/>
      <c r="Y86" s="310"/>
    </row>
    <row r="87" ht="15.75" customHeight="1">
      <c r="W87" s="310"/>
      <c r="Y87" s="310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>
    <sortState ref="W13:Y41">
      <sortCondition ref="X13:X41"/>
    </sortState>
  </autoFilter>
  <mergeCells count="101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J22:L22"/>
    <mergeCell ref="M22:O22"/>
    <mergeCell ref="P22:R22"/>
    <mergeCell ref="S22:U22"/>
    <mergeCell ref="G22:I22"/>
    <mergeCell ref="G25:I25"/>
    <mergeCell ref="J25:L25"/>
    <mergeCell ref="A29:C29"/>
    <mergeCell ref="D29:F29"/>
    <mergeCell ref="G29:I29"/>
    <mergeCell ref="J29:L29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30:C30"/>
    <mergeCell ref="D30:F30"/>
    <mergeCell ref="G30:I30"/>
    <mergeCell ref="J30:L30"/>
    <mergeCell ref="G33:I33"/>
    <mergeCell ref="A37:C37"/>
    <mergeCell ref="D37:F37"/>
    <mergeCell ref="P45:R45"/>
    <mergeCell ref="S45:U45"/>
    <mergeCell ref="A46:C46"/>
    <mergeCell ref="D46:F46"/>
    <mergeCell ref="G46:I46"/>
    <mergeCell ref="J46:L46"/>
    <mergeCell ref="M46:O46"/>
    <mergeCell ref="P46:R46"/>
    <mergeCell ref="S46:U46"/>
    <mergeCell ref="G41:I41"/>
    <mergeCell ref="J41:L41"/>
    <mergeCell ref="A45:C45"/>
    <mergeCell ref="D45:F45"/>
    <mergeCell ref="G45:I45"/>
    <mergeCell ref="J45:L45"/>
    <mergeCell ref="M45:O45"/>
    <mergeCell ref="B55:D5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G17:I17"/>
    <mergeCell ref="M29:O29"/>
    <mergeCell ref="P29:R29"/>
    <mergeCell ref="S29:U29"/>
    <mergeCell ref="M30:O30"/>
    <mergeCell ref="P30:R30"/>
    <mergeCell ref="S30:U30"/>
  </mergeCells>
  <hyperlinks>
    <hyperlink r:id="rId1" ref="S11"/>
    <hyperlink r:id="rId2" ref="S19"/>
    <hyperlink r:id="rId3" ref="S27"/>
    <hyperlink r:id="rId4" ref="S35"/>
  </hyperlinks>
  <printOptions horizontalCentered="1" verticalCentered="1"/>
  <pageMargins bottom="0.0" footer="0.0" header="0.0" left="0.0" right="0.0" top="0.0"/>
  <pageSetup paperSize="9" orientation="landscape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5.57"/>
    <col customWidth="1" min="4" max="4" width="18.86"/>
    <col customWidth="1" min="5" max="5" width="11.71"/>
    <col customWidth="1" min="6" max="6" width="6.14"/>
    <col customWidth="1" min="7" max="7" width="18.43"/>
    <col customWidth="1" min="8" max="8" width="11.43"/>
    <col customWidth="1" min="9" max="9" width="8.57"/>
    <col customWidth="1" min="10" max="10" width="18.86"/>
    <col customWidth="1" min="11" max="11" width="11.57"/>
    <col customWidth="1" min="12" max="12" width="7.71"/>
    <col customWidth="1" min="13" max="13" width="20.86"/>
    <col customWidth="1" min="14" max="14" width="11.57"/>
    <col customWidth="1" min="15" max="15" width="7.43"/>
    <col customWidth="1" min="16" max="16" width="16.71"/>
    <col customWidth="1" min="17" max="17" width="11.43"/>
    <col customWidth="1" min="18" max="18" width="7.43"/>
    <col customWidth="1" min="19" max="19" width="10.43"/>
    <col customWidth="1" min="20" max="20" width="11.57"/>
    <col customWidth="1" min="21" max="21" width="5.57"/>
    <col customWidth="1" min="22" max="23" width="8.71"/>
    <col customWidth="1" min="24" max="24" width="18.86"/>
    <col customWidth="1" min="25" max="25" width="15.14"/>
    <col customWidth="1" min="26" max="26" width="8.71"/>
  </cols>
  <sheetData>
    <row r="1" ht="15.75" customHeight="1">
      <c r="A1" s="6" t="s">
        <v>69</v>
      </c>
      <c r="C1" s="296" t="s">
        <v>320</v>
      </c>
      <c r="F1" s="3"/>
      <c r="G1" s="4" t="s">
        <v>2</v>
      </c>
      <c r="Q1" s="3"/>
    </row>
    <row r="2" ht="15.75" customHeight="1">
      <c r="A2" s="6" t="s">
        <v>3</v>
      </c>
      <c r="C2" s="7" t="s">
        <v>283</v>
      </c>
      <c r="F2" s="3"/>
      <c r="Q2" s="3"/>
    </row>
    <row r="3" ht="15.75" customHeight="1">
      <c r="A3" s="6" t="s">
        <v>5</v>
      </c>
      <c r="C3" s="297"/>
      <c r="F3" s="3"/>
      <c r="Q3" s="3"/>
    </row>
    <row r="4" ht="15.75" customHeight="1">
      <c r="A4" s="6" t="s">
        <v>6</v>
      </c>
      <c r="C4" s="8"/>
      <c r="E4" s="3"/>
      <c r="F4" s="3"/>
      <c r="G4" s="3"/>
      <c r="H4" s="3"/>
      <c r="I4" s="3"/>
      <c r="J4" s="3"/>
      <c r="K4" s="3"/>
      <c r="L4" s="3"/>
      <c r="M4" s="3"/>
      <c r="N4" s="3"/>
      <c r="O4" s="138"/>
      <c r="P4" s="139"/>
      <c r="Q4" s="311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4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 ht="15.75" customHeight="1">
      <c r="A6" s="312"/>
      <c r="B6" s="12"/>
      <c r="C6" s="13"/>
      <c r="D6" s="312"/>
      <c r="E6" s="12"/>
      <c r="F6" s="13"/>
      <c r="G6" s="312"/>
      <c r="H6" s="12"/>
      <c r="I6" s="13"/>
      <c r="J6" s="312"/>
      <c r="K6" s="12"/>
      <c r="L6" s="13"/>
      <c r="M6" s="18">
        <v>46143.0</v>
      </c>
      <c r="N6" s="12"/>
      <c r="O6" s="13"/>
      <c r="P6" s="16">
        <f>M6+1</f>
        <v>46144</v>
      </c>
      <c r="Q6" s="12"/>
      <c r="R6" s="13"/>
      <c r="S6" s="18">
        <f>P6+1</f>
        <v>46145</v>
      </c>
      <c r="T6" s="12"/>
      <c r="U6" s="13"/>
      <c r="V6" s="75">
        <f>COUNTA(#REF!,M24:M27,P31:P36,#REF!,D16:D19,D7:D12,#REF!,P7:P12,A25:A28,#REF!,#REF!,#REF!,M13:M14,P23:P28,D24:D28,G16:G20,J17:J25,#REF!,#REF!,A33:A36,D32:D35,G23:G28,J25:J28,#REF!)</f>
        <v>49</v>
      </c>
    </row>
    <row r="7" ht="15.75" customHeight="1">
      <c r="A7" s="101"/>
      <c r="B7" s="101"/>
      <c r="C7" s="101"/>
      <c r="D7" s="21"/>
      <c r="E7" s="243"/>
      <c r="F7" s="21"/>
      <c r="G7" s="24"/>
      <c r="H7" s="24"/>
      <c r="I7" s="24"/>
      <c r="J7" s="98"/>
      <c r="K7" s="98"/>
      <c r="L7" s="98"/>
      <c r="M7" s="98"/>
      <c r="N7" s="98"/>
      <c r="O7" s="98"/>
      <c r="P7" s="21"/>
      <c r="Q7" s="243"/>
      <c r="R7" s="21"/>
      <c r="S7" s="218"/>
      <c r="T7" s="218"/>
      <c r="U7" s="218"/>
    </row>
    <row r="8" ht="15.75" customHeight="1">
      <c r="A8" s="101"/>
      <c r="B8" s="101"/>
      <c r="C8" s="101"/>
      <c r="D8" s="21"/>
      <c r="E8" s="243"/>
      <c r="F8" s="21"/>
      <c r="G8" s="313"/>
      <c r="H8" s="313"/>
      <c r="I8" s="313"/>
      <c r="J8" s="98"/>
      <c r="K8" s="98"/>
      <c r="L8" s="98"/>
      <c r="M8" s="98"/>
      <c r="N8" s="98"/>
      <c r="O8" s="98"/>
      <c r="P8" s="314"/>
      <c r="Q8" s="314"/>
      <c r="R8" s="314"/>
      <c r="S8" s="218"/>
      <c r="T8" s="218"/>
      <c r="U8" s="218"/>
    </row>
    <row r="9" ht="15.75" customHeight="1">
      <c r="A9" s="101"/>
      <c r="B9" s="101"/>
      <c r="C9" s="101"/>
      <c r="D9" s="98"/>
      <c r="E9" s="98"/>
      <c r="F9" s="98"/>
      <c r="G9" s="101"/>
      <c r="H9" s="101"/>
      <c r="I9" s="101"/>
      <c r="J9" s="98"/>
      <c r="K9" s="98"/>
      <c r="L9" s="98"/>
      <c r="M9" s="221" t="s">
        <v>14</v>
      </c>
      <c r="N9" s="12"/>
      <c r="O9" s="13"/>
      <c r="P9" s="315" t="s">
        <v>321</v>
      </c>
      <c r="Q9" s="242" t="s">
        <v>110</v>
      </c>
      <c r="R9" s="242" t="s">
        <v>322</v>
      </c>
      <c r="S9" s="221" t="s">
        <v>14</v>
      </c>
      <c r="T9" s="12"/>
      <c r="U9" s="13"/>
    </row>
    <row r="10" ht="15.75" customHeight="1">
      <c r="A10" s="101"/>
      <c r="B10" s="101"/>
      <c r="C10" s="101"/>
      <c r="D10" s="21"/>
      <c r="E10" s="243"/>
      <c r="F10" s="21"/>
      <c r="G10" s="316"/>
      <c r="H10" s="243"/>
      <c r="I10" s="101"/>
      <c r="J10" s="24"/>
      <c r="K10" s="24"/>
      <c r="L10" s="24"/>
      <c r="M10" s="101"/>
      <c r="N10" s="243"/>
      <c r="O10" s="101"/>
      <c r="P10" s="24"/>
      <c r="Q10" s="24"/>
      <c r="R10" s="24"/>
      <c r="S10" s="218"/>
      <c r="T10" s="218"/>
      <c r="U10" s="218"/>
    </row>
    <row r="11" ht="15.75" customHeight="1">
      <c r="A11" s="101"/>
      <c r="B11" s="101"/>
      <c r="C11" s="101"/>
      <c r="D11" s="21"/>
      <c r="E11" s="243"/>
      <c r="F11" s="21"/>
      <c r="G11" s="98"/>
      <c r="H11" s="98"/>
      <c r="I11" s="98"/>
      <c r="J11" s="101"/>
      <c r="K11" s="101"/>
      <c r="L11" s="101"/>
      <c r="M11" s="101"/>
      <c r="N11" s="101"/>
      <c r="O11" s="101"/>
      <c r="P11" s="101"/>
      <c r="Q11" s="98"/>
      <c r="R11" s="98"/>
      <c r="S11" s="218"/>
      <c r="T11" s="218"/>
      <c r="U11" s="218"/>
    </row>
    <row r="12" ht="15.75" customHeight="1">
      <c r="A12" s="218"/>
      <c r="B12" s="218"/>
      <c r="C12" s="218"/>
      <c r="D12" s="101"/>
      <c r="E12" s="101"/>
      <c r="F12" s="101"/>
      <c r="G12" s="101"/>
      <c r="H12" s="101"/>
      <c r="I12" s="101"/>
      <c r="J12" s="218"/>
      <c r="K12" s="218"/>
      <c r="L12" s="218"/>
      <c r="M12" s="218"/>
      <c r="N12" s="218"/>
      <c r="O12" s="218"/>
      <c r="P12" s="101"/>
      <c r="Q12" s="101"/>
      <c r="R12" s="101"/>
      <c r="S12" s="218"/>
      <c r="T12" s="218"/>
      <c r="U12" s="218"/>
    </row>
    <row r="13" ht="15.75" customHeight="1">
      <c r="A13" s="84" t="s">
        <v>7</v>
      </c>
      <c r="B13" s="12"/>
      <c r="C13" s="13"/>
      <c r="D13" s="84" t="s">
        <v>8</v>
      </c>
      <c r="E13" s="12"/>
      <c r="F13" s="13"/>
      <c r="G13" s="84" t="s">
        <v>9</v>
      </c>
      <c r="H13" s="12"/>
      <c r="I13" s="13"/>
      <c r="J13" s="84" t="s">
        <v>10</v>
      </c>
      <c r="K13" s="12"/>
      <c r="L13" s="13"/>
      <c r="M13" s="84" t="s">
        <v>74</v>
      </c>
      <c r="N13" s="12"/>
      <c r="O13" s="13"/>
      <c r="P13" s="84" t="s">
        <v>75</v>
      </c>
      <c r="Q13" s="12"/>
      <c r="R13" s="13"/>
      <c r="S13" s="85" t="s">
        <v>13</v>
      </c>
      <c r="T13" s="12"/>
      <c r="U13" s="13"/>
      <c r="W13" s="222" t="s">
        <v>15</v>
      </c>
      <c r="X13" s="222" t="s">
        <v>16</v>
      </c>
      <c r="Y13" s="223" t="s">
        <v>17</v>
      </c>
    </row>
    <row r="14" ht="15.75" customHeight="1">
      <c r="A14" s="86">
        <f>S6+1</f>
        <v>46146</v>
      </c>
      <c r="B14" s="12"/>
      <c r="C14" s="13"/>
      <c r="D14" s="86">
        <f>A14+1</f>
        <v>46147</v>
      </c>
      <c r="E14" s="12"/>
      <c r="F14" s="13"/>
      <c r="G14" s="86">
        <f>D14+1</f>
        <v>46148</v>
      </c>
      <c r="H14" s="12"/>
      <c r="I14" s="13"/>
      <c r="J14" s="86">
        <f>G14+1</f>
        <v>46149</v>
      </c>
      <c r="K14" s="12"/>
      <c r="L14" s="13"/>
      <c r="M14" s="87">
        <f>J14+1</f>
        <v>46150</v>
      </c>
      <c r="N14" s="12"/>
      <c r="O14" s="13"/>
      <c r="P14" s="86">
        <f>M14+1</f>
        <v>46151</v>
      </c>
      <c r="Q14" s="12"/>
      <c r="R14" s="13"/>
      <c r="S14" s="88">
        <f>P14+1</f>
        <v>46152</v>
      </c>
      <c r="T14" s="12"/>
      <c r="U14" s="13"/>
      <c r="W14" s="223">
        <v>21.0</v>
      </c>
      <c r="X14" s="131" t="s">
        <v>323</v>
      </c>
      <c r="Y14" s="223">
        <f t="shared" ref="Y14:Y35" si="1">countif($A$5:$U$52,X14)</f>
        <v>4</v>
      </c>
      <c r="Z14" s="131"/>
    </row>
    <row r="15" ht="15.75" customHeight="1">
      <c r="A15" s="317"/>
      <c r="B15" s="243"/>
      <c r="C15" s="98"/>
      <c r="D15" s="24"/>
      <c r="E15" s="24"/>
      <c r="F15" s="24"/>
      <c r="G15" s="24"/>
      <c r="H15" s="24"/>
      <c r="I15" s="24"/>
      <c r="J15" s="98"/>
      <c r="K15" s="98"/>
      <c r="L15" s="98"/>
      <c r="M15" s="219"/>
      <c r="N15" s="219"/>
      <c r="O15" s="219"/>
      <c r="P15" s="24"/>
      <c r="Q15" s="24"/>
      <c r="R15" s="24"/>
      <c r="S15" s="218"/>
      <c r="T15" s="218"/>
      <c r="U15" s="218"/>
      <c r="W15" s="223">
        <v>1.0</v>
      </c>
      <c r="X15" s="316" t="s">
        <v>324</v>
      </c>
      <c r="Y15" s="223">
        <f t="shared" si="1"/>
        <v>3</v>
      </c>
      <c r="Z15" s="318"/>
    </row>
    <row r="16" ht="15.75" customHeight="1">
      <c r="A16" s="101" t="s">
        <v>325</v>
      </c>
      <c r="B16" s="101" t="s">
        <v>326</v>
      </c>
      <c r="C16" s="101" t="s">
        <v>25</v>
      </c>
      <c r="D16" s="98" t="s">
        <v>327</v>
      </c>
      <c r="E16" s="315" t="s">
        <v>186</v>
      </c>
      <c r="F16" s="101" t="s">
        <v>25</v>
      </c>
      <c r="G16" s="98" t="s">
        <v>328</v>
      </c>
      <c r="H16" s="98" t="s">
        <v>61</v>
      </c>
      <c r="I16" s="98" t="s">
        <v>25</v>
      </c>
      <c r="J16" s="101" t="s">
        <v>325</v>
      </c>
      <c r="K16" s="101" t="s">
        <v>264</v>
      </c>
      <c r="L16" s="101" t="s">
        <v>25</v>
      </c>
      <c r="M16" s="21" t="s">
        <v>329</v>
      </c>
      <c r="N16" s="21" t="s">
        <v>141</v>
      </c>
      <c r="O16" s="21" t="s">
        <v>25</v>
      </c>
      <c r="P16" s="100" t="s">
        <v>330</v>
      </c>
      <c r="Q16" s="100" t="s">
        <v>33</v>
      </c>
      <c r="R16" s="100" t="s">
        <v>34</v>
      </c>
      <c r="S16" s="218"/>
      <c r="T16" s="218"/>
      <c r="U16" s="218"/>
      <c r="W16" s="223">
        <v>2.0</v>
      </c>
      <c r="X16" s="316" t="s">
        <v>328</v>
      </c>
      <c r="Y16" s="223">
        <f t="shared" si="1"/>
        <v>10</v>
      </c>
      <c r="Z16" s="318"/>
    </row>
    <row r="17" ht="15.75" customHeight="1">
      <c r="A17" s="101" t="s">
        <v>331</v>
      </c>
      <c r="B17" s="101" t="s">
        <v>49</v>
      </c>
      <c r="C17" s="101" t="s">
        <v>34</v>
      </c>
      <c r="D17" s="101" t="s">
        <v>263</v>
      </c>
      <c r="E17" s="101"/>
      <c r="F17" s="101" t="s">
        <v>332</v>
      </c>
      <c r="G17" s="98" t="s">
        <v>333</v>
      </c>
      <c r="H17" s="98" t="s">
        <v>36</v>
      </c>
      <c r="I17" s="98" t="s">
        <v>34</v>
      </c>
      <c r="J17" s="301" t="s">
        <v>323</v>
      </c>
      <c r="K17" s="101" t="s">
        <v>281</v>
      </c>
      <c r="L17" s="101" t="s">
        <v>25</v>
      </c>
      <c r="M17" s="101" t="s">
        <v>334</v>
      </c>
      <c r="N17" s="243" t="s">
        <v>97</v>
      </c>
      <c r="O17" s="101" t="s">
        <v>27</v>
      </c>
      <c r="P17" s="98" t="s">
        <v>263</v>
      </c>
      <c r="Q17" s="101" t="s">
        <v>335</v>
      </c>
      <c r="R17" s="98" t="s">
        <v>25</v>
      </c>
      <c r="S17" s="221" t="s">
        <v>14</v>
      </c>
      <c r="T17" s="12"/>
      <c r="U17" s="13"/>
      <c r="W17" s="223">
        <v>3.0</v>
      </c>
      <c r="X17" s="316" t="s">
        <v>333</v>
      </c>
      <c r="Y17" s="223">
        <f t="shared" si="1"/>
        <v>2</v>
      </c>
      <c r="Z17" s="318"/>
    </row>
    <row r="18" ht="15.75" customHeight="1">
      <c r="A18" s="101"/>
      <c r="B18" s="101"/>
      <c r="C18" s="101"/>
      <c r="D18" s="98" t="s">
        <v>336</v>
      </c>
      <c r="E18" s="98" t="s">
        <v>33</v>
      </c>
      <c r="F18" s="98" t="s">
        <v>34</v>
      </c>
      <c r="G18" s="319" t="s">
        <v>337</v>
      </c>
      <c r="H18" s="320" t="s">
        <v>120</v>
      </c>
      <c r="I18" s="99" t="s">
        <v>27</v>
      </c>
      <c r="J18" s="101" t="s">
        <v>328</v>
      </c>
      <c r="K18" s="101" t="s">
        <v>338</v>
      </c>
      <c r="L18" s="101" t="s">
        <v>305</v>
      </c>
      <c r="M18" s="101" t="s">
        <v>328</v>
      </c>
      <c r="N18" s="101" t="s">
        <v>339</v>
      </c>
      <c r="O18" s="101" t="s">
        <v>62</v>
      </c>
      <c r="P18" s="24"/>
      <c r="Q18" s="24"/>
      <c r="R18" s="24"/>
      <c r="S18" s="218"/>
      <c r="T18" s="218"/>
      <c r="U18" s="218"/>
      <c r="W18" s="223">
        <v>5.0</v>
      </c>
      <c r="X18" s="316" t="s">
        <v>263</v>
      </c>
      <c r="Y18" s="223">
        <f t="shared" si="1"/>
        <v>5</v>
      </c>
      <c r="Z18" s="318"/>
    </row>
    <row r="19" ht="15.75" customHeight="1">
      <c r="A19" s="21"/>
      <c r="B19" s="243"/>
      <c r="C19" s="21"/>
      <c r="D19" s="32" t="s">
        <v>340</v>
      </c>
      <c r="E19" s="32" t="s">
        <v>97</v>
      </c>
      <c r="F19" s="32" t="s">
        <v>25</v>
      </c>
      <c r="G19" s="98"/>
      <c r="H19" s="98"/>
      <c r="I19" s="98"/>
      <c r="J19" s="101"/>
      <c r="K19" s="101"/>
      <c r="L19" s="101"/>
      <c r="M19" s="24"/>
      <c r="N19" s="24"/>
      <c r="O19" s="24"/>
      <c r="P19" s="101"/>
      <c r="Q19" s="101"/>
      <c r="R19" s="101"/>
      <c r="S19" s="218"/>
      <c r="T19" s="218"/>
      <c r="U19" s="218"/>
      <c r="W19" s="223">
        <v>4.0</v>
      </c>
      <c r="X19" s="316" t="s">
        <v>341</v>
      </c>
      <c r="Y19" s="223">
        <f t="shared" si="1"/>
        <v>3</v>
      </c>
      <c r="Z19" s="318"/>
    </row>
    <row r="20" ht="15.75" customHeight="1">
      <c r="A20" s="218"/>
      <c r="B20" s="218"/>
      <c r="C20" s="218"/>
      <c r="G20" s="101"/>
      <c r="H20" s="101"/>
      <c r="I20" s="101"/>
      <c r="J20" s="101"/>
      <c r="K20" s="101"/>
      <c r="L20" s="101"/>
      <c r="M20" s="101"/>
      <c r="N20" s="101"/>
      <c r="O20" s="101"/>
      <c r="P20" s="218"/>
      <c r="Q20" s="218"/>
      <c r="R20" s="218"/>
      <c r="S20" s="321"/>
      <c r="T20" s="321"/>
      <c r="U20" s="321"/>
      <c r="W20" s="223">
        <v>6.0</v>
      </c>
      <c r="X20" s="316" t="s">
        <v>336</v>
      </c>
      <c r="Y20" s="223">
        <f t="shared" si="1"/>
        <v>2</v>
      </c>
      <c r="Z20" s="318"/>
    </row>
    <row r="21" ht="15.75" customHeight="1">
      <c r="A21" s="106" t="s">
        <v>105</v>
      </c>
      <c r="B21" s="12"/>
      <c r="C21" s="13"/>
      <c r="D21" s="106" t="s">
        <v>8</v>
      </c>
      <c r="E21" s="12"/>
      <c r="F21" s="13"/>
      <c r="G21" s="106" t="s">
        <v>106</v>
      </c>
      <c r="H21" s="12"/>
      <c r="I21" s="13"/>
      <c r="J21" s="107" t="s">
        <v>10</v>
      </c>
      <c r="K21" s="12"/>
      <c r="L21" s="13"/>
      <c r="M21" s="106" t="s">
        <v>74</v>
      </c>
      <c r="N21" s="12"/>
      <c r="O21" s="13"/>
      <c r="P21" s="106" t="s">
        <v>75</v>
      </c>
      <c r="Q21" s="12"/>
      <c r="R21" s="13"/>
      <c r="S21" s="107" t="s">
        <v>13</v>
      </c>
      <c r="T21" s="12"/>
      <c r="U21" s="13"/>
      <c r="W21" s="223">
        <v>18.0</v>
      </c>
      <c r="X21" s="316" t="s">
        <v>329</v>
      </c>
      <c r="Y21" s="223">
        <f t="shared" si="1"/>
        <v>2</v>
      </c>
      <c r="Z21" s="318"/>
    </row>
    <row r="22" ht="15.75" customHeight="1">
      <c r="A22" s="109">
        <f>S14+1</f>
        <v>46153</v>
      </c>
      <c r="B22" s="12"/>
      <c r="C22" s="13"/>
      <c r="D22" s="109">
        <f>A22+1</f>
        <v>46154</v>
      </c>
      <c r="E22" s="12"/>
      <c r="F22" s="13"/>
      <c r="G22" s="109">
        <f>D22+1</f>
        <v>46155</v>
      </c>
      <c r="H22" s="12"/>
      <c r="I22" s="13"/>
      <c r="J22" s="110">
        <f>G22+1</f>
        <v>46156</v>
      </c>
      <c r="K22" s="12"/>
      <c r="L22" s="13"/>
      <c r="M22" s="109">
        <f>J22+1</f>
        <v>46157</v>
      </c>
      <c r="N22" s="12"/>
      <c r="O22" s="13"/>
      <c r="P22" s="109">
        <f>M22+1</f>
        <v>46158</v>
      </c>
      <c r="Q22" s="12"/>
      <c r="R22" s="13"/>
      <c r="S22" s="110">
        <f>P22+1</f>
        <v>46159</v>
      </c>
      <c r="T22" s="12"/>
      <c r="U22" s="13"/>
      <c r="W22" s="223">
        <v>7.0</v>
      </c>
      <c r="X22" s="316" t="s">
        <v>342</v>
      </c>
      <c r="Y22" s="223">
        <f t="shared" si="1"/>
        <v>2</v>
      </c>
      <c r="Z22" s="318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19"/>
      <c r="K23" s="219"/>
      <c r="L23" s="219"/>
      <c r="P23" s="219"/>
      <c r="Q23" s="219"/>
      <c r="R23" s="219"/>
      <c r="S23" s="218"/>
      <c r="T23" s="218"/>
      <c r="U23" s="218"/>
      <c r="W23" s="223">
        <v>8.0</v>
      </c>
      <c r="X23" s="316" t="s">
        <v>343</v>
      </c>
      <c r="Y23" s="223">
        <f t="shared" si="1"/>
        <v>3</v>
      </c>
      <c r="Z23" s="318"/>
    </row>
    <row r="24" ht="15.75" customHeight="1">
      <c r="A24" s="101" t="s">
        <v>325</v>
      </c>
      <c r="B24" s="101" t="s">
        <v>326</v>
      </c>
      <c r="C24" s="101" t="s">
        <v>25</v>
      </c>
      <c r="D24" s="98" t="s">
        <v>327</v>
      </c>
      <c r="E24" s="315" t="s">
        <v>186</v>
      </c>
      <c r="F24" s="101" t="s">
        <v>25</v>
      </c>
      <c r="G24" s="301" t="s">
        <v>323</v>
      </c>
      <c r="H24" s="101" t="s">
        <v>39</v>
      </c>
      <c r="I24" s="101" t="s">
        <v>25</v>
      </c>
      <c r="J24" s="24"/>
      <c r="K24" s="24"/>
      <c r="L24" s="24"/>
      <c r="M24" s="101" t="s">
        <v>325</v>
      </c>
      <c r="N24" s="99" t="s">
        <v>264</v>
      </c>
      <c r="O24" s="99" t="s">
        <v>25</v>
      </c>
      <c r="P24" s="315" t="s">
        <v>321</v>
      </c>
      <c r="Q24" s="242" t="s">
        <v>110</v>
      </c>
      <c r="R24" s="242" t="s">
        <v>322</v>
      </c>
      <c r="S24" s="218"/>
      <c r="T24" s="218"/>
      <c r="U24" s="218"/>
      <c r="W24" s="223">
        <v>9.0</v>
      </c>
      <c r="X24" s="316" t="s">
        <v>344</v>
      </c>
      <c r="Y24" s="223">
        <f t="shared" si="1"/>
        <v>3</v>
      </c>
      <c r="Z24" s="318"/>
    </row>
    <row r="25" ht="15.75" customHeight="1">
      <c r="A25" s="101" t="s">
        <v>344</v>
      </c>
      <c r="B25" s="98" t="s">
        <v>33</v>
      </c>
      <c r="C25" s="98" t="s">
        <v>25</v>
      </c>
      <c r="D25" s="101" t="s">
        <v>341</v>
      </c>
      <c r="E25" s="101" t="s">
        <v>49</v>
      </c>
      <c r="F25" s="101" t="s">
        <v>25</v>
      </c>
      <c r="G25" s="98" t="s">
        <v>328</v>
      </c>
      <c r="H25" s="98" t="s">
        <v>61</v>
      </c>
      <c r="I25" s="98" t="s">
        <v>25</v>
      </c>
      <c r="J25" s="21"/>
      <c r="K25" s="21"/>
      <c r="L25" s="21"/>
      <c r="M25" s="101" t="s">
        <v>345</v>
      </c>
      <c r="N25" s="243" t="s">
        <v>346</v>
      </c>
      <c r="O25" s="101" t="s">
        <v>27</v>
      </c>
      <c r="P25" s="101" t="s">
        <v>324</v>
      </c>
      <c r="Q25" s="101"/>
      <c r="R25" s="101" t="s">
        <v>34</v>
      </c>
      <c r="S25" s="221" t="s">
        <v>14</v>
      </c>
      <c r="T25" s="12"/>
      <c r="U25" s="13"/>
      <c r="W25" s="223">
        <v>11.0</v>
      </c>
      <c r="X25" s="316" t="s">
        <v>330</v>
      </c>
      <c r="Y25" s="223">
        <f t="shared" si="1"/>
        <v>2</v>
      </c>
      <c r="Z25" s="318"/>
    </row>
    <row r="26" ht="15.75" customHeight="1">
      <c r="A26" s="101" t="s">
        <v>343</v>
      </c>
      <c r="B26" s="101"/>
      <c r="C26" s="101" t="s">
        <v>25</v>
      </c>
      <c r="D26" s="44" t="s">
        <v>347</v>
      </c>
      <c r="E26" s="21" t="s">
        <v>36</v>
      </c>
      <c r="F26" s="44" t="s">
        <v>27</v>
      </c>
      <c r="G26" s="244" t="s">
        <v>343</v>
      </c>
      <c r="H26" s="322" t="s">
        <v>99</v>
      </c>
      <c r="I26" s="244" t="s">
        <v>25</v>
      </c>
      <c r="J26" s="221" t="s">
        <v>14</v>
      </c>
      <c r="K26" s="12"/>
      <c r="L26" s="13"/>
      <c r="M26" s="101" t="s">
        <v>348</v>
      </c>
      <c r="N26" s="243" t="s">
        <v>116</v>
      </c>
      <c r="O26" s="101" t="s">
        <v>25</v>
      </c>
      <c r="P26" s="98" t="s">
        <v>263</v>
      </c>
      <c r="Q26" s="101" t="s">
        <v>335</v>
      </c>
      <c r="R26" s="98" t="s">
        <v>25</v>
      </c>
      <c r="S26" s="218"/>
      <c r="T26" s="218"/>
      <c r="U26" s="218"/>
      <c r="W26" s="223">
        <v>12.0</v>
      </c>
      <c r="X26" s="131" t="s">
        <v>337</v>
      </c>
      <c r="Y26" s="223">
        <f t="shared" si="1"/>
        <v>3</v>
      </c>
      <c r="Z26" s="318"/>
    </row>
    <row r="27" ht="15.75" customHeight="1">
      <c r="A27" s="98" t="s">
        <v>342</v>
      </c>
      <c r="B27" s="98" t="s">
        <v>349</v>
      </c>
      <c r="C27" s="98" t="s">
        <v>27</v>
      </c>
      <c r="D27" s="32" t="s">
        <v>340</v>
      </c>
      <c r="E27" s="32" t="s">
        <v>97</v>
      </c>
      <c r="F27" s="32" t="s">
        <v>25</v>
      </c>
      <c r="G27" s="319" t="s">
        <v>337</v>
      </c>
      <c r="H27" s="320" t="s">
        <v>120</v>
      </c>
      <c r="I27" s="99" t="s">
        <v>27</v>
      </c>
      <c r="J27" s="24"/>
      <c r="K27" s="24"/>
      <c r="L27" s="24"/>
      <c r="M27" s="98" t="s">
        <v>328</v>
      </c>
      <c r="N27" s="101" t="s">
        <v>339</v>
      </c>
      <c r="O27" s="101" t="s">
        <v>305</v>
      </c>
      <c r="P27" s="24"/>
      <c r="Q27" s="24"/>
      <c r="R27" s="24"/>
      <c r="S27" s="218"/>
      <c r="T27" s="218"/>
      <c r="U27" s="218"/>
      <c r="W27" s="223">
        <v>20.0</v>
      </c>
      <c r="X27" s="316" t="s">
        <v>347</v>
      </c>
      <c r="Y27" s="223">
        <f t="shared" si="1"/>
        <v>2</v>
      </c>
      <c r="Z27" s="318"/>
    </row>
    <row r="28" ht="15.75" customHeight="1">
      <c r="A28" s="219"/>
      <c r="B28" s="219"/>
      <c r="C28" s="219"/>
      <c r="D28" s="219"/>
      <c r="E28" s="219"/>
      <c r="F28" s="219"/>
      <c r="G28" s="24"/>
      <c r="H28" s="24"/>
      <c r="I28" s="24"/>
      <c r="J28" s="101"/>
      <c r="K28" s="101"/>
      <c r="L28" s="101"/>
      <c r="M28" s="24"/>
      <c r="N28" s="24"/>
      <c r="O28" s="24"/>
      <c r="P28" s="218"/>
      <c r="Q28" s="218"/>
      <c r="R28" s="218"/>
      <c r="S28" s="218"/>
      <c r="T28" s="218"/>
      <c r="U28" s="218"/>
      <c r="W28" s="223">
        <v>14.0</v>
      </c>
      <c r="X28" s="21"/>
      <c r="Y28" s="223">
        <f t="shared" si="1"/>
        <v>0</v>
      </c>
      <c r="Z28" s="318"/>
    </row>
    <row r="29" ht="15.75" customHeight="1">
      <c r="A29" s="84" t="s">
        <v>105</v>
      </c>
      <c r="B29" s="12"/>
      <c r="C29" s="13"/>
      <c r="D29" s="84" t="s">
        <v>8</v>
      </c>
      <c r="E29" s="12"/>
      <c r="F29" s="13"/>
      <c r="G29" s="84" t="s">
        <v>106</v>
      </c>
      <c r="H29" s="12"/>
      <c r="I29" s="13"/>
      <c r="J29" s="84" t="s">
        <v>10</v>
      </c>
      <c r="K29" s="12"/>
      <c r="L29" s="13"/>
      <c r="M29" s="84" t="s">
        <v>74</v>
      </c>
      <c r="N29" s="12"/>
      <c r="O29" s="13"/>
      <c r="P29" s="84" t="s">
        <v>75</v>
      </c>
      <c r="Q29" s="12"/>
      <c r="R29" s="13"/>
      <c r="S29" s="199" t="s">
        <v>13</v>
      </c>
      <c r="T29" s="12"/>
      <c r="U29" s="13"/>
      <c r="W29" s="223">
        <v>17.0</v>
      </c>
      <c r="X29" s="316" t="s">
        <v>350</v>
      </c>
      <c r="Y29" s="223">
        <f t="shared" si="1"/>
        <v>0</v>
      </c>
      <c r="Z29" s="318"/>
    </row>
    <row r="30" ht="15.75" customHeight="1">
      <c r="A30" s="87">
        <f>S22+1</f>
        <v>46160</v>
      </c>
      <c r="B30" s="12"/>
      <c r="C30" s="13"/>
      <c r="D30" s="86">
        <f>A30+1</f>
        <v>46161</v>
      </c>
      <c r="E30" s="12"/>
      <c r="F30" s="13"/>
      <c r="G30" s="86">
        <f>D30+1</f>
        <v>46162</v>
      </c>
      <c r="H30" s="12"/>
      <c r="I30" s="13"/>
      <c r="J30" s="86">
        <f>G30+1</f>
        <v>46163</v>
      </c>
      <c r="K30" s="12"/>
      <c r="L30" s="13"/>
      <c r="M30" s="86">
        <f>J30+1</f>
        <v>46164</v>
      </c>
      <c r="N30" s="12"/>
      <c r="O30" s="13"/>
      <c r="P30" s="87">
        <f>M30+1</f>
        <v>46165</v>
      </c>
      <c r="Q30" s="12"/>
      <c r="R30" s="13"/>
      <c r="S30" s="88">
        <f>P30+1</f>
        <v>46166</v>
      </c>
      <c r="T30" s="12"/>
      <c r="U30" s="13"/>
      <c r="W30" s="223">
        <v>23.0</v>
      </c>
      <c r="X30" s="316" t="s">
        <v>348</v>
      </c>
      <c r="Y30" s="223">
        <f t="shared" si="1"/>
        <v>2</v>
      </c>
      <c r="Z30" s="323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98"/>
      <c r="K31" s="98"/>
      <c r="L31" s="98"/>
      <c r="M31" s="24"/>
      <c r="N31" s="24"/>
      <c r="O31" s="24"/>
      <c r="P31" s="324"/>
      <c r="Q31" s="12"/>
      <c r="R31" s="13"/>
      <c r="S31" s="218"/>
      <c r="T31" s="218"/>
      <c r="U31" s="218"/>
      <c r="W31" s="223">
        <v>19.0</v>
      </c>
      <c r="X31" s="316" t="s">
        <v>334</v>
      </c>
      <c r="Y31" s="223">
        <f t="shared" si="1"/>
        <v>2</v>
      </c>
      <c r="Z31" s="318"/>
    </row>
    <row r="32" ht="15.75" customHeight="1">
      <c r="A32" s="99" t="s">
        <v>325</v>
      </c>
      <c r="B32" s="99" t="s">
        <v>326</v>
      </c>
      <c r="C32" s="99" t="s">
        <v>25</v>
      </c>
      <c r="D32" s="98" t="s">
        <v>327</v>
      </c>
      <c r="E32" s="315" t="s">
        <v>186</v>
      </c>
      <c r="F32" s="101" t="s">
        <v>25</v>
      </c>
      <c r="G32" s="98" t="s">
        <v>328</v>
      </c>
      <c r="H32" s="98" t="s">
        <v>61</v>
      </c>
      <c r="I32" s="98" t="s">
        <v>25</v>
      </c>
      <c r="J32" s="301" t="s">
        <v>323</v>
      </c>
      <c r="K32" s="101" t="s">
        <v>116</v>
      </c>
      <c r="L32" s="101" t="s">
        <v>25</v>
      </c>
      <c r="M32" s="244" t="s">
        <v>324</v>
      </c>
      <c r="N32" s="244" t="s">
        <v>99</v>
      </c>
      <c r="O32" s="244" t="s">
        <v>34</v>
      </c>
      <c r="P32" s="100" t="s">
        <v>330</v>
      </c>
      <c r="Q32" s="100" t="s">
        <v>33</v>
      </c>
      <c r="R32" s="100" t="s">
        <v>34</v>
      </c>
      <c r="S32" s="218"/>
      <c r="T32" s="218"/>
      <c r="U32" s="218"/>
      <c r="W32" s="223">
        <v>13.0</v>
      </c>
      <c r="X32" s="325" t="s">
        <v>325</v>
      </c>
      <c r="Y32" s="223">
        <f t="shared" si="1"/>
        <v>7</v>
      </c>
      <c r="Z32" s="318"/>
    </row>
    <row r="33" ht="15.75" customHeight="1">
      <c r="A33" s="101" t="s">
        <v>331</v>
      </c>
      <c r="B33" s="101" t="s">
        <v>33</v>
      </c>
      <c r="C33" s="101" t="s">
        <v>34</v>
      </c>
      <c r="D33" s="32" t="s">
        <v>340</v>
      </c>
      <c r="E33" s="32" t="s">
        <v>97</v>
      </c>
      <c r="F33" s="32" t="s">
        <v>25</v>
      </c>
      <c r="G33" s="98" t="s">
        <v>333</v>
      </c>
      <c r="H33" s="98" t="s">
        <v>36</v>
      </c>
      <c r="I33" s="98" t="s">
        <v>34</v>
      </c>
      <c r="J33" s="101" t="s">
        <v>328</v>
      </c>
      <c r="K33" s="101" t="s">
        <v>338</v>
      </c>
      <c r="L33" s="101" t="s">
        <v>153</v>
      </c>
      <c r="M33" s="101" t="s">
        <v>334</v>
      </c>
      <c r="N33" s="243" t="s">
        <v>97</v>
      </c>
      <c r="O33" s="101" t="s">
        <v>27</v>
      </c>
      <c r="P33" s="100" t="s">
        <v>263</v>
      </c>
      <c r="Q33" s="100" t="s">
        <v>335</v>
      </c>
      <c r="R33" s="100" t="s">
        <v>25</v>
      </c>
      <c r="S33" s="221" t="s">
        <v>14</v>
      </c>
      <c r="T33" s="12"/>
      <c r="U33" s="13"/>
      <c r="W33" s="223">
        <v>10.0</v>
      </c>
      <c r="X33" s="316" t="s">
        <v>340</v>
      </c>
      <c r="Y33" s="223">
        <f t="shared" si="1"/>
        <v>5</v>
      </c>
      <c r="Z33" s="318"/>
    </row>
    <row r="34" ht="15.75" customHeight="1">
      <c r="A34" s="98" t="s">
        <v>336</v>
      </c>
      <c r="B34" s="242" t="s">
        <v>36</v>
      </c>
      <c r="C34" s="98" t="s">
        <v>34</v>
      </c>
      <c r="D34" s="24"/>
      <c r="E34" s="24"/>
      <c r="F34" s="24"/>
      <c r="G34" s="319" t="s">
        <v>337</v>
      </c>
      <c r="H34" s="320" t="s">
        <v>120</v>
      </c>
      <c r="I34" s="99" t="s">
        <v>27</v>
      </c>
      <c r="J34" s="99" t="s">
        <v>325</v>
      </c>
      <c r="K34" s="99" t="s">
        <v>351</v>
      </c>
      <c r="L34" s="99" t="s">
        <v>25</v>
      </c>
      <c r="M34" s="101" t="s">
        <v>328</v>
      </c>
      <c r="N34" s="101" t="s">
        <v>339</v>
      </c>
      <c r="O34" s="101" t="s">
        <v>62</v>
      </c>
      <c r="P34" s="24"/>
      <c r="Q34" s="24"/>
      <c r="R34" s="24"/>
      <c r="S34" s="218"/>
      <c r="T34" s="218"/>
      <c r="U34" s="218"/>
      <c r="W34" s="223">
        <v>15.0</v>
      </c>
      <c r="X34" s="318" t="s">
        <v>327</v>
      </c>
      <c r="Y34" s="223">
        <f t="shared" si="1"/>
        <v>4</v>
      </c>
      <c r="Z34" s="318"/>
    </row>
    <row r="35" ht="15.75" customHeight="1">
      <c r="A35" s="21" t="s">
        <v>329</v>
      </c>
      <c r="B35" s="21" t="s">
        <v>141</v>
      </c>
      <c r="C35" s="101" t="s">
        <v>25</v>
      </c>
      <c r="D35" s="101"/>
      <c r="E35" s="101"/>
      <c r="F35" s="101"/>
      <c r="G35" s="24"/>
      <c r="H35" s="24"/>
      <c r="I35" s="24"/>
      <c r="J35" s="24"/>
      <c r="K35" s="24"/>
      <c r="L35" s="24"/>
      <c r="M35" s="24"/>
      <c r="N35" s="24"/>
      <c r="O35" s="24"/>
      <c r="P35" s="98"/>
      <c r="Q35" s="98"/>
      <c r="R35" s="98"/>
      <c r="S35" s="218"/>
      <c r="T35" s="218"/>
      <c r="U35" s="218"/>
      <c r="W35" s="223">
        <v>16.0</v>
      </c>
      <c r="X35" s="131" t="s">
        <v>345</v>
      </c>
      <c r="Y35" s="223">
        <f t="shared" si="1"/>
        <v>2</v>
      </c>
      <c r="Z35" s="318"/>
    </row>
    <row r="36" ht="15.75" customHeight="1">
      <c r="A36" s="218"/>
      <c r="B36" s="218"/>
      <c r="C36" s="218"/>
      <c r="D36" s="98"/>
      <c r="E36" s="101"/>
      <c r="F36" s="98"/>
      <c r="G36" s="24"/>
      <c r="H36" s="24"/>
      <c r="I36" s="24"/>
      <c r="J36" s="98"/>
      <c r="K36" s="101"/>
      <c r="L36" s="101"/>
      <c r="M36" s="101"/>
      <c r="N36" s="101"/>
      <c r="O36" s="101"/>
      <c r="P36" s="101"/>
      <c r="Q36" s="101"/>
      <c r="R36" s="101"/>
      <c r="S36" s="218"/>
      <c r="T36" s="218"/>
      <c r="U36" s="218"/>
      <c r="W36" s="223">
        <v>22.0</v>
      </c>
      <c r="X36" s="131"/>
      <c r="Y36" s="223"/>
      <c r="Z36" s="131"/>
    </row>
    <row r="37" ht="15.75" customHeight="1">
      <c r="A37" s="106" t="s">
        <v>105</v>
      </c>
      <c r="B37" s="12"/>
      <c r="C37" s="13"/>
      <c r="D37" s="106" t="s">
        <v>8</v>
      </c>
      <c r="E37" s="12"/>
      <c r="F37" s="13"/>
      <c r="G37" s="107" t="s">
        <v>106</v>
      </c>
      <c r="H37" s="12"/>
      <c r="I37" s="13"/>
      <c r="J37" s="106" t="s">
        <v>10</v>
      </c>
      <c r="K37" s="12"/>
      <c r="L37" s="13"/>
      <c r="M37" s="106" t="s">
        <v>11</v>
      </c>
      <c r="N37" s="12"/>
      <c r="O37" s="13"/>
      <c r="P37" s="106" t="s">
        <v>75</v>
      </c>
      <c r="Q37" s="12"/>
      <c r="R37" s="13"/>
      <c r="S37" s="107" t="s">
        <v>107</v>
      </c>
      <c r="T37" s="12"/>
      <c r="U37" s="13"/>
      <c r="W37" s="223">
        <v>24.0</v>
      </c>
      <c r="X37" s="316"/>
      <c r="Y37" s="223">
        <f t="shared" ref="Y37:Y41" si="2">countif($A$5:$U$52,X37)</f>
        <v>0</v>
      </c>
    </row>
    <row r="38" ht="15.75" customHeight="1">
      <c r="A38" s="109">
        <f>S30+1</f>
        <v>46167</v>
      </c>
      <c r="B38" s="12"/>
      <c r="C38" s="13"/>
      <c r="D38" s="109">
        <f>A38+1</f>
        <v>46168</v>
      </c>
      <c r="E38" s="12"/>
      <c r="F38" s="13"/>
      <c r="G38" s="110">
        <f>D38+1</f>
        <v>46169</v>
      </c>
      <c r="H38" s="12"/>
      <c r="I38" s="13"/>
      <c r="J38" s="109">
        <f>G38+1</f>
        <v>46170</v>
      </c>
      <c r="K38" s="12"/>
      <c r="L38" s="13"/>
      <c r="M38" s="109">
        <f>J38+1</f>
        <v>46171</v>
      </c>
      <c r="N38" s="12"/>
      <c r="O38" s="13"/>
      <c r="P38" s="109">
        <f>M38+1</f>
        <v>46172</v>
      </c>
      <c r="Q38" s="12"/>
      <c r="R38" s="13"/>
      <c r="S38" s="110">
        <f>P38+1</f>
        <v>46173</v>
      </c>
      <c r="T38" s="12"/>
      <c r="U38" s="13"/>
      <c r="W38" s="223">
        <v>25.0</v>
      </c>
      <c r="X38" s="316"/>
      <c r="Y38" s="223">
        <f t="shared" si="2"/>
        <v>0</v>
      </c>
    </row>
    <row r="39" ht="15.75" customHeight="1">
      <c r="A39" s="24"/>
      <c r="B39" s="24"/>
      <c r="C39" s="24"/>
      <c r="D39" s="98" t="s">
        <v>327</v>
      </c>
      <c r="E39" s="315" t="s">
        <v>186</v>
      </c>
      <c r="F39" s="101" t="s">
        <v>25</v>
      </c>
      <c r="G39" s="21"/>
      <c r="H39" s="243"/>
      <c r="I39" s="21"/>
      <c r="J39" s="98"/>
      <c r="K39" s="101"/>
      <c r="L39" s="101"/>
      <c r="M39" s="98"/>
      <c r="N39" s="98"/>
      <c r="O39" s="98"/>
      <c r="P39" s="98"/>
      <c r="Q39" s="98"/>
      <c r="R39" s="98"/>
      <c r="S39" s="218"/>
      <c r="T39" s="218"/>
      <c r="U39" s="218"/>
      <c r="W39" s="223">
        <v>26.0</v>
      </c>
      <c r="X39" s="316"/>
      <c r="Y39" s="223">
        <f t="shared" si="2"/>
        <v>0</v>
      </c>
    </row>
    <row r="40" ht="15.75" customHeight="1">
      <c r="A40" s="99" t="s">
        <v>325</v>
      </c>
      <c r="B40" s="99" t="s">
        <v>326</v>
      </c>
      <c r="C40" s="99" t="s">
        <v>25</v>
      </c>
      <c r="D40" s="244" t="s">
        <v>344</v>
      </c>
      <c r="E40" s="244" t="s">
        <v>33</v>
      </c>
      <c r="F40" s="244" t="s">
        <v>25</v>
      </c>
      <c r="G40" s="301"/>
      <c r="H40" s="101"/>
      <c r="I40" s="101"/>
      <c r="J40" s="301" t="s">
        <v>323</v>
      </c>
      <c r="K40" s="101" t="s">
        <v>39</v>
      </c>
      <c r="L40" s="101" t="s">
        <v>25</v>
      </c>
      <c r="M40" s="98" t="s">
        <v>328</v>
      </c>
      <c r="N40" s="98" t="s">
        <v>61</v>
      </c>
      <c r="O40" s="98" t="s">
        <v>25</v>
      </c>
      <c r="P40" s="101" t="s">
        <v>324</v>
      </c>
      <c r="Q40" s="101" t="s">
        <v>110</v>
      </c>
      <c r="R40" s="101" t="s">
        <v>34</v>
      </c>
      <c r="S40" s="218"/>
      <c r="T40" s="218"/>
      <c r="U40" s="218"/>
      <c r="W40" s="223">
        <v>27.0</v>
      </c>
      <c r="X40" s="316"/>
      <c r="Y40" s="223">
        <f t="shared" si="2"/>
        <v>0</v>
      </c>
    </row>
    <row r="41" ht="15.75" customHeight="1">
      <c r="A41" s="101" t="s">
        <v>344</v>
      </c>
      <c r="B41" s="98"/>
      <c r="C41" s="98" t="s">
        <v>25</v>
      </c>
      <c r="D41" s="101" t="s">
        <v>341</v>
      </c>
      <c r="E41" s="101"/>
      <c r="F41" s="101" t="s">
        <v>25</v>
      </c>
      <c r="G41" s="221" t="s">
        <v>14</v>
      </c>
      <c r="H41" s="12"/>
      <c r="I41" s="13"/>
      <c r="J41" s="98" t="s">
        <v>342</v>
      </c>
      <c r="K41" s="98" t="s">
        <v>349</v>
      </c>
      <c r="L41" s="98" t="s">
        <v>27</v>
      </c>
      <c r="M41" s="244" t="s">
        <v>343</v>
      </c>
      <c r="N41" s="244" t="s">
        <v>99</v>
      </c>
      <c r="O41" s="244" t="s">
        <v>25</v>
      </c>
      <c r="P41" s="98" t="s">
        <v>263</v>
      </c>
      <c r="Q41" s="101" t="s">
        <v>335</v>
      </c>
      <c r="R41" s="98" t="s">
        <v>25</v>
      </c>
      <c r="S41" s="218"/>
      <c r="T41" s="218"/>
      <c r="U41" s="218"/>
      <c r="W41" s="223">
        <v>28.0</v>
      </c>
      <c r="X41" s="316"/>
      <c r="Y41" s="223">
        <f t="shared" si="2"/>
        <v>0</v>
      </c>
    </row>
    <row r="42" ht="15.75" customHeight="1">
      <c r="A42" s="244" t="s">
        <v>341</v>
      </c>
      <c r="B42" s="244" t="s">
        <v>36</v>
      </c>
      <c r="C42" s="244" t="s">
        <v>25</v>
      </c>
      <c r="D42" s="44" t="s">
        <v>347</v>
      </c>
      <c r="E42" s="44" t="s">
        <v>36</v>
      </c>
      <c r="F42" s="44" t="s">
        <v>27</v>
      </c>
      <c r="G42" s="101"/>
      <c r="H42" s="243"/>
      <c r="I42" s="101"/>
      <c r="J42" s="98" t="s">
        <v>328</v>
      </c>
      <c r="K42" s="101" t="s">
        <v>339</v>
      </c>
      <c r="L42" s="101" t="s">
        <v>305</v>
      </c>
      <c r="M42" s="101" t="s">
        <v>345</v>
      </c>
      <c r="N42" s="243" t="s">
        <v>346</v>
      </c>
      <c r="O42" s="101" t="s">
        <v>27</v>
      </c>
      <c r="P42" s="24"/>
      <c r="Q42" s="24"/>
      <c r="R42" s="24"/>
      <c r="S42" s="218"/>
      <c r="T42" s="218"/>
      <c r="U42" s="218"/>
      <c r="Y42" s="75">
        <f>SUM(Y14:Y41)</f>
        <v>68</v>
      </c>
    </row>
    <row r="43" ht="15.75" customHeight="1">
      <c r="A43" s="51" t="s">
        <v>340</v>
      </c>
      <c r="B43" s="51" t="s">
        <v>97</v>
      </c>
      <c r="C43" s="51" t="s">
        <v>25</v>
      </c>
      <c r="D43" s="32" t="s">
        <v>340</v>
      </c>
      <c r="E43" s="32"/>
      <c r="F43" s="32" t="s">
        <v>25</v>
      </c>
      <c r="G43" s="101"/>
      <c r="H43" s="101"/>
      <c r="I43" s="101"/>
      <c r="J43" s="101"/>
      <c r="K43" s="101"/>
      <c r="L43" s="101"/>
      <c r="M43" s="101" t="s">
        <v>348</v>
      </c>
      <c r="N43" s="243" t="s">
        <v>281</v>
      </c>
      <c r="O43" s="101" t="s">
        <v>25</v>
      </c>
      <c r="P43" s="98"/>
      <c r="Q43" s="98"/>
      <c r="R43" s="98"/>
      <c r="S43" s="218"/>
      <c r="T43" s="218"/>
      <c r="U43" s="218"/>
    </row>
    <row r="44" ht="15.75" customHeight="1">
      <c r="A44" s="219"/>
      <c r="B44" s="219"/>
      <c r="C44" s="219"/>
      <c r="E44" s="218"/>
      <c r="F44" s="218"/>
      <c r="G44" s="101"/>
      <c r="H44" s="101"/>
      <c r="I44" s="101"/>
      <c r="J44" s="101"/>
      <c r="K44" s="101"/>
      <c r="L44" s="101"/>
      <c r="M44" s="98"/>
      <c r="N44" s="98"/>
      <c r="O44" s="98"/>
      <c r="P44" s="98"/>
      <c r="Q44" s="98"/>
      <c r="R44" s="98"/>
      <c r="S44" s="218"/>
      <c r="T44" s="218"/>
      <c r="U44" s="218"/>
    </row>
    <row r="45" ht="15.75" customHeight="1">
      <c r="A45" s="84"/>
      <c r="B45" s="12"/>
      <c r="C45" s="13"/>
      <c r="D45" s="84"/>
      <c r="E45" s="12"/>
      <c r="F45" s="13"/>
      <c r="G45" s="84"/>
      <c r="H45" s="12"/>
      <c r="I45" s="13"/>
      <c r="J45" s="84"/>
      <c r="K45" s="12"/>
      <c r="L45" s="13"/>
      <c r="M45" s="84"/>
      <c r="N45" s="12"/>
      <c r="O45" s="13"/>
      <c r="P45" s="84"/>
      <c r="Q45" s="12"/>
      <c r="R45" s="13"/>
      <c r="S45" s="85"/>
      <c r="T45" s="12"/>
      <c r="U45" s="13"/>
    </row>
    <row r="46" ht="15.75" customHeight="1">
      <c r="A46" s="87"/>
      <c r="B46" s="12"/>
      <c r="C46" s="13"/>
      <c r="D46" s="86"/>
      <c r="E46" s="12"/>
      <c r="F46" s="13"/>
      <c r="G46" s="86"/>
      <c r="H46" s="12"/>
      <c r="I46" s="13"/>
      <c r="J46" s="86"/>
      <c r="K46" s="12"/>
      <c r="L46" s="13"/>
      <c r="M46" s="86"/>
      <c r="N46" s="12"/>
      <c r="O46" s="13"/>
      <c r="P46" s="86"/>
      <c r="Q46" s="12"/>
      <c r="R46" s="13"/>
      <c r="S46" s="87"/>
      <c r="T46" s="12"/>
      <c r="U46" s="13"/>
    </row>
    <row r="47" ht="15.75" customHeight="1">
      <c r="A47" s="219"/>
      <c r="B47" s="219"/>
      <c r="C47" s="219"/>
      <c r="D47" s="219"/>
      <c r="E47" s="219"/>
      <c r="F47" s="219"/>
      <c r="G47" s="98"/>
      <c r="H47" s="98"/>
      <c r="I47" s="98"/>
      <c r="J47" s="98"/>
      <c r="K47" s="101"/>
      <c r="L47" s="101"/>
      <c r="M47" s="32"/>
      <c r="N47" s="21"/>
      <c r="O47" s="21"/>
      <c r="P47" s="98"/>
      <c r="Q47" s="98"/>
      <c r="R47" s="98"/>
      <c r="S47" s="186"/>
      <c r="T47" s="186"/>
      <c r="U47" s="186"/>
    </row>
    <row r="48" ht="15.75" customHeight="1">
      <c r="A48" s="219"/>
      <c r="B48" s="219"/>
      <c r="C48" s="219"/>
      <c r="D48" s="219"/>
      <c r="E48" s="219"/>
      <c r="F48" s="219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186"/>
      <c r="T48" s="186"/>
      <c r="U48" s="186"/>
    </row>
    <row r="49" ht="15.75" customHeight="1">
      <c r="A49" s="219"/>
      <c r="B49" s="219"/>
      <c r="C49" s="219"/>
      <c r="D49" s="101"/>
      <c r="E49" s="101"/>
      <c r="F49" s="101"/>
      <c r="G49" s="98"/>
      <c r="H49" s="98"/>
      <c r="I49" s="98"/>
      <c r="J49" s="98"/>
      <c r="K49" s="101"/>
      <c r="L49" s="101"/>
      <c r="M49" s="98"/>
      <c r="N49" s="98"/>
      <c r="O49" s="98"/>
      <c r="P49" s="98"/>
      <c r="Q49" s="98"/>
      <c r="R49" s="98"/>
      <c r="S49" s="183"/>
      <c r="T49" s="183"/>
      <c r="U49" s="183"/>
    </row>
    <row r="50" ht="15.75" customHeight="1">
      <c r="A50" s="101"/>
      <c r="B50" s="101"/>
      <c r="C50" s="101"/>
      <c r="D50" s="101"/>
      <c r="E50" s="101"/>
      <c r="F50" s="101"/>
      <c r="G50" s="317"/>
      <c r="H50" s="243"/>
      <c r="I50" s="98"/>
      <c r="J50" s="98"/>
      <c r="K50" s="101"/>
      <c r="L50" s="101"/>
      <c r="M50" s="32"/>
      <c r="N50" s="98"/>
      <c r="O50" s="32"/>
      <c r="P50" s="98"/>
      <c r="Q50" s="98"/>
      <c r="R50" s="98"/>
      <c r="S50" s="186"/>
      <c r="T50" s="186"/>
      <c r="U50" s="186"/>
    </row>
    <row r="51" ht="15.75" customHeight="1">
      <c r="A51" s="101"/>
      <c r="B51" s="243"/>
      <c r="C51" s="101"/>
      <c r="D51" s="98"/>
      <c r="E51" s="98"/>
      <c r="F51" s="98"/>
      <c r="G51" s="21"/>
      <c r="H51" s="243"/>
      <c r="I51" s="21"/>
      <c r="J51" s="98"/>
      <c r="K51" s="98"/>
      <c r="L51" s="98"/>
      <c r="M51" s="21"/>
      <c r="N51" s="98"/>
      <c r="O51" s="21"/>
      <c r="P51" s="98"/>
      <c r="Q51" s="98"/>
      <c r="R51" s="98"/>
      <c r="S51" s="183"/>
      <c r="T51" s="183"/>
      <c r="U51" s="184"/>
    </row>
    <row r="52" ht="15.75" customHeight="1">
      <c r="A52" s="219"/>
      <c r="B52" s="219"/>
      <c r="C52" s="219"/>
      <c r="D52" s="101"/>
      <c r="E52" s="101"/>
      <c r="F52" s="101"/>
      <c r="G52" s="218"/>
      <c r="H52" s="218"/>
      <c r="I52" s="218"/>
      <c r="J52" s="101"/>
      <c r="K52" s="101"/>
      <c r="L52" s="101"/>
      <c r="M52" s="101"/>
      <c r="N52" s="101"/>
      <c r="O52" s="101"/>
      <c r="P52" s="101"/>
      <c r="Q52" s="101"/>
      <c r="R52" s="101"/>
      <c r="S52" s="186"/>
      <c r="T52" s="186"/>
      <c r="U52" s="186"/>
    </row>
    <row r="53" ht="15.75" customHeight="1">
      <c r="A53" s="217"/>
      <c r="B53" s="61"/>
    </row>
    <row r="54" ht="15.75" customHeight="1"/>
    <row r="55" ht="15.75" customHeight="1">
      <c r="A55" s="60" t="s">
        <v>64</v>
      </c>
      <c r="B55" s="61"/>
    </row>
    <row r="56" ht="15.75" customHeight="1">
      <c r="A56" s="62"/>
      <c r="B56" s="63" t="s">
        <v>65</v>
      </c>
      <c r="C56" s="64"/>
      <c r="D56" s="65"/>
    </row>
    <row r="57" ht="15.75" customHeight="1">
      <c r="A57" s="66"/>
      <c r="B57" s="63" t="s">
        <v>66</v>
      </c>
      <c r="C57" s="64"/>
    </row>
    <row r="58" ht="15.75" customHeight="1">
      <c r="A58" s="67"/>
      <c r="B58" s="63" t="s">
        <v>67</v>
      </c>
      <c r="C58" s="64"/>
    </row>
    <row r="59" ht="15.75" customHeight="1">
      <c r="A59" s="68"/>
      <c r="B59" s="63" t="s">
        <v>68</v>
      </c>
      <c r="C59" s="6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Z$42">
    <sortState ref="W13:Z42">
      <sortCondition ref="Z13:Z42"/>
    </sortState>
  </autoFilter>
  <mergeCells count="104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M29:O29"/>
    <mergeCell ref="P29:R29"/>
    <mergeCell ref="S22:U22"/>
    <mergeCell ref="S25:U25"/>
    <mergeCell ref="J26:L26"/>
    <mergeCell ref="D29:F29"/>
    <mergeCell ref="G29:I29"/>
    <mergeCell ref="J29:L29"/>
    <mergeCell ref="S29:U29"/>
    <mergeCell ref="A29:C29"/>
    <mergeCell ref="A30:C30"/>
    <mergeCell ref="D30:F30"/>
    <mergeCell ref="G30:I30"/>
    <mergeCell ref="J30:L30"/>
    <mergeCell ref="M30:O30"/>
    <mergeCell ref="S30:U30"/>
    <mergeCell ref="P30:R30"/>
    <mergeCell ref="P31:R31"/>
    <mergeCell ref="S33:U33"/>
    <mergeCell ref="D37:F37"/>
    <mergeCell ref="G37:I37"/>
    <mergeCell ref="J37:L37"/>
    <mergeCell ref="S37:U37"/>
    <mergeCell ref="A37:C37"/>
    <mergeCell ref="A38:C38"/>
    <mergeCell ref="D38:F38"/>
    <mergeCell ref="J38:L38"/>
    <mergeCell ref="M38:O38"/>
    <mergeCell ref="P38:R38"/>
    <mergeCell ref="S38:U38"/>
    <mergeCell ref="P45:R45"/>
    <mergeCell ref="S45:U45"/>
    <mergeCell ref="A46:C46"/>
    <mergeCell ref="D46:F46"/>
    <mergeCell ref="G46:I46"/>
    <mergeCell ref="J46:L46"/>
    <mergeCell ref="M46:O46"/>
    <mergeCell ref="P46:R46"/>
    <mergeCell ref="S46:U46"/>
    <mergeCell ref="B53:D53"/>
    <mergeCell ref="B55:D55"/>
    <mergeCell ref="G38:I38"/>
    <mergeCell ref="G41:I41"/>
    <mergeCell ref="A45:C45"/>
    <mergeCell ref="D45:F45"/>
    <mergeCell ref="G45:I45"/>
    <mergeCell ref="J45:L45"/>
    <mergeCell ref="M45:O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S9:U9"/>
    <mergeCell ref="A6:C6"/>
    <mergeCell ref="D6:F6"/>
    <mergeCell ref="G6:I6"/>
    <mergeCell ref="J6:L6"/>
    <mergeCell ref="M6:O6"/>
    <mergeCell ref="P6:R6"/>
    <mergeCell ref="S6:U6"/>
    <mergeCell ref="V6:X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M37:O37"/>
    <mergeCell ref="P37:R37"/>
  </mergeCells>
  <printOptions horizontalCentered="1" verticalCentered="1"/>
  <pageMargins bottom="0.0" footer="0.0" header="0.0" left="0.0" right="0.0" top="0.0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7.86"/>
    <col customWidth="1" min="4" max="4" width="17.86"/>
    <col customWidth="1" min="5" max="5" width="11.43"/>
    <col customWidth="1" min="6" max="6" width="7.43"/>
    <col customWidth="1" min="7" max="7" width="18.29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1" t="s">
        <v>0</v>
      </c>
      <c r="C1" s="2" t="s">
        <v>352</v>
      </c>
      <c r="F1" s="3"/>
      <c r="G1" s="4" t="s">
        <v>2</v>
      </c>
      <c r="Q1" s="3"/>
    </row>
    <row r="2">
      <c r="A2" s="6" t="s">
        <v>3</v>
      </c>
      <c r="C2" s="7" t="s">
        <v>170</v>
      </c>
      <c r="F2" s="3"/>
      <c r="Q2" s="3"/>
    </row>
    <row r="3">
      <c r="A3" s="6" t="s">
        <v>5</v>
      </c>
      <c r="C3" s="2" t="s">
        <v>72</v>
      </c>
      <c r="F3" s="3"/>
      <c r="Q3" s="3"/>
    </row>
    <row r="4">
      <c r="A4" s="6" t="s">
        <v>6</v>
      </c>
      <c r="C4" s="2" t="s">
        <v>72</v>
      </c>
      <c r="F4" s="3"/>
      <c r="G4" s="3"/>
      <c r="H4" s="3"/>
      <c r="I4" s="3"/>
      <c r="J4" s="3"/>
      <c r="K4" s="3"/>
      <c r="L4" s="3"/>
      <c r="M4" s="3"/>
      <c r="N4" s="3"/>
      <c r="O4" s="138"/>
      <c r="P4" s="139"/>
      <c r="Q4" s="14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4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312"/>
      <c r="B6" s="12"/>
      <c r="C6" s="13"/>
      <c r="D6" s="312"/>
      <c r="E6" s="12"/>
      <c r="F6" s="13"/>
      <c r="G6" s="312"/>
      <c r="H6" s="12"/>
      <c r="I6" s="13"/>
      <c r="J6" s="312"/>
      <c r="K6" s="12"/>
      <c r="L6" s="13"/>
      <c r="M6" s="18">
        <v>46143.0</v>
      </c>
      <c r="N6" s="12"/>
      <c r="O6" s="13"/>
      <c r="P6" s="16">
        <f>M6+1</f>
        <v>46144</v>
      </c>
      <c r="Q6" s="12"/>
      <c r="R6" s="13"/>
      <c r="S6" s="18">
        <f>P6+1</f>
        <v>46145</v>
      </c>
      <c r="T6" s="12"/>
      <c r="U6" s="13"/>
    </row>
    <row r="7">
      <c r="A7" s="19"/>
      <c r="B7" s="19"/>
      <c r="C7" s="19"/>
      <c r="D7" s="19"/>
      <c r="E7" s="19"/>
      <c r="F7" s="19"/>
      <c r="G7" s="19"/>
      <c r="H7" s="19"/>
      <c r="I7" s="19"/>
      <c r="J7" s="32"/>
      <c r="K7" s="32"/>
      <c r="L7" s="32"/>
      <c r="M7" s="19"/>
      <c r="N7" s="19"/>
      <c r="O7" s="19"/>
      <c r="P7" s="19"/>
      <c r="Q7" s="19"/>
      <c r="R7" s="19"/>
      <c r="S7" s="19"/>
      <c r="T7" s="19"/>
      <c r="U7" s="19"/>
    </row>
    <row r="8">
      <c r="A8" s="19"/>
      <c r="B8" s="19"/>
      <c r="C8" s="19"/>
      <c r="D8" s="19"/>
      <c r="E8" s="19"/>
      <c r="F8" s="19"/>
      <c r="G8" s="19"/>
      <c r="H8" s="21"/>
      <c r="I8" s="19"/>
      <c r="J8" s="24"/>
      <c r="K8" s="24"/>
      <c r="L8" s="24"/>
      <c r="M8" s="47"/>
      <c r="N8" s="47"/>
      <c r="O8" s="47"/>
      <c r="P8" s="24"/>
      <c r="Q8" s="24"/>
      <c r="R8" s="24"/>
      <c r="S8" s="47"/>
      <c r="T8" s="47"/>
      <c r="U8" s="47"/>
    </row>
    <row r="9">
      <c r="A9" s="19"/>
      <c r="B9" s="19"/>
      <c r="C9" s="19"/>
      <c r="D9" s="19"/>
      <c r="E9" s="19"/>
      <c r="F9" s="19"/>
      <c r="G9" s="19"/>
      <c r="H9" s="19"/>
      <c r="I9" s="19"/>
      <c r="J9" s="24"/>
      <c r="K9" s="24"/>
      <c r="L9" s="24"/>
      <c r="M9" s="42" t="s">
        <v>14</v>
      </c>
      <c r="N9" s="12"/>
      <c r="O9" s="13"/>
      <c r="P9" s="42" t="s">
        <v>14</v>
      </c>
      <c r="Q9" s="12"/>
      <c r="R9" s="13"/>
      <c r="S9" s="42" t="s">
        <v>14</v>
      </c>
      <c r="T9" s="12"/>
      <c r="U9" s="13"/>
      <c r="W9" s="326" t="s">
        <v>15</v>
      </c>
      <c r="X9" s="142" t="s">
        <v>126</v>
      </c>
      <c r="Y9" s="327" t="s">
        <v>17</v>
      </c>
    </row>
    <row r="10">
      <c r="A10" s="19"/>
      <c r="B10" s="19"/>
      <c r="C10" s="19"/>
      <c r="D10" s="19"/>
      <c r="E10" s="19"/>
      <c r="F10" s="19"/>
      <c r="G10" s="24"/>
      <c r="H10" s="24"/>
      <c r="I10" s="24"/>
      <c r="J10" s="24"/>
      <c r="K10" s="24"/>
      <c r="L10" s="24"/>
      <c r="M10" s="47"/>
      <c r="N10" s="47"/>
      <c r="O10" s="47"/>
      <c r="P10" s="24"/>
      <c r="Q10" s="24"/>
      <c r="R10" s="24"/>
      <c r="S10" s="47"/>
      <c r="T10" s="47"/>
      <c r="U10" s="47"/>
      <c r="W10" s="212">
        <v>1.0</v>
      </c>
      <c r="X10" s="22"/>
      <c r="Y10" s="328"/>
    </row>
    <row r="11">
      <c r="A11" s="19"/>
      <c r="B11" s="19"/>
      <c r="C11" s="19"/>
      <c r="D11" s="19"/>
      <c r="E11" s="19"/>
      <c r="F11" s="19"/>
      <c r="G11" s="24"/>
      <c r="H11" s="24"/>
      <c r="I11" s="24"/>
      <c r="J11" s="24"/>
      <c r="K11" s="24"/>
      <c r="L11" s="24"/>
      <c r="M11" s="19"/>
      <c r="N11" s="19"/>
      <c r="O11" s="19"/>
      <c r="P11" s="19"/>
      <c r="Q11" s="21"/>
      <c r="R11" s="19"/>
      <c r="S11" s="19"/>
      <c r="T11" s="19"/>
      <c r="U11" s="19"/>
      <c r="W11" s="212">
        <v>2.0</v>
      </c>
      <c r="X11" s="329" t="s">
        <v>353</v>
      </c>
      <c r="Y11" s="330">
        <f t="shared" ref="Y11:Y32" si="1">COUNTIF($A$5:$U$51,X11)</f>
        <v>4</v>
      </c>
    </row>
    <row r="12">
      <c r="A12" s="19"/>
      <c r="B12" s="19"/>
      <c r="C12" s="19"/>
      <c r="D12" s="19"/>
      <c r="E12" s="19"/>
      <c r="F12" s="19"/>
      <c r="G12" s="21"/>
      <c r="H12" s="21"/>
      <c r="I12" s="21"/>
      <c r="J12" s="21"/>
      <c r="K12" s="21"/>
      <c r="L12" s="32"/>
      <c r="M12" s="19"/>
      <c r="N12" s="19"/>
      <c r="O12" s="19"/>
      <c r="P12" s="19"/>
      <c r="Q12" s="19"/>
      <c r="R12" s="19"/>
      <c r="S12" s="19"/>
      <c r="T12" s="19"/>
      <c r="U12" s="19"/>
      <c r="W12" s="212">
        <v>3.0</v>
      </c>
      <c r="X12" s="329" t="s">
        <v>354</v>
      </c>
      <c r="Y12" s="330">
        <f t="shared" si="1"/>
        <v>4</v>
      </c>
    </row>
    <row r="13">
      <c r="A13" s="33" t="s">
        <v>7</v>
      </c>
      <c r="B13" s="12"/>
      <c r="C13" s="13"/>
      <c r="D13" s="33" t="s">
        <v>8</v>
      </c>
      <c r="E13" s="12"/>
      <c r="F13" s="13"/>
      <c r="G13" s="33" t="s">
        <v>9</v>
      </c>
      <c r="H13" s="12"/>
      <c r="I13" s="13"/>
      <c r="J13" s="33" t="s">
        <v>10</v>
      </c>
      <c r="K13" s="12"/>
      <c r="L13" s="13"/>
      <c r="M13" s="33" t="s">
        <v>11</v>
      </c>
      <c r="N13" s="12"/>
      <c r="O13" s="13"/>
      <c r="P13" s="33" t="s">
        <v>12</v>
      </c>
      <c r="Q13" s="12"/>
      <c r="R13" s="13"/>
      <c r="S13" s="331" t="s">
        <v>13</v>
      </c>
      <c r="T13" s="12"/>
      <c r="U13" s="13"/>
      <c r="W13" s="212">
        <v>4.0</v>
      </c>
      <c r="X13" s="332" t="s">
        <v>355</v>
      </c>
      <c r="Y13" s="330">
        <f t="shared" si="1"/>
        <v>6</v>
      </c>
    </row>
    <row r="14">
      <c r="A14" s="36">
        <f>S6+1</f>
        <v>46146</v>
      </c>
      <c r="B14" s="12"/>
      <c r="C14" s="13"/>
      <c r="D14" s="36">
        <f>A14+1</f>
        <v>46147</v>
      </c>
      <c r="E14" s="12"/>
      <c r="F14" s="13"/>
      <c r="G14" s="36">
        <f>D14+1</f>
        <v>46148</v>
      </c>
      <c r="H14" s="12"/>
      <c r="I14" s="13"/>
      <c r="J14" s="36">
        <f>G14+1</f>
        <v>46149</v>
      </c>
      <c r="K14" s="12"/>
      <c r="L14" s="13"/>
      <c r="M14" s="36">
        <f>J14+1</f>
        <v>46150</v>
      </c>
      <c r="N14" s="12"/>
      <c r="O14" s="13"/>
      <c r="P14" s="36">
        <f>M14+1</f>
        <v>46151</v>
      </c>
      <c r="Q14" s="12"/>
      <c r="R14" s="13"/>
      <c r="S14" s="37">
        <f>P14+1</f>
        <v>46152</v>
      </c>
      <c r="T14" s="12"/>
      <c r="U14" s="13"/>
      <c r="W14" s="212">
        <v>5.0</v>
      </c>
      <c r="X14" s="329" t="s">
        <v>356</v>
      </c>
      <c r="Y14" s="330">
        <f t="shared" si="1"/>
        <v>2</v>
      </c>
    </row>
    <row r="15">
      <c r="A15" s="19"/>
      <c r="B15" s="19"/>
      <c r="C15" s="19"/>
      <c r="D15" s="19"/>
      <c r="E15" s="19"/>
      <c r="F15" s="19"/>
      <c r="G15" s="21"/>
      <c r="H15" s="21"/>
      <c r="I15" s="21"/>
      <c r="J15" s="333"/>
      <c r="K15" s="333"/>
      <c r="L15" s="333"/>
      <c r="M15" s="19"/>
      <c r="N15" s="19"/>
      <c r="O15" s="333"/>
      <c r="P15" s="21"/>
      <c r="Q15" s="21"/>
      <c r="R15" s="21"/>
      <c r="S15" s="21"/>
      <c r="T15" s="21"/>
      <c r="U15" s="21"/>
      <c r="W15" s="212">
        <v>6.0</v>
      </c>
      <c r="X15" s="30" t="s">
        <v>357</v>
      </c>
      <c r="Y15" s="330">
        <f t="shared" si="1"/>
        <v>4</v>
      </c>
    </row>
    <row r="16">
      <c r="A16" s="21" t="s">
        <v>358</v>
      </c>
      <c r="B16" s="21" t="s">
        <v>116</v>
      </c>
      <c r="C16" s="21" t="s">
        <v>25</v>
      </c>
      <c r="D16" s="21" t="s">
        <v>359</v>
      </c>
      <c r="E16" s="21" t="s">
        <v>39</v>
      </c>
      <c r="F16" s="21" t="s">
        <v>25</v>
      </c>
      <c r="G16" s="21" t="s">
        <v>360</v>
      </c>
      <c r="H16" s="21" t="s">
        <v>26</v>
      </c>
      <c r="I16" s="19" t="s">
        <v>27</v>
      </c>
      <c r="J16" s="333" t="s">
        <v>361</v>
      </c>
      <c r="K16" s="196" t="s">
        <v>52</v>
      </c>
      <c r="L16" s="333" t="s">
        <v>362</v>
      </c>
      <c r="M16" s="21" t="s">
        <v>363</v>
      </c>
      <c r="N16" s="21" t="s">
        <v>38</v>
      </c>
      <c r="O16" s="21" t="s">
        <v>34</v>
      </c>
      <c r="P16" s="19" t="s">
        <v>355</v>
      </c>
      <c r="Q16" s="21" t="s">
        <v>364</v>
      </c>
      <c r="R16" s="19" t="s">
        <v>25</v>
      </c>
      <c r="S16" s="21"/>
      <c r="T16" s="21"/>
      <c r="U16" s="21"/>
      <c r="W16" s="212">
        <v>7.0</v>
      </c>
      <c r="X16" s="30" t="s">
        <v>359</v>
      </c>
      <c r="Y16" s="330">
        <f t="shared" si="1"/>
        <v>4</v>
      </c>
    </row>
    <row r="17">
      <c r="A17" s="21" t="s">
        <v>357</v>
      </c>
      <c r="B17" s="21" t="s">
        <v>31</v>
      </c>
      <c r="C17" s="21" t="s">
        <v>25</v>
      </c>
      <c r="D17" s="21" t="s">
        <v>365</v>
      </c>
      <c r="E17" s="21" t="s">
        <v>49</v>
      </c>
      <c r="F17" s="21" t="s">
        <v>34</v>
      </c>
      <c r="G17" s="21" t="s">
        <v>366</v>
      </c>
      <c r="H17" s="21" t="s">
        <v>318</v>
      </c>
      <c r="I17" s="21" t="s">
        <v>25</v>
      </c>
      <c r="J17" s="334" t="s">
        <v>353</v>
      </c>
      <c r="K17" s="21" t="s">
        <v>110</v>
      </c>
      <c r="L17" s="333" t="s">
        <v>362</v>
      </c>
      <c r="M17" s="19" t="s">
        <v>367</v>
      </c>
      <c r="N17" s="21" t="s">
        <v>31</v>
      </c>
      <c r="O17" s="19" t="s">
        <v>25</v>
      </c>
      <c r="P17" s="21" t="s">
        <v>368</v>
      </c>
      <c r="Q17" s="21" t="s">
        <v>369</v>
      </c>
      <c r="R17" s="196" t="s">
        <v>25</v>
      </c>
      <c r="S17" s="42" t="s">
        <v>14</v>
      </c>
      <c r="T17" s="12"/>
      <c r="U17" s="13"/>
      <c r="W17" s="212">
        <v>8.0</v>
      </c>
      <c r="X17" s="280" t="s">
        <v>361</v>
      </c>
      <c r="Y17" s="330">
        <f t="shared" si="1"/>
        <v>2</v>
      </c>
    </row>
    <row r="18">
      <c r="A18" s="24"/>
      <c r="B18" s="24"/>
      <c r="C18" s="24"/>
      <c r="G18" s="24"/>
      <c r="H18" s="24"/>
      <c r="I18" s="24"/>
      <c r="J18" s="21" t="s">
        <v>354</v>
      </c>
      <c r="K18" s="21" t="s">
        <v>33</v>
      </c>
      <c r="L18" s="21" t="s">
        <v>27</v>
      </c>
      <c r="M18" s="24"/>
      <c r="N18" s="24"/>
      <c r="O18" s="24"/>
      <c r="P18" s="24"/>
      <c r="Q18" s="24"/>
      <c r="R18" s="24"/>
      <c r="S18" s="21"/>
      <c r="T18" s="21"/>
      <c r="U18" s="21"/>
      <c r="W18" s="212">
        <v>9.0</v>
      </c>
      <c r="X18" s="329" t="s">
        <v>370</v>
      </c>
      <c r="Y18" s="330">
        <f t="shared" si="1"/>
        <v>2</v>
      </c>
    </row>
    <row r="19" ht="15.0" customHeight="1">
      <c r="A19" s="24"/>
      <c r="B19" s="24"/>
      <c r="C19" s="24"/>
      <c r="D19" s="335" t="s">
        <v>371</v>
      </c>
      <c r="E19" s="21" t="s">
        <v>56</v>
      </c>
      <c r="F19" s="21" t="s">
        <v>372</v>
      </c>
      <c r="G19" s="21"/>
      <c r="H19" s="21"/>
      <c r="I19" s="21"/>
      <c r="J19" s="19" t="s">
        <v>370</v>
      </c>
      <c r="K19" s="19" t="s">
        <v>116</v>
      </c>
      <c r="L19" s="19" t="s">
        <v>25</v>
      </c>
      <c r="M19" s="19"/>
      <c r="N19" s="19"/>
      <c r="O19" s="333"/>
      <c r="P19" s="21"/>
      <c r="Q19" s="21"/>
      <c r="R19" s="21"/>
      <c r="S19" s="21"/>
      <c r="T19" s="21"/>
      <c r="U19" s="21"/>
      <c r="W19" s="212">
        <v>10.0</v>
      </c>
      <c r="X19" s="336" t="s">
        <v>361</v>
      </c>
      <c r="Y19" s="330">
        <f t="shared" si="1"/>
        <v>2</v>
      </c>
    </row>
    <row r="20" ht="15.0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1"/>
      <c r="Q20" s="21"/>
      <c r="R20" s="21"/>
      <c r="S20" s="21"/>
      <c r="T20" s="21"/>
      <c r="U20" s="21"/>
      <c r="W20" s="212">
        <v>11.0</v>
      </c>
      <c r="X20" s="158" t="s">
        <v>373</v>
      </c>
      <c r="Y20" s="330">
        <f t="shared" si="1"/>
        <v>2</v>
      </c>
    </row>
    <row r="21" ht="15.75" customHeight="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4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  <c r="W21" s="212">
        <v>12.0</v>
      </c>
      <c r="X21" s="337" t="s">
        <v>360</v>
      </c>
      <c r="Y21" s="330">
        <f t="shared" si="1"/>
        <v>2</v>
      </c>
    </row>
    <row r="22" ht="15.75" customHeight="1">
      <c r="A22" s="16">
        <f>S14+1</f>
        <v>46153</v>
      </c>
      <c r="B22" s="12"/>
      <c r="C22" s="13"/>
      <c r="D22" s="16">
        <f>A22+1</f>
        <v>46154</v>
      </c>
      <c r="E22" s="12"/>
      <c r="F22" s="13"/>
      <c r="G22" s="16">
        <f>D22+1</f>
        <v>46155</v>
      </c>
      <c r="H22" s="12"/>
      <c r="I22" s="13"/>
      <c r="J22" s="18">
        <f>G22+1</f>
        <v>46156</v>
      </c>
      <c r="K22" s="12"/>
      <c r="L22" s="13"/>
      <c r="M22" s="16">
        <f>J22+1</f>
        <v>46157</v>
      </c>
      <c r="N22" s="12"/>
      <c r="O22" s="13"/>
      <c r="P22" s="16">
        <f>M22+1</f>
        <v>46158</v>
      </c>
      <c r="Q22" s="12"/>
      <c r="R22" s="13"/>
      <c r="S22" s="18">
        <f>P22+1</f>
        <v>46159</v>
      </c>
      <c r="T22" s="12"/>
      <c r="U22" s="13"/>
      <c r="W22" s="212">
        <v>13.0</v>
      </c>
      <c r="X22" s="158" t="s">
        <v>374</v>
      </c>
      <c r="Y22" s="330">
        <f t="shared" si="1"/>
        <v>2</v>
      </c>
    </row>
    <row r="23" ht="15.75" customHeight="1">
      <c r="A23" s="21"/>
      <c r="B23" s="21"/>
      <c r="C23" s="21"/>
      <c r="D23" s="21"/>
      <c r="E23" s="21"/>
      <c r="F23" s="21"/>
      <c r="G23" s="24"/>
      <c r="H23" s="24"/>
      <c r="I23" s="24"/>
      <c r="J23" s="32"/>
      <c r="K23" s="32"/>
      <c r="L23" s="32"/>
      <c r="M23" s="24"/>
      <c r="N23" s="24"/>
      <c r="O23" s="24"/>
      <c r="P23" s="21"/>
      <c r="Q23" s="21"/>
      <c r="R23" s="21"/>
      <c r="S23" s="21"/>
      <c r="T23" s="21"/>
      <c r="U23" s="21"/>
      <c r="W23" s="212">
        <v>14.0</v>
      </c>
      <c r="X23" s="30" t="s">
        <v>366</v>
      </c>
      <c r="Y23" s="330">
        <f t="shared" si="1"/>
        <v>2</v>
      </c>
    </row>
    <row r="24" ht="15.75" customHeight="1">
      <c r="A24" s="21" t="s">
        <v>375</v>
      </c>
      <c r="B24" s="21" t="s">
        <v>116</v>
      </c>
      <c r="C24" s="21" t="s">
        <v>25</v>
      </c>
      <c r="D24" s="21" t="s">
        <v>359</v>
      </c>
      <c r="E24" s="21" t="s">
        <v>39</v>
      </c>
      <c r="F24" s="21" t="s">
        <v>25</v>
      </c>
      <c r="G24" s="334" t="s">
        <v>353</v>
      </c>
      <c r="H24" s="21" t="s">
        <v>110</v>
      </c>
      <c r="I24" s="333" t="s">
        <v>362</v>
      </c>
      <c r="J24" s="21" t="s">
        <v>376</v>
      </c>
      <c r="K24" s="19" t="s">
        <v>26</v>
      </c>
      <c r="L24" s="333" t="s">
        <v>27</v>
      </c>
      <c r="M24" s="19" t="s">
        <v>367</v>
      </c>
      <c r="N24" s="21" t="s">
        <v>52</v>
      </c>
      <c r="O24" s="19" t="s">
        <v>25</v>
      </c>
      <c r="P24" s="151" t="s">
        <v>377</v>
      </c>
      <c r="Q24" s="151" t="s">
        <v>49</v>
      </c>
      <c r="R24" s="151" t="s">
        <v>27</v>
      </c>
      <c r="S24" s="338" t="s">
        <v>14</v>
      </c>
      <c r="T24" s="12"/>
      <c r="U24" s="13"/>
      <c r="W24" s="212">
        <v>15.0</v>
      </c>
      <c r="X24" s="30" t="s">
        <v>378</v>
      </c>
      <c r="Y24" s="330">
        <f t="shared" si="1"/>
        <v>4</v>
      </c>
    </row>
    <row r="25" ht="15.75" customHeight="1">
      <c r="A25" s="21" t="s">
        <v>357</v>
      </c>
      <c r="B25" s="21" t="s">
        <v>31</v>
      </c>
      <c r="C25" s="21" t="s">
        <v>25</v>
      </c>
      <c r="D25" s="21" t="s">
        <v>379</v>
      </c>
      <c r="E25" s="19" t="s">
        <v>49</v>
      </c>
      <c r="F25" s="19" t="s">
        <v>34</v>
      </c>
      <c r="G25" s="21" t="s">
        <v>354</v>
      </c>
      <c r="H25" s="21" t="s">
        <v>110</v>
      </c>
      <c r="I25" s="21" t="s">
        <v>27</v>
      </c>
      <c r="J25" s="19" t="s">
        <v>380</v>
      </c>
      <c r="K25" s="19" t="s">
        <v>116</v>
      </c>
      <c r="L25" s="333" t="s">
        <v>25</v>
      </c>
      <c r="M25" s="58" t="s">
        <v>355</v>
      </c>
      <c r="N25" s="51" t="s">
        <v>364</v>
      </c>
      <c r="O25" s="58" t="s">
        <v>25</v>
      </c>
      <c r="P25" s="19" t="s">
        <v>355</v>
      </c>
      <c r="Q25" s="21"/>
      <c r="R25" s="19" t="s">
        <v>25</v>
      </c>
      <c r="S25" s="32"/>
      <c r="T25" s="32"/>
      <c r="U25" s="32"/>
      <c r="W25" s="212">
        <v>16.0</v>
      </c>
      <c r="X25" s="30" t="s">
        <v>381</v>
      </c>
      <c r="Y25" s="330">
        <f t="shared" si="1"/>
        <v>4</v>
      </c>
    </row>
    <row r="26" ht="15.75" customHeight="1">
      <c r="A26" s="24"/>
      <c r="B26" s="24"/>
      <c r="C26" s="24"/>
      <c r="D26" s="19" t="s">
        <v>373</v>
      </c>
      <c r="E26" s="21" t="s">
        <v>26</v>
      </c>
      <c r="F26" s="19" t="s">
        <v>27</v>
      </c>
      <c r="G26" s="24"/>
      <c r="H26" s="24"/>
      <c r="I26" s="24"/>
      <c r="J26" s="24"/>
      <c r="K26" s="24"/>
      <c r="L26" s="24"/>
      <c r="M26" s="151" t="s">
        <v>382</v>
      </c>
      <c r="N26" s="151" t="s">
        <v>383</v>
      </c>
      <c r="O26" s="339" t="s">
        <v>25</v>
      </c>
      <c r="P26" s="21" t="s">
        <v>368</v>
      </c>
      <c r="Q26" s="21" t="s">
        <v>369</v>
      </c>
      <c r="R26" s="196" t="s">
        <v>25</v>
      </c>
      <c r="S26" s="21"/>
      <c r="T26" s="21"/>
      <c r="U26" s="21"/>
      <c r="W26" s="212">
        <v>17.0</v>
      </c>
      <c r="X26" s="158" t="s">
        <v>374</v>
      </c>
      <c r="Y26" s="330">
        <f t="shared" si="1"/>
        <v>2</v>
      </c>
    </row>
    <row r="27" ht="15.75" customHeight="1">
      <c r="A27" s="24"/>
      <c r="B27" s="24"/>
      <c r="C27" s="24"/>
      <c r="D27" s="335" t="s">
        <v>371</v>
      </c>
      <c r="E27" s="21" t="s">
        <v>56</v>
      </c>
      <c r="F27" s="21" t="s">
        <v>372</v>
      </c>
      <c r="G27" s="24"/>
      <c r="H27" s="24"/>
      <c r="I27" s="24"/>
      <c r="J27" s="24"/>
      <c r="K27" s="24"/>
      <c r="L27" s="24"/>
      <c r="M27" s="291" t="s">
        <v>356</v>
      </c>
      <c r="N27" s="21" t="s">
        <v>116</v>
      </c>
      <c r="O27" s="21" t="s">
        <v>25</v>
      </c>
      <c r="P27" s="340"/>
      <c r="Q27" s="21"/>
      <c r="R27" s="19"/>
      <c r="S27" s="21"/>
      <c r="T27" s="21"/>
      <c r="U27" s="21"/>
      <c r="W27" s="212">
        <v>18.0</v>
      </c>
      <c r="X27" s="30" t="s">
        <v>368</v>
      </c>
      <c r="Y27" s="330">
        <f t="shared" si="1"/>
        <v>4</v>
      </c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1"/>
      <c r="T28" s="21"/>
      <c r="U28" s="21"/>
      <c r="W28" s="212">
        <v>19.0</v>
      </c>
      <c r="X28" s="30" t="s">
        <v>363</v>
      </c>
      <c r="Y28" s="330">
        <f t="shared" si="1"/>
        <v>3</v>
      </c>
    </row>
    <row r="29" ht="15.75" customHeight="1">
      <c r="A29" s="33" t="s">
        <v>7</v>
      </c>
      <c r="B29" s="12"/>
      <c r="C29" s="13"/>
      <c r="D29" s="33" t="s">
        <v>8</v>
      </c>
      <c r="E29" s="12"/>
      <c r="F29" s="13"/>
      <c r="G29" s="33" t="s">
        <v>9</v>
      </c>
      <c r="H29" s="12"/>
      <c r="I29" s="13"/>
      <c r="J29" s="33" t="s">
        <v>10</v>
      </c>
      <c r="K29" s="12"/>
      <c r="L29" s="13"/>
      <c r="M29" s="33" t="s">
        <v>11</v>
      </c>
      <c r="N29" s="12"/>
      <c r="O29" s="13"/>
      <c r="P29" s="33" t="s">
        <v>12</v>
      </c>
      <c r="Q29" s="12"/>
      <c r="R29" s="13"/>
      <c r="S29" s="331" t="s">
        <v>13</v>
      </c>
      <c r="T29" s="12"/>
      <c r="U29" s="13"/>
      <c r="W29" s="212">
        <v>20.0</v>
      </c>
      <c r="X29" s="151" t="s">
        <v>377</v>
      </c>
      <c r="Y29" s="330">
        <f t="shared" si="1"/>
        <v>3</v>
      </c>
    </row>
    <row r="30" ht="15.75" customHeight="1">
      <c r="A30" s="50">
        <f>S22+1</f>
        <v>46160</v>
      </c>
      <c r="B30" s="12"/>
      <c r="C30" s="13"/>
      <c r="D30" s="50">
        <f>A30+1</f>
        <v>46161</v>
      </c>
      <c r="E30" s="12"/>
      <c r="F30" s="13"/>
      <c r="G30" s="50">
        <f>D30+1</f>
        <v>46162</v>
      </c>
      <c r="H30" s="12"/>
      <c r="I30" s="13"/>
      <c r="J30" s="50">
        <f>G30+1</f>
        <v>46163</v>
      </c>
      <c r="K30" s="12"/>
      <c r="L30" s="13"/>
      <c r="M30" s="50">
        <f>J30+1</f>
        <v>46164</v>
      </c>
      <c r="N30" s="12"/>
      <c r="O30" s="13"/>
      <c r="P30" s="50">
        <f>M30+1</f>
        <v>46165</v>
      </c>
      <c r="Q30" s="12"/>
      <c r="R30" s="13"/>
      <c r="S30" s="59">
        <f>P30+1</f>
        <v>46166</v>
      </c>
      <c r="T30" s="12"/>
      <c r="U30" s="13"/>
      <c r="W30" s="212">
        <v>21.0</v>
      </c>
      <c r="X30" s="30" t="s">
        <v>371</v>
      </c>
      <c r="Y30" s="330">
        <f t="shared" si="1"/>
        <v>4</v>
      </c>
    </row>
    <row r="31" ht="15.75" customHeight="1">
      <c r="A31" s="21"/>
      <c r="B31" s="21"/>
      <c r="C31" s="21"/>
      <c r="D31" s="19"/>
      <c r="E31" s="19"/>
      <c r="F31" s="19"/>
      <c r="G31" s="40" t="s">
        <v>384</v>
      </c>
      <c r="H31" s="40" t="s">
        <v>385</v>
      </c>
      <c r="I31" s="40" t="s">
        <v>25</v>
      </c>
      <c r="J31" s="333"/>
      <c r="K31" s="333"/>
      <c r="L31" s="333"/>
      <c r="M31" s="58" t="s">
        <v>355</v>
      </c>
      <c r="N31" s="58" t="s">
        <v>364</v>
      </c>
      <c r="O31" s="58" t="s">
        <v>25</v>
      </c>
      <c r="P31" s="40" t="s">
        <v>386</v>
      </c>
      <c r="Q31" s="40" t="s">
        <v>49</v>
      </c>
      <c r="R31" s="40" t="s">
        <v>34</v>
      </c>
      <c r="S31" s="21"/>
      <c r="T31" s="21"/>
      <c r="U31" s="21"/>
      <c r="W31" s="212">
        <v>22.0</v>
      </c>
      <c r="X31" s="151" t="s">
        <v>382</v>
      </c>
      <c r="Y31" s="330">
        <f t="shared" si="1"/>
        <v>2</v>
      </c>
    </row>
    <row r="32" ht="15.75" customHeight="1">
      <c r="A32" s="21" t="s">
        <v>387</v>
      </c>
      <c r="B32" s="21" t="s">
        <v>116</v>
      </c>
      <c r="C32" s="21" t="s">
        <v>25</v>
      </c>
      <c r="D32" s="21" t="s">
        <v>359</v>
      </c>
      <c r="E32" s="21" t="s">
        <v>39</v>
      </c>
      <c r="F32" s="21" t="s">
        <v>25</v>
      </c>
      <c r="G32" s="40" t="s">
        <v>388</v>
      </c>
      <c r="H32" s="40" t="s">
        <v>110</v>
      </c>
      <c r="I32" s="40" t="s">
        <v>25</v>
      </c>
      <c r="J32" s="333" t="s">
        <v>361</v>
      </c>
      <c r="K32" s="196" t="s">
        <v>52</v>
      </c>
      <c r="L32" s="333" t="s">
        <v>362</v>
      </c>
      <c r="M32" s="21" t="s">
        <v>363</v>
      </c>
      <c r="N32" s="21"/>
      <c r="O32" s="21" t="s">
        <v>34</v>
      </c>
      <c r="P32" s="151" t="s">
        <v>377</v>
      </c>
      <c r="Q32" s="151" t="s">
        <v>389</v>
      </c>
      <c r="R32" s="151" t="s">
        <v>27</v>
      </c>
      <c r="S32" s="19"/>
      <c r="T32" s="19"/>
      <c r="U32" s="19"/>
      <c r="W32" s="212">
        <v>23.0</v>
      </c>
      <c r="X32" s="22"/>
      <c r="Y32" s="330">
        <f t="shared" si="1"/>
        <v>0</v>
      </c>
    </row>
    <row r="33" ht="15.75" customHeight="1">
      <c r="A33" s="21" t="s">
        <v>357</v>
      </c>
      <c r="B33" s="21" t="s">
        <v>31</v>
      </c>
      <c r="C33" s="21" t="s">
        <v>25</v>
      </c>
      <c r="D33" s="21" t="s">
        <v>390</v>
      </c>
      <c r="E33" s="21" t="s">
        <v>49</v>
      </c>
      <c r="F33" s="21" t="s">
        <v>34</v>
      </c>
      <c r="G33" s="21" t="s">
        <v>360</v>
      </c>
      <c r="H33" s="21" t="s">
        <v>26</v>
      </c>
      <c r="I33" s="21" t="s">
        <v>27</v>
      </c>
      <c r="J33" s="334" t="s">
        <v>353</v>
      </c>
      <c r="K33" s="21" t="s">
        <v>110</v>
      </c>
      <c r="L33" s="333" t="s">
        <v>362</v>
      </c>
      <c r="M33" s="21"/>
      <c r="N33" s="21"/>
      <c r="O33" s="21"/>
      <c r="P33" s="19" t="s">
        <v>355</v>
      </c>
      <c r="Q33" s="21"/>
      <c r="R33" s="19" t="s">
        <v>25</v>
      </c>
      <c r="S33" s="42" t="s">
        <v>14</v>
      </c>
      <c r="T33" s="12"/>
      <c r="U33" s="13"/>
      <c r="W33" s="212">
        <v>24.0</v>
      </c>
      <c r="X33" s="22"/>
      <c r="Y33" s="328"/>
    </row>
    <row r="34" ht="15.0" customHeight="1">
      <c r="A34" s="24"/>
      <c r="B34" s="24"/>
      <c r="C34" s="24"/>
      <c r="D34" s="335" t="s">
        <v>371</v>
      </c>
      <c r="E34" s="21" t="s">
        <v>56</v>
      </c>
      <c r="F34" s="21" t="s">
        <v>372</v>
      </c>
      <c r="G34" s="21" t="s">
        <v>366</v>
      </c>
      <c r="H34" s="21" t="s">
        <v>318</v>
      </c>
      <c r="I34" s="21" t="s">
        <v>25</v>
      </c>
      <c r="J34" s="21" t="s">
        <v>354</v>
      </c>
      <c r="K34" s="21" t="s">
        <v>33</v>
      </c>
      <c r="L34" s="21" t="s">
        <v>27</v>
      </c>
      <c r="M34" s="19" t="s">
        <v>367</v>
      </c>
      <c r="N34" s="21" t="s">
        <v>31</v>
      </c>
      <c r="O34" s="19" t="s">
        <v>25</v>
      </c>
      <c r="P34" s="51" t="s">
        <v>363</v>
      </c>
      <c r="Q34" s="341" t="s">
        <v>78</v>
      </c>
      <c r="R34" s="51" t="s">
        <v>34</v>
      </c>
      <c r="S34" s="21"/>
      <c r="T34" s="21"/>
      <c r="U34" s="21"/>
      <c r="W34" s="212">
        <v>25.0</v>
      </c>
      <c r="X34" s="22"/>
      <c r="Y34" s="328"/>
    </row>
    <row r="35" ht="15.75" customHeight="1">
      <c r="A35" s="24"/>
      <c r="B35" s="24"/>
      <c r="C35" s="24"/>
      <c r="D35" s="32"/>
      <c r="E35" s="32"/>
      <c r="F35" s="32"/>
      <c r="G35" s="32"/>
      <c r="H35" s="32"/>
      <c r="I35" s="32"/>
      <c r="J35" s="19" t="s">
        <v>370</v>
      </c>
      <c r="K35" s="19" t="s">
        <v>116</v>
      </c>
      <c r="L35" s="19" t="s">
        <v>25</v>
      </c>
      <c r="M35" s="19"/>
      <c r="N35" s="19"/>
      <c r="O35" s="333"/>
      <c r="P35" s="19" t="s">
        <v>368</v>
      </c>
      <c r="Q35" s="21" t="s">
        <v>369</v>
      </c>
      <c r="R35" s="333" t="s">
        <v>25</v>
      </c>
      <c r="S35" s="21"/>
      <c r="T35" s="21"/>
      <c r="U35" s="21"/>
      <c r="W35" s="212">
        <v>26.0</v>
      </c>
      <c r="X35" s="342"/>
      <c r="Y35" s="328"/>
    </row>
    <row r="36" ht="14.2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1"/>
      <c r="T36" s="21"/>
      <c r="U36" s="21"/>
      <c r="W36" s="212">
        <v>27.0</v>
      </c>
      <c r="X36" s="22"/>
      <c r="Y36" s="328"/>
    </row>
    <row r="37" ht="15.75" customHeight="1">
      <c r="A37" s="11" t="s">
        <v>7</v>
      </c>
      <c r="B37" s="12"/>
      <c r="C37" s="13"/>
      <c r="D37" s="11" t="s">
        <v>8</v>
      </c>
      <c r="E37" s="12"/>
      <c r="F37" s="13"/>
      <c r="G37" s="14" t="s">
        <v>9</v>
      </c>
      <c r="H37" s="12"/>
      <c r="I37" s="13"/>
      <c r="J37" s="106" t="s">
        <v>10</v>
      </c>
      <c r="K37" s="12"/>
      <c r="L37" s="13"/>
      <c r="M37" s="106" t="s">
        <v>11</v>
      </c>
      <c r="N37" s="12"/>
      <c r="O37" s="13"/>
      <c r="P37" s="106" t="s">
        <v>75</v>
      </c>
      <c r="Q37" s="12"/>
      <c r="R37" s="13"/>
      <c r="S37" s="107" t="s">
        <v>107</v>
      </c>
      <c r="T37" s="12"/>
      <c r="U37" s="13"/>
      <c r="W37" s="212">
        <v>28.0</v>
      </c>
      <c r="X37" s="22"/>
      <c r="Y37" s="328"/>
    </row>
    <row r="38" ht="15.75" customHeight="1">
      <c r="A38" s="16">
        <f>S30+1</f>
        <v>46167</v>
      </c>
      <c r="B38" s="12"/>
      <c r="C38" s="13"/>
      <c r="D38" s="16">
        <f>A38+1</f>
        <v>46168</v>
      </c>
      <c r="E38" s="12"/>
      <c r="F38" s="13"/>
      <c r="G38" s="18">
        <f>D38+1</f>
        <v>46169</v>
      </c>
      <c r="H38" s="12"/>
      <c r="I38" s="13"/>
      <c r="J38" s="109">
        <f>G38+1</f>
        <v>46170</v>
      </c>
      <c r="K38" s="12"/>
      <c r="L38" s="13"/>
      <c r="M38" s="109">
        <f>J38+1</f>
        <v>46171</v>
      </c>
      <c r="N38" s="12"/>
      <c r="O38" s="13"/>
      <c r="P38" s="109">
        <f>M38+1</f>
        <v>46172</v>
      </c>
      <c r="Q38" s="12"/>
      <c r="R38" s="13"/>
      <c r="S38" s="110">
        <f>P38+1</f>
        <v>46173</v>
      </c>
      <c r="T38" s="12"/>
      <c r="U38" s="13"/>
      <c r="W38" s="212">
        <v>29.0</v>
      </c>
      <c r="X38" s="22"/>
      <c r="Y38" s="328"/>
    </row>
    <row r="39" ht="15.75" customHeight="1">
      <c r="A39" s="47"/>
      <c r="B39" s="32"/>
      <c r="C39" s="47"/>
      <c r="D39" s="19"/>
      <c r="E39" s="21"/>
      <c r="F39" s="19"/>
      <c r="G39" s="21"/>
      <c r="H39" s="19"/>
      <c r="I39" s="19"/>
      <c r="J39" s="21"/>
      <c r="K39" s="21"/>
      <c r="L39" s="21"/>
      <c r="M39" s="21"/>
      <c r="N39" s="21"/>
      <c r="O39" s="21"/>
      <c r="P39" s="40"/>
      <c r="Q39" s="40"/>
      <c r="R39" s="40"/>
      <c r="S39" s="21"/>
      <c r="T39" s="21"/>
      <c r="U39" s="21"/>
      <c r="W39" s="342"/>
      <c r="X39" s="342"/>
      <c r="Y39" s="328"/>
    </row>
    <row r="40" ht="15.75" customHeight="1">
      <c r="A40" s="21" t="s">
        <v>391</v>
      </c>
      <c r="B40" s="21" t="s">
        <v>116</v>
      </c>
      <c r="C40" s="21" t="s">
        <v>25</v>
      </c>
      <c r="D40" s="21" t="s">
        <v>359</v>
      </c>
      <c r="E40" s="21" t="s">
        <v>39</v>
      </c>
      <c r="F40" s="21" t="s">
        <v>25</v>
      </c>
      <c r="G40" s="19"/>
      <c r="H40" s="21"/>
      <c r="I40" s="333"/>
      <c r="J40" s="19" t="s">
        <v>353</v>
      </c>
      <c r="K40" s="21" t="s">
        <v>110</v>
      </c>
      <c r="L40" s="333" t="s">
        <v>362</v>
      </c>
      <c r="M40" s="19" t="s">
        <v>367</v>
      </c>
      <c r="N40" s="21" t="s">
        <v>52</v>
      </c>
      <c r="O40" s="19" t="s">
        <v>25</v>
      </c>
      <c r="P40" s="151" t="s">
        <v>377</v>
      </c>
      <c r="Q40" s="151" t="s">
        <v>389</v>
      </c>
      <c r="R40" s="151" t="s">
        <v>27</v>
      </c>
      <c r="S40" s="338"/>
      <c r="T40" s="12"/>
      <c r="U40" s="13"/>
      <c r="W40" s="342"/>
      <c r="X40" s="342"/>
      <c r="Y40" s="343">
        <f>SUM(Y10:Y38)</f>
        <v>64</v>
      </c>
    </row>
    <row r="41" ht="15.75" customHeight="1">
      <c r="A41" s="21" t="s">
        <v>357</v>
      </c>
      <c r="B41" s="21" t="s">
        <v>31</v>
      </c>
      <c r="C41" s="21" t="s">
        <v>25</v>
      </c>
      <c r="D41" s="21" t="s">
        <v>392</v>
      </c>
      <c r="E41" s="21" t="s">
        <v>49</v>
      </c>
      <c r="F41" s="21" t="s">
        <v>34</v>
      </c>
      <c r="G41" s="42" t="s">
        <v>14</v>
      </c>
      <c r="H41" s="12"/>
      <c r="I41" s="13"/>
      <c r="J41" s="21" t="s">
        <v>354</v>
      </c>
      <c r="K41" s="21" t="s">
        <v>33</v>
      </c>
      <c r="L41" s="21" t="s">
        <v>27</v>
      </c>
      <c r="M41" s="151" t="s">
        <v>382</v>
      </c>
      <c r="N41" s="151" t="s">
        <v>38</v>
      </c>
      <c r="O41" s="339" t="s">
        <v>25</v>
      </c>
      <c r="P41" s="19" t="s">
        <v>355</v>
      </c>
      <c r="Q41" s="21" t="s">
        <v>364</v>
      </c>
      <c r="R41" s="19" t="s">
        <v>25</v>
      </c>
      <c r="S41" s="21"/>
      <c r="T41" s="21"/>
      <c r="U41" s="21"/>
    </row>
    <row r="42" ht="15.75" customHeight="1">
      <c r="A42" s="24"/>
      <c r="B42" s="24"/>
      <c r="C42" s="24"/>
      <c r="D42" s="19" t="s">
        <v>373</v>
      </c>
      <c r="E42" s="21" t="s">
        <v>26</v>
      </c>
      <c r="F42" s="19" t="s">
        <v>27</v>
      </c>
      <c r="G42" s="21"/>
      <c r="H42" s="21"/>
      <c r="I42" s="196"/>
      <c r="J42" s="19" t="s">
        <v>393</v>
      </c>
      <c r="K42" s="21" t="s">
        <v>26</v>
      </c>
      <c r="L42" s="333" t="s">
        <v>25</v>
      </c>
      <c r="M42" s="291" t="s">
        <v>356</v>
      </c>
      <c r="N42" s="21" t="s">
        <v>116</v>
      </c>
      <c r="O42" s="21" t="s">
        <v>25</v>
      </c>
      <c r="P42" s="21" t="s">
        <v>368</v>
      </c>
      <c r="Q42" s="21" t="s">
        <v>369</v>
      </c>
      <c r="R42" s="196" t="s">
        <v>25</v>
      </c>
      <c r="S42" s="21"/>
      <c r="T42" s="21"/>
      <c r="U42" s="21"/>
    </row>
    <row r="43" ht="15.75" customHeight="1">
      <c r="A43" s="24"/>
      <c r="B43" s="24"/>
      <c r="C43" s="24"/>
      <c r="D43" s="335" t="s">
        <v>371</v>
      </c>
      <c r="E43" s="21" t="s">
        <v>56</v>
      </c>
      <c r="F43" s="21" t="s">
        <v>372</v>
      </c>
      <c r="G43" s="24"/>
      <c r="H43" s="24"/>
      <c r="I43" s="24"/>
      <c r="J43" s="21" t="s">
        <v>394</v>
      </c>
      <c r="K43" s="21" t="s">
        <v>116</v>
      </c>
      <c r="L43" s="196" t="s">
        <v>27</v>
      </c>
      <c r="M43" s="21"/>
      <c r="N43" s="21"/>
      <c r="O43" s="344" t="s">
        <v>395</v>
      </c>
      <c r="P43" s="21"/>
      <c r="Q43" s="21"/>
      <c r="R43" s="21"/>
      <c r="S43" s="21"/>
      <c r="T43" s="21"/>
      <c r="U43" s="21"/>
    </row>
    <row r="44" ht="15.75" customHeight="1">
      <c r="A44" s="32"/>
      <c r="B44" s="32"/>
      <c r="C44" s="32"/>
      <c r="D44" s="24"/>
      <c r="E44" s="24"/>
      <c r="F44" s="24"/>
      <c r="G44" s="19"/>
      <c r="H44" s="19"/>
      <c r="I44" s="19"/>
      <c r="J44" s="24"/>
      <c r="K44" s="24"/>
      <c r="L44" s="24"/>
      <c r="M44" s="21"/>
      <c r="N44" s="21"/>
      <c r="O44" s="21"/>
      <c r="P44" s="21"/>
      <c r="Q44" s="21"/>
      <c r="R44" s="21"/>
      <c r="S44" s="21"/>
      <c r="T44" s="21"/>
      <c r="U44" s="21"/>
    </row>
    <row r="45" ht="15.75" customHeight="1">
      <c r="A45" s="11"/>
      <c r="B45" s="12"/>
      <c r="C45" s="13"/>
      <c r="D45" s="11"/>
      <c r="E45" s="12"/>
      <c r="F45" s="13"/>
      <c r="G45" s="11"/>
      <c r="H45" s="12"/>
      <c r="I45" s="13"/>
      <c r="J45" s="11"/>
      <c r="K45" s="12"/>
      <c r="L45" s="13"/>
      <c r="M45" s="11"/>
      <c r="N45" s="12"/>
      <c r="O45" s="13"/>
      <c r="P45" s="11"/>
      <c r="Q45" s="12"/>
      <c r="R45" s="13"/>
      <c r="S45" s="345"/>
      <c r="T45" s="12"/>
      <c r="U45" s="13"/>
    </row>
    <row r="46" ht="15.75" customHeight="1">
      <c r="A46" s="16"/>
      <c r="B46" s="12"/>
      <c r="C46" s="13"/>
      <c r="D46" s="16"/>
      <c r="E46" s="12"/>
      <c r="F46" s="13"/>
      <c r="G46" s="16"/>
      <c r="H46" s="12"/>
      <c r="I46" s="13"/>
      <c r="J46" s="16"/>
      <c r="K46" s="12"/>
      <c r="L46" s="13"/>
      <c r="M46" s="16"/>
      <c r="N46" s="12"/>
      <c r="O46" s="13"/>
      <c r="P46" s="16"/>
      <c r="Q46" s="12"/>
      <c r="R46" s="13"/>
      <c r="S46" s="346"/>
      <c r="T46" s="12"/>
      <c r="U46" s="13"/>
    </row>
    <row r="47" ht="15.75" customHeight="1">
      <c r="A47" s="32"/>
      <c r="B47" s="21"/>
      <c r="C47" s="21"/>
      <c r="D47" s="32"/>
      <c r="E47" s="32"/>
      <c r="F47" s="32"/>
      <c r="G47" s="32"/>
      <c r="H47" s="21"/>
      <c r="I47" s="21"/>
      <c r="J47" s="32"/>
      <c r="K47" s="32"/>
      <c r="L47" s="32"/>
      <c r="M47" s="21"/>
      <c r="N47" s="21"/>
      <c r="O47" s="21"/>
      <c r="P47" s="21"/>
      <c r="Q47" s="21"/>
      <c r="R47" s="21"/>
      <c r="S47" s="32"/>
      <c r="T47" s="32"/>
      <c r="U47" s="32"/>
    </row>
    <row r="48" ht="15.75" customHeight="1">
      <c r="A48" s="21"/>
      <c r="B48" s="21"/>
      <c r="C48" s="21"/>
      <c r="D48" s="32"/>
      <c r="E48" s="32"/>
      <c r="F48" s="32"/>
      <c r="G48" s="21"/>
      <c r="H48" s="21"/>
      <c r="I48" s="21"/>
      <c r="J48" s="32"/>
      <c r="K48" s="32"/>
      <c r="L48" s="32"/>
      <c r="M48" s="32"/>
      <c r="N48" s="32"/>
      <c r="O48" s="19"/>
      <c r="P48" s="21"/>
      <c r="Q48" s="21"/>
      <c r="R48" s="21"/>
      <c r="S48" s="21"/>
      <c r="T48" s="21"/>
      <c r="U48" s="21"/>
    </row>
    <row r="49" ht="15.75" customHeight="1">
      <c r="A49" s="19"/>
      <c r="B49" s="19"/>
      <c r="C49" s="19"/>
      <c r="D49" s="32"/>
      <c r="E49" s="32"/>
      <c r="F49" s="32"/>
      <c r="G49" s="19"/>
      <c r="H49" s="19"/>
      <c r="I49" s="19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ht="15.75" customHeight="1">
      <c r="A50" s="19"/>
      <c r="B50" s="19"/>
      <c r="C50" s="19"/>
      <c r="D50" s="32"/>
      <c r="E50" s="32"/>
      <c r="F50" s="32"/>
      <c r="G50" s="19"/>
      <c r="H50" s="19"/>
      <c r="I50" s="19"/>
      <c r="J50" s="21"/>
      <c r="K50" s="21"/>
      <c r="L50" s="21"/>
      <c r="M50" s="21"/>
      <c r="N50" s="21"/>
      <c r="O50" s="21"/>
      <c r="P50" s="21"/>
      <c r="Q50" s="21"/>
      <c r="R50" s="21"/>
      <c r="S50" s="32"/>
      <c r="T50" s="32"/>
      <c r="U50" s="32"/>
    </row>
    <row r="51" ht="15.75" customHeight="1">
      <c r="A51" s="21"/>
      <c r="B51" s="21"/>
      <c r="C51" s="32"/>
      <c r="D51" s="32"/>
      <c r="E51" s="32"/>
      <c r="F51" s="32"/>
      <c r="G51" s="21"/>
      <c r="H51" s="21"/>
      <c r="I51" s="32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21"/>
      <c r="K52" s="21"/>
      <c r="L52" s="21"/>
      <c r="M52" s="32"/>
      <c r="N52" s="32"/>
      <c r="O52" s="32"/>
      <c r="P52" s="21"/>
      <c r="Q52" s="21"/>
      <c r="R52" s="21"/>
      <c r="S52" s="32"/>
      <c r="T52" s="32"/>
      <c r="U52" s="32"/>
    </row>
    <row r="53" ht="15.75" customHeight="1"/>
    <row r="54" ht="15.75" customHeight="1"/>
    <row r="55" ht="15.75" customHeight="1">
      <c r="A55" s="60" t="s">
        <v>64</v>
      </c>
      <c r="B55" s="61"/>
    </row>
    <row r="56" ht="15.75" customHeight="1">
      <c r="A56" s="62"/>
      <c r="B56" s="63" t="s">
        <v>65</v>
      </c>
      <c r="C56" s="64"/>
      <c r="D56" s="65"/>
    </row>
    <row r="57" ht="15.75" customHeight="1">
      <c r="A57" s="66"/>
      <c r="B57" s="63" t="s">
        <v>66</v>
      </c>
      <c r="C57" s="64"/>
    </row>
    <row r="58" ht="15.75" customHeight="1">
      <c r="A58" s="67"/>
      <c r="B58" s="63" t="s">
        <v>67</v>
      </c>
      <c r="C58" s="6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4:U24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S33:U33"/>
    <mergeCell ref="A30:C30"/>
    <mergeCell ref="D37:F37"/>
    <mergeCell ref="G37:I37"/>
    <mergeCell ref="J37:L37"/>
    <mergeCell ref="M37:O37"/>
    <mergeCell ref="P37:R37"/>
    <mergeCell ref="S37:U37"/>
    <mergeCell ref="A37:C37"/>
    <mergeCell ref="A38:C38"/>
    <mergeCell ref="D38:F38"/>
    <mergeCell ref="G38:I38"/>
    <mergeCell ref="J38:L38"/>
    <mergeCell ref="M38:O38"/>
    <mergeCell ref="P38:R38"/>
    <mergeCell ref="S38:U38"/>
    <mergeCell ref="S40:U40"/>
    <mergeCell ref="G41:I41"/>
    <mergeCell ref="A45:C45"/>
    <mergeCell ref="D45:F45"/>
    <mergeCell ref="G45:I45"/>
    <mergeCell ref="J45:L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P9:R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P46:R46"/>
    <mergeCell ref="S46:U46"/>
    <mergeCell ref="M45:O45"/>
    <mergeCell ref="P45:R45"/>
    <mergeCell ref="A46:C46"/>
    <mergeCell ref="D46:F46"/>
    <mergeCell ref="G46:I46"/>
    <mergeCell ref="J46:L46"/>
    <mergeCell ref="M46:O46"/>
    <mergeCell ref="B55:D55"/>
  </mergeCells>
  <printOptions/>
  <pageMargins bottom="0.15" footer="0.0" header="0.0" left="0.46" right="0.34" top="0.28"/>
  <pageSetup fitToHeight="0" paperSize="11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5" max="15" width="8.0"/>
    <col customWidth="1" min="16" max="16" width="16.0"/>
    <col customWidth="1" min="17" max="17" width="11.43"/>
    <col customWidth="1" min="18" max="18" width="9.0"/>
    <col customWidth="1" min="20" max="20" width="12.71"/>
    <col customWidth="1" min="21" max="21" width="7.86"/>
  </cols>
  <sheetData>
    <row r="1">
      <c r="A1" s="347" t="s">
        <v>0</v>
      </c>
      <c r="C1" s="348" t="s">
        <v>396</v>
      </c>
      <c r="F1" s="349"/>
      <c r="G1" s="4" t="s">
        <v>2</v>
      </c>
      <c r="Q1" s="349"/>
      <c r="R1" s="349"/>
      <c r="S1" s="349"/>
      <c r="T1" s="349"/>
      <c r="U1" s="349"/>
    </row>
    <row r="2">
      <c r="A2" s="350" t="s">
        <v>3</v>
      </c>
      <c r="C2" s="348" t="s">
        <v>170</v>
      </c>
      <c r="F2" s="349"/>
      <c r="Q2" s="349"/>
      <c r="R2" s="349"/>
      <c r="S2" s="349"/>
      <c r="T2" s="349"/>
      <c r="U2" s="349"/>
    </row>
    <row r="3">
      <c r="A3" s="350" t="s">
        <v>5</v>
      </c>
      <c r="C3" s="351"/>
      <c r="F3" s="349"/>
      <c r="Q3" s="349"/>
      <c r="R3" s="349"/>
      <c r="S3" s="349"/>
      <c r="T3" s="349"/>
      <c r="U3" s="349"/>
    </row>
    <row r="4">
      <c r="A4" s="352" t="s">
        <v>6</v>
      </c>
      <c r="B4" s="192"/>
      <c r="C4" s="353"/>
      <c r="D4" s="192"/>
      <c r="E4" s="192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</row>
    <row r="5">
      <c r="A5" s="262" t="s">
        <v>7</v>
      </c>
      <c r="B5" s="263"/>
      <c r="C5" s="264"/>
      <c r="D5" s="262" t="s">
        <v>8</v>
      </c>
      <c r="E5" s="263"/>
      <c r="F5" s="264"/>
      <c r="G5" s="262" t="s">
        <v>9</v>
      </c>
      <c r="H5" s="263"/>
      <c r="I5" s="264"/>
      <c r="J5" s="262" t="s">
        <v>10</v>
      </c>
      <c r="K5" s="263"/>
      <c r="L5" s="264"/>
      <c r="M5" s="265" t="s">
        <v>11</v>
      </c>
      <c r="N5" s="263"/>
      <c r="O5" s="264"/>
      <c r="P5" s="262" t="s">
        <v>12</v>
      </c>
      <c r="Q5" s="263"/>
      <c r="R5" s="264"/>
      <c r="S5" s="265" t="s">
        <v>13</v>
      </c>
      <c r="T5" s="263"/>
      <c r="U5" s="264"/>
    </row>
    <row r="6">
      <c r="A6" s="355"/>
      <c r="B6" s="263"/>
      <c r="C6" s="264"/>
      <c r="D6" s="356"/>
      <c r="E6" s="192"/>
      <c r="F6" s="357"/>
      <c r="G6" s="355"/>
      <c r="H6" s="263"/>
      <c r="I6" s="264"/>
      <c r="J6" s="355"/>
      <c r="K6" s="263"/>
      <c r="L6" s="264"/>
      <c r="M6" s="358">
        <v>46143.0</v>
      </c>
      <c r="N6" s="263"/>
      <c r="O6" s="264"/>
      <c r="P6" s="359">
        <f>M6+1</f>
        <v>46144</v>
      </c>
      <c r="Q6" s="192"/>
      <c r="R6" s="357"/>
      <c r="S6" s="360">
        <f>P6+1</f>
        <v>46145</v>
      </c>
      <c r="T6" s="192"/>
      <c r="U6" s="357"/>
    </row>
    <row r="7">
      <c r="A7" s="361"/>
      <c r="B7" s="362"/>
      <c r="C7" s="362"/>
      <c r="D7" s="361"/>
      <c r="E7" s="362"/>
      <c r="F7" s="362"/>
      <c r="G7" s="361"/>
      <c r="H7" s="362"/>
      <c r="I7" s="362"/>
      <c r="J7" s="361"/>
      <c r="K7" s="362"/>
      <c r="L7" s="362"/>
      <c r="M7" s="361"/>
      <c r="N7" s="362"/>
      <c r="O7" s="362"/>
      <c r="P7" s="361"/>
      <c r="Q7" s="362"/>
      <c r="R7" s="362"/>
      <c r="S7" s="361"/>
      <c r="T7" s="362"/>
      <c r="U7" s="361"/>
    </row>
    <row r="8">
      <c r="A8" s="361"/>
      <c r="B8" s="362"/>
      <c r="C8" s="362"/>
      <c r="D8" s="361"/>
      <c r="E8" s="362"/>
      <c r="F8" s="362"/>
      <c r="G8" s="361"/>
      <c r="H8" s="362"/>
      <c r="I8" s="362"/>
      <c r="J8" s="361"/>
      <c r="K8" s="362"/>
      <c r="L8" s="362"/>
      <c r="M8" s="361"/>
      <c r="N8" s="362"/>
      <c r="O8" s="362"/>
      <c r="P8" s="361"/>
      <c r="Q8" s="362"/>
      <c r="R8" s="362"/>
      <c r="S8" s="361"/>
      <c r="T8" s="362"/>
      <c r="U8" s="361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361" t="s">
        <v>397</v>
      </c>
      <c r="N9" s="362" t="s">
        <v>398</v>
      </c>
      <c r="O9" s="363" t="s">
        <v>25</v>
      </c>
      <c r="P9" s="361" t="s">
        <v>397</v>
      </c>
      <c r="Q9" s="363" t="s">
        <v>399</v>
      </c>
      <c r="R9" s="363" t="s">
        <v>25</v>
      </c>
      <c r="S9" s="63"/>
      <c r="T9" s="63"/>
      <c r="U9" s="63"/>
    </row>
    <row r="10">
      <c r="A10" s="361"/>
      <c r="B10" s="362"/>
      <c r="C10" s="362"/>
      <c r="D10" s="361"/>
      <c r="E10" s="362"/>
      <c r="F10" s="362"/>
      <c r="G10" s="361"/>
      <c r="H10" s="362"/>
      <c r="I10" s="362"/>
      <c r="J10" s="361"/>
      <c r="K10" s="362"/>
      <c r="L10" s="362"/>
      <c r="M10" s="361"/>
      <c r="N10" s="362"/>
      <c r="O10" s="362"/>
      <c r="P10" s="361"/>
      <c r="Q10" s="362"/>
      <c r="R10" s="362"/>
      <c r="S10" s="361"/>
      <c r="T10" s="362"/>
      <c r="U10" s="361"/>
    </row>
    <row r="11">
      <c r="A11" s="361"/>
      <c r="B11" s="362"/>
      <c r="C11" s="362"/>
      <c r="D11" s="361"/>
      <c r="E11" s="362"/>
      <c r="F11" s="362"/>
      <c r="G11" s="361"/>
      <c r="H11" s="362"/>
      <c r="I11" s="362"/>
      <c r="J11" s="361"/>
      <c r="K11" s="362"/>
      <c r="L11" s="362"/>
      <c r="M11" s="361"/>
      <c r="N11" s="362"/>
      <c r="O11" s="362"/>
      <c r="P11" s="361"/>
      <c r="Q11" s="362"/>
      <c r="R11" s="362"/>
      <c r="S11" s="361"/>
      <c r="T11" s="362"/>
      <c r="U11" s="361"/>
    </row>
    <row r="12">
      <c r="A12" s="364"/>
      <c r="B12" s="365"/>
      <c r="C12" s="365"/>
      <c r="D12" s="364"/>
      <c r="E12" s="365"/>
      <c r="F12" s="365"/>
      <c r="G12" s="364"/>
      <c r="H12" s="365"/>
      <c r="I12" s="365"/>
      <c r="J12" s="364"/>
      <c r="K12" s="365"/>
      <c r="L12" s="365"/>
      <c r="M12" s="364"/>
      <c r="N12" s="365"/>
      <c r="O12" s="365"/>
      <c r="P12" s="364"/>
      <c r="Q12" s="365"/>
      <c r="R12" s="365"/>
      <c r="S12" s="364"/>
      <c r="T12" s="365"/>
      <c r="U12" s="364"/>
    </row>
    <row r="13">
      <c r="A13" s="366" t="s">
        <v>7</v>
      </c>
      <c r="B13" s="192"/>
      <c r="C13" s="357"/>
      <c r="D13" s="367" t="s">
        <v>8</v>
      </c>
      <c r="E13" s="192"/>
      <c r="F13" s="357"/>
      <c r="G13" s="367" t="s">
        <v>9</v>
      </c>
      <c r="H13" s="192"/>
      <c r="I13" s="357"/>
      <c r="J13" s="367" t="s">
        <v>10</v>
      </c>
      <c r="K13" s="192"/>
      <c r="L13" s="357"/>
      <c r="M13" s="367" t="s">
        <v>11</v>
      </c>
      <c r="N13" s="192"/>
      <c r="O13" s="357"/>
      <c r="P13" s="367" t="s">
        <v>12</v>
      </c>
      <c r="Q13" s="192"/>
      <c r="R13" s="357"/>
      <c r="S13" s="368" t="s">
        <v>13</v>
      </c>
      <c r="T13" s="192"/>
      <c r="U13" s="357"/>
    </row>
    <row r="14">
      <c r="A14" s="369">
        <f>S6+1</f>
        <v>46146</v>
      </c>
      <c r="B14" s="192"/>
      <c r="C14" s="357"/>
      <c r="D14" s="370">
        <f>A14+1</f>
        <v>46147</v>
      </c>
      <c r="E14" s="192"/>
      <c r="F14" s="357"/>
      <c r="G14" s="370">
        <f>D14+1</f>
        <v>46148</v>
      </c>
      <c r="H14" s="192"/>
      <c r="I14" s="357"/>
      <c r="J14" s="370">
        <f>G14+1</f>
        <v>46149</v>
      </c>
      <c r="K14" s="192"/>
      <c r="L14" s="357"/>
      <c r="M14" s="370">
        <f>J14+1</f>
        <v>46150</v>
      </c>
      <c r="N14" s="192"/>
      <c r="O14" s="357"/>
      <c r="P14" s="370">
        <f>M14+1</f>
        <v>46151</v>
      </c>
      <c r="Q14" s="192"/>
      <c r="R14" s="357"/>
      <c r="S14" s="371">
        <f>P14+1</f>
        <v>46152</v>
      </c>
      <c r="T14" s="192"/>
      <c r="U14" s="357"/>
    </row>
    <row r="15">
      <c r="A15" s="361"/>
      <c r="B15" s="362"/>
      <c r="C15" s="362"/>
      <c r="D15" s="361"/>
      <c r="E15" s="362"/>
      <c r="F15" s="362"/>
      <c r="G15" s="361"/>
      <c r="H15" s="362"/>
      <c r="I15" s="362"/>
      <c r="J15" s="361"/>
      <c r="K15" s="362"/>
      <c r="L15" s="362"/>
      <c r="M15" s="361"/>
      <c r="N15" s="362"/>
      <c r="O15" s="362"/>
      <c r="P15" s="361"/>
      <c r="Q15" s="362"/>
      <c r="R15" s="362"/>
      <c r="S15" s="361"/>
      <c r="T15" s="362"/>
      <c r="U15" s="361"/>
    </row>
    <row r="16">
      <c r="A16" s="361"/>
      <c r="B16" s="362"/>
      <c r="C16" s="362"/>
      <c r="D16" s="361"/>
      <c r="E16" s="362"/>
      <c r="F16" s="362"/>
      <c r="G16" s="361"/>
      <c r="H16" s="362"/>
      <c r="I16" s="362"/>
      <c r="J16" s="361"/>
      <c r="K16" s="362"/>
      <c r="L16" s="362"/>
      <c r="M16" s="361"/>
      <c r="N16" s="362"/>
      <c r="O16" s="362"/>
      <c r="P16" s="361"/>
      <c r="Q16" s="362"/>
      <c r="R16" s="362"/>
      <c r="S16" s="361"/>
      <c r="T16" s="362"/>
      <c r="U16" s="361"/>
    </row>
    <row r="17">
      <c r="A17" s="372" t="s">
        <v>14</v>
      </c>
      <c r="B17" s="263"/>
      <c r="C17" s="264"/>
      <c r="D17" s="361" t="s">
        <v>397</v>
      </c>
      <c r="E17" s="362" t="s">
        <v>398</v>
      </c>
      <c r="F17" s="363" t="s">
        <v>25</v>
      </c>
      <c r="G17" s="63"/>
      <c r="H17" s="63"/>
      <c r="I17" s="63"/>
      <c r="J17" s="63"/>
      <c r="K17" s="63"/>
      <c r="L17" s="63"/>
      <c r="M17" s="361" t="s">
        <v>397</v>
      </c>
      <c r="N17" s="363" t="s">
        <v>399</v>
      </c>
      <c r="O17" s="363" t="s">
        <v>25</v>
      </c>
      <c r="P17" s="373" t="s">
        <v>143</v>
      </c>
      <c r="Q17" s="374" t="s">
        <v>63</v>
      </c>
      <c r="R17" s="375" t="s">
        <v>27</v>
      </c>
      <c r="S17" s="361" t="s">
        <v>397</v>
      </c>
      <c r="T17" s="363" t="s">
        <v>399</v>
      </c>
      <c r="U17" s="363" t="s">
        <v>25</v>
      </c>
    </row>
    <row r="18">
      <c r="A18" s="361"/>
      <c r="B18" s="362"/>
      <c r="C18" s="362"/>
      <c r="D18" s="361"/>
      <c r="E18" s="362"/>
      <c r="F18" s="362"/>
      <c r="G18" s="361"/>
      <c r="H18" s="362"/>
      <c r="I18" s="362"/>
      <c r="J18" s="361"/>
      <c r="K18" s="362"/>
      <c r="L18" s="362"/>
      <c r="M18" s="361"/>
      <c r="N18" s="362"/>
      <c r="O18" s="362"/>
      <c r="P18" s="98" t="s">
        <v>263</v>
      </c>
      <c r="Q18" s="101" t="s">
        <v>335</v>
      </c>
      <c r="R18" s="98" t="s">
        <v>25</v>
      </c>
      <c r="S18" s="361"/>
      <c r="T18" s="362"/>
      <c r="U18" s="361"/>
    </row>
    <row r="19">
      <c r="A19" s="361"/>
      <c r="B19" s="362"/>
      <c r="C19" s="362"/>
      <c r="D19" s="361"/>
      <c r="E19" s="362"/>
      <c r="F19" s="362"/>
      <c r="G19" s="361"/>
      <c r="H19" s="362"/>
      <c r="I19" s="362"/>
      <c r="J19" s="361"/>
      <c r="K19" s="362"/>
      <c r="L19" s="362"/>
      <c r="M19" s="361"/>
      <c r="N19" s="362"/>
      <c r="O19" s="362"/>
      <c r="P19" s="361"/>
      <c r="Q19" s="362"/>
      <c r="R19" s="362"/>
      <c r="S19" s="361"/>
      <c r="T19" s="362"/>
      <c r="U19" s="361"/>
    </row>
    <row r="20">
      <c r="A20" s="364"/>
      <c r="B20" s="365"/>
      <c r="C20" s="365"/>
      <c r="D20" s="364"/>
      <c r="E20" s="365"/>
      <c r="F20" s="365"/>
      <c r="G20" s="364"/>
      <c r="H20" s="365"/>
      <c r="I20" s="365"/>
      <c r="J20" s="364"/>
      <c r="K20" s="365"/>
      <c r="L20" s="365"/>
      <c r="M20" s="364"/>
      <c r="N20" s="365"/>
      <c r="O20" s="365"/>
      <c r="P20" s="364"/>
      <c r="Q20" s="365"/>
      <c r="R20" s="365"/>
      <c r="S20" s="364"/>
      <c r="T20" s="365"/>
      <c r="U20" s="364"/>
    </row>
    <row r="21">
      <c r="A21" s="376" t="s">
        <v>7</v>
      </c>
      <c r="B21" s="192"/>
      <c r="C21" s="357"/>
      <c r="D21" s="377" t="s">
        <v>8</v>
      </c>
      <c r="E21" s="192"/>
      <c r="F21" s="357"/>
      <c r="G21" s="377" t="s">
        <v>9</v>
      </c>
      <c r="H21" s="192"/>
      <c r="I21" s="357"/>
      <c r="J21" s="377" t="s">
        <v>10</v>
      </c>
      <c r="K21" s="192"/>
      <c r="L21" s="357"/>
      <c r="M21" s="377" t="s">
        <v>11</v>
      </c>
      <c r="N21" s="192"/>
      <c r="O21" s="357"/>
      <c r="P21" s="377" t="s">
        <v>12</v>
      </c>
      <c r="Q21" s="192"/>
      <c r="R21" s="357"/>
      <c r="S21" s="378" t="s">
        <v>13</v>
      </c>
      <c r="T21" s="192"/>
      <c r="U21" s="357"/>
    </row>
    <row r="22">
      <c r="A22" s="379">
        <f>S14+1</f>
        <v>46153</v>
      </c>
      <c r="B22" s="192"/>
      <c r="C22" s="357"/>
      <c r="D22" s="359">
        <f>A22+1</f>
        <v>46154</v>
      </c>
      <c r="E22" s="192"/>
      <c r="F22" s="357"/>
      <c r="G22" s="359">
        <f>D22+1</f>
        <v>46155</v>
      </c>
      <c r="H22" s="192"/>
      <c r="I22" s="357"/>
      <c r="J22" s="359">
        <f>G22+1</f>
        <v>46156</v>
      </c>
      <c r="K22" s="192"/>
      <c r="L22" s="357"/>
      <c r="M22" s="359">
        <f>J22+1</f>
        <v>46157</v>
      </c>
      <c r="N22" s="192"/>
      <c r="O22" s="357"/>
      <c r="P22" s="359">
        <f>M22+1</f>
        <v>46158</v>
      </c>
      <c r="Q22" s="192"/>
      <c r="R22" s="357"/>
      <c r="S22" s="360">
        <f>P22+1</f>
        <v>46159</v>
      </c>
      <c r="T22" s="192"/>
      <c r="U22" s="357"/>
    </row>
    <row r="23">
      <c r="A23" s="361"/>
      <c r="B23" s="362"/>
      <c r="C23" s="362"/>
      <c r="D23" s="361"/>
      <c r="E23" s="362"/>
      <c r="F23" s="362"/>
      <c r="G23" s="361"/>
      <c r="H23" s="362"/>
      <c r="I23" s="362"/>
      <c r="J23" s="361"/>
      <c r="K23" s="362"/>
      <c r="L23" s="362"/>
      <c r="M23" s="361"/>
      <c r="N23" s="362"/>
      <c r="O23" s="362"/>
      <c r="P23" s="361"/>
      <c r="Q23" s="362"/>
      <c r="R23" s="362"/>
      <c r="S23" s="361"/>
      <c r="T23" s="362"/>
      <c r="U23" s="361"/>
    </row>
    <row r="24">
      <c r="A24" s="361"/>
      <c r="B24" s="362"/>
      <c r="C24" s="362"/>
      <c r="D24" s="361"/>
      <c r="E24" s="362"/>
      <c r="F24" s="362"/>
      <c r="G24" s="361"/>
      <c r="H24" s="362"/>
      <c r="I24" s="362"/>
      <c r="J24" s="361"/>
      <c r="K24" s="362"/>
      <c r="L24" s="362"/>
      <c r="M24" s="361"/>
      <c r="N24" s="362"/>
      <c r="O24" s="362"/>
      <c r="P24" s="361"/>
      <c r="Q24" s="362"/>
      <c r="R24" s="362"/>
      <c r="S24" s="361"/>
      <c r="T24" s="362"/>
      <c r="U24" s="361"/>
    </row>
    <row r="25">
      <c r="A25" s="372" t="s">
        <v>14</v>
      </c>
      <c r="B25" s="263"/>
      <c r="C25" s="264"/>
      <c r="D25" s="361" t="s">
        <v>397</v>
      </c>
      <c r="E25" s="363" t="s">
        <v>399</v>
      </c>
      <c r="F25" s="363" t="s">
        <v>25</v>
      </c>
      <c r="G25" s="63"/>
      <c r="H25" s="63"/>
      <c r="I25" s="63"/>
      <c r="J25" s="361" t="s">
        <v>397</v>
      </c>
      <c r="K25" s="363" t="s">
        <v>399</v>
      </c>
      <c r="L25" s="363" t="s">
        <v>25</v>
      </c>
      <c r="M25" s="361" t="s">
        <v>397</v>
      </c>
      <c r="N25" s="363" t="s">
        <v>399</v>
      </c>
      <c r="O25" s="363" t="s">
        <v>25</v>
      </c>
      <c r="P25" s="372" t="s">
        <v>14</v>
      </c>
      <c r="Q25" s="263"/>
      <c r="R25" s="264"/>
      <c r="S25" s="63"/>
      <c r="T25" s="63"/>
      <c r="U25" s="63"/>
    </row>
    <row r="26">
      <c r="A26" s="361"/>
      <c r="B26" s="362"/>
      <c r="C26" s="362"/>
      <c r="D26" s="361"/>
      <c r="E26" s="362"/>
      <c r="F26" s="362"/>
      <c r="G26" s="361"/>
      <c r="H26" s="362"/>
      <c r="I26" s="362"/>
      <c r="J26" s="361"/>
      <c r="K26" s="362"/>
      <c r="L26" s="362"/>
      <c r="M26" s="361"/>
      <c r="N26" s="362"/>
      <c r="O26" s="362"/>
      <c r="P26" s="361"/>
      <c r="Q26" s="362"/>
      <c r="R26" s="362"/>
      <c r="S26" s="361"/>
      <c r="T26" s="362"/>
      <c r="U26" s="361"/>
    </row>
    <row r="27">
      <c r="A27" s="361"/>
      <c r="B27" s="362"/>
      <c r="C27" s="362"/>
      <c r="D27" s="361"/>
      <c r="E27" s="362"/>
      <c r="F27" s="362"/>
      <c r="G27" s="361"/>
      <c r="H27" s="362"/>
      <c r="I27" s="362"/>
      <c r="J27" s="361"/>
      <c r="K27" s="362"/>
      <c r="L27" s="362"/>
      <c r="M27" s="361"/>
      <c r="N27" s="362"/>
      <c r="O27" s="362"/>
      <c r="P27" s="361"/>
      <c r="Q27" s="362"/>
      <c r="R27" s="362"/>
      <c r="S27" s="361"/>
      <c r="T27" s="362"/>
      <c r="U27" s="361"/>
    </row>
    <row r="28">
      <c r="A28" s="364"/>
      <c r="B28" s="365"/>
      <c r="C28" s="365"/>
      <c r="D28" s="364"/>
      <c r="E28" s="365"/>
      <c r="F28" s="365"/>
      <c r="G28" s="364"/>
      <c r="H28" s="365"/>
      <c r="I28" s="365"/>
      <c r="J28" s="364"/>
      <c r="K28" s="365"/>
      <c r="L28" s="365"/>
      <c r="M28" s="364"/>
      <c r="N28" s="365"/>
      <c r="O28" s="365"/>
      <c r="P28" s="364"/>
      <c r="Q28" s="365"/>
      <c r="R28" s="365"/>
      <c r="S28" s="364"/>
      <c r="T28" s="365"/>
      <c r="U28" s="364"/>
    </row>
    <row r="29">
      <c r="A29" s="366" t="s">
        <v>7</v>
      </c>
      <c r="B29" s="192"/>
      <c r="C29" s="357"/>
      <c r="D29" s="367" t="s">
        <v>8</v>
      </c>
      <c r="E29" s="192"/>
      <c r="F29" s="357"/>
      <c r="G29" s="367" t="s">
        <v>9</v>
      </c>
      <c r="H29" s="192"/>
      <c r="I29" s="357"/>
      <c r="J29" s="367" t="s">
        <v>10</v>
      </c>
      <c r="K29" s="192"/>
      <c r="L29" s="357"/>
      <c r="M29" s="367" t="s">
        <v>11</v>
      </c>
      <c r="N29" s="192"/>
      <c r="O29" s="357"/>
      <c r="P29" s="367" t="s">
        <v>12</v>
      </c>
      <c r="Q29" s="192"/>
      <c r="R29" s="357"/>
      <c r="S29" s="368" t="s">
        <v>13</v>
      </c>
      <c r="T29" s="192"/>
      <c r="U29" s="357"/>
    </row>
    <row r="30">
      <c r="A30" s="380">
        <f>S22+1</f>
        <v>46160</v>
      </c>
      <c r="B30" s="192"/>
      <c r="C30" s="357"/>
      <c r="D30" s="381">
        <f>A30+1</f>
        <v>46161</v>
      </c>
      <c r="E30" s="192"/>
      <c r="F30" s="357"/>
      <c r="G30" s="381">
        <f>D30+1</f>
        <v>46162</v>
      </c>
      <c r="H30" s="192"/>
      <c r="I30" s="357"/>
      <c r="J30" s="381">
        <f>G30+1</f>
        <v>46163</v>
      </c>
      <c r="K30" s="192"/>
      <c r="L30" s="357"/>
      <c r="M30" s="381">
        <f>J30+1</f>
        <v>46164</v>
      </c>
      <c r="N30" s="192"/>
      <c r="O30" s="357"/>
      <c r="P30" s="381">
        <f>M30+1</f>
        <v>46165</v>
      </c>
      <c r="Q30" s="192"/>
      <c r="R30" s="357"/>
      <c r="S30" s="382">
        <f>P30+1</f>
        <v>46166</v>
      </c>
      <c r="T30" s="192"/>
      <c r="U30" s="357"/>
    </row>
    <row r="31">
      <c r="A31" s="361"/>
      <c r="B31" s="362"/>
      <c r="C31" s="362"/>
      <c r="D31" s="361"/>
      <c r="E31" s="362"/>
      <c r="F31" s="362"/>
      <c r="G31" s="361"/>
      <c r="H31" s="362"/>
      <c r="I31" s="362"/>
      <c r="J31" s="361"/>
      <c r="K31" s="362"/>
      <c r="L31" s="362"/>
      <c r="M31" s="361"/>
      <c r="N31" s="362"/>
      <c r="O31" s="362"/>
      <c r="P31" s="361"/>
      <c r="Q31" s="362"/>
      <c r="R31" s="362"/>
      <c r="S31" s="361"/>
      <c r="T31" s="362"/>
      <c r="U31" s="361"/>
    </row>
    <row r="32">
      <c r="A32" s="361"/>
      <c r="B32" s="362"/>
      <c r="C32" s="362"/>
      <c r="D32" s="361"/>
      <c r="E32" s="362"/>
      <c r="F32" s="362"/>
      <c r="G32" s="361"/>
      <c r="H32" s="362"/>
      <c r="I32" s="362"/>
      <c r="J32" s="361"/>
      <c r="K32" s="362"/>
      <c r="L32" s="362"/>
      <c r="M32" s="361"/>
      <c r="N32" s="362"/>
      <c r="O32" s="362"/>
      <c r="P32" s="361"/>
      <c r="Q32" s="362"/>
      <c r="R32" s="362"/>
      <c r="S32" s="361"/>
      <c r="T32" s="362"/>
      <c r="U32" s="361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361" t="s">
        <v>397</v>
      </c>
      <c r="K33" s="362" t="s">
        <v>398</v>
      </c>
      <c r="L33" s="363" t="s">
        <v>25</v>
      </c>
      <c r="M33" s="372" t="s">
        <v>14</v>
      </c>
      <c r="N33" s="263"/>
      <c r="O33" s="264"/>
      <c r="P33" s="361" t="s">
        <v>397</v>
      </c>
      <c r="Q33" s="363" t="s">
        <v>399</v>
      </c>
      <c r="R33" s="363" t="s">
        <v>25</v>
      </c>
      <c r="S33" s="361" t="s">
        <v>397</v>
      </c>
      <c r="T33" s="363" t="s">
        <v>399</v>
      </c>
      <c r="U33" s="363" t="s">
        <v>25</v>
      </c>
    </row>
    <row r="34">
      <c r="A34" s="361"/>
      <c r="B34" s="362"/>
      <c r="C34" s="362"/>
      <c r="D34" s="361"/>
      <c r="E34" s="362"/>
      <c r="F34" s="362"/>
      <c r="G34" s="361"/>
      <c r="H34" s="362"/>
      <c r="I34" s="362"/>
      <c r="J34" s="361"/>
      <c r="K34" s="362"/>
      <c r="L34" s="362"/>
      <c r="M34" s="361"/>
      <c r="N34" s="362"/>
      <c r="O34" s="362"/>
      <c r="P34" s="361"/>
      <c r="Q34" s="362"/>
      <c r="R34" s="362"/>
      <c r="S34" s="361"/>
      <c r="T34" s="362"/>
      <c r="U34" s="361"/>
    </row>
    <row r="35">
      <c r="A35" s="361"/>
      <c r="B35" s="362"/>
      <c r="C35" s="362"/>
      <c r="D35" s="361"/>
      <c r="E35" s="362"/>
      <c r="F35" s="362"/>
      <c r="G35" s="361"/>
      <c r="H35" s="362"/>
      <c r="I35" s="362"/>
      <c r="J35" s="361"/>
      <c r="K35" s="362"/>
      <c r="L35" s="362"/>
      <c r="M35" s="361"/>
      <c r="N35" s="362"/>
      <c r="O35" s="362"/>
      <c r="P35" s="361"/>
      <c r="Q35" s="362"/>
      <c r="R35" s="362"/>
      <c r="S35" s="361"/>
      <c r="T35" s="362"/>
      <c r="U35" s="361"/>
    </row>
    <row r="36">
      <c r="A36" s="364"/>
      <c r="B36" s="365"/>
      <c r="C36" s="365"/>
      <c r="D36" s="364"/>
      <c r="E36" s="365"/>
      <c r="F36" s="365"/>
      <c r="G36" s="364"/>
      <c r="H36" s="365"/>
      <c r="I36" s="365"/>
      <c r="J36" s="364"/>
      <c r="K36" s="365"/>
      <c r="L36" s="365"/>
      <c r="M36" s="364"/>
      <c r="N36" s="365"/>
      <c r="O36" s="365"/>
      <c r="P36" s="364"/>
      <c r="Q36" s="365"/>
      <c r="R36" s="365"/>
      <c r="S36" s="364"/>
      <c r="T36" s="365"/>
      <c r="U36" s="364"/>
    </row>
    <row r="37">
      <c r="A37" s="376" t="s">
        <v>7</v>
      </c>
      <c r="B37" s="192"/>
      <c r="C37" s="357"/>
      <c r="D37" s="377" t="s">
        <v>8</v>
      </c>
      <c r="E37" s="192"/>
      <c r="F37" s="357"/>
      <c r="G37" s="377" t="s">
        <v>9</v>
      </c>
      <c r="H37" s="192"/>
      <c r="I37" s="357"/>
      <c r="J37" s="377" t="s">
        <v>10</v>
      </c>
      <c r="K37" s="192"/>
      <c r="L37" s="357"/>
      <c r="M37" s="377" t="s">
        <v>11</v>
      </c>
      <c r="N37" s="192"/>
      <c r="O37" s="357"/>
      <c r="P37" s="377" t="s">
        <v>12</v>
      </c>
      <c r="Q37" s="192"/>
      <c r="R37" s="357"/>
      <c r="S37" s="378" t="s">
        <v>13</v>
      </c>
      <c r="T37" s="192"/>
      <c r="U37" s="357"/>
    </row>
    <row r="38">
      <c r="A38" s="379">
        <f>S30+1</f>
        <v>46167</v>
      </c>
      <c r="B38" s="192"/>
      <c r="C38" s="357"/>
      <c r="D38" s="359">
        <f>A38+1</f>
        <v>46168</v>
      </c>
      <c r="E38" s="192"/>
      <c r="F38" s="357"/>
      <c r="G38" s="359">
        <f>D38+1</f>
        <v>46169</v>
      </c>
      <c r="H38" s="192"/>
      <c r="I38" s="357"/>
      <c r="J38" s="359">
        <f>G38+1</f>
        <v>46170</v>
      </c>
      <c r="K38" s="192"/>
      <c r="L38" s="357"/>
      <c r="M38" s="359">
        <f>J38+1</f>
        <v>46171</v>
      </c>
      <c r="N38" s="192"/>
      <c r="O38" s="357"/>
      <c r="P38" s="359">
        <f>M38+1</f>
        <v>46172</v>
      </c>
      <c r="Q38" s="192"/>
      <c r="R38" s="357"/>
      <c r="S38" s="359">
        <f>P38+1</f>
        <v>46173</v>
      </c>
      <c r="T38" s="192"/>
      <c r="U38" s="357"/>
    </row>
    <row r="39">
      <c r="A39" s="361"/>
      <c r="B39" s="362"/>
      <c r="C39" s="362"/>
      <c r="D39" s="361"/>
      <c r="E39" s="362"/>
      <c r="F39" s="362"/>
      <c r="G39" s="361"/>
      <c r="H39" s="362"/>
      <c r="I39" s="362"/>
      <c r="J39" s="361"/>
      <c r="K39" s="362"/>
      <c r="L39" s="362"/>
      <c r="M39" s="361"/>
      <c r="N39" s="362"/>
      <c r="O39" s="362"/>
      <c r="P39" s="361"/>
      <c r="Q39" s="362"/>
      <c r="R39" s="362"/>
      <c r="S39" s="361"/>
      <c r="T39" s="362"/>
      <c r="U39" s="361"/>
    </row>
    <row r="40">
      <c r="A40" s="361"/>
      <c r="B40" s="362"/>
      <c r="C40" s="362"/>
      <c r="D40" s="361"/>
      <c r="E40" s="362"/>
      <c r="F40" s="362"/>
      <c r="G40" s="361"/>
      <c r="H40" s="362"/>
      <c r="I40" s="362"/>
      <c r="J40" s="361"/>
      <c r="K40" s="362"/>
      <c r="L40" s="362"/>
      <c r="M40" s="361"/>
      <c r="N40" s="362"/>
      <c r="O40" s="362"/>
      <c r="P40" s="361"/>
      <c r="Q40" s="362"/>
      <c r="R40" s="362"/>
      <c r="S40" s="361"/>
      <c r="T40" s="362"/>
      <c r="U40" s="361"/>
    </row>
    <row r="41">
      <c r="A41" s="361" t="s">
        <v>397</v>
      </c>
      <c r="B41" s="363" t="s">
        <v>399</v>
      </c>
      <c r="C41" s="363" t="s">
        <v>25</v>
      </c>
      <c r="D41" s="361" t="s">
        <v>397</v>
      </c>
      <c r="E41" s="363" t="s">
        <v>399</v>
      </c>
      <c r="F41" s="363" t="s">
        <v>25</v>
      </c>
      <c r="G41" s="372" t="s">
        <v>14</v>
      </c>
      <c r="H41" s="263"/>
      <c r="I41" s="264"/>
      <c r="J41" s="361" t="s">
        <v>397</v>
      </c>
      <c r="K41" s="363" t="s">
        <v>399</v>
      </c>
      <c r="L41" s="363" t="s">
        <v>25</v>
      </c>
      <c r="M41" s="361" t="s">
        <v>397</v>
      </c>
      <c r="N41" s="363" t="s">
        <v>399</v>
      </c>
      <c r="O41" s="363" t="s">
        <v>25</v>
      </c>
      <c r="P41" s="361" t="s">
        <v>397</v>
      </c>
      <c r="Q41" s="363" t="s">
        <v>399</v>
      </c>
      <c r="R41" s="363" t="s">
        <v>25</v>
      </c>
      <c r="S41" s="63"/>
      <c r="T41" s="63"/>
      <c r="U41" s="63"/>
    </row>
    <row r="42">
      <c r="A42" s="361"/>
      <c r="B42" s="362"/>
      <c r="C42" s="362"/>
      <c r="D42" s="361"/>
      <c r="E42" s="362"/>
      <c r="F42" s="362"/>
      <c r="G42" s="361"/>
      <c r="H42" s="362"/>
      <c r="I42" s="362"/>
      <c r="J42" s="361"/>
      <c r="K42" s="362"/>
      <c r="L42" s="362"/>
      <c r="M42" s="361"/>
      <c r="N42" s="362"/>
      <c r="O42" s="362"/>
      <c r="P42" s="361"/>
      <c r="Q42" s="362"/>
      <c r="R42" s="362"/>
      <c r="S42" s="361"/>
      <c r="T42" s="362"/>
      <c r="U42" s="361"/>
    </row>
    <row r="43">
      <c r="A43" s="361"/>
      <c r="B43" s="362"/>
      <c r="C43" s="362"/>
      <c r="D43" s="361"/>
      <c r="E43" s="362"/>
      <c r="F43" s="362"/>
      <c r="G43" s="361"/>
      <c r="H43" s="362"/>
      <c r="I43" s="362"/>
      <c r="J43" s="361"/>
      <c r="K43" s="362"/>
      <c r="L43" s="362"/>
      <c r="M43" s="361"/>
      <c r="N43" s="362"/>
      <c r="O43" s="362"/>
      <c r="P43" s="361"/>
      <c r="Q43" s="362"/>
      <c r="R43" s="362"/>
      <c r="S43" s="361"/>
      <c r="T43" s="362"/>
      <c r="U43" s="361"/>
    </row>
    <row r="44">
      <c r="A44" s="364"/>
      <c r="B44" s="365"/>
      <c r="C44" s="365"/>
      <c r="D44" s="364"/>
      <c r="E44" s="365"/>
      <c r="F44" s="365"/>
      <c r="G44" s="364"/>
      <c r="H44" s="365"/>
      <c r="I44" s="365"/>
      <c r="J44" s="364"/>
      <c r="K44" s="365"/>
      <c r="L44" s="365"/>
      <c r="M44" s="364"/>
      <c r="N44" s="365"/>
      <c r="O44" s="365"/>
      <c r="P44" s="364"/>
      <c r="Q44" s="365"/>
      <c r="R44" s="365"/>
      <c r="S44" s="364"/>
      <c r="T44" s="365"/>
      <c r="U44" s="364"/>
    </row>
    <row r="45">
      <c r="A45" s="366"/>
      <c r="B45" s="192"/>
      <c r="C45" s="357"/>
      <c r="D45" s="367"/>
      <c r="E45" s="192"/>
      <c r="F45" s="357"/>
      <c r="G45" s="367"/>
      <c r="H45" s="192"/>
      <c r="I45" s="357"/>
      <c r="J45" s="367"/>
      <c r="K45" s="192"/>
      <c r="L45" s="357"/>
      <c r="M45" s="367"/>
      <c r="N45" s="192"/>
      <c r="O45" s="357"/>
      <c r="P45" s="367"/>
      <c r="Q45" s="192"/>
      <c r="R45" s="357"/>
      <c r="S45" s="383"/>
      <c r="T45" s="192"/>
      <c r="U45" s="357"/>
    </row>
    <row r="46">
      <c r="A46" s="380"/>
      <c r="B46" s="192"/>
      <c r="C46" s="357"/>
      <c r="D46" s="381"/>
      <c r="E46" s="192"/>
      <c r="F46" s="357"/>
      <c r="G46" s="381"/>
      <c r="H46" s="192"/>
      <c r="I46" s="357"/>
      <c r="J46" s="381"/>
      <c r="K46" s="192"/>
      <c r="L46" s="357"/>
      <c r="M46" s="381"/>
      <c r="N46" s="192"/>
      <c r="O46" s="357"/>
      <c r="P46" s="381"/>
      <c r="Q46" s="192"/>
      <c r="R46" s="357"/>
      <c r="S46" s="384"/>
      <c r="T46" s="192"/>
      <c r="U46" s="357"/>
    </row>
    <row r="47">
      <c r="A47" s="385"/>
      <c r="B47" s="385"/>
      <c r="C47" s="385"/>
      <c r="D47" s="386"/>
      <c r="E47" s="386"/>
      <c r="F47" s="386"/>
      <c r="G47" s="365"/>
      <c r="H47" s="387"/>
      <c r="I47" s="387"/>
      <c r="J47" s="388"/>
      <c r="K47" s="388"/>
      <c r="L47" s="388"/>
      <c r="M47" s="389"/>
      <c r="N47" s="389"/>
      <c r="O47" s="389"/>
      <c r="P47" s="389"/>
      <c r="Q47" s="389"/>
      <c r="R47" s="389"/>
      <c r="S47" s="388"/>
      <c r="T47" s="388"/>
      <c r="U47" s="388"/>
    </row>
    <row r="48">
      <c r="A48" s="386"/>
      <c r="B48" s="386"/>
      <c r="C48" s="386"/>
      <c r="D48" s="390"/>
      <c r="E48" s="390"/>
      <c r="F48" s="390"/>
      <c r="G48" s="389"/>
      <c r="H48" s="389"/>
      <c r="I48" s="389"/>
      <c r="J48" s="388"/>
      <c r="K48" s="388"/>
      <c r="L48" s="388"/>
      <c r="M48" s="391"/>
      <c r="N48" s="391"/>
      <c r="O48" s="391"/>
      <c r="P48" s="389"/>
      <c r="Q48" s="389"/>
      <c r="R48" s="389"/>
      <c r="S48" s="389"/>
      <c r="T48" s="389"/>
      <c r="U48" s="389"/>
    </row>
    <row r="49">
      <c r="A49" s="386"/>
      <c r="B49" s="386"/>
      <c r="C49" s="386"/>
      <c r="D49" s="386"/>
      <c r="E49" s="386"/>
      <c r="F49" s="386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</row>
    <row r="50">
      <c r="A50" s="389"/>
      <c r="B50" s="389"/>
      <c r="C50" s="389"/>
      <c r="D50" s="386"/>
      <c r="E50" s="386"/>
      <c r="F50" s="386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8"/>
      <c r="T50" s="388"/>
      <c r="U50" s="388"/>
    </row>
    <row r="51">
      <c r="A51" s="385"/>
      <c r="B51" s="385"/>
      <c r="C51" s="385"/>
      <c r="D51" s="392"/>
      <c r="E51" s="392"/>
      <c r="F51" s="392"/>
      <c r="G51" s="389"/>
      <c r="H51" s="389"/>
      <c r="I51" s="388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</row>
    <row r="52">
      <c r="A52" s="393"/>
      <c r="B52" s="388"/>
      <c r="C52" s="388"/>
      <c r="D52" s="389"/>
      <c r="E52" s="389"/>
      <c r="F52" s="389"/>
      <c r="G52" s="388"/>
      <c r="H52" s="388"/>
      <c r="I52" s="388"/>
      <c r="J52" s="389"/>
      <c r="K52" s="389"/>
      <c r="L52" s="389"/>
      <c r="M52" s="388"/>
      <c r="N52" s="388"/>
      <c r="O52" s="388"/>
      <c r="P52" s="389"/>
      <c r="Q52" s="389"/>
      <c r="R52" s="389"/>
      <c r="S52" s="388"/>
      <c r="T52" s="388"/>
      <c r="U52" s="388"/>
    </row>
    <row r="53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</row>
    <row r="63">
      <c r="L63" s="75" t="s">
        <v>0</v>
      </c>
    </row>
  </sheetData>
  <mergeCells count="98">
    <mergeCell ref="A17:C17"/>
    <mergeCell ref="D21:F21"/>
    <mergeCell ref="G21:I21"/>
    <mergeCell ref="J21:L21"/>
    <mergeCell ref="M21:O21"/>
    <mergeCell ref="P21:R21"/>
    <mergeCell ref="S21:U21"/>
    <mergeCell ref="A21:C21"/>
    <mergeCell ref="D22:F22"/>
    <mergeCell ref="G22:I22"/>
    <mergeCell ref="J22:L22"/>
    <mergeCell ref="M22:O22"/>
    <mergeCell ref="P22:R22"/>
    <mergeCell ref="S22:U22"/>
    <mergeCell ref="A22:C22"/>
    <mergeCell ref="A25:C25"/>
    <mergeCell ref="P25:R25"/>
    <mergeCell ref="A29:C29"/>
    <mergeCell ref="D29:F29"/>
    <mergeCell ref="G29:I29"/>
    <mergeCell ref="J29:L29"/>
    <mergeCell ref="A30:C30"/>
    <mergeCell ref="D30:F30"/>
    <mergeCell ref="G30:I30"/>
    <mergeCell ref="J30:L30"/>
    <mergeCell ref="M30:O30"/>
    <mergeCell ref="P30:R30"/>
    <mergeCell ref="M33:O33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G41:I41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M29:O29"/>
    <mergeCell ref="P29:R29"/>
    <mergeCell ref="S29:U29"/>
    <mergeCell ref="S30:U3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5" max="15" width="8.0"/>
    <col customWidth="1" min="16" max="16" width="16.0"/>
    <col customWidth="1" min="17" max="17" width="11.43"/>
    <col customWidth="1" min="18" max="18" width="9.0"/>
    <col customWidth="1" min="20" max="20" width="12.71"/>
    <col customWidth="1" min="21" max="21" width="7.86"/>
  </cols>
  <sheetData>
    <row r="1">
      <c r="A1" s="350" t="s">
        <v>69</v>
      </c>
      <c r="C1" s="348" t="s">
        <v>396</v>
      </c>
      <c r="F1" s="349"/>
      <c r="G1" s="4" t="s">
        <v>2</v>
      </c>
      <c r="Q1" s="349"/>
      <c r="R1" s="349"/>
      <c r="S1" s="349"/>
      <c r="T1" s="349"/>
      <c r="U1" s="349"/>
    </row>
    <row r="2">
      <c r="A2" s="350" t="s">
        <v>3</v>
      </c>
      <c r="C2" s="348" t="s">
        <v>170</v>
      </c>
      <c r="F2" s="349"/>
      <c r="Q2" s="349"/>
      <c r="R2" s="349"/>
      <c r="S2" s="349"/>
      <c r="T2" s="349"/>
      <c r="U2" s="349"/>
    </row>
    <row r="3">
      <c r="A3" s="350" t="s">
        <v>5</v>
      </c>
      <c r="C3" s="351"/>
      <c r="F3" s="349"/>
      <c r="Q3" s="349"/>
      <c r="R3" s="349"/>
      <c r="S3" s="349"/>
      <c r="T3" s="349"/>
      <c r="U3" s="349"/>
    </row>
    <row r="4">
      <c r="A4" s="352" t="s">
        <v>6</v>
      </c>
      <c r="B4" s="192"/>
      <c r="C4" s="353"/>
      <c r="D4" s="192"/>
      <c r="E4" s="192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</row>
    <row r="5">
      <c r="A5" s="262" t="s">
        <v>7</v>
      </c>
      <c r="B5" s="263"/>
      <c r="C5" s="264"/>
      <c r="D5" s="262" t="s">
        <v>8</v>
      </c>
      <c r="E5" s="263"/>
      <c r="F5" s="264"/>
      <c r="G5" s="262" t="s">
        <v>9</v>
      </c>
      <c r="H5" s="263"/>
      <c r="I5" s="264"/>
      <c r="J5" s="262" t="s">
        <v>10</v>
      </c>
      <c r="K5" s="263"/>
      <c r="L5" s="264"/>
      <c r="M5" s="265" t="s">
        <v>11</v>
      </c>
      <c r="N5" s="263"/>
      <c r="O5" s="264"/>
      <c r="P5" s="262" t="s">
        <v>12</v>
      </c>
      <c r="Q5" s="263"/>
      <c r="R5" s="264"/>
      <c r="S5" s="265" t="s">
        <v>13</v>
      </c>
      <c r="T5" s="263"/>
      <c r="U5" s="264"/>
    </row>
    <row r="6">
      <c r="A6" s="355"/>
      <c r="B6" s="263"/>
      <c r="C6" s="264"/>
      <c r="D6" s="356"/>
      <c r="E6" s="192"/>
      <c r="F6" s="357"/>
      <c r="G6" s="355"/>
      <c r="H6" s="263"/>
      <c r="I6" s="264"/>
      <c r="J6" s="355"/>
      <c r="K6" s="263"/>
      <c r="L6" s="264"/>
      <c r="M6" s="358">
        <v>46143.0</v>
      </c>
      <c r="N6" s="263"/>
      <c r="O6" s="264"/>
      <c r="P6" s="359">
        <f>M6+1</f>
        <v>46144</v>
      </c>
      <c r="Q6" s="192"/>
      <c r="R6" s="357"/>
      <c r="S6" s="360">
        <f>P6+1</f>
        <v>46145</v>
      </c>
      <c r="T6" s="192"/>
      <c r="U6" s="357"/>
    </row>
    <row r="7">
      <c r="A7" s="361"/>
      <c r="B7" s="362"/>
      <c r="C7" s="362"/>
      <c r="D7" s="361"/>
      <c r="E7" s="362"/>
      <c r="F7" s="362"/>
      <c r="G7" s="361"/>
      <c r="H7" s="362"/>
      <c r="I7" s="362"/>
      <c r="J7" s="361"/>
      <c r="K7" s="362"/>
      <c r="L7" s="362"/>
      <c r="M7" s="361"/>
      <c r="N7" s="362"/>
      <c r="O7" s="362"/>
      <c r="P7" s="361"/>
      <c r="Q7" s="362"/>
      <c r="R7" s="362"/>
      <c r="S7" s="361"/>
      <c r="T7" s="362"/>
      <c r="U7" s="361"/>
    </row>
    <row r="8">
      <c r="A8" s="361"/>
      <c r="B8" s="362"/>
      <c r="C8" s="362"/>
      <c r="D8" s="361"/>
      <c r="E8" s="362"/>
      <c r="F8" s="362"/>
      <c r="G8" s="361"/>
      <c r="H8" s="362"/>
      <c r="I8" s="362"/>
      <c r="J8" s="361"/>
      <c r="K8" s="362"/>
      <c r="L8" s="362"/>
      <c r="M8" s="361"/>
      <c r="N8" s="362"/>
      <c r="O8" s="362"/>
      <c r="P8" s="361"/>
      <c r="Q8" s="362"/>
      <c r="R8" s="362"/>
      <c r="S8" s="361"/>
      <c r="T8" s="362"/>
      <c r="U8" s="361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394" t="s">
        <v>400</v>
      </c>
      <c r="Q9" s="363" t="s">
        <v>399</v>
      </c>
      <c r="R9" s="363" t="s">
        <v>25</v>
      </c>
      <c r="S9" s="63"/>
      <c r="T9" s="63"/>
      <c r="U9" s="63"/>
    </row>
    <row r="10">
      <c r="A10" s="361"/>
      <c r="B10" s="362"/>
      <c r="C10" s="362"/>
      <c r="D10" s="361"/>
      <c r="E10" s="362"/>
      <c r="F10" s="362"/>
      <c r="G10" s="361"/>
      <c r="H10" s="362"/>
      <c r="I10" s="362"/>
      <c r="J10" s="361"/>
      <c r="K10" s="362"/>
      <c r="L10" s="362"/>
      <c r="M10" s="361"/>
      <c r="N10" s="362"/>
      <c r="O10" s="362"/>
      <c r="P10" s="361"/>
      <c r="Q10" s="362"/>
      <c r="R10" s="362"/>
      <c r="S10" s="361"/>
      <c r="T10" s="362"/>
      <c r="U10" s="361"/>
    </row>
    <row r="11">
      <c r="A11" s="361"/>
      <c r="B11" s="362"/>
      <c r="C11" s="362"/>
      <c r="D11" s="361"/>
      <c r="E11" s="362"/>
      <c r="F11" s="362"/>
      <c r="G11" s="361"/>
      <c r="H11" s="362"/>
      <c r="I11" s="362"/>
      <c r="J11" s="361"/>
      <c r="K11" s="362"/>
      <c r="L11" s="362"/>
      <c r="M11" s="361"/>
      <c r="N11" s="362"/>
      <c r="O11" s="362"/>
      <c r="P11" s="361"/>
      <c r="Q11" s="362"/>
      <c r="R11" s="362"/>
      <c r="S11" s="361"/>
      <c r="T11" s="362"/>
      <c r="U11" s="361"/>
    </row>
    <row r="12">
      <c r="A12" s="364"/>
      <c r="B12" s="365"/>
      <c r="C12" s="365"/>
      <c r="D12" s="364"/>
      <c r="E12" s="365"/>
      <c r="F12" s="365"/>
      <c r="G12" s="364"/>
      <c r="H12" s="365"/>
      <c r="I12" s="365"/>
      <c r="J12" s="364"/>
      <c r="K12" s="365"/>
      <c r="L12" s="365"/>
      <c r="M12" s="364"/>
      <c r="N12" s="365"/>
      <c r="O12" s="365"/>
      <c r="P12" s="364"/>
      <c r="Q12" s="365"/>
      <c r="R12" s="365"/>
      <c r="S12" s="364"/>
      <c r="T12" s="365"/>
      <c r="U12" s="364"/>
    </row>
    <row r="13">
      <c r="A13" s="366" t="s">
        <v>7</v>
      </c>
      <c r="B13" s="192"/>
      <c r="C13" s="357"/>
      <c r="D13" s="367" t="s">
        <v>8</v>
      </c>
      <c r="E13" s="192"/>
      <c r="F13" s="357"/>
      <c r="G13" s="367" t="s">
        <v>9</v>
      </c>
      <c r="H13" s="192"/>
      <c r="I13" s="357"/>
      <c r="J13" s="367" t="s">
        <v>10</v>
      </c>
      <c r="K13" s="192"/>
      <c r="L13" s="357"/>
      <c r="M13" s="367" t="s">
        <v>11</v>
      </c>
      <c r="N13" s="192"/>
      <c r="O13" s="357"/>
      <c r="P13" s="367" t="s">
        <v>12</v>
      </c>
      <c r="Q13" s="192"/>
      <c r="R13" s="357"/>
      <c r="S13" s="368" t="s">
        <v>13</v>
      </c>
      <c r="T13" s="192"/>
      <c r="U13" s="357"/>
    </row>
    <row r="14">
      <c r="A14" s="369">
        <f>S6+1</f>
        <v>46146</v>
      </c>
      <c r="B14" s="192"/>
      <c r="C14" s="357"/>
      <c r="D14" s="370">
        <f>A14+1</f>
        <v>46147</v>
      </c>
      <c r="E14" s="192"/>
      <c r="F14" s="357"/>
      <c r="G14" s="370">
        <f>D14+1</f>
        <v>46148</v>
      </c>
      <c r="H14" s="192"/>
      <c r="I14" s="357"/>
      <c r="J14" s="370">
        <f>G14+1</f>
        <v>46149</v>
      </c>
      <c r="K14" s="192"/>
      <c r="L14" s="357"/>
      <c r="M14" s="370">
        <f>J14+1</f>
        <v>46150</v>
      </c>
      <c r="N14" s="192"/>
      <c r="O14" s="357"/>
      <c r="P14" s="370">
        <f>M14+1</f>
        <v>46151</v>
      </c>
      <c r="Q14" s="192"/>
      <c r="R14" s="357"/>
      <c r="S14" s="371">
        <f>P14+1</f>
        <v>46152</v>
      </c>
      <c r="T14" s="192"/>
      <c r="U14" s="357"/>
    </row>
    <row r="15">
      <c r="A15" s="361"/>
      <c r="B15" s="362"/>
      <c r="C15" s="362"/>
      <c r="D15" s="361"/>
      <c r="E15" s="362"/>
      <c r="F15" s="362"/>
      <c r="G15" s="361"/>
      <c r="H15" s="362"/>
      <c r="I15" s="362"/>
      <c r="J15" s="361"/>
      <c r="K15" s="362"/>
      <c r="L15" s="362"/>
      <c r="M15" s="361"/>
      <c r="N15" s="362"/>
      <c r="O15" s="362"/>
      <c r="P15" s="361"/>
      <c r="Q15" s="362"/>
      <c r="R15" s="362"/>
      <c r="S15" s="361"/>
      <c r="T15" s="362"/>
      <c r="U15" s="361"/>
    </row>
    <row r="16">
      <c r="A16" s="361"/>
      <c r="B16" s="362"/>
      <c r="C16" s="362"/>
      <c r="D16" s="361"/>
      <c r="E16" s="362"/>
      <c r="F16" s="362"/>
      <c r="G16" s="361"/>
      <c r="H16" s="362"/>
      <c r="I16" s="362"/>
      <c r="J16" s="361"/>
      <c r="K16" s="362"/>
      <c r="L16" s="362"/>
      <c r="M16" s="361"/>
      <c r="N16" s="362"/>
      <c r="O16" s="362"/>
      <c r="P16" s="373"/>
      <c r="Q16" s="374"/>
      <c r="R16" s="375"/>
      <c r="S16" s="361"/>
      <c r="T16" s="362"/>
      <c r="U16" s="361"/>
    </row>
    <row r="17">
      <c r="A17" s="394" t="s">
        <v>400</v>
      </c>
      <c r="B17" s="362" t="s">
        <v>398</v>
      </c>
      <c r="C17" s="363" t="s">
        <v>25</v>
      </c>
      <c r="D17" s="390"/>
      <c r="E17" s="390"/>
      <c r="F17" s="395"/>
      <c r="G17" s="394" t="s">
        <v>400</v>
      </c>
      <c r="H17" s="363" t="s">
        <v>399</v>
      </c>
      <c r="I17" s="363" t="s">
        <v>25</v>
      </c>
      <c r="J17" s="394" t="s">
        <v>400</v>
      </c>
      <c r="K17" s="363" t="s">
        <v>399</v>
      </c>
      <c r="L17" s="363" t="s">
        <v>25</v>
      </c>
      <c r="M17" s="101"/>
      <c r="N17" s="101"/>
      <c r="O17" s="101"/>
      <c r="P17" s="63"/>
      <c r="Q17" s="63"/>
      <c r="R17" s="63"/>
      <c r="S17" s="63"/>
      <c r="T17" s="63"/>
      <c r="U17" s="63"/>
    </row>
    <row r="18">
      <c r="A18" s="361"/>
      <c r="B18" s="362"/>
      <c r="C18" s="362"/>
      <c r="D18" s="390"/>
      <c r="E18" s="390"/>
      <c r="F18" s="395"/>
      <c r="G18" s="361"/>
      <c r="H18" s="362"/>
      <c r="I18" s="362"/>
      <c r="J18" s="361"/>
      <c r="K18" s="362"/>
      <c r="L18" s="362"/>
      <c r="M18" s="394" t="s">
        <v>400</v>
      </c>
      <c r="N18" s="363" t="s">
        <v>399</v>
      </c>
      <c r="O18" s="363" t="s">
        <v>25</v>
      </c>
      <c r="P18" s="396" t="s">
        <v>400</v>
      </c>
      <c r="Q18" s="397" t="s">
        <v>399</v>
      </c>
      <c r="R18" s="397" t="s">
        <v>25</v>
      </c>
      <c r="S18" s="396" t="s">
        <v>400</v>
      </c>
      <c r="T18" s="397" t="s">
        <v>399</v>
      </c>
      <c r="U18" s="397" t="s">
        <v>25</v>
      </c>
    </row>
    <row r="19">
      <c r="A19" s="361"/>
      <c r="B19" s="362"/>
      <c r="C19" s="362"/>
      <c r="D19" s="361"/>
      <c r="E19" s="362"/>
      <c r="F19" s="362"/>
      <c r="G19" s="361"/>
      <c r="H19" s="362"/>
      <c r="I19" s="362"/>
      <c r="J19" s="361"/>
      <c r="K19" s="362"/>
      <c r="L19" s="362"/>
      <c r="M19" s="361"/>
      <c r="N19" s="362"/>
      <c r="O19" s="362"/>
      <c r="P19" s="361"/>
      <c r="Q19" s="362"/>
      <c r="R19" s="362"/>
      <c r="S19" s="361"/>
      <c r="T19" s="362"/>
      <c r="U19" s="361"/>
    </row>
    <row r="20">
      <c r="A20" s="364"/>
      <c r="B20" s="365"/>
      <c r="C20" s="365"/>
      <c r="D20" s="364"/>
      <c r="E20" s="365"/>
      <c r="F20" s="365"/>
      <c r="G20" s="364"/>
      <c r="H20" s="365"/>
      <c r="I20" s="365"/>
      <c r="J20" s="364"/>
      <c r="K20" s="365"/>
      <c r="L20" s="365"/>
      <c r="M20" s="364"/>
      <c r="N20" s="365"/>
      <c r="O20" s="365"/>
      <c r="P20" s="364"/>
      <c r="Q20" s="365"/>
      <c r="R20" s="365"/>
      <c r="S20" s="364"/>
      <c r="T20" s="365"/>
      <c r="U20" s="364"/>
    </row>
    <row r="21">
      <c r="A21" s="376" t="s">
        <v>7</v>
      </c>
      <c r="B21" s="192"/>
      <c r="C21" s="357"/>
      <c r="D21" s="377" t="s">
        <v>8</v>
      </c>
      <c r="E21" s="192"/>
      <c r="F21" s="357"/>
      <c r="G21" s="377" t="s">
        <v>9</v>
      </c>
      <c r="H21" s="192"/>
      <c r="I21" s="357"/>
      <c r="J21" s="377" t="s">
        <v>10</v>
      </c>
      <c r="K21" s="192"/>
      <c r="L21" s="357"/>
      <c r="M21" s="377" t="s">
        <v>11</v>
      </c>
      <c r="N21" s="192"/>
      <c r="O21" s="357"/>
      <c r="P21" s="377" t="s">
        <v>12</v>
      </c>
      <c r="Q21" s="192"/>
      <c r="R21" s="357"/>
      <c r="S21" s="378" t="s">
        <v>13</v>
      </c>
      <c r="T21" s="192"/>
      <c r="U21" s="357"/>
    </row>
    <row r="22">
      <c r="A22" s="379">
        <f>S14+1</f>
        <v>46153</v>
      </c>
      <c r="B22" s="192"/>
      <c r="C22" s="357"/>
      <c r="D22" s="359">
        <f>A22+1</f>
        <v>46154</v>
      </c>
      <c r="E22" s="192"/>
      <c r="F22" s="357"/>
      <c r="G22" s="359">
        <f>D22+1</f>
        <v>46155</v>
      </c>
      <c r="H22" s="192"/>
      <c r="I22" s="357"/>
      <c r="J22" s="359">
        <f>G22+1</f>
        <v>46156</v>
      </c>
      <c r="K22" s="192"/>
      <c r="L22" s="357"/>
      <c r="M22" s="359">
        <f>J22+1</f>
        <v>46157</v>
      </c>
      <c r="N22" s="192"/>
      <c r="O22" s="357"/>
      <c r="P22" s="359">
        <f>M22+1</f>
        <v>46158</v>
      </c>
      <c r="Q22" s="192"/>
      <c r="R22" s="357"/>
      <c r="S22" s="360">
        <f>P22+1</f>
        <v>46159</v>
      </c>
      <c r="T22" s="192"/>
      <c r="U22" s="357"/>
    </row>
    <row r="23">
      <c r="A23" s="361"/>
      <c r="B23" s="362"/>
      <c r="C23" s="362"/>
      <c r="D23" s="361"/>
      <c r="E23" s="362"/>
      <c r="F23" s="362"/>
      <c r="G23" s="361"/>
      <c r="H23" s="362"/>
      <c r="I23" s="362"/>
      <c r="J23" s="361"/>
      <c r="K23" s="362"/>
      <c r="L23" s="362"/>
      <c r="M23" s="361"/>
      <c r="N23" s="362"/>
      <c r="O23" s="362"/>
      <c r="P23" s="361"/>
      <c r="Q23" s="362"/>
      <c r="R23" s="362"/>
      <c r="S23" s="361"/>
      <c r="T23" s="362"/>
      <c r="U23" s="361"/>
    </row>
    <row r="24">
      <c r="A24" s="361"/>
      <c r="B24" s="362"/>
      <c r="C24" s="362"/>
      <c r="D24" s="156" t="s">
        <v>134</v>
      </c>
      <c r="E24" s="156" t="s">
        <v>137</v>
      </c>
      <c r="F24" s="156" t="s">
        <v>153</v>
      </c>
      <c r="G24" s="361"/>
      <c r="H24" s="362"/>
      <c r="I24" s="362"/>
      <c r="J24" s="361"/>
      <c r="K24" s="362"/>
      <c r="L24" s="362"/>
      <c r="M24" s="361"/>
      <c r="N24" s="362"/>
      <c r="O24" s="362"/>
      <c r="P24" s="361"/>
      <c r="Q24" s="362"/>
      <c r="R24" s="362"/>
      <c r="S24" s="361"/>
      <c r="T24" s="362"/>
      <c r="U24" s="361"/>
    </row>
    <row r="25">
      <c r="A25" s="221" t="s">
        <v>14</v>
      </c>
      <c r="B25" s="12"/>
      <c r="C25" s="13"/>
      <c r="D25" s="398" t="s">
        <v>401</v>
      </c>
      <c r="E25" s="398" t="s">
        <v>157</v>
      </c>
      <c r="F25" s="398" t="s">
        <v>395</v>
      </c>
      <c r="G25" s="63"/>
      <c r="H25" s="63"/>
      <c r="I25" s="63"/>
      <c r="J25" s="63"/>
      <c r="K25" s="63"/>
      <c r="L25" s="63"/>
      <c r="M25" s="63"/>
      <c r="N25" s="63"/>
      <c r="O25" s="63"/>
      <c r="P25" s="361" t="s">
        <v>397</v>
      </c>
      <c r="Q25" s="362" t="s">
        <v>398</v>
      </c>
      <c r="R25" s="363" t="s">
        <v>25</v>
      </c>
      <c r="S25" s="398" t="s">
        <v>402</v>
      </c>
      <c r="T25" s="398" t="s">
        <v>398</v>
      </c>
      <c r="U25" s="63"/>
    </row>
    <row r="26">
      <c r="A26" s="361"/>
      <c r="B26" s="362"/>
      <c r="C26" s="362"/>
      <c r="D26" s="361"/>
      <c r="E26" s="362"/>
      <c r="F26" s="362"/>
      <c r="G26" s="361"/>
      <c r="H26" s="362"/>
      <c r="I26" s="362"/>
      <c r="J26" s="361"/>
      <c r="K26" s="362"/>
      <c r="L26" s="362"/>
      <c r="M26" s="361"/>
      <c r="N26" s="362"/>
      <c r="O26" s="362"/>
      <c r="P26" s="361"/>
      <c r="Q26" s="362"/>
      <c r="R26" s="362"/>
      <c r="S26" s="361"/>
      <c r="T26" s="362"/>
      <c r="U26" s="361"/>
    </row>
    <row r="27">
      <c r="A27" s="361"/>
      <c r="B27" s="362"/>
      <c r="C27" s="362"/>
      <c r="D27" s="361"/>
      <c r="E27" s="362"/>
      <c r="F27" s="362"/>
      <c r="G27" s="361"/>
      <c r="H27" s="362"/>
      <c r="I27" s="362"/>
      <c r="J27" s="361"/>
      <c r="K27" s="362"/>
      <c r="L27" s="362"/>
      <c r="M27" s="361"/>
      <c r="N27" s="362"/>
      <c r="O27" s="362"/>
      <c r="P27" s="361"/>
      <c r="Q27" s="362"/>
      <c r="R27" s="362"/>
      <c r="S27" s="361"/>
      <c r="T27" s="362"/>
      <c r="U27" s="361"/>
    </row>
    <row r="28">
      <c r="A28" s="364"/>
      <c r="B28" s="365"/>
      <c r="C28" s="365"/>
      <c r="D28" s="364"/>
      <c r="E28" s="365"/>
      <c r="F28" s="365"/>
      <c r="G28" s="364"/>
      <c r="H28" s="365"/>
      <c r="I28" s="365"/>
      <c r="J28" s="364"/>
      <c r="K28" s="365"/>
      <c r="L28" s="365"/>
      <c r="M28" s="364"/>
      <c r="N28" s="365"/>
      <c r="O28" s="365"/>
      <c r="P28" s="364"/>
      <c r="Q28" s="365"/>
      <c r="R28" s="365"/>
      <c r="S28" s="364"/>
      <c r="T28" s="365"/>
      <c r="U28" s="364"/>
    </row>
    <row r="29">
      <c r="A29" s="366" t="s">
        <v>7</v>
      </c>
      <c r="B29" s="192"/>
      <c r="C29" s="357"/>
      <c r="D29" s="367" t="s">
        <v>8</v>
      </c>
      <c r="E29" s="192"/>
      <c r="F29" s="357"/>
      <c r="G29" s="367" t="s">
        <v>9</v>
      </c>
      <c r="H29" s="192"/>
      <c r="I29" s="357"/>
      <c r="J29" s="367" t="s">
        <v>10</v>
      </c>
      <c r="K29" s="192"/>
      <c r="L29" s="357"/>
      <c r="M29" s="367" t="s">
        <v>11</v>
      </c>
      <c r="N29" s="192"/>
      <c r="O29" s="357"/>
      <c r="P29" s="367" t="s">
        <v>12</v>
      </c>
      <c r="Q29" s="192"/>
      <c r="R29" s="357"/>
      <c r="S29" s="368" t="s">
        <v>13</v>
      </c>
      <c r="T29" s="192"/>
      <c r="U29" s="357"/>
    </row>
    <row r="30">
      <c r="A30" s="380">
        <f>S22+1</f>
        <v>46160</v>
      </c>
      <c r="B30" s="192"/>
      <c r="C30" s="357"/>
      <c r="D30" s="381">
        <f>A30+1</f>
        <v>46161</v>
      </c>
      <c r="E30" s="192"/>
      <c r="F30" s="357"/>
      <c r="G30" s="381">
        <f>D30+1</f>
        <v>46162</v>
      </c>
      <c r="H30" s="192"/>
      <c r="I30" s="357"/>
      <c r="J30" s="381">
        <f>G30+1</f>
        <v>46163</v>
      </c>
      <c r="K30" s="192"/>
      <c r="L30" s="357"/>
      <c r="M30" s="381">
        <f>J30+1</f>
        <v>46164</v>
      </c>
      <c r="N30" s="192"/>
      <c r="O30" s="357"/>
      <c r="P30" s="381">
        <f>M30+1</f>
        <v>46165</v>
      </c>
      <c r="Q30" s="192"/>
      <c r="R30" s="357"/>
      <c r="S30" s="382">
        <f>P30+1</f>
        <v>46166</v>
      </c>
      <c r="T30" s="192"/>
      <c r="U30" s="357"/>
    </row>
    <row r="31">
      <c r="A31" s="361"/>
      <c r="B31" s="362"/>
      <c r="C31" s="362"/>
      <c r="D31" s="361"/>
      <c r="E31" s="362"/>
      <c r="F31" s="362"/>
      <c r="G31" s="361"/>
      <c r="H31" s="362"/>
      <c r="I31" s="362"/>
      <c r="J31" s="361"/>
      <c r="K31" s="362"/>
      <c r="L31" s="362"/>
      <c r="M31" s="361"/>
      <c r="N31" s="362"/>
      <c r="O31" s="362"/>
      <c r="P31" s="361"/>
      <c r="Q31" s="362"/>
      <c r="R31" s="362"/>
      <c r="S31" s="361"/>
      <c r="T31" s="362"/>
      <c r="U31" s="361"/>
    </row>
    <row r="32">
      <c r="A32" s="361"/>
      <c r="B32" s="362"/>
      <c r="C32" s="362"/>
      <c r="D32" s="361"/>
      <c r="E32" s="362"/>
      <c r="F32" s="362"/>
      <c r="G32" s="361"/>
      <c r="H32" s="362"/>
      <c r="I32" s="362"/>
      <c r="J32" s="361"/>
      <c r="K32" s="362"/>
      <c r="L32" s="362"/>
      <c r="M32" s="361"/>
      <c r="N32" s="362"/>
      <c r="O32" s="362"/>
      <c r="P32" s="361"/>
      <c r="Q32" s="362"/>
      <c r="R32" s="362"/>
      <c r="S32" s="361"/>
      <c r="T32" s="362"/>
      <c r="U32" s="361"/>
    </row>
    <row r="33">
      <c r="A33" s="398" t="s">
        <v>402</v>
      </c>
      <c r="B33" s="398" t="s">
        <v>398</v>
      </c>
      <c r="C33" s="398" t="s">
        <v>25</v>
      </c>
      <c r="D33" s="398" t="s">
        <v>402</v>
      </c>
      <c r="E33" s="398" t="s">
        <v>398</v>
      </c>
      <c r="F33" s="398" t="s">
        <v>25</v>
      </c>
      <c r="G33" s="398" t="s">
        <v>402</v>
      </c>
      <c r="H33" s="398" t="s">
        <v>398</v>
      </c>
      <c r="I33" s="398" t="s">
        <v>25</v>
      </c>
      <c r="J33" s="398" t="s">
        <v>402</v>
      </c>
      <c r="K33" s="398" t="s">
        <v>398</v>
      </c>
      <c r="L33" s="398" t="s">
        <v>25</v>
      </c>
      <c r="M33" s="101"/>
      <c r="N33" s="101"/>
      <c r="O33" s="101"/>
      <c r="P33" s="221" t="s">
        <v>14</v>
      </c>
      <c r="Q33" s="12"/>
      <c r="R33" s="13"/>
      <c r="S33" s="63"/>
      <c r="T33" s="63"/>
      <c r="U33" s="63"/>
    </row>
    <row r="34">
      <c r="A34" s="361"/>
      <c r="B34" s="362"/>
      <c r="C34" s="362"/>
      <c r="D34" s="361"/>
      <c r="E34" s="362"/>
      <c r="F34" s="362"/>
      <c r="G34" s="361"/>
      <c r="H34" s="362"/>
      <c r="I34" s="362"/>
      <c r="J34" s="361"/>
      <c r="K34" s="362"/>
      <c r="L34" s="362"/>
      <c r="M34" s="361"/>
      <c r="N34" s="362"/>
      <c r="O34" s="362"/>
      <c r="P34" s="361"/>
      <c r="Q34" s="362"/>
      <c r="R34" s="362"/>
      <c r="S34" s="361"/>
      <c r="T34" s="362"/>
      <c r="U34" s="361"/>
    </row>
    <row r="35">
      <c r="A35" s="361"/>
      <c r="B35" s="362"/>
      <c r="C35" s="362"/>
      <c r="D35" s="361"/>
      <c r="E35" s="362"/>
      <c r="F35" s="362"/>
      <c r="G35" s="361"/>
      <c r="H35" s="362"/>
      <c r="I35" s="362"/>
      <c r="J35" s="361"/>
      <c r="K35" s="362"/>
      <c r="L35" s="362"/>
      <c r="M35" s="361"/>
      <c r="N35" s="362"/>
      <c r="O35" s="362"/>
      <c r="P35" s="361"/>
      <c r="Q35" s="362"/>
      <c r="R35" s="362"/>
      <c r="S35" s="361"/>
      <c r="T35" s="362"/>
      <c r="U35" s="361"/>
    </row>
    <row r="36">
      <c r="A36" s="364"/>
      <c r="B36" s="365"/>
      <c r="C36" s="365"/>
      <c r="D36" s="364"/>
      <c r="E36" s="365"/>
      <c r="F36" s="365"/>
      <c r="G36" s="364"/>
      <c r="H36" s="365"/>
      <c r="I36" s="365"/>
      <c r="J36" s="364"/>
      <c r="K36" s="365"/>
      <c r="L36" s="365"/>
      <c r="M36" s="364"/>
      <c r="N36" s="365"/>
      <c r="O36" s="365"/>
      <c r="P36" s="364"/>
      <c r="Q36" s="365"/>
      <c r="R36" s="365"/>
      <c r="S36" s="364"/>
      <c r="T36" s="365"/>
      <c r="U36" s="364"/>
    </row>
    <row r="37">
      <c r="A37" s="376" t="s">
        <v>7</v>
      </c>
      <c r="B37" s="192"/>
      <c r="C37" s="357"/>
      <c r="D37" s="377" t="s">
        <v>8</v>
      </c>
      <c r="E37" s="192"/>
      <c r="F37" s="357"/>
      <c r="G37" s="377" t="s">
        <v>9</v>
      </c>
      <c r="H37" s="192"/>
      <c r="I37" s="357"/>
      <c r="J37" s="377" t="s">
        <v>10</v>
      </c>
      <c r="K37" s="192"/>
      <c r="L37" s="357"/>
      <c r="M37" s="377" t="s">
        <v>11</v>
      </c>
      <c r="N37" s="192"/>
      <c r="O37" s="357"/>
      <c r="P37" s="377" t="s">
        <v>12</v>
      </c>
      <c r="Q37" s="192"/>
      <c r="R37" s="357"/>
      <c r="S37" s="378" t="s">
        <v>13</v>
      </c>
      <c r="T37" s="192"/>
      <c r="U37" s="357"/>
    </row>
    <row r="38">
      <c r="A38" s="379">
        <f>S30+1</f>
        <v>46167</v>
      </c>
      <c r="B38" s="192"/>
      <c r="C38" s="357"/>
      <c r="D38" s="359">
        <f>A38+1</f>
        <v>46168</v>
      </c>
      <c r="E38" s="192"/>
      <c r="F38" s="357"/>
      <c r="G38" s="359">
        <f>D38+1</f>
        <v>46169</v>
      </c>
      <c r="H38" s="192"/>
      <c r="I38" s="357"/>
      <c r="J38" s="359">
        <f>G38+1</f>
        <v>46170</v>
      </c>
      <c r="K38" s="192"/>
      <c r="L38" s="357"/>
      <c r="M38" s="359">
        <f>J38+1</f>
        <v>46171</v>
      </c>
      <c r="N38" s="192"/>
      <c r="O38" s="357"/>
      <c r="P38" s="359">
        <f>M38+1</f>
        <v>46172</v>
      </c>
      <c r="Q38" s="192"/>
      <c r="R38" s="357"/>
      <c r="S38" s="359">
        <f>P38+1</f>
        <v>46173</v>
      </c>
      <c r="T38" s="192"/>
      <c r="U38" s="357"/>
    </row>
    <row r="39">
      <c r="A39" s="361"/>
      <c r="B39" s="362"/>
      <c r="C39" s="362"/>
      <c r="D39" s="361"/>
      <c r="E39" s="362"/>
      <c r="F39" s="362"/>
      <c r="G39" s="361"/>
      <c r="H39" s="362"/>
      <c r="I39" s="362"/>
      <c r="J39" s="361"/>
      <c r="K39" s="362"/>
      <c r="L39" s="362"/>
      <c r="M39" s="361"/>
      <c r="N39" s="362"/>
      <c r="O39" s="362"/>
      <c r="P39" s="361"/>
      <c r="Q39" s="362"/>
      <c r="R39" s="362"/>
      <c r="S39" s="361"/>
      <c r="T39" s="362"/>
      <c r="U39" s="361"/>
    </row>
    <row r="40">
      <c r="A40" s="361"/>
      <c r="B40" s="362"/>
      <c r="C40" s="362"/>
      <c r="D40" s="361"/>
      <c r="E40" s="362"/>
      <c r="F40" s="362"/>
      <c r="G40" s="361"/>
      <c r="H40" s="362"/>
      <c r="I40" s="362"/>
      <c r="J40" s="361"/>
      <c r="K40" s="362"/>
      <c r="L40" s="362"/>
      <c r="M40" s="361"/>
      <c r="N40" s="362"/>
      <c r="O40" s="362"/>
      <c r="P40" s="361"/>
      <c r="Q40" s="362"/>
      <c r="R40" s="362"/>
      <c r="S40" s="361"/>
      <c r="T40" s="362"/>
      <c r="U40" s="361"/>
    </row>
    <row r="41">
      <c r="A41" s="398"/>
      <c r="B41" s="398"/>
      <c r="C41" s="398"/>
      <c r="D41" s="63"/>
      <c r="E41" s="63"/>
      <c r="F41" s="63"/>
      <c r="G41" s="398" t="s">
        <v>402</v>
      </c>
      <c r="H41" s="398" t="s">
        <v>398</v>
      </c>
      <c r="I41" s="398" t="s">
        <v>25</v>
      </c>
      <c r="J41" s="398" t="s">
        <v>402</v>
      </c>
      <c r="K41" s="398" t="s">
        <v>398</v>
      </c>
      <c r="L41" s="398" t="s">
        <v>25</v>
      </c>
      <c r="M41" s="63"/>
      <c r="N41" s="63"/>
      <c r="O41" s="63"/>
      <c r="P41" s="221" t="s">
        <v>14</v>
      </c>
      <c r="Q41" s="12"/>
      <c r="R41" s="13"/>
      <c r="S41" s="398" t="s">
        <v>403</v>
      </c>
      <c r="T41" s="398" t="s">
        <v>398</v>
      </c>
      <c r="U41" s="398" t="s">
        <v>25</v>
      </c>
    </row>
    <row r="42">
      <c r="A42" s="398" t="s">
        <v>404</v>
      </c>
      <c r="B42" s="398" t="s">
        <v>157</v>
      </c>
      <c r="C42" s="398" t="s">
        <v>405</v>
      </c>
      <c r="D42" s="361"/>
      <c r="E42" s="362"/>
      <c r="F42" s="362"/>
      <c r="G42" s="361"/>
      <c r="H42" s="362"/>
      <c r="I42" s="362"/>
      <c r="J42" s="361"/>
      <c r="K42" s="362"/>
      <c r="L42" s="362"/>
      <c r="M42" s="361"/>
      <c r="N42" s="362"/>
      <c r="O42" s="362"/>
      <c r="P42" s="361"/>
      <c r="Q42" s="362"/>
      <c r="R42" s="362"/>
      <c r="S42" s="361"/>
      <c r="T42" s="362"/>
      <c r="U42" s="361"/>
    </row>
    <row r="43">
      <c r="A43" s="361"/>
      <c r="B43" s="362"/>
      <c r="C43" s="362"/>
      <c r="D43" s="361"/>
      <c r="E43" s="362"/>
      <c r="F43" s="362"/>
      <c r="G43" s="361"/>
      <c r="H43" s="362"/>
      <c r="I43" s="362"/>
      <c r="J43" s="361"/>
      <c r="K43" s="362"/>
      <c r="L43" s="362"/>
      <c r="M43" s="361"/>
      <c r="N43" s="362"/>
      <c r="O43" s="362"/>
      <c r="P43" s="361"/>
      <c r="Q43" s="362"/>
      <c r="R43" s="362"/>
      <c r="S43" s="361"/>
      <c r="T43" s="362"/>
      <c r="U43" s="361"/>
    </row>
    <row r="44">
      <c r="A44" s="364"/>
      <c r="B44" s="365"/>
      <c r="C44" s="365"/>
      <c r="D44" s="364"/>
      <c r="E44" s="365"/>
      <c r="F44" s="365"/>
      <c r="G44" s="364"/>
      <c r="H44" s="365"/>
      <c r="I44" s="365"/>
      <c r="J44" s="364"/>
      <c r="K44" s="365"/>
      <c r="L44" s="365"/>
      <c r="M44" s="364"/>
      <c r="N44" s="365"/>
      <c r="O44" s="365"/>
      <c r="P44" s="364"/>
      <c r="Q44" s="365"/>
      <c r="R44" s="365"/>
      <c r="S44" s="364"/>
      <c r="T44" s="365"/>
      <c r="U44" s="364"/>
    </row>
    <row r="45">
      <c r="A45" s="366"/>
      <c r="B45" s="192"/>
      <c r="C45" s="357"/>
      <c r="D45" s="367"/>
      <c r="E45" s="192"/>
      <c r="F45" s="357"/>
      <c r="G45" s="367"/>
      <c r="H45" s="192"/>
      <c r="I45" s="357"/>
      <c r="J45" s="367"/>
      <c r="K45" s="192"/>
      <c r="L45" s="357"/>
      <c r="M45" s="367"/>
      <c r="N45" s="192"/>
      <c r="O45" s="357"/>
      <c r="P45" s="367"/>
      <c r="Q45" s="192"/>
      <c r="R45" s="357"/>
      <c r="S45" s="383"/>
      <c r="T45" s="192"/>
      <c r="U45" s="357"/>
    </row>
    <row r="46">
      <c r="A46" s="380"/>
      <c r="B46" s="192"/>
      <c r="C46" s="357"/>
      <c r="D46" s="381"/>
      <c r="E46" s="192"/>
      <c r="F46" s="357"/>
      <c r="G46" s="381"/>
      <c r="H46" s="192"/>
      <c r="I46" s="357"/>
      <c r="J46" s="381"/>
      <c r="K46" s="192"/>
      <c r="L46" s="357"/>
      <c r="M46" s="381"/>
      <c r="N46" s="192"/>
      <c r="O46" s="357"/>
      <c r="P46" s="381"/>
      <c r="Q46" s="192"/>
      <c r="R46" s="357"/>
      <c r="S46" s="384"/>
      <c r="T46" s="192"/>
      <c r="U46" s="357"/>
    </row>
    <row r="47">
      <c r="A47" s="385"/>
      <c r="B47" s="385"/>
      <c r="C47" s="385"/>
      <c r="D47" s="386"/>
      <c r="E47" s="386"/>
      <c r="F47" s="386"/>
      <c r="G47" s="365"/>
      <c r="H47" s="387"/>
      <c r="I47" s="387"/>
      <c r="J47" s="388"/>
      <c r="K47" s="388"/>
      <c r="L47" s="388"/>
      <c r="M47" s="389"/>
      <c r="N47" s="389"/>
      <c r="O47" s="389"/>
      <c r="P47" s="389"/>
      <c r="Q47" s="389"/>
      <c r="R47" s="389"/>
      <c r="S47" s="388"/>
      <c r="T47" s="388"/>
      <c r="U47" s="388"/>
    </row>
    <row r="48">
      <c r="A48" s="386"/>
      <c r="B48" s="386"/>
      <c r="C48" s="386"/>
      <c r="D48" s="390"/>
      <c r="E48" s="390"/>
      <c r="F48" s="390"/>
      <c r="G48" s="389"/>
      <c r="H48" s="389"/>
      <c r="I48" s="389"/>
      <c r="J48" s="388"/>
      <c r="K48" s="388"/>
      <c r="L48" s="388"/>
      <c r="M48" s="391"/>
      <c r="N48" s="391"/>
      <c r="O48" s="391"/>
      <c r="P48" s="389"/>
      <c r="Q48" s="389"/>
      <c r="R48" s="389"/>
      <c r="S48" s="389"/>
      <c r="T48" s="389"/>
      <c r="U48" s="389"/>
    </row>
    <row r="49">
      <c r="A49" s="386"/>
      <c r="B49" s="386"/>
      <c r="C49" s="386"/>
      <c r="D49" s="386"/>
      <c r="E49" s="386"/>
      <c r="F49" s="386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</row>
    <row r="50">
      <c r="A50" s="389"/>
      <c r="B50" s="389"/>
      <c r="C50" s="389"/>
      <c r="D50" s="386"/>
      <c r="E50" s="386"/>
      <c r="F50" s="386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8"/>
      <c r="T50" s="388"/>
      <c r="U50" s="388"/>
    </row>
    <row r="51">
      <c r="A51" s="385"/>
      <c r="B51" s="385"/>
      <c r="C51" s="385"/>
      <c r="D51" s="392"/>
      <c r="E51" s="392"/>
      <c r="F51" s="392"/>
      <c r="G51" s="389"/>
      <c r="H51" s="389"/>
      <c r="I51" s="388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</row>
    <row r="52">
      <c r="A52" s="393"/>
      <c r="B52" s="388"/>
      <c r="C52" s="388"/>
      <c r="D52" s="389"/>
      <c r="E52" s="389"/>
      <c r="F52" s="389"/>
      <c r="G52" s="388"/>
      <c r="H52" s="388"/>
      <c r="I52" s="388"/>
      <c r="J52" s="389"/>
      <c r="K52" s="389"/>
      <c r="L52" s="389"/>
      <c r="M52" s="388"/>
      <c r="N52" s="388"/>
      <c r="O52" s="388"/>
      <c r="P52" s="389"/>
      <c r="Q52" s="389"/>
      <c r="R52" s="389"/>
      <c r="S52" s="388"/>
      <c r="T52" s="388"/>
      <c r="U52" s="388"/>
    </row>
    <row r="53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</row>
    <row r="63">
      <c r="L63" s="75" t="s">
        <v>0</v>
      </c>
    </row>
  </sheetData>
  <mergeCells count="96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5:C25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J30:L30"/>
    <mergeCell ref="M30:O30"/>
    <mergeCell ref="S30:U30"/>
    <mergeCell ref="P30:R30"/>
    <mergeCell ref="P33:R33"/>
    <mergeCell ref="A37:C37"/>
    <mergeCell ref="D37:F37"/>
    <mergeCell ref="G37:I37"/>
    <mergeCell ref="J37:L37"/>
    <mergeCell ref="M37:O37"/>
    <mergeCell ref="A38:C38"/>
    <mergeCell ref="D38:F38"/>
    <mergeCell ref="G38:I38"/>
    <mergeCell ref="J38:L38"/>
    <mergeCell ref="M38:O38"/>
    <mergeCell ref="P38:R38"/>
    <mergeCell ref="P41:R41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37:R37"/>
    <mergeCell ref="S37:U37"/>
    <mergeCell ref="S38:U38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11.29"/>
    <col customWidth="1" min="21" max="21" width="7.86"/>
  </cols>
  <sheetData>
    <row r="1">
      <c r="A1" s="350" t="s">
        <v>69</v>
      </c>
      <c r="C1" s="348" t="s">
        <v>406</v>
      </c>
      <c r="F1" s="349"/>
      <c r="G1" s="4" t="s">
        <v>2</v>
      </c>
      <c r="Q1" s="349"/>
      <c r="R1" s="349"/>
      <c r="S1" s="349"/>
      <c r="T1" s="349"/>
      <c r="U1" s="349"/>
    </row>
    <row r="2">
      <c r="A2" s="350" t="s">
        <v>3</v>
      </c>
      <c r="C2" s="348" t="s">
        <v>170</v>
      </c>
      <c r="F2" s="349"/>
      <c r="Q2" s="349"/>
      <c r="R2" s="349"/>
      <c r="S2" s="349"/>
      <c r="T2" s="349"/>
      <c r="U2" s="349"/>
    </row>
    <row r="3">
      <c r="A3" s="350" t="s">
        <v>5</v>
      </c>
      <c r="C3" s="351"/>
      <c r="F3" s="349"/>
      <c r="Q3" s="349"/>
      <c r="R3" s="349"/>
      <c r="S3" s="349"/>
      <c r="T3" s="349"/>
      <c r="U3" s="349"/>
    </row>
    <row r="4">
      <c r="A4" s="352" t="s">
        <v>6</v>
      </c>
      <c r="B4" s="192"/>
      <c r="C4" s="353"/>
      <c r="D4" s="192"/>
      <c r="E4" s="192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</row>
    <row r="5">
      <c r="A5" s="262" t="s">
        <v>7</v>
      </c>
      <c r="B5" s="263"/>
      <c r="C5" s="264"/>
      <c r="D5" s="262" t="s">
        <v>8</v>
      </c>
      <c r="E5" s="263"/>
      <c r="F5" s="264"/>
      <c r="G5" s="262" t="s">
        <v>9</v>
      </c>
      <c r="H5" s="263"/>
      <c r="I5" s="264"/>
      <c r="J5" s="262" t="s">
        <v>10</v>
      </c>
      <c r="K5" s="263"/>
      <c r="L5" s="264"/>
      <c r="M5" s="265" t="s">
        <v>11</v>
      </c>
      <c r="N5" s="263"/>
      <c r="O5" s="264"/>
      <c r="P5" s="262" t="s">
        <v>12</v>
      </c>
      <c r="Q5" s="263"/>
      <c r="R5" s="264"/>
      <c r="S5" s="265" t="s">
        <v>13</v>
      </c>
      <c r="T5" s="263"/>
      <c r="U5" s="264"/>
    </row>
    <row r="6">
      <c r="A6" s="355"/>
      <c r="B6" s="263"/>
      <c r="C6" s="264"/>
      <c r="D6" s="356"/>
      <c r="E6" s="192"/>
      <c r="F6" s="357"/>
      <c r="G6" s="355"/>
      <c r="H6" s="263"/>
      <c r="I6" s="264"/>
      <c r="J6" s="355"/>
      <c r="K6" s="263"/>
      <c r="L6" s="264"/>
      <c r="M6" s="358">
        <v>46143.0</v>
      </c>
      <c r="N6" s="263"/>
      <c r="O6" s="264"/>
      <c r="P6" s="359">
        <f>M6+1</f>
        <v>46144</v>
      </c>
      <c r="Q6" s="192"/>
      <c r="R6" s="357"/>
      <c r="S6" s="360">
        <f>P6+1</f>
        <v>46145</v>
      </c>
      <c r="T6" s="192"/>
      <c r="U6" s="357"/>
    </row>
    <row r="7">
      <c r="A7" s="361"/>
      <c r="B7" s="362"/>
      <c r="C7" s="362"/>
      <c r="D7" s="361"/>
      <c r="E7" s="362"/>
      <c r="F7" s="362"/>
      <c r="G7" s="361"/>
      <c r="H7" s="362"/>
      <c r="I7" s="362"/>
      <c r="J7" s="361"/>
      <c r="K7" s="362"/>
      <c r="L7" s="362"/>
      <c r="M7" s="361"/>
      <c r="N7" s="362"/>
      <c r="O7" s="362"/>
      <c r="P7" s="361"/>
      <c r="Q7" s="362"/>
      <c r="R7" s="362"/>
      <c r="S7" s="361"/>
      <c r="T7" s="362"/>
      <c r="U7" s="362"/>
    </row>
    <row r="8">
      <c r="A8" s="361"/>
      <c r="B8" s="362"/>
      <c r="C8" s="362"/>
      <c r="D8" s="361"/>
      <c r="E8" s="362"/>
      <c r="F8" s="362"/>
      <c r="G8" s="361"/>
      <c r="H8" s="362"/>
      <c r="I8" s="362"/>
      <c r="J8" s="361"/>
      <c r="K8" s="362"/>
      <c r="L8" s="362"/>
      <c r="M8" s="361"/>
      <c r="N8" s="362"/>
      <c r="O8" s="362"/>
      <c r="P8" s="361"/>
      <c r="Q8" s="362"/>
      <c r="R8" s="362"/>
      <c r="S8" s="361"/>
      <c r="T8" s="362"/>
      <c r="U8" s="362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>
      <c r="A10" s="361"/>
      <c r="B10" s="362"/>
      <c r="C10" s="362"/>
      <c r="D10" s="361"/>
      <c r="E10" s="362"/>
      <c r="F10" s="362"/>
      <c r="G10" s="361"/>
      <c r="H10" s="362"/>
      <c r="I10" s="362"/>
      <c r="J10" s="361"/>
      <c r="K10" s="362"/>
      <c r="L10" s="362"/>
      <c r="M10" s="361"/>
      <c r="N10" s="362"/>
      <c r="O10" s="362"/>
      <c r="P10" s="361"/>
      <c r="Q10" s="362"/>
      <c r="R10" s="362"/>
      <c r="S10" s="361"/>
      <c r="T10" s="362"/>
      <c r="U10" s="362"/>
    </row>
    <row r="11">
      <c r="A11" s="361"/>
      <c r="B11" s="362"/>
      <c r="C11" s="362"/>
      <c r="D11" s="361"/>
      <c r="E11" s="362"/>
      <c r="F11" s="362"/>
      <c r="G11" s="361"/>
      <c r="H11" s="362"/>
      <c r="I11" s="362"/>
      <c r="J11" s="361"/>
      <c r="K11" s="362"/>
      <c r="L11" s="362"/>
      <c r="M11" s="361"/>
      <c r="N11" s="362"/>
      <c r="O11" s="362"/>
      <c r="P11" s="361"/>
      <c r="Q11" s="362"/>
      <c r="R11" s="362"/>
      <c r="S11" s="361"/>
      <c r="T11" s="362"/>
      <c r="U11" s="362"/>
    </row>
    <row r="12">
      <c r="A12" s="364"/>
      <c r="B12" s="365"/>
      <c r="C12" s="365"/>
      <c r="D12" s="364"/>
      <c r="E12" s="365"/>
      <c r="F12" s="365"/>
      <c r="G12" s="364"/>
      <c r="H12" s="365"/>
      <c r="I12" s="365"/>
      <c r="J12" s="364"/>
      <c r="K12" s="365"/>
      <c r="L12" s="365"/>
      <c r="M12" s="364"/>
      <c r="N12" s="365"/>
      <c r="O12" s="365"/>
      <c r="P12" s="364"/>
      <c r="Q12" s="365"/>
      <c r="R12" s="365"/>
      <c r="S12" s="364"/>
      <c r="T12" s="365"/>
      <c r="U12" s="365"/>
    </row>
    <row r="13">
      <c r="A13" s="366" t="s">
        <v>7</v>
      </c>
      <c r="B13" s="192"/>
      <c r="C13" s="357"/>
      <c r="D13" s="367" t="s">
        <v>8</v>
      </c>
      <c r="E13" s="192"/>
      <c r="F13" s="357"/>
      <c r="G13" s="367" t="s">
        <v>9</v>
      </c>
      <c r="H13" s="192"/>
      <c r="I13" s="357"/>
      <c r="J13" s="367" t="s">
        <v>10</v>
      </c>
      <c r="K13" s="192"/>
      <c r="L13" s="357"/>
      <c r="M13" s="367" t="s">
        <v>11</v>
      </c>
      <c r="N13" s="192"/>
      <c r="O13" s="357"/>
      <c r="P13" s="367" t="s">
        <v>12</v>
      </c>
      <c r="Q13" s="192"/>
      <c r="R13" s="357"/>
      <c r="S13" s="368" t="s">
        <v>13</v>
      </c>
      <c r="T13" s="192"/>
      <c r="U13" s="357"/>
    </row>
    <row r="14">
      <c r="A14" s="369">
        <f>S6+1</f>
        <v>46146</v>
      </c>
      <c r="B14" s="192"/>
      <c r="C14" s="357"/>
      <c r="D14" s="370">
        <f>A14+1</f>
        <v>46147</v>
      </c>
      <c r="E14" s="192"/>
      <c r="F14" s="357"/>
      <c r="G14" s="370">
        <f>D14+1</f>
        <v>46148</v>
      </c>
      <c r="H14" s="192"/>
      <c r="I14" s="357"/>
      <c r="J14" s="370">
        <f>G14+1</f>
        <v>46149</v>
      </c>
      <c r="K14" s="192"/>
      <c r="L14" s="357"/>
      <c r="M14" s="370">
        <f>J14+1</f>
        <v>46150</v>
      </c>
      <c r="N14" s="192"/>
      <c r="O14" s="357"/>
      <c r="P14" s="370">
        <f>M14+1</f>
        <v>46151</v>
      </c>
      <c r="Q14" s="192"/>
      <c r="R14" s="357"/>
      <c r="S14" s="371">
        <f>P14+1</f>
        <v>46152</v>
      </c>
      <c r="T14" s="192"/>
      <c r="U14" s="357"/>
    </row>
    <row r="15">
      <c r="A15" s="361"/>
      <c r="B15" s="362"/>
      <c r="C15" s="362"/>
      <c r="D15" s="361"/>
      <c r="E15" s="362"/>
      <c r="F15" s="362"/>
      <c r="G15" s="361"/>
      <c r="H15" s="362"/>
      <c r="I15" s="362"/>
      <c r="J15" s="361"/>
      <c r="K15" s="362"/>
      <c r="L15" s="362"/>
      <c r="M15" s="361"/>
      <c r="N15" s="362"/>
      <c r="O15" s="362"/>
      <c r="P15" s="361"/>
      <c r="Q15" s="362"/>
      <c r="R15" s="362"/>
      <c r="S15" s="361"/>
      <c r="T15" s="362"/>
      <c r="U15" s="362"/>
    </row>
    <row r="16">
      <c r="A16" s="361"/>
      <c r="B16" s="362"/>
      <c r="C16" s="362"/>
      <c r="D16" s="361"/>
      <c r="E16" s="362"/>
      <c r="F16" s="362"/>
      <c r="G16" s="361"/>
      <c r="H16" s="362"/>
      <c r="I16" s="362"/>
      <c r="J16" s="361"/>
      <c r="K16" s="362"/>
      <c r="L16" s="362"/>
      <c r="M16" s="361"/>
      <c r="N16" s="362"/>
      <c r="O16" s="362"/>
      <c r="P16" s="373"/>
      <c r="Q16" s="374"/>
      <c r="R16" s="375"/>
      <c r="S16" s="361"/>
      <c r="T16" s="362"/>
      <c r="U16" s="362"/>
    </row>
    <row r="17">
      <c r="A17" s="399"/>
      <c r="B17" s="399"/>
      <c r="C17" s="36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98"/>
      <c r="Q17" s="101"/>
      <c r="R17" s="98"/>
      <c r="S17" s="63"/>
      <c r="T17" s="63"/>
      <c r="U17" s="63"/>
    </row>
    <row r="18">
      <c r="A18" s="361"/>
      <c r="B18" s="362"/>
      <c r="C18" s="362"/>
      <c r="D18" s="361"/>
      <c r="E18" s="362"/>
      <c r="F18" s="362"/>
      <c r="G18" s="361"/>
      <c r="H18" s="362"/>
      <c r="I18" s="362"/>
      <c r="J18" s="361"/>
      <c r="K18" s="362"/>
      <c r="L18" s="362"/>
      <c r="M18" s="361"/>
      <c r="N18" s="362"/>
      <c r="O18" s="362"/>
      <c r="P18" s="361"/>
      <c r="Q18" s="362"/>
      <c r="R18" s="362"/>
      <c r="S18" s="361"/>
      <c r="T18" s="362"/>
      <c r="U18" s="362"/>
    </row>
    <row r="19">
      <c r="A19" s="361"/>
      <c r="B19" s="362"/>
      <c r="C19" s="362"/>
      <c r="D19" s="361"/>
      <c r="E19" s="362"/>
      <c r="F19" s="362"/>
      <c r="G19" s="361"/>
      <c r="H19" s="362"/>
      <c r="I19" s="362"/>
      <c r="J19" s="361"/>
      <c r="K19" s="362"/>
      <c r="L19" s="362"/>
      <c r="M19" s="361"/>
      <c r="N19" s="362"/>
      <c r="O19" s="362"/>
      <c r="P19" s="361"/>
      <c r="Q19" s="362"/>
      <c r="R19" s="362"/>
      <c r="S19" s="361"/>
      <c r="T19" s="362"/>
      <c r="U19" s="362"/>
    </row>
    <row r="20">
      <c r="A20" s="364"/>
      <c r="B20" s="365"/>
      <c r="C20" s="365"/>
      <c r="D20" s="364"/>
      <c r="E20" s="365"/>
      <c r="F20" s="365"/>
      <c r="G20" s="364"/>
      <c r="H20" s="365"/>
      <c r="I20" s="365"/>
      <c r="J20" s="364"/>
      <c r="K20" s="365"/>
      <c r="L20" s="365"/>
      <c r="M20" s="364"/>
      <c r="N20" s="365"/>
      <c r="O20" s="365"/>
      <c r="P20" s="364"/>
      <c r="Q20" s="365"/>
      <c r="R20" s="365"/>
      <c r="S20" s="364"/>
      <c r="T20" s="365"/>
      <c r="U20" s="365"/>
    </row>
    <row r="21">
      <c r="A21" s="376" t="s">
        <v>7</v>
      </c>
      <c r="B21" s="192"/>
      <c r="C21" s="357"/>
      <c r="D21" s="377" t="s">
        <v>8</v>
      </c>
      <c r="E21" s="192"/>
      <c r="F21" s="357"/>
      <c r="G21" s="377" t="s">
        <v>9</v>
      </c>
      <c r="H21" s="192"/>
      <c r="I21" s="357"/>
      <c r="J21" s="377" t="s">
        <v>10</v>
      </c>
      <c r="K21" s="192"/>
      <c r="L21" s="357"/>
      <c r="M21" s="377" t="s">
        <v>11</v>
      </c>
      <c r="N21" s="192"/>
      <c r="O21" s="357"/>
      <c r="P21" s="377" t="s">
        <v>12</v>
      </c>
      <c r="Q21" s="192"/>
      <c r="R21" s="357"/>
      <c r="S21" s="378" t="s">
        <v>13</v>
      </c>
      <c r="T21" s="192"/>
      <c r="U21" s="357"/>
    </row>
    <row r="22">
      <c r="A22" s="379">
        <f>S14+1</f>
        <v>46153</v>
      </c>
      <c r="B22" s="192"/>
      <c r="C22" s="357"/>
      <c r="D22" s="359">
        <f>A22+1</f>
        <v>46154</v>
      </c>
      <c r="E22" s="192"/>
      <c r="F22" s="357"/>
      <c r="G22" s="359">
        <f>D22+1</f>
        <v>46155</v>
      </c>
      <c r="H22" s="192"/>
      <c r="I22" s="357"/>
      <c r="J22" s="359">
        <f>G22+1</f>
        <v>46156</v>
      </c>
      <c r="K22" s="192"/>
      <c r="L22" s="357"/>
      <c r="M22" s="359">
        <f>J22+1</f>
        <v>46157</v>
      </c>
      <c r="N22" s="192"/>
      <c r="O22" s="357"/>
      <c r="P22" s="359">
        <f>M22+1</f>
        <v>46158</v>
      </c>
      <c r="Q22" s="192"/>
      <c r="R22" s="357"/>
      <c r="S22" s="360">
        <f>P22+1</f>
        <v>46159</v>
      </c>
      <c r="T22" s="192"/>
      <c r="U22" s="357"/>
    </row>
    <row r="23">
      <c r="A23" s="361"/>
      <c r="B23" s="362"/>
      <c r="C23" s="362"/>
      <c r="D23" s="361"/>
      <c r="E23" s="362"/>
      <c r="F23" s="362"/>
      <c r="G23" s="361"/>
      <c r="H23" s="362"/>
      <c r="I23" s="362"/>
      <c r="J23" s="361"/>
      <c r="K23" s="362"/>
      <c r="L23" s="362"/>
      <c r="M23" s="361"/>
      <c r="N23" s="362"/>
      <c r="O23" s="362"/>
      <c r="P23" s="361"/>
      <c r="Q23" s="362"/>
      <c r="R23" s="362"/>
      <c r="S23" s="361"/>
      <c r="T23" s="362"/>
      <c r="U23" s="362"/>
    </row>
    <row r="24">
      <c r="A24" s="361"/>
      <c r="B24" s="362"/>
      <c r="C24" s="362"/>
      <c r="D24" s="361"/>
      <c r="E24" s="362"/>
      <c r="F24" s="362"/>
      <c r="G24" s="361"/>
      <c r="H24" s="362"/>
      <c r="I24" s="362"/>
      <c r="J24" s="361"/>
      <c r="K24" s="362"/>
      <c r="L24" s="362"/>
      <c r="M24" s="361"/>
      <c r="N24" s="362"/>
      <c r="O24" s="362"/>
      <c r="P24" s="361"/>
      <c r="Q24" s="362"/>
      <c r="R24" s="362"/>
      <c r="S24" s="361"/>
      <c r="T24" s="362"/>
      <c r="U24" s="362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</row>
    <row r="26">
      <c r="A26" s="361"/>
      <c r="B26" s="362"/>
      <c r="C26" s="362"/>
      <c r="D26" s="361"/>
      <c r="E26" s="362"/>
      <c r="F26" s="362"/>
      <c r="G26" s="361"/>
      <c r="H26" s="362"/>
      <c r="I26" s="362"/>
      <c r="J26" s="361"/>
      <c r="K26" s="362"/>
      <c r="L26" s="362"/>
      <c r="M26" s="361"/>
      <c r="N26" s="362"/>
      <c r="O26" s="362"/>
      <c r="P26" s="361"/>
      <c r="Q26" s="362"/>
      <c r="R26" s="362"/>
      <c r="S26" s="361"/>
      <c r="T26" s="362"/>
      <c r="U26" s="362"/>
    </row>
    <row r="27">
      <c r="A27" s="361"/>
      <c r="B27" s="362"/>
      <c r="C27" s="362"/>
      <c r="D27" s="361"/>
      <c r="E27" s="362"/>
      <c r="F27" s="362"/>
      <c r="G27" s="361"/>
      <c r="H27" s="362"/>
      <c r="I27" s="362"/>
      <c r="J27" s="361"/>
      <c r="K27" s="362"/>
      <c r="L27" s="362"/>
      <c r="M27" s="361"/>
      <c r="N27" s="362"/>
      <c r="O27" s="362"/>
      <c r="P27" s="361"/>
      <c r="Q27" s="362"/>
      <c r="R27" s="362"/>
      <c r="S27" s="361"/>
      <c r="T27" s="362"/>
      <c r="U27" s="362"/>
    </row>
    <row r="28">
      <c r="A28" s="364"/>
      <c r="B28" s="365"/>
      <c r="C28" s="365"/>
      <c r="D28" s="364"/>
      <c r="E28" s="365"/>
      <c r="F28" s="365"/>
      <c r="G28" s="364"/>
      <c r="H28" s="365"/>
      <c r="I28" s="365"/>
      <c r="J28" s="364"/>
      <c r="K28" s="365"/>
      <c r="L28" s="365"/>
      <c r="M28" s="364"/>
      <c r="N28" s="365"/>
      <c r="O28" s="365"/>
      <c r="P28" s="364"/>
      <c r="Q28" s="365"/>
      <c r="R28" s="365"/>
      <c r="S28" s="364"/>
      <c r="T28" s="365"/>
      <c r="U28" s="365"/>
    </row>
    <row r="29">
      <c r="A29" s="366" t="s">
        <v>7</v>
      </c>
      <c r="B29" s="192"/>
      <c r="C29" s="357"/>
      <c r="D29" s="367" t="s">
        <v>8</v>
      </c>
      <c r="E29" s="192"/>
      <c r="F29" s="357"/>
      <c r="G29" s="367" t="s">
        <v>9</v>
      </c>
      <c r="H29" s="192"/>
      <c r="I29" s="357"/>
      <c r="J29" s="367" t="s">
        <v>10</v>
      </c>
      <c r="K29" s="192"/>
      <c r="L29" s="357"/>
      <c r="M29" s="367" t="s">
        <v>11</v>
      </c>
      <c r="N29" s="192"/>
      <c r="O29" s="357"/>
      <c r="P29" s="367" t="s">
        <v>12</v>
      </c>
      <c r="Q29" s="192"/>
      <c r="R29" s="357"/>
      <c r="S29" s="368" t="s">
        <v>13</v>
      </c>
      <c r="T29" s="192"/>
      <c r="U29" s="357"/>
    </row>
    <row r="30">
      <c r="A30" s="380">
        <f>S22+1</f>
        <v>46160</v>
      </c>
      <c r="B30" s="192"/>
      <c r="C30" s="357"/>
      <c r="D30" s="381">
        <f>A30+1</f>
        <v>46161</v>
      </c>
      <c r="E30" s="192"/>
      <c r="F30" s="357"/>
      <c r="G30" s="381">
        <f>D30+1</f>
        <v>46162</v>
      </c>
      <c r="H30" s="192"/>
      <c r="I30" s="357"/>
      <c r="J30" s="381">
        <f>G30+1</f>
        <v>46163</v>
      </c>
      <c r="K30" s="192"/>
      <c r="L30" s="357"/>
      <c r="M30" s="381">
        <f>J30+1</f>
        <v>46164</v>
      </c>
      <c r="N30" s="192"/>
      <c r="O30" s="357"/>
      <c r="P30" s="381">
        <f>M30+1</f>
        <v>46165</v>
      </c>
      <c r="Q30" s="192"/>
      <c r="R30" s="357"/>
      <c r="S30" s="382">
        <f>P30+1</f>
        <v>46166</v>
      </c>
      <c r="T30" s="192"/>
      <c r="U30" s="357"/>
    </row>
    <row r="31">
      <c r="A31" s="361"/>
      <c r="B31" s="362"/>
      <c r="C31" s="362"/>
      <c r="D31" s="361"/>
      <c r="E31" s="362"/>
      <c r="F31" s="362"/>
      <c r="G31" s="361"/>
      <c r="H31" s="362"/>
      <c r="I31" s="362"/>
      <c r="J31" s="361"/>
      <c r="K31" s="362"/>
      <c r="L31" s="362"/>
      <c r="M31" s="361"/>
      <c r="N31" s="362"/>
      <c r="O31" s="362"/>
      <c r="P31" s="361"/>
      <c r="Q31" s="362"/>
      <c r="R31" s="362"/>
      <c r="S31" s="361"/>
      <c r="T31" s="362"/>
      <c r="U31" s="362"/>
    </row>
    <row r="32">
      <c r="A32" s="361"/>
      <c r="B32" s="362"/>
      <c r="C32" s="362"/>
      <c r="D32" s="361"/>
      <c r="E32" s="362"/>
      <c r="F32" s="362"/>
      <c r="G32" s="361"/>
      <c r="H32" s="362"/>
      <c r="I32" s="362"/>
      <c r="J32" s="394" t="s">
        <v>407</v>
      </c>
      <c r="K32" s="363" t="s">
        <v>408</v>
      </c>
      <c r="L32" s="363" t="s">
        <v>153</v>
      </c>
      <c r="M32" s="361"/>
      <c r="N32" s="362"/>
      <c r="O32" s="362"/>
      <c r="P32" s="400" t="s">
        <v>409</v>
      </c>
      <c r="Q32" s="374"/>
      <c r="R32" s="375"/>
      <c r="S32" s="361"/>
      <c r="T32" s="362"/>
      <c r="U32" s="362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98"/>
      <c r="Q33" s="101"/>
      <c r="R33" s="98"/>
      <c r="S33" s="63"/>
      <c r="T33" s="63"/>
      <c r="U33" s="63"/>
    </row>
    <row r="34">
      <c r="A34" s="361"/>
      <c r="B34" s="362"/>
      <c r="C34" s="362"/>
      <c r="D34" s="361"/>
      <c r="E34" s="362"/>
      <c r="F34" s="362"/>
      <c r="G34" s="361"/>
      <c r="H34" s="362"/>
      <c r="I34" s="362"/>
      <c r="J34" s="361"/>
      <c r="K34" s="362"/>
      <c r="L34" s="362"/>
      <c r="M34" s="361"/>
      <c r="N34" s="362"/>
      <c r="O34" s="362"/>
      <c r="P34" s="361"/>
      <c r="Q34" s="362"/>
      <c r="R34" s="362"/>
      <c r="S34" s="361"/>
      <c r="T34" s="362"/>
      <c r="U34" s="362"/>
    </row>
    <row r="35">
      <c r="A35" s="361"/>
      <c r="B35" s="362"/>
      <c r="C35" s="362"/>
      <c r="D35" s="361"/>
      <c r="E35" s="362"/>
      <c r="F35" s="362"/>
      <c r="G35" s="361"/>
      <c r="H35" s="362"/>
      <c r="I35" s="362"/>
      <c r="J35" s="361"/>
      <c r="K35" s="362"/>
      <c r="L35" s="362"/>
      <c r="M35" s="361"/>
      <c r="N35" s="362"/>
      <c r="O35" s="362"/>
      <c r="P35" s="361"/>
      <c r="Q35" s="362"/>
      <c r="R35" s="362"/>
      <c r="S35" s="361"/>
      <c r="T35" s="362"/>
      <c r="U35" s="362"/>
    </row>
    <row r="36">
      <c r="A36" s="364"/>
      <c r="B36" s="365"/>
      <c r="C36" s="365"/>
      <c r="D36" s="364"/>
      <c r="E36" s="365"/>
      <c r="F36" s="365"/>
      <c r="G36" s="364"/>
      <c r="H36" s="365"/>
      <c r="I36" s="365"/>
      <c r="J36" s="364"/>
      <c r="K36" s="365"/>
      <c r="L36" s="365"/>
      <c r="M36" s="364"/>
      <c r="N36" s="365"/>
      <c r="O36" s="365"/>
      <c r="P36" s="364"/>
      <c r="Q36" s="365"/>
      <c r="R36" s="365"/>
      <c r="S36" s="364"/>
      <c r="T36" s="365"/>
      <c r="U36" s="365"/>
    </row>
    <row r="37">
      <c r="A37" s="376" t="s">
        <v>7</v>
      </c>
      <c r="B37" s="192"/>
      <c r="C37" s="357"/>
      <c r="D37" s="377" t="s">
        <v>8</v>
      </c>
      <c r="E37" s="192"/>
      <c r="F37" s="357"/>
      <c r="G37" s="377" t="s">
        <v>9</v>
      </c>
      <c r="H37" s="192"/>
      <c r="I37" s="357"/>
      <c r="J37" s="377" t="s">
        <v>10</v>
      </c>
      <c r="K37" s="192"/>
      <c r="L37" s="357"/>
      <c r="M37" s="377"/>
      <c r="N37" s="192"/>
      <c r="O37" s="357"/>
      <c r="P37" s="377"/>
      <c r="Q37" s="192"/>
      <c r="R37" s="357"/>
      <c r="S37" s="378"/>
      <c r="T37" s="192"/>
      <c r="U37" s="357"/>
    </row>
    <row r="38">
      <c r="A38" s="379">
        <f>S30+1</f>
        <v>46167</v>
      </c>
      <c r="B38" s="192"/>
      <c r="C38" s="357"/>
      <c r="D38" s="359">
        <f>A38+1</f>
        <v>46168</v>
      </c>
      <c r="E38" s="192"/>
      <c r="F38" s="357"/>
      <c r="G38" s="359">
        <f>D38+1</f>
        <v>46169</v>
      </c>
      <c r="H38" s="192"/>
      <c r="I38" s="357"/>
      <c r="J38" s="359">
        <f>G38+1</f>
        <v>46170</v>
      </c>
      <c r="K38" s="192"/>
      <c r="L38" s="357"/>
      <c r="M38" s="359"/>
      <c r="N38" s="192"/>
      <c r="O38" s="357"/>
      <c r="P38" s="359"/>
      <c r="Q38" s="192"/>
      <c r="R38" s="357"/>
      <c r="S38" s="360"/>
      <c r="T38" s="192"/>
      <c r="U38" s="357"/>
    </row>
    <row r="39">
      <c r="A39" s="361"/>
      <c r="B39" s="362"/>
      <c r="C39" s="362"/>
      <c r="D39" s="361"/>
      <c r="E39" s="362"/>
      <c r="F39" s="362"/>
      <c r="G39" s="361"/>
      <c r="H39" s="362"/>
      <c r="I39" s="362"/>
      <c r="J39" s="361"/>
      <c r="K39" s="362"/>
      <c r="L39" s="362"/>
      <c r="M39" s="361"/>
      <c r="N39" s="362"/>
      <c r="O39" s="362"/>
      <c r="P39" s="361"/>
      <c r="Q39" s="362"/>
      <c r="R39" s="362"/>
      <c r="S39" s="361"/>
      <c r="T39" s="362"/>
      <c r="U39" s="362"/>
    </row>
    <row r="40">
      <c r="A40" s="361"/>
      <c r="B40" s="362"/>
      <c r="C40" s="362"/>
      <c r="D40" s="361"/>
      <c r="E40" s="362"/>
      <c r="F40" s="362"/>
      <c r="G40" s="361"/>
      <c r="H40" s="362"/>
      <c r="I40" s="362"/>
      <c r="J40" s="361"/>
      <c r="K40" s="362"/>
      <c r="L40" s="362"/>
      <c r="M40" s="361"/>
      <c r="N40" s="362"/>
      <c r="O40" s="362"/>
      <c r="P40" s="361"/>
      <c r="Q40" s="362"/>
      <c r="R40" s="362"/>
      <c r="S40" s="361"/>
      <c r="T40" s="362"/>
      <c r="U40" s="362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</row>
    <row r="42">
      <c r="A42" s="361"/>
      <c r="B42" s="362"/>
      <c r="C42" s="362"/>
      <c r="D42" s="361"/>
      <c r="E42" s="362"/>
      <c r="F42" s="362"/>
      <c r="G42" s="401" t="s">
        <v>14</v>
      </c>
      <c r="H42" s="263"/>
      <c r="I42" s="264"/>
      <c r="J42" s="361"/>
      <c r="K42" s="362"/>
      <c r="L42" s="362"/>
      <c r="M42" s="361"/>
      <c r="N42" s="362"/>
      <c r="O42" s="362"/>
      <c r="P42" s="361"/>
      <c r="Q42" s="362"/>
      <c r="R42" s="362"/>
      <c r="S42" s="361"/>
      <c r="T42" s="362"/>
      <c r="U42" s="362"/>
    </row>
    <row r="43">
      <c r="A43" s="361"/>
      <c r="B43" s="362"/>
      <c r="C43" s="362"/>
      <c r="D43" s="361"/>
      <c r="E43" s="362"/>
      <c r="F43" s="362"/>
      <c r="G43" s="361"/>
      <c r="H43" s="362"/>
      <c r="I43" s="362"/>
      <c r="J43" s="361"/>
      <c r="K43" s="362"/>
      <c r="L43" s="362"/>
      <c r="M43" s="361"/>
      <c r="N43" s="362"/>
      <c r="O43" s="362"/>
      <c r="P43" s="361"/>
      <c r="Q43" s="362"/>
      <c r="R43" s="362"/>
      <c r="S43" s="361"/>
      <c r="T43" s="362"/>
      <c r="U43" s="362"/>
    </row>
    <row r="44">
      <c r="A44" s="364"/>
      <c r="B44" s="365"/>
      <c r="C44" s="365"/>
      <c r="D44" s="364"/>
      <c r="E44" s="365"/>
      <c r="F44" s="365"/>
      <c r="G44" s="364"/>
      <c r="H44" s="365"/>
      <c r="I44" s="365"/>
      <c r="J44" s="364"/>
      <c r="K44" s="365"/>
      <c r="L44" s="365"/>
      <c r="M44" s="364"/>
      <c r="N44" s="365"/>
      <c r="O44" s="365"/>
      <c r="P44" s="364"/>
      <c r="Q44" s="365"/>
      <c r="R44" s="365"/>
      <c r="S44" s="364"/>
      <c r="T44" s="365"/>
      <c r="U44" s="365"/>
    </row>
    <row r="45">
      <c r="A45" s="366"/>
      <c r="B45" s="192"/>
      <c r="C45" s="357"/>
      <c r="D45" s="367"/>
      <c r="E45" s="192"/>
      <c r="F45" s="357"/>
      <c r="G45" s="367"/>
      <c r="H45" s="192"/>
      <c r="I45" s="357"/>
      <c r="J45" s="367"/>
      <c r="K45" s="192"/>
      <c r="L45" s="357"/>
      <c r="M45" s="367"/>
      <c r="N45" s="192"/>
      <c r="O45" s="357"/>
      <c r="P45" s="367"/>
      <c r="Q45" s="192"/>
      <c r="R45" s="357"/>
      <c r="S45" s="383"/>
      <c r="T45" s="192"/>
      <c r="U45" s="357"/>
    </row>
    <row r="46">
      <c r="A46" s="380"/>
      <c r="B46" s="192"/>
      <c r="C46" s="357"/>
      <c r="D46" s="381"/>
      <c r="E46" s="192"/>
      <c r="F46" s="357"/>
      <c r="G46" s="381"/>
      <c r="H46" s="192"/>
      <c r="I46" s="357"/>
      <c r="J46" s="381"/>
      <c r="K46" s="192"/>
      <c r="L46" s="357"/>
      <c r="M46" s="381"/>
      <c r="N46" s="192"/>
      <c r="O46" s="357"/>
      <c r="P46" s="381"/>
      <c r="Q46" s="192"/>
      <c r="R46" s="357"/>
      <c r="S46" s="384"/>
      <c r="T46" s="192"/>
      <c r="U46" s="357"/>
    </row>
    <row r="47">
      <c r="A47" s="385"/>
      <c r="B47" s="385"/>
      <c r="C47" s="385"/>
      <c r="D47" s="386"/>
      <c r="E47" s="386"/>
      <c r="F47" s="386"/>
      <c r="G47" s="365"/>
      <c r="H47" s="387"/>
      <c r="I47" s="387"/>
      <c r="J47" s="388"/>
      <c r="K47" s="388"/>
      <c r="L47" s="388"/>
      <c r="M47" s="389"/>
      <c r="N47" s="389"/>
      <c r="O47" s="389"/>
      <c r="P47" s="389"/>
      <c r="Q47" s="389"/>
      <c r="R47" s="389"/>
      <c r="S47" s="388"/>
      <c r="T47" s="388"/>
      <c r="U47" s="388"/>
    </row>
    <row r="48">
      <c r="A48" s="386"/>
      <c r="B48" s="386"/>
      <c r="C48" s="386"/>
      <c r="D48" s="390"/>
      <c r="E48" s="390"/>
      <c r="F48" s="390"/>
      <c r="G48" s="389"/>
      <c r="H48" s="389"/>
      <c r="I48" s="389"/>
      <c r="J48" s="388"/>
      <c r="K48" s="388"/>
      <c r="L48" s="388"/>
      <c r="M48" s="391"/>
      <c r="N48" s="391"/>
      <c r="O48" s="391"/>
      <c r="P48" s="389"/>
      <c r="Q48" s="389"/>
      <c r="R48" s="389"/>
      <c r="S48" s="389"/>
      <c r="T48" s="389"/>
      <c r="U48" s="389"/>
    </row>
    <row r="49">
      <c r="A49" s="386"/>
      <c r="B49" s="386"/>
      <c r="C49" s="386"/>
      <c r="D49" s="386"/>
      <c r="E49" s="386"/>
      <c r="F49" s="386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</row>
    <row r="50">
      <c r="A50" s="389"/>
      <c r="B50" s="389"/>
      <c r="C50" s="389"/>
      <c r="D50" s="386"/>
      <c r="E50" s="386"/>
      <c r="F50" s="386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8"/>
      <c r="T50" s="388"/>
      <c r="U50" s="388"/>
    </row>
    <row r="51">
      <c r="A51" s="385"/>
      <c r="B51" s="385"/>
      <c r="C51" s="385"/>
      <c r="D51" s="392"/>
      <c r="E51" s="392"/>
      <c r="F51" s="392"/>
      <c r="G51" s="389"/>
      <c r="H51" s="389"/>
      <c r="I51" s="388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</row>
    <row r="52">
      <c r="A52" s="393"/>
      <c r="B52" s="388"/>
      <c r="C52" s="388"/>
      <c r="D52" s="389"/>
      <c r="E52" s="389"/>
      <c r="F52" s="389"/>
      <c r="G52" s="388"/>
      <c r="H52" s="388"/>
      <c r="I52" s="388"/>
      <c r="J52" s="389"/>
      <c r="K52" s="389"/>
      <c r="L52" s="389"/>
      <c r="M52" s="388"/>
      <c r="N52" s="388"/>
      <c r="O52" s="388"/>
      <c r="P52" s="389"/>
      <c r="Q52" s="389"/>
      <c r="R52" s="389"/>
      <c r="S52" s="388"/>
      <c r="T52" s="388"/>
      <c r="U52" s="388"/>
    </row>
    <row r="53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</row>
    <row r="63">
      <c r="L63" s="75" t="s">
        <v>0</v>
      </c>
    </row>
  </sheetData>
  <mergeCells count="94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G42:I42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11.29"/>
    <col customWidth="1" min="21" max="21" width="7.86"/>
  </cols>
  <sheetData>
    <row r="1">
      <c r="A1" s="350" t="s">
        <v>69</v>
      </c>
      <c r="C1" s="348" t="s">
        <v>410</v>
      </c>
      <c r="F1" s="349"/>
      <c r="G1" s="4" t="s">
        <v>2</v>
      </c>
      <c r="Q1" s="349"/>
      <c r="R1" s="349"/>
      <c r="S1" s="349"/>
      <c r="T1" s="349"/>
      <c r="U1" s="349"/>
    </row>
    <row r="2">
      <c r="A2" s="350" t="s">
        <v>3</v>
      </c>
      <c r="C2" s="348" t="s">
        <v>170</v>
      </c>
      <c r="F2" s="349"/>
      <c r="Q2" s="349"/>
      <c r="R2" s="349"/>
      <c r="S2" s="349"/>
      <c r="T2" s="349"/>
      <c r="U2" s="349"/>
    </row>
    <row r="3">
      <c r="A3" s="350" t="s">
        <v>5</v>
      </c>
      <c r="C3" s="351"/>
      <c r="F3" s="349"/>
      <c r="Q3" s="349"/>
      <c r="R3" s="349"/>
      <c r="S3" s="349"/>
      <c r="T3" s="349"/>
      <c r="U3" s="349"/>
    </row>
    <row r="4">
      <c r="A4" s="352" t="s">
        <v>6</v>
      </c>
      <c r="B4" s="192"/>
      <c r="C4" s="353"/>
      <c r="D4" s="192"/>
      <c r="E4" s="192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</row>
    <row r="5">
      <c r="A5" s="262" t="s">
        <v>7</v>
      </c>
      <c r="B5" s="263"/>
      <c r="C5" s="264"/>
      <c r="D5" s="262" t="s">
        <v>8</v>
      </c>
      <c r="E5" s="263"/>
      <c r="F5" s="264"/>
      <c r="G5" s="262" t="s">
        <v>9</v>
      </c>
      <c r="H5" s="263"/>
      <c r="I5" s="264"/>
      <c r="J5" s="262" t="s">
        <v>10</v>
      </c>
      <c r="K5" s="263"/>
      <c r="L5" s="264"/>
      <c r="M5" s="265" t="s">
        <v>11</v>
      </c>
      <c r="N5" s="263"/>
      <c r="O5" s="264"/>
      <c r="P5" s="262" t="s">
        <v>12</v>
      </c>
      <c r="Q5" s="263"/>
      <c r="R5" s="264"/>
      <c r="S5" s="265" t="s">
        <v>13</v>
      </c>
      <c r="T5" s="263"/>
      <c r="U5" s="264"/>
    </row>
    <row r="6">
      <c r="A6" s="355"/>
      <c r="B6" s="263"/>
      <c r="C6" s="264"/>
      <c r="D6" s="356"/>
      <c r="E6" s="192"/>
      <c r="F6" s="357"/>
      <c r="G6" s="355"/>
      <c r="H6" s="263"/>
      <c r="I6" s="264"/>
      <c r="J6" s="355"/>
      <c r="K6" s="263"/>
      <c r="L6" s="264"/>
      <c r="M6" s="358">
        <v>46143.0</v>
      </c>
      <c r="N6" s="263"/>
      <c r="O6" s="264"/>
      <c r="P6" s="359">
        <f>M6+1</f>
        <v>46144</v>
      </c>
      <c r="Q6" s="192"/>
      <c r="R6" s="357"/>
      <c r="S6" s="360">
        <f>P6+1</f>
        <v>46145</v>
      </c>
      <c r="T6" s="192"/>
      <c r="U6" s="357"/>
    </row>
    <row r="7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</row>
    <row r="8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1"/>
      <c r="S8" s="361"/>
      <c r="T8" s="361"/>
      <c r="U8" s="361"/>
    </row>
    <row r="9">
      <c r="A9" s="361"/>
      <c r="B9" s="361"/>
      <c r="C9" s="361"/>
      <c r="D9" s="63"/>
      <c r="E9" s="63"/>
      <c r="F9" s="63"/>
      <c r="G9" s="63"/>
      <c r="H9" s="63"/>
      <c r="I9" s="63"/>
      <c r="J9" s="63"/>
      <c r="K9" s="63"/>
      <c r="L9" s="63"/>
      <c r="M9" s="398" t="s">
        <v>411</v>
      </c>
      <c r="N9" s="398" t="s">
        <v>412</v>
      </c>
      <c r="O9" s="394" t="s">
        <v>25</v>
      </c>
      <c r="P9" s="398" t="s">
        <v>411</v>
      </c>
      <c r="Q9" s="398" t="s">
        <v>412</v>
      </c>
      <c r="R9" s="394" t="s">
        <v>25</v>
      </c>
      <c r="S9" s="63"/>
      <c r="T9" s="63"/>
      <c r="U9" s="63"/>
    </row>
    <row r="10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</row>
    <row r="1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</row>
    <row r="12">
      <c r="A12" s="361"/>
      <c r="B12" s="361"/>
      <c r="C12" s="361"/>
      <c r="D12" s="364"/>
      <c r="E12" s="364"/>
      <c r="F12" s="364"/>
      <c r="G12" s="364"/>
      <c r="H12" s="364"/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</row>
    <row r="13">
      <c r="A13" s="366" t="s">
        <v>7</v>
      </c>
      <c r="B13" s="192"/>
      <c r="C13" s="357"/>
      <c r="D13" s="367" t="s">
        <v>8</v>
      </c>
      <c r="E13" s="192"/>
      <c r="F13" s="357"/>
      <c r="G13" s="367" t="s">
        <v>9</v>
      </c>
      <c r="H13" s="192"/>
      <c r="I13" s="357"/>
      <c r="J13" s="367" t="s">
        <v>10</v>
      </c>
      <c r="K13" s="192"/>
      <c r="L13" s="357"/>
      <c r="M13" s="367" t="s">
        <v>11</v>
      </c>
      <c r="N13" s="192"/>
      <c r="O13" s="357"/>
      <c r="P13" s="367" t="s">
        <v>12</v>
      </c>
      <c r="Q13" s="192"/>
      <c r="R13" s="357"/>
      <c r="S13" s="368" t="s">
        <v>13</v>
      </c>
      <c r="T13" s="192"/>
      <c r="U13" s="357"/>
    </row>
    <row r="14">
      <c r="A14" s="369">
        <f>S6+1</f>
        <v>46146</v>
      </c>
      <c r="B14" s="192"/>
      <c r="C14" s="357"/>
      <c r="D14" s="370">
        <f>A14+1</f>
        <v>46147</v>
      </c>
      <c r="E14" s="192"/>
      <c r="F14" s="357"/>
      <c r="G14" s="370">
        <f>D14+1</f>
        <v>46148</v>
      </c>
      <c r="H14" s="192"/>
      <c r="I14" s="357"/>
      <c r="J14" s="370">
        <f>G14+1</f>
        <v>46149</v>
      </c>
      <c r="K14" s="192"/>
      <c r="L14" s="357"/>
      <c r="M14" s="370">
        <f>J14+1</f>
        <v>46150</v>
      </c>
      <c r="N14" s="192"/>
      <c r="O14" s="357"/>
      <c r="P14" s="370">
        <f>M14+1</f>
        <v>46151</v>
      </c>
      <c r="Q14" s="192"/>
      <c r="R14" s="357"/>
      <c r="S14" s="371">
        <f>P14+1</f>
        <v>46152</v>
      </c>
      <c r="T14" s="192"/>
      <c r="U14" s="357"/>
    </row>
    <row r="15">
      <c r="A15" s="361"/>
      <c r="B15" s="362"/>
      <c r="C15" s="362"/>
      <c r="D15" s="361"/>
      <c r="E15" s="362"/>
      <c r="F15" s="362"/>
      <c r="G15" s="361"/>
      <c r="H15" s="362"/>
      <c r="I15" s="362"/>
      <c r="J15" s="361"/>
      <c r="K15" s="362"/>
      <c r="L15" s="362"/>
      <c r="M15" s="361"/>
      <c r="N15" s="362"/>
      <c r="O15" s="362"/>
      <c r="P15" s="361"/>
      <c r="Q15" s="362"/>
      <c r="R15" s="362"/>
      <c r="S15" s="361"/>
      <c r="T15" s="362"/>
      <c r="U15" s="362"/>
    </row>
    <row r="16">
      <c r="A16" s="361"/>
      <c r="B16" s="362"/>
      <c r="C16" s="362"/>
      <c r="D16" s="361"/>
      <c r="E16" s="362"/>
      <c r="F16" s="362"/>
      <c r="G16" s="361"/>
      <c r="H16" s="362"/>
      <c r="I16" s="362"/>
      <c r="J16" s="361"/>
      <c r="K16" s="362"/>
      <c r="L16" s="362"/>
      <c r="M16" s="361"/>
      <c r="N16" s="362"/>
      <c r="O16" s="362"/>
      <c r="P16" s="373" t="s">
        <v>143</v>
      </c>
      <c r="Q16" s="374" t="s">
        <v>63</v>
      </c>
      <c r="R16" s="375" t="s">
        <v>27</v>
      </c>
      <c r="S16" s="361"/>
      <c r="T16" s="362"/>
      <c r="U16" s="362"/>
    </row>
    <row r="17">
      <c r="A17" s="361"/>
      <c r="B17" s="362"/>
      <c r="C17" s="362"/>
      <c r="D17" s="361"/>
      <c r="E17" s="362"/>
      <c r="F17" s="362"/>
      <c r="G17" s="361"/>
      <c r="H17" s="362"/>
      <c r="I17" s="362"/>
      <c r="J17" s="361"/>
      <c r="K17" s="362"/>
      <c r="L17" s="362"/>
      <c r="M17" s="101" t="s">
        <v>328</v>
      </c>
      <c r="N17" s="101" t="s">
        <v>339</v>
      </c>
      <c r="O17" s="101" t="s">
        <v>62</v>
      </c>
      <c r="P17" s="98" t="s">
        <v>263</v>
      </c>
      <c r="Q17" s="101" t="s">
        <v>335</v>
      </c>
      <c r="R17" s="98" t="s">
        <v>25</v>
      </c>
      <c r="S17" s="361"/>
      <c r="T17" s="362"/>
      <c r="U17" s="362"/>
    </row>
    <row r="18">
      <c r="A18" s="398" t="s">
        <v>411</v>
      </c>
      <c r="B18" s="398" t="s">
        <v>412</v>
      </c>
      <c r="C18" s="394" t="s">
        <v>25</v>
      </c>
      <c r="D18" s="398" t="s">
        <v>411</v>
      </c>
      <c r="E18" s="398" t="s">
        <v>412</v>
      </c>
      <c r="F18" s="394" t="s">
        <v>25</v>
      </c>
      <c r="G18" s="361"/>
      <c r="H18" s="362"/>
      <c r="I18" s="362"/>
      <c r="J18" s="361"/>
      <c r="K18" s="362"/>
      <c r="L18" s="362"/>
      <c r="M18" s="361"/>
      <c r="N18" s="362"/>
      <c r="O18" s="362"/>
      <c r="P18" s="361"/>
      <c r="Q18" s="362"/>
      <c r="R18" s="362"/>
      <c r="S18" s="361"/>
      <c r="T18" s="362"/>
      <c r="U18" s="362"/>
    </row>
    <row r="19">
      <c r="A19" s="361"/>
      <c r="B19" s="362"/>
      <c r="C19" s="362"/>
      <c r="D19" s="361"/>
      <c r="E19" s="362"/>
      <c r="F19" s="362"/>
      <c r="G19" s="361"/>
      <c r="H19" s="362"/>
      <c r="I19" s="362"/>
      <c r="J19" s="361"/>
      <c r="K19" s="362"/>
      <c r="L19" s="362"/>
      <c r="M19" s="361"/>
      <c r="N19" s="362"/>
      <c r="O19" s="362"/>
      <c r="P19" s="361"/>
      <c r="Q19" s="362"/>
      <c r="R19" s="362"/>
      <c r="S19" s="361"/>
      <c r="T19" s="362"/>
      <c r="U19" s="362"/>
    </row>
    <row r="20">
      <c r="A20" s="361"/>
      <c r="B20" s="362"/>
      <c r="C20" s="362"/>
      <c r="D20" s="361"/>
      <c r="E20" s="362"/>
      <c r="F20" s="362"/>
      <c r="G20" s="361"/>
      <c r="H20" s="362"/>
      <c r="I20" s="362"/>
      <c r="J20" s="361"/>
      <c r="K20" s="362"/>
      <c r="L20" s="362"/>
      <c r="M20" s="361"/>
      <c r="N20" s="362"/>
      <c r="O20" s="362"/>
      <c r="P20" s="361"/>
      <c r="Q20" s="362"/>
      <c r="R20" s="362"/>
      <c r="S20" s="361"/>
      <c r="T20" s="362"/>
      <c r="U20" s="362"/>
    </row>
    <row r="21">
      <c r="A21" s="376" t="s">
        <v>7</v>
      </c>
      <c r="B21" s="192"/>
      <c r="C21" s="357"/>
      <c r="D21" s="377" t="s">
        <v>8</v>
      </c>
      <c r="E21" s="192"/>
      <c r="F21" s="357"/>
      <c r="G21" s="377" t="s">
        <v>9</v>
      </c>
      <c r="H21" s="192"/>
      <c r="I21" s="357"/>
      <c r="J21" s="378" t="s">
        <v>10</v>
      </c>
      <c r="K21" s="192"/>
      <c r="L21" s="357"/>
      <c r="M21" s="377" t="s">
        <v>11</v>
      </c>
      <c r="N21" s="192"/>
      <c r="O21" s="357"/>
      <c r="P21" s="377" t="s">
        <v>12</v>
      </c>
      <c r="Q21" s="192"/>
      <c r="R21" s="357"/>
      <c r="S21" s="378" t="s">
        <v>13</v>
      </c>
      <c r="T21" s="192"/>
      <c r="U21" s="357"/>
    </row>
    <row r="22">
      <c r="A22" s="379">
        <f>S14+1</f>
        <v>46153</v>
      </c>
      <c r="B22" s="192"/>
      <c r="C22" s="357"/>
      <c r="D22" s="359">
        <f>A22+1</f>
        <v>46154</v>
      </c>
      <c r="E22" s="192"/>
      <c r="F22" s="357"/>
      <c r="G22" s="359">
        <f>D22+1</f>
        <v>46155</v>
      </c>
      <c r="H22" s="192"/>
      <c r="I22" s="357"/>
      <c r="J22" s="360">
        <f>G22+1</f>
        <v>46156</v>
      </c>
      <c r="K22" s="192"/>
      <c r="L22" s="357"/>
      <c r="M22" s="359">
        <f>J22+1</f>
        <v>46157</v>
      </c>
      <c r="N22" s="192"/>
      <c r="O22" s="357"/>
      <c r="P22" s="359">
        <f>M22+1</f>
        <v>46158</v>
      </c>
      <c r="Q22" s="192"/>
      <c r="R22" s="357"/>
      <c r="S22" s="360">
        <f>P22+1</f>
        <v>46159</v>
      </c>
      <c r="T22" s="192"/>
      <c r="U22" s="357"/>
    </row>
    <row r="23">
      <c r="A23" s="361"/>
      <c r="B23" s="362"/>
      <c r="C23" s="362"/>
      <c r="D23" s="361"/>
      <c r="E23" s="362"/>
      <c r="F23" s="362"/>
      <c r="G23" s="361"/>
      <c r="H23" s="362"/>
      <c r="I23" s="362"/>
      <c r="J23" s="361"/>
      <c r="K23" s="362"/>
      <c r="L23" s="362"/>
      <c r="M23" s="361"/>
      <c r="N23" s="362"/>
      <c r="O23" s="362"/>
      <c r="P23" s="361"/>
      <c r="Q23" s="362"/>
      <c r="R23" s="362"/>
      <c r="S23" s="361"/>
      <c r="T23" s="362"/>
      <c r="U23" s="362"/>
    </row>
    <row r="24">
      <c r="A24" s="361"/>
      <c r="B24" s="362"/>
      <c r="C24" s="362"/>
      <c r="D24" s="361"/>
      <c r="E24" s="362"/>
      <c r="F24" s="362"/>
      <c r="G24" s="361"/>
      <c r="H24" s="362"/>
      <c r="I24" s="362"/>
      <c r="J24" s="361"/>
      <c r="K24" s="362"/>
      <c r="L24" s="362"/>
      <c r="M24" s="361"/>
      <c r="N24" s="362"/>
      <c r="O24" s="362"/>
      <c r="P24" s="361"/>
      <c r="Q24" s="362"/>
      <c r="R24" s="362"/>
      <c r="S24" s="361"/>
      <c r="T24" s="362"/>
      <c r="U24" s="362"/>
    </row>
    <row r="25">
      <c r="A25" s="399" t="s">
        <v>184</v>
      </c>
      <c r="B25" s="399" t="s">
        <v>185</v>
      </c>
      <c r="C25" s="63"/>
      <c r="D25" s="402" t="s">
        <v>413</v>
      </c>
      <c r="E25" s="63" t="s">
        <v>338</v>
      </c>
      <c r="F25" s="395" t="s">
        <v>362</v>
      </c>
      <c r="G25" s="63"/>
      <c r="H25" s="63"/>
      <c r="I25" s="63"/>
      <c r="J25" s="361"/>
      <c r="K25" s="362"/>
      <c r="L25" s="362"/>
      <c r="M25" s="63" t="s">
        <v>414</v>
      </c>
      <c r="N25" s="63" t="s">
        <v>415</v>
      </c>
      <c r="O25" s="63" t="s">
        <v>153</v>
      </c>
      <c r="P25" s="398" t="s">
        <v>414</v>
      </c>
      <c r="Q25" s="398" t="s">
        <v>416</v>
      </c>
      <c r="R25" s="398" t="s">
        <v>25</v>
      </c>
      <c r="S25" s="63"/>
      <c r="T25" s="63"/>
      <c r="U25" s="63"/>
    </row>
    <row r="26">
      <c r="A26" s="361"/>
      <c r="B26" s="362"/>
      <c r="C26" s="362"/>
      <c r="D26" s="403" t="s">
        <v>417</v>
      </c>
      <c r="E26" s="403" t="s">
        <v>418</v>
      </c>
      <c r="F26" s="395" t="s">
        <v>362</v>
      </c>
      <c r="G26" s="361"/>
      <c r="H26" s="362"/>
      <c r="I26" s="362"/>
      <c r="J26" s="361"/>
      <c r="K26" s="362"/>
      <c r="L26" s="362"/>
      <c r="M26" s="361"/>
      <c r="N26" s="362"/>
      <c r="O26" s="362"/>
      <c r="P26" s="361"/>
      <c r="Q26" s="362"/>
      <c r="R26" s="362"/>
      <c r="S26" s="361"/>
      <c r="T26" s="362"/>
      <c r="U26" s="362"/>
    </row>
    <row r="27">
      <c r="A27" s="361"/>
      <c r="B27" s="362"/>
      <c r="C27" s="362"/>
      <c r="D27" s="361"/>
      <c r="E27" s="362"/>
      <c r="F27" s="362"/>
      <c r="G27" s="361"/>
      <c r="H27" s="362"/>
      <c r="I27" s="362"/>
      <c r="J27" s="361"/>
      <c r="K27" s="362"/>
      <c r="L27" s="362"/>
      <c r="M27" s="361"/>
      <c r="N27" s="362"/>
      <c r="O27" s="362"/>
      <c r="P27" s="361"/>
      <c r="Q27" s="362"/>
      <c r="R27" s="362"/>
      <c r="S27" s="361"/>
      <c r="T27" s="362"/>
      <c r="U27" s="362"/>
    </row>
    <row r="28">
      <c r="A28" s="364"/>
      <c r="B28" s="365"/>
      <c r="C28" s="365"/>
      <c r="D28" s="364"/>
      <c r="E28" s="365"/>
      <c r="F28" s="365"/>
      <c r="G28" s="364"/>
      <c r="H28" s="365"/>
      <c r="I28" s="365"/>
      <c r="J28" s="361"/>
      <c r="K28" s="362"/>
      <c r="L28" s="362"/>
      <c r="M28" s="364"/>
      <c r="N28" s="365"/>
      <c r="O28" s="365"/>
      <c r="P28" s="364"/>
      <c r="Q28" s="365"/>
      <c r="R28" s="365"/>
      <c r="S28" s="364"/>
      <c r="T28" s="365"/>
      <c r="U28" s="365"/>
    </row>
    <row r="29">
      <c r="A29" s="366" t="s">
        <v>7</v>
      </c>
      <c r="B29" s="192"/>
      <c r="C29" s="357"/>
      <c r="D29" s="367" t="s">
        <v>8</v>
      </c>
      <c r="E29" s="192"/>
      <c r="F29" s="357"/>
      <c r="G29" s="367" t="s">
        <v>9</v>
      </c>
      <c r="H29" s="192"/>
      <c r="I29" s="357"/>
      <c r="J29" s="367" t="s">
        <v>10</v>
      </c>
      <c r="K29" s="192"/>
      <c r="L29" s="357"/>
      <c r="M29" s="367" t="s">
        <v>11</v>
      </c>
      <c r="N29" s="192"/>
      <c r="O29" s="357"/>
      <c r="P29" s="367" t="s">
        <v>12</v>
      </c>
      <c r="Q29" s="192"/>
      <c r="R29" s="357"/>
      <c r="S29" s="368" t="s">
        <v>13</v>
      </c>
      <c r="T29" s="192"/>
      <c r="U29" s="357"/>
    </row>
    <row r="30">
      <c r="A30" s="380">
        <f>S22+1</f>
        <v>46160</v>
      </c>
      <c r="B30" s="192"/>
      <c r="C30" s="357"/>
      <c r="D30" s="381">
        <f>A30+1</f>
        <v>46161</v>
      </c>
      <c r="E30" s="192"/>
      <c r="F30" s="357"/>
      <c r="G30" s="381">
        <f>D30+1</f>
        <v>46162</v>
      </c>
      <c r="H30" s="192"/>
      <c r="I30" s="357"/>
      <c r="J30" s="381">
        <f>G30+1</f>
        <v>46163</v>
      </c>
      <c r="K30" s="192"/>
      <c r="L30" s="357"/>
      <c r="M30" s="381">
        <f>J30+1</f>
        <v>46164</v>
      </c>
      <c r="N30" s="192"/>
      <c r="O30" s="357"/>
      <c r="P30" s="381">
        <f>M30+1</f>
        <v>46165</v>
      </c>
      <c r="Q30" s="192"/>
      <c r="R30" s="357"/>
      <c r="S30" s="382">
        <f>P30+1</f>
        <v>46166</v>
      </c>
      <c r="T30" s="192"/>
      <c r="U30" s="357"/>
    </row>
    <row r="31">
      <c r="A31" s="361"/>
      <c r="B31" s="362"/>
      <c r="C31" s="362"/>
      <c r="D31" s="361"/>
      <c r="E31" s="362"/>
      <c r="F31" s="362"/>
      <c r="G31" s="361"/>
      <c r="H31" s="362"/>
      <c r="I31" s="362"/>
      <c r="J31" s="361"/>
      <c r="K31" s="362"/>
      <c r="L31" s="362"/>
      <c r="M31" s="361"/>
      <c r="N31" s="362"/>
      <c r="O31" s="362"/>
      <c r="P31" s="361"/>
      <c r="Q31" s="362"/>
      <c r="R31" s="362"/>
      <c r="S31" s="361"/>
      <c r="T31" s="362"/>
      <c r="U31" s="362"/>
    </row>
    <row r="32">
      <c r="A32" s="361"/>
      <c r="B32" s="362"/>
      <c r="C32" s="362"/>
      <c r="D32" s="361"/>
      <c r="E32" s="362"/>
      <c r="F32" s="362"/>
      <c r="G32" s="361"/>
      <c r="H32" s="361"/>
      <c r="I32" s="361"/>
      <c r="J32" s="361"/>
      <c r="K32" s="362"/>
      <c r="L32" s="362"/>
      <c r="M32" s="361"/>
      <c r="N32" s="362"/>
      <c r="O32" s="362"/>
      <c r="P32" s="373" t="s">
        <v>143</v>
      </c>
      <c r="Q32" s="374" t="s">
        <v>63</v>
      </c>
      <c r="R32" s="375" t="s">
        <v>27</v>
      </c>
      <c r="S32" s="361"/>
      <c r="T32" s="362"/>
      <c r="U32" s="362"/>
    </row>
    <row r="33">
      <c r="A33" s="399" t="s">
        <v>184</v>
      </c>
      <c r="B33" s="399" t="s">
        <v>185</v>
      </c>
      <c r="C33" s="362"/>
      <c r="D33" s="402"/>
      <c r="E33" s="63"/>
      <c r="F33" s="395"/>
      <c r="G33" s="361"/>
      <c r="H33" s="361"/>
      <c r="I33" s="361"/>
      <c r="J33" s="101" t="s">
        <v>328</v>
      </c>
      <c r="K33" s="101" t="s">
        <v>338</v>
      </c>
      <c r="L33" s="101" t="s">
        <v>153</v>
      </c>
      <c r="M33" s="101" t="s">
        <v>328</v>
      </c>
      <c r="N33" s="101" t="s">
        <v>339</v>
      </c>
      <c r="O33" s="101" t="s">
        <v>62</v>
      </c>
      <c r="P33" s="98" t="s">
        <v>263</v>
      </c>
      <c r="Q33" s="101" t="s">
        <v>335</v>
      </c>
      <c r="R33" s="98" t="s">
        <v>25</v>
      </c>
      <c r="S33" s="63"/>
      <c r="T33" s="63"/>
      <c r="U33" s="63"/>
    </row>
    <row r="34">
      <c r="A34" s="187" t="s">
        <v>211</v>
      </c>
      <c r="B34" s="281" t="s">
        <v>225</v>
      </c>
      <c r="C34" s="275" t="s">
        <v>25</v>
      </c>
      <c r="D34" s="101" t="s">
        <v>214</v>
      </c>
      <c r="E34" s="101" t="s">
        <v>61</v>
      </c>
      <c r="F34" s="101" t="s">
        <v>25</v>
      </c>
      <c r="G34" s="315" t="s">
        <v>156</v>
      </c>
      <c r="H34" s="315" t="s">
        <v>116</v>
      </c>
      <c r="I34" s="315" t="s">
        <v>395</v>
      </c>
      <c r="J34" s="361"/>
      <c r="K34" s="362"/>
      <c r="L34" s="362"/>
      <c r="M34" s="361"/>
      <c r="N34" s="362"/>
      <c r="O34" s="362"/>
      <c r="P34" s="361"/>
      <c r="Q34" s="362"/>
      <c r="R34" s="362"/>
      <c r="S34" s="361"/>
      <c r="T34" s="362"/>
      <c r="U34" s="362"/>
    </row>
    <row r="35">
      <c r="A35" s="21" t="s">
        <v>18</v>
      </c>
      <c r="B35" s="21" t="s">
        <v>40</v>
      </c>
      <c r="C35" s="21" t="s">
        <v>62</v>
      </c>
      <c r="D35" s="21" t="s">
        <v>19</v>
      </c>
      <c r="E35" s="21" t="s">
        <v>41</v>
      </c>
      <c r="F35" s="32" t="s">
        <v>62</v>
      </c>
      <c r="G35" s="361"/>
      <c r="H35" s="362"/>
      <c r="I35" s="362"/>
      <c r="J35" s="361"/>
      <c r="K35" s="362"/>
      <c r="L35" s="362"/>
      <c r="M35" s="361"/>
      <c r="N35" s="362"/>
      <c r="O35" s="362"/>
      <c r="P35" s="361"/>
      <c r="Q35" s="362"/>
      <c r="R35" s="362"/>
      <c r="S35" s="361"/>
      <c r="T35" s="362"/>
      <c r="U35" s="362"/>
    </row>
    <row r="36">
      <c r="A36" s="361"/>
      <c r="B36" s="362"/>
      <c r="C36" s="362"/>
      <c r="D36" s="361"/>
      <c r="E36" s="362"/>
      <c r="F36" s="362"/>
      <c r="G36" s="364"/>
      <c r="H36" s="365"/>
      <c r="I36" s="365"/>
      <c r="J36" s="364"/>
      <c r="K36" s="365"/>
      <c r="L36" s="365"/>
      <c r="M36" s="364"/>
      <c r="N36" s="365"/>
      <c r="O36" s="365"/>
      <c r="P36" s="364"/>
      <c r="Q36" s="365"/>
      <c r="R36" s="365"/>
      <c r="S36" s="364"/>
      <c r="T36" s="365"/>
      <c r="U36" s="365"/>
    </row>
    <row r="37">
      <c r="A37" s="376" t="s">
        <v>7</v>
      </c>
      <c r="B37" s="192"/>
      <c r="C37" s="357"/>
      <c r="D37" s="377" t="s">
        <v>8</v>
      </c>
      <c r="E37" s="192"/>
      <c r="F37" s="357"/>
      <c r="G37" s="378" t="s">
        <v>9</v>
      </c>
      <c r="H37" s="192"/>
      <c r="I37" s="357"/>
      <c r="J37" s="377" t="s">
        <v>10</v>
      </c>
      <c r="K37" s="192"/>
      <c r="L37" s="357"/>
      <c r="M37" s="377"/>
      <c r="N37" s="192"/>
      <c r="O37" s="357"/>
      <c r="P37" s="377"/>
      <c r="Q37" s="192"/>
      <c r="R37" s="357"/>
      <c r="S37" s="378"/>
      <c r="T37" s="192"/>
      <c r="U37" s="357"/>
    </row>
    <row r="38">
      <c r="A38" s="379">
        <f>S30+1</f>
        <v>46167</v>
      </c>
      <c r="B38" s="192"/>
      <c r="C38" s="357"/>
      <c r="D38" s="359">
        <f>A38+1</f>
        <v>46168</v>
      </c>
      <c r="E38" s="192"/>
      <c r="F38" s="357"/>
      <c r="G38" s="360">
        <f>D38+1</f>
        <v>46169</v>
      </c>
      <c r="H38" s="192"/>
      <c r="I38" s="357"/>
      <c r="J38" s="359">
        <f>G38+1</f>
        <v>46170</v>
      </c>
      <c r="K38" s="192"/>
      <c r="L38" s="357"/>
      <c r="M38" s="359"/>
      <c r="N38" s="192"/>
      <c r="O38" s="357"/>
      <c r="P38" s="359"/>
      <c r="Q38" s="192"/>
      <c r="R38" s="357"/>
      <c r="S38" s="360"/>
      <c r="T38" s="192"/>
      <c r="U38" s="357"/>
    </row>
    <row r="39">
      <c r="A39" s="361"/>
      <c r="B39" s="362"/>
      <c r="C39" s="362"/>
      <c r="D39" s="361"/>
      <c r="E39" s="362"/>
      <c r="F39" s="362"/>
      <c r="G39" s="361"/>
      <c r="H39" s="362"/>
      <c r="I39" s="362"/>
      <c r="J39" s="361"/>
      <c r="K39" s="362"/>
      <c r="L39" s="362"/>
      <c r="M39" s="361"/>
      <c r="N39" s="362"/>
      <c r="O39" s="362"/>
      <c r="P39" s="361"/>
      <c r="Q39" s="362"/>
      <c r="R39" s="362"/>
      <c r="S39" s="361"/>
      <c r="T39" s="362"/>
      <c r="U39" s="362"/>
    </row>
    <row r="40">
      <c r="A40" s="361"/>
      <c r="B40" s="362"/>
      <c r="C40" s="362"/>
      <c r="D40" s="361"/>
      <c r="E40" s="362"/>
      <c r="F40" s="362"/>
      <c r="G40" s="361"/>
      <c r="H40" s="362"/>
      <c r="I40" s="362"/>
      <c r="J40" s="361"/>
      <c r="K40" s="362"/>
      <c r="L40" s="362"/>
      <c r="M40" s="361"/>
      <c r="N40" s="362"/>
      <c r="O40" s="362"/>
      <c r="P40" s="361"/>
      <c r="Q40" s="362"/>
      <c r="R40" s="362"/>
      <c r="S40" s="361"/>
      <c r="T40" s="362"/>
      <c r="U40" s="362"/>
    </row>
    <row r="41">
      <c r="A41" s="399" t="s">
        <v>184</v>
      </c>
      <c r="B41" s="399" t="s">
        <v>185</v>
      </c>
      <c r="C41" s="63"/>
      <c r="D41" s="402" t="s">
        <v>413</v>
      </c>
      <c r="E41" s="63" t="s">
        <v>338</v>
      </c>
      <c r="F41" s="395" t="s">
        <v>362</v>
      </c>
      <c r="G41" s="63"/>
      <c r="H41" s="63"/>
      <c r="I41" s="63"/>
      <c r="J41" s="398" t="s">
        <v>411</v>
      </c>
      <c r="K41" s="398" t="s">
        <v>419</v>
      </c>
      <c r="L41" s="394" t="s">
        <v>395</v>
      </c>
      <c r="M41" s="63"/>
      <c r="N41" s="63"/>
      <c r="O41" s="63"/>
      <c r="P41" s="63"/>
      <c r="Q41" s="63"/>
      <c r="R41" s="63"/>
      <c r="S41" s="63"/>
      <c r="T41" s="63"/>
      <c r="U41" s="63"/>
    </row>
    <row r="42">
      <c r="A42" s="404" t="s">
        <v>420</v>
      </c>
      <c r="B42" s="404" t="s">
        <v>157</v>
      </c>
      <c r="C42" s="404" t="s">
        <v>395</v>
      </c>
      <c r="D42" s="403" t="s">
        <v>417</v>
      </c>
      <c r="E42" s="403" t="s">
        <v>418</v>
      </c>
      <c r="F42" s="395" t="s">
        <v>362</v>
      </c>
      <c r="G42" s="401" t="s">
        <v>14</v>
      </c>
      <c r="H42" s="263"/>
      <c r="I42" s="264"/>
      <c r="J42" s="361"/>
      <c r="K42" s="362"/>
      <c r="L42" s="362"/>
      <c r="M42" s="361"/>
      <c r="N42" s="362"/>
      <c r="O42" s="362"/>
      <c r="P42" s="361"/>
      <c r="Q42" s="362"/>
      <c r="R42" s="362"/>
      <c r="S42" s="361"/>
      <c r="T42" s="362"/>
      <c r="U42" s="362"/>
    </row>
    <row r="43">
      <c r="A43" s="361"/>
      <c r="B43" s="362"/>
      <c r="C43" s="362"/>
      <c r="D43" s="361"/>
      <c r="E43" s="362"/>
      <c r="F43" s="362"/>
      <c r="G43" s="361"/>
      <c r="H43" s="362"/>
      <c r="I43" s="362"/>
      <c r="J43" s="361"/>
      <c r="K43" s="362"/>
      <c r="L43" s="362"/>
      <c r="M43" s="361"/>
      <c r="N43" s="362"/>
      <c r="O43" s="362"/>
      <c r="P43" s="361"/>
      <c r="Q43" s="362"/>
      <c r="R43" s="362"/>
      <c r="S43" s="361"/>
      <c r="T43" s="362"/>
      <c r="U43" s="362"/>
    </row>
    <row r="44">
      <c r="A44" s="364"/>
      <c r="B44" s="365"/>
      <c r="C44" s="365"/>
      <c r="D44" s="364"/>
      <c r="E44" s="365"/>
      <c r="F44" s="365"/>
      <c r="G44" s="364"/>
      <c r="H44" s="365"/>
      <c r="I44" s="365"/>
      <c r="J44" s="361"/>
      <c r="K44" s="362"/>
      <c r="L44" s="362"/>
      <c r="M44" s="364"/>
      <c r="N44" s="365"/>
      <c r="O44" s="365"/>
      <c r="P44" s="364"/>
      <c r="Q44" s="365"/>
      <c r="R44" s="365"/>
      <c r="S44" s="364"/>
      <c r="T44" s="365"/>
      <c r="U44" s="365"/>
    </row>
    <row r="45">
      <c r="A45" s="366"/>
      <c r="B45" s="192"/>
      <c r="C45" s="357"/>
      <c r="D45" s="367"/>
      <c r="E45" s="192"/>
      <c r="F45" s="357"/>
      <c r="G45" s="367"/>
      <c r="H45" s="192"/>
      <c r="I45" s="357"/>
      <c r="J45" s="367"/>
      <c r="K45" s="192"/>
      <c r="L45" s="357"/>
      <c r="M45" s="367"/>
      <c r="N45" s="192"/>
      <c r="O45" s="357"/>
      <c r="P45" s="367"/>
      <c r="Q45" s="192"/>
      <c r="R45" s="357"/>
      <c r="S45" s="383"/>
      <c r="T45" s="192"/>
      <c r="U45" s="357"/>
    </row>
    <row r="46">
      <c r="A46" s="380"/>
      <c r="B46" s="192"/>
      <c r="C46" s="357"/>
      <c r="D46" s="381"/>
      <c r="E46" s="192"/>
      <c r="F46" s="357"/>
      <c r="G46" s="381"/>
      <c r="H46" s="192"/>
      <c r="I46" s="357"/>
      <c r="J46" s="381"/>
      <c r="K46" s="192"/>
      <c r="L46" s="357"/>
      <c r="M46" s="381"/>
      <c r="N46" s="192"/>
      <c r="O46" s="357"/>
      <c r="P46" s="381"/>
      <c r="Q46" s="192"/>
      <c r="R46" s="357"/>
      <c r="S46" s="384"/>
      <c r="T46" s="192"/>
      <c r="U46" s="357"/>
    </row>
    <row r="47">
      <c r="A47" s="385"/>
      <c r="B47" s="385"/>
      <c r="C47" s="385"/>
      <c r="D47" s="386"/>
      <c r="E47" s="386"/>
      <c r="F47" s="386"/>
      <c r="G47" s="365"/>
      <c r="H47" s="387"/>
      <c r="I47" s="387"/>
      <c r="J47" s="388"/>
      <c r="K47" s="388"/>
      <c r="L47" s="388"/>
      <c r="M47" s="389"/>
      <c r="N47" s="389"/>
      <c r="O47" s="389"/>
      <c r="P47" s="389"/>
      <c r="Q47" s="389"/>
      <c r="R47" s="389"/>
      <c r="S47" s="388"/>
      <c r="T47" s="388"/>
      <c r="U47" s="388"/>
    </row>
    <row r="48">
      <c r="A48" s="386"/>
      <c r="B48" s="386"/>
      <c r="C48" s="386"/>
      <c r="D48" s="390"/>
      <c r="E48" s="390"/>
      <c r="F48" s="390"/>
      <c r="G48" s="389"/>
      <c r="H48" s="389"/>
      <c r="I48" s="389"/>
      <c r="J48" s="388"/>
      <c r="K48" s="388"/>
      <c r="L48" s="388"/>
      <c r="M48" s="391"/>
      <c r="N48" s="391"/>
      <c r="O48" s="391"/>
      <c r="P48" s="389"/>
      <c r="Q48" s="389"/>
      <c r="R48" s="389"/>
      <c r="S48" s="389"/>
      <c r="T48" s="389"/>
      <c r="U48" s="389"/>
    </row>
    <row r="49">
      <c r="A49" s="386"/>
      <c r="B49" s="386"/>
      <c r="C49" s="386"/>
      <c r="D49" s="386"/>
      <c r="E49" s="386"/>
      <c r="F49" s="386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</row>
    <row r="50">
      <c r="A50" s="389"/>
      <c r="B50" s="389"/>
      <c r="C50" s="389"/>
      <c r="D50" s="386"/>
      <c r="E50" s="386"/>
      <c r="F50" s="386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8"/>
      <c r="T50" s="388"/>
      <c r="U50" s="388"/>
    </row>
    <row r="51">
      <c r="A51" s="385"/>
      <c r="B51" s="385"/>
      <c r="C51" s="385"/>
      <c r="D51" s="392"/>
      <c r="E51" s="392"/>
      <c r="F51" s="392"/>
      <c r="G51" s="389"/>
      <c r="H51" s="389"/>
      <c r="I51" s="388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</row>
    <row r="52">
      <c r="A52" s="393"/>
      <c r="B52" s="388"/>
      <c r="C52" s="388"/>
      <c r="D52" s="389"/>
      <c r="E52" s="389"/>
      <c r="F52" s="389"/>
      <c r="G52" s="388"/>
      <c r="H52" s="388"/>
      <c r="I52" s="388"/>
      <c r="J52" s="389"/>
      <c r="K52" s="389"/>
      <c r="L52" s="389"/>
      <c r="M52" s="388"/>
      <c r="N52" s="388"/>
      <c r="O52" s="388"/>
      <c r="P52" s="389"/>
      <c r="Q52" s="389"/>
      <c r="R52" s="389"/>
      <c r="S52" s="388"/>
      <c r="T52" s="388"/>
      <c r="U52" s="388"/>
    </row>
    <row r="53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</row>
    <row r="63">
      <c r="L63" s="75" t="s">
        <v>0</v>
      </c>
    </row>
  </sheetData>
  <mergeCells count="94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G42:I42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50" t="s">
        <v>69</v>
      </c>
      <c r="C1" s="348" t="s">
        <v>421</v>
      </c>
      <c r="F1" s="349"/>
      <c r="G1" s="9" t="s">
        <v>422</v>
      </c>
      <c r="Q1" s="349"/>
      <c r="R1" s="349"/>
      <c r="S1" s="349"/>
      <c r="T1" s="349"/>
      <c r="U1" s="349"/>
    </row>
    <row r="2">
      <c r="A2" s="350" t="s">
        <v>3</v>
      </c>
      <c r="C2" s="348" t="s">
        <v>170</v>
      </c>
      <c r="F2" s="349"/>
      <c r="Q2" s="349"/>
      <c r="R2" s="349"/>
      <c r="S2" s="349"/>
      <c r="T2" s="349"/>
      <c r="U2" s="349"/>
    </row>
    <row r="3">
      <c r="A3" s="350" t="s">
        <v>5</v>
      </c>
      <c r="C3" s="351"/>
      <c r="F3" s="349"/>
      <c r="Q3" s="349"/>
      <c r="R3" s="349"/>
      <c r="S3" s="349"/>
      <c r="T3" s="349"/>
      <c r="U3" s="349"/>
    </row>
    <row r="4">
      <c r="A4" s="352" t="s">
        <v>6</v>
      </c>
      <c r="B4" s="192"/>
      <c r="C4" s="353"/>
      <c r="D4" s="192"/>
      <c r="E4" s="192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</row>
    <row r="5">
      <c r="A5" s="262" t="s">
        <v>7</v>
      </c>
      <c r="B5" s="263"/>
      <c r="C5" s="264"/>
      <c r="D5" s="262" t="s">
        <v>8</v>
      </c>
      <c r="E5" s="263"/>
      <c r="F5" s="264"/>
      <c r="G5" s="262" t="s">
        <v>9</v>
      </c>
      <c r="H5" s="263"/>
      <c r="I5" s="264"/>
      <c r="J5" s="262" t="s">
        <v>10</v>
      </c>
      <c r="K5" s="263"/>
      <c r="L5" s="264"/>
      <c r="M5" s="265" t="s">
        <v>11</v>
      </c>
      <c r="N5" s="263"/>
      <c r="O5" s="264"/>
      <c r="P5" s="262" t="s">
        <v>12</v>
      </c>
      <c r="Q5" s="263"/>
      <c r="R5" s="264"/>
      <c r="S5" s="265" t="s">
        <v>13</v>
      </c>
      <c r="T5" s="263"/>
      <c r="U5" s="264"/>
    </row>
    <row r="6">
      <c r="A6" s="355"/>
      <c r="B6" s="263"/>
      <c r="C6" s="264"/>
      <c r="D6" s="356"/>
      <c r="E6" s="192"/>
      <c r="F6" s="357"/>
      <c r="G6" s="355"/>
      <c r="H6" s="263"/>
      <c r="I6" s="264"/>
      <c r="J6" s="355"/>
      <c r="K6" s="263"/>
      <c r="L6" s="264"/>
      <c r="M6" s="358">
        <v>46143.0</v>
      </c>
      <c r="N6" s="263"/>
      <c r="O6" s="264"/>
      <c r="P6" s="359">
        <f>M6+1</f>
        <v>46144</v>
      </c>
      <c r="Q6" s="192"/>
      <c r="R6" s="357"/>
      <c r="S6" s="360">
        <f>P6+1</f>
        <v>46145</v>
      </c>
      <c r="T6" s="192"/>
      <c r="U6" s="357"/>
    </row>
    <row r="7">
      <c r="A7" s="361"/>
      <c r="B7" s="362"/>
      <c r="C7" s="362"/>
      <c r="D7" s="361"/>
      <c r="E7" s="362"/>
      <c r="F7" s="362"/>
      <c r="G7" s="361"/>
      <c r="H7" s="362"/>
      <c r="I7" s="362"/>
      <c r="J7" s="361"/>
      <c r="K7" s="362"/>
      <c r="L7" s="362"/>
      <c r="M7" s="361"/>
      <c r="N7" s="362"/>
      <c r="O7" s="362"/>
      <c r="P7" s="361"/>
      <c r="Q7" s="362"/>
      <c r="R7" s="362"/>
      <c r="S7" s="361"/>
      <c r="T7" s="362"/>
      <c r="U7" s="362"/>
    </row>
    <row r="8">
      <c r="A8" s="361"/>
      <c r="B8" s="362"/>
      <c r="C8" s="362"/>
      <c r="D8" s="361"/>
      <c r="E8" s="362"/>
      <c r="F8" s="362"/>
      <c r="G8" s="361"/>
      <c r="H8" s="362"/>
      <c r="I8" s="362"/>
      <c r="J8" s="361"/>
      <c r="K8" s="362"/>
      <c r="L8" s="362"/>
      <c r="M8" s="361"/>
      <c r="N8" s="362"/>
      <c r="O8" s="362"/>
      <c r="P8" s="361"/>
      <c r="Q8" s="362"/>
      <c r="R8" s="362"/>
      <c r="S8" s="390" t="s">
        <v>403</v>
      </c>
      <c r="T8" s="390" t="s">
        <v>423</v>
      </c>
      <c r="U8" s="390" t="s">
        <v>305</v>
      </c>
    </row>
    <row r="9">
      <c r="A9" s="63"/>
      <c r="B9" s="63"/>
      <c r="C9" s="63"/>
      <c r="D9" s="63"/>
      <c r="E9" s="63"/>
      <c r="F9" s="63"/>
      <c r="G9" s="390"/>
      <c r="H9" s="390"/>
      <c r="I9" s="390"/>
      <c r="J9" s="361"/>
      <c r="K9" s="362"/>
      <c r="L9" s="362"/>
      <c r="M9" s="361"/>
      <c r="N9" s="362"/>
      <c r="O9" s="362"/>
      <c r="P9" s="405" t="s">
        <v>14</v>
      </c>
      <c r="Q9" s="263"/>
      <c r="R9" s="264"/>
      <c r="S9" s="63"/>
      <c r="T9" s="63"/>
      <c r="U9" s="63"/>
    </row>
    <row r="10">
      <c r="A10" s="361"/>
      <c r="B10" s="362"/>
      <c r="C10" s="362"/>
      <c r="D10" s="361"/>
      <c r="E10" s="362"/>
      <c r="F10" s="362"/>
      <c r="G10" s="361"/>
      <c r="H10" s="362"/>
      <c r="I10" s="362"/>
      <c r="J10" s="397"/>
      <c r="K10" s="406"/>
      <c r="L10" s="406"/>
      <c r="M10" s="361"/>
      <c r="N10" s="362"/>
      <c r="O10" s="362"/>
      <c r="P10" s="361"/>
      <c r="Q10" s="362"/>
      <c r="R10" s="362"/>
      <c r="S10" s="361"/>
      <c r="T10" s="362"/>
      <c r="U10" s="362"/>
    </row>
    <row r="11">
      <c r="A11" s="361"/>
      <c r="B11" s="362"/>
      <c r="C11" s="362"/>
      <c r="D11" s="361"/>
      <c r="E11" s="362"/>
      <c r="F11" s="362"/>
      <c r="G11" s="390"/>
      <c r="H11" s="390"/>
      <c r="I11" s="390"/>
      <c r="J11" s="361"/>
      <c r="K11" s="362"/>
      <c r="L11" s="362"/>
      <c r="M11" s="361"/>
      <c r="N11" s="362"/>
      <c r="O11" s="362"/>
      <c r="P11" s="361"/>
      <c r="Q11" s="362"/>
      <c r="R11" s="362"/>
      <c r="S11" s="361"/>
      <c r="T11" s="362"/>
      <c r="U11" s="362"/>
    </row>
    <row r="12">
      <c r="A12" s="364"/>
      <c r="B12" s="365"/>
      <c r="C12" s="365"/>
      <c r="D12" s="364"/>
      <c r="E12" s="365"/>
      <c r="F12" s="365"/>
      <c r="G12" s="390"/>
      <c r="H12" s="390"/>
      <c r="I12" s="390"/>
      <c r="J12" s="364"/>
      <c r="K12" s="365"/>
      <c r="L12" s="365"/>
      <c r="M12" s="364"/>
      <c r="N12" s="365"/>
      <c r="O12" s="365"/>
      <c r="P12" s="364"/>
      <c r="Q12" s="365"/>
      <c r="R12" s="365"/>
      <c r="S12" s="364"/>
      <c r="T12" s="365"/>
      <c r="U12" s="365"/>
    </row>
    <row r="13">
      <c r="A13" s="366" t="s">
        <v>7</v>
      </c>
      <c r="B13" s="192"/>
      <c r="C13" s="357"/>
      <c r="D13" s="367" t="s">
        <v>8</v>
      </c>
      <c r="E13" s="192"/>
      <c r="F13" s="357"/>
      <c r="G13" s="367" t="s">
        <v>9</v>
      </c>
      <c r="H13" s="192"/>
      <c r="I13" s="357"/>
      <c r="J13" s="367" t="s">
        <v>10</v>
      </c>
      <c r="K13" s="192"/>
      <c r="L13" s="357"/>
      <c r="M13" s="367" t="s">
        <v>11</v>
      </c>
      <c r="N13" s="192"/>
      <c r="O13" s="357"/>
      <c r="P13" s="367" t="s">
        <v>12</v>
      </c>
      <c r="Q13" s="192"/>
      <c r="R13" s="357"/>
      <c r="S13" s="368" t="s">
        <v>13</v>
      </c>
      <c r="T13" s="192"/>
      <c r="U13" s="357"/>
    </row>
    <row r="14">
      <c r="A14" s="369">
        <f>S6+1</f>
        <v>46146</v>
      </c>
      <c r="B14" s="192"/>
      <c r="C14" s="357"/>
      <c r="D14" s="370">
        <f>A14+1</f>
        <v>46147</v>
      </c>
      <c r="E14" s="192"/>
      <c r="F14" s="357"/>
      <c r="G14" s="370">
        <f>D14+1</f>
        <v>46148</v>
      </c>
      <c r="H14" s="192"/>
      <c r="I14" s="357"/>
      <c r="J14" s="370">
        <f>G14+1</f>
        <v>46149</v>
      </c>
      <c r="K14" s="192"/>
      <c r="L14" s="357"/>
      <c r="M14" s="370">
        <f>J14+1</f>
        <v>46150</v>
      </c>
      <c r="N14" s="192"/>
      <c r="O14" s="357"/>
      <c r="P14" s="370">
        <f>M14+1</f>
        <v>46151</v>
      </c>
      <c r="Q14" s="192"/>
      <c r="R14" s="357"/>
      <c r="S14" s="371">
        <f>P14+1</f>
        <v>46152</v>
      </c>
      <c r="T14" s="192"/>
      <c r="U14" s="357"/>
    </row>
    <row r="15">
      <c r="A15" s="361"/>
      <c r="B15" s="362"/>
      <c r="C15" s="362"/>
      <c r="D15" s="361"/>
      <c r="E15" s="362"/>
      <c r="F15" s="362"/>
      <c r="G15" s="361"/>
      <c r="H15" s="362"/>
      <c r="I15" s="362"/>
      <c r="J15" s="361"/>
      <c r="K15" s="362"/>
      <c r="L15" s="362"/>
      <c r="M15" s="361"/>
      <c r="N15" s="362"/>
      <c r="O15" s="362"/>
      <c r="P15" s="361"/>
      <c r="Q15" s="362"/>
      <c r="R15" s="362"/>
      <c r="S15" s="361"/>
      <c r="T15" s="362"/>
      <c r="U15" s="362"/>
    </row>
    <row r="16">
      <c r="A16" s="361"/>
      <c r="B16" s="362"/>
      <c r="C16" s="362"/>
      <c r="D16" s="361"/>
      <c r="E16" s="362"/>
      <c r="F16" s="362"/>
      <c r="G16" s="361"/>
      <c r="H16" s="362"/>
      <c r="I16" s="362"/>
      <c r="J16" s="361"/>
      <c r="K16" s="362"/>
      <c r="L16" s="362"/>
      <c r="M16" s="361"/>
      <c r="N16" s="362"/>
      <c r="O16" s="362"/>
      <c r="P16" s="374"/>
      <c r="Q16" s="374"/>
      <c r="R16" s="375"/>
      <c r="S16" s="374"/>
      <c r="T16" s="374"/>
      <c r="U16" s="375"/>
    </row>
    <row r="17">
      <c r="A17" s="361" t="s">
        <v>397</v>
      </c>
      <c r="B17" s="362" t="s">
        <v>398</v>
      </c>
      <c r="C17" s="362"/>
      <c r="D17" s="402" t="s">
        <v>413</v>
      </c>
      <c r="E17" s="63" t="s">
        <v>338</v>
      </c>
      <c r="F17" s="395" t="s">
        <v>62</v>
      </c>
      <c r="G17" s="386" t="s">
        <v>236</v>
      </c>
      <c r="H17" s="386" t="s">
        <v>237</v>
      </c>
      <c r="I17" s="386" t="s">
        <v>62</v>
      </c>
      <c r="J17" s="63" t="s">
        <v>414</v>
      </c>
      <c r="K17" s="63" t="s">
        <v>415</v>
      </c>
      <c r="L17" s="63" t="s">
        <v>153</v>
      </c>
      <c r="M17" s="405" t="s">
        <v>14</v>
      </c>
      <c r="N17" s="263"/>
      <c r="O17" s="264"/>
      <c r="P17" s="63"/>
      <c r="Q17" s="63"/>
      <c r="R17" s="63"/>
      <c r="S17" s="156" t="s">
        <v>144</v>
      </c>
      <c r="T17" s="157" t="s">
        <v>291</v>
      </c>
      <c r="U17" s="156" t="s">
        <v>27</v>
      </c>
    </row>
    <row r="18">
      <c r="A18" s="390" t="s">
        <v>424</v>
      </c>
      <c r="B18" s="390" t="s">
        <v>93</v>
      </c>
      <c r="C18" s="395" t="s">
        <v>362</v>
      </c>
      <c r="D18" s="403" t="s">
        <v>417</v>
      </c>
      <c r="E18" s="403" t="s">
        <v>418</v>
      </c>
      <c r="F18" s="395" t="s">
        <v>62</v>
      </c>
      <c r="G18" s="361"/>
      <c r="H18" s="362"/>
      <c r="I18" s="362"/>
      <c r="J18" s="361"/>
      <c r="K18" s="362"/>
      <c r="L18" s="362"/>
      <c r="M18" s="361"/>
      <c r="N18" s="362"/>
      <c r="O18" s="362"/>
      <c r="P18" s="361"/>
      <c r="Q18" s="362"/>
      <c r="R18" s="362"/>
      <c r="S18" s="364"/>
      <c r="T18" s="365"/>
      <c r="U18" s="365"/>
    </row>
    <row r="19">
      <c r="A19" s="390" t="s">
        <v>425</v>
      </c>
      <c r="B19" s="390" t="s">
        <v>418</v>
      </c>
      <c r="C19" s="395" t="s">
        <v>362</v>
      </c>
      <c r="D19" s="361"/>
      <c r="E19" s="362"/>
      <c r="F19" s="362"/>
      <c r="G19" s="361"/>
      <c r="H19" s="362"/>
      <c r="I19" s="362"/>
      <c r="J19" s="361"/>
      <c r="K19" s="362"/>
      <c r="L19" s="362"/>
      <c r="M19" s="361"/>
      <c r="N19" s="362"/>
      <c r="O19" s="362"/>
      <c r="P19" s="361"/>
      <c r="Q19" s="362"/>
      <c r="R19" s="362"/>
      <c r="S19" s="364"/>
      <c r="T19" s="365"/>
      <c r="U19" s="365"/>
    </row>
    <row r="20">
      <c r="A20" s="364"/>
      <c r="B20" s="365"/>
      <c r="C20" s="365"/>
      <c r="D20" s="364"/>
      <c r="E20" s="365"/>
      <c r="F20" s="365"/>
      <c r="G20" s="364"/>
      <c r="H20" s="365"/>
      <c r="I20" s="365"/>
      <c r="J20" s="364"/>
      <c r="K20" s="365"/>
      <c r="L20" s="365"/>
      <c r="M20" s="364"/>
      <c r="N20" s="365"/>
      <c r="O20" s="365"/>
      <c r="P20" s="364"/>
      <c r="Q20" s="365"/>
      <c r="R20" s="365"/>
      <c r="S20" s="364"/>
      <c r="T20" s="365"/>
      <c r="U20" s="365"/>
    </row>
    <row r="21">
      <c r="A21" s="376" t="s">
        <v>7</v>
      </c>
      <c r="B21" s="192"/>
      <c r="C21" s="357"/>
      <c r="D21" s="377" t="s">
        <v>8</v>
      </c>
      <c r="E21" s="192"/>
      <c r="F21" s="357"/>
      <c r="G21" s="377" t="s">
        <v>9</v>
      </c>
      <c r="H21" s="192"/>
      <c r="I21" s="357"/>
      <c r="J21" s="377" t="s">
        <v>10</v>
      </c>
      <c r="K21" s="192"/>
      <c r="L21" s="357"/>
      <c r="M21" s="377" t="s">
        <v>11</v>
      </c>
      <c r="N21" s="192"/>
      <c r="O21" s="357"/>
      <c r="P21" s="377" t="s">
        <v>12</v>
      </c>
      <c r="Q21" s="192"/>
      <c r="R21" s="357"/>
      <c r="S21" s="378" t="s">
        <v>13</v>
      </c>
      <c r="T21" s="192"/>
      <c r="U21" s="357"/>
    </row>
    <row r="22">
      <c r="A22" s="379">
        <f>S14+1</f>
        <v>46153</v>
      </c>
      <c r="B22" s="192"/>
      <c r="C22" s="357"/>
      <c r="D22" s="359">
        <f>A22+1</f>
        <v>46154</v>
      </c>
      <c r="E22" s="192"/>
      <c r="F22" s="357"/>
      <c r="G22" s="359">
        <f>D22+1</f>
        <v>46155</v>
      </c>
      <c r="H22" s="192"/>
      <c r="I22" s="357"/>
      <c r="J22" s="359">
        <f>G22+1</f>
        <v>46156</v>
      </c>
      <c r="K22" s="192"/>
      <c r="L22" s="357"/>
      <c r="M22" s="359">
        <f>J22+1</f>
        <v>46157</v>
      </c>
      <c r="N22" s="192"/>
      <c r="O22" s="357"/>
      <c r="P22" s="359">
        <f>M22+1</f>
        <v>46158</v>
      </c>
      <c r="Q22" s="192"/>
      <c r="R22" s="357"/>
      <c r="S22" s="360">
        <f>P22+1</f>
        <v>46159</v>
      </c>
      <c r="T22" s="192"/>
      <c r="U22" s="357"/>
    </row>
    <row r="23">
      <c r="A23" s="361"/>
      <c r="B23" s="362"/>
      <c r="C23" s="362"/>
      <c r="D23" s="361"/>
      <c r="E23" s="362"/>
      <c r="F23" s="362"/>
      <c r="G23" s="361"/>
      <c r="H23" s="362"/>
      <c r="I23" s="362"/>
      <c r="J23" s="361"/>
      <c r="K23" s="362"/>
      <c r="L23" s="362"/>
      <c r="M23" s="361"/>
      <c r="N23" s="362"/>
      <c r="O23" s="362"/>
      <c r="P23" s="361"/>
      <c r="Q23" s="362"/>
      <c r="R23" s="362"/>
      <c r="S23" s="361"/>
      <c r="T23" s="362"/>
      <c r="U23" s="362"/>
    </row>
    <row r="24">
      <c r="A24" s="361"/>
      <c r="B24" s="362"/>
      <c r="C24" s="362"/>
      <c r="D24" s="361"/>
      <c r="E24" s="362"/>
      <c r="F24" s="362"/>
      <c r="G24" s="361"/>
      <c r="H24" s="362"/>
      <c r="I24" s="362"/>
      <c r="J24" s="361"/>
      <c r="K24" s="362"/>
      <c r="L24" s="362"/>
      <c r="M24" s="361"/>
      <c r="N24" s="362"/>
      <c r="O24" s="362"/>
      <c r="P24" s="361"/>
      <c r="Q24" s="362"/>
      <c r="R24" s="362"/>
      <c r="S24" s="361"/>
      <c r="T24" s="362"/>
      <c r="U24" s="362"/>
    </row>
    <row r="25">
      <c r="A25" s="63"/>
      <c r="B25" s="63"/>
      <c r="C25" s="63"/>
      <c r="D25" s="63"/>
      <c r="E25" s="63"/>
      <c r="F25" s="63"/>
      <c r="G25" s="361"/>
      <c r="H25" s="63"/>
      <c r="I25" s="63"/>
      <c r="J25" s="63"/>
      <c r="K25" s="63"/>
      <c r="L25" s="63"/>
      <c r="M25" s="407"/>
      <c r="N25" s="407"/>
      <c r="O25" s="407"/>
      <c r="P25" s="405" t="s">
        <v>14</v>
      </c>
      <c r="Q25" s="263"/>
      <c r="R25" s="264"/>
      <c r="S25" s="63"/>
      <c r="T25" s="63"/>
      <c r="U25" s="63"/>
    </row>
    <row r="26">
      <c r="A26" s="390" t="s">
        <v>424</v>
      </c>
      <c r="B26" s="390" t="s">
        <v>93</v>
      </c>
      <c r="C26" s="395" t="s">
        <v>362</v>
      </c>
      <c r="D26" s="408" t="s">
        <v>0</v>
      </c>
      <c r="E26" s="63"/>
      <c r="F26" s="390"/>
      <c r="G26" s="361"/>
      <c r="H26" s="362"/>
      <c r="I26" s="362"/>
      <c r="J26" s="361"/>
      <c r="K26" s="362"/>
      <c r="L26" s="362"/>
      <c r="M26" s="361"/>
      <c r="N26" s="362"/>
      <c r="O26" s="362"/>
      <c r="P26" s="361"/>
      <c r="Q26" s="362"/>
      <c r="R26" s="362"/>
      <c r="S26" s="361"/>
      <c r="T26" s="362"/>
      <c r="U26" s="362"/>
    </row>
    <row r="27">
      <c r="A27" s="390" t="s">
        <v>425</v>
      </c>
      <c r="B27" s="390" t="s">
        <v>418</v>
      </c>
      <c r="C27" s="395" t="s">
        <v>362</v>
      </c>
      <c r="D27" s="390"/>
      <c r="E27" s="390"/>
      <c r="F27" s="390"/>
      <c r="G27" s="361"/>
      <c r="H27" s="362"/>
      <c r="I27" s="362"/>
      <c r="J27" s="361"/>
      <c r="K27" s="362"/>
      <c r="L27" s="362"/>
      <c r="M27" s="361"/>
      <c r="N27" s="362"/>
      <c r="O27" s="362"/>
      <c r="P27" s="361"/>
      <c r="Q27" s="362"/>
      <c r="R27" s="362"/>
      <c r="S27" s="361"/>
      <c r="T27" s="362"/>
      <c r="U27" s="362"/>
    </row>
    <row r="28">
      <c r="A28" s="364"/>
      <c r="B28" s="365"/>
      <c r="C28" s="365"/>
      <c r="D28" s="361"/>
      <c r="E28" s="362"/>
      <c r="F28" s="362"/>
      <c r="G28" s="364"/>
      <c r="H28" s="365"/>
      <c r="I28" s="365"/>
      <c r="J28" s="364"/>
      <c r="K28" s="365"/>
      <c r="L28" s="365"/>
      <c r="M28" s="364"/>
      <c r="N28" s="365"/>
      <c r="O28" s="365"/>
      <c r="P28" s="364"/>
      <c r="Q28" s="365"/>
      <c r="R28" s="365"/>
      <c r="S28" s="364"/>
      <c r="T28" s="365"/>
      <c r="U28" s="365"/>
    </row>
    <row r="29">
      <c r="A29" s="366" t="s">
        <v>7</v>
      </c>
      <c r="B29" s="192"/>
      <c r="C29" s="357"/>
      <c r="D29" s="367" t="s">
        <v>8</v>
      </c>
      <c r="E29" s="192"/>
      <c r="F29" s="357"/>
      <c r="G29" s="367" t="s">
        <v>9</v>
      </c>
      <c r="H29" s="192"/>
      <c r="I29" s="357"/>
      <c r="J29" s="367" t="s">
        <v>10</v>
      </c>
      <c r="K29" s="192"/>
      <c r="L29" s="357"/>
      <c r="M29" s="367" t="s">
        <v>11</v>
      </c>
      <c r="N29" s="192"/>
      <c r="O29" s="357"/>
      <c r="P29" s="367" t="s">
        <v>12</v>
      </c>
      <c r="Q29" s="192"/>
      <c r="R29" s="357"/>
      <c r="S29" s="368" t="s">
        <v>13</v>
      </c>
      <c r="T29" s="192"/>
      <c r="U29" s="357"/>
    </row>
    <row r="30">
      <c r="A30" s="380">
        <f>S22+1</f>
        <v>46160</v>
      </c>
      <c r="B30" s="192"/>
      <c r="C30" s="357"/>
      <c r="D30" s="381">
        <f>A30+1</f>
        <v>46161</v>
      </c>
      <c r="E30" s="192"/>
      <c r="F30" s="357"/>
      <c r="G30" s="381">
        <f>D30+1</f>
        <v>46162</v>
      </c>
      <c r="H30" s="192"/>
      <c r="I30" s="357"/>
      <c r="J30" s="381">
        <f>G30+1</f>
        <v>46163</v>
      </c>
      <c r="K30" s="192"/>
      <c r="L30" s="357"/>
      <c r="M30" s="381">
        <f>J30+1</f>
        <v>46164</v>
      </c>
      <c r="N30" s="192"/>
      <c r="O30" s="357"/>
      <c r="P30" s="381">
        <f>M30+1</f>
        <v>46165</v>
      </c>
      <c r="Q30" s="192"/>
      <c r="R30" s="357"/>
      <c r="S30" s="382">
        <f>P30+1</f>
        <v>46166</v>
      </c>
      <c r="T30" s="192"/>
      <c r="U30" s="357"/>
    </row>
    <row r="31">
      <c r="A31" s="361"/>
      <c r="B31" s="362"/>
      <c r="C31" s="362"/>
      <c r="D31" s="361"/>
      <c r="E31" s="362"/>
      <c r="F31" s="362"/>
      <c r="G31" s="361"/>
      <c r="H31" s="362"/>
      <c r="I31" s="362"/>
      <c r="J31" s="361"/>
      <c r="K31" s="362"/>
      <c r="L31" s="362"/>
      <c r="M31" s="361"/>
      <c r="N31" s="362"/>
      <c r="O31" s="362"/>
      <c r="P31" s="361"/>
      <c r="Q31" s="362"/>
      <c r="R31" s="362"/>
      <c r="S31" s="361"/>
      <c r="T31" s="362"/>
      <c r="U31" s="362"/>
    </row>
    <row r="32">
      <c r="A32" s="361"/>
      <c r="B32" s="362"/>
      <c r="C32" s="362"/>
      <c r="D32" s="361"/>
      <c r="E32" s="362"/>
      <c r="F32" s="362"/>
      <c r="G32" s="361"/>
      <c r="H32" s="362"/>
      <c r="I32" s="362"/>
      <c r="J32" s="361"/>
      <c r="K32" s="362"/>
      <c r="L32" s="362"/>
      <c r="M32" s="361"/>
      <c r="N32" s="362"/>
      <c r="O32" s="362"/>
      <c r="P32" s="373" t="s">
        <v>143</v>
      </c>
      <c r="Q32" s="374" t="s">
        <v>63</v>
      </c>
      <c r="R32" s="375" t="s">
        <v>27</v>
      </c>
      <c r="S32" s="361"/>
      <c r="T32" s="362"/>
      <c r="U32" s="362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 t="s">
        <v>414</v>
      </c>
      <c r="K33" s="63" t="s">
        <v>415</v>
      </c>
      <c r="L33" s="63" t="s">
        <v>153</v>
      </c>
      <c r="M33" s="405" t="s">
        <v>14</v>
      </c>
      <c r="N33" s="263"/>
      <c r="O33" s="264"/>
      <c r="P33" s="63"/>
      <c r="Q33" s="63"/>
      <c r="R33" s="63"/>
      <c r="S33" s="63"/>
      <c r="T33" s="63"/>
      <c r="U33" s="63"/>
    </row>
    <row r="34">
      <c r="A34" s="390" t="s">
        <v>424</v>
      </c>
      <c r="B34" s="390" t="s">
        <v>93</v>
      </c>
      <c r="C34" s="395" t="s">
        <v>362</v>
      </c>
      <c r="D34" s="21" t="s">
        <v>19</v>
      </c>
      <c r="E34" s="21" t="s">
        <v>41</v>
      </c>
      <c r="F34" s="32" t="s">
        <v>62</v>
      </c>
      <c r="G34" s="361"/>
      <c r="H34" s="63"/>
      <c r="I34" s="63"/>
      <c r="J34" s="361"/>
      <c r="K34" s="362"/>
      <c r="L34" s="362"/>
      <c r="M34" s="361"/>
      <c r="N34" s="362"/>
      <c r="O34" s="362"/>
      <c r="P34" s="361"/>
      <c r="Q34" s="362"/>
      <c r="R34" s="362"/>
      <c r="S34" s="361"/>
      <c r="T34" s="362"/>
      <c r="U34" s="362"/>
    </row>
    <row r="35">
      <c r="A35" s="390" t="s">
        <v>425</v>
      </c>
      <c r="B35" s="390" t="s">
        <v>418</v>
      </c>
      <c r="C35" s="395" t="s">
        <v>362</v>
      </c>
      <c r="D35" s="390"/>
      <c r="E35" s="390"/>
      <c r="F35" s="390"/>
      <c r="G35" s="361"/>
      <c r="H35" s="362"/>
      <c r="I35" s="362"/>
      <c r="J35" s="361"/>
      <c r="K35" s="362"/>
      <c r="L35" s="362"/>
      <c r="M35" s="361"/>
      <c r="N35" s="362"/>
      <c r="O35" s="362"/>
      <c r="P35" s="361"/>
      <c r="Q35" s="362"/>
      <c r="R35" s="362"/>
      <c r="S35" s="361"/>
      <c r="T35" s="362"/>
      <c r="U35" s="362"/>
    </row>
    <row r="36">
      <c r="A36" s="364"/>
      <c r="B36" s="365"/>
      <c r="C36" s="365"/>
      <c r="D36" s="364"/>
      <c r="E36" s="365"/>
      <c r="F36" s="365"/>
      <c r="G36" s="364"/>
      <c r="H36" s="365"/>
      <c r="I36" s="365"/>
      <c r="J36" s="364"/>
      <c r="K36" s="365"/>
      <c r="L36" s="365"/>
      <c r="M36" s="364"/>
      <c r="N36" s="365"/>
      <c r="O36" s="365"/>
      <c r="P36" s="364"/>
      <c r="Q36" s="365"/>
      <c r="R36" s="365"/>
      <c r="S36" s="364"/>
      <c r="T36" s="365"/>
      <c r="U36" s="365"/>
    </row>
    <row r="37">
      <c r="A37" s="376" t="s">
        <v>7</v>
      </c>
      <c r="B37" s="192"/>
      <c r="C37" s="357"/>
      <c r="D37" s="377" t="s">
        <v>8</v>
      </c>
      <c r="E37" s="192"/>
      <c r="F37" s="357"/>
      <c r="G37" s="377" t="s">
        <v>9</v>
      </c>
      <c r="H37" s="192"/>
      <c r="I37" s="357"/>
      <c r="J37" s="377" t="s">
        <v>10</v>
      </c>
      <c r="K37" s="192"/>
      <c r="L37" s="357"/>
      <c r="M37" s="377"/>
      <c r="N37" s="192"/>
      <c r="O37" s="357"/>
      <c r="P37" s="377"/>
      <c r="Q37" s="192"/>
      <c r="R37" s="357"/>
      <c r="S37" s="378"/>
      <c r="T37" s="192"/>
      <c r="U37" s="357"/>
    </row>
    <row r="38">
      <c r="A38" s="379">
        <f>S30+1</f>
        <v>46167</v>
      </c>
      <c r="B38" s="192"/>
      <c r="C38" s="357"/>
      <c r="D38" s="359">
        <f>A38+1</f>
        <v>46168</v>
      </c>
      <c r="E38" s="192"/>
      <c r="F38" s="357"/>
      <c r="G38" s="359">
        <f>D38+1</f>
        <v>46169</v>
      </c>
      <c r="H38" s="192"/>
      <c r="I38" s="357"/>
      <c r="J38" s="359">
        <f>G38+1</f>
        <v>46170</v>
      </c>
      <c r="K38" s="192"/>
      <c r="L38" s="357"/>
      <c r="M38" s="359"/>
      <c r="N38" s="192"/>
      <c r="O38" s="357"/>
      <c r="P38" s="359"/>
      <c r="Q38" s="192"/>
      <c r="R38" s="357"/>
      <c r="S38" s="360"/>
      <c r="T38" s="192"/>
      <c r="U38" s="357"/>
    </row>
    <row r="39">
      <c r="A39" s="361"/>
      <c r="B39" s="362"/>
      <c r="C39" s="362"/>
      <c r="D39" s="361"/>
      <c r="E39" s="362"/>
      <c r="F39" s="362"/>
      <c r="G39" s="361"/>
      <c r="H39" s="362"/>
      <c r="I39" s="362"/>
      <c r="J39" s="361"/>
      <c r="K39" s="362"/>
      <c r="L39" s="362"/>
      <c r="M39" s="361"/>
      <c r="N39" s="362"/>
      <c r="O39" s="362"/>
      <c r="P39" s="361"/>
      <c r="Q39" s="362"/>
      <c r="R39" s="362"/>
      <c r="S39" s="361"/>
      <c r="T39" s="362"/>
      <c r="U39" s="362"/>
    </row>
    <row r="40">
      <c r="A40" s="361"/>
      <c r="B40" s="362"/>
      <c r="C40" s="362"/>
      <c r="D40" s="361"/>
      <c r="E40" s="362"/>
      <c r="F40" s="362"/>
      <c r="G40" s="361"/>
      <c r="H40" s="63"/>
      <c r="I40" s="63"/>
      <c r="J40" s="361"/>
      <c r="K40" s="362"/>
      <c r="L40" s="362"/>
      <c r="M40" s="361"/>
      <c r="N40" s="362"/>
      <c r="O40" s="362"/>
      <c r="P40" s="361"/>
      <c r="Q40" s="362"/>
      <c r="R40" s="362"/>
      <c r="S40" s="361"/>
      <c r="T40" s="362"/>
      <c r="U40" s="362"/>
    </row>
    <row r="41">
      <c r="A41" s="63"/>
      <c r="B41" s="63"/>
      <c r="C41" s="63"/>
      <c r="D41" s="361"/>
      <c r="E41" s="362"/>
      <c r="F41" s="362"/>
      <c r="G41" s="407"/>
      <c r="H41" s="407"/>
      <c r="I41" s="407"/>
      <c r="J41" s="405" t="s">
        <v>14</v>
      </c>
      <c r="K41" s="263"/>
      <c r="L41" s="264"/>
      <c r="M41" s="63"/>
      <c r="N41" s="63"/>
      <c r="O41" s="63"/>
      <c r="P41" s="63"/>
      <c r="Q41" s="63"/>
      <c r="R41" s="63"/>
      <c r="S41" s="63"/>
      <c r="T41" s="63"/>
      <c r="U41" s="63"/>
    </row>
    <row r="42">
      <c r="A42" s="390" t="s">
        <v>424</v>
      </c>
      <c r="B42" s="390" t="s">
        <v>93</v>
      </c>
      <c r="C42" s="395" t="s">
        <v>362</v>
      </c>
      <c r="D42" s="390"/>
      <c r="E42" s="390"/>
      <c r="F42" s="390"/>
      <c r="G42" s="361"/>
      <c r="H42" s="362"/>
      <c r="I42" s="362"/>
      <c r="J42" s="361"/>
      <c r="K42" s="362"/>
      <c r="L42" s="362"/>
      <c r="M42" s="361"/>
      <c r="N42" s="362"/>
      <c r="O42" s="362"/>
      <c r="P42" s="361"/>
      <c r="Q42" s="362"/>
      <c r="R42" s="362"/>
      <c r="S42" s="361"/>
      <c r="T42" s="362"/>
      <c r="U42" s="362"/>
    </row>
    <row r="43">
      <c r="A43" s="390" t="s">
        <v>425</v>
      </c>
      <c r="B43" s="390" t="s">
        <v>418</v>
      </c>
      <c r="C43" s="395" t="s">
        <v>362</v>
      </c>
      <c r="D43" s="361"/>
      <c r="E43" s="362"/>
      <c r="F43" s="362"/>
      <c r="G43" s="361"/>
      <c r="H43" s="362"/>
      <c r="I43" s="362"/>
      <c r="J43" s="361"/>
      <c r="K43" s="362"/>
      <c r="L43" s="362"/>
      <c r="M43" s="361"/>
      <c r="N43" s="362"/>
      <c r="O43" s="362"/>
      <c r="P43" s="361"/>
      <c r="Q43" s="362"/>
      <c r="R43" s="362"/>
      <c r="S43" s="361"/>
      <c r="T43" s="362"/>
      <c r="U43" s="362"/>
    </row>
    <row r="44">
      <c r="A44" s="364"/>
      <c r="B44" s="365"/>
      <c r="C44" s="365"/>
      <c r="D44" s="364"/>
      <c r="E44" s="365"/>
      <c r="F44" s="365"/>
      <c r="G44" s="364"/>
      <c r="H44" s="365"/>
      <c r="I44" s="365"/>
      <c r="J44" s="364"/>
      <c r="K44" s="365"/>
      <c r="L44" s="365"/>
      <c r="M44" s="364"/>
      <c r="N44" s="365"/>
      <c r="O44" s="365"/>
      <c r="P44" s="364"/>
      <c r="Q44" s="365"/>
      <c r="R44" s="365"/>
      <c r="S44" s="364"/>
      <c r="T44" s="365"/>
      <c r="U44" s="365"/>
    </row>
    <row r="45">
      <c r="A45" s="366"/>
      <c r="B45" s="192"/>
      <c r="C45" s="357"/>
      <c r="D45" s="367"/>
      <c r="E45" s="192"/>
      <c r="F45" s="357"/>
      <c r="G45" s="367"/>
      <c r="H45" s="192"/>
      <c r="I45" s="357"/>
      <c r="J45" s="367"/>
      <c r="K45" s="192"/>
      <c r="L45" s="357"/>
      <c r="M45" s="367"/>
      <c r="N45" s="192"/>
      <c r="O45" s="357"/>
      <c r="P45" s="367"/>
      <c r="Q45" s="192"/>
      <c r="R45" s="357"/>
      <c r="S45" s="383"/>
      <c r="T45" s="192"/>
      <c r="U45" s="357"/>
    </row>
    <row r="46">
      <c r="A46" s="380"/>
      <c r="B46" s="192"/>
      <c r="C46" s="357"/>
      <c r="D46" s="381"/>
      <c r="E46" s="192"/>
      <c r="F46" s="357"/>
      <c r="G46" s="381"/>
      <c r="H46" s="192"/>
      <c r="I46" s="357"/>
      <c r="J46" s="381"/>
      <c r="K46" s="192"/>
      <c r="L46" s="357"/>
      <c r="M46" s="381"/>
      <c r="N46" s="192"/>
      <c r="O46" s="357"/>
      <c r="P46" s="381"/>
      <c r="Q46" s="192"/>
      <c r="R46" s="357"/>
      <c r="S46" s="384"/>
      <c r="T46" s="192"/>
      <c r="U46" s="357"/>
    </row>
    <row r="47">
      <c r="A47" s="385"/>
      <c r="B47" s="385"/>
      <c r="C47" s="385"/>
      <c r="D47" s="386"/>
      <c r="E47" s="386"/>
      <c r="F47" s="386"/>
      <c r="G47" s="365"/>
      <c r="H47" s="387"/>
      <c r="I47" s="387"/>
      <c r="J47" s="388"/>
      <c r="K47" s="388"/>
      <c r="L47" s="388"/>
      <c r="M47" s="389"/>
      <c r="N47" s="389"/>
      <c r="O47" s="389"/>
      <c r="P47" s="389"/>
      <c r="Q47" s="389"/>
      <c r="R47" s="389"/>
      <c r="S47" s="388"/>
      <c r="T47" s="388"/>
      <c r="U47" s="388"/>
    </row>
    <row r="48">
      <c r="A48" s="386"/>
      <c r="B48" s="386"/>
      <c r="C48" s="386"/>
      <c r="D48" s="390"/>
      <c r="E48" s="390"/>
      <c r="F48" s="390"/>
      <c r="G48" s="389"/>
      <c r="H48" s="389"/>
      <c r="I48" s="389"/>
      <c r="J48" s="388"/>
      <c r="K48" s="388"/>
      <c r="L48" s="388"/>
      <c r="M48" s="391"/>
      <c r="N48" s="391"/>
      <c r="O48" s="391"/>
      <c r="P48" s="389"/>
      <c r="Q48" s="389"/>
      <c r="R48" s="389"/>
      <c r="S48" s="389"/>
      <c r="T48" s="389"/>
      <c r="U48" s="389"/>
    </row>
    <row r="49">
      <c r="A49" s="386"/>
      <c r="B49" s="386"/>
      <c r="C49" s="386"/>
      <c r="D49" s="386"/>
      <c r="E49" s="386"/>
      <c r="F49" s="386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</row>
    <row r="50">
      <c r="A50" s="389"/>
      <c r="B50" s="389"/>
      <c r="C50" s="389"/>
      <c r="D50" s="386"/>
      <c r="E50" s="386"/>
      <c r="F50" s="386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8"/>
      <c r="T50" s="388"/>
      <c r="U50" s="388"/>
    </row>
    <row r="51">
      <c r="A51" s="385"/>
      <c r="B51" s="385"/>
      <c r="C51" s="385"/>
      <c r="D51" s="392"/>
      <c r="E51" s="392"/>
      <c r="F51" s="392"/>
      <c r="G51" s="389"/>
      <c r="H51" s="389"/>
      <c r="I51" s="388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</row>
    <row r="52">
      <c r="A52" s="393"/>
      <c r="B52" s="388"/>
      <c r="C52" s="388"/>
      <c r="D52" s="389"/>
      <c r="E52" s="389"/>
      <c r="F52" s="389"/>
      <c r="G52" s="388"/>
      <c r="H52" s="388"/>
      <c r="I52" s="388"/>
      <c r="J52" s="389"/>
      <c r="K52" s="389"/>
      <c r="L52" s="389"/>
      <c r="M52" s="388"/>
      <c r="N52" s="388"/>
      <c r="O52" s="388"/>
      <c r="P52" s="389"/>
      <c r="Q52" s="389"/>
      <c r="R52" s="389"/>
      <c r="S52" s="388"/>
      <c r="T52" s="388"/>
      <c r="U52" s="388"/>
    </row>
    <row r="53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</row>
    <row r="63">
      <c r="L63" s="75" t="s">
        <v>0</v>
      </c>
    </row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S22:U22"/>
    <mergeCell ref="P22:R22"/>
    <mergeCell ref="P25:R25"/>
    <mergeCell ref="A29:C29"/>
    <mergeCell ref="D29:F29"/>
    <mergeCell ref="G29:I29"/>
    <mergeCell ref="J29:L29"/>
    <mergeCell ref="M29:O29"/>
    <mergeCell ref="A30:C30"/>
    <mergeCell ref="D30:F30"/>
    <mergeCell ref="G30:I30"/>
    <mergeCell ref="J30:L30"/>
    <mergeCell ref="M30:O30"/>
    <mergeCell ref="P30:R30"/>
    <mergeCell ref="M33:O33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J41:L41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9:R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P29:R29"/>
    <mergeCell ref="S29:U29"/>
    <mergeCell ref="S30:U3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19" max="19" width="19.14"/>
    <col customWidth="1" min="21" max="21" width="7.86"/>
  </cols>
  <sheetData>
    <row r="1">
      <c r="A1" s="350" t="s">
        <v>69</v>
      </c>
      <c r="C1" s="348" t="s">
        <v>406</v>
      </c>
      <c r="F1" s="349"/>
      <c r="G1" s="4" t="s">
        <v>2</v>
      </c>
      <c r="Q1" s="349"/>
      <c r="R1" s="349"/>
      <c r="S1" s="349"/>
      <c r="T1" s="349"/>
      <c r="U1" s="349"/>
    </row>
    <row r="2">
      <c r="A2" s="350" t="s">
        <v>3</v>
      </c>
      <c r="C2" s="348" t="s">
        <v>170</v>
      </c>
      <c r="F2" s="349"/>
      <c r="Q2" s="349"/>
      <c r="R2" s="349"/>
      <c r="S2" s="349"/>
      <c r="T2" s="349"/>
      <c r="U2" s="349"/>
    </row>
    <row r="3">
      <c r="A3" s="350" t="s">
        <v>5</v>
      </c>
      <c r="C3" s="351"/>
      <c r="F3" s="349"/>
      <c r="Q3" s="349"/>
      <c r="R3" s="349"/>
      <c r="S3" s="349"/>
      <c r="T3" s="349"/>
      <c r="U3" s="349"/>
    </row>
    <row r="4">
      <c r="A4" s="352" t="s">
        <v>6</v>
      </c>
      <c r="B4" s="192"/>
      <c r="C4" s="353"/>
      <c r="D4" s="192"/>
      <c r="E4" s="192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</row>
    <row r="5">
      <c r="A5" s="262" t="s">
        <v>7</v>
      </c>
      <c r="B5" s="263"/>
      <c r="C5" s="264"/>
      <c r="D5" s="262" t="s">
        <v>8</v>
      </c>
      <c r="E5" s="263"/>
      <c r="F5" s="264"/>
      <c r="G5" s="262" t="s">
        <v>9</v>
      </c>
      <c r="H5" s="263"/>
      <c r="I5" s="264"/>
      <c r="J5" s="262" t="s">
        <v>10</v>
      </c>
      <c r="K5" s="263"/>
      <c r="L5" s="264"/>
      <c r="M5" s="265" t="s">
        <v>11</v>
      </c>
      <c r="N5" s="263"/>
      <c r="O5" s="264"/>
      <c r="P5" s="262" t="s">
        <v>12</v>
      </c>
      <c r="Q5" s="263"/>
      <c r="R5" s="264"/>
      <c r="S5" s="265" t="s">
        <v>13</v>
      </c>
      <c r="T5" s="263"/>
      <c r="U5" s="264"/>
    </row>
    <row r="6">
      <c r="A6" s="355"/>
      <c r="B6" s="263"/>
      <c r="C6" s="264"/>
      <c r="D6" s="356"/>
      <c r="E6" s="192"/>
      <c r="F6" s="357"/>
      <c r="G6" s="355"/>
      <c r="H6" s="263"/>
      <c r="I6" s="264"/>
      <c r="J6" s="355"/>
      <c r="K6" s="263"/>
      <c r="L6" s="264"/>
      <c r="M6" s="358">
        <v>46143.0</v>
      </c>
      <c r="N6" s="263"/>
      <c r="O6" s="264"/>
      <c r="P6" s="359">
        <f>M6+1</f>
        <v>46144</v>
      </c>
      <c r="Q6" s="192"/>
      <c r="R6" s="357"/>
      <c r="S6" s="360">
        <f>P6+1</f>
        <v>46145</v>
      </c>
      <c r="T6" s="192"/>
      <c r="U6" s="357"/>
    </row>
    <row r="7">
      <c r="A7" s="361"/>
      <c r="B7" s="362"/>
      <c r="C7" s="362"/>
      <c r="D7" s="361"/>
      <c r="E7" s="362"/>
      <c r="F7" s="362"/>
      <c r="G7" s="361"/>
      <c r="H7" s="362"/>
      <c r="I7" s="362"/>
      <c r="J7" s="361"/>
      <c r="K7" s="362"/>
      <c r="L7" s="362"/>
      <c r="M7" s="361"/>
      <c r="N7" s="362"/>
      <c r="O7" s="362"/>
      <c r="P7" s="361"/>
      <c r="Q7" s="362"/>
      <c r="R7" s="362"/>
      <c r="S7" s="361"/>
      <c r="T7" s="362"/>
      <c r="U7" s="362"/>
    </row>
    <row r="8">
      <c r="A8" s="361"/>
      <c r="B8" s="362"/>
      <c r="C8" s="362"/>
      <c r="D8" s="361"/>
      <c r="E8" s="362"/>
      <c r="F8" s="362"/>
      <c r="G8" s="361"/>
      <c r="H8" s="362"/>
      <c r="I8" s="362"/>
      <c r="J8" s="361"/>
      <c r="K8" s="362"/>
      <c r="L8" s="362"/>
      <c r="M8" s="361"/>
      <c r="N8" s="362"/>
      <c r="O8" s="362"/>
      <c r="P8" s="361"/>
      <c r="Q8" s="362"/>
      <c r="R8" s="362"/>
      <c r="S8" s="361"/>
      <c r="T8" s="362"/>
      <c r="U8" s="362"/>
    </row>
    <row r="9">
      <c r="A9" s="63"/>
      <c r="B9" s="63"/>
      <c r="C9" s="63"/>
      <c r="D9" s="63"/>
      <c r="E9" s="63"/>
      <c r="F9" s="63"/>
      <c r="G9" s="361"/>
      <c r="H9" s="362"/>
      <c r="I9" s="362"/>
      <c r="J9" s="361"/>
      <c r="K9" s="362"/>
      <c r="L9" s="362"/>
      <c r="M9" s="361"/>
      <c r="N9" s="362"/>
      <c r="O9" s="362"/>
      <c r="P9" s="361"/>
      <c r="Q9" s="362"/>
      <c r="R9" s="362"/>
      <c r="S9" s="361"/>
      <c r="T9" s="362"/>
      <c r="U9" s="362"/>
    </row>
    <row r="10">
      <c r="A10" s="361"/>
      <c r="B10" s="362"/>
      <c r="C10" s="362"/>
      <c r="D10" s="361"/>
      <c r="E10" s="362"/>
      <c r="F10" s="362"/>
      <c r="G10" s="361"/>
      <c r="H10" s="362"/>
      <c r="I10" s="362"/>
      <c r="J10" s="361"/>
      <c r="K10" s="362"/>
      <c r="L10" s="362"/>
      <c r="M10" s="361"/>
      <c r="N10" s="362"/>
      <c r="O10" s="362"/>
      <c r="P10" s="361"/>
      <c r="Q10" s="362"/>
      <c r="R10" s="362"/>
      <c r="S10" s="361"/>
      <c r="T10" s="362"/>
      <c r="U10" s="362"/>
    </row>
    <row r="11">
      <c r="A11" s="361"/>
      <c r="B11" s="362"/>
      <c r="C11" s="362"/>
      <c r="D11" s="361"/>
      <c r="E11" s="362"/>
      <c r="F11" s="362"/>
      <c r="G11" s="361"/>
      <c r="H11" s="362"/>
      <c r="I11" s="362"/>
      <c r="J11" s="361"/>
      <c r="K11" s="362"/>
      <c r="L11" s="362"/>
      <c r="M11" s="361"/>
      <c r="N11" s="362"/>
      <c r="O11" s="362"/>
      <c r="P11" s="361"/>
      <c r="Q11" s="362"/>
      <c r="R11" s="362"/>
      <c r="S11" s="361"/>
      <c r="T11" s="362"/>
      <c r="U11" s="362"/>
    </row>
    <row r="12">
      <c r="A12" s="364"/>
      <c r="B12" s="365"/>
      <c r="C12" s="365"/>
      <c r="D12" s="364"/>
      <c r="E12" s="365"/>
      <c r="F12" s="365"/>
      <c r="G12" s="361"/>
      <c r="H12" s="362"/>
      <c r="I12" s="362"/>
      <c r="J12" s="361"/>
      <c r="K12" s="362"/>
      <c r="L12" s="362"/>
      <c r="M12" s="361"/>
      <c r="N12" s="362"/>
      <c r="O12" s="362"/>
      <c r="P12" s="361"/>
      <c r="Q12" s="362"/>
      <c r="R12" s="362"/>
      <c r="S12" s="361"/>
      <c r="T12" s="362"/>
      <c r="U12" s="362"/>
    </row>
    <row r="13">
      <c r="A13" s="366" t="s">
        <v>7</v>
      </c>
      <c r="B13" s="192"/>
      <c r="C13" s="357"/>
      <c r="D13" s="367" t="s">
        <v>8</v>
      </c>
      <c r="E13" s="192"/>
      <c r="F13" s="357"/>
      <c r="G13" s="367" t="s">
        <v>9</v>
      </c>
      <c r="H13" s="192"/>
      <c r="I13" s="357"/>
      <c r="J13" s="367" t="s">
        <v>10</v>
      </c>
      <c r="K13" s="192"/>
      <c r="L13" s="357"/>
      <c r="M13" s="367" t="s">
        <v>11</v>
      </c>
      <c r="N13" s="192"/>
      <c r="O13" s="357"/>
      <c r="P13" s="367" t="s">
        <v>12</v>
      </c>
      <c r="Q13" s="192"/>
      <c r="R13" s="357"/>
      <c r="S13" s="368" t="s">
        <v>13</v>
      </c>
      <c r="T13" s="192"/>
      <c r="U13" s="357"/>
    </row>
    <row r="14">
      <c r="A14" s="369">
        <f>S6+1</f>
        <v>46146</v>
      </c>
      <c r="B14" s="192"/>
      <c r="C14" s="357"/>
      <c r="D14" s="370">
        <f>A14+1</f>
        <v>46147</v>
      </c>
      <c r="E14" s="192"/>
      <c r="F14" s="357"/>
      <c r="G14" s="370">
        <f>D14+1</f>
        <v>46148</v>
      </c>
      <c r="H14" s="192"/>
      <c r="I14" s="357"/>
      <c r="J14" s="370">
        <f>G14+1</f>
        <v>46149</v>
      </c>
      <c r="K14" s="192"/>
      <c r="L14" s="357"/>
      <c r="M14" s="370">
        <f>J14+1</f>
        <v>46150</v>
      </c>
      <c r="N14" s="192"/>
      <c r="O14" s="357"/>
      <c r="P14" s="370">
        <f>M14+1</f>
        <v>46151</v>
      </c>
      <c r="Q14" s="192"/>
      <c r="R14" s="357"/>
      <c r="S14" s="371">
        <f>P14+1</f>
        <v>46152</v>
      </c>
      <c r="T14" s="192"/>
      <c r="U14" s="357"/>
    </row>
    <row r="15">
      <c r="A15" s="361"/>
      <c r="B15" s="362"/>
      <c r="C15" s="362"/>
      <c r="D15" s="361"/>
      <c r="E15" s="362"/>
      <c r="F15" s="362"/>
      <c r="G15" s="361"/>
      <c r="H15" s="362"/>
      <c r="I15" s="362"/>
      <c r="J15" s="361"/>
      <c r="K15" s="362"/>
      <c r="L15" s="362"/>
      <c r="M15" s="361"/>
      <c r="N15" s="362"/>
      <c r="O15" s="362"/>
      <c r="P15" s="361"/>
      <c r="Q15" s="362"/>
      <c r="R15" s="362"/>
      <c r="S15" s="361"/>
      <c r="T15" s="362"/>
      <c r="U15" s="362"/>
    </row>
    <row r="16">
      <c r="A16" s="399" t="s">
        <v>184</v>
      </c>
      <c r="B16" s="399" t="s">
        <v>185</v>
      </c>
      <c r="C16" s="362"/>
      <c r="D16" s="361"/>
      <c r="E16" s="362"/>
      <c r="F16" s="362"/>
      <c r="G16" s="361"/>
      <c r="H16" s="362"/>
      <c r="I16" s="362"/>
      <c r="J16" s="361"/>
      <c r="K16" s="362"/>
      <c r="L16" s="362"/>
      <c r="M16" s="361"/>
      <c r="N16" s="362"/>
      <c r="O16" s="362"/>
      <c r="P16" s="361"/>
      <c r="Q16" s="362"/>
      <c r="R16" s="362"/>
      <c r="S16" s="361" t="s">
        <v>426</v>
      </c>
      <c r="T16" s="409" t="s">
        <v>185</v>
      </c>
      <c r="U16" s="362" t="s">
        <v>62</v>
      </c>
    </row>
    <row r="17">
      <c r="A17" s="153" t="s">
        <v>131</v>
      </c>
      <c r="B17" s="153" t="s">
        <v>116</v>
      </c>
      <c r="C17" s="177" t="s">
        <v>427</v>
      </c>
      <c r="D17" s="156" t="s">
        <v>134</v>
      </c>
      <c r="E17" s="156" t="s">
        <v>137</v>
      </c>
      <c r="F17" s="395" t="s">
        <v>62</v>
      </c>
      <c r="G17" s="361"/>
      <c r="H17" s="362"/>
      <c r="I17" s="362"/>
      <c r="J17" s="361"/>
      <c r="K17" s="362"/>
      <c r="L17" s="362"/>
      <c r="M17" s="63"/>
      <c r="N17" s="63"/>
      <c r="O17" s="63"/>
      <c r="P17" s="361"/>
      <c r="Q17" s="362"/>
      <c r="R17" s="362"/>
      <c r="S17" s="63"/>
      <c r="T17" s="63"/>
      <c r="U17" s="63"/>
    </row>
    <row r="18">
      <c r="A18" s="390" t="s">
        <v>424</v>
      </c>
      <c r="B18" s="390" t="s">
        <v>93</v>
      </c>
      <c r="C18" s="395" t="s">
        <v>362</v>
      </c>
      <c r="D18" s="402" t="s">
        <v>413</v>
      </c>
      <c r="E18" s="63" t="s">
        <v>338</v>
      </c>
      <c r="F18" s="395" t="s">
        <v>62</v>
      </c>
      <c r="G18" s="361" t="s">
        <v>428</v>
      </c>
      <c r="H18" s="362" t="s">
        <v>116</v>
      </c>
      <c r="I18" s="362" t="s">
        <v>62</v>
      </c>
      <c r="J18" s="361" t="s">
        <v>429</v>
      </c>
      <c r="K18" s="362" t="s">
        <v>58</v>
      </c>
      <c r="L18" s="362" t="s">
        <v>62</v>
      </c>
      <c r="M18" s="361" t="s">
        <v>430</v>
      </c>
      <c r="N18" s="362" t="s">
        <v>58</v>
      </c>
      <c r="O18" s="362"/>
      <c r="P18" s="401" t="s">
        <v>14</v>
      </c>
      <c r="Q18" s="263"/>
      <c r="R18" s="264"/>
      <c r="S18" s="361"/>
      <c r="T18" s="362"/>
      <c r="U18" s="362"/>
    </row>
    <row r="19">
      <c r="A19" s="390" t="s">
        <v>425</v>
      </c>
      <c r="B19" s="390" t="s">
        <v>418</v>
      </c>
      <c r="C19" s="395" t="s">
        <v>362</v>
      </c>
      <c r="D19" s="403" t="s">
        <v>417</v>
      </c>
      <c r="E19" s="403" t="s">
        <v>418</v>
      </c>
      <c r="F19" s="395" t="s">
        <v>62</v>
      </c>
      <c r="G19" s="361" t="s">
        <v>431</v>
      </c>
      <c r="H19" s="362" t="s">
        <v>31</v>
      </c>
      <c r="I19" s="362" t="s">
        <v>62</v>
      </c>
      <c r="J19" s="361"/>
      <c r="K19" s="362"/>
      <c r="L19" s="362"/>
      <c r="M19" s="361"/>
      <c r="N19" s="362"/>
      <c r="O19" s="362"/>
      <c r="P19" s="361"/>
      <c r="Q19" s="362"/>
      <c r="R19" s="362"/>
      <c r="S19" s="361"/>
      <c r="T19" s="362"/>
      <c r="U19" s="362"/>
    </row>
    <row r="20">
      <c r="A20" s="364"/>
      <c r="B20" s="365"/>
      <c r="C20" s="365"/>
      <c r="D20" s="364"/>
      <c r="E20" s="365"/>
      <c r="F20" s="365"/>
      <c r="G20" s="361"/>
      <c r="H20" s="362"/>
      <c r="I20" s="362"/>
      <c r="J20" s="361"/>
      <c r="K20" s="362"/>
      <c r="L20" s="362"/>
      <c r="M20" s="364"/>
      <c r="N20" s="365"/>
      <c r="O20" s="365"/>
      <c r="P20" s="361"/>
      <c r="Q20" s="362"/>
      <c r="R20" s="362"/>
      <c r="S20" s="361"/>
      <c r="T20" s="362"/>
      <c r="U20" s="362"/>
    </row>
    <row r="21">
      <c r="A21" s="376" t="s">
        <v>7</v>
      </c>
      <c r="B21" s="192"/>
      <c r="C21" s="357"/>
      <c r="D21" s="377" t="s">
        <v>8</v>
      </c>
      <c r="E21" s="192"/>
      <c r="F21" s="357"/>
      <c r="G21" s="377" t="s">
        <v>9</v>
      </c>
      <c r="H21" s="192"/>
      <c r="I21" s="357"/>
      <c r="J21" s="377" t="s">
        <v>10</v>
      </c>
      <c r="K21" s="192"/>
      <c r="L21" s="357"/>
      <c r="M21" s="377" t="s">
        <v>11</v>
      </c>
      <c r="N21" s="192"/>
      <c r="O21" s="357"/>
      <c r="P21" s="377" t="s">
        <v>12</v>
      </c>
      <c r="Q21" s="192"/>
      <c r="R21" s="357"/>
      <c r="S21" s="378" t="s">
        <v>13</v>
      </c>
      <c r="T21" s="192"/>
      <c r="U21" s="357"/>
    </row>
    <row r="22">
      <c r="A22" s="379">
        <f>S14+1</f>
        <v>46153</v>
      </c>
      <c r="B22" s="192"/>
      <c r="C22" s="357"/>
      <c r="D22" s="359">
        <f>A22+1</f>
        <v>46154</v>
      </c>
      <c r="E22" s="192"/>
      <c r="F22" s="357"/>
      <c r="G22" s="359">
        <f>D22+1</f>
        <v>46155</v>
      </c>
      <c r="H22" s="192"/>
      <c r="I22" s="357"/>
      <c r="J22" s="359">
        <f>G22+1</f>
        <v>46156</v>
      </c>
      <c r="K22" s="192"/>
      <c r="L22" s="357"/>
      <c r="M22" s="359">
        <f>J22+1</f>
        <v>46157</v>
      </c>
      <c r="N22" s="192"/>
      <c r="O22" s="357"/>
      <c r="P22" s="359">
        <f>M22+1</f>
        <v>46158</v>
      </c>
      <c r="Q22" s="192"/>
      <c r="R22" s="357"/>
      <c r="S22" s="360">
        <f>P22+1</f>
        <v>46159</v>
      </c>
      <c r="T22" s="192"/>
      <c r="U22" s="357"/>
    </row>
    <row r="23">
      <c r="A23" s="361"/>
      <c r="B23" s="362"/>
      <c r="C23" s="362"/>
      <c r="D23" s="361"/>
      <c r="E23" s="362"/>
      <c r="F23" s="362"/>
      <c r="G23" s="361"/>
      <c r="H23" s="362"/>
      <c r="I23" s="362"/>
      <c r="J23" s="361"/>
      <c r="K23" s="362"/>
      <c r="L23" s="362"/>
      <c r="M23" s="361"/>
      <c r="N23" s="362"/>
      <c r="O23" s="362"/>
      <c r="P23" s="361"/>
      <c r="Q23" s="362"/>
      <c r="R23" s="362"/>
      <c r="S23" s="361"/>
      <c r="T23" s="362"/>
      <c r="U23" s="362"/>
    </row>
    <row r="24">
      <c r="A24" s="361"/>
      <c r="B24" s="362"/>
      <c r="C24" s="362"/>
      <c r="D24" s="156"/>
      <c r="E24" s="156"/>
      <c r="F24" s="395"/>
      <c r="G24" s="361"/>
      <c r="H24" s="362"/>
      <c r="I24" s="362"/>
      <c r="J24" s="361"/>
      <c r="K24" s="362"/>
      <c r="L24" s="362"/>
      <c r="M24" s="361"/>
      <c r="N24" s="362"/>
      <c r="O24" s="362"/>
      <c r="P24" s="361"/>
      <c r="Q24" s="362"/>
      <c r="R24" s="362"/>
      <c r="S24" s="361"/>
      <c r="T24" s="362"/>
      <c r="U24" s="362"/>
    </row>
    <row r="25">
      <c r="A25" s="390" t="s">
        <v>424</v>
      </c>
      <c r="B25" s="390" t="s">
        <v>93</v>
      </c>
      <c r="C25" s="395" t="s">
        <v>362</v>
      </c>
      <c r="D25" s="402" t="s">
        <v>413</v>
      </c>
      <c r="E25" s="63" t="s">
        <v>338</v>
      </c>
      <c r="F25" s="395" t="s">
        <v>362</v>
      </c>
      <c r="G25" s="149"/>
      <c r="H25" s="149"/>
      <c r="I25" s="149"/>
      <c r="J25" s="361"/>
      <c r="K25" s="362"/>
      <c r="L25" s="362"/>
      <c r="M25" s="361"/>
      <c r="N25" s="362"/>
      <c r="O25" s="362"/>
      <c r="P25" s="361"/>
      <c r="Q25" s="362"/>
      <c r="R25" s="362"/>
      <c r="S25" s="361"/>
      <c r="T25" s="362"/>
      <c r="U25" s="362"/>
    </row>
    <row r="26">
      <c r="A26" s="390" t="s">
        <v>425</v>
      </c>
      <c r="B26" s="390" t="s">
        <v>418</v>
      </c>
      <c r="C26" s="395" t="s">
        <v>362</v>
      </c>
      <c r="D26" s="403" t="s">
        <v>417</v>
      </c>
      <c r="E26" s="403" t="s">
        <v>418</v>
      </c>
      <c r="F26" s="395" t="s">
        <v>362</v>
      </c>
      <c r="G26" s="361"/>
      <c r="H26" s="362"/>
      <c r="I26" s="362"/>
      <c r="J26" s="361"/>
      <c r="K26" s="362"/>
      <c r="L26" s="362"/>
      <c r="M26" s="361"/>
      <c r="N26" s="362"/>
      <c r="O26" s="362"/>
      <c r="P26" s="361"/>
      <c r="Q26" s="362"/>
      <c r="R26" s="362"/>
      <c r="S26" s="361"/>
      <c r="T26" s="362"/>
      <c r="U26" s="362"/>
    </row>
    <row r="27">
      <c r="A27" s="361"/>
      <c r="B27" s="362"/>
      <c r="C27" s="362"/>
      <c r="D27" s="361"/>
      <c r="E27" s="362"/>
      <c r="F27" s="362"/>
      <c r="G27" s="361"/>
      <c r="H27" s="362"/>
      <c r="I27" s="362"/>
      <c r="J27" s="361"/>
      <c r="K27" s="362"/>
      <c r="L27" s="362"/>
      <c r="M27" s="361"/>
      <c r="N27" s="362"/>
      <c r="O27" s="362"/>
      <c r="P27" s="361"/>
      <c r="Q27" s="362"/>
      <c r="R27" s="362"/>
      <c r="S27" s="361"/>
      <c r="T27" s="362"/>
      <c r="U27" s="362"/>
    </row>
    <row r="28">
      <c r="A28" s="361"/>
      <c r="B28" s="362"/>
      <c r="C28" s="362"/>
      <c r="D28" s="361"/>
      <c r="E28" s="362"/>
      <c r="F28" s="362"/>
      <c r="G28" s="361"/>
      <c r="H28" s="362"/>
      <c r="I28" s="362"/>
      <c r="J28" s="361"/>
      <c r="K28" s="362"/>
      <c r="L28" s="362"/>
      <c r="M28" s="361"/>
      <c r="N28" s="362"/>
      <c r="O28" s="362"/>
      <c r="P28" s="361"/>
      <c r="Q28" s="362"/>
      <c r="R28" s="362"/>
      <c r="S28" s="361"/>
      <c r="T28" s="362"/>
      <c r="U28" s="362"/>
    </row>
    <row r="29">
      <c r="A29" s="366" t="s">
        <v>7</v>
      </c>
      <c r="B29" s="192"/>
      <c r="C29" s="357"/>
      <c r="D29" s="367" t="s">
        <v>8</v>
      </c>
      <c r="E29" s="192"/>
      <c r="F29" s="357"/>
      <c r="G29" s="367" t="s">
        <v>9</v>
      </c>
      <c r="H29" s="192"/>
      <c r="I29" s="357"/>
      <c r="J29" s="367" t="s">
        <v>10</v>
      </c>
      <c r="K29" s="192"/>
      <c r="L29" s="357"/>
      <c r="M29" s="367" t="s">
        <v>11</v>
      </c>
      <c r="N29" s="192"/>
      <c r="O29" s="357"/>
      <c r="P29" s="367" t="s">
        <v>12</v>
      </c>
      <c r="Q29" s="192"/>
      <c r="R29" s="357"/>
      <c r="S29" s="368" t="s">
        <v>13</v>
      </c>
      <c r="T29" s="192"/>
      <c r="U29" s="357"/>
    </row>
    <row r="30">
      <c r="A30" s="380">
        <f>S22+1</f>
        <v>46160</v>
      </c>
      <c r="B30" s="192"/>
      <c r="C30" s="357"/>
      <c r="D30" s="381">
        <f>A30+1</f>
        <v>46161</v>
      </c>
      <c r="E30" s="192"/>
      <c r="F30" s="357"/>
      <c r="G30" s="381">
        <f>D30+1</f>
        <v>46162</v>
      </c>
      <c r="H30" s="192"/>
      <c r="I30" s="357"/>
      <c r="J30" s="381">
        <f>G30+1</f>
        <v>46163</v>
      </c>
      <c r="K30" s="192"/>
      <c r="L30" s="357"/>
      <c r="M30" s="381">
        <f>J30+1</f>
        <v>46164</v>
      </c>
      <c r="N30" s="192"/>
      <c r="O30" s="357"/>
      <c r="P30" s="381">
        <f>M30+1</f>
        <v>46165</v>
      </c>
      <c r="Q30" s="192"/>
      <c r="R30" s="357"/>
      <c r="S30" s="382">
        <f>P30+1</f>
        <v>46166</v>
      </c>
      <c r="T30" s="192"/>
      <c r="U30" s="357"/>
    </row>
    <row r="31">
      <c r="A31" s="361"/>
      <c r="B31" s="362"/>
      <c r="C31" s="362"/>
      <c r="D31" s="361"/>
      <c r="E31" s="362"/>
      <c r="F31" s="362"/>
      <c r="G31" s="361"/>
      <c r="H31" s="362"/>
      <c r="I31" s="362"/>
      <c r="J31" s="361"/>
      <c r="K31" s="362"/>
      <c r="L31" s="362"/>
      <c r="M31" s="361"/>
      <c r="N31" s="362"/>
      <c r="O31" s="362"/>
      <c r="P31" s="361"/>
      <c r="Q31" s="362"/>
      <c r="R31" s="362"/>
      <c r="S31" s="361"/>
      <c r="T31" s="362"/>
      <c r="U31" s="362"/>
    </row>
    <row r="32">
      <c r="A32" s="361"/>
      <c r="B32" s="362"/>
      <c r="C32" s="362"/>
      <c r="D32" s="156" t="s">
        <v>134</v>
      </c>
      <c r="E32" s="156" t="s">
        <v>137</v>
      </c>
      <c r="F32" s="395" t="s">
        <v>62</v>
      </c>
      <c r="G32" s="361"/>
      <c r="H32" s="362"/>
      <c r="I32" s="362"/>
      <c r="J32" s="361"/>
      <c r="K32" s="362"/>
      <c r="L32" s="362"/>
      <c r="M32" s="361"/>
      <c r="N32" s="362"/>
      <c r="O32" s="362"/>
      <c r="P32" s="361"/>
      <c r="Q32" s="362"/>
      <c r="R32" s="362"/>
      <c r="S32" s="361" t="s">
        <v>426</v>
      </c>
      <c r="T32" s="409" t="s">
        <v>185</v>
      </c>
      <c r="U32" s="362" t="s">
        <v>62</v>
      </c>
    </row>
    <row r="33">
      <c r="A33" s="390" t="s">
        <v>424</v>
      </c>
      <c r="B33" s="390" t="s">
        <v>93</v>
      </c>
      <c r="C33" s="395" t="s">
        <v>362</v>
      </c>
      <c r="D33" s="402" t="s">
        <v>413</v>
      </c>
      <c r="E33" s="63" t="s">
        <v>338</v>
      </c>
      <c r="F33" s="395" t="s">
        <v>62</v>
      </c>
      <c r="G33" s="361"/>
      <c r="H33" s="362"/>
      <c r="I33" s="362"/>
      <c r="J33" s="361"/>
      <c r="K33" s="362"/>
      <c r="L33" s="362"/>
      <c r="M33" s="63"/>
      <c r="N33" s="63"/>
      <c r="O33" s="63"/>
      <c r="P33" s="361"/>
      <c r="Q33" s="362"/>
      <c r="R33" s="362"/>
      <c r="S33" s="63"/>
      <c r="T33" s="63"/>
      <c r="U33" s="63"/>
    </row>
    <row r="34">
      <c r="A34" s="390" t="s">
        <v>425</v>
      </c>
      <c r="B34" s="390" t="s">
        <v>418</v>
      </c>
      <c r="C34" s="395" t="s">
        <v>362</v>
      </c>
      <c r="D34" s="403" t="s">
        <v>417</v>
      </c>
      <c r="E34" s="403" t="s">
        <v>418</v>
      </c>
      <c r="F34" s="395" t="s">
        <v>62</v>
      </c>
      <c r="G34" s="361" t="s">
        <v>428</v>
      </c>
      <c r="H34" s="362" t="s">
        <v>116</v>
      </c>
      <c r="I34" s="362" t="s">
        <v>62</v>
      </c>
      <c r="J34" s="361" t="s">
        <v>429</v>
      </c>
      <c r="K34" s="362" t="s">
        <v>58</v>
      </c>
      <c r="L34" s="362" t="s">
        <v>62</v>
      </c>
      <c r="M34" s="361" t="s">
        <v>430</v>
      </c>
      <c r="N34" s="362" t="s">
        <v>58</v>
      </c>
      <c r="O34" s="362"/>
      <c r="P34" s="401" t="s">
        <v>14</v>
      </c>
      <c r="Q34" s="263"/>
      <c r="R34" s="264"/>
      <c r="S34" s="394" t="s">
        <v>432</v>
      </c>
      <c r="T34" s="363" t="s">
        <v>116</v>
      </c>
      <c r="U34" s="363" t="s">
        <v>322</v>
      </c>
    </row>
    <row r="35">
      <c r="A35" s="361"/>
      <c r="B35" s="362"/>
      <c r="C35" s="362"/>
      <c r="D35" s="361"/>
      <c r="E35" s="362"/>
      <c r="F35" s="362"/>
      <c r="G35" s="361" t="s">
        <v>431</v>
      </c>
      <c r="H35" s="362" t="s">
        <v>31</v>
      </c>
      <c r="I35" s="362" t="s">
        <v>62</v>
      </c>
      <c r="J35" s="361"/>
      <c r="K35" s="362"/>
      <c r="L35" s="362"/>
      <c r="M35" s="361"/>
      <c r="N35" s="362"/>
      <c r="O35" s="362"/>
      <c r="P35" s="361"/>
      <c r="Q35" s="362"/>
      <c r="R35" s="362"/>
      <c r="S35" s="361"/>
      <c r="T35" s="362"/>
      <c r="U35" s="362"/>
    </row>
    <row r="36">
      <c r="A36" s="361"/>
      <c r="B36" s="362"/>
      <c r="C36" s="362"/>
      <c r="D36" s="361"/>
      <c r="E36" s="362"/>
      <c r="F36" s="362"/>
      <c r="G36" s="361"/>
      <c r="H36" s="362"/>
      <c r="I36" s="362"/>
      <c r="J36" s="361"/>
      <c r="K36" s="362"/>
      <c r="L36" s="362"/>
      <c r="M36" s="364"/>
      <c r="N36" s="365"/>
      <c r="O36" s="365"/>
      <c r="P36" s="361"/>
      <c r="Q36" s="362"/>
      <c r="R36" s="362"/>
      <c r="S36" s="364"/>
      <c r="T36" s="365"/>
      <c r="U36" s="365"/>
    </row>
    <row r="37">
      <c r="A37" s="376" t="s">
        <v>7</v>
      </c>
      <c r="B37" s="192"/>
      <c r="C37" s="357"/>
      <c r="D37" s="377" t="s">
        <v>8</v>
      </c>
      <c r="E37" s="192"/>
      <c r="F37" s="357"/>
      <c r="G37" s="377" t="s">
        <v>9</v>
      </c>
      <c r="H37" s="192"/>
      <c r="I37" s="357"/>
      <c r="J37" s="377" t="s">
        <v>10</v>
      </c>
      <c r="K37" s="192"/>
      <c r="L37" s="357"/>
      <c r="M37" s="377" t="s">
        <v>11</v>
      </c>
      <c r="N37" s="192"/>
      <c r="O37" s="357"/>
      <c r="P37" s="377" t="s">
        <v>12</v>
      </c>
      <c r="Q37" s="192"/>
      <c r="R37" s="357"/>
      <c r="S37" s="378" t="s">
        <v>13</v>
      </c>
      <c r="T37" s="192"/>
      <c r="U37" s="357"/>
    </row>
    <row r="38">
      <c r="A38" s="379">
        <f>S30+1</f>
        <v>46167</v>
      </c>
      <c r="B38" s="192"/>
      <c r="C38" s="357"/>
      <c r="D38" s="359">
        <f>A38+1</f>
        <v>46168</v>
      </c>
      <c r="E38" s="192"/>
      <c r="F38" s="357"/>
      <c r="G38" s="359">
        <f>D38+1</f>
        <v>46169</v>
      </c>
      <c r="H38" s="192"/>
      <c r="I38" s="357"/>
      <c r="J38" s="359">
        <f>G38+1</f>
        <v>46170</v>
      </c>
      <c r="K38" s="192"/>
      <c r="L38" s="357"/>
      <c r="M38" s="359">
        <f>J38+1</f>
        <v>46171</v>
      </c>
      <c r="N38" s="192"/>
      <c r="O38" s="357"/>
      <c r="P38" s="359">
        <f>M38+1</f>
        <v>46172</v>
      </c>
      <c r="Q38" s="192"/>
      <c r="R38" s="357"/>
      <c r="S38" s="359">
        <f>P38+1</f>
        <v>46173</v>
      </c>
      <c r="T38" s="192"/>
      <c r="U38" s="357"/>
    </row>
    <row r="39">
      <c r="A39" s="361"/>
      <c r="B39" s="362"/>
      <c r="C39" s="362"/>
      <c r="D39" s="156" t="s">
        <v>134</v>
      </c>
      <c r="E39" s="156" t="s">
        <v>137</v>
      </c>
      <c r="F39" s="395" t="s">
        <v>362</v>
      </c>
      <c r="G39" s="361"/>
      <c r="H39" s="362"/>
      <c r="I39" s="362"/>
      <c r="J39" s="361"/>
      <c r="K39" s="362"/>
      <c r="L39" s="362"/>
      <c r="M39" s="361"/>
      <c r="N39" s="362"/>
      <c r="O39" s="362"/>
      <c r="P39" s="361"/>
      <c r="Q39" s="362"/>
      <c r="R39" s="362"/>
      <c r="S39" s="361"/>
      <c r="T39" s="362"/>
      <c r="U39" s="362"/>
    </row>
    <row r="40">
      <c r="A40" s="390" t="s">
        <v>424</v>
      </c>
      <c r="B40" s="390" t="s">
        <v>93</v>
      </c>
      <c r="C40" s="395" t="s">
        <v>362</v>
      </c>
      <c r="D40" s="402" t="s">
        <v>413</v>
      </c>
      <c r="E40" s="63" t="s">
        <v>338</v>
      </c>
      <c r="F40" s="395" t="s">
        <v>362</v>
      </c>
      <c r="G40" s="361"/>
      <c r="H40" s="362"/>
      <c r="I40" s="362"/>
      <c r="J40" s="361"/>
      <c r="K40" s="362"/>
      <c r="L40" s="362"/>
      <c r="M40" s="149"/>
      <c r="N40" s="149"/>
      <c r="O40" s="149"/>
      <c r="P40" s="361"/>
      <c r="Q40" s="362"/>
      <c r="R40" s="362"/>
      <c r="S40" s="361"/>
      <c r="T40" s="362"/>
      <c r="U40" s="362"/>
    </row>
    <row r="41">
      <c r="A41" s="390" t="s">
        <v>425</v>
      </c>
      <c r="B41" s="390" t="s">
        <v>418</v>
      </c>
      <c r="C41" s="395" t="s">
        <v>362</v>
      </c>
      <c r="D41" s="403" t="s">
        <v>417</v>
      </c>
      <c r="E41" s="403" t="s">
        <v>418</v>
      </c>
      <c r="F41" s="395" t="s">
        <v>362</v>
      </c>
      <c r="G41" s="401" t="s">
        <v>14</v>
      </c>
      <c r="H41" s="263"/>
      <c r="I41" s="264"/>
      <c r="J41" s="361"/>
      <c r="K41" s="362"/>
      <c r="L41" s="362"/>
      <c r="M41" s="63" t="s">
        <v>414</v>
      </c>
      <c r="N41" s="63" t="s">
        <v>415</v>
      </c>
      <c r="O41" s="63" t="s">
        <v>153</v>
      </c>
      <c r="P41" s="63"/>
      <c r="Q41" s="63"/>
      <c r="R41" s="63"/>
      <c r="S41" s="63"/>
      <c r="T41" s="63"/>
      <c r="U41" s="63"/>
    </row>
    <row r="42">
      <c r="A42" s="361"/>
      <c r="B42" s="362"/>
      <c r="C42" s="362"/>
      <c r="D42" s="361"/>
      <c r="E42" s="362"/>
      <c r="F42" s="362"/>
      <c r="G42" s="361"/>
      <c r="H42" s="362"/>
      <c r="I42" s="362"/>
      <c r="J42" s="361"/>
      <c r="K42" s="362"/>
      <c r="L42" s="362"/>
      <c r="M42" s="361"/>
      <c r="N42" s="362"/>
      <c r="O42" s="362"/>
      <c r="P42" s="361"/>
      <c r="Q42" s="362"/>
      <c r="R42" s="362"/>
      <c r="S42" s="361"/>
      <c r="T42" s="362"/>
      <c r="U42" s="362"/>
    </row>
    <row r="43">
      <c r="A43" s="361"/>
      <c r="B43" s="362"/>
      <c r="C43" s="362"/>
      <c r="D43" s="361"/>
      <c r="E43" s="362"/>
      <c r="F43" s="362"/>
      <c r="G43" s="361"/>
      <c r="H43" s="362"/>
      <c r="I43" s="362"/>
      <c r="J43" s="361"/>
      <c r="K43" s="362"/>
      <c r="L43" s="362"/>
      <c r="M43" s="361"/>
      <c r="N43" s="362"/>
      <c r="O43" s="362"/>
      <c r="P43" s="361"/>
      <c r="Q43" s="362"/>
      <c r="R43" s="362"/>
      <c r="S43" s="361"/>
      <c r="T43" s="362"/>
      <c r="U43" s="362"/>
    </row>
    <row r="44">
      <c r="A44" s="361"/>
      <c r="B44" s="362"/>
      <c r="C44" s="362"/>
      <c r="D44" s="361"/>
      <c r="E44" s="362"/>
      <c r="F44" s="362"/>
      <c r="G44" s="361"/>
      <c r="H44" s="362"/>
      <c r="I44" s="362"/>
      <c r="J44" s="361"/>
      <c r="K44" s="362"/>
      <c r="L44" s="362"/>
      <c r="M44" s="364"/>
      <c r="N44" s="365"/>
      <c r="O44" s="365"/>
      <c r="P44" s="364"/>
      <c r="Q44" s="365"/>
      <c r="R44" s="365"/>
      <c r="S44" s="364"/>
      <c r="T44" s="365"/>
      <c r="U44" s="365"/>
    </row>
    <row r="45">
      <c r="A45" s="366"/>
      <c r="B45" s="192"/>
      <c r="C45" s="357"/>
      <c r="D45" s="367"/>
      <c r="E45" s="192"/>
      <c r="F45" s="357"/>
      <c r="G45" s="367"/>
      <c r="H45" s="192"/>
      <c r="I45" s="357"/>
      <c r="J45" s="367"/>
      <c r="K45" s="192"/>
      <c r="L45" s="357"/>
      <c r="M45" s="367"/>
      <c r="N45" s="192"/>
      <c r="O45" s="357"/>
      <c r="P45" s="367"/>
      <c r="Q45" s="192"/>
      <c r="R45" s="357"/>
      <c r="S45" s="383"/>
      <c r="T45" s="192"/>
      <c r="U45" s="357"/>
    </row>
    <row r="46">
      <c r="A46" s="380"/>
      <c r="B46" s="192"/>
      <c r="C46" s="357"/>
      <c r="D46" s="381"/>
      <c r="E46" s="192"/>
      <c r="F46" s="357"/>
      <c r="G46" s="381"/>
      <c r="H46" s="192"/>
      <c r="I46" s="357"/>
      <c r="J46" s="381"/>
      <c r="K46" s="192"/>
      <c r="L46" s="357"/>
      <c r="M46" s="381"/>
      <c r="N46" s="192"/>
      <c r="O46" s="357"/>
      <c r="P46" s="381"/>
      <c r="Q46" s="192"/>
      <c r="R46" s="357"/>
      <c r="S46" s="384"/>
      <c r="T46" s="192"/>
      <c r="U46" s="357"/>
    </row>
    <row r="47">
      <c r="A47" s="385"/>
      <c r="B47" s="385"/>
      <c r="C47" s="385"/>
      <c r="D47" s="386"/>
      <c r="E47" s="386"/>
      <c r="F47" s="386"/>
      <c r="G47" s="365"/>
      <c r="H47" s="387"/>
      <c r="I47" s="387"/>
      <c r="J47" s="388"/>
      <c r="K47" s="388"/>
      <c r="L47" s="388"/>
      <c r="M47" s="389"/>
      <c r="N47" s="389"/>
      <c r="O47" s="389"/>
      <c r="P47" s="389"/>
      <c r="Q47" s="389"/>
      <c r="R47" s="389"/>
      <c r="S47" s="388"/>
      <c r="T47" s="388"/>
      <c r="U47" s="388"/>
    </row>
    <row r="48">
      <c r="A48" s="386"/>
      <c r="B48" s="386"/>
      <c r="C48" s="386"/>
      <c r="D48" s="390"/>
      <c r="E48" s="390"/>
      <c r="F48" s="390"/>
      <c r="G48" s="389"/>
      <c r="H48" s="389"/>
      <c r="I48" s="389"/>
      <c r="J48" s="388"/>
      <c r="K48" s="388"/>
      <c r="L48" s="388"/>
      <c r="M48" s="391"/>
      <c r="N48" s="391"/>
      <c r="O48" s="391"/>
      <c r="P48" s="389"/>
      <c r="Q48" s="389"/>
      <c r="R48" s="389"/>
      <c r="S48" s="389"/>
      <c r="T48" s="389"/>
      <c r="U48" s="389"/>
    </row>
    <row r="49">
      <c r="A49" s="386"/>
      <c r="B49" s="386"/>
      <c r="C49" s="386"/>
      <c r="D49" s="386"/>
      <c r="E49" s="386"/>
      <c r="F49" s="386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</row>
    <row r="50">
      <c r="A50" s="389"/>
      <c r="B50" s="389"/>
      <c r="C50" s="389"/>
      <c r="D50" s="386"/>
      <c r="E50" s="386"/>
      <c r="F50" s="386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8"/>
      <c r="T50" s="388"/>
      <c r="U50" s="388"/>
    </row>
    <row r="51">
      <c r="A51" s="385"/>
      <c r="B51" s="385"/>
      <c r="C51" s="385"/>
      <c r="D51" s="392"/>
      <c r="E51" s="392"/>
      <c r="F51" s="392"/>
      <c r="G51" s="389"/>
      <c r="H51" s="389"/>
      <c r="I51" s="388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</row>
    <row r="52">
      <c r="A52" s="393"/>
      <c r="B52" s="388"/>
      <c r="C52" s="388"/>
      <c r="D52" s="389"/>
      <c r="E52" s="389"/>
      <c r="F52" s="389"/>
      <c r="G52" s="388"/>
      <c r="H52" s="388"/>
      <c r="I52" s="388"/>
      <c r="J52" s="389"/>
      <c r="K52" s="389"/>
      <c r="L52" s="389"/>
      <c r="M52" s="388"/>
      <c r="N52" s="388"/>
      <c r="O52" s="388"/>
      <c r="P52" s="389"/>
      <c r="Q52" s="389"/>
      <c r="R52" s="389"/>
      <c r="S52" s="388"/>
      <c r="T52" s="388"/>
      <c r="U52" s="388"/>
    </row>
    <row r="53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</row>
    <row r="63">
      <c r="L63" s="75" t="s">
        <v>0</v>
      </c>
    </row>
  </sheetData>
  <mergeCells count="96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D30:F30"/>
    <mergeCell ref="G30:I30"/>
    <mergeCell ref="J30:L30"/>
    <mergeCell ref="M30:O30"/>
    <mergeCell ref="P30:R30"/>
    <mergeCell ref="S30:U30"/>
    <mergeCell ref="P34:R34"/>
    <mergeCell ref="A30:C30"/>
    <mergeCell ref="D37:F37"/>
    <mergeCell ref="G37:I37"/>
    <mergeCell ref="J37:L37"/>
    <mergeCell ref="M37:O37"/>
    <mergeCell ref="P37:R37"/>
    <mergeCell ref="S37:U37"/>
    <mergeCell ref="A37:C37"/>
    <mergeCell ref="A38:C38"/>
    <mergeCell ref="D38:F38"/>
    <mergeCell ref="J38:L38"/>
    <mergeCell ref="M38:O38"/>
    <mergeCell ref="P38:R38"/>
    <mergeCell ref="S38:U38"/>
    <mergeCell ref="A46:C46"/>
    <mergeCell ref="D46:F46"/>
    <mergeCell ref="G46:I46"/>
    <mergeCell ref="J46:L46"/>
    <mergeCell ref="M46:O46"/>
    <mergeCell ref="G38:I38"/>
    <mergeCell ref="G41:I41"/>
    <mergeCell ref="A45:C45"/>
    <mergeCell ref="D45:F45"/>
    <mergeCell ref="G45:I45"/>
    <mergeCell ref="J45:L45"/>
    <mergeCell ref="M45:O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18:R18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45:R45"/>
    <mergeCell ref="S45:U45"/>
    <mergeCell ref="P46:R46"/>
    <mergeCell ref="S46:U4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47" t="s">
        <v>433</v>
      </c>
      <c r="C1" s="410" t="s">
        <v>434</v>
      </c>
      <c r="F1" s="349"/>
      <c r="G1" s="4" t="s">
        <v>2</v>
      </c>
      <c r="Q1" s="349"/>
      <c r="R1" s="349"/>
      <c r="S1" s="349"/>
      <c r="T1" s="349"/>
      <c r="U1" s="349"/>
    </row>
    <row r="2">
      <c r="A2" s="350" t="s">
        <v>3</v>
      </c>
      <c r="C2" s="348" t="s">
        <v>170</v>
      </c>
      <c r="F2" s="349"/>
      <c r="Q2" s="349"/>
      <c r="R2" s="349"/>
      <c r="S2" s="349"/>
      <c r="T2" s="349"/>
      <c r="U2" s="349"/>
    </row>
    <row r="3">
      <c r="A3" s="350" t="s">
        <v>5</v>
      </c>
      <c r="C3" s="351"/>
      <c r="F3" s="349"/>
      <c r="Q3" s="349"/>
      <c r="R3" s="349"/>
      <c r="S3" s="349"/>
      <c r="T3" s="349"/>
      <c r="U3" s="349"/>
    </row>
    <row r="4">
      <c r="A4" s="352" t="s">
        <v>6</v>
      </c>
      <c r="B4" s="192"/>
      <c r="C4" s="353"/>
      <c r="D4" s="192"/>
      <c r="E4" s="192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</row>
    <row r="5">
      <c r="A5" s="262" t="s">
        <v>7</v>
      </c>
      <c r="B5" s="263"/>
      <c r="C5" s="264"/>
      <c r="D5" s="262" t="s">
        <v>8</v>
      </c>
      <c r="E5" s="263"/>
      <c r="F5" s="264"/>
      <c r="G5" s="262" t="s">
        <v>9</v>
      </c>
      <c r="H5" s="263"/>
      <c r="I5" s="264"/>
      <c r="J5" s="262" t="s">
        <v>10</v>
      </c>
      <c r="K5" s="263"/>
      <c r="L5" s="264"/>
      <c r="M5" s="265" t="s">
        <v>11</v>
      </c>
      <c r="N5" s="263"/>
      <c r="O5" s="264"/>
      <c r="P5" s="262" t="s">
        <v>12</v>
      </c>
      <c r="Q5" s="263"/>
      <c r="R5" s="264"/>
      <c r="S5" s="265" t="s">
        <v>13</v>
      </c>
      <c r="T5" s="263"/>
      <c r="U5" s="264"/>
    </row>
    <row r="6">
      <c r="A6" s="355"/>
      <c r="B6" s="263"/>
      <c r="C6" s="264"/>
      <c r="D6" s="356"/>
      <c r="E6" s="192"/>
      <c r="F6" s="357"/>
      <c r="G6" s="355"/>
      <c r="H6" s="263"/>
      <c r="I6" s="264"/>
      <c r="J6" s="355"/>
      <c r="K6" s="263"/>
      <c r="L6" s="264"/>
      <c r="M6" s="358">
        <v>46143.0</v>
      </c>
      <c r="N6" s="263"/>
      <c r="O6" s="264"/>
      <c r="P6" s="359">
        <f>M6+1</f>
        <v>46144</v>
      </c>
      <c r="Q6" s="192"/>
      <c r="R6" s="357"/>
      <c r="S6" s="360">
        <f>P6+1</f>
        <v>46145</v>
      </c>
      <c r="T6" s="192"/>
      <c r="U6" s="357"/>
    </row>
    <row r="7">
      <c r="A7" s="361"/>
      <c r="B7" s="362"/>
      <c r="C7" s="362"/>
      <c r="D7" s="361"/>
      <c r="E7" s="362"/>
      <c r="F7" s="362"/>
      <c r="G7" s="361"/>
      <c r="H7" s="362"/>
      <c r="I7" s="362"/>
      <c r="J7" s="361"/>
      <c r="K7" s="362"/>
      <c r="L7" s="362"/>
      <c r="M7" s="361"/>
      <c r="N7" s="362"/>
      <c r="O7" s="362"/>
      <c r="P7" s="361"/>
      <c r="Q7" s="362"/>
      <c r="R7" s="362"/>
      <c r="S7" s="361"/>
      <c r="T7" s="362"/>
      <c r="U7" s="362"/>
    </row>
    <row r="8">
      <c r="A8" s="361"/>
      <c r="B8" s="362"/>
      <c r="C8" s="362"/>
      <c r="D8" s="361"/>
      <c r="E8" s="362"/>
      <c r="F8" s="362"/>
      <c r="G8" s="361"/>
      <c r="H8" s="362"/>
      <c r="I8" s="362"/>
      <c r="J8" s="361"/>
      <c r="K8" s="362"/>
      <c r="L8" s="362"/>
      <c r="M8" s="361"/>
      <c r="N8" s="362"/>
      <c r="O8" s="362"/>
      <c r="P8" s="361"/>
      <c r="Q8" s="362"/>
      <c r="R8" s="362"/>
      <c r="S8" s="390" t="s">
        <v>403</v>
      </c>
      <c r="T8" s="390" t="s">
        <v>423</v>
      </c>
      <c r="U8" s="390" t="s">
        <v>305</v>
      </c>
    </row>
    <row r="9">
      <c r="A9" s="63"/>
      <c r="B9" s="63"/>
      <c r="C9" s="63"/>
      <c r="D9" s="63"/>
      <c r="E9" s="63"/>
      <c r="F9" s="63"/>
      <c r="G9" s="390"/>
      <c r="H9" s="390"/>
      <c r="I9" s="390"/>
      <c r="J9" s="361"/>
      <c r="K9" s="362"/>
      <c r="L9" s="362"/>
      <c r="M9" s="361"/>
      <c r="N9" s="362"/>
      <c r="O9" s="362"/>
      <c r="P9" s="405" t="s">
        <v>14</v>
      </c>
      <c r="Q9" s="263"/>
      <c r="R9" s="264"/>
      <c r="S9" s="63"/>
      <c r="T9" s="63"/>
      <c r="U9" s="63"/>
    </row>
    <row r="10">
      <c r="A10" s="361"/>
      <c r="B10" s="362"/>
      <c r="C10" s="362"/>
      <c r="D10" s="361"/>
      <c r="E10" s="362"/>
      <c r="F10" s="362"/>
      <c r="G10" s="361"/>
      <c r="H10" s="362"/>
      <c r="I10" s="362"/>
      <c r="J10" s="397"/>
      <c r="K10" s="406"/>
      <c r="L10" s="406"/>
      <c r="M10" s="361"/>
      <c r="N10" s="362"/>
      <c r="O10" s="362"/>
      <c r="P10" s="361"/>
      <c r="Q10" s="362"/>
      <c r="R10" s="362"/>
      <c r="S10" s="361"/>
      <c r="T10" s="362"/>
      <c r="U10" s="362"/>
    </row>
    <row r="11">
      <c r="A11" s="361"/>
      <c r="B11" s="362"/>
      <c r="C11" s="362"/>
      <c r="D11" s="361"/>
      <c r="E11" s="362"/>
      <c r="F11" s="362"/>
      <c r="G11" s="390"/>
      <c r="H11" s="390"/>
      <c r="I11" s="390"/>
      <c r="J11" s="361"/>
      <c r="K11" s="362"/>
      <c r="L11" s="362"/>
      <c r="M11" s="361"/>
      <c r="N11" s="362"/>
      <c r="O11" s="362"/>
      <c r="P11" s="361"/>
      <c r="Q11" s="362"/>
      <c r="R11" s="362"/>
      <c r="S11" s="361"/>
      <c r="T11" s="362"/>
      <c r="U11" s="362"/>
    </row>
    <row r="12">
      <c r="A12" s="364"/>
      <c r="B12" s="365"/>
      <c r="C12" s="365"/>
      <c r="D12" s="364"/>
      <c r="E12" s="365"/>
      <c r="F12" s="365"/>
      <c r="G12" s="390"/>
      <c r="H12" s="390"/>
      <c r="I12" s="390"/>
      <c r="J12" s="364"/>
      <c r="K12" s="365"/>
      <c r="L12" s="365"/>
      <c r="M12" s="364"/>
      <c r="N12" s="365"/>
      <c r="O12" s="365"/>
      <c r="P12" s="364"/>
      <c r="Q12" s="365"/>
      <c r="R12" s="365"/>
      <c r="S12" s="364"/>
      <c r="T12" s="365"/>
      <c r="U12" s="365"/>
    </row>
    <row r="13">
      <c r="A13" s="366" t="s">
        <v>7</v>
      </c>
      <c r="B13" s="192"/>
      <c r="C13" s="357"/>
      <c r="D13" s="367" t="s">
        <v>8</v>
      </c>
      <c r="E13" s="192"/>
      <c r="F13" s="357"/>
      <c r="G13" s="367" t="s">
        <v>9</v>
      </c>
      <c r="H13" s="192"/>
      <c r="I13" s="357"/>
      <c r="J13" s="367" t="s">
        <v>10</v>
      </c>
      <c r="K13" s="192"/>
      <c r="L13" s="357"/>
      <c r="M13" s="367" t="s">
        <v>11</v>
      </c>
      <c r="N13" s="192"/>
      <c r="O13" s="357"/>
      <c r="P13" s="367" t="s">
        <v>12</v>
      </c>
      <c r="Q13" s="192"/>
      <c r="R13" s="357"/>
      <c r="S13" s="368" t="s">
        <v>13</v>
      </c>
      <c r="T13" s="192"/>
      <c r="U13" s="357"/>
    </row>
    <row r="14">
      <c r="A14" s="369">
        <f>S6+1</f>
        <v>46146</v>
      </c>
      <c r="B14" s="192"/>
      <c r="C14" s="357"/>
      <c r="D14" s="370">
        <f>A14+1</f>
        <v>46147</v>
      </c>
      <c r="E14" s="192"/>
      <c r="F14" s="357"/>
      <c r="G14" s="370">
        <f>D14+1</f>
        <v>46148</v>
      </c>
      <c r="H14" s="192"/>
      <c r="I14" s="357"/>
      <c r="J14" s="370">
        <f>G14+1</f>
        <v>46149</v>
      </c>
      <c r="K14" s="192"/>
      <c r="L14" s="357"/>
      <c r="M14" s="370">
        <f>J14+1</f>
        <v>46150</v>
      </c>
      <c r="N14" s="192"/>
      <c r="O14" s="357"/>
      <c r="P14" s="370">
        <f>M14+1</f>
        <v>46151</v>
      </c>
      <c r="Q14" s="192"/>
      <c r="R14" s="357"/>
      <c r="S14" s="371">
        <f>P14+1</f>
        <v>46152</v>
      </c>
      <c r="T14" s="192"/>
      <c r="U14" s="357"/>
    </row>
    <row r="15">
      <c r="A15" s="361"/>
      <c r="B15" s="362"/>
      <c r="C15" s="362"/>
      <c r="D15" s="361"/>
      <c r="E15" s="362"/>
      <c r="F15" s="362"/>
      <c r="G15" s="361"/>
      <c r="H15" s="362"/>
      <c r="I15" s="362"/>
      <c r="J15" s="361"/>
      <c r="K15" s="362"/>
      <c r="L15" s="362"/>
      <c r="M15" s="361"/>
      <c r="N15" s="362"/>
      <c r="O15" s="362"/>
      <c r="P15" s="361"/>
      <c r="Q15" s="362"/>
      <c r="R15" s="362"/>
      <c r="S15" s="361"/>
      <c r="T15" s="362"/>
      <c r="U15" s="362"/>
    </row>
    <row r="16">
      <c r="A16" s="361"/>
      <c r="B16" s="362"/>
      <c r="C16" s="362"/>
      <c r="D16" s="361"/>
      <c r="E16" s="362"/>
      <c r="F16" s="362"/>
      <c r="G16" s="361"/>
      <c r="H16" s="362"/>
      <c r="I16" s="362"/>
      <c r="J16" s="361"/>
      <c r="K16" s="362"/>
      <c r="L16" s="362"/>
      <c r="M16" s="361"/>
      <c r="N16" s="362"/>
      <c r="O16" s="362"/>
      <c r="P16" s="374"/>
      <c r="Q16" s="374"/>
      <c r="R16" s="375"/>
      <c r="S16" s="374"/>
      <c r="T16" s="374"/>
      <c r="U16" s="375"/>
    </row>
    <row r="17">
      <c r="A17" s="361" t="s">
        <v>397</v>
      </c>
      <c r="B17" s="362" t="s">
        <v>398</v>
      </c>
      <c r="C17" s="362"/>
      <c r="D17" s="402" t="s">
        <v>413</v>
      </c>
      <c r="E17" s="63" t="s">
        <v>338</v>
      </c>
      <c r="F17" s="395" t="s">
        <v>62</v>
      </c>
      <c r="G17" s="411" t="s">
        <v>435</v>
      </c>
      <c r="H17" s="386" t="s">
        <v>237</v>
      </c>
      <c r="I17" s="386" t="s">
        <v>62</v>
      </c>
      <c r="J17" s="63" t="s">
        <v>414</v>
      </c>
      <c r="K17" s="63" t="s">
        <v>415</v>
      </c>
      <c r="L17" s="63" t="s">
        <v>153</v>
      </c>
      <c r="M17" s="405" t="s">
        <v>14</v>
      </c>
      <c r="N17" s="263"/>
      <c r="O17" s="264"/>
      <c r="P17" s="63"/>
      <c r="Q17" s="63"/>
      <c r="R17" s="63"/>
      <c r="S17" s="156" t="s">
        <v>144</v>
      </c>
      <c r="T17" s="157" t="s">
        <v>291</v>
      </c>
      <c r="U17" s="156" t="s">
        <v>27</v>
      </c>
    </row>
    <row r="18">
      <c r="A18" s="390" t="s">
        <v>424</v>
      </c>
      <c r="B18" s="390" t="s">
        <v>93</v>
      </c>
      <c r="C18" s="395" t="s">
        <v>362</v>
      </c>
      <c r="D18" s="403" t="s">
        <v>417</v>
      </c>
      <c r="E18" s="403" t="s">
        <v>418</v>
      </c>
      <c r="F18" s="395" t="s">
        <v>62</v>
      </c>
      <c r="G18" s="361"/>
      <c r="H18" s="362"/>
      <c r="I18" s="362"/>
      <c r="J18" s="361"/>
      <c r="K18" s="362"/>
      <c r="L18" s="362"/>
      <c r="M18" s="361"/>
      <c r="N18" s="362"/>
      <c r="O18" s="362"/>
      <c r="P18" s="361"/>
      <c r="Q18" s="362"/>
      <c r="R18" s="362"/>
      <c r="S18" s="364"/>
      <c r="T18" s="365"/>
      <c r="U18" s="365"/>
    </row>
    <row r="19">
      <c r="A19" s="390" t="s">
        <v>425</v>
      </c>
      <c r="B19" s="390" t="s">
        <v>418</v>
      </c>
      <c r="C19" s="395" t="s">
        <v>362</v>
      </c>
      <c r="D19" s="361"/>
      <c r="E19" s="362"/>
      <c r="F19" s="362"/>
      <c r="G19" s="361"/>
      <c r="H19" s="362"/>
      <c r="I19" s="362"/>
      <c r="J19" s="361"/>
      <c r="K19" s="362"/>
      <c r="L19" s="362"/>
      <c r="M19" s="361"/>
      <c r="N19" s="362"/>
      <c r="O19" s="362"/>
      <c r="P19" s="361"/>
      <c r="Q19" s="362"/>
      <c r="R19" s="362"/>
      <c r="S19" s="364"/>
      <c r="T19" s="365"/>
      <c r="U19" s="365"/>
    </row>
    <row r="20">
      <c r="A20" s="364"/>
      <c r="B20" s="365"/>
      <c r="C20" s="365"/>
      <c r="D20" s="364"/>
      <c r="E20" s="365"/>
      <c r="F20" s="365"/>
      <c r="G20" s="364"/>
      <c r="H20" s="365"/>
      <c r="I20" s="365"/>
      <c r="J20" s="364"/>
      <c r="K20" s="365"/>
      <c r="L20" s="365"/>
      <c r="M20" s="364"/>
      <c r="N20" s="365"/>
      <c r="O20" s="365"/>
      <c r="P20" s="364"/>
      <c r="Q20" s="365"/>
      <c r="R20" s="365"/>
      <c r="S20" s="364"/>
      <c r="T20" s="365"/>
      <c r="U20" s="365"/>
    </row>
    <row r="21">
      <c r="A21" s="376" t="s">
        <v>7</v>
      </c>
      <c r="B21" s="192"/>
      <c r="C21" s="357"/>
      <c r="D21" s="377" t="s">
        <v>8</v>
      </c>
      <c r="E21" s="192"/>
      <c r="F21" s="357"/>
      <c r="G21" s="377" t="s">
        <v>9</v>
      </c>
      <c r="H21" s="192"/>
      <c r="I21" s="357"/>
      <c r="J21" s="377" t="s">
        <v>10</v>
      </c>
      <c r="K21" s="192"/>
      <c r="L21" s="357"/>
      <c r="M21" s="377" t="s">
        <v>11</v>
      </c>
      <c r="N21" s="192"/>
      <c r="O21" s="357"/>
      <c r="P21" s="377" t="s">
        <v>12</v>
      </c>
      <c r="Q21" s="192"/>
      <c r="R21" s="357"/>
      <c r="S21" s="378" t="s">
        <v>13</v>
      </c>
      <c r="T21" s="192"/>
      <c r="U21" s="357"/>
    </row>
    <row r="22">
      <c r="A22" s="379">
        <f>S14+1</f>
        <v>46153</v>
      </c>
      <c r="B22" s="192"/>
      <c r="C22" s="357"/>
      <c r="D22" s="359">
        <f>A22+1</f>
        <v>46154</v>
      </c>
      <c r="E22" s="192"/>
      <c r="F22" s="357"/>
      <c r="G22" s="359">
        <f>D22+1</f>
        <v>46155</v>
      </c>
      <c r="H22" s="192"/>
      <c r="I22" s="357"/>
      <c r="J22" s="359">
        <f>G22+1</f>
        <v>46156</v>
      </c>
      <c r="K22" s="192"/>
      <c r="L22" s="357"/>
      <c r="M22" s="359">
        <f>J22+1</f>
        <v>46157</v>
      </c>
      <c r="N22" s="192"/>
      <c r="O22" s="357"/>
      <c r="P22" s="359">
        <f>M22+1</f>
        <v>46158</v>
      </c>
      <c r="Q22" s="192"/>
      <c r="R22" s="357"/>
      <c r="S22" s="360">
        <f>P22+1</f>
        <v>46159</v>
      </c>
      <c r="T22" s="192"/>
      <c r="U22" s="357"/>
    </row>
    <row r="23">
      <c r="A23" s="361"/>
      <c r="B23" s="362"/>
      <c r="C23" s="362"/>
      <c r="D23" s="361"/>
      <c r="E23" s="362"/>
      <c r="F23" s="362"/>
      <c r="G23" s="361"/>
      <c r="H23" s="362"/>
      <c r="I23" s="362"/>
      <c r="J23" s="361"/>
      <c r="K23" s="362"/>
      <c r="L23" s="362"/>
      <c r="M23" s="361"/>
      <c r="N23" s="362"/>
      <c r="O23" s="362"/>
      <c r="P23" s="361"/>
      <c r="Q23" s="362"/>
      <c r="R23" s="362"/>
      <c r="S23" s="361"/>
      <c r="T23" s="362"/>
      <c r="U23" s="362"/>
    </row>
    <row r="24">
      <c r="A24" s="361"/>
      <c r="B24" s="362"/>
      <c r="C24" s="362"/>
      <c r="D24" s="361"/>
      <c r="E24" s="362"/>
      <c r="F24" s="362"/>
      <c r="G24" s="361"/>
      <c r="H24" s="362"/>
      <c r="I24" s="362"/>
      <c r="J24" s="361"/>
      <c r="K24" s="362"/>
      <c r="L24" s="362"/>
      <c r="M24" s="361"/>
      <c r="N24" s="362"/>
      <c r="O24" s="362"/>
      <c r="P24" s="361"/>
      <c r="Q24" s="362"/>
      <c r="R24" s="362"/>
      <c r="S24" s="361"/>
      <c r="T24" s="362"/>
      <c r="U24" s="362"/>
    </row>
    <row r="25">
      <c r="A25" s="63"/>
      <c r="B25" s="63"/>
      <c r="C25" s="63"/>
      <c r="D25" s="63"/>
      <c r="E25" s="63"/>
      <c r="F25" s="63"/>
      <c r="G25" s="361"/>
      <c r="H25" s="63"/>
      <c r="I25" s="63"/>
      <c r="J25" s="63"/>
      <c r="K25" s="63"/>
      <c r="L25" s="63"/>
      <c r="M25" s="407"/>
      <c r="N25" s="407"/>
      <c r="O25" s="407"/>
      <c r="P25" s="407"/>
      <c r="Q25" s="407"/>
      <c r="R25" s="407"/>
      <c r="S25" s="405" t="s">
        <v>14</v>
      </c>
      <c r="T25" s="263"/>
      <c r="U25" s="264"/>
    </row>
    <row r="26">
      <c r="A26" s="390" t="s">
        <v>424</v>
      </c>
      <c r="B26" s="390" t="s">
        <v>93</v>
      </c>
      <c r="C26" s="395" t="s">
        <v>362</v>
      </c>
      <c r="D26" s="402"/>
      <c r="E26" s="63"/>
      <c r="F26" s="390"/>
      <c r="G26" s="361"/>
      <c r="H26" s="362"/>
      <c r="I26" s="362"/>
      <c r="J26" s="361"/>
      <c r="K26" s="362"/>
      <c r="L26" s="362"/>
      <c r="M26" s="361"/>
      <c r="N26" s="362"/>
      <c r="O26" s="362"/>
      <c r="P26" s="361"/>
      <c r="Q26" s="362"/>
      <c r="R26" s="362"/>
      <c r="S26" s="361"/>
      <c r="T26" s="362"/>
      <c r="U26" s="362"/>
    </row>
    <row r="27">
      <c r="A27" s="390" t="s">
        <v>425</v>
      </c>
      <c r="B27" s="390" t="s">
        <v>418</v>
      </c>
      <c r="C27" s="395" t="s">
        <v>362</v>
      </c>
      <c r="D27" s="390"/>
      <c r="E27" s="390"/>
      <c r="F27" s="390"/>
      <c r="G27" s="361"/>
      <c r="H27" s="362"/>
      <c r="I27" s="362"/>
      <c r="J27" s="361"/>
      <c r="K27" s="362"/>
      <c r="L27" s="362"/>
      <c r="M27" s="361"/>
      <c r="N27" s="362"/>
      <c r="O27" s="362"/>
      <c r="P27" s="361"/>
      <c r="Q27" s="362"/>
      <c r="R27" s="362"/>
      <c r="S27" s="361"/>
      <c r="T27" s="362"/>
      <c r="U27" s="362"/>
    </row>
    <row r="28">
      <c r="A28" s="364"/>
      <c r="B28" s="365"/>
      <c r="C28" s="365"/>
      <c r="D28" s="361"/>
      <c r="E28" s="362"/>
      <c r="F28" s="362"/>
      <c r="G28" s="364"/>
      <c r="H28" s="365"/>
      <c r="I28" s="365"/>
      <c r="J28" s="364"/>
      <c r="K28" s="365"/>
      <c r="L28" s="365"/>
      <c r="M28" s="364"/>
      <c r="N28" s="365"/>
      <c r="O28" s="365"/>
      <c r="P28" s="364"/>
      <c r="Q28" s="365"/>
      <c r="R28" s="365"/>
      <c r="S28" s="364"/>
      <c r="T28" s="365"/>
      <c r="U28" s="365"/>
    </row>
    <row r="29">
      <c r="A29" s="366" t="s">
        <v>7</v>
      </c>
      <c r="B29" s="192"/>
      <c r="C29" s="357"/>
      <c r="D29" s="367" t="s">
        <v>8</v>
      </c>
      <c r="E29" s="192"/>
      <c r="F29" s="357"/>
      <c r="G29" s="367" t="s">
        <v>9</v>
      </c>
      <c r="H29" s="192"/>
      <c r="I29" s="357"/>
      <c r="J29" s="367" t="s">
        <v>10</v>
      </c>
      <c r="K29" s="192"/>
      <c r="L29" s="357"/>
      <c r="M29" s="367" t="s">
        <v>11</v>
      </c>
      <c r="N29" s="192"/>
      <c r="O29" s="357"/>
      <c r="P29" s="367" t="s">
        <v>12</v>
      </c>
      <c r="Q29" s="192"/>
      <c r="R29" s="357"/>
      <c r="S29" s="368" t="s">
        <v>13</v>
      </c>
      <c r="T29" s="192"/>
      <c r="U29" s="357"/>
    </row>
    <row r="30">
      <c r="A30" s="412">
        <f>S22+1</f>
        <v>46160</v>
      </c>
      <c r="C30" s="270"/>
      <c r="D30" s="413">
        <f>A30+1</f>
        <v>46161</v>
      </c>
      <c r="F30" s="270"/>
      <c r="G30" s="413">
        <f>D30+1</f>
        <v>46162</v>
      </c>
      <c r="I30" s="270"/>
      <c r="J30" s="413">
        <f>G30+1</f>
        <v>46163</v>
      </c>
      <c r="L30" s="270"/>
      <c r="M30" s="413">
        <f>J30+1</f>
        <v>46164</v>
      </c>
      <c r="O30" s="270"/>
      <c r="P30" s="413">
        <f>M30+1</f>
        <v>46165</v>
      </c>
      <c r="R30" s="270"/>
      <c r="S30" s="414">
        <f>P30+1</f>
        <v>46166</v>
      </c>
      <c r="U30" s="270"/>
    </row>
    <row r="3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</row>
    <row r="32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60" t="s">
        <v>143</v>
      </c>
      <c r="Q32" s="161" t="s">
        <v>63</v>
      </c>
      <c r="R32" s="47" t="s">
        <v>27</v>
      </c>
      <c r="S32" s="156"/>
      <c r="T32" s="156"/>
      <c r="U32" s="156"/>
    </row>
    <row r="33">
      <c r="A33" s="21"/>
      <c r="B33" s="21"/>
      <c r="C33" s="21"/>
      <c r="D33" s="21"/>
      <c r="E33" s="21"/>
      <c r="F33" s="21"/>
      <c r="G33" s="40" t="s">
        <v>384</v>
      </c>
      <c r="H33" s="40" t="s">
        <v>385</v>
      </c>
      <c r="I33" s="40" t="s">
        <v>153</v>
      </c>
      <c r="J33" s="21" t="s">
        <v>414</v>
      </c>
      <c r="K33" s="21" t="s">
        <v>415</v>
      </c>
      <c r="L33" s="21" t="s">
        <v>153</v>
      </c>
      <c r="M33" s="24"/>
      <c r="N33" s="24"/>
      <c r="O33" s="24"/>
      <c r="P33" s="21"/>
      <c r="Q33" s="21"/>
      <c r="R33" s="21"/>
      <c r="S33" s="221" t="s">
        <v>14</v>
      </c>
      <c r="T33" s="12"/>
      <c r="U33" s="13"/>
    </row>
    <row r="34">
      <c r="A34" s="101" t="s">
        <v>424</v>
      </c>
      <c r="B34" s="101" t="s">
        <v>93</v>
      </c>
      <c r="C34" s="315" t="s">
        <v>362</v>
      </c>
      <c r="D34" s="196" t="s">
        <v>413</v>
      </c>
      <c r="E34" s="21" t="s">
        <v>338</v>
      </c>
      <c r="F34" s="315" t="s">
        <v>62</v>
      </c>
      <c r="G34" s="40" t="s">
        <v>388</v>
      </c>
      <c r="H34" s="40" t="s">
        <v>110</v>
      </c>
      <c r="I34" s="40" t="s">
        <v>62</v>
      </c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</row>
    <row r="35">
      <c r="A35" s="101" t="s">
        <v>425</v>
      </c>
      <c r="B35" s="101" t="s">
        <v>418</v>
      </c>
      <c r="C35" s="315" t="s">
        <v>362</v>
      </c>
      <c r="D35" s="32" t="s">
        <v>417</v>
      </c>
      <c r="E35" s="32" t="s">
        <v>418</v>
      </c>
      <c r="F35" s="315" t="s">
        <v>62</v>
      </c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</row>
    <row r="36">
      <c r="A36" s="415"/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 t="s">
        <v>13</v>
      </c>
      <c r="T37" s="12"/>
      <c r="U37" s="13"/>
    </row>
    <row r="38">
      <c r="A38" s="16">
        <f>S30+1</f>
        <v>46167</v>
      </c>
      <c r="B38" s="12"/>
      <c r="C38" s="13"/>
      <c r="D38" s="16">
        <f>A38+1</f>
        <v>46168</v>
      </c>
      <c r="E38" s="12"/>
      <c r="F38" s="13"/>
      <c r="G38" s="16">
        <f>D38+1</f>
        <v>46169</v>
      </c>
      <c r="H38" s="12"/>
      <c r="I38" s="13"/>
      <c r="J38" s="16">
        <f>G38+1</f>
        <v>46170</v>
      </c>
      <c r="K38" s="12"/>
      <c r="L38" s="13"/>
      <c r="M38" s="16">
        <f>J38+1</f>
        <v>46171</v>
      </c>
      <c r="N38" s="12"/>
      <c r="O38" s="13"/>
      <c r="P38" s="16">
        <f>M38+1</f>
        <v>46172</v>
      </c>
      <c r="Q38" s="12"/>
      <c r="R38" s="13"/>
      <c r="S38" s="18">
        <f>P38+1</f>
        <v>46173</v>
      </c>
      <c r="T38" s="12"/>
      <c r="U38" s="13"/>
    </row>
    <row r="39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</row>
    <row r="40">
      <c r="A40" s="156"/>
      <c r="B40" s="156"/>
      <c r="C40" s="156"/>
      <c r="D40" s="156"/>
      <c r="E40" s="156"/>
      <c r="F40" s="156"/>
      <c r="G40" s="156"/>
      <c r="H40" s="21"/>
      <c r="I40" s="21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</row>
    <row r="41">
      <c r="A41" s="21"/>
      <c r="B41" s="21"/>
      <c r="C41" s="21"/>
      <c r="D41" s="156"/>
      <c r="E41" s="156"/>
      <c r="F41" s="156"/>
      <c r="G41" s="221" t="s">
        <v>14</v>
      </c>
      <c r="H41" s="12"/>
      <c r="I41" s="13"/>
      <c r="J41" s="398" t="s">
        <v>411</v>
      </c>
      <c r="K41" s="398" t="s">
        <v>419</v>
      </c>
      <c r="L41" s="394" t="s">
        <v>395</v>
      </c>
      <c r="M41" s="21"/>
      <c r="N41" s="21"/>
      <c r="O41" s="21"/>
      <c r="P41" s="21"/>
      <c r="Q41" s="21"/>
      <c r="R41" s="21"/>
      <c r="S41" s="21"/>
      <c r="T41" s="21"/>
      <c r="U41" s="21"/>
    </row>
    <row r="42">
      <c r="A42" s="101" t="s">
        <v>424</v>
      </c>
      <c r="B42" s="101" t="s">
        <v>93</v>
      </c>
      <c r="C42" s="315" t="s">
        <v>362</v>
      </c>
      <c r="D42" s="101"/>
      <c r="E42" s="101"/>
      <c r="F42" s="101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</row>
    <row r="43">
      <c r="A43" s="101" t="s">
        <v>425</v>
      </c>
      <c r="B43" s="101" t="s">
        <v>418</v>
      </c>
      <c r="C43" s="315" t="s">
        <v>362</v>
      </c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</row>
    <row r="44">
      <c r="A44" s="415"/>
      <c r="B44" s="415"/>
      <c r="C44" s="415"/>
      <c r="D44" s="415"/>
      <c r="E44" s="415"/>
      <c r="F44" s="415"/>
      <c r="G44" s="415"/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</row>
    <row r="45">
      <c r="A45" s="33"/>
      <c r="B45" s="12"/>
      <c r="C45" s="13"/>
      <c r="D45" s="33"/>
      <c r="E45" s="12"/>
      <c r="F45" s="13"/>
      <c r="G45" s="33"/>
      <c r="H45" s="12"/>
      <c r="I45" s="13"/>
      <c r="J45" s="33"/>
      <c r="K45" s="12"/>
      <c r="L45" s="13"/>
      <c r="M45" s="33"/>
      <c r="N45" s="12"/>
      <c r="O45" s="13"/>
      <c r="P45" s="33"/>
      <c r="Q45" s="12"/>
      <c r="R45" s="13"/>
      <c r="S45" s="416"/>
      <c r="T45" s="12"/>
      <c r="U45" s="13"/>
    </row>
    <row r="46">
      <c r="A46" s="380"/>
      <c r="B46" s="192"/>
      <c r="C46" s="357"/>
      <c r="D46" s="381"/>
      <c r="E46" s="192"/>
      <c r="F46" s="357"/>
      <c r="G46" s="381"/>
      <c r="H46" s="192"/>
      <c r="I46" s="357"/>
      <c r="J46" s="381"/>
      <c r="K46" s="192"/>
      <c r="L46" s="357"/>
      <c r="M46" s="381"/>
      <c r="N46" s="192"/>
      <c r="O46" s="357"/>
      <c r="P46" s="381"/>
      <c r="Q46" s="192"/>
      <c r="R46" s="357"/>
      <c r="S46" s="384"/>
      <c r="T46" s="192"/>
      <c r="U46" s="357"/>
    </row>
    <row r="47">
      <c r="A47" s="385"/>
      <c r="B47" s="385"/>
      <c r="C47" s="385"/>
      <c r="D47" s="386"/>
      <c r="E47" s="386"/>
      <c r="F47" s="386"/>
      <c r="G47" s="365"/>
      <c r="H47" s="387"/>
      <c r="I47" s="387"/>
      <c r="J47" s="388"/>
      <c r="K47" s="388"/>
      <c r="L47" s="388"/>
      <c r="M47" s="389"/>
      <c r="N47" s="389"/>
      <c r="O47" s="389"/>
      <c r="P47" s="389"/>
      <c r="Q47" s="389"/>
      <c r="R47" s="389"/>
      <c r="S47" s="388"/>
      <c r="T47" s="388"/>
      <c r="U47" s="388"/>
    </row>
    <row r="48">
      <c r="A48" s="386"/>
      <c r="B48" s="386"/>
      <c r="C48" s="386"/>
      <c r="D48" s="390"/>
      <c r="E48" s="390"/>
      <c r="F48" s="390"/>
      <c r="G48" s="389"/>
      <c r="H48" s="389"/>
      <c r="I48" s="389"/>
      <c r="J48" s="388"/>
      <c r="K48" s="388"/>
      <c r="L48" s="388"/>
      <c r="M48" s="391"/>
      <c r="N48" s="391"/>
      <c r="O48" s="391"/>
      <c r="P48" s="389"/>
      <c r="Q48" s="389"/>
      <c r="R48" s="389"/>
      <c r="S48" s="389"/>
      <c r="T48" s="389"/>
      <c r="U48" s="389"/>
    </row>
    <row r="49">
      <c r="A49" s="386"/>
      <c r="B49" s="386"/>
      <c r="C49" s="386"/>
      <c r="D49" s="386"/>
      <c r="E49" s="386"/>
      <c r="F49" s="386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</row>
    <row r="50">
      <c r="A50" s="389"/>
      <c r="B50" s="389"/>
      <c r="C50" s="389"/>
      <c r="D50" s="386"/>
      <c r="E50" s="386"/>
      <c r="F50" s="386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8"/>
      <c r="T50" s="388"/>
      <c r="U50" s="388"/>
    </row>
    <row r="51">
      <c r="A51" s="385"/>
      <c r="B51" s="385"/>
      <c r="C51" s="385"/>
      <c r="D51" s="392"/>
      <c r="E51" s="392"/>
      <c r="F51" s="392"/>
      <c r="G51" s="389"/>
      <c r="H51" s="389"/>
      <c r="I51" s="388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</row>
    <row r="52">
      <c r="A52" s="393"/>
      <c r="B52" s="388"/>
      <c r="C52" s="388"/>
      <c r="D52" s="389"/>
      <c r="E52" s="389"/>
      <c r="F52" s="389"/>
      <c r="G52" s="388"/>
      <c r="H52" s="388"/>
      <c r="I52" s="388"/>
      <c r="J52" s="389"/>
      <c r="K52" s="389"/>
      <c r="L52" s="389"/>
      <c r="M52" s="388"/>
      <c r="N52" s="388"/>
      <c r="O52" s="388"/>
      <c r="P52" s="389"/>
      <c r="Q52" s="389"/>
      <c r="R52" s="389"/>
      <c r="S52" s="388"/>
      <c r="T52" s="388"/>
      <c r="U52" s="388"/>
    </row>
    <row r="53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</row>
    <row r="63">
      <c r="L63" s="75" t="s">
        <v>0</v>
      </c>
    </row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5:U25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S33:U33"/>
    <mergeCell ref="A30:C30"/>
    <mergeCell ref="D37:F37"/>
    <mergeCell ref="G37:I37"/>
    <mergeCell ref="J37:L37"/>
    <mergeCell ref="M37:O37"/>
    <mergeCell ref="P37:R37"/>
    <mergeCell ref="S37:U37"/>
    <mergeCell ref="A37:C37"/>
    <mergeCell ref="A38:C38"/>
    <mergeCell ref="D38:F38"/>
    <mergeCell ref="J38:L38"/>
    <mergeCell ref="M38:O38"/>
    <mergeCell ref="P38:R38"/>
    <mergeCell ref="S38:U38"/>
    <mergeCell ref="G38:I38"/>
    <mergeCell ref="G41:I41"/>
    <mergeCell ref="A45:C45"/>
    <mergeCell ref="D45:F45"/>
    <mergeCell ref="G45:I45"/>
    <mergeCell ref="J45:L45"/>
    <mergeCell ref="M45:O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9:R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P46:R46"/>
    <mergeCell ref="S46:U46"/>
    <mergeCell ref="P45:R45"/>
    <mergeCell ref="S45:U45"/>
    <mergeCell ref="A46:C46"/>
    <mergeCell ref="D46:F46"/>
    <mergeCell ref="G46:I46"/>
    <mergeCell ref="J46:L46"/>
    <mergeCell ref="M46:O4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4.57"/>
    <col customWidth="1" min="3" max="34" width="5.57"/>
  </cols>
  <sheetData>
    <row r="1">
      <c r="A1" s="342"/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</row>
    <row r="2">
      <c r="A2" s="417"/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2"/>
      <c r="AE2" s="342"/>
      <c r="AF2" s="342"/>
      <c r="AG2" s="342"/>
      <c r="AH2" s="342"/>
      <c r="AI2" s="342"/>
    </row>
    <row r="3">
      <c r="A3" s="417"/>
      <c r="B3" s="418" t="s">
        <v>436</v>
      </c>
      <c r="AG3" s="342"/>
      <c r="AH3" s="342"/>
      <c r="AI3" s="342"/>
    </row>
    <row r="4">
      <c r="A4" s="417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2"/>
      <c r="AD4" s="342"/>
      <c r="AE4" s="342"/>
      <c r="AF4" s="342"/>
      <c r="AG4" s="342"/>
      <c r="AH4" s="342"/>
      <c r="AI4" s="342"/>
    </row>
    <row r="5">
      <c r="A5" s="417"/>
      <c r="B5" s="419" t="s">
        <v>437</v>
      </c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342"/>
      <c r="AG5" s="342"/>
      <c r="AH5" s="342"/>
      <c r="AI5" s="342"/>
    </row>
    <row r="6">
      <c r="A6" s="417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2"/>
      <c r="AF6" s="342"/>
      <c r="AG6" s="342"/>
      <c r="AH6" s="342"/>
      <c r="AI6" s="342"/>
    </row>
    <row r="7">
      <c r="A7" s="420">
        <v>46113.0</v>
      </c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2"/>
    </row>
    <row r="8">
      <c r="A8" s="423" t="s">
        <v>438</v>
      </c>
      <c r="B8" s="423" t="s">
        <v>439</v>
      </c>
      <c r="C8" s="424"/>
      <c r="D8" s="425" t="s">
        <v>440</v>
      </c>
      <c r="E8" s="426" t="s">
        <v>441</v>
      </c>
      <c r="F8" s="425" t="s">
        <v>442</v>
      </c>
      <c r="G8" s="426" t="s">
        <v>441</v>
      </c>
      <c r="H8" s="426" t="s">
        <v>441</v>
      </c>
      <c r="I8" s="426" t="s">
        <v>443</v>
      </c>
      <c r="J8" s="426" t="s">
        <v>444</v>
      </c>
      <c r="K8" s="426" t="s">
        <v>440</v>
      </c>
      <c r="L8" s="426" t="s">
        <v>441</v>
      </c>
      <c r="M8" s="427" t="s">
        <v>442</v>
      </c>
      <c r="N8" s="426" t="s">
        <v>441</v>
      </c>
      <c r="O8" s="426" t="s">
        <v>441</v>
      </c>
      <c r="P8" s="426" t="s">
        <v>443</v>
      </c>
      <c r="Q8" s="425" t="s">
        <v>444</v>
      </c>
      <c r="R8" s="426" t="s">
        <v>440</v>
      </c>
      <c r="S8" s="426" t="s">
        <v>441</v>
      </c>
      <c r="T8" s="427" t="s">
        <v>442</v>
      </c>
      <c r="U8" s="426" t="s">
        <v>441</v>
      </c>
      <c r="V8" s="426" t="s">
        <v>441</v>
      </c>
      <c r="W8" s="426" t="s">
        <v>443</v>
      </c>
      <c r="X8" s="426" t="s">
        <v>444</v>
      </c>
      <c r="Y8" s="426" t="s">
        <v>440</v>
      </c>
      <c r="Z8" s="426" t="s">
        <v>441</v>
      </c>
      <c r="AA8" s="427" t="s">
        <v>442</v>
      </c>
      <c r="AB8" s="426" t="s">
        <v>441</v>
      </c>
      <c r="AC8" s="426" t="s">
        <v>441</v>
      </c>
      <c r="AD8" s="425" t="s">
        <v>443</v>
      </c>
      <c r="AE8" s="426" t="s">
        <v>444</v>
      </c>
      <c r="AF8" s="426" t="s">
        <v>440</v>
      </c>
      <c r="AG8" s="426" t="s">
        <v>441</v>
      </c>
      <c r="AH8" s="427" t="s">
        <v>442</v>
      </c>
      <c r="AI8" s="428"/>
    </row>
    <row r="9">
      <c r="A9" s="49"/>
      <c r="B9" s="49"/>
      <c r="C9" s="426">
        <v>28.0</v>
      </c>
      <c r="D9" s="425">
        <v>1.0</v>
      </c>
      <c r="E9" s="426">
        <v>2.0</v>
      </c>
      <c r="F9" s="426">
        <v>3.0</v>
      </c>
      <c r="G9" s="426">
        <v>4.0</v>
      </c>
      <c r="H9" s="426">
        <v>5.0</v>
      </c>
      <c r="I9" s="426">
        <v>6.0</v>
      </c>
      <c r="J9" s="426">
        <v>7.0</v>
      </c>
      <c r="K9" s="426">
        <v>8.0</v>
      </c>
      <c r="L9" s="426">
        <v>9.0</v>
      </c>
      <c r="M9" s="426">
        <v>10.0</v>
      </c>
      <c r="N9" s="426">
        <v>11.0</v>
      </c>
      <c r="O9" s="426">
        <v>12.0</v>
      </c>
      <c r="P9" s="426">
        <v>13.0</v>
      </c>
      <c r="Q9" s="425">
        <v>14.0</v>
      </c>
      <c r="R9" s="426">
        <v>15.0</v>
      </c>
      <c r="S9" s="426">
        <v>16.0</v>
      </c>
      <c r="T9" s="426">
        <v>17.0</v>
      </c>
      <c r="U9" s="426">
        <v>18.0</v>
      </c>
      <c r="V9" s="426">
        <v>19.0</v>
      </c>
      <c r="W9" s="426">
        <v>20.0</v>
      </c>
      <c r="X9" s="426">
        <v>21.0</v>
      </c>
      <c r="Y9" s="426">
        <v>22.0</v>
      </c>
      <c r="Z9" s="426">
        <v>23.0</v>
      </c>
      <c r="AA9" s="426">
        <v>24.0</v>
      </c>
      <c r="AB9" s="426">
        <v>25.0</v>
      </c>
      <c r="AC9" s="426">
        <v>26.0</v>
      </c>
      <c r="AD9" s="425">
        <v>27.0</v>
      </c>
      <c r="AE9" s="426">
        <v>28.0</v>
      </c>
      <c r="AF9" s="426">
        <v>29.0</v>
      </c>
      <c r="AG9" s="426">
        <v>30.0</v>
      </c>
      <c r="AH9" s="426">
        <v>31.0</v>
      </c>
      <c r="AI9" s="429"/>
    </row>
    <row r="10">
      <c r="A10" s="430">
        <v>1.0</v>
      </c>
      <c r="B10" s="431" t="s">
        <v>445</v>
      </c>
      <c r="C10" s="432"/>
      <c r="D10" s="430" t="s">
        <v>446</v>
      </c>
      <c r="E10" s="430" t="s">
        <v>446</v>
      </c>
      <c r="F10" s="430" t="s">
        <v>446</v>
      </c>
      <c r="G10" s="433" t="s">
        <v>447</v>
      </c>
      <c r="H10" s="434" t="s">
        <v>441</v>
      </c>
      <c r="I10" s="434" t="s">
        <v>441</v>
      </c>
      <c r="J10" s="434" t="s">
        <v>441</v>
      </c>
      <c r="K10" s="434" t="s">
        <v>441</v>
      </c>
      <c r="L10" s="434" t="s">
        <v>441</v>
      </c>
      <c r="M10" s="434" t="s">
        <v>441</v>
      </c>
      <c r="N10" s="434" t="s">
        <v>441</v>
      </c>
      <c r="O10" s="433" t="s">
        <v>447</v>
      </c>
      <c r="P10" s="430" t="s">
        <v>446</v>
      </c>
      <c r="Q10" s="430" t="s">
        <v>446</v>
      </c>
      <c r="R10" s="430" t="s">
        <v>446</v>
      </c>
      <c r="S10" s="430" t="s">
        <v>446</v>
      </c>
      <c r="T10" s="430" t="s">
        <v>446</v>
      </c>
      <c r="U10" s="430" t="s">
        <v>446</v>
      </c>
      <c r="V10" s="434" t="s">
        <v>441</v>
      </c>
      <c r="W10" s="434" t="s">
        <v>441</v>
      </c>
      <c r="X10" s="434" t="s">
        <v>441</v>
      </c>
      <c r="Y10" s="435" t="s">
        <v>447</v>
      </c>
      <c r="Z10" s="434" t="s">
        <v>441</v>
      </c>
      <c r="AA10" s="434" t="s">
        <v>441</v>
      </c>
      <c r="AB10" s="434" t="s">
        <v>441</v>
      </c>
      <c r="AC10" s="434" t="s">
        <v>441</v>
      </c>
      <c r="AD10" s="434" t="s">
        <v>441</v>
      </c>
      <c r="AE10" s="430" t="s">
        <v>446</v>
      </c>
      <c r="AF10" s="430" t="s">
        <v>446</v>
      </c>
      <c r="AG10" s="430" t="s">
        <v>446</v>
      </c>
      <c r="AH10" s="430" t="s">
        <v>446</v>
      </c>
      <c r="AI10" s="343">
        <f>COUNTIF(D10:AH10,"X")</f>
        <v>3</v>
      </c>
    </row>
    <row r="11">
      <c r="A11" s="432"/>
      <c r="B11" s="432"/>
      <c r="C11" s="432"/>
      <c r="D11" s="436" t="s">
        <v>0</v>
      </c>
      <c r="E11" s="432"/>
      <c r="F11" s="432"/>
      <c r="G11" s="432"/>
      <c r="H11" s="432"/>
      <c r="I11" s="432"/>
      <c r="J11" s="432"/>
      <c r="K11" s="432"/>
      <c r="L11" s="432"/>
      <c r="M11" s="432"/>
      <c r="N11" s="432"/>
      <c r="O11" s="432"/>
      <c r="P11" s="437" t="s">
        <v>448</v>
      </c>
      <c r="Q11" s="432"/>
      <c r="R11" s="432"/>
      <c r="S11" s="432"/>
      <c r="T11" s="432"/>
      <c r="U11" s="432"/>
      <c r="V11" s="432"/>
      <c r="W11" s="432"/>
      <c r="X11" s="432"/>
      <c r="Y11" s="432"/>
      <c r="Z11" s="432"/>
      <c r="AA11" s="432"/>
      <c r="AB11" s="432"/>
      <c r="AC11" s="437" t="s">
        <v>448</v>
      </c>
      <c r="AD11" s="432"/>
      <c r="AE11" s="432"/>
      <c r="AF11" s="432"/>
      <c r="AG11" s="432"/>
      <c r="AH11" s="432"/>
      <c r="AI11" s="342"/>
    </row>
    <row r="12">
      <c r="A12" s="430">
        <v>2.0</v>
      </c>
      <c r="B12" s="431" t="s">
        <v>449</v>
      </c>
      <c r="C12" s="432"/>
      <c r="D12" s="434" t="s">
        <v>441</v>
      </c>
      <c r="E12" s="434" t="s">
        <v>441</v>
      </c>
      <c r="F12" s="434" t="s">
        <v>441</v>
      </c>
      <c r="G12" s="434" t="s">
        <v>441</v>
      </c>
      <c r="H12" s="433" t="s">
        <v>447</v>
      </c>
      <c r="I12" s="430" t="s">
        <v>446</v>
      </c>
      <c r="J12" s="430" t="s">
        <v>446</v>
      </c>
      <c r="K12" s="430" t="s">
        <v>446</v>
      </c>
      <c r="L12" s="430" t="s">
        <v>446</v>
      </c>
      <c r="M12" s="430" t="s">
        <v>446</v>
      </c>
      <c r="N12" s="433" t="s">
        <v>447</v>
      </c>
      <c r="O12" s="434" t="s">
        <v>441</v>
      </c>
      <c r="P12" s="434" t="s">
        <v>441</v>
      </c>
      <c r="Q12" s="434" t="s">
        <v>441</v>
      </c>
      <c r="R12" s="434" t="s">
        <v>441</v>
      </c>
      <c r="S12" s="434" t="s">
        <v>441</v>
      </c>
      <c r="T12" s="434" t="s">
        <v>441</v>
      </c>
      <c r="U12" s="434" t="s">
        <v>441</v>
      </c>
      <c r="V12" s="435" t="s">
        <v>447</v>
      </c>
      <c r="W12" s="438" t="s">
        <v>450</v>
      </c>
      <c r="X12" s="438" t="s">
        <v>450</v>
      </c>
      <c r="Y12" s="430" t="s">
        <v>446</v>
      </c>
      <c r="Z12" s="430" t="s">
        <v>446</v>
      </c>
      <c r="AA12" s="435" t="s">
        <v>447</v>
      </c>
      <c r="AB12" s="430" t="s">
        <v>446</v>
      </c>
      <c r="AC12" s="430" t="s">
        <v>446</v>
      </c>
      <c r="AD12" s="430" t="s">
        <v>446</v>
      </c>
      <c r="AE12" s="430" t="s">
        <v>446</v>
      </c>
      <c r="AF12" s="434" t="s">
        <v>441</v>
      </c>
      <c r="AG12" s="434" t="s">
        <v>441</v>
      </c>
      <c r="AH12" s="434" t="s">
        <v>441</v>
      </c>
      <c r="AI12" s="343">
        <f>COUNTIF(C12:AH12,"X")</f>
        <v>4</v>
      </c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439" t="s">
        <v>0</v>
      </c>
      <c r="N13" s="22"/>
      <c r="O13" s="22"/>
      <c r="P13" s="22"/>
      <c r="Q13" s="22"/>
      <c r="R13" s="22"/>
      <c r="S13" s="22"/>
      <c r="T13" s="22"/>
      <c r="U13" s="22"/>
      <c r="V13" s="22"/>
      <c r="W13" s="440" t="s">
        <v>395</v>
      </c>
      <c r="X13" s="440" t="s">
        <v>395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342"/>
    </row>
    <row r="14">
      <c r="A14" s="438">
        <v>3.0</v>
      </c>
      <c r="B14" s="441" t="s">
        <v>451</v>
      </c>
      <c r="C14" s="442"/>
      <c r="D14" s="435" t="s">
        <v>447</v>
      </c>
      <c r="E14" s="443" t="s">
        <v>446</v>
      </c>
      <c r="F14" s="443" t="s">
        <v>446</v>
      </c>
      <c r="G14" s="430" t="s">
        <v>446</v>
      </c>
      <c r="H14" s="430" t="s">
        <v>446</v>
      </c>
      <c r="I14" s="443" t="s">
        <v>441</v>
      </c>
      <c r="J14" s="443" t="s">
        <v>441</v>
      </c>
      <c r="K14" s="435" t="s">
        <v>447</v>
      </c>
      <c r="L14" s="443" t="s">
        <v>441</v>
      </c>
      <c r="M14" s="443" t="s">
        <v>441</v>
      </c>
      <c r="N14" s="430" t="s">
        <v>446</v>
      </c>
      <c r="O14" s="430" t="s">
        <v>446</v>
      </c>
      <c r="P14" s="444" t="s">
        <v>450</v>
      </c>
      <c r="Q14" s="443" t="s">
        <v>441</v>
      </c>
      <c r="R14" s="435" t="s">
        <v>447</v>
      </c>
      <c r="S14" s="443" t="s">
        <v>446</v>
      </c>
      <c r="T14" s="443" t="s">
        <v>446</v>
      </c>
      <c r="U14" s="430" t="s">
        <v>446</v>
      </c>
      <c r="V14" s="430" t="s">
        <v>446</v>
      </c>
      <c r="W14" s="434" t="s">
        <v>441</v>
      </c>
      <c r="X14" s="434" t="s">
        <v>441</v>
      </c>
      <c r="Y14" s="434" t="s">
        <v>441</v>
      </c>
      <c r="Z14" s="443" t="s">
        <v>441</v>
      </c>
      <c r="AA14" s="443" t="s">
        <v>441</v>
      </c>
      <c r="AB14" s="434" t="s">
        <v>441</v>
      </c>
      <c r="AC14" s="434" t="s">
        <v>441</v>
      </c>
      <c r="AD14" s="435" t="s">
        <v>447</v>
      </c>
      <c r="AE14" s="443" t="s">
        <v>446</v>
      </c>
      <c r="AF14" s="443" t="s">
        <v>446</v>
      </c>
      <c r="AG14" s="443" t="s">
        <v>446</v>
      </c>
      <c r="AH14" s="443" t="s">
        <v>446</v>
      </c>
      <c r="AI14" s="343" t="str">
        <f>COUNTIF(#REF!,"X")</f>
        <v>#REF!</v>
      </c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342"/>
    </row>
    <row r="16">
      <c r="A16" s="144"/>
      <c r="B16" s="445"/>
      <c r="C16" s="22"/>
      <c r="D16" s="144"/>
      <c r="E16" s="435"/>
      <c r="F16" s="144"/>
      <c r="G16" s="144"/>
      <c r="H16" s="144"/>
      <c r="I16" s="144"/>
      <c r="J16" s="144"/>
      <c r="K16" s="144"/>
      <c r="L16" s="435"/>
      <c r="M16" s="144"/>
      <c r="N16" s="144"/>
      <c r="O16" s="144"/>
      <c r="P16" s="144"/>
      <c r="Q16" s="144"/>
      <c r="R16" s="144"/>
      <c r="S16" s="435"/>
      <c r="T16" s="144"/>
      <c r="U16" s="144"/>
      <c r="V16" s="144"/>
      <c r="W16" s="144"/>
      <c r="X16" s="144"/>
      <c r="Y16" s="144"/>
      <c r="Z16" s="435"/>
      <c r="AA16" s="144"/>
      <c r="AB16" s="144"/>
      <c r="AC16" s="144"/>
      <c r="AD16" s="144"/>
      <c r="AE16" s="144"/>
      <c r="AF16" s="144"/>
      <c r="AG16" s="435"/>
      <c r="AH16" s="144"/>
      <c r="AI16" s="343">
        <f>COUNTIF(C16:AH16,"X")</f>
        <v>0</v>
      </c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342"/>
    </row>
    <row r="18">
      <c r="A18" s="144"/>
      <c r="B18" s="445"/>
      <c r="C18" s="22"/>
      <c r="D18" s="435"/>
      <c r="E18" s="144"/>
      <c r="F18" s="144"/>
      <c r="G18" s="144"/>
      <c r="H18" s="144"/>
      <c r="I18" s="144"/>
      <c r="J18" s="144"/>
      <c r="K18" s="435"/>
      <c r="L18" s="144"/>
      <c r="M18" s="144"/>
      <c r="N18" s="144"/>
      <c r="O18" s="144"/>
      <c r="P18" s="144"/>
      <c r="Q18" s="144"/>
      <c r="R18" s="435"/>
      <c r="S18" s="144"/>
      <c r="T18" s="144"/>
      <c r="U18" s="144"/>
      <c r="V18" s="144"/>
      <c r="W18" s="144"/>
      <c r="X18" s="144"/>
      <c r="Y18" s="435"/>
      <c r="Z18" s="144"/>
      <c r="AA18" s="144"/>
      <c r="AB18" s="446"/>
      <c r="AC18" s="446"/>
      <c r="AD18" s="144"/>
      <c r="AE18" s="144"/>
      <c r="AF18" s="435"/>
      <c r="AG18" s="144"/>
      <c r="AH18" s="144"/>
      <c r="AI18" s="343">
        <f>COUNTIF(C14:AH14,"X")</f>
        <v>4</v>
      </c>
    </row>
    <row r="19">
      <c r="A19" s="22"/>
      <c r="B19" s="22"/>
      <c r="C19" s="22"/>
      <c r="D19" s="22"/>
      <c r="E19" s="22"/>
      <c r="F19" s="22"/>
      <c r="G19" s="22"/>
      <c r="H19" s="22"/>
      <c r="I19" s="144"/>
      <c r="J19" s="144"/>
      <c r="K19" s="144"/>
      <c r="L19" s="144"/>
      <c r="M19" s="14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342"/>
    </row>
    <row r="20">
      <c r="A20" s="144"/>
      <c r="B20" s="445"/>
      <c r="C20" s="22"/>
      <c r="D20" s="435"/>
      <c r="E20" s="144"/>
      <c r="F20" s="144"/>
      <c r="G20" s="144"/>
      <c r="H20" s="144"/>
      <c r="I20" s="144"/>
      <c r="J20" s="435"/>
      <c r="K20" s="435"/>
      <c r="L20" s="435"/>
      <c r="M20" s="435"/>
      <c r="N20" s="435"/>
      <c r="O20" s="446"/>
      <c r="P20" s="144"/>
      <c r="Q20" s="144"/>
      <c r="R20" s="144"/>
      <c r="S20" s="144"/>
      <c r="T20" s="144"/>
      <c r="U20" s="144"/>
      <c r="V20" s="144"/>
      <c r="W20" s="144"/>
      <c r="X20" s="144"/>
      <c r="Y20" s="435"/>
      <c r="Z20" s="144"/>
      <c r="AA20" s="144"/>
      <c r="AB20" s="446"/>
      <c r="AC20" s="446"/>
      <c r="AD20" s="144"/>
      <c r="AE20" s="144"/>
      <c r="AF20" s="435"/>
      <c r="AG20" s="144"/>
      <c r="AH20" s="144"/>
      <c r="AI20" s="343">
        <f>COUNTIF(C20:AH20,"X")</f>
        <v>0</v>
      </c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144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343">
        <f>COUNTIF(D21:AH21,"X")</f>
        <v>0</v>
      </c>
    </row>
    <row r="22">
      <c r="A22" s="342"/>
      <c r="B22" s="342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2"/>
      <c r="AG22" s="342"/>
      <c r="AH22" s="342"/>
      <c r="AI22" s="342"/>
    </row>
    <row r="23">
      <c r="A23" s="342"/>
      <c r="B23" s="447" t="s">
        <v>452</v>
      </c>
      <c r="C23" s="448">
        <f t="shared" ref="C23:AH23" si="1">COUNTIF((C10:C20),"P")</f>
        <v>0</v>
      </c>
      <c r="D23" s="448">
        <f t="shared" si="1"/>
        <v>1</v>
      </c>
      <c r="E23" s="448">
        <f t="shared" si="1"/>
        <v>2</v>
      </c>
      <c r="F23" s="448">
        <f t="shared" si="1"/>
        <v>2</v>
      </c>
      <c r="G23" s="448">
        <f t="shared" si="1"/>
        <v>1</v>
      </c>
      <c r="H23" s="448">
        <f t="shared" si="1"/>
        <v>1</v>
      </c>
      <c r="I23" s="448">
        <f t="shared" si="1"/>
        <v>1</v>
      </c>
      <c r="J23" s="448">
        <f t="shared" si="1"/>
        <v>1</v>
      </c>
      <c r="K23" s="448">
        <f t="shared" si="1"/>
        <v>1</v>
      </c>
      <c r="L23" s="448">
        <f t="shared" si="1"/>
        <v>1</v>
      </c>
      <c r="M23" s="448">
        <f t="shared" si="1"/>
        <v>1</v>
      </c>
      <c r="N23" s="448">
        <f t="shared" si="1"/>
        <v>1</v>
      </c>
      <c r="O23" s="448">
        <f t="shared" si="1"/>
        <v>1</v>
      </c>
      <c r="P23" s="448">
        <f t="shared" si="1"/>
        <v>1</v>
      </c>
      <c r="Q23" s="448">
        <f t="shared" si="1"/>
        <v>1</v>
      </c>
      <c r="R23" s="448">
        <f t="shared" si="1"/>
        <v>1</v>
      </c>
      <c r="S23" s="448">
        <f t="shared" si="1"/>
        <v>2</v>
      </c>
      <c r="T23" s="448">
        <f t="shared" si="1"/>
        <v>2</v>
      </c>
      <c r="U23" s="448">
        <f t="shared" si="1"/>
        <v>2</v>
      </c>
      <c r="V23" s="448">
        <f t="shared" si="1"/>
        <v>1</v>
      </c>
      <c r="W23" s="448">
        <f t="shared" si="1"/>
        <v>0</v>
      </c>
      <c r="X23" s="448">
        <f t="shared" si="1"/>
        <v>0</v>
      </c>
      <c r="Y23" s="448">
        <f t="shared" si="1"/>
        <v>1</v>
      </c>
      <c r="Z23" s="448">
        <f t="shared" si="1"/>
        <v>1</v>
      </c>
      <c r="AA23" s="448">
        <f t="shared" si="1"/>
        <v>0</v>
      </c>
      <c r="AB23" s="448">
        <f t="shared" si="1"/>
        <v>1</v>
      </c>
      <c r="AC23" s="448">
        <f t="shared" si="1"/>
        <v>1</v>
      </c>
      <c r="AD23" s="448">
        <f t="shared" si="1"/>
        <v>1</v>
      </c>
      <c r="AE23" s="448">
        <f t="shared" si="1"/>
        <v>3</v>
      </c>
      <c r="AF23" s="448">
        <f t="shared" si="1"/>
        <v>2</v>
      </c>
      <c r="AG23" s="448">
        <f t="shared" si="1"/>
        <v>2</v>
      </c>
      <c r="AH23" s="448">
        <f t="shared" si="1"/>
        <v>2</v>
      </c>
      <c r="AI23" s="343">
        <f>COUNTIF(D23:AH23,"X")</f>
        <v>0</v>
      </c>
    </row>
    <row r="24">
      <c r="A24" s="342"/>
      <c r="B24" s="447" t="s">
        <v>453</v>
      </c>
      <c r="C24" s="448">
        <f t="shared" ref="C24:AH24" si="2">COUNTIF((C10:C20),"S")</f>
        <v>0</v>
      </c>
      <c r="D24" s="448">
        <f t="shared" si="2"/>
        <v>1</v>
      </c>
      <c r="E24" s="448">
        <f t="shared" si="2"/>
        <v>1</v>
      </c>
      <c r="F24" s="448">
        <f t="shared" si="2"/>
        <v>1</v>
      </c>
      <c r="G24" s="448">
        <f t="shared" si="2"/>
        <v>1</v>
      </c>
      <c r="H24" s="448">
        <f t="shared" si="2"/>
        <v>1</v>
      </c>
      <c r="I24" s="448">
        <f t="shared" si="2"/>
        <v>2</v>
      </c>
      <c r="J24" s="448">
        <f t="shared" si="2"/>
        <v>2</v>
      </c>
      <c r="K24" s="448">
        <f t="shared" si="2"/>
        <v>1</v>
      </c>
      <c r="L24" s="448">
        <f t="shared" si="2"/>
        <v>2</v>
      </c>
      <c r="M24" s="448">
        <f t="shared" si="2"/>
        <v>2</v>
      </c>
      <c r="N24" s="448">
        <f t="shared" si="2"/>
        <v>1</v>
      </c>
      <c r="O24" s="448">
        <f t="shared" si="2"/>
        <v>1</v>
      </c>
      <c r="P24" s="448">
        <f t="shared" si="2"/>
        <v>1</v>
      </c>
      <c r="Q24" s="448">
        <f t="shared" si="2"/>
        <v>2</v>
      </c>
      <c r="R24" s="448">
        <f t="shared" si="2"/>
        <v>1</v>
      </c>
      <c r="S24" s="448">
        <f t="shared" si="2"/>
        <v>1</v>
      </c>
      <c r="T24" s="448">
        <f t="shared" si="2"/>
        <v>1</v>
      </c>
      <c r="U24" s="448">
        <f t="shared" si="2"/>
        <v>1</v>
      </c>
      <c r="V24" s="448">
        <f t="shared" si="2"/>
        <v>1</v>
      </c>
      <c r="W24" s="448">
        <f t="shared" si="2"/>
        <v>2</v>
      </c>
      <c r="X24" s="448">
        <f t="shared" si="2"/>
        <v>2</v>
      </c>
      <c r="Y24" s="448">
        <f t="shared" si="2"/>
        <v>1</v>
      </c>
      <c r="Z24" s="448">
        <f t="shared" si="2"/>
        <v>2</v>
      </c>
      <c r="AA24" s="448">
        <f t="shared" si="2"/>
        <v>2</v>
      </c>
      <c r="AB24" s="448">
        <f t="shared" si="2"/>
        <v>2</v>
      </c>
      <c r="AC24" s="448">
        <f t="shared" si="2"/>
        <v>2</v>
      </c>
      <c r="AD24" s="448">
        <f t="shared" si="2"/>
        <v>1</v>
      </c>
      <c r="AE24" s="448">
        <f t="shared" si="2"/>
        <v>0</v>
      </c>
      <c r="AF24" s="448">
        <f t="shared" si="2"/>
        <v>1</v>
      </c>
      <c r="AG24" s="448">
        <f t="shared" si="2"/>
        <v>1</v>
      </c>
      <c r="AH24" s="448">
        <f t="shared" si="2"/>
        <v>1</v>
      </c>
      <c r="AI24" s="342"/>
    </row>
    <row r="25">
      <c r="A25" s="342"/>
      <c r="B25" s="342"/>
      <c r="C25" s="342"/>
      <c r="D25" s="342"/>
      <c r="E25" s="342"/>
      <c r="F25" s="342"/>
      <c r="G25" s="342"/>
      <c r="H25" s="342"/>
      <c r="I25" s="342"/>
      <c r="J25" s="342"/>
      <c r="K25" s="342"/>
      <c r="L25" s="342"/>
      <c r="M25" s="449" t="s">
        <v>211</v>
      </c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  <c r="AC25" s="342"/>
      <c r="AD25" s="342"/>
      <c r="AE25" s="342"/>
      <c r="AF25" s="342"/>
      <c r="AG25" s="342"/>
      <c r="AH25" s="342"/>
      <c r="AI25" s="342"/>
    </row>
    <row r="26">
      <c r="A26" s="342"/>
      <c r="B26" s="342"/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342"/>
      <c r="AE26" s="342"/>
      <c r="AF26" s="342"/>
      <c r="AG26" s="342"/>
      <c r="AH26" s="342"/>
      <c r="AI26" s="342"/>
    </row>
    <row r="27">
      <c r="A27" s="450" t="s">
        <v>454</v>
      </c>
      <c r="B27" s="451"/>
      <c r="C27" s="45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453" t="s">
        <v>455</v>
      </c>
      <c r="R27" s="454"/>
      <c r="S27" s="454"/>
      <c r="T27" s="454"/>
      <c r="U27" s="454"/>
      <c r="V27" s="454"/>
      <c r="W27" s="454"/>
      <c r="X27" s="454"/>
      <c r="Y27" s="454"/>
      <c r="Z27" s="454"/>
      <c r="AA27" s="454"/>
      <c r="AB27" s="455"/>
      <c r="AC27" s="342"/>
      <c r="AD27" s="342"/>
      <c r="AE27" s="342"/>
      <c r="AF27" s="342"/>
      <c r="AG27" s="342"/>
      <c r="AH27" s="342"/>
      <c r="AI27" s="342"/>
    </row>
    <row r="28">
      <c r="A28" s="456" t="s">
        <v>446</v>
      </c>
      <c r="B28" s="457" t="s">
        <v>456</v>
      </c>
      <c r="C28" s="458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60"/>
      <c r="Q28" s="461" t="s">
        <v>457</v>
      </c>
      <c r="R28" s="462"/>
      <c r="S28" s="462"/>
      <c r="T28" s="463"/>
      <c r="U28" s="464" t="s">
        <v>458</v>
      </c>
      <c r="V28" s="462"/>
      <c r="W28" s="462"/>
      <c r="X28" s="463"/>
      <c r="Y28" s="464" t="s">
        <v>449</v>
      </c>
      <c r="Z28" s="462"/>
      <c r="AA28" s="462"/>
      <c r="AB28" s="463"/>
      <c r="AC28" s="342"/>
      <c r="AD28" s="342"/>
      <c r="AE28" s="342"/>
      <c r="AF28" s="342"/>
      <c r="AG28" s="342"/>
      <c r="AH28" s="342"/>
      <c r="AI28" s="342"/>
    </row>
    <row r="29">
      <c r="A29" s="465" t="s">
        <v>447</v>
      </c>
      <c r="B29" s="466" t="s">
        <v>14</v>
      </c>
      <c r="C29" s="458"/>
      <c r="D29" s="459"/>
      <c r="E29" s="459"/>
      <c r="F29" s="459"/>
      <c r="G29" s="459"/>
      <c r="H29" s="459"/>
      <c r="I29" s="459"/>
      <c r="J29" s="459"/>
      <c r="K29" s="459"/>
      <c r="L29" s="459"/>
      <c r="M29" s="459"/>
      <c r="N29" s="459"/>
      <c r="O29" s="459"/>
      <c r="P29" s="460"/>
      <c r="Q29" s="467"/>
      <c r="T29" s="468"/>
      <c r="U29" s="467"/>
      <c r="X29" s="468"/>
      <c r="Y29" s="467"/>
      <c r="AB29" s="468"/>
      <c r="AC29" s="342"/>
      <c r="AD29" s="342"/>
      <c r="AE29" s="342"/>
      <c r="AF29" s="342"/>
      <c r="AG29" s="342"/>
      <c r="AH29" s="342"/>
      <c r="AI29" s="342"/>
    </row>
    <row r="30">
      <c r="A30" s="469" t="s">
        <v>441</v>
      </c>
      <c r="B30" s="457" t="s">
        <v>459</v>
      </c>
      <c r="C30" s="458"/>
      <c r="D30" s="459"/>
      <c r="E30" s="459"/>
      <c r="F30" s="459"/>
      <c r="G30" s="459"/>
      <c r="H30" s="459"/>
      <c r="I30" s="459"/>
      <c r="J30" s="459"/>
      <c r="K30" s="459"/>
      <c r="L30" s="459"/>
      <c r="M30" s="459"/>
      <c r="N30" s="459"/>
      <c r="O30" s="459"/>
      <c r="P30" s="460"/>
      <c r="Q30" s="470"/>
      <c r="R30" s="459"/>
      <c r="S30" s="459"/>
      <c r="T30" s="460"/>
      <c r="U30" s="470"/>
      <c r="V30" s="459"/>
      <c r="W30" s="459"/>
      <c r="X30" s="460"/>
      <c r="Y30" s="470"/>
      <c r="Z30" s="459"/>
      <c r="AA30" s="459"/>
      <c r="AB30" s="460"/>
      <c r="AC30" s="342"/>
      <c r="AD30" s="342"/>
      <c r="AE30" s="342"/>
      <c r="AF30" s="342"/>
      <c r="AG30" s="342"/>
      <c r="AH30" s="342"/>
      <c r="AI30" s="342"/>
    </row>
    <row r="31">
      <c r="A31" s="342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</row>
    <row r="32">
      <c r="A32" s="471">
        <v>1.0</v>
      </c>
      <c r="B32" s="472" t="s">
        <v>460</v>
      </c>
      <c r="Z32" s="342"/>
      <c r="AA32" s="342"/>
      <c r="AB32" s="342"/>
      <c r="AC32" s="342"/>
      <c r="AD32" s="342"/>
      <c r="AE32" s="342"/>
      <c r="AF32" s="342"/>
      <c r="AG32" s="342"/>
      <c r="AH32" s="342"/>
      <c r="AI32" s="342"/>
    </row>
    <row r="33">
      <c r="A33" s="471">
        <v>2.0</v>
      </c>
      <c r="B33" s="472" t="s">
        <v>461</v>
      </c>
      <c r="U33" s="342"/>
      <c r="V33" s="342"/>
      <c r="W33" s="342"/>
      <c r="X33" s="342"/>
      <c r="Y33" s="342"/>
      <c r="Z33" s="342"/>
      <c r="AA33" s="342"/>
      <c r="AB33" s="342"/>
      <c r="AC33" s="342"/>
      <c r="AD33" s="342"/>
      <c r="AE33" s="342"/>
      <c r="AF33" s="342"/>
      <c r="AG33" s="342"/>
      <c r="AH33" s="342"/>
      <c r="AI33" s="342"/>
    </row>
    <row r="34">
      <c r="A34" s="342"/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2"/>
      <c r="AG34" s="342"/>
      <c r="AH34" s="342"/>
      <c r="AI34" s="342"/>
    </row>
    <row r="35">
      <c r="A35" s="342"/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  <c r="AH35" s="342"/>
      <c r="AI35" s="342"/>
    </row>
    <row r="36">
      <c r="A36" s="473" t="s">
        <v>462</v>
      </c>
      <c r="B36" s="454"/>
      <c r="C36" s="454"/>
      <c r="D36" s="454"/>
      <c r="E36" s="454"/>
      <c r="F36" s="455"/>
      <c r="G36" s="474" t="s">
        <v>463</v>
      </c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6"/>
      <c r="AE36" s="342"/>
      <c r="AF36" s="342"/>
      <c r="AG36" s="342"/>
      <c r="AH36" s="342"/>
      <c r="AI36" s="342"/>
    </row>
    <row r="37">
      <c r="A37" s="477">
        <v>1.0</v>
      </c>
      <c r="B37" s="478" t="s">
        <v>458</v>
      </c>
      <c r="C37" s="479">
        <v>8.9616930217E10</v>
      </c>
      <c r="D37" s="454"/>
      <c r="E37" s="454"/>
      <c r="F37" s="455"/>
      <c r="G37" s="480" t="s">
        <v>464</v>
      </c>
      <c r="H37" s="263"/>
      <c r="I37" s="263"/>
      <c r="J37" s="263"/>
      <c r="K37" s="263"/>
      <c r="L37" s="263"/>
      <c r="M37" s="263"/>
      <c r="N37" s="264"/>
      <c r="O37" s="480" t="s">
        <v>465</v>
      </c>
      <c r="P37" s="263"/>
      <c r="Q37" s="263"/>
      <c r="R37" s="263"/>
      <c r="S37" s="263"/>
      <c r="T37" s="263"/>
      <c r="U37" s="263"/>
      <c r="V37" s="264"/>
      <c r="W37" s="480" t="s">
        <v>466</v>
      </c>
      <c r="X37" s="263"/>
      <c r="Y37" s="263"/>
      <c r="Z37" s="263"/>
      <c r="AA37" s="263"/>
      <c r="AB37" s="263"/>
      <c r="AC37" s="263"/>
      <c r="AD37" s="264"/>
      <c r="AE37" s="342"/>
      <c r="AF37" s="342"/>
      <c r="AG37" s="342"/>
      <c r="AH37" s="342"/>
      <c r="AI37" s="342"/>
    </row>
    <row r="38">
      <c r="A38" s="477">
        <v>2.0</v>
      </c>
      <c r="B38" s="478" t="s">
        <v>449</v>
      </c>
      <c r="C38" s="479">
        <v>8.1332847794E10</v>
      </c>
      <c r="D38" s="454"/>
      <c r="E38" s="454"/>
      <c r="F38" s="455"/>
      <c r="G38" s="481"/>
      <c r="H38" s="267"/>
      <c r="I38" s="267"/>
      <c r="J38" s="267"/>
      <c r="K38" s="267"/>
      <c r="L38" s="267"/>
      <c r="M38" s="267"/>
      <c r="N38" s="268"/>
      <c r="O38" s="481"/>
      <c r="P38" s="267"/>
      <c r="Q38" s="267"/>
      <c r="R38" s="267"/>
      <c r="S38" s="267"/>
      <c r="T38" s="267"/>
      <c r="U38" s="267"/>
      <c r="V38" s="268"/>
      <c r="W38" s="481"/>
      <c r="X38" s="267"/>
      <c r="Y38" s="267"/>
      <c r="Z38" s="267"/>
      <c r="AA38" s="267"/>
      <c r="AB38" s="267"/>
      <c r="AC38" s="267"/>
      <c r="AD38" s="268"/>
      <c r="AE38" s="342"/>
      <c r="AF38" s="342"/>
      <c r="AG38" s="342"/>
      <c r="AH38" s="342"/>
      <c r="AI38" s="342"/>
    </row>
    <row r="39">
      <c r="A39" s="477">
        <v>3.0</v>
      </c>
      <c r="B39" s="478" t="s">
        <v>410</v>
      </c>
      <c r="C39" s="479">
        <v>8.7853055999E10</v>
      </c>
      <c r="D39" s="454"/>
      <c r="E39" s="454"/>
      <c r="F39" s="455"/>
      <c r="G39" s="482"/>
      <c r="N39" s="270"/>
      <c r="O39" s="482"/>
      <c r="V39" s="270"/>
      <c r="W39" s="482"/>
      <c r="AD39" s="270"/>
      <c r="AE39" s="342"/>
      <c r="AF39" s="342"/>
      <c r="AG39" s="342"/>
      <c r="AH39" s="342"/>
      <c r="AI39" s="342"/>
    </row>
    <row r="40">
      <c r="A40" s="483"/>
      <c r="B40" s="484"/>
      <c r="C40" s="458"/>
      <c r="D40" s="459"/>
      <c r="E40" s="459"/>
      <c r="F40" s="460"/>
      <c r="G40" s="482"/>
      <c r="N40" s="270"/>
      <c r="O40" s="482"/>
      <c r="V40" s="270"/>
      <c r="W40" s="482"/>
      <c r="AD40" s="270"/>
      <c r="AE40" s="342"/>
      <c r="AF40" s="342"/>
      <c r="AG40" s="342"/>
      <c r="AH40" s="342"/>
      <c r="AI40" s="342"/>
    </row>
    <row r="41">
      <c r="A41" s="473" t="s">
        <v>467</v>
      </c>
      <c r="B41" s="454"/>
      <c r="C41" s="454"/>
      <c r="D41" s="454"/>
      <c r="E41" s="454"/>
      <c r="F41" s="455"/>
      <c r="G41" s="482"/>
      <c r="N41" s="270"/>
      <c r="O41" s="482"/>
      <c r="V41" s="270"/>
      <c r="W41" s="482"/>
      <c r="AD41" s="270"/>
      <c r="AE41" s="342"/>
      <c r="AF41" s="342"/>
      <c r="AG41" s="342"/>
      <c r="AH41" s="342"/>
      <c r="AI41" s="342"/>
    </row>
    <row r="42">
      <c r="A42" s="477">
        <v>1.0</v>
      </c>
      <c r="B42" s="478" t="s">
        <v>468</v>
      </c>
      <c r="C42" s="485">
        <v>8.133180917E9</v>
      </c>
      <c r="D42" s="462"/>
      <c r="E42" s="462"/>
      <c r="F42" s="486"/>
      <c r="G42" s="482"/>
      <c r="N42" s="270"/>
      <c r="O42" s="482"/>
      <c r="V42" s="270"/>
      <c r="W42" s="482"/>
      <c r="AD42" s="270"/>
      <c r="AE42" s="342"/>
      <c r="AF42" s="342"/>
      <c r="AG42" s="342"/>
      <c r="AH42" s="342"/>
      <c r="AI42" s="342"/>
    </row>
    <row r="43">
      <c r="A43" s="477">
        <v>2.0</v>
      </c>
      <c r="B43" s="487" t="s">
        <v>469</v>
      </c>
      <c r="C43" s="488" t="s">
        <v>470</v>
      </c>
      <c r="D43" s="489"/>
      <c r="E43" s="489"/>
      <c r="F43" s="490"/>
      <c r="G43" s="491"/>
      <c r="H43" s="192"/>
      <c r="I43" s="192"/>
      <c r="J43" s="192"/>
      <c r="K43" s="192"/>
      <c r="L43" s="192"/>
      <c r="M43" s="192"/>
      <c r="N43" s="357"/>
      <c r="O43" s="491"/>
      <c r="P43" s="192"/>
      <c r="Q43" s="192"/>
      <c r="R43" s="192"/>
      <c r="S43" s="192"/>
      <c r="T43" s="192"/>
      <c r="U43" s="192"/>
      <c r="V43" s="357"/>
      <c r="W43" s="491"/>
      <c r="X43" s="192"/>
      <c r="Y43" s="192"/>
      <c r="Z43" s="192"/>
      <c r="AA43" s="192"/>
      <c r="AB43" s="192"/>
      <c r="AC43" s="192"/>
      <c r="AD43" s="357"/>
      <c r="AE43" s="342"/>
      <c r="AF43" s="342"/>
      <c r="AG43" s="342"/>
      <c r="AH43" s="342"/>
      <c r="AI43" s="342"/>
    </row>
    <row r="44">
      <c r="A44" s="483"/>
      <c r="B44" s="484"/>
      <c r="C44" s="458"/>
      <c r="D44" s="459"/>
      <c r="E44" s="459"/>
      <c r="F44" s="460"/>
      <c r="G44" s="480" t="s">
        <v>468</v>
      </c>
      <c r="H44" s="263"/>
      <c r="I44" s="263"/>
      <c r="J44" s="263"/>
      <c r="K44" s="263"/>
      <c r="L44" s="263"/>
      <c r="M44" s="263"/>
      <c r="N44" s="264"/>
      <c r="O44" s="480" t="s">
        <v>469</v>
      </c>
      <c r="P44" s="263"/>
      <c r="Q44" s="263"/>
      <c r="R44" s="263"/>
      <c r="S44" s="263"/>
      <c r="T44" s="263"/>
      <c r="U44" s="263"/>
      <c r="V44" s="264"/>
      <c r="W44" s="480" t="s">
        <v>471</v>
      </c>
      <c r="X44" s="263"/>
      <c r="Y44" s="263"/>
      <c r="Z44" s="263"/>
      <c r="AA44" s="263"/>
      <c r="AB44" s="263"/>
      <c r="AC44" s="263"/>
      <c r="AD44" s="264"/>
      <c r="AE44" s="342"/>
      <c r="AF44" s="342"/>
      <c r="AG44" s="342"/>
      <c r="AH44" s="342"/>
      <c r="AI44" s="342"/>
    </row>
    <row r="45">
      <c r="A45" s="483"/>
      <c r="B45" s="484"/>
      <c r="C45" s="492"/>
      <c r="D45" s="454"/>
      <c r="E45" s="454"/>
      <c r="F45" s="455"/>
      <c r="G45" s="493" t="s">
        <v>472</v>
      </c>
      <c r="H45" s="459"/>
      <c r="I45" s="459"/>
      <c r="J45" s="459"/>
      <c r="K45" s="459"/>
      <c r="L45" s="459"/>
      <c r="M45" s="459"/>
      <c r="N45" s="460"/>
      <c r="O45" s="493" t="s">
        <v>473</v>
      </c>
      <c r="P45" s="459"/>
      <c r="Q45" s="459"/>
      <c r="R45" s="459"/>
      <c r="S45" s="459"/>
      <c r="T45" s="459"/>
      <c r="U45" s="459"/>
      <c r="V45" s="460"/>
      <c r="W45" s="493" t="s">
        <v>474</v>
      </c>
      <c r="X45" s="459"/>
      <c r="Y45" s="459"/>
      <c r="Z45" s="459"/>
      <c r="AA45" s="459"/>
      <c r="AB45" s="459"/>
      <c r="AC45" s="459"/>
      <c r="AD45" s="460"/>
      <c r="AE45" s="342"/>
      <c r="AF45" s="342"/>
      <c r="AG45" s="342"/>
      <c r="AH45" s="342"/>
      <c r="AI45" s="342"/>
    </row>
    <row r="46">
      <c r="A46" s="342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42"/>
      <c r="AG46" s="342"/>
      <c r="AH46" s="342"/>
      <c r="AI46" s="342"/>
    </row>
    <row r="47">
      <c r="A47" s="342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</row>
    <row r="48">
      <c r="A48" s="342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42"/>
      <c r="AD48" s="342"/>
      <c r="AE48" s="342"/>
      <c r="AF48" s="342"/>
      <c r="AG48" s="342"/>
      <c r="AH48" s="342"/>
      <c r="AI48" s="342"/>
    </row>
    <row r="49">
      <c r="A49" s="342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42"/>
      <c r="AD49" s="342"/>
      <c r="AE49" s="342"/>
      <c r="AF49" s="342"/>
      <c r="AG49" s="342"/>
      <c r="AH49" s="342"/>
      <c r="AI49" s="342"/>
    </row>
    <row r="50">
      <c r="A50" s="342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342"/>
      <c r="AE50" s="342"/>
      <c r="AF50" s="342"/>
      <c r="AG50" s="342"/>
      <c r="AH50" s="342"/>
      <c r="AI50" s="342"/>
    </row>
    <row r="51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42"/>
      <c r="AD51" s="342"/>
      <c r="AE51" s="342"/>
      <c r="AF51" s="342"/>
      <c r="AG51" s="342"/>
      <c r="AH51" s="342"/>
      <c r="AI51" s="342"/>
    </row>
    <row r="52">
      <c r="A52" s="342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42"/>
      <c r="AB52" s="342"/>
      <c r="AC52" s="342"/>
      <c r="AD52" s="342"/>
      <c r="AE52" s="342"/>
      <c r="AF52" s="342"/>
      <c r="AG52" s="342"/>
      <c r="AH52" s="342"/>
      <c r="AI52" s="342"/>
    </row>
    <row r="53">
      <c r="A53" s="342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  <c r="AC53" s="342"/>
      <c r="AD53" s="342"/>
      <c r="AE53" s="342"/>
      <c r="AF53" s="342"/>
      <c r="AG53" s="342"/>
      <c r="AH53" s="342"/>
      <c r="AI53" s="342"/>
    </row>
    <row r="54">
      <c r="A54" s="342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  <c r="AC54" s="342"/>
      <c r="AD54" s="342"/>
      <c r="AE54" s="342"/>
      <c r="AF54" s="342"/>
      <c r="AG54" s="342"/>
      <c r="AH54" s="342"/>
      <c r="AI54" s="342"/>
    </row>
    <row r="55">
      <c r="A55" s="342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42"/>
    </row>
    <row r="56">
      <c r="A56" s="342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  <c r="AA56" s="342"/>
      <c r="AB56" s="342"/>
      <c r="AC56" s="342"/>
      <c r="AD56" s="342"/>
      <c r="AE56" s="342"/>
      <c r="AF56" s="342"/>
      <c r="AG56" s="342"/>
      <c r="AH56" s="342"/>
      <c r="AI56" s="342"/>
    </row>
    <row r="57">
      <c r="A57" s="342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  <c r="AE57" s="342"/>
      <c r="AF57" s="342"/>
      <c r="AG57" s="342"/>
      <c r="AH57" s="342"/>
      <c r="AI57" s="342"/>
    </row>
    <row r="58">
      <c r="A58" s="342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</row>
    <row r="59">
      <c r="A59" s="342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</row>
    <row r="60">
      <c r="A60" s="342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  <c r="AG60" s="342"/>
      <c r="AH60" s="342"/>
      <c r="AI60" s="342"/>
    </row>
    <row r="61">
      <c r="A61" s="342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</row>
    <row r="62">
      <c r="A62" s="342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  <c r="AA62" s="342"/>
      <c r="AB62" s="342"/>
      <c r="AC62" s="342"/>
      <c r="AD62" s="342"/>
      <c r="AE62" s="342"/>
      <c r="AF62" s="342"/>
      <c r="AG62" s="342"/>
      <c r="AH62" s="342"/>
      <c r="AI62" s="342"/>
    </row>
    <row r="63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  <c r="AA63" s="342"/>
      <c r="AB63" s="342"/>
      <c r="AC63" s="342"/>
      <c r="AD63" s="342"/>
      <c r="AE63" s="342"/>
      <c r="AF63" s="342"/>
      <c r="AG63" s="342"/>
      <c r="AH63" s="342"/>
      <c r="AI63" s="342"/>
    </row>
    <row r="64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42"/>
      <c r="AE64" s="342"/>
      <c r="AF64" s="342"/>
      <c r="AG64" s="342"/>
      <c r="AH64" s="342"/>
      <c r="AI64" s="342"/>
    </row>
    <row r="65">
      <c r="A65" s="342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42"/>
      <c r="AB65" s="342"/>
      <c r="AC65" s="342"/>
      <c r="AD65" s="342"/>
      <c r="AE65" s="342"/>
      <c r="AF65" s="342"/>
      <c r="AG65" s="342"/>
      <c r="AH65" s="342"/>
      <c r="AI65" s="342"/>
    </row>
    <row r="66">
      <c r="A66" s="342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42"/>
      <c r="AE66" s="342"/>
      <c r="AF66" s="342"/>
      <c r="AG66" s="342"/>
      <c r="AH66" s="342"/>
      <c r="AI66" s="342"/>
    </row>
    <row r="67">
      <c r="A67" s="342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  <c r="AG67" s="342"/>
      <c r="AH67" s="342"/>
      <c r="AI67" s="342"/>
    </row>
    <row r="68">
      <c r="A68" s="342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</row>
    <row r="69">
      <c r="A69" s="342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  <c r="AC69" s="342"/>
      <c r="AD69" s="342"/>
      <c r="AE69" s="342"/>
      <c r="AF69" s="342"/>
      <c r="AG69" s="342"/>
      <c r="AH69" s="342"/>
      <c r="AI69" s="342"/>
    </row>
    <row r="70">
      <c r="A70" s="342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2"/>
      <c r="AD70" s="342"/>
      <c r="AE70" s="342"/>
      <c r="AF70" s="342"/>
      <c r="AG70" s="342"/>
      <c r="AH70" s="342"/>
      <c r="AI70" s="342"/>
    </row>
    <row r="71">
      <c r="A71" s="342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</row>
    <row r="72">
      <c r="A72" s="342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</row>
    <row r="73">
      <c r="A73" s="342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  <c r="AA73" s="342"/>
      <c r="AB73" s="342"/>
      <c r="AC73" s="342"/>
      <c r="AD73" s="342"/>
      <c r="AE73" s="342"/>
      <c r="AF73" s="342"/>
      <c r="AG73" s="342"/>
      <c r="AH73" s="342"/>
      <c r="AI73" s="342"/>
    </row>
    <row r="74">
      <c r="A74" s="342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  <c r="AA74" s="342"/>
      <c r="AB74" s="342"/>
      <c r="AC74" s="342"/>
      <c r="AD74" s="342"/>
      <c r="AE74" s="342"/>
      <c r="AF74" s="342"/>
      <c r="AG74" s="342"/>
      <c r="AH74" s="342"/>
      <c r="AI74" s="342"/>
    </row>
    <row r="75">
      <c r="A75" s="342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</row>
    <row r="76">
      <c r="A76" s="342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342"/>
      <c r="AB76" s="342"/>
      <c r="AC76" s="342"/>
      <c r="AD76" s="342"/>
      <c r="AE76" s="342"/>
      <c r="AF76" s="342"/>
      <c r="AG76" s="342"/>
      <c r="AH76" s="342"/>
      <c r="AI76" s="342"/>
    </row>
    <row r="77">
      <c r="A77" s="342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  <c r="AA77" s="342"/>
      <c r="AB77" s="342"/>
      <c r="AC77" s="342"/>
      <c r="AD77" s="342"/>
      <c r="AE77" s="342"/>
      <c r="AF77" s="342"/>
      <c r="AG77" s="342"/>
      <c r="AH77" s="342"/>
      <c r="AI77" s="342"/>
    </row>
    <row r="78">
      <c r="A78" s="342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342"/>
      <c r="AB78" s="342"/>
      <c r="AC78" s="342"/>
      <c r="AD78" s="342"/>
      <c r="AE78" s="342"/>
      <c r="AF78" s="342"/>
      <c r="AG78" s="342"/>
      <c r="AH78" s="342"/>
      <c r="AI78" s="342"/>
    </row>
    <row r="79">
      <c r="A79" s="342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A79" s="342"/>
      <c r="AB79" s="342"/>
      <c r="AC79" s="342"/>
      <c r="AD79" s="342"/>
      <c r="AE79" s="342"/>
      <c r="AF79" s="342"/>
      <c r="AG79" s="342"/>
      <c r="AH79" s="342"/>
      <c r="AI79" s="342"/>
    </row>
    <row r="80">
      <c r="A80" s="342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  <c r="AA80" s="342"/>
      <c r="AB80" s="342"/>
      <c r="AC80" s="342"/>
      <c r="AD80" s="342"/>
      <c r="AE80" s="342"/>
      <c r="AF80" s="342"/>
      <c r="AG80" s="342"/>
      <c r="AH80" s="342"/>
      <c r="AI80" s="342"/>
    </row>
    <row r="81">
      <c r="A81" s="342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  <c r="AA81" s="342"/>
      <c r="AB81" s="342"/>
      <c r="AC81" s="342"/>
      <c r="AD81" s="342"/>
      <c r="AE81" s="342"/>
      <c r="AF81" s="342"/>
      <c r="AG81" s="342"/>
      <c r="AH81" s="342"/>
      <c r="AI81" s="342"/>
    </row>
    <row r="82">
      <c r="A82" s="342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</row>
    <row r="83">
      <c r="A83" s="342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  <c r="AA83" s="342"/>
      <c r="AB83" s="342"/>
      <c r="AC83" s="342"/>
      <c r="AD83" s="342"/>
      <c r="AE83" s="342"/>
      <c r="AF83" s="342"/>
      <c r="AG83" s="342"/>
      <c r="AH83" s="342"/>
      <c r="AI83" s="342"/>
    </row>
    <row r="84">
      <c r="A84" s="342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342"/>
      <c r="AB84" s="342"/>
      <c r="AC84" s="342"/>
      <c r="AD84" s="342"/>
      <c r="AE84" s="342"/>
      <c r="AF84" s="342"/>
      <c r="AG84" s="342"/>
      <c r="AH84" s="342"/>
      <c r="AI84" s="342"/>
    </row>
    <row r="85">
      <c r="A85" s="342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  <c r="AA85" s="342"/>
      <c r="AB85" s="342"/>
      <c r="AC85" s="342"/>
      <c r="AD85" s="342"/>
      <c r="AE85" s="342"/>
      <c r="AF85" s="342"/>
      <c r="AG85" s="342"/>
      <c r="AH85" s="342"/>
      <c r="AI85" s="342"/>
    </row>
    <row r="86">
      <c r="A86" s="342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</row>
    <row r="87">
      <c r="A87" s="342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</row>
    <row r="88">
      <c r="A88" s="342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</row>
    <row r="89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</row>
    <row r="90">
      <c r="A90" s="342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  <c r="AI90" s="342"/>
    </row>
    <row r="91">
      <c r="A91" s="342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2"/>
      <c r="AH91" s="342"/>
      <c r="AI91" s="342"/>
    </row>
    <row r="92">
      <c r="A92" s="342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</row>
    <row r="93">
      <c r="A93" s="342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</row>
    <row r="94">
      <c r="A94" s="342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  <c r="AA94" s="342"/>
      <c r="AB94" s="342"/>
      <c r="AC94" s="342"/>
      <c r="AD94" s="342"/>
      <c r="AE94" s="342"/>
      <c r="AF94" s="342"/>
      <c r="AG94" s="342"/>
      <c r="AH94" s="342"/>
      <c r="AI94" s="342"/>
    </row>
    <row r="95">
      <c r="A95" s="342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</row>
    <row r="96">
      <c r="A96" s="342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  <c r="AC96" s="342"/>
      <c r="AD96" s="342"/>
      <c r="AE96" s="342"/>
      <c r="AF96" s="342"/>
      <c r="AG96" s="342"/>
      <c r="AH96" s="342"/>
      <c r="AI96" s="342"/>
    </row>
    <row r="97">
      <c r="A97" s="342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  <c r="AA97" s="342"/>
      <c r="AB97" s="342"/>
      <c r="AC97" s="342"/>
      <c r="AD97" s="342"/>
      <c r="AE97" s="342"/>
      <c r="AF97" s="342"/>
      <c r="AG97" s="342"/>
      <c r="AH97" s="342"/>
      <c r="AI97" s="342"/>
    </row>
    <row r="98">
      <c r="A98" s="342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A98" s="342"/>
      <c r="AB98" s="342"/>
      <c r="AC98" s="342"/>
      <c r="AD98" s="342"/>
      <c r="AE98" s="342"/>
      <c r="AF98" s="342"/>
      <c r="AG98" s="342"/>
      <c r="AH98" s="342"/>
      <c r="AI98" s="342"/>
    </row>
    <row r="99">
      <c r="A99" s="342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</row>
    <row r="100">
      <c r="A100" s="342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  <c r="AA100" s="342"/>
      <c r="AB100" s="342"/>
      <c r="AC100" s="342"/>
      <c r="AD100" s="342"/>
      <c r="AE100" s="342"/>
      <c r="AF100" s="342"/>
      <c r="AG100" s="342"/>
      <c r="AH100" s="342"/>
      <c r="AI100" s="342"/>
    </row>
    <row r="101">
      <c r="A101" s="342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  <c r="AA101" s="342"/>
      <c r="AB101" s="342"/>
      <c r="AC101" s="342"/>
      <c r="AD101" s="342"/>
      <c r="AE101" s="342"/>
      <c r="AF101" s="342"/>
      <c r="AG101" s="342"/>
      <c r="AH101" s="342"/>
      <c r="AI101" s="342"/>
    </row>
    <row r="102">
      <c r="A102" s="342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42"/>
      <c r="AB102" s="342"/>
      <c r="AC102" s="342"/>
      <c r="AD102" s="342"/>
      <c r="AE102" s="342"/>
      <c r="AF102" s="342"/>
      <c r="AG102" s="342"/>
      <c r="AH102" s="342"/>
      <c r="AI102" s="342"/>
    </row>
    <row r="103">
      <c r="A103" s="342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</row>
    <row r="104">
      <c r="A104" s="342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342"/>
      <c r="AI104" s="342"/>
    </row>
    <row r="105">
      <c r="A105" s="342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342"/>
      <c r="AI105" s="342"/>
    </row>
    <row r="106">
      <c r="A106" s="342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2"/>
    </row>
    <row r="107">
      <c r="A107" s="342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</row>
    <row r="108">
      <c r="A108" s="342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</row>
    <row r="109">
      <c r="A109" s="342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42"/>
      <c r="AB109" s="342"/>
      <c r="AC109" s="342"/>
      <c r="AD109" s="342"/>
      <c r="AE109" s="342"/>
      <c r="AF109" s="342"/>
      <c r="AG109" s="342"/>
      <c r="AH109" s="342"/>
      <c r="AI109" s="342"/>
    </row>
    <row r="110">
      <c r="A110" s="342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42"/>
      <c r="AB110" s="342"/>
      <c r="AC110" s="342"/>
      <c r="AD110" s="342"/>
      <c r="AE110" s="342"/>
      <c r="AF110" s="342"/>
      <c r="AG110" s="342"/>
      <c r="AH110" s="342"/>
      <c r="AI110" s="342"/>
    </row>
    <row r="111">
      <c r="A111" s="342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342"/>
      <c r="AB111" s="342"/>
      <c r="AC111" s="342"/>
      <c r="AD111" s="342"/>
      <c r="AE111" s="342"/>
      <c r="AF111" s="342"/>
      <c r="AG111" s="342"/>
      <c r="AH111" s="342"/>
      <c r="AI111" s="342"/>
    </row>
    <row r="112">
      <c r="A112" s="342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</row>
    <row r="113">
      <c r="A113" s="342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  <c r="AA113" s="342"/>
      <c r="AB113" s="342"/>
      <c r="AC113" s="342"/>
      <c r="AD113" s="342"/>
      <c r="AE113" s="342"/>
      <c r="AF113" s="342"/>
      <c r="AG113" s="342"/>
      <c r="AH113" s="342"/>
      <c r="AI113" s="342"/>
    </row>
    <row r="114">
      <c r="A114" s="342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</row>
    <row r="115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  <c r="AA115" s="342"/>
      <c r="AB115" s="342"/>
      <c r="AC115" s="342"/>
      <c r="AD115" s="342"/>
      <c r="AE115" s="342"/>
      <c r="AF115" s="342"/>
      <c r="AG115" s="342"/>
      <c r="AH115" s="342"/>
      <c r="AI115" s="342"/>
    </row>
    <row r="116">
      <c r="A116" s="342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  <c r="AC116" s="342"/>
      <c r="AD116" s="342"/>
      <c r="AE116" s="342"/>
      <c r="AF116" s="342"/>
      <c r="AG116" s="342"/>
      <c r="AH116" s="342"/>
      <c r="AI116" s="342"/>
    </row>
    <row r="117">
      <c r="A117" s="342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</row>
    <row r="118">
      <c r="A118" s="342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  <c r="AA118" s="342"/>
      <c r="AB118" s="342"/>
      <c r="AC118" s="342"/>
      <c r="AD118" s="342"/>
      <c r="AE118" s="342"/>
      <c r="AF118" s="342"/>
      <c r="AG118" s="342"/>
      <c r="AH118" s="342"/>
      <c r="AI118" s="342"/>
    </row>
    <row r="119">
      <c r="A119" s="342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</row>
    <row r="120">
      <c r="A120" s="342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</row>
    <row r="121">
      <c r="A121" s="342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  <c r="AA121" s="342"/>
      <c r="AB121" s="342"/>
      <c r="AC121" s="342"/>
      <c r="AD121" s="342"/>
      <c r="AE121" s="342"/>
      <c r="AF121" s="342"/>
      <c r="AG121" s="342"/>
      <c r="AH121" s="342"/>
      <c r="AI121" s="342"/>
    </row>
    <row r="122">
      <c r="A122" s="342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</row>
    <row r="123">
      <c r="A123" s="342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  <c r="AA123" s="342"/>
      <c r="AB123" s="342"/>
      <c r="AC123" s="342"/>
      <c r="AD123" s="342"/>
      <c r="AE123" s="342"/>
      <c r="AF123" s="342"/>
      <c r="AG123" s="342"/>
      <c r="AH123" s="342"/>
      <c r="AI123" s="342"/>
    </row>
    <row r="124">
      <c r="A124" s="342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  <c r="AA124" s="342"/>
      <c r="AB124" s="342"/>
      <c r="AC124" s="342"/>
      <c r="AD124" s="342"/>
      <c r="AE124" s="342"/>
      <c r="AF124" s="342"/>
      <c r="AG124" s="342"/>
      <c r="AH124" s="342"/>
      <c r="AI124" s="342"/>
    </row>
    <row r="125">
      <c r="A125" s="342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  <c r="AA125" s="342"/>
      <c r="AB125" s="342"/>
      <c r="AC125" s="342"/>
      <c r="AD125" s="342"/>
      <c r="AE125" s="342"/>
      <c r="AF125" s="342"/>
      <c r="AG125" s="342"/>
      <c r="AH125" s="342"/>
      <c r="AI125" s="342"/>
    </row>
    <row r="126">
      <c r="A126" s="342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2"/>
      <c r="AI126" s="342"/>
    </row>
    <row r="127">
      <c r="A127" s="342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  <c r="AC127" s="342"/>
      <c r="AD127" s="342"/>
      <c r="AE127" s="342"/>
      <c r="AF127" s="342"/>
      <c r="AG127" s="342"/>
      <c r="AH127" s="342"/>
      <c r="AI127" s="342"/>
    </row>
    <row r="128">
      <c r="A128" s="342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  <c r="AA128" s="342"/>
      <c r="AB128" s="342"/>
      <c r="AC128" s="342"/>
      <c r="AD128" s="342"/>
      <c r="AE128" s="342"/>
      <c r="AF128" s="342"/>
      <c r="AG128" s="342"/>
      <c r="AH128" s="342"/>
      <c r="AI128" s="342"/>
    </row>
    <row r="129">
      <c r="A129" s="342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  <c r="AA129" s="342"/>
      <c r="AB129" s="342"/>
      <c r="AC129" s="342"/>
      <c r="AD129" s="342"/>
      <c r="AE129" s="342"/>
      <c r="AF129" s="342"/>
      <c r="AG129" s="342"/>
      <c r="AH129" s="342"/>
      <c r="AI129" s="342"/>
    </row>
    <row r="130">
      <c r="A130" s="342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342"/>
      <c r="AB130" s="342"/>
      <c r="AC130" s="342"/>
      <c r="AD130" s="342"/>
      <c r="AE130" s="342"/>
      <c r="AF130" s="342"/>
      <c r="AG130" s="342"/>
      <c r="AH130" s="342"/>
      <c r="AI130" s="342"/>
    </row>
    <row r="131">
      <c r="A131" s="342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  <c r="AA131" s="342"/>
      <c r="AB131" s="342"/>
      <c r="AC131" s="342"/>
      <c r="AD131" s="342"/>
      <c r="AE131" s="342"/>
      <c r="AF131" s="342"/>
      <c r="AG131" s="342"/>
      <c r="AH131" s="342"/>
      <c r="AI131" s="342"/>
    </row>
    <row r="132">
      <c r="A132" s="342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  <c r="AA132" s="342"/>
      <c r="AB132" s="342"/>
      <c r="AC132" s="342"/>
      <c r="AD132" s="342"/>
      <c r="AE132" s="342"/>
      <c r="AF132" s="342"/>
      <c r="AG132" s="342"/>
      <c r="AH132" s="342"/>
      <c r="AI132" s="342"/>
    </row>
    <row r="133">
      <c r="A133" s="342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  <c r="AA133" s="342"/>
      <c r="AB133" s="342"/>
      <c r="AC133" s="342"/>
      <c r="AD133" s="342"/>
      <c r="AE133" s="342"/>
      <c r="AF133" s="342"/>
      <c r="AG133" s="342"/>
      <c r="AH133" s="342"/>
      <c r="AI133" s="342"/>
    </row>
    <row r="134">
      <c r="A134" s="342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  <c r="AA134" s="342"/>
      <c r="AB134" s="342"/>
      <c r="AC134" s="342"/>
      <c r="AD134" s="342"/>
      <c r="AE134" s="342"/>
      <c r="AF134" s="342"/>
      <c r="AG134" s="342"/>
      <c r="AH134" s="342"/>
      <c r="AI134" s="342"/>
    </row>
    <row r="135">
      <c r="A135" s="342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  <c r="AA135" s="342"/>
      <c r="AB135" s="342"/>
      <c r="AC135" s="342"/>
      <c r="AD135" s="342"/>
      <c r="AE135" s="342"/>
      <c r="AF135" s="342"/>
      <c r="AG135" s="342"/>
      <c r="AH135" s="342"/>
      <c r="AI135" s="342"/>
    </row>
    <row r="136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</row>
    <row r="137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</row>
    <row r="138">
      <c r="A138" s="342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  <c r="AA138" s="342"/>
      <c r="AB138" s="342"/>
      <c r="AC138" s="342"/>
      <c r="AD138" s="342"/>
      <c r="AE138" s="342"/>
      <c r="AF138" s="342"/>
      <c r="AG138" s="342"/>
      <c r="AH138" s="342"/>
      <c r="AI138" s="342"/>
    </row>
    <row r="139">
      <c r="A139" s="342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  <c r="AA139" s="342"/>
      <c r="AB139" s="342"/>
      <c r="AC139" s="342"/>
      <c r="AD139" s="342"/>
      <c r="AE139" s="342"/>
      <c r="AF139" s="342"/>
      <c r="AG139" s="342"/>
      <c r="AH139" s="342"/>
      <c r="AI139" s="342"/>
    </row>
    <row r="140">
      <c r="A140" s="342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  <c r="AA140" s="342"/>
      <c r="AB140" s="342"/>
      <c r="AC140" s="342"/>
      <c r="AD140" s="342"/>
      <c r="AE140" s="342"/>
      <c r="AF140" s="342"/>
      <c r="AG140" s="342"/>
      <c r="AH140" s="342"/>
      <c r="AI140" s="342"/>
    </row>
    <row r="141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  <c r="AA141" s="342"/>
      <c r="AB141" s="342"/>
      <c r="AC141" s="342"/>
      <c r="AD141" s="342"/>
      <c r="AE141" s="342"/>
      <c r="AF141" s="342"/>
      <c r="AG141" s="342"/>
      <c r="AH141" s="342"/>
      <c r="AI141" s="342"/>
    </row>
    <row r="142">
      <c r="A142" s="342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342"/>
      <c r="AB142" s="342"/>
      <c r="AC142" s="342"/>
      <c r="AD142" s="342"/>
      <c r="AE142" s="342"/>
      <c r="AF142" s="342"/>
      <c r="AG142" s="342"/>
      <c r="AH142" s="342"/>
      <c r="AI142" s="342"/>
    </row>
    <row r="143">
      <c r="A143" s="342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  <c r="AA143" s="342"/>
      <c r="AB143" s="342"/>
      <c r="AC143" s="342"/>
      <c r="AD143" s="342"/>
      <c r="AE143" s="342"/>
      <c r="AF143" s="342"/>
      <c r="AG143" s="342"/>
      <c r="AH143" s="342"/>
      <c r="AI143" s="342"/>
    </row>
    <row r="144">
      <c r="A144" s="342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  <c r="AA144" s="342"/>
      <c r="AB144" s="342"/>
      <c r="AC144" s="342"/>
      <c r="AD144" s="342"/>
      <c r="AE144" s="342"/>
      <c r="AF144" s="342"/>
      <c r="AG144" s="342"/>
      <c r="AH144" s="342"/>
      <c r="AI144" s="342"/>
    </row>
    <row r="145">
      <c r="A145" s="342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  <c r="AA145" s="342"/>
      <c r="AB145" s="342"/>
      <c r="AC145" s="342"/>
      <c r="AD145" s="342"/>
      <c r="AE145" s="342"/>
      <c r="AF145" s="342"/>
      <c r="AG145" s="342"/>
      <c r="AH145" s="342"/>
      <c r="AI145" s="342"/>
    </row>
    <row r="146">
      <c r="A146" s="342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  <c r="AA146" s="342"/>
      <c r="AB146" s="342"/>
      <c r="AC146" s="342"/>
      <c r="AD146" s="342"/>
      <c r="AE146" s="342"/>
      <c r="AF146" s="342"/>
      <c r="AG146" s="342"/>
      <c r="AH146" s="342"/>
      <c r="AI146" s="342"/>
    </row>
    <row r="147">
      <c r="A147" s="342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  <c r="AA147" s="342"/>
      <c r="AB147" s="342"/>
      <c r="AC147" s="342"/>
      <c r="AD147" s="342"/>
      <c r="AE147" s="342"/>
      <c r="AF147" s="342"/>
      <c r="AG147" s="342"/>
      <c r="AH147" s="342"/>
      <c r="AI147" s="342"/>
    </row>
    <row r="148">
      <c r="A148" s="342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  <c r="AA148" s="342"/>
      <c r="AB148" s="342"/>
      <c r="AC148" s="342"/>
      <c r="AD148" s="342"/>
      <c r="AE148" s="342"/>
      <c r="AF148" s="342"/>
      <c r="AG148" s="342"/>
      <c r="AH148" s="342"/>
      <c r="AI148" s="342"/>
    </row>
    <row r="149">
      <c r="A149" s="342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  <c r="AA149" s="342"/>
      <c r="AB149" s="342"/>
      <c r="AC149" s="342"/>
      <c r="AD149" s="342"/>
      <c r="AE149" s="342"/>
      <c r="AF149" s="342"/>
      <c r="AG149" s="342"/>
      <c r="AH149" s="342"/>
      <c r="AI149" s="342"/>
    </row>
    <row r="150">
      <c r="A150" s="342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  <c r="AA150" s="342"/>
      <c r="AB150" s="342"/>
      <c r="AC150" s="342"/>
      <c r="AD150" s="342"/>
      <c r="AE150" s="342"/>
      <c r="AF150" s="342"/>
      <c r="AG150" s="342"/>
      <c r="AH150" s="342"/>
      <c r="AI150" s="342"/>
    </row>
    <row r="151">
      <c r="A151" s="342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  <c r="AA151" s="342"/>
      <c r="AB151" s="342"/>
      <c r="AC151" s="342"/>
      <c r="AD151" s="342"/>
      <c r="AE151" s="342"/>
      <c r="AF151" s="342"/>
      <c r="AG151" s="342"/>
      <c r="AH151" s="342"/>
      <c r="AI151" s="342"/>
    </row>
    <row r="152">
      <c r="A152" s="342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  <c r="AA152" s="342"/>
      <c r="AB152" s="342"/>
      <c r="AC152" s="342"/>
      <c r="AD152" s="342"/>
      <c r="AE152" s="342"/>
      <c r="AF152" s="342"/>
      <c r="AG152" s="342"/>
      <c r="AH152" s="342"/>
      <c r="AI152" s="342"/>
    </row>
    <row r="153">
      <c r="A153" s="342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342"/>
      <c r="AB153" s="342"/>
      <c r="AC153" s="342"/>
      <c r="AD153" s="342"/>
      <c r="AE153" s="342"/>
      <c r="AF153" s="342"/>
      <c r="AG153" s="342"/>
      <c r="AH153" s="342"/>
      <c r="AI153" s="342"/>
    </row>
    <row r="154">
      <c r="A154" s="342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  <c r="AA154" s="342"/>
      <c r="AB154" s="342"/>
      <c r="AC154" s="342"/>
      <c r="AD154" s="342"/>
      <c r="AE154" s="342"/>
      <c r="AF154" s="342"/>
      <c r="AG154" s="342"/>
      <c r="AH154" s="342"/>
      <c r="AI154" s="342"/>
    </row>
    <row r="155">
      <c r="A155" s="342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  <c r="AA155" s="342"/>
      <c r="AB155" s="342"/>
      <c r="AC155" s="342"/>
      <c r="AD155" s="342"/>
      <c r="AE155" s="342"/>
      <c r="AF155" s="342"/>
      <c r="AG155" s="342"/>
      <c r="AH155" s="342"/>
      <c r="AI155" s="342"/>
    </row>
    <row r="156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  <c r="AA156" s="342"/>
      <c r="AB156" s="342"/>
      <c r="AC156" s="342"/>
      <c r="AD156" s="342"/>
      <c r="AE156" s="342"/>
      <c r="AF156" s="342"/>
      <c r="AG156" s="342"/>
      <c r="AH156" s="342"/>
      <c r="AI156" s="342"/>
    </row>
    <row r="157">
      <c r="A157" s="342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342"/>
      <c r="AB157" s="342"/>
      <c r="AC157" s="342"/>
      <c r="AD157" s="342"/>
      <c r="AE157" s="342"/>
      <c r="AF157" s="342"/>
      <c r="AG157" s="342"/>
      <c r="AH157" s="342"/>
      <c r="AI157" s="342"/>
    </row>
    <row r="158">
      <c r="A158" s="342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342"/>
      <c r="AB158" s="342"/>
      <c r="AC158" s="342"/>
      <c r="AD158" s="342"/>
      <c r="AE158" s="342"/>
      <c r="AF158" s="342"/>
      <c r="AG158" s="342"/>
      <c r="AH158" s="342"/>
      <c r="AI158" s="342"/>
    </row>
    <row r="159">
      <c r="A159" s="342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  <c r="AA159" s="342"/>
      <c r="AB159" s="342"/>
      <c r="AC159" s="342"/>
      <c r="AD159" s="342"/>
      <c r="AE159" s="342"/>
      <c r="AF159" s="342"/>
      <c r="AG159" s="342"/>
      <c r="AH159" s="342"/>
      <c r="AI159" s="342"/>
    </row>
    <row r="160">
      <c r="A160" s="342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  <c r="AA160" s="342"/>
      <c r="AB160" s="342"/>
      <c r="AC160" s="342"/>
      <c r="AD160" s="342"/>
      <c r="AE160" s="342"/>
      <c r="AF160" s="342"/>
      <c r="AG160" s="342"/>
      <c r="AH160" s="342"/>
      <c r="AI160" s="342"/>
    </row>
    <row r="161">
      <c r="A161" s="342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  <c r="AA161" s="342"/>
      <c r="AB161" s="342"/>
      <c r="AC161" s="342"/>
      <c r="AD161" s="342"/>
      <c r="AE161" s="342"/>
      <c r="AF161" s="342"/>
      <c r="AG161" s="342"/>
      <c r="AH161" s="342"/>
      <c r="AI161" s="342"/>
    </row>
    <row r="162">
      <c r="A162" s="342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  <c r="AA162" s="342"/>
      <c r="AB162" s="342"/>
      <c r="AC162" s="342"/>
      <c r="AD162" s="342"/>
      <c r="AE162" s="342"/>
      <c r="AF162" s="342"/>
      <c r="AG162" s="342"/>
      <c r="AH162" s="342"/>
      <c r="AI162" s="342"/>
    </row>
    <row r="163">
      <c r="A163" s="342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342"/>
      <c r="AB163" s="342"/>
      <c r="AC163" s="342"/>
      <c r="AD163" s="342"/>
      <c r="AE163" s="342"/>
      <c r="AF163" s="342"/>
      <c r="AG163" s="342"/>
      <c r="AH163" s="342"/>
      <c r="AI163" s="342"/>
    </row>
    <row r="164">
      <c r="A164" s="342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  <c r="AA164" s="342"/>
      <c r="AB164" s="342"/>
      <c r="AC164" s="342"/>
      <c r="AD164" s="342"/>
      <c r="AE164" s="342"/>
      <c r="AF164" s="342"/>
      <c r="AG164" s="342"/>
      <c r="AH164" s="342"/>
      <c r="AI164" s="342"/>
    </row>
    <row r="165">
      <c r="A165" s="342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  <c r="AA165" s="342"/>
      <c r="AB165" s="342"/>
      <c r="AC165" s="342"/>
      <c r="AD165" s="342"/>
      <c r="AE165" s="342"/>
      <c r="AF165" s="342"/>
      <c r="AG165" s="342"/>
      <c r="AH165" s="342"/>
      <c r="AI165" s="342"/>
    </row>
    <row r="166">
      <c r="A166" s="342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  <c r="AA166" s="342"/>
      <c r="AB166" s="342"/>
      <c r="AC166" s="342"/>
      <c r="AD166" s="342"/>
      <c r="AE166" s="342"/>
      <c r="AF166" s="342"/>
      <c r="AG166" s="342"/>
      <c r="AH166" s="342"/>
      <c r="AI166" s="342"/>
    </row>
    <row r="167">
      <c r="A167" s="342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  <c r="AA167" s="342"/>
      <c r="AB167" s="342"/>
      <c r="AC167" s="342"/>
      <c r="AD167" s="342"/>
      <c r="AE167" s="342"/>
      <c r="AF167" s="342"/>
      <c r="AG167" s="342"/>
      <c r="AH167" s="342"/>
      <c r="AI167" s="342"/>
    </row>
    <row r="168">
      <c r="A168" s="342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  <c r="AA168" s="342"/>
      <c r="AB168" s="342"/>
      <c r="AC168" s="342"/>
      <c r="AD168" s="342"/>
      <c r="AE168" s="342"/>
      <c r="AF168" s="342"/>
      <c r="AG168" s="342"/>
      <c r="AH168" s="342"/>
      <c r="AI168" s="342"/>
    </row>
    <row r="169">
      <c r="A169" s="342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342"/>
      <c r="AB169" s="342"/>
      <c r="AC169" s="342"/>
      <c r="AD169" s="342"/>
      <c r="AE169" s="342"/>
      <c r="AF169" s="342"/>
      <c r="AG169" s="342"/>
      <c r="AH169" s="342"/>
      <c r="AI169" s="342"/>
    </row>
    <row r="170">
      <c r="A170" s="342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  <c r="AA170" s="342"/>
      <c r="AB170" s="342"/>
      <c r="AC170" s="342"/>
      <c r="AD170" s="342"/>
      <c r="AE170" s="342"/>
      <c r="AF170" s="342"/>
      <c r="AG170" s="342"/>
      <c r="AH170" s="342"/>
      <c r="AI170" s="342"/>
    </row>
    <row r="171">
      <c r="A171" s="342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  <c r="AA171" s="342"/>
      <c r="AB171" s="342"/>
      <c r="AC171" s="342"/>
      <c r="AD171" s="342"/>
      <c r="AE171" s="342"/>
      <c r="AF171" s="342"/>
      <c r="AG171" s="342"/>
      <c r="AH171" s="342"/>
      <c r="AI171" s="342"/>
    </row>
    <row r="172">
      <c r="A172" s="342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  <c r="AA172" s="342"/>
      <c r="AB172" s="342"/>
      <c r="AC172" s="342"/>
      <c r="AD172" s="342"/>
      <c r="AE172" s="342"/>
      <c r="AF172" s="342"/>
      <c r="AG172" s="342"/>
      <c r="AH172" s="342"/>
      <c r="AI172" s="342"/>
    </row>
    <row r="173">
      <c r="A173" s="342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  <c r="AA173" s="342"/>
      <c r="AB173" s="342"/>
      <c r="AC173" s="342"/>
      <c r="AD173" s="342"/>
      <c r="AE173" s="342"/>
      <c r="AF173" s="342"/>
      <c r="AG173" s="342"/>
      <c r="AH173" s="342"/>
      <c r="AI173" s="342"/>
    </row>
    <row r="174">
      <c r="A174" s="342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  <c r="AA174" s="342"/>
      <c r="AB174" s="342"/>
      <c r="AC174" s="342"/>
      <c r="AD174" s="342"/>
      <c r="AE174" s="342"/>
      <c r="AF174" s="342"/>
      <c r="AG174" s="342"/>
      <c r="AH174" s="342"/>
      <c r="AI174" s="342"/>
    </row>
    <row r="175">
      <c r="A175" s="342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2"/>
      <c r="AI175" s="342"/>
    </row>
    <row r="176">
      <c r="A176" s="342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342"/>
      <c r="AB176" s="342"/>
      <c r="AC176" s="342"/>
      <c r="AD176" s="342"/>
      <c r="AE176" s="342"/>
      <c r="AF176" s="342"/>
      <c r="AG176" s="342"/>
      <c r="AH176" s="342"/>
      <c r="AI176" s="342"/>
    </row>
    <row r="177">
      <c r="A177" s="342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  <c r="AA177" s="342"/>
      <c r="AB177" s="342"/>
      <c r="AC177" s="342"/>
      <c r="AD177" s="342"/>
      <c r="AE177" s="342"/>
      <c r="AF177" s="342"/>
      <c r="AG177" s="342"/>
      <c r="AH177" s="342"/>
      <c r="AI177" s="342"/>
    </row>
    <row r="178">
      <c r="A178" s="342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  <c r="AA178" s="342"/>
      <c r="AB178" s="342"/>
      <c r="AC178" s="342"/>
      <c r="AD178" s="342"/>
      <c r="AE178" s="342"/>
      <c r="AF178" s="342"/>
      <c r="AG178" s="342"/>
      <c r="AH178" s="342"/>
      <c r="AI178" s="342"/>
    </row>
    <row r="179">
      <c r="A179" s="342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  <c r="AA179" s="342"/>
      <c r="AB179" s="342"/>
      <c r="AC179" s="342"/>
      <c r="AD179" s="342"/>
      <c r="AE179" s="342"/>
      <c r="AF179" s="342"/>
      <c r="AG179" s="342"/>
      <c r="AH179" s="342"/>
      <c r="AI179" s="342"/>
    </row>
    <row r="180">
      <c r="A180" s="342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  <c r="AA180" s="342"/>
      <c r="AB180" s="342"/>
      <c r="AC180" s="342"/>
      <c r="AD180" s="342"/>
      <c r="AE180" s="342"/>
      <c r="AF180" s="342"/>
      <c r="AG180" s="342"/>
      <c r="AH180" s="342"/>
      <c r="AI180" s="342"/>
    </row>
    <row r="181">
      <c r="A181" s="342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  <c r="AA181" s="342"/>
      <c r="AB181" s="342"/>
      <c r="AC181" s="342"/>
      <c r="AD181" s="342"/>
      <c r="AE181" s="342"/>
      <c r="AF181" s="342"/>
      <c r="AG181" s="342"/>
      <c r="AH181" s="342"/>
      <c r="AI181" s="342"/>
    </row>
    <row r="182">
      <c r="A182" s="342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  <c r="AA182" s="342"/>
      <c r="AB182" s="342"/>
      <c r="AC182" s="342"/>
      <c r="AD182" s="342"/>
      <c r="AE182" s="342"/>
      <c r="AF182" s="342"/>
      <c r="AG182" s="342"/>
      <c r="AH182" s="342"/>
      <c r="AI182" s="342"/>
    </row>
    <row r="183">
      <c r="A183" s="342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  <c r="AA183" s="342"/>
      <c r="AB183" s="342"/>
      <c r="AC183" s="342"/>
      <c r="AD183" s="342"/>
      <c r="AE183" s="342"/>
      <c r="AF183" s="342"/>
      <c r="AG183" s="342"/>
      <c r="AH183" s="342"/>
      <c r="AI183" s="342"/>
    </row>
    <row r="184">
      <c r="A184" s="342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  <c r="AA184" s="342"/>
      <c r="AB184" s="342"/>
      <c r="AC184" s="342"/>
      <c r="AD184" s="342"/>
      <c r="AE184" s="342"/>
      <c r="AF184" s="342"/>
      <c r="AG184" s="342"/>
      <c r="AH184" s="342"/>
      <c r="AI184" s="342"/>
    </row>
    <row r="185">
      <c r="A185" s="342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  <c r="AA185" s="342"/>
      <c r="AB185" s="342"/>
      <c r="AC185" s="342"/>
      <c r="AD185" s="342"/>
      <c r="AE185" s="342"/>
      <c r="AF185" s="342"/>
      <c r="AG185" s="342"/>
      <c r="AH185" s="342"/>
      <c r="AI185" s="342"/>
    </row>
    <row r="186">
      <c r="A186" s="342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  <c r="AA186" s="342"/>
      <c r="AB186" s="342"/>
      <c r="AC186" s="342"/>
      <c r="AD186" s="342"/>
      <c r="AE186" s="342"/>
      <c r="AF186" s="342"/>
      <c r="AG186" s="342"/>
      <c r="AH186" s="342"/>
      <c r="AI186" s="342"/>
    </row>
    <row r="187">
      <c r="A187" s="342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  <c r="AA187" s="342"/>
      <c r="AB187" s="342"/>
      <c r="AC187" s="342"/>
      <c r="AD187" s="342"/>
      <c r="AE187" s="342"/>
      <c r="AF187" s="342"/>
      <c r="AG187" s="342"/>
      <c r="AH187" s="342"/>
      <c r="AI187" s="342"/>
    </row>
    <row r="188">
      <c r="A188" s="342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  <c r="AA188" s="342"/>
      <c r="AB188" s="342"/>
      <c r="AC188" s="342"/>
      <c r="AD188" s="342"/>
      <c r="AE188" s="342"/>
      <c r="AF188" s="342"/>
      <c r="AG188" s="342"/>
      <c r="AH188" s="342"/>
      <c r="AI188" s="342"/>
    </row>
    <row r="189">
      <c r="A189" s="342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  <c r="AA189" s="342"/>
      <c r="AB189" s="342"/>
      <c r="AC189" s="342"/>
      <c r="AD189" s="342"/>
      <c r="AE189" s="342"/>
      <c r="AF189" s="342"/>
      <c r="AG189" s="342"/>
      <c r="AH189" s="342"/>
      <c r="AI189" s="342"/>
    </row>
    <row r="190">
      <c r="A190" s="342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  <c r="AA190" s="342"/>
      <c r="AB190" s="342"/>
      <c r="AC190" s="342"/>
      <c r="AD190" s="342"/>
      <c r="AE190" s="342"/>
      <c r="AF190" s="342"/>
      <c r="AG190" s="342"/>
      <c r="AH190" s="342"/>
      <c r="AI190" s="342"/>
    </row>
    <row r="191">
      <c r="A191" s="342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  <c r="AA191" s="342"/>
      <c r="AB191" s="342"/>
      <c r="AC191" s="342"/>
      <c r="AD191" s="342"/>
      <c r="AE191" s="342"/>
      <c r="AF191" s="342"/>
      <c r="AG191" s="342"/>
      <c r="AH191" s="342"/>
      <c r="AI191" s="342"/>
    </row>
    <row r="192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  <c r="AA192" s="342"/>
      <c r="AB192" s="342"/>
      <c r="AC192" s="342"/>
      <c r="AD192" s="342"/>
      <c r="AE192" s="342"/>
      <c r="AF192" s="342"/>
      <c r="AG192" s="342"/>
      <c r="AH192" s="342"/>
      <c r="AI192" s="342"/>
    </row>
    <row r="193">
      <c r="A193" s="342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  <c r="AA193" s="342"/>
      <c r="AB193" s="342"/>
      <c r="AC193" s="342"/>
      <c r="AD193" s="342"/>
      <c r="AE193" s="342"/>
      <c r="AF193" s="342"/>
      <c r="AG193" s="342"/>
      <c r="AH193" s="342"/>
      <c r="AI193" s="342"/>
    </row>
    <row r="194">
      <c r="A194" s="342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  <c r="AA194" s="342"/>
      <c r="AB194" s="342"/>
      <c r="AC194" s="342"/>
      <c r="AD194" s="342"/>
      <c r="AE194" s="342"/>
      <c r="AF194" s="342"/>
      <c r="AG194" s="342"/>
      <c r="AH194" s="342"/>
      <c r="AI194" s="342"/>
    </row>
    <row r="195">
      <c r="A195" s="342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  <c r="AA195" s="342"/>
      <c r="AB195" s="342"/>
      <c r="AC195" s="342"/>
      <c r="AD195" s="342"/>
      <c r="AE195" s="342"/>
      <c r="AF195" s="342"/>
      <c r="AG195" s="342"/>
      <c r="AH195" s="342"/>
      <c r="AI195" s="342"/>
    </row>
    <row r="196">
      <c r="A196" s="342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  <c r="AA196" s="342"/>
      <c r="AB196" s="342"/>
      <c r="AC196" s="342"/>
      <c r="AD196" s="342"/>
      <c r="AE196" s="342"/>
      <c r="AF196" s="342"/>
      <c r="AG196" s="342"/>
      <c r="AH196" s="342"/>
      <c r="AI196" s="342"/>
    </row>
    <row r="197">
      <c r="A197" s="342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  <c r="AA197" s="342"/>
      <c r="AB197" s="342"/>
      <c r="AC197" s="342"/>
      <c r="AD197" s="342"/>
      <c r="AE197" s="342"/>
      <c r="AF197" s="342"/>
      <c r="AG197" s="342"/>
      <c r="AH197" s="342"/>
      <c r="AI197" s="342"/>
    </row>
    <row r="198">
      <c r="A198" s="342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  <c r="AA198" s="342"/>
      <c r="AB198" s="342"/>
      <c r="AC198" s="342"/>
      <c r="AD198" s="342"/>
      <c r="AE198" s="342"/>
      <c r="AF198" s="342"/>
      <c r="AG198" s="342"/>
      <c r="AH198" s="342"/>
      <c r="AI198" s="342"/>
    </row>
    <row r="199">
      <c r="A199" s="342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  <c r="AA199" s="342"/>
      <c r="AB199" s="342"/>
      <c r="AC199" s="342"/>
      <c r="AD199" s="342"/>
      <c r="AE199" s="342"/>
      <c r="AF199" s="342"/>
      <c r="AG199" s="342"/>
      <c r="AH199" s="342"/>
      <c r="AI199" s="342"/>
    </row>
    <row r="200">
      <c r="A200" s="342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  <c r="AA200" s="342"/>
      <c r="AB200" s="342"/>
      <c r="AC200" s="342"/>
      <c r="AD200" s="342"/>
      <c r="AE200" s="342"/>
      <c r="AF200" s="342"/>
      <c r="AG200" s="342"/>
      <c r="AH200" s="342"/>
      <c r="AI200" s="342"/>
    </row>
    <row r="201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  <c r="AA201" s="342"/>
      <c r="AB201" s="342"/>
      <c r="AC201" s="342"/>
      <c r="AD201" s="342"/>
      <c r="AE201" s="342"/>
      <c r="AF201" s="342"/>
      <c r="AG201" s="342"/>
      <c r="AH201" s="342"/>
      <c r="AI201" s="342"/>
    </row>
    <row r="202">
      <c r="A202" s="342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  <c r="AA202" s="342"/>
      <c r="AB202" s="342"/>
      <c r="AC202" s="342"/>
      <c r="AD202" s="342"/>
      <c r="AE202" s="342"/>
      <c r="AF202" s="342"/>
      <c r="AG202" s="342"/>
      <c r="AH202" s="342"/>
      <c r="AI202" s="342"/>
    </row>
    <row r="203">
      <c r="A203" s="342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  <c r="AA203" s="342"/>
      <c r="AB203" s="342"/>
      <c r="AC203" s="342"/>
      <c r="AD203" s="342"/>
      <c r="AE203" s="342"/>
      <c r="AF203" s="342"/>
      <c r="AG203" s="342"/>
      <c r="AH203" s="342"/>
      <c r="AI203" s="342"/>
    </row>
    <row r="204">
      <c r="A204" s="342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  <c r="AA204" s="342"/>
      <c r="AB204" s="342"/>
      <c r="AC204" s="342"/>
      <c r="AD204" s="342"/>
      <c r="AE204" s="342"/>
      <c r="AF204" s="342"/>
      <c r="AG204" s="342"/>
      <c r="AH204" s="342"/>
      <c r="AI204" s="342"/>
    </row>
    <row r="205">
      <c r="A205" s="342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  <c r="AA205" s="342"/>
      <c r="AB205" s="342"/>
      <c r="AC205" s="342"/>
      <c r="AD205" s="342"/>
      <c r="AE205" s="342"/>
      <c r="AF205" s="342"/>
      <c r="AG205" s="342"/>
      <c r="AH205" s="342"/>
      <c r="AI205" s="342"/>
    </row>
    <row r="206">
      <c r="A206" s="342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  <c r="AA206" s="342"/>
      <c r="AB206" s="342"/>
      <c r="AC206" s="342"/>
      <c r="AD206" s="342"/>
      <c r="AE206" s="342"/>
      <c r="AF206" s="342"/>
      <c r="AG206" s="342"/>
      <c r="AH206" s="342"/>
      <c r="AI206" s="342"/>
    </row>
    <row r="207">
      <c r="A207" s="342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  <c r="AA207" s="342"/>
      <c r="AB207" s="342"/>
      <c r="AC207" s="342"/>
      <c r="AD207" s="342"/>
      <c r="AE207" s="342"/>
      <c r="AF207" s="342"/>
      <c r="AG207" s="342"/>
      <c r="AH207" s="342"/>
      <c r="AI207" s="342"/>
    </row>
    <row r="208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  <c r="AA208" s="342"/>
      <c r="AB208" s="342"/>
      <c r="AC208" s="342"/>
      <c r="AD208" s="342"/>
      <c r="AE208" s="342"/>
      <c r="AF208" s="342"/>
      <c r="AG208" s="342"/>
      <c r="AH208" s="342"/>
      <c r="AI208" s="342"/>
    </row>
    <row r="209">
      <c r="A209" s="342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  <c r="AA209" s="342"/>
      <c r="AB209" s="342"/>
      <c r="AC209" s="342"/>
      <c r="AD209" s="342"/>
      <c r="AE209" s="342"/>
      <c r="AF209" s="342"/>
      <c r="AG209" s="342"/>
      <c r="AH209" s="342"/>
      <c r="AI209" s="342"/>
    </row>
    <row r="210">
      <c r="A210" s="342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  <c r="AA210" s="342"/>
      <c r="AB210" s="342"/>
      <c r="AC210" s="342"/>
      <c r="AD210" s="342"/>
      <c r="AE210" s="342"/>
      <c r="AF210" s="342"/>
      <c r="AG210" s="342"/>
      <c r="AH210" s="342"/>
      <c r="AI210" s="342"/>
    </row>
    <row r="211">
      <c r="A211" s="342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  <c r="AA211" s="342"/>
      <c r="AB211" s="342"/>
      <c r="AC211" s="342"/>
      <c r="AD211" s="342"/>
      <c r="AE211" s="342"/>
      <c r="AF211" s="342"/>
      <c r="AG211" s="342"/>
      <c r="AH211" s="342"/>
      <c r="AI211" s="342"/>
    </row>
    <row r="212">
      <c r="A212" s="342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  <c r="AA212" s="342"/>
      <c r="AB212" s="342"/>
      <c r="AC212" s="342"/>
      <c r="AD212" s="342"/>
      <c r="AE212" s="342"/>
      <c r="AF212" s="342"/>
      <c r="AG212" s="342"/>
      <c r="AH212" s="342"/>
      <c r="AI212" s="342"/>
    </row>
    <row r="213">
      <c r="A213" s="342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  <c r="AA213" s="342"/>
      <c r="AB213" s="342"/>
      <c r="AC213" s="342"/>
      <c r="AD213" s="342"/>
      <c r="AE213" s="342"/>
      <c r="AF213" s="342"/>
      <c r="AG213" s="342"/>
      <c r="AH213" s="342"/>
      <c r="AI213" s="342"/>
    </row>
    <row r="214">
      <c r="A214" s="342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  <c r="AA214" s="342"/>
      <c r="AB214" s="342"/>
      <c r="AC214" s="342"/>
      <c r="AD214" s="342"/>
      <c r="AE214" s="342"/>
      <c r="AF214" s="342"/>
      <c r="AG214" s="342"/>
      <c r="AH214" s="342"/>
      <c r="AI214" s="342"/>
    </row>
    <row r="215">
      <c r="A215" s="342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  <c r="AA215" s="342"/>
      <c r="AB215" s="342"/>
      <c r="AC215" s="342"/>
      <c r="AD215" s="342"/>
      <c r="AE215" s="342"/>
      <c r="AF215" s="342"/>
      <c r="AG215" s="342"/>
      <c r="AH215" s="342"/>
      <c r="AI215" s="342"/>
    </row>
    <row r="216">
      <c r="A216" s="342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  <c r="AA216" s="342"/>
      <c r="AB216" s="342"/>
      <c r="AC216" s="342"/>
      <c r="AD216" s="342"/>
      <c r="AE216" s="342"/>
      <c r="AF216" s="342"/>
      <c r="AG216" s="342"/>
      <c r="AH216" s="342"/>
      <c r="AI216" s="342"/>
    </row>
    <row r="217">
      <c r="A217" s="342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  <c r="AA217" s="342"/>
      <c r="AB217" s="342"/>
      <c r="AC217" s="342"/>
      <c r="AD217" s="342"/>
      <c r="AE217" s="342"/>
      <c r="AF217" s="342"/>
      <c r="AG217" s="342"/>
      <c r="AH217" s="342"/>
      <c r="AI217" s="342"/>
    </row>
    <row r="218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  <c r="AA218" s="342"/>
      <c r="AB218" s="342"/>
      <c r="AC218" s="342"/>
      <c r="AD218" s="342"/>
      <c r="AE218" s="342"/>
      <c r="AF218" s="342"/>
      <c r="AG218" s="342"/>
      <c r="AH218" s="342"/>
      <c r="AI218" s="342"/>
    </row>
    <row r="219">
      <c r="A219" s="342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  <c r="AA219" s="342"/>
      <c r="AB219" s="342"/>
      <c r="AC219" s="342"/>
      <c r="AD219" s="342"/>
      <c r="AE219" s="342"/>
      <c r="AF219" s="342"/>
      <c r="AG219" s="342"/>
      <c r="AH219" s="342"/>
      <c r="AI219" s="342"/>
    </row>
    <row r="220">
      <c r="A220" s="342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  <c r="AA220" s="342"/>
      <c r="AB220" s="342"/>
      <c r="AC220" s="342"/>
      <c r="AD220" s="342"/>
      <c r="AE220" s="342"/>
      <c r="AF220" s="342"/>
      <c r="AG220" s="342"/>
      <c r="AH220" s="342"/>
      <c r="AI220" s="342"/>
    </row>
    <row r="221">
      <c r="A221" s="342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  <c r="AA221" s="342"/>
      <c r="AB221" s="342"/>
      <c r="AC221" s="342"/>
      <c r="AD221" s="342"/>
      <c r="AE221" s="342"/>
      <c r="AF221" s="342"/>
      <c r="AG221" s="342"/>
      <c r="AH221" s="342"/>
      <c r="AI221" s="342"/>
    </row>
    <row r="222">
      <c r="A222" s="342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  <c r="AA222" s="342"/>
      <c r="AB222" s="342"/>
      <c r="AC222" s="342"/>
      <c r="AD222" s="342"/>
      <c r="AE222" s="342"/>
      <c r="AF222" s="342"/>
      <c r="AG222" s="342"/>
      <c r="AH222" s="342"/>
      <c r="AI222" s="342"/>
    </row>
    <row r="223">
      <c r="A223" s="342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  <c r="AA223" s="342"/>
      <c r="AB223" s="342"/>
      <c r="AC223" s="342"/>
      <c r="AD223" s="342"/>
      <c r="AE223" s="342"/>
      <c r="AF223" s="342"/>
      <c r="AG223" s="342"/>
      <c r="AH223" s="342"/>
      <c r="AI223" s="342"/>
    </row>
    <row r="224">
      <c r="A224" s="342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  <c r="AA224" s="342"/>
      <c r="AB224" s="342"/>
      <c r="AC224" s="342"/>
      <c r="AD224" s="342"/>
      <c r="AE224" s="342"/>
      <c r="AF224" s="342"/>
      <c r="AG224" s="342"/>
      <c r="AH224" s="342"/>
      <c r="AI224" s="342"/>
    </row>
    <row r="225">
      <c r="A225" s="342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  <c r="AA225" s="342"/>
      <c r="AB225" s="342"/>
      <c r="AC225" s="342"/>
      <c r="AD225" s="342"/>
      <c r="AE225" s="342"/>
      <c r="AF225" s="342"/>
      <c r="AG225" s="342"/>
      <c r="AH225" s="342"/>
      <c r="AI225" s="342"/>
    </row>
    <row r="226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  <c r="AA226" s="342"/>
      <c r="AB226" s="342"/>
      <c r="AC226" s="342"/>
      <c r="AD226" s="342"/>
      <c r="AE226" s="342"/>
      <c r="AF226" s="342"/>
      <c r="AG226" s="342"/>
      <c r="AH226" s="342"/>
      <c r="AI226" s="342"/>
    </row>
    <row r="227">
      <c r="A227" s="342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  <c r="AA227" s="342"/>
      <c r="AB227" s="342"/>
      <c r="AC227" s="342"/>
      <c r="AD227" s="342"/>
      <c r="AE227" s="342"/>
      <c r="AF227" s="342"/>
      <c r="AG227" s="342"/>
      <c r="AH227" s="342"/>
      <c r="AI227" s="342"/>
    </row>
    <row r="228">
      <c r="A228" s="342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  <c r="AA228" s="342"/>
      <c r="AB228" s="342"/>
      <c r="AC228" s="342"/>
      <c r="AD228" s="342"/>
      <c r="AE228" s="342"/>
      <c r="AF228" s="342"/>
      <c r="AG228" s="342"/>
      <c r="AH228" s="342"/>
      <c r="AI228" s="342"/>
    </row>
    <row r="229">
      <c r="A229" s="342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  <c r="AA229" s="342"/>
      <c r="AB229" s="342"/>
      <c r="AC229" s="342"/>
      <c r="AD229" s="342"/>
      <c r="AE229" s="342"/>
      <c r="AF229" s="342"/>
      <c r="AG229" s="342"/>
      <c r="AH229" s="342"/>
      <c r="AI229" s="342"/>
    </row>
    <row r="230">
      <c r="A230" s="342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  <c r="AA230" s="342"/>
      <c r="AB230" s="342"/>
      <c r="AC230" s="342"/>
      <c r="AD230" s="342"/>
      <c r="AE230" s="342"/>
      <c r="AF230" s="342"/>
      <c r="AG230" s="342"/>
      <c r="AH230" s="342"/>
      <c r="AI230" s="342"/>
    </row>
    <row r="231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  <c r="AA231" s="342"/>
      <c r="AB231" s="342"/>
      <c r="AC231" s="342"/>
      <c r="AD231" s="342"/>
      <c r="AE231" s="342"/>
      <c r="AF231" s="342"/>
      <c r="AG231" s="342"/>
      <c r="AH231" s="342"/>
      <c r="AI231" s="342"/>
    </row>
    <row r="232">
      <c r="A232" s="342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  <c r="AA232" s="342"/>
      <c r="AB232" s="342"/>
      <c r="AC232" s="342"/>
      <c r="AD232" s="342"/>
      <c r="AE232" s="342"/>
      <c r="AF232" s="342"/>
      <c r="AG232" s="342"/>
      <c r="AH232" s="342"/>
      <c r="AI232" s="342"/>
    </row>
    <row r="233">
      <c r="A233" s="342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  <c r="AA233" s="342"/>
      <c r="AB233" s="342"/>
      <c r="AC233" s="342"/>
      <c r="AD233" s="342"/>
      <c r="AE233" s="342"/>
      <c r="AF233" s="342"/>
      <c r="AG233" s="342"/>
      <c r="AH233" s="342"/>
      <c r="AI233" s="342"/>
    </row>
    <row r="234">
      <c r="A234" s="342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  <c r="AA234" s="342"/>
      <c r="AB234" s="342"/>
      <c r="AC234" s="342"/>
      <c r="AD234" s="342"/>
      <c r="AE234" s="342"/>
      <c r="AF234" s="342"/>
      <c r="AG234" s="342"/>
      <c r="AH234" s="342"/>
      <c r="AI234" s="342"/>
    </row>
    <row r="235">
      <c r="A235" s="342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  <c r="AA235" s="342"/>
      <c r="AB235" s="342"/>
      <c r="AC235" s="342"/>
      <c r="AD235" s="342"/>
      <c r="AE235" s="342"/>
      <c r="AF235" s="342"/>
      <c r="AG235" s="342"/>
      <c r="AH235" s="342"/>
      <c r="AI235" s="342"/>
    </row>
    <row r="236">
      <c r="A236" s="342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  <c r="AA236" s="342"/>
      <c r="AB236" s="342"/>
      <c r="AC236" s="342"/>
      <c r="AD236" s="342"/>
      <c r="AE236" s="342"/>
      <c r="AF236" s="342"/>
      <c r="AG236" s="342"/>
      <c r="AH236" s="342"/>
      <c r="AI236" s="342"/>
    </row>
    <row r="237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  <c r="AA237" s="342"/>
      <c r="AB237" s="342"/>
      <c r="AC237" s="342"/>
      <c r="AD237" s="342"/>
      <c r="AE237" s="342"/>
      <c r="AF237" s="342"/>
      <c r="AG237" s="342"/>
      <c r="AH237" s="342"/>
      <c r="AI237" s="342"/>
    </row>
    <row r="238">
      <c r="A238" s="342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  <c r="AA238" s="342"/>
      <c r="AB238" s="342"/>
      <c r="AC238" s="342"/>
      <c r="AD238" s="342"/>
      <c r="AE238" s="342"/>
      <c r="AF238" s="342"/>
      <c r="AG238" s="342"/>
      <c r="AH238" s="342"/>
      <c r="AI238" s="342"/>
    </row>
    <row r="239">
      <c r="A239" s="342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  <c r="AA239" s="342"/>
      <c r="AB239" s="342"/>
      <c r="AC239" s="342"/>
      <c r="AD239" s="342"/>
      <c r="AE239" s="342"/>
      <c r="AF239" s="342"/>
      <c r="AG239" s="342"/>
      <c r="AH239" s="342"/>
      <c r="AI239" s="342"/>
    </row>
    <row r="240">
      <c r="A240" s="342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  <c r="AA240" s="342"/>
      <c r="AB240" s="342"/>
      <c r="AC240" s="342"/>
      <c r="AD240" s="342"/>
      <c r="AE240" s="342"/>
      <c r="AF240" s="342"/>
      <c r="AG240" s="342"/>
      <c r="AH240" s="342"/>
      <c r="AI240" s="342"/>
    </row>
    <row r="241">
      <c r="A241" s="342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  <c r="AA241" s="342"/>
      <c r="AB241" s="342"/>
      <c r="AC241" s="342"/>
      <c r="AD241" s="342"/>
      <c r="AE241" s="342"/>
      <c r="AF241" s="342"/>
      <c r="AG241" s="342"/>
      <c r="AH241" s="342"/>
      <c r="AI241" s="342"/>
    </row>
    <row r="242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  <c r="AA242" s="342"/>
      <c r="AB242" s="342"/>
      <c r="AC242" s="342"/>
      <c r="AD242" s="342"/>
      <c r="AE242" s="342"/>
      <c r="AF242" s="342"/>
      <c r="AG242" s="342"/>
      <c r="AH242" s="342"/>
      <c r="AI242" s="342"/>
    </row>
    <row r="243">
      <c r="A243" s="342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  <c r="AA243" s="342"/>
      <c r="AB243" s="342"/>
      <c r="AC243" s="342"/>
      <c r="AD243" s="342"/>
      <c r="AE243" s="342"/>
      <c r="AF243" s="342"/>
      <c r="AG243" s="342"/>
      <c r="AH243" s="342"/>
      <c r="AI243" s="342"/>
    </row>
    <row r="244">
      <c r="A244" s="342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  <c r="AA244" s="342"/>
      <c r="AB244" s="342"/>
      <c r="AC244" s="342"/>
      <c r="AD244" s="342"/>
      <c r="AE244" s="342"/>
      <c r="AF244" s="342"/>
      <c r="AG244" s="342"/>
      <c r="AH244" s="342"/>
      <c r="AI244" s="342"/>
    </row>
    <row r="245">
      <c r="A245" s="342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  <c r="AA245" s="342"/>
      <c r="AB245" s="342"/>
      <c r="AC245" s="342"/>
      <c r="AD245" s="342"/>
      <c r="AE245" s="342"/>
      <c r="AF245" s="342"/>
      <c r="AG245" s="342"/>
      <c r="AH245" s="342"/>
      <c r="AI245" s="342"/>
    </row>
    <row r="246">
      <c r="A246" s="342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  <c r="AA246" s="342"/>
      <c r="AB246" s="342"/>
      <c r="AC246" s="342"/>
      <c r="AD246" s="342"/>
      <c r="AE246" s="342"/>
      <c r="AF246" s="342"/>
      <c r="AG246" s="342"/>
      <c r="AH246" s="342"/>
      <c r="AI246" s="342"/>
    </row>
    <row r="247">
      <c r="A247" s="342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  <c r="AA247" s="342"/>
      <c r="AB247" s="342"/>
      <c r="AC247" s="342"/>
      <c r="AD247" s="342"/>
      <c r="AE247" s="342"/>
      <c r="AF247" s="342"/>
      <c r="AG247" s="342"/>
      <c r="AH247" s="342"/>
      <c r="AI247" s="342"/>
    </row>
    <row r="248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  <c r="AA248" s="342"/>
      <c r="AB248" s="342"/>
      <c r="AC248" s="342"/>
      <c r="AD248" s="342"/>
      <c r="AE248" s="342"/>
      <c r="AF248" s="342"/>
      <c r="AG248" s="342"/>
      <c r="AH248" s="342"/>
      <c r="AI248" s="342"/>
    </row>
    <row r="249">
      <c r="A249" s="342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  <c r="AA249" s="342"/>
      <c r="AB249" s="342"/>
      <c r="AC249" s="342"/>
      <c r="AD249" s="342"/>
      <c r="AE249" s="342"/>
      <c r="AF249" s="342"/>
      <c r="AG249" s="342"/>
      <c r="AH249" s="342"/>
      <c r="AI249" s="342"/>
    </row>
    <row r="250">
      <c r="A250" s="342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  <c r="AA250" s="342"/>
      <c r="AB250" s="342"/>
      <c r="AC250" s="342"/>
      <c r="AD250" s="342"/>
      <c r="AE250" s="342"/>
      <c r="AF250" s="342"/>
      <c r="AG250" s="342"/>
      <c r="AH250" s="342"/>
      <c r="AI250" s="342"/>
    </row>
    <row r="251">
      <c r="A251" s="342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  <c r="AA251" s="342"/>
      <c r="AB251" s="342"/>
      <c r="AC251" s="342"/>
      <c r="AD251" s="342"/>
      <c r="AE251" s="342"/>
      <c r="AF251" s="342"/>
      <c r="AG251" s="342"/>
      <c r="AH251" s="342"/>
      <c r="AI251" s="342"/>
    </row>
    <row r="252">
      <c r="A252" s="342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  <c r="AA252" s="342"/>
      <c r="AB252" s="342"/>
      <c r="AC252" s="342"/>
      <c r="AD252" s="342"/>
      <c r="AE252" s="342"/>
      <c r="AF252" s="342"/>
      <c r="AG252" s="342"/>
      <c r="AH252" s="342"/>
      <c r="AI252" s="342"/>
    </row>
    <row r="253">
      <c r="A253" s="342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  <c r="AA253" s="342"/>
      <c r="AB253" s="342"/>
      <c r="AC253" s="342"/>
      <c r="AD253" s="342"/>
      <c r="AE253" s="342"/>
      <c r="AF253" s="342"/>
      <c r="AG253" s="342"/>
      <c r="AH253" s="342"/>
      <c r="AI253" s="342"/>
    </row>
    <row r="254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  <c r="AA254" s="342"/>
      <c r="AB254" s="342"/>
      <c r="AC254" s="342"/>
      <c r="AD254" s="342"/>
      <c r="AE254" s="342"/>
      <c r="AF254" s="342"/>
      <c r="AG254" s="342"/>
      <c r="AH254" s="342"/>
      <c r="AI254" s="342"/>
    </row>
    <row r="255">
      <c r="A255" s="342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  <c r="AA255" s="342"/>
      <c r="AB255" s="342"/>
      <c r="AC255" s="342"/>
      <c r="AD255" s="342"/>
      <c r="AE255" s="342"/>
      <c r="AF255" s="342"/>
      <c r="AG255" s="342"/>
      <c r="AH255" s="342"/>
      <c r="AI255" s="342"/>
    </row>
    <row r="256">
      <c r="A256" s="342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  <c r="AA256" s="342"/>
      <c r="AB256" s="342"/>
      <c r="AC256" s="342"/>
      <c r="AD256" s="342"/>
      <c r="AE256" s="342"/>
      <c r="AF256" s="342"/>
      <c r="AG256" s="342"/>
      <c r="AH256" s="342"/>
      <c r="AI256" s="342"/>
    </row>
    <row r="257">
      <c r="A257" s="342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  <c r="AA257" s="342"/>
      <c r="AB257" s="342"/>
      <c r="AC257" s="342"/>
      <c r="AD257" s="342"/>
      <c r="AE257" s="342"/>
      <c r="AF257" s="342"/>
      <c r="AG257" s="342"/>
      <c r="AH257" s="342"/>
      <c r="AI257" s="342"/>
    </row>
    <row r="258">
      <c r="A258" s="342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  <c r="AA258" s="342"/>
      <c r="AB258" s="342"/>
      <c r="AC258" s="342"/>
      <c r="AD258" s="342"/>
      <c r="AE258" s="342"/>
      <c r="AF258" s="342"/>
      <c r="AG258" s="342"/>
      <c r="AH258" s="342"/>
      <c r="AI258" s="342"/>
    </row>
    <row r="259">
      <c r="A259" s="342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  <c r="AA259" s="342"/>
      <c r="AB259" s="342"/>
      <c r="AC259" s="342"/>
      <c r="AD259" s="342"/>
      <c r="AE259" s="342"/>
      <c r="AF259" s="342"/>
      <c r="AG259" s="342"/>
      <c r="AH259" s="342"/>
      <c r="AI259" s="342"/>
    </row>
    <row r="260">
      <c r="A260" s="342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  <c r="AA260" s="342"/>
      <c r="AB260" s="342"/>
      <c r="AC260" s="342"/>
      <c r="AD260" s="342"/>
      <c r="AE260" s="342"/>
      <c r="AF260" s="342"/>
      <c r="AG260" s="342"/>
      <c r="AH260" s="342"/>
      <c r="AI260" s="342"/>
    </row>
    <row r="261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  <c r="AA261" s="342"/>
      <c r="AB261" s="342"/>
      <c r="AC261" s="342"/>
      <c r="AD261" s="342"/>
      <c r="AE261" s="342"/>
      <c r="AF261" s="342"/>
      <c r="AG261" s="342"/>
      <c r="AH261" s="342"/>
      <c r="AI261" s="342"/>
    </row>
    <row r="262">
      <c r="A262" s="342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  <c r="AA262" s="342"/>
      <c r="AB262" s="342"/>
      <c r="AC262" s="342"/>
      <c r="AD262" s="342"/>
      <c r="AE262" s="342"/>
      <c r="AF262" s="342"/>
      <c r="AG262" s="342"/>
      <c r="AH262" s="342"/>
      <c r="AI262" s="342"/>
    </row>
    <row r="263">
      <c r="A263" s="342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  <c r="AA263" s="342"/>
      <c r="AB263" s="342"/>
      <c r="AC263" s="342"/>
      <c r="AD263" s="342"/>
      <c r="AE263" s="342"/>
      <c r="AF263" s="342"/>
      <c r="AG263" s="342"/>
      <c r="AH263" s="342"/>
      <c r="AI263" s="342"/>
    </row>
    <row r="264">
      <c r="A264" s="342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  <c r="AA264" s="342"/>
      <c r="AB264" s="342"/>
      <c r="AC264" s="342"/>
      <c r="AD264" s="342"/>
      <c r="AE264" s="342"/>
      <c r="AF264" s="342"/>
      <c r="AG264" s="342"/>
      <c r="AH264" s="342"/>
      <c r="AI264" s="342"/>
    </row>
    <row r="265">
      <c r="A265" s="342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  <c r="AA265" s="342"/>
      <c r="AB265" s="342"/>
      <c r="AC265" s="342"/>
      <c r="AD265" s="342"/>
      <c r="AE265" s="342"/>
      <c r="AF265" s="342"/>
      <c r="AG265" s="342"/>
      <c r="AH265" s="342"/>
      <c r="AI265" s="342"/>
    </row>
    <row r="266">
      <c r="A266" s="342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  <c r="AA266" s="342"/>
      <c r="AB266" s="342"/>
      <c r="AC266" s="342"/>
      <c r="AD266" s="342"/>
      <c r="AE266" s="342"/>
      <c r="AF266" s="342"/>
      <c r="AG266" s="342"/>
      <c r="AH266" s="342"/>
      <c r="AI266" s="342"/>
    </row>
    <row r="267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  <c r="AA267" s="342"/>
      <c r="AB267" s="342"/>
      <c r="AC267" s="342"/>
      <c r="AD267" s="342"/>
      <c r="AE267" s="342"/>
      <c r="AF267" s="342"/>
      <c r="AG267" s="342"/>
      <c r="AH267" s="342"/>
      <c r="AI267" s="342"/>
    </row>
    <row r="268">
      <c r="A268" s="342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  <c r="AA268" s="342"/>
      <c r="AB268" s="342"/>
      <c r="AC268" s="342"/>
      <c r="AD268" s="342"/>
      <c r="AE268" s="342"/>
      <c r="AF268" s="342"/>
      <c r="AG268" s="342"/>
      <c r="AH268" s="342"/>
      <c r="AI268" s="342"/>
    </row>
    <row r="269">
      <c r="A269" s="342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  <c r="AA269" s="342"/>
      <c r="AB269" s="342"/>
      <c r="AC269" s="342"/>
      <c r="AD269" s="342"/>
      <c r="AE269" s="342"/>
      <c r="AF269" s="342"/>
      <c r="AG269" s="342"/>
      <c r="AH269" s="342"/>
      <c r="AI269" s="342"/>
    </row>
    <row r="270">
      <c r="A270" s="342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  <c r="AA270" s="342"/>
      <c r="AB270" s="342"/>
      <c r="AC270" s="342"/>
      <c r="AD270" s="342"/>
      <c r="AE270" s="342"/>
      <c r="AF270" s="342"/>
      <c r="AG270" s="342"/>
      <c r="AH270" s="342"/>
      <c r="AI270" s="342"/>
    </row>
    <row r="271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  <c r="AA271" s="342"/>
      <c r="AB271" s="342"/>
      <c r="AC271" s="342"/>
      <c r="AD271" s="342"/>
      <c r="AE271" s="342"/>
      <c r="AF271" s="342"/>
      <c r="AG271" s="342"/>
      <c r="AH271" s="342"/>
      <c r="AI271" s="342"/>
    </row>
    <row r="272">
      <c r="A272" s="342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  <c r="AA272" s="342"/>
      <c r="AB272" s="342"/>
      <c r="AC272" s="342"/>
      <c r="AD272" s="342"/>
      <c r="AE272" s="342"/>
      <c r="AF272" s="342"/>
      <c r="AG272" s="342"/>
      <c r="AH272" s="342"/>
      <c r="AI272" s="342"/>
    </row>
    <row r="273">
      <c r="A273" s="342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  <c r="AA273" s="342"/>
      <c r="AB273" s="342"/>
      <c r="AC273" s="342"/>
      <c r="AD273" s="342"/>
      <c r="AE273" s="342"/>
      <c r="AF273" s="342"/>
      <c r="AG273" s="342"/>
      <c r="AH273" s="342"/>
      <c r="AI273" s="342"/>
    </row>
    <row r="274">
      <c r="A274" s="342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  <c r="AA274" s="342"/>
      <c r="AB274" s="342"/>
      <c r="AC274" s="342"/>
      <c r="AD274" s="342"/>
      <c r="AE274" s="342"/>
      <c r="AF274" s="342"/>
      <c r="AG274" s="342"/>
      <c r="AH274" s="342"/>
      <c r="AI274" s="342"/>
    </row>
    <row r="275">
      <c r="A275" s="342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  <c r="AA275" s="342"/>
      <c r="AB275" s="342"/>
      <c r="AC275" s="342"/>
      <c r="AD275" s="342"/>
      <c r="AE275" s="342"/>
      <c r="AF275" s="342"/>
      <c r="AG275" s="342"/>
      <c r="AH275" s="342"/>
      <c r="AI275" s="342"/>
    </row>
    <row r="276">
      <c r="A276" s="342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  <c r="AA276" s="342"/>
      <c r="AB276" s="342"/>
      <c r="AC276" s="342"/>
      <c r="AD276" s="342"/>
      <c r="AE276" s="342"/>
      <c r="AF276" s="342"/>
      <c r="AG276" s="342"/>
      <c r="AH276" s="342"/>
      <c r="AI276" s="342"/>
    </row>
    <row r="277">
      <c r="A277" s="342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  <c r="AA277" s="342"/>
      <c r="AB277" s="342"/>
      <c r="AC277" s="342"/>
      <c r="AD277" s="342"/>
      <c r="AE277" s="342"/>
      <c r="AF277" s="342"/>
      <c r="AG277" s="342"/>
      <c r="AH277" s="342"/>
      <c r="AI277" s="342"/>
    </row>
    <row r="278">
      <c r="A278" s="342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  <c r="AA278" s="342"/>
      <c r="AB278" s="342"/>
      <c r="AC278" s="342"/>
      <c r="AD278" s="342"/>
      <c r="AE278" s="342"/>
      <c r="AF278" s="342"/>
      <c r="AG278" s="342"/>
      <c r="AH278" s="342"/>
      <c r="AI278" s="342"/>
    </row>
    <row r="279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  <c r="AA279" s="342"/>
      <c r="AB279" s="342"/>
      <c r="AC279" s="342"/>
      <c r="AD279" s="342"/>
      <c r="AE279" s="342"/>
      <c r="AF279" s="342"/>
      <c r="AG279" s="342"/>
      <c r="AH279" s="342"/>
      <c r="AI279" s="342"/>
    </row>
    <row r="280">
      <c r="A280" s="342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  <c r="AA280" s="342"/>
      <c r="AB280" s="342"/>
      <c r="AC280" s="342"/>
      <c r="AD280" s="342"/>
      <c r="AE280" s="342"/>
      <c r="AF280" s="342"/>
      <c r="AG280" s="342"/>
      <c r="AH280" s="342"/>
      <c r="AI280" s="342"/>
    </row>
    <row r="281">
      <c r="A281" s="342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  <c r="AA281" s="342"/>
      <c r="AB281" s="342"/>
      <c r="AC281" s="342"/>
      <c r="AD281" s="342"/>
      <c r="AE281" s="342"/>
      <c r="AF281" s="342"/>
      <c r="AG281" s="342"/>
      <c r="AH281" s="342"/>
      <c r="AI281" s="342"/>
    </row>
    <row r="282">
      <c r="A282" s="342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  <c r="AA282" s="342"/>
      <c r="AB282" s="342"/>
      <c r="AC282" s="342"/>
      <c r="AD282" s="342"/>
      <c r="AE282" s="342"/>
      <c r="AF282" s="342"/>
      <c r="AG282" s="342"/>
      <c r="AH282" s="342"/>
      <c r="AI282" s="342"/>
    </row>
    <row r="283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  <c r="AA283" s="342"/>
      <c r="AB283" s="342"/>
      <c r="AC283" s="342"/>
      <c r="AD283" s="342"/>
      <c r="AE283" s="342"/>
      <c r="AF283" s="342"/>
      <c r="AG283" s="342"/>
      <c r="AH283" s="342"/>
      <c r="AI283" s="342"/>
    </row>
    <row r="284">
      <c r="A284" s="342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  <c r="AA284" s="342"/>
      <c r="AB284" s="342"/>
      <c r="AC284" s="342"/>
      <c r="AD284" s="342"/>
      <c r="AE284" s="342"/>
      <c r="AF284" s="342"/>
      <c r="AG284" s="342"/>
      <c r="AH284" s="342"/>
      <c r="AI284" s="342"/>
    </row>
    <row r="285">
      <c r="A285" s="342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  <c r="AA285" s="342"/>
      <c r="AB285" s="342"/>
      <c r="AC285" s="342"/>
      <c r="AD285" s="342"/>
      <c r="AE285" s="342"/>
      <c r="AF285" s="342"/>
      <c r="AG285" s="342"/>
      <c r="AH285" s="342"/>
      <c r="AI285" s="342"/>
    </row>
    <row r="286">
      <c r="A286" s="342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  <c r="AA286" s="342"/>
      <c r="AB286" s="342"/>
      <c r="AC286" s="342"/>
      <c r="AD286" s="342"/>
      <c r="AE286" s="342"/>
      <c r="AF286" s="342"/>
      <c r="AG286" s="342"/>
      <c r="AH286" s="342"/>
      <c r="AI286" s="342"/>
    </row>
    <row r="287">
      <c r="A287" s="342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  <c r="AA287" s="342"/>
      <c r="AB287" s="342"/>
      <c r="AC287" s="342"/>
      <c r="AD287" s="342"/>
      <c r="AE287" s="342"/>
      <c r="AF287" s="342"/>
      <c r="AG287" s="342"/>
      <c r="AH287" s="342"/>
      <c r="AI287" s="342"/>
    </row>
    <row r="288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  <c r="AA288" s="342"/>
      <c r="AB288" s="342"/>
      <c r="AC288" s="342"/>
      <c r="AD288" s="342"/>
      <c r="AE288" s="342"/>
      <c r="AF288" s="342"/>
      <c r="AG288" s="342"/>
      <c r="AH288" s="342"/>
      <c r="AI288" s="342"/>
    </row>
    <row r="289">
      <c r="A289" s="342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  <c r="AA289" s="342"/>
      <c r="AB289" s="342"/>
      <c r="AC289" s="342"/>
      <c r="AD289" s="342"/>
      <c r="AE289" s="342"/>
      <c r="AF289" s="342"/>
      <c r="AG289" s="342"/>
      <c r="AH289" s="342"/>
      <c r="AI289" s="342"/>
    </row>
    <row r="290">
      <c r="A290" s="342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  <c r="AA290" s="342"/>
      <c r="AB290" s="342"/>
      <c r="AC290" s="342"/>
      <c r="AD290" s="342"/>
      <c r="AE290" s="342"/>
      <c r="AF290" s="342"/>
      <c r="AG290" s="342"/>
      <c r="AH290" s="342"/>
      <c r="AI290" s="342"/>
    </row>
    <row r="291">
      <c r="A291" s="342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  <c r="AA291" s="342"/>
      <c r="AB291" s="342"/>
      <c r="AC291" s="342"/>
      <c r="AD291" s="342"/>
      <c r="AE291" s="342"/>
      <c r="AF291" s="342"/>
      <c r="AG291" s="342"/>
      <c r="AH291" s="342"/>
      <c r="AI291" s="342"/>
    </row>
    <row r="292">
      <c r="A292" s="342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  <c r="AA292" s="342"/>
      <c r="AB292" s="342"/>
      <c r="AC292" s="342"/>
      <c r="AD292" s="342"/>
      <c r="AE292" s="342"/>
      <c r="AF292" s="342"/>
      <c r="AG292" s="342"/>
      <c r="AH292" s="342"/>
      <c r="AI292" s="342"/>
    </row>
    <row r="293">
      <c r="A293" s="342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  <c r="AA293" s="342"/>
      <c r="AB293" s="342"/>
      <c r="AC293" s="342"/>
      <c r="AD293" s="342"/>
      <c r="AE293" s="342"/>
      <c r="AF293" s="342"/>
      <c r="AG293" s="342"/>
      <c r="AH293" s="342"/>
      <c r="AI293" s="342"/>
    </row>
    <row r="294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  <c r="AA294" s="342"/>
      <c r="AB294" s="342"/>
      <c r="AC294" s="342"/>
      <c r="AD294" s="342"/>
      <c r="AE294" s="342"/>
      <c r="AF294" s="342"/>
      <c r="AG294" s="342"/>
      <c r="AH294" s="342"/>
      <c r="AI294" s="342"/>
    </row>
    <row r="295">
      <c r="A295" s="342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  <c r="AA295" s="342"/>
      <c r="AB295" s="342"/>
      <c r="AC295" s="342"/>
      <c r="AD295" s="342"/>
      <c r="AE295" s="342"/>
      <c r="AF295" s="342"/>
      <c r="AG295" s="342"/>
      <c r="AH295" s="342"/>
      <c r="AI295" s="342"/>
    </row>
    <row r="296">
      <c r="A296" s="342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  <c r="AA296" s="342"/>
      <c r="AB296" s="342"/>
      <c r="AC296" s="342"/>
      <c r="AD296" s="342"/>
      <c r="AE296" s="342"/>
      <c r="AF296" s="342"/>
      <c r="AG296" s="342"/>
      <c r="AH296" s="342"/>
      <c r="AI296" s="342"/>
    </row>
    <row r="297">
      <c r="A297" s="342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  <c r="AA297" s="342"/>
      <c r="AB297" s="342"/>
      <c r="AC297" s="342"/>
      <c r="AD297" s="342"/>
      <c r="AE297" s="342"/>
      <c r="AF297" s="342"/>
      <c r="AG297" s="342"/>
      <c r="AH297" s="342"/>
      <c r="AI297" s="342"/>
    </row>
    <row r="298">
      <c r="A298" s="342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  <c r="AA298" s="342"/>
      <c r="AB298" s="342"/>
      <c r="AC298" s="342"/>
      <c r="AD298" s="342"/>
      <c r="AE298" s="342"/>
      <c r="AF298" s="342"/>
      <c r="AG298" s="342"/>
      <c r="AH298" s="342"/>
      <c r="AI298" s="342"/>
    </row>
    <row r="299">
      <c r="A299" s="342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  <c r="AA299" s="342"/>
      <c r="AB299" s="342"/>
      <c r="AC299" s="342"/>
      <c r="AD299" s="342"/>
      <c r="AE299" s="342"/>
      <c r="AF299" s="342"/>
      <c r="AG299" s="342"/>
      <c r="AH299" s="342"/>
      <c r="AI299" s="342"/>
    </row>
    <row r="300">
      <c r="A300" s="342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  <c r="AA300" s="342"/>
      <c r="AB300" s="342"/>
      <c r="AC300" s="342"/>
      <c r="AD300" s="342"/>
      <c r="AE300" s="342"/>
      <c r="AF300" s="342"/>
      <c r="AG300" s="342"/>
      <c r="AH300" s="342"/>
      <c r="AI300" s="342"/>
    </row>
    <row r="301">
      <c r="A301" s="342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  <c r="AA301" s="342"/>
      <c r="AB301" s="342"/>
      <c r="AC301" s="342"/>
      <c r="AD301" s="342"/>
      <c r="AE301" s="342"/>
      <c r="AF301" s="342"/>
      <c r="AG301" s="342"/>
      <c r="AH301" s="342"/>
      <c r="AI301" s="342"/>
    </row>
    <row r="302">
      <c r="A302" s="342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  <c r="AA302" s="342"/>
      <c r="AB302" s="342"/>
      <c r="AC302" s="342"/>
      <c r="AD302" s="342"/>
      <c r="AE302" s="342"/>
      <c r="AF302" s="342"/>
      <c r="AG302" s="342"/>
      <c r="AH302" s="342"/>
      <c r="AI302" s="342"/>
    </row>
    <row r="303">
      <c r="A303" s="342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  <c r="AA303" s="342"/>
      <c r="AB303" s="342"/>
      <c r="AC303" s="342"/>
      <c r="AD303" s="342"/>
      <c r="AE303" s="342"/>
      <c r="AF303" s="342"/>
      <c r="AG303" s="342"/>
      <c r="AH303" s="342"/>
      <c r="AI303" s="342"/>
    </row>
    <row r="304">
      <c r="A304" s="342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  <c r="AA304" s="342"/>
      <c r="AB304" s="342"/>
      <c r="AC304" s="342"/>
      <c r="AD304" s="342"/>
      <c r="AE304" s="342"/>
      <c r="AF304" s="342"/>
      <c r="AG304" s="342"/>
      <c r="AH304" s="342"/>
      <c r="AI304" s="342"/>
    </row>
    <row r="305">
      <c r="A305" s="342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  <c r="AA305" s="342"/>
      <c r="AB305" s="342"/>
      <c r="AC305" s="342"/>
      <c r="AD305" s="342"/>
      <c r="AE305" s="342"/>
      <c r="AF305" s="342"/>
      <c r="AG305" s="342"/>
      <c r="AH305" s="342"/>
      <c r="AI305" s="342"/>
    </row>
    <row r="306">
      <c r="A306" s="342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  <c r="AA306" s="342"/>
      <c r="AB306" s="342"/>
      <c r="AC306" s="342"/>
      <c r="AD306" s="342"/>
      <c r="AE306" s="342"/>
      <c r="AF306" s="342"/>
      <c r="AG306" s="342"/>
      <c r="AH306" s="342"/>
      <c r="AI306" s="342"/>
    </row>
    <row r="307">
      <c r="A307" s="342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  <c r="AA307" s="342"/>
      <c r="AB307" s="342"/>
      <c r="AC307" s="342"/>
      <c r="AD307" s="342"/>
      <c r="AE307" s="342"/>
      <c r="AF307" s="342"/>
      <c r="AG307" s="342"/>
      <c r="AH307" s="342"/>
      <c r="AI307" s="342"/>
    </row>
    <row r="308">
      <c r="A308" s="342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  <c r="AA308" s="342"/>
      <c r="AB308" s="342"/>
      <c r="AC308" s="342"/>
      <c r="AD308" s="342"/>
      <c r="AE308" s="342"/>
      <c r="AF308" s="342"/>
      <c r="AG308" s="342"/>
      <c r="AH308" s="342"/>
      <c r="AI308" s="342"/>
    </row>
    <row r="309">
      <c r="A309" s="342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  <c r="AA309" s="342"/>
      <c r="AB309" s="342"/>
      <c r="AC309" s="342"/>
      <c r="AD309" s="342"/>
      <c r="AE309" s="342"/>
      <c r="AF309" s="342"/>
      <c r="AG309" s="342"/>
      <c r="AH309" s="342"/>
      <c r="AI309" s="342"/>
    </row>
    <row r="310">
      <c r="A310" s="342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  <c r="AA310" s="342"/>
      <c r="AB310" s="342"/>
      <c r="AC310" s="342"/>
      <c r="AD310" s="342"/>
      <c r="AE310" s="342"/>
      <c r="AF310" s="342"/>
      <c r="AG310" s="342"/>
      <c r="AH310" s="342"/>
      <c r="AI310" s="342"/>
    </row>
    <row r="311">
      <c r="A311" s="342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  <c r="AA311" s="342"/>
      <c r="AB311" s="342"/>
      <c r="AC311" s="342"/>
      <c r="AD311" s="342"/>
      <c r="AE311" s="342"/>
      <c r="AF311" s="342"/>
      <c r="AG311" s="342"/>
      <c r="AH311" s="342"/>
      <c r="AI311" s="342"/>
    </row>
    <row r="312">
      <c r="A312" s="342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  <c r="AA312" s="342"/>
      <c r="AB312" s="342"/>
      <c r="AC312" s="342"/>
      <c r="AD312" s="342"/>
      <c r="AE312" s="342"/>
      <c r="AF312" s="342"/>
      <c r="AG312" s="342"/>
      <c r="AH312" s="342"/>
      <c r="AI312" s="342"/>
    </row>
    <row r="313">
      <c r="A313" s="342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  <c r="AA313" s="342"/>
      <c r="AB313" s="342"/>
      <c r="AC313" s="342"/>
      <c r="AD313" s="342"/>
      <c r="AE313" s="342"/>
      <c r="AF313" s="342"/>
      <c r="AG313" s="342"/>
      <c r="AH313" s="342"/>
      <c r="AI313" s="342"/>
    </row>
    <row r="314">
      <c r="A314" s="342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  <c r="AA314" s="342"/>
      <c r="AB314" s="342"/>
      <c r="AC314" s="342"/>
      <c r="AD314" s="342"/>
      <c r="AE314" s="342"/>
      <c r="AF314" s="342"/>
      <c r="AG314" s="342"/>
      <c r="AH314" s="342"/>
      <c r="AI314" s="342"/>
    </row>
    <row r="315">
      <c r="A315" s="342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  <c r="AA315" s="342"/>
      <c r="AB315" s="342"/>
      <c r="AC315" s="342"/>
      <c r="AD315" s="342"/>
      <c r="AE315" s="342"/>
      <c r="AF315" s="342"/>
      <c r="AG315" s="342"/>
      <c r="AH315" s="342"/>
      <c r="AI315" s="342"/>
    </row>
    <row r="316">
      <c r="A316" s="342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  <c r="AA316" s="342"/>
      <c r="AB316" s="342"/>
      <c r="AC316" s="342"/>
      <c r="AD316" s="342"/>
      <c r="AE316" s="342"/>
      <c r="AF316" s="342"/>
      <c r="AG316" s="342"/>
      <c r="AH316" s="342"/>
      <c r="AI316" s="342"/>
    </row>
    <row r="317">
      <c r="A317" s="342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  <c r="AA317" s="342"/>
      <c r="AB317" s="342"/>
      <c r="AC317" s="342"/>
      <c r="AD317" s="342"/>
      <c r="AE317" s="342"/>
      <c r="AF317" s="342"/>
      <c r="AG317" s="342"/>
      <c r="AH317" s="342"/>
      <c r="AI317" s="342"/>
    </row>
    <row r="318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  <c r="AA318" s="342"/>
      <c r="AB318" s="342"/>
      <c r="AC318" s="342"/>
      <c r="AD318" s="342"/>
      <c r="AE318" s="342"/>
      <c r="AF318" s="342"/>
      <c r="AG318" s="342"/>
      <c r="AH318" s="342"/>
      <c r="AI318" s="342"/>
    </row>
    <row r="319">
      <c r="A319" s="342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  <c r="AA319" s="342"/>
      <c r="AB319" s="342"/>
      <c r="AC319" s="342"/>
      <c r="AD319" s="342"/>
      <c r="AE319" s="342"/>
      <c r="AF319" s="342"/>
      <c r="AG319" s="342"/>
      <c r="AH319" s="342"/>
      <c r="AI319" s="342"/>
    </row>
    <row r="320">
      <c r="A320" s="342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  <c r="AA320" s="342"/>
      <c r="AB320" s="342"/>
      <c r="AC320" s="342"/>
      <c r="AD320" s="342"/>
      <c r="AE320" s="342"/>
      <c r="AF320" s="342"/>
      <c r="AG320" s="342"/>
      <c r="AH320" s="342"/>
      <c r="AI320" s="342"/>
    </row>
    <row r="321">
      <c r="A321" s="342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  <c r="AA321" s="342"/>
      <c r="AB321" s="342"/>
      <c r="AC321" s="342"/>
      <c r="AD321" s="342"/>
      <c r="AE321" s="342"/>
      <c r="AF321" s="342"/>
      <c r="AG321" s="342"/>
      <c r="AH321" s="342"/>
      <c r="AI321" s="342"/>
    </row>
    <row r="322">
      <c r="A322" s="342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  <c r="AA322" s="342"/>
      <c r="AB322" s="342"/>
      <c r="AC322" s="342"/>
      <c r="AD322" s="342"/>
      <c r="AE322" s="342"/>
      <c r="AF322" s="342"/>
      <c r="AG322" s="342"/>
      <c r="AH322" s="342"/>
      <c r="AI322" s="342"/>
    </row>
    <row r="323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  <c r="AA323" s="342"/>
      <c r="AB323" s="342"/>
      <c r="AC323" s="342"/>
      <c r="AD323" s="342"/>
      <c r="AE323" s="342"/>
      <c r="AF323" s="342"/>
      <c r="AG323" s="342"/>
      <c r="AH323" s="342"/>
      <c r="AI323" s="342"/>
    </row>
    <row r="324">
      <c r="A324" s="342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  <c r="AA324" s="342"/>
      <c r="AB324" s="342"/>
      <c r="AC324" s="342"/>
      <c r="AD324" s="342"/>
      <c r="AE324" s="342"/>
      <c r="AF324" s="342"/>
      <c r="AG324" s="342"/>
      <c r="AH324" s="342"/>
      <c r="AI324" s="342"/>
    </row>
    <row r="325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  <c r="AA325" s="342"/>
      <c r="AB325" s="342"/>
      <c r="AC325" s="342"/>
      <c r="AD325" s="342"/>
      <c r="AE325" s="342"/>
      <c r="AF325" s="342"/>
      <c r="AG325" s="342"/>
      <c r="AH325" s="342"/>
      <c r="AI325" s="342"/>
    </row>
    <row r="326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  <c r="AA326" s="342"/>
      <c r="AB326" s="342"/>
      <c r="AC326" s="342"/>
      <c r="AD326" s="342"/>
      <c r="AE326" s="342"/>
      <c r="AF326" s="342"/>
      <c r="AG326" s="342"/>
      <c r="AH326" s="342"/>
      <c r="AI326" s="342"/>
    </row>
    <row r="327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  <c r="AA327" s="342"/>
      <c r="AB327" s="342"/>
      <c r="AC327" s="342"/>
      <c r="AD327" s="342"/>
      <c r="AE327" s="342"/>
      <c r="AF327" s="342"/>
      <c r="AG327" s="342"/>
      <c r="AH327" s="342"/>
      <c r="AI327" s="342"/>
    </row>
    <row r="328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  <c r="AA328" s="342"/>
      <c r="AB328" s="342"/>
      <c r="AC328" s="342"/>
      <c r="AD328" s="342"/>
      <c r="AE328" s="342"/>
      <c r="AF328" s="342"/>
      <c r="AG328" s="342"/>
      <c r="AH328" s="342"/>
      <c r="AI328" s="342"/>
    </row>
    <row r="329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  <c r="AA329" s="342"/>
      <c r="AB329" s="342"/>
      <c r="AC329" s="342"/>
      <c r="AD329" s="342"/>
      <c r="AE329" s="342"/>
      <c r="AF329" s="342"/>
      <c r="AG329" s="342"/>
      <c r="AH329" s="342"/>
      <c r="AI329" s="342"/>
    </row>
    <row r="330">
      <c r="A330" s="342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  <c r="AA330" s="342"/>
      <c r="AB330" s="342"/>
      <c r="AC330" s="342"/>
      <c r="AD330" s="342"/>
      <c r="AE330" s="342"/>
      <c r="AF330" s="342"/>
      <c r="AG330" s="342"/>
      <c r="AH330" s="342"/>
      <c r="AI330" s="342"/>
    </row>
    <row r="331">
      <c r="A331" s="342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  <c r="AA331" s="342"/>
      <c r="AB331" s="342"/>
      <c r="AC331" s="342"/>
      <c r="AD331" s="342"/>
      <c r="AE331" s="342"/>
      <c r="AF331" s="342"/>
      <c r="AG331" s="342"/>
      <c r="AH331" s="342"/>
      <c r="AI331" s="342"/>
    </row>
    <row r="332">
      <c r="A332" s="342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  <c r="AA332" s="342"/>
      <c r="AB332" s="342"/>
      <c r="AC332" s="342"/>
      <c r="AD332" s="342"/>
      <c r="AE332" s="342"/>
      <c r="AF332" s="342"/>
      <c r="AG332" s="342"/>
      <c r="AH332" s="342"/>
      <c r="AI332" s="342"/>
    </row>
    <row r="333">
      <c r="A333" s="342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  <c r="AA333" s="342"/>
      <c r="AB333" s="342"/>
      <c r="AC333" s="342"/>
      <c r="AD333" s="342"/>
      <c r="AE333" s="342"/>
      <c r="AF333" s="342"/>
      <c r="AG333" s="342"/>
      <c r="AH333" s="342"/>
      <c r="AI333" s="342"/>
    </row>
    <row r="334">
      <c r="A334" s="342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  <c r="AA334" s="342"/>
      <c r="AB334" s="342"/>
      <c r="AC334" s="342"/>
      <c r="AD334" s="342"/>
      <c r="AE334" s="342"/>
      <c r="AF334" s="342"/>
      <c r="AG334" s="342"/>
      <c r="AH334" s="342"/>
      <c r="AI334" s="342"/>
    </row>
    <row r="335">
      <c r="A335" s="342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  <c r="AA335" s="342"/>
      <c r="AB335" s="342"/>
      <c r="AC335" s="342"/>
      <c r="AD335" s="342"/>
      <c r="AE335" s="342"/>
      <c r="AF335" s="342"/>
      <c r="AG335" s="342"/>
      <c r="AH335" s="342"/>
      <c r="AI335" s="342"/>
    </row>
    <row r="336">
      <c r="A336" s="342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  <c r="AA336" s="342"/>
      <c r="AB336" s="342"/>
      <c r="AC336" s="342"/>
      <c r="AD336" s="342"/>
      <c r="AE336" s="342"/>
      <c r="AF336" s="342"/>
      <c r="AG336" s="342"/>
      <c r="AH336" s="342"/>
      <c r="AI336" s="342"/>
    </row>
    <row r="337">
      <c r="A337" s="342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  <c r="AA337" s="342"/>
      <c r="AB337" s="342"/>
      <c r="AC337" s="342"/>
      <c r="AD337" s="342"/>
      <c r="AE337" s="342"/>
      <c r="AF337" s="342"/>
      <c r="AG337" s="342"/>
      <c r="AH337" s="342"/>
      <c r="AI337" s="342"/>
    </row>
    <row r="338">
      <c r="A338" s="342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  <c r="AA338" s="342"/>
      <c r="AB338" s="342"/>
      <c r="AC338" s="342"/>
      <c r="AD338" s="342"/>
      <c r="AE338" s="342"/>
      <c r="AF338" s="342"/>
      <c r="AG338" s="342"/>
      <c r="AH338" s="342"/>
      <c r="AI338" s="342"/>
    </row>
    <row r="339">
      <c r="A339" s="342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  <c r="AA339" s="342"/>
      <c r="AB339" s="342"/>
      <c r="AC339" s="342"/>
      <c r="AD339" s="342"/>
      <c r="AE339" s="342"/>
      <c r="AF339" s="342"/>
      <c r="AG339" s="342"/>
      <c r="AH339" s="342"/>
      <c r="AI339" s="342"/>
    </row>
    <row r="340">
      <c r="A340" s="342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  <c r="AA340" s="342"/>
      <c r="AB340" s="342"/>
      <c r="AC340" s="342"/>
      <c r="AD340" s="342"/>
      <c r="AE340" s="342"/>
      <c r="AF340" s="342"/>
      <c r="AG340" s="342"/>
      <c r="AH340" s="342"/>
      <c r="AI340" s="342"/>
    </row>
    <row r="341">
      <c r="A341" s="342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  <c r="AA341" s="342"/>
      <c r="AB341" s="342"/>
      <c r="AC341" s="342"/>
      <c r="AD341" s="342"/>
      <c r="AE341" s="342"/>
      <c r="AF341" s="342"/>
      <c r="AG341" s="342"/>
      <c r="AH341" s="342"/>
      <c r="AI341" s="342"/>
    </row>
    <row r="342">
      <c r="A342" s="342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  <c r="AA342" s="342"/>
      <c r="AB342" s="342"/>
      <c r="AC342" s="342"/>
      <c r="AD342" s="342"/>
      <c r="AE342" s="342"/>
      <c r="AF342" s="342"/>
      <c r="AG342" s="342"/>
      <c r="AH342" s="342"/>
      <c r="AI342" s="342"/>
    </row>
    <row r="343">
      <c r="A343" s="342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  <c r="AA343" s="342"/>
      <c r="AB343" s="342"/>
      <c r="AC343" s="342"/>
      <c r="AD343" s="342"/>
      <c r="AE343" s="342"/>
      <c r="AF343" s="342"/>
      <c r="AG343" s="342"/>
      <c r="AH343" s="342"/>
      <c r="AI343" s="342"/>
    </row>
    <row r="344">
      <c r="A344" s="342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  <c r="AA344" s="342"/>
      <c r="AB344" s="342"/>
      <c r="AC344" s="342"/>
      <c r="AD344" s="342"/>
      <c r="AE344" s="342"/>
      <c r="AF344" s="342"/>
      <c r="AG344" s="342"/>
      <c r="AH344" s="342"/>
      <c r="AI344" s="342"/>
    </row>
    <row r="345">
      <c r="A345" s="342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  <c r="AA345" s="342"/>
      <c r="AB345" s="342"/>
      <c r="AC345" s="342"/>
      <c r="AD345" s="342"/>
      <c r="AE345" s="342"/>
      <c r="AF345" s="342"/>
      <c r="AG345" s="342"/>
      <c r="AH345" s="342"/>
      <c r="AI345" s="342"/>
    </row>
    <row r="346">
      <c r="A346" s="342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  <c r="AA346" s="342"/>
      <c r="AB346" s="342"/>
      <c r="AC346" s="342"/>
      <c r="AD346" s="342"/>
      <c r="AE346" s="342"/>
      <c r="AF346" s="342"/>
      <c r="AG346" s="342"/>
      <c r="AH346" s="342"/>
      <c r="AI346" s="342"/>
    </row>
    <row r="347">
      <c r="A347" s="342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  <c r="AA347" s="342"/>
      <c r="AB347" s="342"/>
      <c r="AC347" s="342"/>
      <c r="AD347" s="342"/>
      <c r="AE347" s="342"/>
      <c r="AF347" s="342"/>
      <c r="AG347" s="342"/>
      <c r="AH347" s="342"/>
      <c r="AI347" s="342"/>
    </row>
    <row r="348">
      <c r="A348" s="342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  <c r="AA348" s="342"/>
      <c r="AB348" s="342"/>
      <c r="AC348" s="342"/>
      <c r="AD348" s="342"/>
      <c r="AE348" s="342"/>
      <c r="AF348" s="342"/>
      <c r="AG348" s="342"/>
      <c r="AH348" s="342"/>
      <c r="AI348" s="342"/>
    </row>
    <row r="349">
      <c r="A349" s="342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  <c r="AA349" s="342"/>
      <c r="AB349" s="342"/>
      <c r="AC349" s="342"/>
      <c r="AD349" s="342"/>
      <c r="AE349" s="342"/>
      <c r="AF349" s="342"/>
      <c r="AG349" s="342"/>
      <c r="AH349" s="342"/>
      <c r="AI349" s="342"/>
    </row>
    <row r="350">
      <c r="A350" s="342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  <c r="AA350" s="342"/>
      <c r="AB350" s="342"/>
      <c r="AC350" s="342"/>
      <c r="AD350" s="342"/>
      <c r="AE350" s="342"/>
      <c r="AF350" s="342"/>
      <c r="AG350" s="342"/>
      <c r="AH350" s="342"/>
      <c r="AI350" s="342"/>
    </row>
    <row r="351">
      <c r="A351" s="342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  <c r="AA351" s="342"/>
      <c r="AB351" s="342"/>
      <c r="AC351" s="342"/>
      <c r="AD351" s="342"/>
      <c r="AE351" s="342"/>
      <c r="AF351" s="342"/>
      <c r="AG351" s="342"/>
      <c r="AH351" s="342"/>
      <c r="AI351" s="342"/>
    </row>
    <row r="352">
      <c r="A352" s="342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  <c r="AA352" s="342"/>
      <c r="AB352" s="342"/>
      <c r="AC352" s="342"/>
      <c r="AD352" s="342"/>
      <c r="AE352" s="342"/>
      <c r="AF352" s="342"/>
      <c r="AG352" s="342"/>
      <c r="AH352" s="342"/>
      <c r="AI352" s="342"/>
    </row>
    <row r="353">
      <c r="A353" s="342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  <c r="AA353" s="342"/>
      <c r="AB353" s="342"/>
      <c r="AC353" s="342"/>
      <c r="AD353" s="342"/>
      <c r="AE353" s="342"/>
      <c r="AF353" s="342"/>
      <c r="AG353" s="342"/>
      <c r="AH353" s="342"/>
      <c r="AI353" s="342"/>
    </row>
    <row r="354">
      <c r="A354" s="342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  <c r="AA354" s="342"/>
      <c r="AB354" s="342"/>
      <c r="AC354" s="342"/>
      <c r="AD354" s="342"/>
      <c r="AE354" s="342"/>
      <c r="AF354" s="342"/>
      <c r="AG354" s="342"/>
      <c r="AH354" s="342"/>
      <c r="AI354" s="342"/>
    </row>
    <row r="355">
      <c r="A355" s="342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  <c r="AA355" s="342"/>
      <c r="AB355" s="342"/>
      <c r="AC355" s="342"/>
      <c r="AD355" s="342"/>
      <c r="AE355" s="342"/>
      <c r="AF355" s="342"/>
      <c r="AG355" s="342"/>
      <c r="AH355" s="342"/>
      <c r="AI355" s="342"/>
    </row>
    <row r="356">
      <c r="A356" s="342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  <c r="AA356" s="342"/>
      <c r="AB356" s="342"/>
      <c r="AC356" s="342"/>
      <c r="AD356" s="342"/>
      <c r="AE356" s="342"/>
      <c r="AF356" s="342"/>
      <c r="AG356" s="342"/>
      <c r="AH356" s="342"/>
      <c r="AI356" s="342"/>
    </row>
    <row r="357">
      <c r="A357" s="342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  <c r="AA357" s="342"/>
      <c r="AB357" s="342"/>
      <c r="AC357" s="342"/>
      <c r="AD357" s="342"/>
      <c r="AE357" s="342"/>
      <c r="AF357" s="342"/>
      <c r="AG357" s="342"/>
      <c r="AH357" s="342"/>
      <c r="AI357" s="342"/>
    </row>
    <row r="358">
      <c r="A358" s="342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  <c r="AA358" s="342"/>
      <c r="AB358" s="342"/>
      <c r="AC358" s="342"/>
      <c r="AD358" s="342"/>
      <c r="AE358" s="342"/>
      <c r="AF358" s="342"/>
      <c r="AG358" s="342"/>
      <c r="AH358" s="342"/>
      <c r="AI358" s="342"/>
    </row>
    <row r="359">
      <c r="A359" s="342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  <c r="AA359" s="342"/>
      <c r="AB359" s="342"/>
      <c r="AC359" s="342"/>
      <c r="AD359" s="342"/>
      <c r="AE359" s="342"/>
      <c r="AF359" s="342"/>
      <c r="AG359" s="342"/>
      <c r="AH359" s="342"/>
      <c r="AI359" s="342"/>
    </row>
    <row r="360">
      <c r="A360" s="342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  <c r="AA360" s="342"/>
      <c r="AB360" s="342"/>
      <c r="AC360" s="342"/>
      <c r="AD360" s="342"/>
      <c r="AE360" s="342"/>
      <c r="AF360" s="342"/>
      <c r="AG360" s="342"/>
      <c r="AH360" s="342"/>
      <c r="AI360" s="342"/>
    </row>
    <row r="361">
      <c r="A361" s="342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  <c r="AA361" s="342"/>
      <c r="AB361" s="342"/>
      <c r="AC361" s="342"/>
      <c r="AD361" s="342"/>
      <c r="AE361" s="342"/>
      <c r="AF361" s="342"/>
      <c r="AG361" s="342"/>
      <c r="AH361" s="342"/>
      <c r="AI361" s="342"/>
    </row>
    <row r="362">
      <c r="A362" s="342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  <c r="AA362" s="342"/>
      <c r="AB362" s="342"/>
      <c r="AC362" s="342"/>
      <c r="AD362" s="342"/>
      <c r="AE362" s="342"/>
      <c r="AF362" s="342"/>
      <c r="AG362" s="342"/>
      <c r="AH362" s="342"/>
      <c r="AI362" s="342"/>
    </row>
    <row r="363">
      <c r="A363" s="342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  <c r="AA363" s="342"/>
      <c r="AB363" s="342"/>
      <c r="AC363" s="342"/>
      <c r="AD363" s="342"/>
      <c r="AE363" s="342"/>
      <c r="AF363" s="342"/>
      <c r="AG363" s="342"/>
      <c r="AH363" s="342"/>
      <c r="AI363" s="342"/>
    </row>
    <row r="364">
      <c r="A364" s="342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  <c r="AA364" s="342"/>
      <c r="AB364" s="342"/>
      <c r="AC364" s="342"/>
      <c r="AD364" s="342"/>
      <c r="AE364" s="342"/>
      <c r="AF364" s="342"/>
      <c r="AG364" s="342"/>
      <c r="AH364" s="342"/>
      <c r="AI364" s="342"/>
    </row>
    <row r="365">
      <c r="A365" s="342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  <c r="AA365" s="342"/>
      <c r="AB365" s="342"/>
      <c r="AC365" s="342"/>
      <c r="AD365" s="342"/>
      <c r="AE365" s="342"/>
      <c r="AF365" s="342"/>
      <c r="AG365" s="342"/>
      <c r="AH365" s="342"/>
      <c r="AI365" s="342"/>
    </row>
    <row r="366">
      <c r="A366" s="342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  <c r="AA366" s="342"/>
      <c r="AB366" s="342"/>
      <c r="AC366" s="342"/>
      <c r="AD366" s="342"/>
      <c r="AE366" s="342"/>
      <c r="AF366" s="342"/>
      <c r="AG366" s="342"/>
      <c r="AH366" s="342"/>
      <c r="AI366" s="342"/>
    </row>
    <row r="367">
      <c r="A367" s="342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  <c r="AA367" s="342"/>
      <c r="AB367" s="342"/>
      <c r="AC367" s="342"/>
      <c r="AD367" s="342"/>
      <c r="AE367" s="342"/>
      <c r="AF367" s="342"/>
      <c r="AG367" s="342"/>
      <c r="AH367" s="342"/>
      <c r="AI367" s="342"/>
    </row>
    <row r="368">
      <c r="A368" s="342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  <c r="AA368" s="342"/>
      <c r="AB368" s="342"/>
      <c r="AC368" s="342"/>
      <c r="AD368" s="342"/>
      <c r="AE368" s="342"/>
      <c r="AF368" s="342"/>
      <c r="AG368" s="342"/>
      <c r="AH368" s="342"/>
      <c r="AI368" s="342"/>
    </row>
    <row r="369">
      <c r="A369" s="342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  <c r="AA369" s="342"/>
      <c r="AB369" s="342"/>
      <c r="AC369" s="342"/>
      <c r="AD369" s="342"/>
      <c r="AE369" s="342"/>
      <c r="AF369" s="342"/>
      <c r="AG369" s="342"/>
      <c r="AH369" s="342"/>
      <c r="AI369" s="342"/>
    </row>
    <row r="370">
      <c r="A370" s="342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  <c r="AA370" s="342"/>
      <c r="AB370" s="342"/>
      <c r="AC370" s="342"/>
      <c r="AD370" s="342"/>
      <c r="AE370" s="342"/>
      <c r="AF370" s="342"/>
      <c r="AG370" s="342"/>
      <c r="AH370" s="342"/>
      <c r="AI370" s="342"/>
    </row>
    <row r="371">
      <c r="A371" s="342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  <c r="AA371" s="342"/>
      <c r="AB371" s="342"/>
      <c r="AC371" s="342"/>
      <c r="AD371" s="342"/>
      <c r="AE371" s="342"/>
      <c r="AF371" s="342"/>
      <c r="AG371" s="342"/>
      <c r="AH371" s="342"/>
      <c r="AI371" s="342"/>
    </row>
    <row r="372">
      <c r="A372" s="342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  <c r="AA372" s="342"/>
      <c r="AB372" s="342"/>
      <c r="AC372" s="342"/>
      <c r="AD372" s="342"/>
      <c r="AE372" s="342"/>
      <c r="AF372" s="342"/>
      <c r="AG372" s="342"/>
      <c r="AH372" s="342"/>
      <c r="AI372" s="342"/>
    </row>
    <row r="373">
      <c r="A373" s="342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  <c r="AA373" s="342"/>
      <c r="AB373" s="342"/>
      <c r="AC373" s="342"/>
      <c r="AD373" s="342"/>
      <c r="AE373" s="342"/>
      <c r="AF373" s="342"/>
      <c r="AG373" s="342"/>
      <c r="AH373" s="342"/>
      <c r="AI373" s="342"/>
    </row>
    <row r="374">
      <c r="A374" s="342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  <c r="AA374" s="342"/>
      <c r="AB374" s="342"/>
      <c r="AC374" s="342"/>
      <c r="AD374" s="342"/>
      <c r="AE374" s="342"/>
      <c r="AF374" s="342"/>
      <c r="AG374" s="342"/>
      <c r="AH374" s="342"/>
      <c r="AI374" s="342"/>
    </row>
    <row r="375">
      <c r="A375" s="342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  <c r="AA375" s="342"/>
      <c r="AB375" s="342"/>
      <c r="AC375" s="342"/>
      <c r="AD375" s="342"/>
      <c r="AE375" s="342"/>
      <c r="AF375" s="342"/>
      <c r="AG375" s="342"/>
      <c r="AH375" s="342"/>
      <c r="AI375" s="342"/>
    </row>
    <row r="376">
      <c r="A376" s="342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  <c r="AA376" s="342"/>
      <c r="AB376" s="342"/>
      <c r="AC376" s="342"/>
      <c r="AD376" s="342"/>
      <c r="AE376" s="342"/>
      <c r="AF376" s="342"/>
      <c r="AG376" s="342"/>
      <c r="AH376" s="342"/>
      <c r="AI376" s="342"/>
    </row>
    <row r="377">
      <c r="A377" s="342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  <c r="AA377" s="342"/>
      <c r="AB377" s="342"/>
      <c r="AC377" s="342"/>
      <c r="AD377" s="342"/>
      <c r="AE377" s="342"/>
      <c r="AF377" s="342"/>
      <c r="AG377" s="342"/>
      <c r="AH377" s="342"/>
      <c r="AI377" s="342"/>
    </row>
    <row r="378">
      <c r="A378" s="342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  <c r="AA378" s="342"/>
      <c r="AB378" s="342"/>
      <c r="AC378" s="342"/>
      <c r="AD378" s="342"/>
      <c r="AE378" s="342"/>
      <c r="AF378" s="342"/>
      <c r="AG378" s="342"/>
      <c r="AH378" s="342"/>
      <c r="AI378" s="342"/>
    </row>
    <row r="379">
      <c r="A379" s="342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  <c r="AA379" s="342"/>
      <c r="AB379" s="342"/>
      <c r="AC379" s="342"/>
      <c r="AD379" s="342"/>
      <c r="AE379" s="342"/>
      <c r="AF379" s="342"/>
      <c r="AG379" s="342"/>
      <c r="AH379" s="342"/>
      <c r="AI379" s="342"/>
    </row>
    <row r="380">
      <c r="A380" s="342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  <c r="AA380" s="342"/>
      <c r="AB380" s="342"/>
      <c r="AC380" s="342"/>
      <c r="AD380" s="342"/>
      <c r="AE380" s="342"/>
      <c r="AF380" s="342"/>
      <c r="AG380" s="342"/>
      <c r="AH380" s="342"/>
      <c r="AI380" s="342"/>
    </row>
    <row r="381">
      <c r="A381" s="342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  <c r="AA381" s="342"/>
      <c r="AB381" s="342"/>
      <c r="AC381" s="342"/>
      <c r="AD381" s="342"/>
      <c r="AE381" s="342"/>
      <c r="AF381" s="342"/>
      <c r="AG381" s="342"/>
      <c r="AH381" s="342"/>
      <c r="AI381" s="342"/>
    </row>
    <row r="382">
      <c r="A382" s="342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  <c r="AA382" s="342"/>
      <c r="AB382" s="342"/>
      <c r="AC382" s="342"/>
      <c r="AD382" s="342"/>
      <c r="AE382" s="342"/>
      <c r="AF382" s="342"/>
      <c r="AG382" s="342"/>
      <c r="AH382" s="342"/>
      <c r="AI382" s="342"/>
    </row>
    <row r="383">
      <c r="A383" s="342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  <c r="AA383" s="342"/>
      <c r="AB383" s="342"/>
      <c r="AC383" s="342"/>
      <c r="AD383" s="342"/>
      <c r="AE383" s="342"/>
      <c r="AF383" s="342"/>
      <c r="AG383" s="342"/>
      <c r="AH383" s="342"/>
      <c r="AI383" s="342"/>
    </row>
    <row r="384">
      <c r="A384" s="342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P384" s="342"/>
      <c r="Q384" s="342"/>
      <c r="R384" s="342"/>
      <c r="S384" s="342"/>
      <c r="T384" s="342"/>
      <c r="U384" s="342"/>
      <c r="V384" s="342"/>
      <c r="W384" s="342"/>
      <c r="X384" s="342"/>
      <c r="Y384" s="342"/>
      <c r="Z384" s="342"/>
      <c r="AA384" s="342"/>
      <c r="AB384" s="342"/>
      <c r="AC384" s="342"/>
      <c r="AD384" s="342"/>
      <c r="AE384" s="342"/>
      <c r="AF384" s="342"/>
      <c r="AG384" s="342"/>
      <c r="AH384" s="342"/>
      <c r="AI384" s="342"/>
    </row>
    <row r="385">
      <c r="A385" s="342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P385" s="342"/>
      <c r="Q385" s="342"/>
      <c r="R385" s="342"/>
      <c r="S385" s="342"/>
      <c r="T385" s="342"/>
      <c r="U385" s="342"/>
      <c r="V385" s="342"/>
      <c r="W385" s="342"/>
      <c r="X385" s="342"/>
      <c r="Y385" s="342"/>
      <c r="Z385" s="342"/>
      <c r="AA385" s="342"/>
      <c r="AB385" s="342"/>
      <c r="AC385" s="342"/>
      <c r="AD385" s="342"/>
      <c r="AE385" s="342"/>
      <c r="AF385" s="342"/>
      <c r="AG385" s="342"/>
      <c r="AH385" s="342"/>
      <c r="AI385" s="342"/>
    </row>
    <row r="386">
      <c r="A386" s="342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  <c r="AA386" s="342"/>
      <c r="AB386" s="342"/>
      <c r="AC386" s="342"/>
      <c r="AD386" s="342"/>
      <c r="AE386" s="342"/>
      <c r="AF386" s="342"/>
      <c r="AG386" s="342"/>
      <c r="AH386" s="342"/>
      <c r="AI386" s="342"/>
    </row>
    <row r="387">
      <c r="A387" s="342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P387" s="342"/>
      <c r="Q387" s="342"/>
      <c r="R387" s="342"/>
      <c r="S387" s="342"/>
      <c r="T387" s="342"/>
      <c r="U387" s="342"/>
      <c r="V387" s="342"/>
      <c r="W387" s="342"/>
      <c r="X387" s="342"/>
      <c r="Y387" s="342"/>
      <c r="Z387" s="342"/>
      <c r="AA387" s="342"/>
      <c r="AB387" s="342"/>
      <c r="AC387" s="342"/>
      <c r="AD387" s="342"/>
      <c r="AE387" s="342"/>
      <c r="AF387" s="342"/>
      <c r="AG387" s="342"/>
      <c r="AH387" s="342"/>
      <c r="AI387" s="342"/>
    </row>
    <row r="388">
      <c r="A388" s="342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P388" s="342"/>
      <c r="Q388" s="342"/>
      <c r="R388" s="342"/>
      <c r="S388" s="342"/>
      <c r="T388" s="342"/>
      <c r="U388" s="342"/>
      <c r="V388" s="342"/>
      <c r="W388" s="342"/>
      <c r="X388" s="342"/>
      <c r="Y388" s="342"/>
      <c r="Z388" s="342"/>
      <c r="AA388" s="342"/>
      <c r="AB388" s="342"/>
      <c r="AC388" s="342"/>
      <c r="AD388" s="342"/>
      <c r="AE388" s="342"/>
      <c r="AF388" s="342"/>
      <c r="AG388" s="342"/>
      <c r="AH388" s="342"/>
      <c r="AI388" s="342"/>
    </row>
    <row r="389">
      <c r="A389" s="342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  <c r="AA389" s="342"/>
      <c r="AB389" s="342"/>
      <c r="AC389" s="342"/>
      <c r="AD389" s="342"/>
      <c r="AE389" s="342"/>
      <c r="AF389" s="342"/>
      <c r="AG389" s="342"/>
      <c r="AH389" s="342"/>
      <c r="AI389" s="342"/>
    </row>
    <row r="390">
      <c r="A390" s="342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P390" s="342"/>
      <c r="Q390" s="342"/>
      <c r="R390" s="342"/>
      <c r="S390" s="342"/>
      <c r="T390" s="342"/>
      <c r="U390" s="342"/>
      <c r="V390" s="342"/>
      <c r="W390" s="342"/>
      <c r="X390" s="342"/>
      <c r="Y390" s="342"/>
      <c r="Z390" s="342"/>
      <c r="AA390" s="342"/>
      <c r="AB390" s="342"/>
      <c r="AC390" s="342"/>
      <c r="AD390" s="342"/>
      <c r="AE390" s="342"/>
      <c r="AF390" s="342"/>
      <c r="AG390" s="342"/>
      <c r="AH390" s="342"/>
      <c r="AI390" s="342"/>
    </row>
    <row r="391">
      <c r="A391" s="342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P391" s="342"/>
      <c r="Q391" s="342"/>
      <c r="R391" s="342"/>
      <c r="S391" s="342"/>
      <c r="T391" s="342"/>
      <c r="U391" s="342"/>
      <c r="V391" s="342"/>
      <c r="W391" s="342"/>
      <c r="X391" s="342"/>
      <c r="Y391" s="342"/>
      <c r="Z391" s="342"/>
      <c r="AA391" s="342"/>
      <c r="AB391" s="342"/>
      <c r="AC391" s="342"/>
      <c r="AD391" s="342"/>
      <c r="AE391" s="342"/>
      <c r="AF391" s="342"/>
      <c r="AG391" s="342"/>
      <c r="AH391" s="342"/>
      <c r="AI391" s="342"/>
    </row>
    <row r="392">
      <c r="A392" s="342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  <c r="AA392" s="342"/>
      <c r="AB392" s="342"/>
      <c r="AC392" s="342"/>
      <c r="AD392" s="342"/>
      <c r="AE392" s="342"/>
      <c r="AF392" s="342"/>
      <c r="AG392" s="342"/>
      <c r="AH392" s="342"/>
      <c r="AI392" s="342"/>
    </row>
    <row r="393">
      <c r="A393" s="342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P393" s="342"/>
      <c r="Q393" s="342"/>
      <c r="R393" s="342"/>
      <c r="S393" s="342"/>
      <c r="T393" s="342"/>
      <c r="U393" s="342"/>
      <c r="V393" s="342"/>
      <c r="W393" s="342"/>
      <c r="X393" s="342"/>
      <c r="Y393" s="342"/>
      <c r="Z393" s="342"/>
      <c r="AA393" s="342"/>
      <c r="AB393" s="342"/>
      <c r="AC393" s="342"/>
      <c r="AD393" s="342"/>
      <c r="AE393" s="342"/>
      <c r="AF393" s="342"/>
      <c r="AG393" s="342"/>
      <c r="AH393" s="342"/>
      <c r="AI393" s="342"/>
    </row>
    <row r="394">
      <c r="A394" s="342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P394" s="342"/>
      <c r="Q394" s="342"/>
      <c r="R394" s="342"/>
      <c r="S394" s="342"/>
      <c r="T394" s="342"/>
      <c r="U394" s="342"/>
      <c r="V394" s="342"/>
      <c r="W394" s="342"/>
      <c r="X394" s="342"/>
      <c r="Y394" s="342"/>
      <c r="Z394" s="342"/>
      <c r="AA394" s="342"/>
      <c r="AB394" s="342"/>
      <c r="AC394" s="342"/>
      <c r="AD394" s="342"/>
      <c r="AE394" s="342"/>
      <c r="AF394" s="342"/>
      <c r="AG394" s="342"/>
      <c r="AH394" s="342"/>
      <c r="AI394" s="342"/>
    </row>
    <row r="395">
      <c r="A395" s="342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  <c r="AA395" s="342"/>
      <c r="AB395" s="342"/>
      <c r="AC395" s="342"/>
      <c r="AD395" s="342"/>
      <c r="AE395" s="342"/>
      <c r="AF395" s="342"/>
      <c r="AG395" s="342"/>
      <c r="AH395" s="342"/>
      <c r="AI395" s="342"/>
    </row>
    <row r="396">
      <c r="A396" s="342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2"/>
      <c r="Y396" s="342"/>
      <c r="Z396" s="342"/>
      <c r="AA396" s="342"/>
      <c r="AB396" s="342"/>
      <c r="AC396" s="342"/>
      <c r="AD396" s="342"/>
      <c r="AE396" s="342"/>
      <c r="AF396" s="342"/>
      <c r="AG396" s="342"/>
      <c r="AH396" s="342"/>
      <c r="AI396" s="342"/>
    </row>
    <row r="397">
      <c r="A397" s="342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P397" s="342"/>
      <c r="Q397" s="342"/>
      <c r="R397" s="342"/>
      <c r="S397" s="342"/>
      <c r="T397" s="342"/>
      <c r="U397" s="342"/>
      <c r="V397" s="342"/>
      <c r="W397" s="342"/>
      <c r="X397" s="342"/>
      <c r="Y397" s="342"/>
      <c r="Z397" s="342"/>
      <c r="AA397" s="342"/>
      <c r="AB397" s="342"/>
      <c r="AC397" s="342"/>
      <c r="AD397" s="342"/>
      <c r="AE397" s="342"/>
      <c r="AF397" s="342"/>
      <c r="AG397" s="342"/>
      <c r="AH397" s="342"/>
      <c r="AI397" s="342"/>
    </row>
    <row r="398">
      <c r="A398" s="342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  <c r="AA398" s="342"/>
      <c r="AB398" s="342"/>
      <c r="AC398" s="342"/>
      <c r="AD398" s="342"/>
      <c r="AE398" s="342"/>
      <c r="AF398" s="342"/>
      <c r="AG398" s="342"/>
      <c r="AH398" s="342"/>
      <c r="AI398" s="342"/>
    </row>
    <row r="399">
      <c r="A399" s="342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P399" s="342"/>
      <c r="Q399" s="342"/>
      <c r="R399" s="342"/>
      <c r="S399" s="342"/>
      <c r="T399" s="342"/>
      <c r="U399" s="342"/>
      <c r="V399" s="342"/>
      <c r="W399" s="342"/>
      <c r="X399" s="342"/>
      <c r="Y399" s="342"/>
      <c r="Z399" s="342"/>
      <c r="AA399" s="342"/>
      <c r="AB399" s="342"/>
      <c r="AC399" s="342"/>
      <c r="AD399" s="342"/>
      <c r="AE399" s="342"/>
      <c r="AF399" s="342"/>
      <c r="AG399" s="342"/>
      <c r="AH399" s="342"/>
      <c r="AI399" s="342"/>
    </row>
    <row r="400">
      <c r="A400" s="342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P400" s="342"/>
      <c r="Q400" s="342"/>
      <c r="R400" s="342"/>
      <c r="S400" s="342"/>
      <c r="T400" s="342"/>
      <c r="U400" s="342"/>
      <c r="V400" s="342"/>
      <c r="W400" s="342"/>
      <c r="X400" s="342"/>
      <c r="Y400" s="342"/>
      <c r="Z400" s="342"/>
      <c r="AA400" s="342"/>
      <c r="AB400" s="342"/>
      <c r="AC400" s="342"/>
      <c r="AD400" s="342"/>
      <c r="AE400" s="342"/>
      <c r="AF400" s="342"/>
      <c r="AG400" s="342"/>
      <c r="AH400" s="342"/>
      <c r="AI400" s="342"/>
    </row>
    <row r="401">
      <c r="A401" s="342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P401" s="342"/>
      <c r="Q401" s="342"/>
      <c r="R401" s="342"/>
      <c r="S401" s="342"/>
      <c r="T401" s="342"/>
      <c r="U401" s="342"/>
      <c r="V401" s="342"/>
      <c r="W401" s="342"/>
      <c r="X401" s="342"/>
      <c r="Y401" s="342"/>
      <c r="Z401" s="342"/>
      <c r="AA401" s="342"/>
      <c r="AB401" s="342"/>
      <c r="AC401" s="342"/>
      <c r="AD401" s="342"/>
      <c r="AE401" s="342"/>
      <c r="AF401" s="342"/>
      <c r="AG401" s="342"/>
      <c r="AH401" s="342"/>
      <c r="AI401" s="342"/>
    </row>
    <row r="402">
      <c r="A402" s="342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  <c r="AA402" s="342"/>
      <c r="AB402" s="342"/>
      <c r="AC402" s="342"/>
      <c r="AD402" s="342"/>
      <c r="AE402" s="342"/>
      <c r="AF402" s="342"/>
      <c r="AG402" s="342"/>
      <c r="AH402" s="342"/>
      <c r="AI402" s="342"/>
    </row>
    <row r="403">
      <c r="A403" s="342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P403" s="342"/>
      <c r="Q403" s="342"/>
      <c r="R403" s="342"/>
      <c r="S403" s="342"/>
      <c r="T403" s="342"/>
      <c r="U403" s="342"/>
      <c r="V403" s="342"/>
      <c r="W403" s="342"/>
      <c r="X403" s="342"/>
      <c r="Y403" s="342"/>
      <c r="Z403" s="342"/>
      <c r="AA403" s="342"/>
      <c r="AB403" s="342"/>
      <c r="AC403" s="342"/>
      <c r="AD403" s="342"/>
      <c r="AE403" s="342"/>
      <c r="AF403" s="342"/>
      <c r="AG403" s="342"/>
      <c r="AH403" s="342"/>
      <c r="AI403" s="342"/>
    </row>
    <row r="404">
      <c r="A404" s="342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P404" s="342"/>
      <c r="Q404" s="342"/>
      <c r="R404" s="342"/>
      <c r="S404" s="342"/>
      <c r="T404" s="342"/>
      <c r="U404" s="342"/>
      <c r="V404" s="342"/>
      <c r="W404" s="342"/>
      <c r="X404" s="342"/>
      <c r="Y404" s="342"/>
      <c r="Z404" s="342"/>
      <c r="AA404" s="342"/>
      <c r="AB404" s="342"/>
      <c r="AC404" s="342"/>
      <c r="AD404" s="342"/>
      <c r="AE404" s="342"/>
      <c r="AF404" s="342"/>
      <c r="AG404" s="342"/>
      <c r="AH404" s="342"/>
      <c r="AI404" s="342"/>
    </row>
    <row r="405">
      <c r="A405" s="342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P405" s="342"/>
      <c r="Q405" s="342"/>
      <c r="R405" s="342"/>
      <c r="S405" s="342"/>
      <c r="T405" s="342"/>
      <c r="U405" s="342"/>
      <c r="V405" s="342"/>
      <c r="W405" s="342"/>
      <c r="X405" s="342"/>
      <c r="Y405" s="342"/>
      <c r="Z405" s="342"/>
      <c r="AA405" s="342"/>
      <c r="AB405" s="342"/>
      <c r="AC405" s="342"/>
      <c r="AD405" s="342"/>
      <c r="AE405" s="342"/>
      <c r="AF405" s="342"/>
      <c r="AG405" s="342"/>
      <c r="AH405" s="342"/>
      <c r="AI405" s="342"/>
    </row>
    <row r="406">
      <c r="A406" s="342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P406" s="342"/>
      <c r="Q406" s="342"/>
      <c r="R406" s="342"/>
      <c r="S406" s="342"/>
      <c r="T406" s="342"/>
      <c r="U406" s="342"/>
      <c r="V406" s="342"/>
      <c r="W406" s="342"/>
      <c r="X406" s="342"/>
      <c r="Y406" s="342"/>
      <c r="Z406" s="342"/>
      <c r="AA406" s="342"/>
      <c r="AB406" s="342"/>
      <c r="AC406" s="342"/>
      <c r="AD406" s="342"/>
      <c r="AE406" s="342"/>
      <c r="AF406" s="342"/>
      <c r="AG406" s="342"/>
      <c r="AH406" s="342"/>
      <c r="AI406" s="342"/>
    </row>
    <row r="407">
      <c r="A407" s="342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P407" s="342"/>
      <c r="Q407" s="342"/>
      <c r="R407" s="342"/>
      <c r="S407" s="342"/>
      <c r="T407" s="342"/>
      <c r="U407" s="342"/>
      <c r="V407" s="342"/>
      <c r="W407" s="342"/>
      <c r="X407" s="342"/>
      <c r="Y407" s="342"/>
      <c r="Z407" s="342"/>
      <c r="AA407" s="342"/>
      <c r="AB407" s="342"/>
      <c r="AC407" s="342"/>
      <c r="AD407" s="342"/>
      <c r="AE407" s="342"/>
      <c r="AF407" s="342"/>
      <c r="AG407" s="342"/>
      <c r="AH407" s="342"/>
      <c r="AI407" s="342"/>
    </row>
    <row r="408">
      <c r="A408" s="342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P408" s="342"/>
      <c r="Q408" s="342"/>
      <c r="R408" s="342"/>
      <c r="S408" s="342"/>
      <c r="T408" s="342"/>
      <c r="U408" s="342"/>
      <c r="V408" s="342"/>
      <c r="W408" s="342"/>
      <c r="X408" s="342"/>
      <c r="Y408" s="342"/>
      <c r="Z408" s="342"/>
      <c r="AA408" s="342"/>
      <c r="AB408" s="342"/>
      <c r="AC408" s="342"/>
      <c r="AD408" s="342"/>
      <c r="AE408" s="342"/>
      <c r="AF408" s="342"/>
      <c r="AG408" s="342"/>
      <c r="AH408" s="342"/>
      <c r="AI408" s="342"/>
    </row>
    <row r="409">
      <c r="A409" s="342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  <c r="AA409" s="342"/>
      <c r="AB409" s="342"/>
      <c r="AC409" s="342"/>
      <c r="AD409" s="342"/>
      <c r="AE409" s="342"/>
      <c r="AF409" s="342"/>
      <c r="AG409" s="342"/>
      <c r="AH409" s="342"/>
      <c r="AI409" s="342"/>
    </row>
    <row r="410">
      <c r="A410" s="342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P410" s="342"/>
      <c r="Q410" s="342"/>
      <c r="R410" s="342"/>
      <c r="S410" s="342"/>
      <c r="T410" s="342"/>
      <c r="U410" s="342"/>
      <c r="V410" s="342"/>
      <c r="W410" s="342"/>
      <c r="X410" s="342"/>
      <c r="Y410" s="342"/>
      <c r="Z410" s="342"/>
      <c r="AA410" s="342"/>
      <c r="AB410" s="342"/>
      <c r="AC410" s="342"/>
      <c r="AD410" s="342"/>
      <c r="AE410" s="342"/>
      <c r="AF410" s="342"/>
      <c r="AG410" s="342"/>
      <c r="AH410" s="342"/>
      <c r="AI410" s="342"/>
    </row>
    <row r="411">
      <c r="A411" s="342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P411" s="342"/>
      <c r="Q411" s="342"/>
      <c r="R411" s="342"/>
      <c r="S411" s="342"/>
      <c r="T411" s="342"/>
      <c r="U411" s="342"/>
      <c r="V411" s="342"/>
      <c r="W411" s="342"/>
      <c r="X411" s="342"/>
      <c r="Y411" s="342"/>
      <c r="Z411" s="342"/>
      <c r="AA411" s="342"/>
      <c r="AB411" s="342"/>
      <c r="AC411" s="342"/>
      <c r="AD411" s="342"/>
      <c r="AE411" s="342"/>
      <c r="AF411" s="342"/>
      <c r="AG411" s="342"/>
      <c r="AH411" s="342"/>
      <c r="AI411" s="342"/>
    </row>
    <row r="412">
      <c r="A412" s="342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P412" s="342"/>
      <c r="Q412" s="342"/>
      <c r="R412" s="342"/>
      <c r="S412" s="342"/>
      <c r="T412" s="342"/>
      <c r="U412" s="342"/>
      <c r="V412" s="342"/>
      <c r="W412" s="342"/>
      <c r="X412" s="342"/>
      <c r="Y412" s="342"/>
      <c r="Z412" s="342"/>
      <c r="AA412" s="342"/>
      <c r="AB412" s="342"/>
      <c r="AC412" s="342"/>
      <c r="AD412" s="342"/>
      <c r="AE412" s="342"/>
      <c r="AF412" s="342"/>
      <c r="AG412" s="342"/>
      <c r="AH412" s="342"/>
      <c r="AI412" s="342"/>
    </row>
    <row r="413">
      <c r="A413" s="342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  <c r="AA413" s="342"/>
      <c r="AB413" s="342"/>
      <c r="AC413" s="342"/>
      <c r="AD413" s="342"/>
      <c r="AE413" s="342"/>
      <c r="AF413" s="342"/>
      <c r="AG413" s="342"/>
      <c r="AH413" s="342"/>
      <c r="AI413" s="342"/>
    </row>
    <row r="414">
      <c r="A414" s="342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P414" s="342"/>
      <c r="Q414" s="342"/>
      <c r="R414" s="342"/>
      <c r="S414" s="342"/>
      <c r="T414" s="342"/>
      <c r="U414" s="342"/>
      <c r="V414" s="342"/>
      <c r="W414" s="342"/>
      <c r="X414" s="342"/>
      <c r="Y414" s="342"/>
      <c r="Z414" s="342"/>
      <c r="AA414" s="342"/>
      <c r="AB414" s="342"/>
      <c r="AC414" s="342"/>
      <c r="AD414" s="342"/>
      <c r="AE414" s="342"/>
      <c r="AF414" s="342"/>
      <c r="AG414" s="342"/>
      <c r="AH414" s="342"/>
      <c r="AI414" s="342"/>
    </row>
    <row r="415">
      <c r="A415" s="342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P415" s="342"/>
      <c r="Q415" s="342"/>
      <c r="R415" s="342"/>
      <c r="S415" s="342"/>
      <c r="T415" s="342"/>
      <c r="U415" s="342"/>
      <c r="V415" s="342"/>
      <c r="W415" s="342"/>
      <c r="X415" s="342"/>
      <c r="Y415" s="342"/>
      <c r="Z415" s="342"/>
      <c r="AA415" s="342"/>
      <c r="AB415" s="342"/>
      <c r="AC415" s="342"/>
      <c r="AD415" s="342"/>
      <c r="AE415" s="342"/>
      <c r="AF415" s="342"/>
      <c r="AG415" s="342"/>
      <c r="AH415" s="342"/>
      <c r="AI415" s="342"/>
    </row>
    <row r="416">
      <c r="A416" s="342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P416" s="342"/>
      <c r="Q416" s="342"/>
      <c r="R416" s="342"/>
      <c r="S416" s="342"/>
      <c r="T416" s="342"/>
      <c r="U416" s="342"/>
      <c r="V416" s="342"/>
      <c r="W416" s="342"/>
      <c r="X416" s="342"/>
      <c r="Y416" s="342"/>
      <c r="Z416" s="342"/>
      <c r="AA416" s="342"/>
      <c r="AB416" s="342"/>
      <c r="AC416" s="342"/>
      <c r="AD416" s="342"/>
      <c r="AE416" s="342"/>
      <c r="AF416" s="342"/>
      <c r="AG416" s="342"/>
      <c r="AH416" s="342"/>
      <c r="AI416" s="342"/>
    </row>
    <row r="417">
      <c r="A417" s="342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P417" s="342"/>
      <c r="Q417" s="342"/>
      <c r="R417" s="342"/>
      <c r="S417" s="342"/>
      <c r="T417" s="342"/>
      <c r="U417" s="342"/>
      <c r="V417" s="342"/>
      <c r="W417" s="342"/>
      <c r="X417" s="342"/>
      <c r="Y417" s="342"/>
      <c r="Z417" s="342"/>
      <c r="AA417" s="342"/>
      <c r="AB417" s="342"/>
      <c r="AC417" s="342"/>
      <c r="AD417" s="342"/>
      <c r="AE417" s="342"/>
      <c r="AF417" s="342"/>
      <c r="AG417" s="342"/>
      <c r="AH417" s="342"/>
      <c r="AI417" s="342"/>
    </row>
    <row r="418">
      <c r="A418" s="342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P418" s="342"/>
      <c r="Q418" s="342"/>
      <c r="R418" s="342"/>
      <c r="S418" s="342"/>
      <c r="T418" s="342"/>
      <c r="U418" s="342"/>
      <c r="V418" s="342"/>
      <c r="W418" s="342"/>
      <c r="X418" s="342"/>
      <c r="Y418" s="342"/>
      <c r="Z418" s="342"/>
      <c r="AA418" s="342"/>
      <c r="AB418" s="342"/>
      <c r="AC418" s="342"/>
      <c r="AD418" s="342"/>
      <c r="AE418" s="342"/>
      <c r="AF418" s="342"/>
      <c r="AG418" s="342"/>
      <c r="AH418" s="342"/>
      <c r="AI418" s="342"/>
    </row>
    <row r="419">
      <c r="A419" s="342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P419" s="342"/>
      <c r="Q419" s="342"/>
      <c r="R419" s="342"/>
      <c r="S419" s="342"/>
      <c r="T419" s="342"/>
      <c r="U419" s="342"/>
      <c r="V419" s="342"/>
      <c r="W419" s="342"/>
      <c r="X419" s="342"/>
      <c r="Y419" s="342"/>
      <c r="Z419" s="342"/>
      <c r="AA419" s="342"/>
      <c r="AB419" s="342"/>
      <c r="AC419" s="342"/>
      <c r="AD419" s="342"/>
      <c r="AE419" s="342"/>
      <c r="AF419" s="342"/>
      <c r="AG419" s="342"/>
      <c r="AH419" s="342"/>
      <c r="AI419" s="342"/>
    </row>
    <row r="420">
      <c r="A420" s="342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P420" s="342"/>
      <c r="Q420" s="342"/>
      <c r="R420" s="342"/>
      <c r="S420" s="342"/>
      <c r="T420" s="342"/>
      <c r="U420" s="342"/>
      <c r="V420" s="342"/>
      <c r="W420" s="342"/>
      <c r="X420" s="342"/>
      <c r="Y420" s="342"/>
      <c r="Z420" s="342"/>
      <c r="AA420" s="342"/>
      <c r="AB420" s="342"/>
      <c r="AC420" s="342"/>
      <c r="AD420" s="342"/>
      <c r="AE420" s="342"/>
      <c r="AF420" s="342"/>
      <c r="AG420" s="342"/>
      <c r="AH420" s="342"/>
      <c r="AI420" s="342"/>
    </row>
    <row r="421">
      <c r="A421" s="342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P421" s="342"/>
      <c r="Q421" s="342"/>
      <c r="R421" s="342"/>
      <c r="S421" s="342"/>
      <c r="T421" s="342"/>
      <c r="U421" s="342"/>
      <c r="V421" s="342"/>
      <c r="W421" s="342"/>
      <c r="X421" s="342"/>
      <c r="Y421" s="342"/>
      <c r="Z421" s="342"/>
      <c r="AA421" s="342"/>
      <c r="AB421" s="342"/>
      <c r="AC421" s="342"/>
      <c r="AD421" s="342"/>
      <c r="AE421" s="342"/>
      <c r="AF421" s="342"/>
      <c r="AG421" s="342"/>
      <c r="AH421" s="342"/>
      <c r="AI421" s="342"/>
    </row>
    <row r="422">
      <c r="A422" s="342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P422" s="342"/>
      <c r="Q422" s="342"/>
      <c r="R422" s="342"/>
      <c r="S422" s="342"/>
      <c r="T422" s="342"/>
      <c r="U422" s="342"/>
      <c r="V422" s="342"/>
      <c r="W422" s="342"/>
      <c r="X422" s="342"/>
      <c r="Y422" s="342"/>
      <c r="Z422" s="342"/>
      <c r="AA422" s="342"/>
      <c r="AB422" s="342"/>
      <c r="AC422" s="342"/>
      <c r="AD422" s="342"/>
      <c r="AE422" s="342"/>
      <c r="AF422" s="342"/>
      <c r="AG422" s="342"/>
      <c r="AH422" s="342"/>
      <c r="AI422" s="342"/>
    </row>
    <row r="423">
      <c r="A423" s="342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P423" s="342"/>
      <c r="Q423" s="342"/>
      <c r="R423" s="342"/>
      <c r="S423" s="342"/>
      <c r="T423" s="342"/>
      <c r="U423" s="342"/>
      <c r="V423" s="342"/>
      <c r="W423" s="342"/>
      <c r="X423" s="342"/>
      <c r="Y423" s="342"/>
      <c r="Z423" s="342"/>
      <c r="AA423" s="342"/>
      <c r="AB423" s="342"/>
      <c r="AC423" s="342"/>
      <c r="AD423" s="342"/>
      <c r="AE423" s="342"/>
      <c r="AF423" s="342"/>
      <c r="AG423" s="342"/>
      <c r="AH423" s="342"/>
      <c r="AI423" s="342"/>
    </row>
    <row r="424">
      <c r="A424" s="342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2"/>
      <c r="R424" s="342"/>
      <c r="S424" s="342"/>
      <c r="T424" s="342"/>
      <c r="U424" s="342"/>
      <c r="V424" s="342"/>
      <c r="W424" s="342"/>
      <c r="X424" s="342"/>
      <c r="Y424" s="342"/>
      <c r="Z424" s="342"/>
      <c r="AA424" s="342"/>
      <c r="AB424" s="342"/>
      <c r="AC424" s="342"/>
      <c r="AD424" s="342"/>
      <c r="AE424" s="342"/>
      <c r="AF424" s="342"/>
      <c r="AG424" s="342"/>
      <c r="AH424" s="342"/>
      <c r="AI424" s="342"/>
    </row>
    <row r="425">
      <c r="A425" s="342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  <c r="AA425" s="342"/>
      <c r="AB425" s="342"/>
      <c r="AC425" s="342"/>
      <c r="AD425" s="342"/>
      <c r="AE425" s="342"/>
      <c r="AF425" s="342"/>
      <c r="AG425" s="342"/>
      <c r="AH425" s="342"/>
      <c r="AI425" s="342"/>
    </row>
    <row r="426">
      <c r="A426" s="342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P426" s="342"/>
      <c r="Q426" s="342"/>
      <c r="R426" s="342"/>
      <c r="S426" s="342"/>
      <c r="T426" s="342"/>
      <c r="U426" s="342"/>
      <c r="V426" s="342"/>
      <c r="W426" s="342"/>
      <c r="X426" s="342"/>
      <c r="Y426" s="342"/>
      <c r="Z426" s="342"/>
      <c r="AA426" s="342"/>
      <c r="AB426" s="342"/>
      <c r="AC426" s="342"/>
      <c r="AD426" s="342"/>
      <c r="AE426" s="342"/>
      <c r="AF426" s="342"/>
      <c r="AG426" s="342"/>
      <c r="AH426" s="342"/>
      <c r="AI426" s="342"/>
    </row>
    <row r="427">
      <c r="A427" s="342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P427" s="342"/>
      <c r="Q427" s="342"/>
      <c r="R427" s="342"/>
      <c r="S427" s="342"/>
      <c r="T427" s="342"/>
      <c r="U427" s="342"/>
      <c r="V427" s="342"/>
      <c r="W427" s="342"/>
      <c r="X427" s="342"/>
      <c r="Y427" s="342"/>
      <c r="Z427" s="342"/>
      <c r="AA427" s="342"/>
      <c r="AB427" s="342"/>
      <c r="AC427" s="342"/>
      <c r="AD427" s="342"/>
      <c r="AE427" s="342"/>
      <c r="AF427" s="342"/>
      <c r="AG427" s="342"/>
      <c r="AH427" s="342"/>
      <c r="AI427" s="342"/>
    </row>
    <row r="428">
      <c r="A428" s="342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P428" s="342"/>
      <c r="Q428" s="342"/>
      <c r="R428" s="342"/>
      <c r="S428" s="342"/>
      <c r="T428" s="342"/>
      <c r="U428" s="342"/>
      <c r="V428" s="342"/>
      <c r="W428" s="342"/>
      <c r="X428" s="342"/>
      <c r="Y428" s="342"/>
      <c r="Z428" s="342"/>
      <c r="AA428" s="342"/>
      <c r="AB428" s="342"/>
      <c r="AC428" s="342"/>
      <c r="AD428" s="342"/>
      <c r="AE428" s="342"/>
      <c r="AF428" s="342"/>
      <c r="AG428" s="342"/>
      <c r="AH428" s="342"/>
      <c r="AI428" s="342"/>
    </row>
    <row r="429">
      <c r="A429" s="342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P429" s="342"/>
      <c r="Q429" s="342"/>
      <c r="R429" s="342"/>
      <c r="S429" s="342"/>
      <c r="T429" s="342"/>
      <c r="U429" s="342"/>
      <c r="V429" s="342"/>
      <c r="W429" s="342"/>
      <c r="X429" s="342"/>
      <c r="Y429" s="342"/>
      <c r="Z429" s="342"/>
      <c r="AA429" s="342"/>
      <c r="AB429" s="342"/>
      <c r="AC429" s="342"/>
      <c r="AD429" s="342"/>
      <c r="AE429" s="342"/>
      <c r="AF429" s="342"/>
      <c r="AG429" s="342"/>
      <c r="AH429" s="342"/>
      <c r="AI429" s="342"/>
    </row>
    <row r="430">
      <c r="A430" s="342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P430" s="342"/>
      <c r="Q430" s="342"/>
      <c r="R430" s="342"/>
      <c r="S430" s="342"/>
      <c r="T430" s="342"/>
      <c r="U430" s="342"/>
      <c r="V430" s="342"/>
      <c r="W430" s="342"/>
      <c r="X430" s="342"/>
      <c r="Y430" s="342"/>
      <c r="Z430" s="342"/>
      <c r="AA430" s="342"/>
      <c r="AB430" s="342"/>
      <c r="AC430" s="342"/>
      <c r="AD430" s="342"/>
      <c r="AE430" s="342"/>
      <c r="AF430" s="342"/>
      <c r="AG430" s="342"/>
      <c r="AH430" s="342"/>
      <c r="AI430" s="342"/>
    </row>
    <row r="431">
      <c r="A431" s="342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P431" s="342"/>
      <c r="Q431" s="342"/>
      <c r="R431" s="342"/>
      <c r="S431" s="342"/>
      <c r="T431" s="342"/>
      <c r="U431" s="342"/>
      <c r="V431" s="342"/>
      <c r="W431" s="342"/>
      <c r="X431" s="342"/>
      <c r="Y431" s="342"/>
      <c r="Z431" s="342"/>
      <c r="AA431" s="342"/>
      <c r="AB431" s="342"/>
      <c r="AC431" s="342"/>
      <c r="AD431" s="342"/>
      <c r="AE431" s="342"/>
      <c r="AF431" s="342"/>
      <c r="AG431" s="342"/>
      <c r="AH431" s="342"/>
      <c r="AI431" s="342"/>
    </row>
    <row r="432">
      <c r="A432" s="342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P432" s="342"/>
      <c r="Q432" s="342"/>
      <c r="R432" s="342"/>
      <c r="S432" s="342"/>
      <c r="T432" s="342"/>
      <c r="U432" s="342"/>
      <c r="V432" s="342"/>
      <c r="W432" s="342"/>
      <c r="X432" s="342"/>
      <c r="Y432" s="342"/>
      <c r="Z432" s="342"/>
      <c r="AA432" s="342"/>
      <c r="AB432" s="342"/>
      <c r="AC432" s="342"/>
      <c r="AD432" s="342"/>
      <c r="AE432" s="342"/>
      <c r="AF432" s="342"/>
      <c r="AG432" s="342"/>
      <c r="AH432" s="342"/>
      <c r="AI432" s="342"/>
    </row>
    <row r="433">
      <c r="A433" s="342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P433" s="342"/>
      <c r="Q433" s="342"/>
      <c r="R433" s="342"/>
      <c r="S433" s="342"/>
      <c r="T433" s="342"/>
      <c r="U433" s="342"/>
      <c r="V433" s="342"/>
      <c r="W433" s="342"/>
      <c r="X433" s="342"/>
      <c r="Y433" s="342"/>
      <c r="Z433" s="342"/>
      <c r="AA433" s="342"/>
      <c r="AB433" s="342"/>
      <c r="AC433" s="342"/>
      <c r="AD433" s="342"/>
      <c r="AE433" s="342"/>
      <c r="AF433" s="342"/>
      <c r="AG433" s="342"/>
      <c r="AH433" s="342"/>
      <c r="AI433" s="342"/>
    </row>
    <row r="434">
      <c r="A434" s="342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  <c r="AA434" s="342"/>
      <c r="AB434" s="342"/>
      <c r="AC434" s="342"/>
      <c r="AD434" s="342"/>
      <c r="AE434" s="342"/>
      <c r="AF434" s="342"/>
      <c r="AG434" s="342"/>
      <c r="AH434" s="342"/>
      <c r="AI434" s="342"/>
    </row>
    <row r="435">
      <c r="A435" s="342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  <c r="AA435" s="342"/>
      <c r="AB435" s="342"/>
      <c r="AC435" s="342"/>
      <c r="AD435" s="342"/>
      <c r="AE435" s="342"/>
      <c r="AF435" s="342"/>
      <c r="AG435" s="342"/>
      <c r="AH435" s="342"/>
      <c r="AI435" s="342"/>
    </row>
    <row r="436">
      <c r="A436" s="342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  <c r="AA436" s="342"/>
      <c r="AB436" s="342"/>
      <c r="AC436" s="342"/>
      <c r="AD436" s="342"/>
      <c r="AE436" s="342"/>
      <c r="AF436" s="342"/>
      <c r="AG436" s="342"/>
      <c r="AH436" s="342"/>
      <c r="AI436" s="342"/>
    </row>
    <row r="437">
      <c r="A437" s="342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  <c r="AA437" s="342"/>
      <c r="AB437" s="342"/>
      <c r="AC437" s="342"/>
      <c r="AD437" s="342"/>
      <c r="AE437" s="342"/>
      <c r="AF437" s="342"/>
      <c r="AG437" s="342"/>
      <c r="AH437" s="342"/>
      <c r="AI437" s="342"/>
    </row>
    <row r="438">
      <c r="A438" s="342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P438" s="342"/>
      <c r="Q438" s="342"/>
      <c r="R438" s="342"/>
      <c r="S438" s="342"/>
      <c r="T438" s="342"/>
      <c r="U438" s="342"/>
      <c r="V438" s="342"/>
      <c r="W438" s="342"/>
      <c r="X438" s="342"/>
      <c r="Y438" s="342"/>
      <c r="Z438" s="342"/>
      <c r="AA438" s="342"/>
      <c r="AB438" s="342"/>
      <c r="AC438" s="342"/>
      <c r="AD438" s="342"/>
      <c r="AE438" s="342"/>
      <c r="AF438" s="342"/>
      <c r="AG438" s="342"/>
      <c r="AH438" s="342"/>
      <c r="AI438" s="342"/>
    </row>
    <row r="439">
      <c r="A439" s="342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P439" s="342"/>
      <c r="Q439" s="342"/>
      <c r="R439" s="342"/>
      <c r="S439" s="342"/>
      <c r="T439" s="342"/>
      <c r="U439" s="342"/>
      <c r="V439" s="342"/>
      <c r="W439" s="342"/>
      <c r="X439" s="342"/>
      <c r="Y439" s="342"/>
      <c r="Z439" s="342"/>
      <c r="AA439" s="342"/>
      <c r="AB439" s="342"/>
      <c r="AC439" s="342"/>
      <c r="AD439" s="342"/>
      <c r="AE439" s="342"/>
      <c r="AF439" s="342"/>
      <c r="AG439" s="342"/>
      <c r="AH439" s="342"/>
      <c r="AI439" s="342"/>
    </row>
    <row r="440">
      <c r="A440" s="342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  <c r="AA440" s="342"/>
      <c r="AB440" s="342"/>
      <c r="AC440" s="342"/>
      <c r="AD440" s="342"/>
      <c r="AE440" s="342"/>
      <c r="AF440" s="342"/>
      <c r="AG440" s="342"/>
      <c r="AH440" s="342"/>
      <c r="AI440" s="342"/>
    </row>
    <row r="441">
      <c r="A441" s="342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P441" s="342"/>
      <c r="Q441" s="342"/>
      <c r="R441" s="342"/>
      <c r="S441" s="342"/>
      <c r="T441" s="342"/>
      <c r="U441" s="342"/>
      <c r="V441" s="342"/>
      <c r="W441" s="342"/>
      <c r="X441" s="342"/>
      <c r="Y441" s="342"/>
      <c r="Z441" s="342"/>
      <c r="AA441" s="342"/>
      <c r="AB441" s="342"/>
      <c r="AC441" s="342"/>
      <c r="AD441" s="342"/>
      <c r="AE441" s="342"/>
      <c r="AF441" s="342"/>
      <c r="AG441" s="342"/>
      <c r="AH441" s="342"/>
      <c r="AI441" s="342"/>
    </row>
    <row r="442">
      <c r="A442" s="342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P442" s="342"/>
      <c r="Q442" s="342"/>
      <c r="R442" s="342"/>
      <c r="S442" s="342"/>
      <c r="T442" s="342"/>
      <c r="U442" s="342"/>
      <c r="V442" s="342"/>
      <c r="W442" s="342"/>
      <c r="X442" s="342"/>
      <c r="Y442" s="342"/>
      <c r="Z442" s="342"/>
      <c r="AA442" s="342"/>
      <c r="AB442" s="342"/>
      <c r="AC442" s="342"/>
      <c r="AD442" s="342"/>
      <c r="AE442" s="342"/>
      <c r="AF442" s="342"/>
      <c r="AG442" s="342"/>
      <c r="AH442" s="342"/>
      <c r="AI442" s="342"/>
    </row>
    <row r="443">
      <c r="A443" s="342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P443" s="342"/>
      <c r="Q443" s="342"/>
      <c r="R443" s="342"/>
      <c r="S443" s="342"/>
      <c r="T443" s="342"/>
      <c r="U443" s="342"/>
      <c r="V443" s="342"/>
      <c r="W443" s="342"/>
      <c r="X443" s="342"/>
      <c r="Y443" s="342"/>
      <c r="Z443" s="342"/>
      <c r="AA443" s="342"/>
      <c r="AB443" s="342"/>
      <c r="AC443" s="342"/>
      <c r="AD443" s="342"/>
      <c r="AE443" s="342"/>
      <c r="AF443" s="342"/>
      <c r="AG443" s="342"/>
      <c r="AH443" s="342"/>
      <c r="AI443" s="342"/>
    </row>
    <row r="444">
      <c r="A444" s="342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P444" s="342"/>
      <c r="Q444" s="342"/>
      <c r="R444" s="342"/>
      <c r="S444" s="342"/>
      <c r="T444" s="342"/>
      <c r="U444" s="342"/>
      <c r="V444" s="342"/>
      <c r="W444" s="342"/>
      <c r="X444" s="342"/>
      <c r="Y444" s="342"/>
      <c r="Z444" s="342"/>
      <c r="AA444" s="342"/>
      <c r="AB444" s="342"/>
      <c r="AC444" s="342"/>
      <c r="AD444" s="342"/>
      <c r="AE444" s="342"/>
      <c r="AF444" s="342"/>
      <c r="AG444" s="342"/>
      <c r="AH444" s="342"/>
      <c r="AI444" s="342"/>
    </row>
    <row r="445">
      <c r="A445" s="342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2"/>
      <c r="Y445" s="342"/>
      <c r="Z445" s="342"/>
      <c r="AA445" s="342"/>
      <c r="AB445" s="342"/>
      <c r="AC445" s="342"/>
      <c r="AD445" s="342"/>
      <c r="AE445" s="342"/>
      <c r="AF445" s="342"/>
      <c r="AG445" s="342"/>
      <c r="AH445" s="342"/>
      <c r="AI445" s="342"/>
    </row>
    <row r="446">
      <c r="A446" s="342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P446" s="342"/>
      <c r="Q446" s="342"/>
      <c r="R446" s="342"/>
      <c r="S446" s="342"/>
      <c r="T446" s="342"/>
      <c r="U446" s="342"/>
      <c r="V446" s="342"/>
      <c r="W446" s="342"/>
      <c r="X446" s="342"/>
      <c r="Y446" s="342"/>
      <c r="Z446" s="342"/>
      <c r="AA446" s="342"/>
      <c r="AB446" s="342"/>
      <c r="AC446" s="342"/>
      <c r="AD446" s="342"/>
      <c r="AE446" s="342"/>
      <c r="AF446" s="342"/>
      <c r="AG446" s="342"/>
      <c r="AH446" s="342"/>
      <c r="AI446" s="342"/>
    </row>
    <row r="447">
      <c r="A447" s="342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P447" s="342"/>
      <c r="Q447" s="342"/>
      <c r="R447" s="342"/>
      <c r="S447" s="342"/>
      <c r="T447" s="342"/>
      <c r="U447" s="342"/>
      <c r="V447" s="342"/>
      <c r="W447" s="342"/>
      <c r="X447" s="342"/>
      <c r="Y447" s="342"/>
      <c r="Z447" s="342"/>
      <c r="AA447" s="342"/>
      <c r="AB447" s="342"/>
      <c r="AC447" s="342"/>
      <c r="AD447" s="342"/>
      <c r="AE447" s="342"/>
      <c r="AF447" s="342"/>
      <c r="AG447" s="342"/>
      <c r="AH447" s="342"/>
      <c r="AI447" s="342"/>
    </row>
    <row r="448">
      <c r="A448" s="342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P448" s="342"/>
      <c r="Q448" s="342"/>
      <c r="R448" s="342"/>
      <c r="S448" s="342"/>
      <c r="T448" s="342"/>
      <c r="U448" s="342"/>
      <c r="V448" s="342"/>
      <c r="W448" s="342"/>
      <c r="X448" s="342"/>
      <c r="Y448" s="342"/>
      <c r="Z448" s="342"/>
      <c r="AA448" s="342"/>
      <c r="AB448" s="342"/>
      <c r="AC448" s="342"/>
      <c r="AD448" s="342"/>
      <c r="AE448" s="342"/>
      <c r="AF448" s="342"/>
      <c r="AG448" s="342"/>
      <c r="AH448" s="342"/>
      <c r="AI448" s="342"/>
    </row>
    <row r="449">
      <c r="A449" s="342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  <c r="AA449" s="342"/>
      <c r="AB449" s="342"/>
      <c r="AC449" s="342"/>
      <c r="AD449" s="342"/>
      <c r="AE449" s="342"/>
      <c r="AF449" s="342"/>
      <c r="AG449" s="342"/>
      <c r="AH449" s="342"/>
      <c r="AI449" s="342"/>
    </row>
    <row r="450">
      <c r="A450" s="342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P450" s="342"/>
      <c r="Q450" s="342"/>
      <c r="R450" s="342"/>
      <c r="S450" s="342"/>
      <c r="T450" s="342"/>
      <c r="U450" s="342"/>
      <c r="V450" s="342"/>
      <c r="W450" s="342"/>
      <c r="X450" s="342"/>
      <c r="Y450" s="342"/>
      <c r="Z450" s="342"/>
      <c r="AA450" s="342"/>
      <c r="AB450" s="342"/>
      <c r="AC450" s="342"/>
      <c r="AD450" s="342"/>
      <c r="AE450" s="342"/>
      <c r="AF450" s="342"/>
      <c r="AG450" s="342"/>
      <c r="AH450" s="342"/>
      <c r="AI450" s="342"/>
    </row>
    <row r="451">
      <c r="A451" s="342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P451" s="342"/>
      <c r="Q451" s="342"/>
      <c r="R451" s="342"/>
      <c r="S451" s="342"/>
      <c r="T451" s="342"/>
      <c r="U451" s="342"/>
      <c r="V451" s="342"/>
      <c r="W451" s="342"/>
      <c r="X451" s="342"/>
      <c r="Y451" s="342"/>
      <c r="Z451" s="342"/>
      <c r="AA451" s="342"/>
      <c r="AB451" s="342"/>
      <c r="AC451" s="342"/>
      <c r="AD451" s="342"/>
      <c r="AE451" s="342"/>
      <c r="AF451" s="342"/>
      <c r="AG451" s="342"/>
      <c r="AH451" s="342"/>
      <c r="AI451" s="342"/>
    </row>
    <row r="452">
      <c r="A452" s="342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P452" s="342"/>
      <c r="Q452" s="342"/>
      <c r="R452" s="342"/>
      <c r="S452" s="342"/>
      <c r="T452" s="342"/>
      <c r="U452" s="342"/>
      <c r="V452" s="342"/>
      <c r="W452" s="342"/>
      <c r="X452" s="342"/>
      <c r="Y452" s="342"/>
      <c r="Z452" s="342"/>
      <c r="AA452" s="342"/>
      <c r="AB452" s="342"/>
      <c r="AC452" s="342"/>
      <c r="AD452" s="342"/>
      <c r="AE452" s="342"/>
      <c r="AF452" s="342"/>
      <c r="AG452" s="342"/>
      <c r="AH452" s="342"/>
      <c r="AI452" s="342"/>
    </row>
    <row r="453">
      <c r="A453" s="342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P453" s="342"/>
      <c r="Q453" s="342"/>
      <c r="R453" s="342"/>
      <c r="S453" s="342"/>
      <c r="T453" s="342"/>
      <c r="U453" s="342"/>
      <c r="V453" s="342"/>
      <c r="W453" s="342"/>
      <c r="X453" s="342"/>
      <c r="Y453" s="342"/>
      <c r="Z453" s="342"/>
      <c r="AA453" s="342"/>
      <c r="AB453" s="342"/>
      <c r="AC453" s="342"/>
      <c r="AD453" s="342"/>
      <c r="AE453" s="342"/>
      <c r="AF453" s="342"/>
      <c r="AG453" s="342"/>
      <c r="AH453" s="342"/>
      <c r="AI453" s="342"/>
    </row>
    <row r="454">
      <c r="A454" s="342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P454" s="342"/>
      <c r="Q454" s="342"/>
      <c r="R454" s="342"/>
      <c r="S454" s="342"/>
      <c r="T454" s="342"/>
      <c r="U454" s="342"/>
      <c r="V454" s="342"/>
      <c r="W454" s="342"/>
      <c r="X454" s="342"/>
      <c r="Y454" s="342"/>
      <c r="Z454" s="342"/>
      <c r="AA454" s="342"/>
      <c r="AB454" s="342"/>
      <c r="AC454" s="342"/>
      <c r="AD454" s="342"/>
      <c r="AE454" s="342"/>
      <c r="AF454" s="342"/>
      <c r="AG454" s="342"/>
      <c r="AH454" s="342"/>
      <c r="AI454" s="342"/>
    </row>
    <row r="455">
      <c r="A455" s="342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2"/>
      <c r="Y455" s="342"/>
      <c r="Z455" s="342"/>
      <c r="AA455" s="342"/>
      <c r="AB455" s="342"/>
      <c r="AC455" s="342"/>
      <c r="AD455" s="342"/>
      <c r="AE455" s="342"/>
      <c r="AF455" s="342"/>
      <c r="AG455" s="342"/>
      <c r="AH455" s="342"/>
      <c r="AI455" s="342"/>
    </row>
    <row r="456">
      <c r="A456" s="342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P456" s="342"/>
      <c r="Q456" s="342"/>
      <c r="R456" s="342"/>
      <c r="S456" s="342"/>
      <c r="T456" s="342"/>
      <c r="U456" s="342"/>
      <c r="V456" s="342"/>
      <c r="W456" s="342"/>
      <c r="X456" s="342"/>
      <c r="Y456" s="342"/>
      <c r="Z456" s="342"/>
      <c r="AA456" s="342"/>
      <c r="AB456" s="342"/>
      <c r="AC456" s="342"/>
      <c r="AD456" s="342"/>
      <c r="AE456" s="342"/>
      <c r="AF456" s="342"/>
      <c r="AG456" s="342"/>
      <c r="AH456" s="342"/>
      <c r="AI456" s="342"/>
    </row>
    <row r="457">
      <c r="A457" s="342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P457" s="342"/>
      <c r="Q457" s="342"/>
      <c r="R457" s="342"/>
      <c r="S457" s="342"/>
      <c r="T457" s="342"/>
      <c r="U457" s="342"/>
      <c r="V457" s="342"/>
      <c r="W457" s="342"/>
      <c r="X457" s="342"/>
      <c r="Y457" s="342"/>
      <c r="Z457" s="342"/>
      <c r="AA457" s="342"/>
      <c r="AB457" s="342"/>
      <c r="AC457" s="342"/>
      <c r="AD457" s="342"/>
      <c r="AE457" s="342"/>
      <c r="AF457" s="342"/>
      <c r="AG457" s="342"/>
      <c r="AH457" s="342"/>
      <c r="AI457" s="342"/>
    </row>
    <row r="458">
      <c r="A458" s="342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P458" s="342"/>
      <c r="Q458" s="342"/>
      <c r="R458" s="342"/>
      <c r="S458" s="342"/>
      <c r="T458" s="342"/>
      <c r="U458" s="342"/>
      <c r="V458" s="342"/>
      <c r="W458" s="342"/>
      <c r="X458" s="342"/>
      <c r="Y458" s="342"/>
      <c r="Z458" s="342"/>
      <c r="AA458" s="342"/>
      <c r="AB458" s="342"/>
      <c r="AC458" s="342"/>
      <c r="AD458" s="342"/>
      <c r="AE458" s="342"/>
      <c r="AF458" s="342"/>
      <c r="AG458" s="342"/>
      <c r="AH458" s="342"/>
      <c r="AI458" s="342"/>
    </row>
    <row r="459">
      <c r="A459" s="342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P459" s="342"/>
      <c r="Q459" s="342"/>
      <c r="R459" s="342"/>
      <c r="S459" s="342"/>
      <c r="T459" s="342"/>
      <c r="U459" s="342"/>
      <c r="V459" s="342"/>
      <c r="W459" s="342"/>
      <c r="X459" s="342"/>
      <c r="Y459" s="342"/>
      <c r="Z459" s="342"/>
      <c r="AA459" s="342"/>
      <c r="AB459" s="342"/>
      <c r="AC459" s="342"/>
      <c r="AD459" s="342"/>
      <c r="AE459" s="342"/>
      <c r="AF459" s="342"/>
      <c r="AG459" s="342"/>
      <c r="AH459" s="342"/>
      <c r="AI459" s="342"/>
    </row>
    <row r="460">
      <c r="A460" s="342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2"/>
      <c r="R460" s="342"/>
      <c r="S460" s="342"/>
      <c r="T460" s="342"/>
      <c r="U460" s="342"/>
      <c r="V460" s="342"/>
      <c r="W460" s="342"/>
      <c r="X460" s="342"/>
      <c r="Y460" s="342"/>
      <c r="Z460" s="342"/>
      <c r="AA460" s="342"/>
      <c r="AB460" s="342"/>
      <c r="AC460" s="342"/>
      <c r="AD460" s="342"/>
      <c r="AE460" s="342"/>
      <c r="AF460" s="342"/>
      <c r="AG460" s="342"/>
      <c r="AH460" s="342"/>
      <c r="AI460" s="342"/>
    </row>
    <row r="461">
      <c r="A461" s="342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P461" s="342"/>
      <c r="Q461" s="342"/>
      <c r="R461" s="342"/>
      <c r="S461" s="342"/>
      <c r="T461" s="342"/>
      <c r="U461" s="342"/>
      <c r="V461" s="342"/>
      <c r="W461" s="342"/>
      <c r="X461" s="342"/>
      <c r="Y461" s="342"/>
      <c r="Z461" s="342"/>
      <c r="AA461" s="342"/>
      <c r="AB461" s="342"/>
      <c r="AC461" s="342"/>
      <c r="AD461" s="342"/>
      <c r="AE461" s="342"/>
      <c r="AF461" s="342"/>
      <c r="AG461" s="342"/>
      <c r="AH461" s="342"/>
      <c r="AI461" s="342"/>
    </row>
    <row r="462">
      <c r="A462" s="342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P462" s="342"/>
      <c r="Q462" s="342"/>
      <c r="R462" s="342"/>
      <c r="S462" s="342"/>
      <c r="T462" s="342"/>
      <c r="U462" s="342"/>
      <c r="V462" s="342"/>
      <c r="W462" s="342"/>
      <c r="X462" s="342"/>
      <c r="Y462" s="342"/>
      <c r="Z462" s="342"/>
      <c r="AA462" s="342"/>
      <c r="AB462" s="342"/>
      <c r="AC462" s="342"/>
      <c r="AD462" s="342"/>
      <c r="AE462" s="342"/>
      <c r="AF462" s="342"/>
      <c r="AG462" s="342"/>
      <c r="AH462" s="342"/>
      <c r="AI462" s="342"/>
    </row>
    <row r="463">
      <c r="A463" s="342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2"/>
      <c r="Y463" s="342"/>
      <c r="Z463" s="342"/>
      <c r="AA463" s="342"/>
      <c r="AB463" s="342"/>
      <c r="AC463" s="342"/>
      <c r="AD463" s="342"/>
      <c r="AE463" s="342"/>
      <c r="AF463" s="342"/>
      <c r="AG463" s="342"/>
      <c r="AH463" s="342"/>
      <c r="AI463" s="342"/>
    </row>
    <row r="464">
      <c r="A464" s="342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P464" s="342"/>
      <c r="Q464" s="342"/>
      <c r="R464" s="342"/>
      <c r="S464" s="342"/>
      <c r="T464" s="342"/>
      <c r="U464" s="342"/>
      <c r="V464" s="342"/>
      <c r="W464" s="342"/>
      <c r="X464" s="342"/>
      <c r="Y464" s="342"/>
      <c r="Z464" s="342"/>
      <c r="AA464" s="342"/>
      <c r="AB464" s="342"/>
      <c r="AC464" s="342"/>
      <c r="AD464" s="342"/>
      <c r="AE464" s="342"/>
      <c r="AF464" s="342"/>
      <c r="AG464" s="342"/>
      <c r="AH464" s="342"/>
      <c r="AI464" s="342"/>
    </row>
    <row r="465">
      <c r="A465" s="342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2"/>
      <c r="Y465" s="342"/>
      <c r="Z465" s="342"/>
      <c r="AA465" s="342"/>
      <c r="AB465" s="342"/>
      <c r="AC465" s="342"/>
      <c r="AD465" s="342"/>
      <c r="AE465" s="342"/>
      <c r="AF465" s="342"/>
      <c r="AG465" s="342"/>
      <c r="AH465" s="342"/>
      <c r="AI465" s="342"/>
    </row>
    <row r="466">
      <c r="A466" s="342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P466" s="342"/>
      <c r="Q466" s="342"/>
      <c r="R466" s="342"/>
      <c r="S466" s="342"/>
      <c r="T466" s="342"/>
      <c r="U466" s="342"/>
      <c r="V466" s="342"/>
      <c r="W466" s="342"/>
      <c r="X466" s="342"/>
      <c r="Y466" s="342"/>
      <c r="Z466" s="342"/>
      <c r="AA466" s="342"/>
      <c r="AB466" s="342"/>
      <c r="AC466" s="342"/>
      <c r="AD466" s="342"/>
      <c r="AE466" s="342"/>
      <c r="AF466" s="342"/>
      <c r="AG466" s="342"/>
      <c r="AH466" s="342"/>
      <c r="AI466" s="342"/>
    </row>
    <row r="467">
      <c r="A467" s="342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P467" s="342"/>
      <c r="Q467" s="342"/>
      <c r="R467" s="342"/>
      <c r="S467" s="342"/>
      <c r="T467" s="342"/>
      <c r="U467" s="342"/>
      <c r="V467" s="342"/>
      <c r="W467" s="342"/>
      <c r="X467" s="342"/>
      <c r="Y467" s="342"/>
      <c r="Z467" s="342"/>
      <c r="AA467" s="342"/>
      <c r="AB467" s="342"/>
      <c r="AC467" s="342"/>
      <c r="AD467" s="342"/>
      <c r="AE467" s="342"/>
      <c r="AF467" s="342"/>
      <c r="AG467" s="342"/>
      <c r="AH467" s="342"/>
      <c r="AI467" s="342"/>
    </row>
    <row r="468">
      <c r="A468" s="342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  <c r="AA468" s="342"/>
      <c r="AB468" s="342"/>
      <c r="AC468" s="342"/>
      <c r="AD468" s="342"/>
      <c r="AE468" s="342"/>
      <c r="AF468" s="342"/>
      <c r="AG468" s="342"/>
      <c r="AH468" s="342"/>
      <c r="AI468" s="342"/>
    </row>
    <row r="469">
      <c r="A469" s="342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P469" s="342"/>
      <c r="Q469" s="342"/>
      <c r="R469" s="342"/>
      <c r="S469" s="342"/>
      <c r="T469" s="342"/>
      <c r="U469" s="342"/>
      <c r="V469" s="342"/>
      <c r="W469" s="342"/>
      <c r="X469" s="342"/>
      <c r="Y469" s="342"/>
      <c r="Z469" s="342"/>
      <c r="AA469" s="342"/>
      <c r="AB469" s="342"/>
      <c r="AC469" s="342"/>
      <c r="AD469" s="342"/>
      <c r="AE469" s="342"/>
      <c r="AF469" s="342"/>
      <c r="AG469" s="342"/>
      <c r="AH469" s="342"/>
      <c r="AI469" s="342"/>
    </row>
    <row r="470">
      <c r="A470" s="342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P470" s="342"/>
      <c r="Q470" s="342"/>
      <c r="R470" s="342"/>
      <c r="S470" s="342"/>
      <c r="T470" s="342"/>
      <c r="U470" s="342"/>
      <c r="V470" s="342"/>
      <c r="W470" s="342"/>
      <c r="X470" s="342"/>
      <c r="Y470" s="342"/>
      <c r="Z470" s="342"/>
      <c r="AA470" s="342"/>
      <c r="AB470" s="342"/>
      <c r="AC470" s="342"/>
      <c r="AD470" s="342"/>
      <c r="AE470" s="342"/>
      <c r="AF470" s="342"/>
      <c r="AG470" s="342"/>
      <c r="AH470" s="342"/>
      <c r="AI470" s="342"/>
    </row>
    <row r="471">
      <c r="A471" s="342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P471" s="342"/>
      <c r="Q471" s="342"/>
      <c r="R471" s="342"/>
      <c r="S471" s="342"/>
      <c r="T471" s="342"/>
      <c r="U471" s="342"/>
      <c r="V471" s="342"/>
      <c r="W471" s="342"/>
      <c r="X471" s="342"/>
      <c r="Y471" s="342"/>
      <c r="Z471" s="342"/>
      <c r="AA471" s="342"/>
      <c r="AB471" s="342"/>
      <c r="AC471" s="342"/>
      <c r="AD471" s="342"/>
      <c r="AE471" s="342"/>
      <c r="AF471" s="342"/>
      <c r="AG471" s="342"/>
      <c r="AH471" s="342"/>
      <c r="AI471" s="342"/>
    </row>
    <row r="472">
      <c r="A472" s="342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P472" s="342"/>
      <c r="Q472" s="342"/>
      <c r="R472" s="342"/>
      <c r="S472" s="342"/>
      <c r="T472" s="342"/>
      <c r="U472" s="342"/>
      <c r="V472" s="342"/>
      <c r="W472" s="342"/>
      <c r="X472" s="342"/>
      <c r="Y472" s="342"/>
      <c r="Z472" s="342"/>
      <c r="AA472" s="342"/>
      <c r="AB472" s="342"/>
      <c r="AC472" s="342"/>
      <c r="AD472" s="342"/>
      <c r="AE472" s="342"/>
      <c r="AF472" s="342"/>
      <c r="AG472" s="342"/>
      <c r="AH472" s="342"/>
      <c r="AI472" s="342"/>
    </row>
    <row r="473">
      <c r="A473" s="342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P473" s="342"/>
      <c r="Q473" s="342"/>
      <c r="R473" s="342"/>
      <c r="S473" s="342"/>
      <c r="T473" s="342"/>
      <c r="U473" s="342"/>
      <c r="V473" s="342"/>
      <c r="W473" s="342"/>
      <c r="X473" s="342"/>
      <c r="Y473" s="342"/>
      <c r="Z473" s="342"/>
      <c r="AA473" s="342"/>
      <c r="AB473" s="342"/>
      <c r="AC473" s="342"/>
      <c r="AD473" s="342"/>
      <c r="AE473" s="342"/>
      <c r="AF473" s="342"/>
      <c r="AG473" s="342"/>
      <c r="AH473" s="342"/>
      <c r="AI473" s="342"/>
    </row>
    <row r="474">
      <c r="A474" s="342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P474" s="342"/>
      <c r="Q474" s="342"/>
      <c r="R474" s="342"/>
      <c r="S474" s="342"/>
      <c r="T474" s="342"/>
      <c r="U474" s="342"/>
      <c r="V474" s="342"/>
      <c r="W474" s="342"/>
      <c r="X474" s="342"/>
      <c r="Y474" s="342"/>
      <c r="Z474" s="342"/>
      <c r="AA474" s="342"/>
      <c r="AB474" s="342"/>
      <c r="AC474" s="342"/>
      <c r="AD474" s="342"/>
      <c r="AE474" s="342"/>
      <c r="AF474" s="342"/>
      <c r="AG474" s="342"/>
      <c r="AH474" s="342"/>
      <c r="AI474" s="342"/>
    </row>
    <row r="475">
      <c r="A475" s="342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P475" s="342"/>
      <c r="Q475" s="342"/>
      <c r="R475" s="342"/>
      <c r="S475" s="342"/>
      <c r="T475" s="342"/>
      <c r="U475" s="342"/>
      <c r="V475" s="342"/>
      <c r="W475" s="342"/>
      <c r="X475" s="342"/>
      <c r="Y475" s="342"/>
      <c r="Z475" s="342"/>
      <c r="AA475" s="342"/>
      <c r="AB475" s="342"/>
      <c r="AC475" s="342"/>
      <c r="AD475" s="342"/>
      <c r="AE475" s="342"/>
      <c r="AF475" s="342"/>
      <c r="AG475" s="342"/>
      <c r="AH475" s="342"/>
      <c r="AI475" s="342"/>
    </row>
    <row r="476">
      <c r="A476" s="342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P476" s="342"/>
      <c r="Q476" s="342"/>
      <c r="R476" s="342"/>
      <c r="S476" s="342"/>
      <c r="T476" s="342"/>
      <c r="U476" s="342"/>
      <c r="V476" s="342"/>
      <c r="W476" s="342"/>
      <c r="X476" s="342"/>
      <c r="Y476" s="342"/>
      <c r="Z476" s="342"/>
      <c r="AA476" s="342"/>
      <c r="AB476" s="342"/>
      <c r="AC476" s="342"/>
      <c r="AD476" s="342"/>
      <c r="AE476" s="342"/>
      <c r="AF476" s="342"/>
      <c r="AG476" s="342"/>
      <c r="AH476" s="342"/>
      <c r="AI476" s="342"/>
    </row>
    <row r="477">
      <c r="A477" s="342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P477" s="342"/>
      <c r="Q477" s="342"/>
      <c r="R477" s="342"/>
      <c r="S477" s="342"/>
      <c r="T477" s="342"/>
      <c r="U477" s="342"/>
      <c r="V477" s="342"/>
      <c r="W477" s="342"/>
      <c r="X477" s="342"/>
      <c r="Y477" s="342"/>
      <c r="Z477" s="342"/>
      <c r="AA477" s="342"/>
      <c r="AB477" s="342"/>
      <c r="AC477" s="342"/>
      <c r="AD477" s="342"/>
      <c r="AE477" s="342"/>
      <c r="AF477" s="342"/>
      <c r="AG477" s="342"/>
      <c r="AH477" s="342"/>
      <c r="AI477" s="342"/>
    </row>
    <row r="478">
      <c r="A478" s="342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P478" s="342"/>
      <c r="Q478" s="342"/>
      <c r="R478" s="342"/>
      <c r="S478" s="342"/>
      <c r="T478" s="342"/>
      <c r="U478" s="342"/>
      <c r="V478" s="342"/>
      <c r="W478" s="342"/>
      <c r="X478" s="342"/>
      <c r="Y478" s="342"/>
      <c r="Z478" s="342"/>
      <c r="AA478" s="342"/>
      <c r="AB478" s="342"/>
      <c r="AC478" s="342"/>
      <c r="AD478" s="342"/>
      <c r="AE478" s="342"/>
      <c r="AF478" s="342"/>
      <c r="AG478" s="342"/>
      <c r="AH478" s="342"/>
      <c r="AI478" s="342"/>
    </row>
    <row r="479">
      <c r="A479" s="342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P479" s="342"/>
      <c r="Q479" s="342"/>
      <c r="R479" s="342"/>
      <c r="S479" s="342"/>
      <c r="T479" s="342"/>
      <c r="U479" s="342"/>
      <c r="V479" s="342"/>
      <c r="W479" s="342"/>
      <c r="X479" s="342"/>
      <c r="Y479" s="342"/>
      <c r="Z479" s="342"/>
      <c r="AA479" s="342"/>
      <c r="AB479" s="342"/>
      <c r="AC479" s="342"/>
      <c r="AD479" s="342"/>
      <c r="AE479" s="342"/>
      <c r="AF479" s="342"/>
      <c r="AG479" s="342"/>
      <c r="AH479" s="342"/>
      <c r="AI479" s="342"/>
    </row>
    <row r="480">
      <c r="A480" s="342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P480" s="342"/>
      <c r="Q480" s="342"/>
      <c r="R480" s="342"/>
      <c r="S480" s="342"/>
      <c r="T480" s="342"/>
      <c r="U480" s="342"/>
      <c r="V480" s="342"/>
      <c r="W480" s="342"/>
      <c r="X480" s="342"/>
      <c r="Y480" s="342"/>
      <c r="Z480" s="342"/>
      <c r="AA480" s="342"/>
      <c r="AB480" s="342"/>
      <c r="AC480" s="342"/>
      <c r="AD480" s="342"/>
      <c r="AE480" s="342"/>
      <c r="AF480" s="342"/>
      <c r="AG480" s="342"/>
      <c r="AH480" s="342"/>
      <c r="AI480" s="342"/>
    </row>
    <row r="481">
      <c r="A481" s="342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P481" s="342"/>
      <c r="Q481" s="342"/>
      <c r="R481" s="342"/>
      <c r="S481" s="342"/>
      <c r="T481" s="342"/>
      <c r="U481" s="342"/>
      <c r="V481" s="342"/>
      <c r="W481" s="342"/>
      <c r="X481" s="342"/>
      <c r="Y481" s="342"/>
      <c r="Z481" s="342"/>
      <c r="AA481" s="342"/>
      <c r="AB481" s="342"/>
      <c r="AC481" s="342"/>
      <c r="AD481" s="342"/>
      <c r="AE481" s="342"/>
      <c r="AF481" s="342"/>
      <c r="AG481" s="342"/>
      <c r="AH481" s="342"/>
      <c r="AI481" s="342"/>
    </row>
    <row r="482">
      <c r="A482" s="342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P482" s="342"/>
      <c r="Q482" s="342"/>
      <c r="R482" s="342"/>
      <c r="S482" s="342"/>
      <c r="T482" s="342"/>
      <c r="U482" s="342"/>
      <c r="V482" s="342"/>
      <c r="W482" s="342"/>
      <c r="X482" s="342"/>
      <c r="Y482" s="342"/>
      <c r="Z482" s="342"/>
      <c r="AA482" s="342"/>
      <c r="AB482" s="342"/>
      <c r="AC482" s="342"/>
      <c r="AD482" s="342"/>
      <c r="AE482" s="342"/>
      <c r="AF482" s="342"/>
      <c r="AG482" s="342"/>
      <c r="AH482" s="342"/>
      <c r="AI482" s="342"/>
    </row>
    <row r="483">
      <c r="A483" s="342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P483" s="342"/>
      <c r="Q483" s="342"/>
      <c r="R483" s="342"/>
      <c r="S483" s="342"/>
      <c r="T483" s="342"/>
      <c r="U483" s="342"/>
      <c r="V483" s="342"/>
      <c r="W483" s="342"/>
      <c r="X483" s="342"/>
      <c r="Y483" s="342"/>
      <c r="Z483" s="342"/>
      <c r="AA483" s="342"/>
      <c r="AB483" s="342"/>
      <c r="AC483" s="342"/>
      <c r="AD483" s="342"/>
      <c r="AE483" s="342"/>
      <c r="AF483" s="342"/>
      <c r="AG483" s="342"/>
      <c r="AH483" s="342"/>
      <c r="AI483" s="342"/>
    </row>
    <row r="484">
      <c r="A484" s="342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P484" s="342"/>
      <c r="Q484" s="342"/>
      <c r="R484" s="342"/>
      <c r="S484" s="342"/>
      <c r="T484" s="342"/>
      <c r="U484" s="342"/>
      <c r="V484" s="342"/>
      <c r="W484" s="342"/>
      <c r="X484" s="342"/>
      <c r="Y484" s="342"/>
      <c r="Z484" s="342"/>
      <c r="AA484" s="342"/>
      <c r="AB484" s="342"/>
      <c r="AC484" s="342"/>
      <c r="AD484" s="342"/>
      <c r="AE484" s="342"/>
      <c r="AF484" s="342"/>
      <c r="AG484" s="342"/>
      <c r="AH484" s="342"/>
      <c r="AI484" s="342"/>
    </row>
    <row r="485">
      <c r="A485" s="342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P485" s="342"/>
      <c r="Q485" s="342"/>
      <c r="R485" s="342"/>
      <c r="S485" s="342"/>
      <c r="T485" s="342"/>
      <c r="U485" s="342"/>
      <c r="V485" s="342"/>
      <c r="W485" s="342"/>
      <c r="X485" s="342"/>
      <c r="Y485" s="342"/>
      <c r="Z485" s="342"/>
      <c r="AA485" s="342"/>
      <c r="AB485" s="342"/>
      <c r="AC485" s="342"/>
      <c r="AD485" s="342"/>
      <c r="AE485" s="342"/>
      <c r="AF485" s="342"/>
      <c r="AG485" s="342"/>
      <c r="AH485" s="342"/>
      <c r="AI485" s="342"/>
    </row>
    <row r="486">
      <c r="A486" s="342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P486" s="342"/>
      <c r="Q486" s="342"/>
      <c r="R486" s="342"/>
      <c r="S486" s="342"/>
      <c r="T486" s="342"/>
      <c r="U486" s="342"/>
      <c r="V486" s="342"/>
      <c r="W486" s="342"/>
      <c r="X486" s="342"/>
      <c r="Y486" s="342"/>
      <c r="Z486" s="342"/>
      <c r="AA486" s="342"/>
      <c r="AB486" s="342"/>
      <c r="AC486" s="342"/>
      <c r="AD486" s="342"/>
      <c r="AE486" s="342"/>
      <c r="AF486" s="342"/>
      <c r="AG486" s="342"/>
      <c r="AH486" s="342"/>
      <c r="AI486" s="342"/>
    </row>
    <row r="487">
      <c r="A487" s="342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P487" s="342"/>
      <c r="Q487" s="342"/>
      <c r="R487" s="342"/>
      <c r="S487" s="342"/>
      <c r="T487" s="342"/>
      <c r="U487" s="342"/>
      <c r="V487" s="342"/>
      <c r="W487" s="342"/>
      <c r="X487" s="342"/>
      <c r="Y487" s="342"/>
      <c r="Z487" s="342"/>
      <c r="AA487" s="342"/>
      <c r="AB487" s="342"/>
      <c r="AC487" s="342"/>
      <c r="AD487" s="342"/>
      <c r="AE487" s="342"/>
      <c r="AF487" s="342"/>
      <c r="AG487" s="342"/>
      <c r="AH487" s="342"/>
      <c r="AI487" s="342"/>
    </row>
    <row r="488">
      <c r="A488" s="342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P488" s="342"/>
      <c r="Q488" s="342"/>
      <c r="R488" s="342"/>
      <c r="S488" s="342"/>
      <c r="T488" s="342"/>
      <c r="U488" s="342"/>
      <c r="V488" s="342"/>
      <c r="W488" s="342"/>
      <c r="X488" s="342"/>
      <c r="Y488" s="342"/>
      <c r="Z488" s="342"/>
      <c r="AA488" s="342"/>
      <c r="AB488" s="342"/>
      <c r="AC488" s="342"/>
      <c r="AD488" s="342"/>
      <c r="AE488" s="342"/>
      <c r="AF488" s="342"/>
      <c r="AG488" s="342"/>
      <c r="AH488" s="342"/>
      <c r="AI488" s="342"/>
    </row>
    <row r="489">
      <c r="A489" s="342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P489" s="342"/>
      <c r="Q489" s="342"/>
      <c r="R489" s="342"/>
      <c r="S489" s="342"/>
      <c r="T489" s="342"/>
      <c r="U489" s="342"/>
      <c r="V489" s="342"/>
      <c r="W489" s="342"/>
      <c r="X489" s="342"/>
      <c r="Y489" s="342"/>
      <c r="Z489" s="342"/>
      <c r="AA489" s="342"/>
      <c r="AB489" s="342"/>
      <c r="AC489" s="342"/>
      <c r="AD489" s="342"/>
      <c r="AE489" s="342"/>
      <c r="AF489" s="342"/>
      <c r="AG489" s="342"/>
      <c r="AH489" s="342"/>
      <c r="AI489" s="342"/>
    </row>
    <row r="490">
      <c r="A490" s="342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P490" s="342"/>
      <c r="Q490" s="342"/>
      <c r="R490" s="342"/>
      <c r="S490" s="342"/>
      <c r="T490" s="342"/>
      <c r="U490" s="342"/>
      <c r="V490" s="342"/>
      <c r="W490" s="342"/>
      <c r="X490" s="342"/>
      <c r="Y490" s="342"/>
      <c r="Z490" s="342"/>
      <c r="AA490" s="342"/>
      <c r="AB490" s="342"/>
      <c r="AC490" s="342"/>
      <c r="AD490" s="342"/>
      <c r="AE490" s="342"/>
      <c r="AF490" s="342"/>
      <c r="AG490" s="342"/>
      <c r="AH490" s="342"/>
      <c r="AI490" s="342"/>
    </row>
    <row r="491">
      <c r="A491" s="342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P491" s="342"/>
      <c r="Q491" s="342"/>
      <c r="R491" s="342"/>
      <c r="S491" s="342"/>
      <c r="T491" s="342"/>
      <c r="U491" s="342"/>
      <c r="V491" s="342"/>
      <c r="W491" s="342"/>
      <c r="X491" s="342"/>
      <c r="Y491" s="342"/>
      <c r="Z491" s="342"/>
      <c r="AA491" s="342"/>
      <c r="AB491" s="342"/>
      <c r="AC491" s="342"/>
      <c r="AD491" s="342"/>
      <c r="AE491" s="342"/>
      <c r="AF491" s="342"/>
      <c r="AG491" s="342"/>
      <c r="AH491" s="342"/>
      <c r="AI491" s="342"/>
    </row>
    <row r="492">
      <c r="A492" s="342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P492" s="342"/>
      <c r="Q492" s="342"/>
      <c r="R492" s="342"/>
      <c r="S492" s="342"/>
      <c r="T492" s="342"/>
      <c r="U492" s="342"/>
      <c r="V492" s="342"/>
      <c r="W492" s="342"/>
      <c r="X492" s="342"/>
      <c r="Y492" s="342"/>
      <c r="Z492" s="342"/>
      <c r="AA492" s="342"/>
      <c r="AB492" s="342"/>
      <c r="AC492" s="342"/>
      <c r="AD492" s="342"/>
      <c r="AE492" s="342"/>
      <c r="AF492" s="342"/>
      <c r="AG492" s="342"/>
      <c r="AH492" s="342"/>
      <c r="AI492" s="342"/>
    </row>
    <row r="493">
      <c r="A493" s="342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P493" s="342"/>
      <c r="Q493" s="342"/>
      <c r="R493" s="342"/>
      <c r="S493" s="342"/>
      <c r="T493" s="342"/>
      <c r="U493" s="342"/>
      <c r="V493" s="342"/>
      <c r="W493" s="342"/>
      <c r="X493" s="342"/>
      <c r="Y493" s="342"/>
      <c r="Z493" s="342"/>
      <c r="AA493" s="342"/>
      <c r="AB493" s="342"/>
      <c r="AC493" s="342"/>
      <c r="AD493" s="342"/>
      <c r="AE493" s="342"/>
      <c r="AF493" s="342"/>
      <c r="AG493" s="342"/>
      <c r="AH493" s="342"/>
      <c r="AI493" s="342"/>
    </row>
    <row r="494">
      <c r="A494" s="342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P494" s="342"/>
      <c r="Q494" s="342"/>
      <c r="R494" s="342"/>
      <c r="S494" s="342"/>
      <c r="T494" s="342"/>
      <c r="U494" s="342"/>
      <c r="V494" s="342"/>
      <c r="W494" s="342"/>
      <c r="X494" s="342"/>
      <c r="Y494" s="342"/>
      <c r="Z494" s="342"/>
      <c r="AA494" s="342"/>
      <c r="AB494" s="342"/>
      <c r="AC494" s="342"/>
      <c r="AD494" s="342"/>
      <c r="AE494" s="342"/>
      <c r="AF494" s="342"/>
      <c r="AG494" s="342"/>
      <c r="AH494" s="342"/>
      <c r="AI494" s="342"/>
    </row>
    <row r="495">
      <c r="A495" s="342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P495" s="342"/>
      <c r="Q495" s="342"/>
      <c r="R495" s="342"/>
      <c r="S495" s="342"/>
      <c r="T495" s="342"/>
      <c r="U495" s="342"/>
      <c r="V495" s="342"/>
      <c r="W495" s="342"/>
      <c r="X495" s="342"/>
      <c r="Y495" s="342"/>
      <c r="Z495" s="342"/>
      <c r="AA495" s="342"/>
      <c r="AB495" s="342"/>
      <c r="AC495" s="342"/>
      <c r="AD495" s="342"/>
      <c r="AE495" s="342"/>
      <c r="AF495" s="342"/>
      <c r="AG495" s="342"/>
      <c r="AH495" s="342"/>
      <c r="AI495" s="342"/>
    </row>
    <row r="496">
      <c r="A496" s="342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P496" s="342"/>
      <c r="Q496" s="342"/>
      <c r="R496" s="342"/>
      <c r="S496" s="342"/>
      <c r="T496" s="342"/>
      <c r="U496" s="342"/>
      <c r="V496" s="342"/>
      <c r="W496" s="342"/>
      <c r="X496" s="342"/>
      <c r="Y496" s="342"/>
      <c r="Z496" s="342"/>
      <c r="AA496" s="342"/>
      <c r="AB496" s="342"/>
      <c r="AC496" s="342"/>
      <c r="AD496" s="342"/>
      <c r="AE496" s="342"/>
      <c r="AF496" s="342"/>
      <c r="AG496" s="342"/>
      <c r="AH496" s="342"/>
      <c r="AI496" s="342"/>
    </row>
    <row r="497">
      <c r="A497" s="342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P497" s="342"/>
      <c r="Q497" s="342"/>
      <c r="R497" s="342"/>
      <c r="S497" s="342"/>
      <c r="T497" s="342"/>
      <c r="U497" s="342"/>
      <c r="V497" s="342"/>
      <c r="W497" s="342"/>
      <c r="X497" s="342"/>
      <c r="Y497" s="342"/>
      <c r="Z497" s="342"/>
      <c r="AA497" s="342"/>
      <c r="AB497" s="342"/>
      <c r="AC497" s="342"/>
      <c r="AD497" s="342"/>
      <c r="AE497" s="342"/>
      <c r="AF497" s="342"/>
      <c r="AG497" s="342"/>
      <c r="AH497" s="342"/>
      <c r="AI497" s="342"/>
    </row>
    <row r="498">
      <c r="A498" s="342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P498" s="342"/>
      <c r="Q498" s="342"/>
      <c r="R498" s="342"/>
      <c r="S498" s="342"/>
      <c r="T498" s="342"/>
      <c r="U498" s="342"/>
      <c r="V498" s="342"/>
      <c r="W498" s="342"/>
      <c r="X498" s="342"/>
      <c r="Y498" s="342"/>
      <c r="Z498" s="342"/>
      <c r="AA498" s="342"/>
      <c r="AB498" s="342"/>
      <c r="AC498" s="342"/>
      <c r="AD498" s="342"/>
      <c r="AE498" s="342"/>
      <c r="AF498" s="342"/>
      <c r="AG498" s="342"/>
      <c r="AH498" s="342"/>
      <c r="AI498" s="342"/>
    </row>
    <row r="499">
      <c r="A499" s="342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P499" s="342"/>
      <c r="Q499" s="342"/>
      <c r="R499" s="342"/>
      <c r="S499" s="342"/>
      <c r="T499" s="342"/>
      <c r="U499" s="342"/>
      <c r="V499" s="342"/>
      <c r="W499" s="342"/>
      <c r="X499" s="342"/>
      <c r="Y499" s="342"/>
      <c r="Z499" s="342"/>
      <c r="AA499" s="342"/>
      <c r="AB499" s="342"/>
      <c r="AC499" s="342"/>
      <c r="AD499" s="342"/>
      <c r="AE499" s="342"/>
      <c r="AF499" s="342"/>
      <c r="AG499" s="342"/>
      <c r="AH499" s="342"/>
      <c r="AI499" s="342"/>
    </row>
    <row r="500">
      <c r="A500" s="342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P500" s="342"/>
      <c r="Q500" s="342"/>
      <c r="R500" s="342"/>
      <c r="S500" s="342"/>
      <c r="T500" s="342"/>
      <c r="U500" s="342"/>
      <c r="V500" s="342"/>
      <c r="W500" s="342"/>
      <c r="X500" s="342"/>
      <c r="Y500" s="342"/>
      <c r="Z500" s="342"/>
      <c r="AA500" s="342"/>
      <c r="AB500" s="342"/>
      <c r="AC500" s="342"/>
      <c r="AD500" s="342"/>
      <c r="AE500" s="342"/>
      <c r="AF500" s="342"/>
      <c r="AG500" s="342"/>
      <c r="AH500" s="342"/>
      <c r="AI500" s="342"/>
    </row>
    <row r="501">
      <c r="A501" s="342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P501" s="342"/>
      <c r="Q501" s="342"/>
      <c r="R501" s="342"/>
      <c r="S501" s="342"/>
      <c r="T501" s="342"/>
      <c r="U501" s="342"/>
      <c r="V501" s="342"/>
      <c r="W501" s="342"/>
      <c r="X501" s="342"/>
      <c r="Y501" s="342"/>
      <c r="Z501" s="342"/>
      <c r="AA501" s="342"/>
      <c r="AB501" s="342"/>
      <c r="AC501" s="342"/>
      <c r="AD501" s="342"/>
      <c r="AE501" s="342"/>
      <c r="AF501" s="342"/>
      <c r="AG501" s="342"/>
      <c r="AH501" s="342"/>
      <c r="AI501" s="342"/>
    </row>
    <row r="502">
      <c r="A502" s="342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P502" s="342"/>
      <c r="Q502" s="342"/>
      <c r="R502" s="342"/>
      <c r="S502" s="342"/>
      <c r="T502" s="342"/>
      <c r="U502" s="342"/>
      <c r="V502" s="342"/>
      <c r="W502" s="342"/>
      <c r="X502" s="342"/>
      <c r="Y502" s="342"/>
      <c r="Z502" s="342"/>
      <c r="AA502" s="342"/>
      <c r="AB502" s="342"/>
      <c r="AC502" s="342"/>
      <c r="AD502" s="342"/>
      <c r="AE502" s="342"/>
      <c r="AF502" s="342"/>
      <c r="AG502" s="342"/>
      <c r="AH502" s="342"/>
      <c r="AI502" s="342"/>
    </row>
    <row r="503">
      <c r="A503" s="342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P503" s="342"/>
      <c r="Q503" s="342"/>
      <c r="R503" s="342"/>
      <c r="S503" s="342"/>
      <c r="T503" s="342"/>
      <c r="U503" s="342"/>
      <c r="V503" s="342"/>
      <c r="W503" s="342"/>
      <c r="X503" s="342"/>
      <c r="Y503" s="342"/>
      <c r="Z503" s="342"/>
      <c r="AA503" s="342"/>
      <c r="AB503" s="342"/>
      <c r="AC503" s="342"/>
      <c r="AD503" s="342"/>
      <c r="AE503" s="342"/>
      <c r="AF503" s="342"/>
      <c r="AG503" s="342"/>
      <c r="AH503" s="342"/>
      <c r="AI503" s="342"/>
    </row>
    <row r="504">
      <c r="A504" s="342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P504" s="342"/>
      <c r="Q504" s="342"/>
      <c r="R504" s="342"/>
      <c r="S504" s="342"/>
      <c r="T504" s="342"/>
      <c r="U504" s="342"/>
      <c r="V504" s="342"/>
      <c r="W504" s="342"/>
      <c r="X504" s="342"/>
      <c r="Y504" s="342"/>
      <c r="Z504" s="342"/>
      <c r="AA504" s="342"/>
      <c r="AB504" s="342"/>
      <c r="AC504" s="342"/>
      <c r="AD504" s="342"/>
      <c r="AE504" s="342"/>
      <c r="AF504" s="342"/>
      <c r="AG504" s="342"/>
      <c r="AH504" s="342"/>
      <c r="AI504" s="342"/>
    </row>
    <row r="505">
      <c r="A505" s="342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P505" s="342"/>
      <c r="Q505" s="342"/>
      <c r="R505" s="342"/>
      <c r="S505" s="342"/>
      <c r="T505" s="342"/>
      <c r="U505" s="342"/>
      <c r="V505" s="342"/>
      <c r="W505" s="342"/>
      <c r="X505" s="342"/>
      <c r="Y505" s="342"/>
      <c r="Z505" s="342"/>
      <c r="AA505" s="342"/>
      <c r="AB505" s="342"/>
      <c r="AC505" s="342"/>
      <c r="AD505" s="342"/>
      <c r="AE505" s="342"/>
      <c r="AF505" s="342"/>
      <c r="AG505" s="342"/>
      <c r="AH505" s="342"/>
      <c r="AI505" s="342"/>
    </row>
    <row r="506">
      <c r="A506" s="342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P506" s="342"/>
      <c r="Q506" s="342"/>
      <c r="R506" s="342"/>
      <c r="S506" s="342"/>
      <c r="T506" s="342"/>
      <c r="U506" s="342"/>
      <c r="V506" s="342"/>
      <c r="W506" s="342"/>
      <c r="X506" s="342"/>
      <c r="Y506" s="342"/>
      <c r="Z506" s="342"/>
      <c r="AA506" s="342"/>
      <c r="AB506" s="342"/>
      <c r="AC506" s="342"/>
      <c r="AD506" s="342"/>
      <c r="AE506" s="342"/>
      <c r="AF506" s="342"/>
      <c r="AG506" s="342"/>
      <c r="AH506" s="342"/>
      <c r="AI506" s="342"/>
    </row>
    <row r="507">
      <c r="A507" s="342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P507" s="342"/>
      <c r="Q507" s="342"/>
      <c r="R507" s="342"/>
      <c r="S507" s="342"/>
      <c r="T507" s="342"/>
      <c r="U507" s="342"/>
      <c r="V507" s="342"/>
      <c r="W507" s="342"/>
      <c r="X507" s="342"/>
      <c r="Y507" s="342"/>
      <c r="Z507" s="342"/>
      <c r="AA507" s="342"/>
      <c r="AB507" s="342"/>
      <c r="AC507" s="342"/>
      <c r="AD507" s="342"/>
      <c r="AE507" s="342"/>
      <c r="AF507" s="342"/>
      <c r="AG507" s="342"/>
      <c r="AH507" s="342"/>
      <c r="AI507" s="342"/>
    </row>
    <row r="508">
      <c r="A508" s="342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P508" s="342"/>
      <c r="Q508" s="342"/>
      <c r="R508" s="342"/>
      <c r="S508" s="342"/>
      <c r="T508" s="342"/>
      <c r="U508" s="342"/>
      <c r="V508" s="342"/>
      <c r="W508" s="342"/>
      <c r="X508" s="342"/>
      <c r="Y508" s="342"/>
      <c r="Z508" s="342"/>
      <c r="AA508" s="342"/>
      <c r="AB508" s="342"/>
      <c r="AC508" s="342"/>
      <c r="AD508" s="342"/>
      <c r="AE508" s="342"/>
      <c r="AF508" s="342"/>
      <c r="AG508" s="342"/>
      <c r="AH508" s="342"/>
      <c r="AI508" s="342"/>
    </row>
    <row r="509">
      <c r="A509" s="342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P509" s="342"/>
      <c r="Q509" s="342"/>
      <c r="R509" s="342"/>
      <c r="S509" s="342"/>
      <c r="T509" s="342"/>
      <c r="U509" s="342"/>
      <c r="V509" s="342"/>
      <c r="W509" s="342"/>
      <c r="X509" s="342"/>
      <c r="Y509" s="342"/>
      <c r="Z509" s="342"/>
      <c r="AA509" s="342"/>
      <c r="AB509" s="342"/>
      <c r="AC509" s="342"/>
      <c r="AD509" s="342"/>
      <c r="AE509" s="342"/>
      <c r="AF509" s="342"/>
      <c r="AG509" s="342"/>
      <c r="AH509" s="342"/>
      <c r="AI509" s="342"/>
    </row>
    <row r="510">
      <c r="A510" s="342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P510" s="342"/>
      <c r="Q510" s="342"/>
      <c r="R510" s="342"/>
      <c r="S510" s="342"/>
      <c r="T510" s="342"/>
      <c r="U510" s="342"/>
      <c r="V510" s="342"/>
      <c r="W510" s="342"/>
      <c r="X510" s="342"/>
      <c r="Y510" s="342"/>
      <c r="Z510" s="342"/>
      <c r="AA510" s="342"/>
      <c r="AB510" s="342"/>
      <c r="AC510" s="342"/>
      <c r="AD510" s="342"/>
      <c r="AE510" s="342"/>
      <c r="AF510" s="342"/>
      <c r="AG510" s="342"/>
      <c r="AH510" s="342"/>
      <c r="AI510" s="342"/>
    </row>
    <row r="511">
      <c r="A511" s="342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P511" s="342"/>
      <c r="Q511" s="342"/>
      <c r="R511" s="342"/>
      <c r="S511" s="342"/>
      <c r="T511" s="342"/>
      <c r="U511" s="342"/>
      <c r="V511" s="342"/>
      <c r="W511" s="342"/>
      <c r="X511" s="342"/>
      <c r="Y511" s="342"/>
      <c r="Z511" s="342"/>
      <c r="AA511" s="342"/>
      <c r="AB511" s="342"/>
      <c r="AC511" s="342"/>
      <c r="AD511" s="342"/>
      <c r="AE511" s="342"/>
      <c r="AF511" s="342"/>
      <c r="AG511" s="342"/>
      <c r="AH511" s="342"/>
      <c r="AI511" s="342"/>
    </row>
    <row r="512">
      <c r="A512" s="342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P512" s="342"/>
      <c r="Q512" s="342"/>
      <c r="R512" s="342"/>
      <c r="S512" s="342"/>
      <c r="T512" s="342"/>
      <c r="U512" s="342"/>
      <c r="V512" s="342"/>
      <c r="W512" s="342"/>
      <c r="X512" s="342"/>
      <c r="Y512" s="342"/>
      <c r="Z512" s="342"/>
      <c r="AA512" s="342"/>
      <c r="AB512" s="342"/>
      <c r="AC512" s="342"/>
      <c r="AD512" s="342"/>
      <c r="AE512" s="342"/>
      <c r="AF512" s="342"/>
      <c r="AG512" s="342"/>
      <c r="AH512" s="342"/>
      <c r="AI512" s="342"/>
    </row>
    <row r="513">
      <c r="A513" s="342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P513" s="342"/>
      <c r="Q513" s="342"/>
      <c r="R513" s="342"/>
      <c r="S513" s="342"/>
      <c r="T513" s="342"/>
      <c r="U513" s="342"/>
      <c r="V513" s="342"/>
      <c r="W513" s="342"/>
      <c r="X513" s="342"/>
      <c r="Y513" s="342"/>
      <c r="Z513" s="342"/>
      <c r="AA513" s="342"/>
      <c r="AB513" s="342"/>
      <c r="AC513" s="342"/>
      <c r="AD513" s="342"/>
      <c r="AE513" s="342"/>
      <c r="AF513" s="342"/>
      <c r="AG513" s="342"/>
      <c r="AH513" s="342"/>
      <c r="AI513" s="342"/>
    </row>
    <row r="514">
      <c r="A514" s="342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P514" s="342"/>
      <c r="Q514" s="342"/>
      <c r="R514" s="342"/>
      <c r="S514" s="342"/>
      <c r="T514" s="342"/>
      <c r="U514" s="342"/>
      <c r="V514" s="342"/>
      <c r="W514" s="342"/>
      <c r="X514" s="342"/>
      <c r="Y514" s="342"/>
      <c r="Z514" s="342"/>
      <c r="AA514" s="342"/>
      <c r="AB514" s="342"/>
      <c r="AC514" s="342"/>
      <c r="AD514" s="342"/>
      <c r="AE514" s="342"/>
      <c r="AF514" s="342"/>
      <c r="AG514" s="342"/>
      <c r="AH514" s="342"/>
      <c r="AI514" s="342"/>
    </row>
    <row r="515">
      <c r="A515" s="342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P515" s="342"/>
      <c r="Q515" s="342"/>
      <c r="R515" s="342"/>
      <c r="S515" s="342"/>
      <c r="T515" s="342"/>
      <c r="U515" s="342"/>
      <c r="V515" s="342"/>
      <c r="W515" s="342"/>
      <c r="X515" s="342"/>
      <c r="Y515" s="342"/>
      <c r="Z515" s="342"/>
      <c r="AA515" s="342"/>
      <c r="AB515" s="342"/>
      <c r="AC515" s="342"/>
      <c r="AD515" s="342"/>
      <c r="AE515" s="342"/>
      <c r="AF515" s="342"/>
      <c r="AG515" s="342"/>
      <c r="AH515" s="342"/>
      <c r="AI515" s="342"/>
    </row>
    <row r="516">
      <c r="A516" s="342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P516" s="342"/>
      <c r="Q516" s="342"/>
      <c r="R516" s="342"/>
      <c r="S516" s="342"/>
      <c r="T516" s="342"/>
      <c r="U516" s="342"/>
      <c r="V516" s="342"/>
      <c r="W516" s="342"/>
      <c r="X516" s="342"/>
      <c r="Y516" s="342"/>
      <c r="Z516" s="342"/>
      <c r="AA516" s="342"/>
      <c r="AB516" s="342"/>
      <c r="AC516" s="342"/>
      <c r="AD516" s="342"/>
      <c r="AE516" s="342"/>
      <c r="AF516" s="342"/>
      <c r="AG516" s="342"/>
      <c r="AH516" s="342"/>
      <c r="AI516" s="342"/>
    </row>
    <row r="517">
      <c r="A517" s="342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P517" s="342"/>
      <c r="Q517" s="342"/>
      <c r="R517" s="342"/>
      <c r="S517" s="342"/>
      <c r="T517" s="342"/>
      <c r="U517" s="342"/>
      <c r="V517" s="342"/>
      <c r="W517" s="342"/>
      <c r="X517" s="342"/>
      <c r="Y517" s="342"/>
      <c r="Z517" s="342"/>
      <c r="AA517" s="342"/>
      <c r="AB517" s="342"/>
      <c r="AC517" s="342"/>
      <c r="AD517" s="342"/>
      <c r="AE517" s="342"/>
      <c r="AF517" s="342"/>
      <c r="AG517" s="342"/>
      <c r="AH517" s="342"/>
      <c r="AI517" s="342"/>
    </row>
    <row r="518">
      <c r="A518" s="342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P518" s="342"/>
      <c r="Q518" s="342"/>
      <c r="R518" s="342"/>
      <c r="S518" s="342"/>
      <c r="T518" s="342"/>
      <c r="U518" s="342"/>
      <c r="V518" s="342"/>
      <c r="W518" s="342"/>
      <c r="X518" s="342"/>
      <c r="Y518" s="342"/>
      <c r="Z518" s="342"/>
      <c r="AA518" s="342"/>
      <c r="AB518" s="342"/>
      <c r="AC518" s="342"/>
      <c r="AD518" s="342"/>
      <c r="AE518" s="342"/>
      <c r="AF518" s="342"/>
      <c r="AG518" s="342"/>
      <c r="AH518" s="342"/>
      <c r="AI518" s="342"/>
    </row>
    <row r="519">
      <c r="A519" s="342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P519" s="342"/>
      <c r="Q519" s="342"/>
      <c r="R519" s="342"/>
      <c r="S519" s="342"/>
      <c r="T519" s="342"/>
      <c r="U519" s="342"/>
      <c r="V519" s="342"/>
      <c r="W519" s="342"/>
      <c r="X519" s="342"/>
      <c r="Y519" s="342"/>
      <c r="Z519" s="342"/>
      <c r="AA519" s="342"/>
      <c r="AB519" s="342"/>
      <c r="AC519" s="342"/>
      <c r="AD519" s="342"/>
      <c r="AE519" s="342"/>
      <c r="AF519" s="342"/>
      <c r="AG519" s="342"/>
      <c r="AH519" s="342"/>
      <c r="AI519" s="342"/>
    </row>
    <row r="520">
      <c r="A520" s="342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P520" s="342"/>
      <c r="Q520" s="342"/>
      <c r="R520" s="342"/>
      <c r="S520" s="342"/>
      <c r="T520" s="342"/>
      <c r="U520" s="342"/>
      <c r="V520" s="342"/>
      <c r="W520" s="342"/>
      <c r="X520" s="342"/>
      <c r="Y520" s="342"/>
      <c r="Z520" s="342"/>
      <c r="AA520" s="342"/>
      <c r="AB520" s="342"/>
      <c r="AC520" s="342"/>
      <c r="AD520" s="342"/>
      <c r="AE520" s="342"/>
      <c r="AF520" s="342"/>
      <c r="AG520" s="342"/>
      <c r="AH520" s="342"/>
      <c r="AI520" s="342"/>
    </row>
    <row r="521">
      <c r="A521" s="342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P521" s="342"/>
      <c r="Q521" s="342"/>
      <c r="R521" s="342"/>
      <c r="S521" s="342"/>
      <c r="T521" s="342"/>
      <c r="U521" s="342"/>
      <c r="V521" s="342"/>
      <c r="W521" s="342"/>
      <c r="X521" s="342"/>
      <c r="Y521" s="342"/>
      <c r="Z521" s="342"/>
      <c r="AA521" s="342"/>
      <c r="AB521" s="342"/>
      <c r="AC521" s="342"/>
      <c r="AD521" s="342"/>
      <c r="AE521" s="342"/>
      <c r="AF521" s="342"/>
      <c r="AG521" s="342"/>
      <c r="AH521" s="342"/>
      <c r="AI521" s="342"/>
    </row>
    <row r="522">
      <c r="A522" s="342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P522" s="342"/>
      <c r="Q522" s="342"/>
      <c r="R522" s="342"/>
      <c r="S522" s="342"/>
      <c r="T522" s="342"/>
      <c r="U522" s="342"/>
      <c r="V522" s="342"/>
      <c r="W522" s="342"/>
      <c r="X522" s="342"/>
      <c r="Y522" s="342"/>
      <c r="Z522" s="342"/>
      <c r="AA522" s="342"/>
      <c r="AB522" s="342"/>
      <c r="AC522" s="342"/>
      <c r="AD522" s="342"/>
      <c r="AE522" s="342"/>
      <c r="AF522" s="342"/>
      <c r="AG522" s="342"/>
      <c r="AH522" s="342"/>
      <c r="AI522" s="342"/>
    </row>
    <row r="523">
      <c r="A523" s="342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P523" s="342"/>
      <c r="Q523" s="342"/>
      <c r="R523" s="342"/>
      <c r="S523" s="342"/>
      <c r="T523" s="342"/>
      <c r="U523" s="342"/>
      <c r="V523" s="342"/>
      <c r="W523" s="342"/>
      <c r="X523" s="342"/>
      <c r="Y523" s="342"/>
      <c r="Z523" s="342"/>
      <c r="AA523" s="342"/>
      <c r="AB523" s="342"/>
      <c r="AC523" s="342"/>
      <c r="AD523" s="342"/>
      <c r="AE523" s="342"/>
      <c r="AF523" s="342"/>
      <c r="AG523" s="342"/>
      <c r="AH523" s="342"/>
      <c r="AI523" s="342"/>
    </row>
    <row r="524">
      <c r="A524" s="342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P524" s="342"/>
      <c r="Q524" s="342"/>
      <c r="R524" s="342"/>
      <c r="S524" s="342"/>
      <c r="T524" s="342"/>
      <c r="U524" s="342"/>
      <c r="V524" s="342"/>
      <c r="W524" s="342"/>
      <c r="X524" s="342"/>
      <c r="Y524" s="342"/>
      <c r="Z524" s="342"/>
      <c r="AA524" s="342"/>
      <c r="AB524" s="342"/>
      <c r="AC524" s="342"/>
      <c r="AD524" s="342"/>
      <c r="AE524" s="342"/>
      <c r="AF524" s="342"/>
      <c r="AG524" s="342"/>
      <c r="AH524" s="342"/>
      <c r="AI524" s="342"/>
    </row>
    <row r="525">
      <c r="A525" s="342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P525" s="342"/>
      <c r="Q525" s="342"/>
      <c r="R525" s="342"/>
      <c r="S525" s="342"/>
      <c r="T525" s="342"/>
      <c r="U525" s="342"/>
      <c r="V525" s="342"/>
      <c r="W525" s="342"/>
      <c r="X525" s="342"/>
      <c r="Y525" s="342"/>
      <c r="Z525" s="342"/>
      <c r="AA525" s="342"/>
      <c r="AB525" s="342"/>
      <c r="AC525" s="342"/>
      <c r="AD525" s="342"/>
      <c r="AE525" s="342"/>
      <c r="AF525" s="342"/>
      <c r="AG525" s="342"/>
      <c r="AH525" s="342"/>
      <c r="AI525" s="342"/>
    </row>
    <row r="526">
      <c r="A526" s="342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P526" s="342"/>
      <c r="Q526" s="342"/>
      <c r="R526" s="342"/>
      <c r="S526" s="342"/>
      <c r="T526" s="342"/>
      <c r="U526" s="342"/>
      <c r="V526" s="342"/>
      <c r="W526" s="342"/>
      <c r="X526" s="342"/>
      <c r="Y526" s="342"/>
      <c r="Z526" s="342"/>
      <c r="AA526" s="342"/>
      <c r="AB526" s="342"/>
      <c r="AC526" s="342"/>
      <c r="AD526" s="342"/>
      <c r="AE526" s="342"/>
      <c r="AF526" s="342"/>
      <c r="AG526" s="342"/>
      <c r="AH526" s="342"/>
      <c r="AI526" s="342"/>
    </row>
    <row r="527">
      <c r="A527" s="342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P527" s="342"/>
      <c r="Q527" s="342"/>
      <c r="R527" s="342"/>
      <c r="S527" s="342"/>
      <c r="T527" s="342"/>
      <c r="U527" s="342"/>
      <c r="V527" s="342"/>
      <c r="W527" s="342"/>
      <c r="X527" s="342"/>
      <c r="Y527" s="342"/>
      <c r="Z527" s="342"/>
      <c r="AA527" s="342"/>
      <c r="AB527" s="342"/>
      <c r="AC527" s="342"/>
      <c r="AD527" s="342"/>
      <c r="AE527" s="342"/>
      <c r="AF527" s="342"/>
      <c r="AG527" s="342"/>
      <c r="AH527" s="342"/>
      <c r="AI527" s="342"/>
    </row>
    <row r="528">
      <c r="A528" s="342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P528" s="342"/>
      <c r="Q528" s="342"/>
      <c r="R528" s="342"/>
      <c r="S528" s="342"/>
      <c r="T528" s="342"/>
      <c r="U528" s="342"/>
      <c r="V528" s="342"/>
      <c r="W528" s="342"/>
      <c r="X528" s="342"/>
      <c r="Y528" s="342"/>
      <c r="Z528" s="342"/>
      <c r="AA528" s="342"/>
      <c r="AB528" s="342"/>
      <c r="AC528" s="342"/>
      <c r="AD528" s="342"/>
      <c r="AE528" s="342"/>
      <c r="AF528" s="342"/>
      <c r="AG528" s="342"/>
      <c r="AH528" s="342"/>
      <c r="AI528" s="342"/>
    </row>
    <row r="529">
      <c r="A529" s="342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P529" s="342"/>
      <c r="Q529" s="342"/>
      <c r="R529" s="342"/>
      <c r="S529" s="342"/>
      <c r="T529" s="342"/>
      <c r="U529" s="342"/>
      <c r="V529" s="342"/>
      <c r="W529" s="342"/>
      <c r="X529" s="342"/>
      <c r="Y529" s="342"/>
      <c r="Z529" s="342"/>
      <c r="AA529" s="342"/>
      <c r="AB529" s="342"/>
      <c r="AC529" s="342"/>
      <c r="AD529" s="342"/>
      <c r="AE529" s="342"/>
      <c r="AF529" s="342"/>
      <c r="AG529" s="342"/>
      <c r="AH529" s="342"/>
      <c r="AI529" s="342"/>
    </row>
    <row r="530">
      <c r="A530" s="342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P530" s="342"/>
      <c r="Q530" s="342"/>
      <c r="R530" s="342"/>
      <c r="S530" s="342"/>
      <c r="T530" s="342"/>
      <c r="U530" s="342"/>
      <c r="V530" s="342"/>
      <c r="W530" s="342"/>
      <c r="X530" s="342"/>
      <c r="Y530" s="342"/>
      <c r="Z530" s="342"/>
      <c r="AA530" s="342"/>
      <c r="AB530" s="342"/>
      <c r="AC530" s="342"/>
      <c r="AD530" s="342"/>
      <c r="AE530" s="342"/>
      <c r="AF530" s="342"/>
      <c r="AG530" s="342"/>
      <c r="AH530" s="342"/>
      <c r="AI530" s="342"/>
    </row>
    <row r="531">
      <c r="A531" s="342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P531" s="342"/>
      <c r="Q531" s="342"/>
      <c r="R531" s="342"/>
      <c r="S531" s="342"/>
      <c r="T531" s="342"/>
      <c r="U531" s="342"/>
      <c r="V531" s="342"/>
      <c r="W531" s="342"/>
      <c r="X531" s="342"/>
      <c r="Y531" s="342"/>
      <c r="Z531" s="342"/>
      <c r="AA531" s="342"/>
      <c r="AB531" s="342"/>
      <c r="AC531" s="342"/>
      <c r="AD531" s="342"/>
      <c r="AE531" s="342"/>
      <c r="AF531" s="342"/>
      <c r="AG531" s="342"/>
      <c r="AH531" s="342"/>
      <c r="AI531" s="342"/>
    </row>
    <row r="532">
      <c r="A532" s="342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P532" s="342"/>
      <c r="Q532" s="342"/>
      <c r="R532" s="342"/>
      <c r="S532" s="342"/>
      <c r="T532" s="342"/>
      <c r="U532" s="342"/>
      <c r="V532" s="342"/>
      <c r="W532" s="342"/>
      <c r="X532" s="342"/>
      <c r="Y532" s="342"/>
      <c r="Z532" s="342"/>
      <c r="AA532" s="342"/>
      <c r="AB532" s="342"/>
      <c r="AC532" s="342"/>
      <c r="AD532" s="342"/>
      <c r="AE532" s="342"/>
      <c r="AF532" s="342"/>
      <c r="AG532" s="342"/>
      <c r="AH532" s="342"/>
      <c r="AI532" s="342"/>
    </row>
    <row r="533">
      <c r="A533" s="342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P533" s="342"/>
      <c r="Q533" s="342"/>
      <c r="R533" s="342"/>
      <c r="S533" s="342"/>
      <c r="T533" s="342"/>
      <c r="U533" s="342"/>
      <c r="V533" s="342"/>
      <c r="W533" s="342"/>
      <c r="X533" s="342"/>
      <c r="Y533" s="342"/>
      <c r="Z533" s="342"/>
      <c r="AA533" s="342"/>
      <c r="AB533" s="342"/>
      <c r="AC533" s="342"/>
      <c r="AD533" s="342"/>
      <c r="AE533" s="342"/>
      <c r="AF533" s="342"/>
      <c r="AG533" s="342"/>
      <c r="AH533" s="342"/>
      <c r="AI533" s="342"/>
    </row>
    <row r="534">
      <c r="A534" s="342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  <c r="AA534" s="342"/>
      <c r="AB534" s="342"/>
      <c r="AC534" s="342"/>
      <c r="AD534" s="342"/>
      <c r="AE534" s="342"/>
      <c r="AF534" s="342"/>
      <c r="AG534" s="342"/>
      <c r="AH534" s="342"/>
      <c r="AI534" s="342"/>
    </row>
    <row r="535">
      <c r="A535" s="342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P535" s="342"/>
      <c r="Q535" s="342"/>
      <c r="R535" s="342"/>
      <c r="S535" s="342"/>
      <c r="T535" s="342"/>
      <c r="U535" s="342"/>
      <c r="V535" s="342"/>
      <c r="W535" s="342"/>
      <c r="X535" s="342"/>
      <c r="Y535" s="342"/>
      <c r="Z535" s="342"/>
      <c r="AA535" s="342"/>
      <c r="AB535" s="342"/>
      <c r="AC535" s="342"/>
      <c r="AD535" s="342"/>
      <c r="AE535" s="342"/>
      <c r="AF535" s="342"/>
      <c r="AG535" s="342"/>
      <c r="AH535" s="342"/>
      <c r="AI535" s="342"/>
    </row>
    <row r="536">
      <c r="A536" s="342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P536" s="342"/>
      <c r="Q536" s="342"/>
      <c r="R536" s="342"/>
      <c r="S536" s="342"/>
      <c r="T536" s="342"/>
      <c r="U536" s="342"/>
      <c r="V536" s="342"/>
      <c r="W536" s="342"/>
      <c r="X536" s="342"/>
      <c r="Y536" s="342"/>
      <c r="Z536" s="342"/>
      <c r="AA536" s="342"/>
      <c r="AB536" s="342"/>
      <c r="AC536" s="342"/>
      <c r="AD536" s="342"/>
      <c r="AE536" s="342"/>
      <c r="AF536" s="342"/>
      <c r="AG536" s="342"/>
      <c r="AH536" s="342"/>
      <c r="AI536" s="342"/>
    </row>
    <row r="537">
      <c r="A537" s="342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P537" s="342"/>
      <c r="Q537" s="342"/>
      <c r="R537" s="342"/>
      <c r="S537" s="342"/>
      <c r="T537" s="342"/>
      <c r="U537" s="342"/>
      <c r="V537" s="342"/>
      <c r="W537" s="342"/>
      <c r="X537" s="342"/>
      <c r="Y537" s="342"/>
      <c r="Z537" s="342"/>
      <c r="AA537" s="342"/>
      <c r="AB537" s="342"/>
      <c r="AC537" s="342"/>
      <c r="AD537" s="342"/>
      <c r="AE537" s="342"/>
      <c r="AF537" s="342"/>
      <c r="AG537" s="342"/>
      <c r="AH537" s="342"/>
      <c r="AI537" s="342"/>
    </row>
    <row r="538">
      <c r="A538" s="342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P538" s="342"/>
      <c r="Q538" s="342"/>
      <c r="R538" s="342"/>
      <c r="S538" s="342"/>
      <c r="T538" s="342"/>
      <c r="U538" s="342"/>
      <c r="V538" s="342"/>
      <c r="W538" s="342"/>
      <c r="X538" s="342"/>
      <c r="Y538" s="342"/>
      <c r="Z538" s="342"/>
      <c r="AA538" s="342"/>
      <c r="AB538" s="342"/>
      <c r="AC538" s="342"/>
      <c r="AD538" s="342"/>
      <c r="AE538" s="342"/>
      <c r="AF538" s="342"/>
      <c r="AG538" s="342"/>
      <c r="AH538" s="342"/>
      <c r="AI538" s="342"/>
    </row>
    <row r="539">
      <c r="A539" s="342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P539" s="342"/>
      <c r="Q539" s="342"/>
      <c r="R539" s="342"/>
      <c r="S539" s="342"/>
      <c r="T539" s="342"/>
      <c r="U539" s="342"/>
      <c r="V539" s="342"/>
      <c r="W539" s="342"/>
      <c r="X539" s="342"/>
      <c r="Y539" s="342"/>
      <c r="Z539" s="342"/>
      <c r="AA539" s="342"/>
      <c r="AB539" s="342"/>
      <c r="AC539" s="342"/>
      <c r="AD539" s="342"/>
      <c r="AE539" s="342"/>
      <c r="AF539" s="342"/>
      <c r="AG539" s="342"/>
      <c r="AH539" s="342"/>
      <c r="AI539" s="342"/>
    </row>
    <row r="540">
      <c r="A540" s="342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2"/>
      <c r="Y540" s="342"/>
      <c r="Z540" s="342"/>
      <c r="AA540" s="342"/>
      <c r="AB540" s="342"/>
      <c r="AC540" s="342"/>
      <c r="AD540" s="342"/>
      <c r="AE540" s="342"/>
      <c r="AF540" s="342"/>
      <c r="AG540" s="342"/>
      <c r="AH540" s="342"/>
      <c r="AI540" s="342"/>
    </row>
    <row r="541">
      <c r="A541" s="342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P541" s="342"/>
      <c r="Q541" s="342"/>
      <c r="R541" s="342"/>
      <c r="S541" s="342"/>
      <c r="T541" s="342"/>
      <c r="U541" s="342"/>
      <c r="V541" s="342"/>
      <c r="W541" s="342"/>
      <c r="X541" s="342"/>
      <c r="Y541" s="342"/>
      <c r="Z541" s="342"/>
      <c r="AA541" s="342"/>
      <c r="AB541" s="342"/>
      <c r="AC541" s="342"/>
      <c r="AD541" s="342"/>
      <c r="AE541" s="342"/>
      <c r="AF541" s="342"/>
      <c r="AG541" s="342"/>
      <c r="AH541" s="342"/>
      <c r="AI541" s="342"/>
    </row>
    <row r="542">
      <c r="A542" s="342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P542" s="342"/>
      <c r="Q542" s="342"/>
      <c r="R542" s="342"/>
      <c r="S542" s="342"/>
      <c r="T542" s="342"/>
      <c r="U542" s="342"/>
      <c r="V542" s="342"/>
      <c r="W542" s="342"/>
      <c r="X542" s="342"/>
      <c r="Y542" s="342"/>
      <c r="Z542" s="342"/>
      <c r="AA542" s="342"/>
      <c r="AB542" s="342"/>
      <c r="AC542" s="342"/>
      <c r="AD542" s="342"/>
      <c r="AE542" s="342"/>
      <c r="AF542" s="342"/>
      <c r="AG542" s="342"/>
      <c r="AH542" s="342"/>
      <c r="AI542" s="342"/>
    </row>
    <row r="543">
      <c r="A543" s="342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P543" s="342"/>
      <c r="Q543" s="342"/>
      <c r="R543" s="342"/>
      <c r="S543" s="342"/>
      <c r="T543" s="342"/>
      <c r="U543" s="342"/>
      <c r="V543" s="342"/>
      <c r="W543" s="342"/>
      <c r="X543" s="342"/>
      <c r="Y543" s="342"/>
      <c r="Z543" s="342"/>
      <c r="AA543" s="342"/>
      <c r="AB543" s="342"/>
      <c r="AC543" s="342"/>
      <c r="AD543" s="342"/>
      <c r="AE543" s="342"/>
      <c r="AF543" s="342"/>
      <c r="AG543" s="342"/>
      <c r="AH543" s="342"/>
      <c r="AI543" s="342"/>
    </row>
    <row r="544">
      <c r="A544" s="342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P544" s="342"/>
      <c r="Q544" s="342"/>
      <c r="R544" s="342"/>
      <c r="S544" s="342"/>
      <c r="T544" s="342"/>
      <c r="U544" s="342"/>
      <c r="V544" s="342"/>
      <c r="W544" s="342"/>
      <c r="X544" s="342"/>
      <c r="Y544" s="342"/>
      <c r="Z544" s="342"/>
      <c r="AA544" s="342"/>
      <c r="AB544" s="342"/>
      <c r="AC544" s="342"/>
      <c r="AD544" s="342"/>
      <c r="AE544" s="342"/>
      <c r="AF544" s="342"/>
      <c r="AG544" s="342"/>
      <c r="AH544" s="342"/>
      <c r="AI544" s="342"/>
    </row>
    <row r="545">
      <c r="A545" s="342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P545" s="342"/>
      <c r="Q545" s="342"/>
      <c r="R545" s="342"/>
      <c r="S545" s="342"/>
      <c r="T545" s="342"/>
      <c r="U545" s="342"/>
      <c r="V545" s="342"/>
      <c r="W545" s="342"/>
      <c r="X545" s="342"/>
      <c r="Y545" s="342"/>
      <c r="Z545" s="342"/>
      <c r="AA545" s="342"/>
      <c r="AB545" s="342"/>
      <c r="AC545" s="342"/>
      <c r="AD545" s="342"/>
      <c r="AE545" s="342"/>
      <c r="AF545" s="342"/>
      <c r="AG545" s="342"/>
      <c r="AH545" s="342"/>
      <c r="AI545" s="342"/>
    </row>
    <row r="546">
      <c r="A546" s="342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P546" s="342"/>
      <c r="Q546" s="342"/>
      <c r="R546" s="342"/>
      <c r="S546" s="342"/>
      <c r="T546" s="342"/>
      <c r="U546" s="342"/>
      <c r="V546" s="342"/>
      <c r="W546" s="342"/>
      <c r="X546" s="342"/>
      <c r="Y546" s="342"/>
      <c r="Z546" s="342"/>
      <c r="AA546" s="342"/>
      <c r="AB546" s="342"/>
      <c r="AC546" s="342"/>
      <c r="AD546" s="342"/>
      <c r="AE546" s="342"/>
      <c r="AF546" s="342"/>
      <c r="AG546" s="342"/>
      <c r="AH546" s="342"/>
      <c r="AI546" s="342"/>
    </row>
    <row r="547">
      <c r="A547" s="342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P547" s="342"/>
      <c r="Q547" s="342"/>
      <c r="R547" s="342"/>
      <c r="S547" s="342"/>
      <c r="T547" s="342"/>
      <c r="U547" s="342"/>
      <c r="V547" s="342"/>
      <c r="W547" s="342"/>
      <c r="X547" s="342"/>
      <c r="Y547" s="342"/>
      <c r="Z547" s="342"/>
      <c r="AA547" s="342"/>
      <c r="AB547" s="342"/>
      <c r="AC547" s="342"/>
      <c r="AD547" s="342"/>
      <c r="AE547" s="342"/>
      <c r="AF547" s="342"/>
      <c r="AG547" s="342"/>
      <c r="AH547" s="342"/>
      <c r="AI547" s="342"/>
    </row>
    <row r="548">
      <c r="A548" s="342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P548" s="342"/>
      <c r="Q548" s="342"/>
      <c r="R548" s="342"/>
      <c r="S548" s="342"/>
      <c r="T548" s="342"/>
      <c r="U548" s="342"/>
      <c r="V548" s="342"/>
      <c r="W548" s="342"/>
      <c r="X548" s="342"/>
      <c r="Y548" s="342"/>
      <c r="Z548" s="342"/>
      <c r="AA548" s="342"/>
      <c r="AB548" s="342"/>
      <c r="AC548" s="342"/>
      <c r="AD548" s="342"/>
      <c r="AE548" s="342"/>
      <c r="AF548" s="342"/>
      <c r="AG548" s="342"/>
      <c r="AH548" s="342"/>
      <c r="AI548" s="342"/>
    </row>
    <row r="549">
      <c r="A549" s="342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  <c r="AA549" s="342"/>
      <c r="AB549" s="342"/>
      <c r="AC549" s="342"/>
      <c r="AD549" s="342"/>
      <c r="AE549" s="342"/>
      <c r="AF549" s="342"/>
      <c r="AG549" s="342"/>
      <c r="AH549" s="342"/>
      <c r="AI549" s="342"/>
    </row>
    <row r="550">
      <c r="A550" s="342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P550" s="342"/>
      <c r="Q550" s="342"/>
      <c r="R550" s="342"/>
      <c r="S550" s="342"/>
      <c r="T550" s="342"/>
      <c r="U550" s="342"/>
      <c r="V550" s="342"/>
      <c r="W550" s="342"/>
      <c r="X550" s="342"/>
      <c r="Y550" s="342"/>
      <c r="Z550" s="342"/>
      <c r="AA550" s="342"/>
      <c r="AB550" s="342"/>
      <c r="AC550" s="342"/>
      <c r="AD550" s="342"/>
      <c r="AE550" s="342"/>
      <c r="AF550" s="342"/>
      <c r="AG550" s="342"/>
      <c r="AH550" s="342"/>
      <c r="AI550" s="342"/>
    </row>
    <row r="551">
      <c r="A551" s="342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P551" s="342"/>
      <c r="Q551" s="342"/>
      <c r="R551" s="342"/>
      <c r="S551" s="342"/>
      <c r="T551" s="342"/>
      <c r="U551" s="342"/>
      <c r="V551" s="342"/>
      <c r="W551" s="342"/>
      <c r="X551" s="342"/>
      <c r="Y551" s="342"/>
      <c r="Z551" s="342"/>
      <c r="AA551" s="342"/>
      <c r="AB551" s="342"/>
      <c r="AC551" s="342"/>
      <c r="AD551" s="342"/>
      <c r="AE551" s="342"/>
      <c r="AF551" s="342"/>
      <c r="AG551" s="342"/>
      <c r="AH551" s="342"/>
      <c r="AI551" s="342"/>
    </row>
    <row r="552">
      <c r="A552" s="342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P552" s="342"/>
      <c r="Q552" s="342"/>
      <c r="R552" s="342"/>
      <c r="S552" s="342"/>
      <c r="T552" s="342"/>
      <c r="U552" s="342"/>
      <c r="V552" s="342"/>
      <c r="W552" s="342"/>
      <c r="X552" s="342"/>
      <c r="Y552" s="342"/>
      <c r="Z552" s="342"/>
      <c r="AA552" s="342"/>
      <c r="AB552" s="342"/>
      <c r="AC552" s="342"/>
      <c r="AD552" s="342"/>
      <c r="AE552" s="342"/>
      <c r="AF552" s="342"/>
      <c r="AG552" s="342"/>
      <c r="AH552" s="342"/>
      <c r="AI552" s="342"/>
    </row>
    <row r="553">
      <c r="A553" s="342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P553" s="342"/>
      <c r="Q553" s="342"/>
      <c r="R553" s="342"/>
      <c r="S553" s="342"/>
      <c r="T553" s="342"/>
      <c r="U553" s="342"/>
      <c r="V553" s="342"/>
      <c r="W553" s="342"/>
      <c r="X553" s="342"/>
      <c r="Y553" s="342"/>
      <c r="Z553" s="342"/>
      <c r="AA553" s="342"/>
      <c r="AB553" s="342"/>
      <c r="AC553" s="342"/>
      <c r="AD553" s="342"/>
      <c r="AE553" s="342"/>
      <c r="AF553" s="342"/>
      <c r="AG553" s="342"/>
      <c r="AH553" s="342"/>
      <c r="AI553" s="342"/>
    </row>
    <row r="554">
      <c r="A554" s="342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P554" s="342"/>
      <c r="Q554" s="342"/>
      <c r="R554" s="342"/>
      <c r="S554" s="342"/>
      <c r="T554" s="342"/>
      <c r="U554" s="342"/>
      <c r="V554" s="342"/>
      <c r="W554" s="342"/>
      <c r="X554" s="342"/>
      <c r="Y554" s="342"/>
      <c r="Z554" s="342"/>
      <c r="AA554" s="342"/>
      <c r="AB554" s="342"/>
      <c r="AC554" s="342"/>
      <c r="AD554" s="342"/>
      <c r="AE554" s="342"/>
      <c r="AF554" s="342"/>
      <c r="AG554" s="342"/>
      <c r="AH554" s="342"/>
      <c r="AI554" s="342"/>
    </row>
    <row r="555">
      <c r="A555" s="342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P555" s="342"/>
      <c r="Q555" s="342"/>
      <c r="R555" s="342"/>
      <c r="S555" s="342"/>
      <c r="T555" s="342"/>
      <c r="U555" s="342"/>
      <c r="V555" s="342"/>
      <c r="W555" s="342"/>
      <c r="X555" s="342"/>
      <c r="Y555" s="342"/>
      <c r="Z555" s="342"/>
      <c r="AA555" s="342"/>
      <c r="AB555" s="342"/>
      <c r="AC555" s="342"/>
      <c r="AD555" s="342"/>
      <c r="AE555" s="342"/>
      <c r="AF555" s="342"/>
      <c r="AG555" s="342"/>
      <c r="AH555" s="342"/>
      <c r="AI555" s="342"/>
    </row>
    <row r="556">
      <c r="A556" s="342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P556" s="342"/>
      <c r="Q556" s="342"/>
      <c r="R556" s="342"/>
      <c r="S556" s="342"/>
      <c r="T556" s="342"/>
      <c r="U556" s="342"/>
      <c r="V556" s="342"/>
      <c r="W556" s="342"/>
      <c r="X556" s="342"/>
      <c r="Y556" s="342"/>
      <c r="Z556" s="342"/>
      <c r="AA556" s="342"/>
      <c r="AB556" s="342"/>
      <c r="AC556" s="342"/>
      <c r="AD556" s="342"/>
      <c r="AE556" s="342"/>
      <c r="AF556" s="342"/>
      <c r="AG556" s="342"/>
      <c r="AH556" s="342"/>
      <c r="AI556" s="342"/>
    </row>
    <row r="557">
      <c r="A557" s="342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P557" s="342"/>
      <c r="Q557" s="342"/>
      <c r="R557" s="342"/>
      <c r="S557" s="342"/>
      <c r="T557" s="342"/>
      <c r="U557" s="342"/>
      <c r="V557" s="342"/>
      <c r="W557" s="342"/>
      <c r="X557" s="342"/>
      <c r="Y557" s="342"/>
      <c r="Z557" s="342"/>
      <c r="AA557" s="342"/>
      <c r="AB557" s="342"/>
      <c r="AC557" s="342"/>
      <c r="AD557" s="342"/>
      <c r="AE557" s="342"/>
      <c r="AF557" s="342"/>
      <c r="AG557" s="342"/>
      <c r="AH557" s="342"/>
      <c r="AI557" s="342"/>
    </row>
    <row r="558">
      <c r="A558" s="342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P558" s="342"/>
      <c r="Q558" s="342"/>
      <c r="R558" s="342"/>
      <c r="S558" s="342"/>
      <c r="T558" s="342"/>
      <c r="U558" s="342"/>
      <c r="V558" s="342"/>
      <c r="W558" s="342"/>
      <c r="X558" s="342"/>
      <c r="Y558" s="342"/>
      <c r="Z558" s="342"/>
      <c r="AA558" s="342"/>
      <c r="AB558" s="342"/>
      <c r="AC558" s="342"/>
      <c r="AD558" s="342"/>
      <c r="AE558" s="342"/>
      <c r="AF558" s="342"/>
      <c r="AG558" s="342"/>
      <c r="AH558" s="342"/>
      <c r="AI558" s="342"/>
    </row>
    <row r="559">
      <c r="A559" s="342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P559" s="342"/>
      <c r="Q559" s="342"/>
      <c r="R559" s="342"/>
      <c r="S559" s="342"/>
      <c r="T559" s="342"/>
      <c r="U559" s="342"/>
      <c r="V559" s="342"/>
      <c r="W559" s="342"/>
      <c r="X559" s="342"/>
      <c r="Y559" s="342"/>
      <c r="Z559" s="342"/>
      <c r="AA559" s="342"/>
      <c r="AB559" s="342"/>
      <c r="AC559" s="342"/>
      <c r="AD559" s="342"/>
      <c r="AE559" s="342"/>
      <c r="AF559" s="342"/>
      <c r="AG559" s="342"/>
      <c r="AH559" s="342"/>
      <c r="AI559" s="342"/>
    </row>
    <row r="560">
      <c r="A560" s="342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P560" s="342"/>
      <c r="Q560" s="342"/>
      <c r="R560" s="342"/>
      <c r="S560" s="342"/>
      <c r="T560" s="342"/>
      <c r="U560" s="342"/>
      <c r="V560" s="342"/>
      <c r="W560" s="342"/>
      <c r="X560" s="342"/>
      <c r="Y560" s="342"/>
      <c r="Z560" s="342"/>
      <c r="AA560" s="342"/>
      <c r="AB560" s="342"/>
      <c r="AC560" s="342"/>
      <c r="AD560" s="342"/>
      <c r="AE560" s="342"/>
      <c r="AF560" s="342"/>
      <c r="AG560" s="342"/>
      <c r="AH560" s="342"/>
      <c r="AI560" s="342"/>
    </row>
    <row r="561">
      <c r="A561" s="342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P561" s="342"/>
      <c r="Q561" s="342"/>
      <c r="R561" s="342"/>
      <c r="S561" s="342"/>
      <c r="T561" s="342"/>
      <c r="U561" s="342"/>
      <c r="V561" s="342"/>
      <c r="W561" s="342"/>
      <c r="X561" s="342"/>
      <c r="Y561" s="342"/>
      <c r="Z561" s="342"/>
      <c r="AA561" s="342"/>
      <c r="AB561" s="342"/>
      <c r="AC561" s="342"/>
      <c r="AD561" s="342"/>
      <c r="AE561" s="342"/>
      <c r="AF561" s="342"/>
      <c r="AG561" s="342"/>
      <c r="AH561" s="342"/>
      <c r="AI561" s="342"/>
    </row>
    <row r="562">
      <c r="A562" s="342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P562" s="342"/>
      <c r="Q562" s="342"/>
      <c r="R562" s="342"/>
      <c r="S562" s="342"/>
      <c r="T562" s="342"/>
      <c r="U562" s="342"/>
      <c r="V562" s="342"/>
      <c r="W562" s="342"/>
      <c r="X562" s="342"/>
      <c r="Y562" s="342"/>
      <c r="Z562" s="342"/>
      <c r="AA562" s="342"/>
      <c r="AB562" s="342"/>
      <c r="AC562" s="342"/>
      <c r="AD562" s="342"/>
      <c r="AE562" s="342"/>
      <c r="AF562" s="342"/>
      <c r="AG562" s="342"/>
      <c r="AH562" s="342"/>
      <c r="AI562" s="342"/>
    </row>
    <row r="563">
      <c r="A563" s="342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P563" s="342"/>
      <c r="Q563" s="342"/>
      <c r="R563" s="342"/>
      <c r="S563" s="342"/>
      <c r="T563" s="342"/>
      <c r="U563" s="342"/>
      <c r="V563" s="342"/>
      <c r="W563" s="342"/>
      <c r="X563" s="342"/>
      <c r="Y563" s="342"/>
      <c r="Z563" s="342"/>
      <c r="AA563" s="342"/>
      <c r="AB563" s="342"/>
      <c r="AC563" s="342"/>
      <c r="AD563" s="342"/>
      <c r="AE563" s="342"/>
      <c r="AF563" s="342"/>
      <c r="AG563" s="342"/>
      <c r="AH563" s="342"/>
      <c r="AI563" s="342"/>
    </row>
    <row r="564">
      <c r="A564" s="342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P564" s="342"/>
      <c r="Q564" s="342"/>
      <c r="R564" s="342"/>
      <c r="S564" s="342"/>
      <c r="T564" s="342"/>
      <c r="U564" s="342"/>
      <c r="V564" s="342"/>
      <c r="W564" s="342"/>
      <c r="X564" s="342"/>
      <c r="Y564" s="342"/>
      <c r="Z564" s="342"/>
      <c r="AA564" s="342"/>
      <c r="AB564" s="342"/>
      <c r="AC564" s="342"/>
      <c r="AD564" s="342"/>
      <c r="AE564" s="342"/>
      <c r="AF564" s="342"/>
      <c r="AG564" s="342"/>
      <c r="AH564" s="342"/>
      <c r="AI564" s="342"/>
    </row>
    <row r="565">
      <c r="A565" s="342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P565" s="342"/>
      <c r="Q565" s="342"/>
      <c r="R565" s="342"/>
      <c r="S565" s="342"/>
      <c r="T565" s="342"/>
      <c r="U565" s="342"/>
      <c r="V565" s="342"/>
      <c r="W565" s="342"/>
      <c r="X565" s="342"/>
      <c r="Y565" s="342"/>
      <c r="Z565" s="342"/>
      <c r="AA565" s="342"/>
      <c r="AB565" s="342"/>
      <c r="AC565" s="342"/>
      <c r="AD565" s="342"/>
      <c r="AE565" s="342"/>
      <c r="AF565" s="342"/>
      <c r="AG565" s="342"/>
      <c r="AH565" s="342"/>
      <c r="AI565" s="342"/>
    </row>
    <row r="566">
      <c r="A566" s="342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P566" s="342"/>
      <c r="Q566" s="342"/>
      <c r="R566" s="342"/>
      <c r="S566" s="342"/>
      <c r="T566" s="342"/>
      <c r="U566" s="342"/>
      <c r="V566" s="342"/>
      <c r="W566" s="342"/>
      <c r="X566" s="342"/>
      <c r="Y566" s="342"/>
      <c r="Z566" s="342"/>
      <c r="AA566" s="342"/>
      <c r="AB566" s="342"/>
      <c r="AC566" s="342"/>
      <c r="AD566" s="342"/>
      <c r="AE566" s="342"/>
      <c r="AF566" s="342"/>
      <c r="AG566" s="342"/>
      <c r="AH566" s="342"/>
      <c r="AI566" s="342"/>
    </row>
    <row r="567">
      <c r="A567" s="342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P567" s="342"/>
      <c r="Q567" s="342"/>
      <c r="R567" s="342"/>
      <c r="S567" s="342"/>
      <c r="T567" s="342"/>
      <c r="U567" s="342"/>
      <c r="V567" s="342"/>
      <c r="W567" s="342"/>
      <c r="X567" s="342"/>
      <c r="Y567" s="342"/>
      <c r="Z567" s="342"/>
      <c r="AA567" s="342"/>
      <c r="AB567" s="342"/>
      <c r="AC567" s="342"/>
      <c r="AD567" s="342"/>
      <c r="AE567" s="342"/>
      <c r="AF567" s="342"/>
      <c r="AG567" s="342"/>
      <c r="AH567" s="342"/>
      <c r="AI567" s="342"/>
    </row>
    <row r="568">
      <c r="A568" s="342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P568" s="342"/>
      <c r="Q568" s="342"/>
      <c r="R568" s="342"/>
      <c r="S568" s="342"/>
      <c r="T568" s="342"/>
      <c r="U568" s="342"/>
      <c r="V568" s="342"/>
      <c r="W568" s="342"/>
      <c r="X568" s="342"/>
      <c r="Y568" s="342"/>
      <c r="Z568" s="342"/>
      <c r="AA568" s="342"/>
      <c r="AB568" s="342"/>
      <c r="AC568" s="342"/>
      <c r="AD568" s="342"/>
      <c r="AE568" s="342"/>
      <c r="AF568" s="342"/>
      <c r="AG568" s="342"/>
      <c r="AH568" s="342"/>
      <c r="AI568" s="342"/>
    </row>
    <row r="569">
      <c r="A569" s="342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P569" s="342"/>
      <c r="Q569" s="342"/>
      <c r="R569" s="342"/>
      <c r="S569" s="342"/>
      <c r="T569" s="342"/>
      <c r="U569" s="342"/>
      <c r="V569" s="342"/>
      <c r="W569" s="342"/>
      <c r="X569" s="342"/>
      <c r="Y569" s="342"/>
      <c r="Z569" s="342"/>
      <c r="AA569" s="342"/>
      <c r="AB569" s="342"/>
      <c r="AC569" s="342"/>
      <c r="AD569" s="342"/>
      <c r="AE569" s="342"/>
      <c r="AF569" s="342"/>
      <c r="AG569" s="342"/>
      <c r="AH569" s="342"/>
      <c r="AI569" s="342"/>
    </row>
    <row r="570">
      <c r="A570" s="342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P570" s="342"/>
      <c r="Q570" s="342"/>
      <c r="R570" s="342"/>
      <c r="S570" s="342"/>
      <c r="T570" s="342"/>
      <c r="U570" s="342"/>
      <c r="V570" s="342"/>
      <c r="W570" s="342"/>
      <c r="X570" s="342"/>
      <c r="Y570" s="342"/>
      <c r="Z570" s="342"/>
      <c r="AA570" s="342"/>
      <c r="AB570" s="342"/>
      <c r="AC570" s="342"/>
      <c r="AD570" s="342"/>
      <c r="AE570" s="342"/>
      <c r="AF570" s="342"/>
      <c r="AG570" s="342"/>
      <c r="AH570" s="342"/>
      <c r="AI570" s="342"/>
    </row>
    <row r="571">
      <c r="A571" s="342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P571" s="342"/>
      <c r="Q571" s="342"/>
      <c r="R571" s="342"/>
      <c r="S571" s="342"/>
      <c r="T571" s="342"/>
      <c r="U571" s="342"/>
      <c r="V571" s="342"/>
      <c r="W571" s="342"/>
      <c r="X571" s="342"/>
      <c r="Y571" s="342"/>
      <c r="Z571" s="342"/>
      <c r="AA571" s="342"/>
      <c r="AB571" s="342"/>
      <c r="AC571" s="342"/>
      <c r="AD571" s="342"/>
      <c r="AE571" s="342"/>
      <c r="AF571" s="342"/>
      <c r="AG571" s="342"/>
      <c r="AH571" s="342"/>
      <c r="AI571" s="342"/>
    </row>
    <row r="572">
      <c r="A572" s="342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P572" s="342"/>
      <c r="Q572" s="342"/>
      <c r="R572" s="342"/>
      <c r="S572" s="342"/>
      <c r="T572" s="342"/>
      <c r="U572" s="342"/>
      <c r="V572" s="342"/>
      <c r="W572" s="342"/>
      <c r="X572" s="342"/>
      <c r="Y572" s="342"/>
      <c r="Z572" s="342"/>
      <c r="AA572" s="342"/>
      <c r="AB572" s="342"/>
      <c r="AC572" s="342"/>
      <c r="AD572" s="342"/>
      <c r="AE572" s="342"/>
      <c r="AF572" s="342"/>
      <c r="AG572" s="342"/>
      <c r="AH572" s="342"/>
      <c r="AI572" s="342"/>
    </row>
    <row r="573">
      <c r="A573" s="342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P573" s="342"/>
      <c r="Q573" s="342"/>
      <c r="R573" s="342"/>
      <c r="S573" s="342"/>
      <c r="T573" s="342"/>
      <c r="U573" s="342"/>
      <c r="V573" s="342"/>
      <c r="W573" s="342"/>
      <c r="X573" s="342"/>
      <c r="Y573" s="342"/>
      <c r="Z573" s="342"/>
      <c r="AA573" s="342"/>
      <c r="AB573" s="342"/>
      <c r="AC573" s="342"/>
      <c r="AD573" s="342"/>
      <c r="AE573" s="342"/>
      <c r="AF573" s="342"/>
      <c r="AG573" s="342"/>
      <c r="AH573" s="342"/>
      <c r="AI573" s="342"/>
    </row>
    <row r="574">
      <c r="A574" s="342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P574" s="342"/>
      <c r="Q574" s="342"/>
      <c r="R574" s="342"/>
      <c r="S574" s="342"/>
      <c r="T574" s="342"/>
      <c r="U574" s="342"/>
      <c r="V574" s="342"/>
      <c r="W574" s="342"/>
      <c r="X574" s="342"/>
      <c r="Y574" s="342"/>
      <c r="Z574" s="342"/>
      <c r="AA574" s="342"/>
      <c r="AB574" s="342"/>
      <c r="AC574" s="342"/>
      <c r="AD574" s="342"/>
      <c r="AE574" s="342"/>
      <c r="AF574" s="342"/>
      <c r="AG574" s="342"/>
      <c r="AH574" s="342"/>
      <c r="AI574" s="342"/>
    </row>
    <row r="575">
      <c r="A575" s="342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P575" s="342"/>
      <c r="Q575" s="342"/>
      <c r="R575" s="342"/>
      <c r="S575" s="342"/>
      <c r="T575" s="342"/>
      <c r="U575" s="342"/>
      <c r="V575" s="342"/>
      <c r="W575" s="342"/>
      <c r="X575" s="342"/>
      <c r="Y575" s="342"/>
      <c r="Z575" s="342"/>
      <c r="AA575" s="342"/>
      <c r="AB575" s="342"/>
      <c r="AC575" s="342"/>
      <c r="AD575" s="342"/>
      <c r="AE575" s="342"/>
      <c r="AF575" s="342"/>
      <c r="AG575" s="342"/>
      <c r="AH575" s="342"/>
      <c r="AI575" s="342"/>
    </row>
    <row r="576">
      <c r="A576" s="342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P576" s="342"/>
      <c r="Q576" s="342"/>
      <c r="R576" s="342"/>
      <c r="S576" s="342"/>
      <c r="T576" s="342"/>
      <c r="U576" s="342"/>
      <c r="V576" s="342"/>
      <c r="W576" s="342"/>
      <c r="X576" s="342"/>
      <c r="Y576" s="342"/>
      <c r="Z576" s="342"/>
      <c r="AA576" s="342"/>
      <c r="AB576" s="342"/>
      <c r="AC576" s="342"/>
      <c r="AD576" s="342"/>
      <c r="AE576" s="342"/>
      <c r="AF576" s="342"/>
      <c r="AG576" s="342"/>
      <c r="AH576" s="342"/>
      <c r="AI576" s="342"/>
    </row>
    <row r="577">
      <c r="A577" s="342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P577" s="342"/>
      <c r="Q577" s="342"/>
      <c r="R577" s="342"/>
      <c r="S577" s="342"/>
      <c r="T577" s="342"/>
      <c r="U577" s="342"/>
      <c r="V577" s="342"/>
      <c r="W577" s="342"/>
      <c r="X577" s="342"/>
      <c r="Y577" s="342"/>
      <c r="Z577" s="342"/>
      <c r="AA577" s="342"/>
      <c r="AB577" s="342"/>
      <c r="AC577" s="342"/>
      <c r="AD577" s="342"/>
      <c r="AE577" s="342"/>
      <c r="AF577" s="342"/>
      <c r="AG577" s="342"/>
      <c r="AH577" s="342"/>
      <c r="AI577" s="342"/>
    </row>
    <row r="578">
      <c r="A578" s="342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P578" s="342"/>
      <c r="Q578" s="342"/>
      <c r="R578" s="342"/>
      <c r="S578" s="342"/>
      <c r="T578" s="342"/>
      <c r="U578" s="342"/>
      <c r="V578" s="342"/>
      <c r="W578" s="342"/>
      <c r="X578" s="342"/>
      <c r="Y578" s="342"/>
      <c r="Z578" s="342"/>
      <c r="AA578" s="342"/>
      <c r="AB578" s="342"/>
      <c r="AC578" s="342"/>
      <c r="AD578" s="342"/>
      <c r="AE578" s="342"/>
      <c r="AF578" s="342"/>
      <c r="AG578" s="342"/>
      <c r="AH578" s="342"/>
      <c r="AI578" s="342"/>
    </row>
    <row r="579">
      <c r="A579" s="342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P579" s="342"/>
      <c r="Q579" s="342"/>
      <c r="R579" s="342"/>
      <c r="S579" s="342"/>
      <c r="T579" s="342"/>
      <c r="U579" s="342"/>
      <c r="V579" s="342"/>
      <c r="W579" s="342"/>
      <c r="X579" s="342"/>
      <c r="Y579" s="342"/>
      <c r="Z579" s="342"/>
      <c r="AA579" s="342"/>
      <c r="AB579" s="342"/>
      <c r="AC579" s="342"/>
      <c r="AD579" s="342"/>
      <c r="AE579" s="342"/>
      <c r="AF579" s="342"/>
      <c r="AG579" s="342"/>
      <c r="AH579" s="342"/>
      <c r="AI579" s="342"/>
    </row>
    <row r="580">
      <c r="A580" s="342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P580" s="342"/>
      <c r="Q580" s="342"/>
      <c r="R580" s="342"/>
      <c r="S580" s="342"/>
      <c r="T580" s="342"/>
      <c r="U580" s="342"/>
      <c r="V580" s="342"/>
      <c r="W580" s="342"/>
      <c r="X580" s="342"/>
      <c r="Y580" s="342"/>
      <c r="Z580" s="342"/>
      <c r="AA580" s="342"/>
      <c r="AB580" s="342"/>
      <c r="AC580" s="342"/>
      <c r="AD580" s="342"/>
      <c r="AE580" s="342"/>
      <c r="AF580" s="342"/>
      <c r="AG580" s="342"/>
      <c r="AH580" s="342"/>
      <c r="AI580" s="342"/>
    </row>
    <row r="581">
      <c r="A581" s="342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P581" s="342"/>
      <c r="Q581" s="342"/>
      <c r="R581" s="342"/>
      <c r="S581" s="342"/>
      <c r="T581" s="342"/>
      <c r="U581" s="342"/>
      <c r="V581" s="342"/>
      <c r="W581" s="342"/>
      <c r="X581" s="342"/>
      <c r="Y581" s="342"/>
      <c r="Z581" s="342"/>
      <c r="AA581" s="342"/>
      <c r="AB581" s="342"/>
      <c r="AC581" s="342"/>
      <c r="AD581" s="342"/>
      <c r="AE581" s="342"/>
      <c r="AF581" s="342"/>
      <c r="AG581" s="342"/>
      <c r="AH581" s="342"/>
      <c r="AI581" s="342"/>
    </row>
    <row r="582">
      <c r="A582" s="342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P582" s="342"/>
      <c r="Q582" s="342"/>
      <c r="R582" s="342"/>
      <c r="S582" s="342"/>
      <c r="T582" s="342"/>
      <c r="U582" s="342"/>
      <c r="V582" s="342"/>
      <c r="W582" s="342"/>
      <c r="X582" s="342"/>
      <c r="Y582" s="342"/>
      <c r="Z582" s="342"/>
      <c r="AA582" s="342"/>
      <c r="AB582" s="342"/>
      <c r="AC582" s="342"/>
      <c r="AD582" s="342"/>
      <c r="AE582" s="342"/>
      <c r="AF582" s="342"/>
      <c r="AG582" s="342"/>
      <c r="AH582" s="342"/>
      <c r="AI582" s="342"/>
    </row>
    <row r="583">
      <c r="A583" s="342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P583" s="342"/>
      <c r="Q583" s="342"/>
      <c r="R583" s="342"/>
      <c r="S583" s="342"/>
      <c r="T583" s="342"/>
      <c r="U583" s="342"/>
      <c r="V583" s="342"/>
      <c r="W583" s="342"/>
      <c r="X583" s="342"/>
      <c r="Y583" s="342"/>
      <c r="Z583" s="342"/>
      <c r="AA583" s="342"/>
      <c r="AB583" s="342"/>
      <c r="AC583" s="342"/>
      <c r="AD583" s="342"/>
      <c r="AE583" s="342"/>
      <c r="AF583" s="342"/>
      <c r="AG583" s="342"/>
      <c r="AH583" s="342"/>
      <c r="AI583" s="342"/>
    </row>
    <row r="584">
      <c r="A584" s="342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P584" s="342"/>
      <c r="Q584" s="342"/>
      <c r="R584" s="342"/>
      <c r="S584" s="342"/>
      <c r="T584" s="342"/>
      <c r="U584" s="342"/>
      <c r="V584" s="342"/>
      <c r="W584" s="342"/>
      <c r="X584" s="342"/>
      <c r="Y584" s="342"/>
      <c r="Z584" s="342"/>
      <c r="AA584" s="342"/>
      <c r="AB584" s="342"/>
      <c r="AC584" s="342"/>
      <c r="AD584" s="342"/>
      <c r="AE584" s="342"/>
      <c r="AF584" s="342"/>
      <c r="AG584" s="342"/>
      <c r="AH584" s="342"/>
      <c r="AI584" s="342"/>
    </row>
    <row r="585">
      <c r="A585" s="342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P585" s="342"/>
      <c r="Q585" s="342"/>
      <c r="R585" s="342"/>
      <c r="S585" s="342"/>
      <c r="T585" s="342"/>
      <c r="U585" s="342"/>
      <c r="V585" s="342"/>
      <c r="W585" s="342"/>
      <c r="X585" s="342"/>
      <c r="Y585" s="342"/>
      <c r="Z585" s="342"/>
      <c r="AA585" s="342"/>
      <c r="AB585" s="342"/>
      <c r="AC585" s="342"/>
      <c r="AD585" s="342"/>
      <c r="AE585" s="342"/>
      <c r="AF585" s="342"/>
      <c r="AG585" s="342"/>
      <c r="AH585" s="342"/>
      <c r="AI585" s="342"/>
    </row>
    <row r="586">
      <c r="A586" s="342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P586" s="342"/>
      <c r="Q586" s="342"/>
      <c r="R586" s="342"/>
      <c r="S586" s="342"/>
      <c r="T586" s="342"/>
      <c r="U586" s="342"/>
      <c r="V586" s="342"/>
      <c r="W586" s="342"/>
      <c r="X586" s="342"/>
      <c r="Y586" s="342"/>
      <c r="Z586" s="342"/>
      <c r="AA586" s="342"/>
      <c r="AB586" s="342"/>
      <c r="AC586" s="342"/>
      <c r="AD586" s="342"/>
      <c r="AE586" s="342"/>
      <c r="AF586" s="342"/>
      <c r="AG586" s="342"/>
      <c r="AH586" s="342"/>
      <c r="AI586" s="342"/>
    </row>
    <row r="587">
      <c r="A587" s="342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P587" s="342"/>
      <c r="Q587" s="342"/>
      <c r="R587" s="342"/>
      <c r="S587" s="342"/>
      <c r="T587" s="342"/>
      <c r="U587" s="342"/>
      <c r="V587" s="342"/>
      <c r="W587" s="342"/>
      <c r="X587" s="342"/>
      <c r="Y587" s="342"/>
      <c r="Z587" s="342"/>
      <c r="AA587" s="342"/>
      <c r="AB587" s="342"/>
      <c r="AC587" s="342"/>
      <c r="AD587" s="342"/>
      <c r="AE587" s="342"/>
      <c r="AF587" s="342"/>
      <c r="AG587" s="342"/>
      <c r="AH587" s="342"/>
      <c r="AI587" s="342"/>
    </row>
    <row r="588">
      <c r="A588" s="342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P588" s="342"/>
      <c r="Q588" s="342"/>
      <c r="R588" s="342"/>
      <c r="S588" s="342"/>
      <c r="T588" s="342"/>
      <c r="U588" s="342"/>
      <c r="V588" s="342"/>
      <c r="W588" s="342"/>
      <c r="X588" s="342"/>
      <c r="Y588" s="342"/>
      <c r="Z588" s="342"/>
      <c r="AA588" s="342"/>
      <c r="AB588" s="342"/>
      <c r="AC588" s="342"/>
      <c r="AD588" s="342"/>
      <c r="AE588" s="342"/>
      <c r="AF588" s="342"/>
      <c r="AG588" s="342"/>
      <c r="AH588" s="342"/>
      <c r="AI588" s="342"/>
    </row>
    <row r="589">
      <c r="A589" s="342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P589" s="342"/>
      <c r="Q589" s="342"/>
      <c r="R589" s="342"/>
      <c r="S589" s="342"/>
      <c r="T589" s="342"/>
      <c r="U589" s="342"/>
      <c r="V589" s="342"/>
      <c r="W589" s="342"/>
      <c r="X589" s="342"/>
      <c r="Y589" s="342"/>
      <c r="Z589" s="342"/>
      <c r="AA589" s="342"/>
      <c r="AB589" s="342"/>
      <c r="AC589" s="342"/>
      <c r="AD589" s="342"/>
      <c r="AE589" s="342"/>
      <c r="AF589" s="342"/>
      <c r="AG589" s="342"/>
      <c r="AH589" s="342"/>
      <c r="AI589" s="342"/>
    </row>
    <row r="590">
      <c r="A590" s="342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P590" s="342"/>
      <c r="Q590" s="342"/>
      <c r="R590" s="342"/>
      <c r="S590" s="342"/>
      <c r="T590" s="342"/>
      <c r="U590" s="342"/>
      <c r="V590" s="342"/>
      <c r="W590" s="342"/>
      <c r="X590" s="342"/>
      <c r="Y590" s="342"/>
      <c r="Z590" s="342"/>
      <c r="AA590" s="342"/>
      <c r="AB590" s="342"/>
      <c r="AC590" s="342"/>
      <c r="AD590" s="342"/>
      <c r="AE590" s="342"/>
      <c r="AF590" s="342"/>
      <c r="AG590" s="342"/>
      <c r="AH590" s="342"/>
      <c r="AI590" s="342"/>
    </row>
    <row r="591">
      <c r="A591" s="342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P591" s="342"/>
      <c r="Q591" s="342"/>
      <c r="R591" s="342"/>
      <c r="S591" s="342"/>
      <c r="T591" s="342"/>
      <c r="U591" s="342"/>
      <c r="V591" s="342"/>
      <c r="W591" s="342"/>
      <c r="X591" s="342"/>
      <c r="Y591" s="342"/>
      <c r="Z591" s="342"/>
      <c r="AA591" s="342"/>
      <c r="AB591" s="342"/>
      <c r="AC591" s="342"/>
      <c r="AD591" s="342"/>
      <c r="AE591" s="342"/>
      <c r="AF591" s="342"/>
      <c r="AG591" s="342"/>
      <c r="AH591" s="342"/>
      <c r="AI591" s="342"/>
    </row>
    <row r="592">
      <c r="A592" s="342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P592" s="342"/>
      <c r="Q592" s="342"/>
      <c r="R592" s="342"/>
      <c r="S592" s="342"/>
      <c r="T592" s="342"/>
      <c r="U592" s="342"/>
      <c r="V592" s="342"/>
      <c r="W592" s="342"/>
      <c r="X592" s="342"/>
      <c r="Y592" s="342"/>
      <c r="Z592" s="342"/>
      <c r="AA592" s="342"/>
      <c r="AB592" s="342"/>
      <c r="AC592" s="342"/>
      <c r="AD592" s="342"/>
      <c r="AE592" s="342"/>
      <c r="AF592" s="342"/>
      <c r="AG592" s="342"/>
      <c r="AH592" s="342"/>
      <c r="AI592" s="342"/>
    </row>
    <row r="593">
      <c r="A593" s="342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P593" s="342"/>
      <c r="Q593" s="342"/>
      <c r="R593" s="342"/>
      <c r="S593" s="342"/>
      <c r="T593" s="342"/>
      <c r="U593" s="342"/>
      <c r="V593" s="342"/>
      <c r="W593" s="342"/>
      <c r="X593" s="342"/>
      <c r="Y593" s="342"/>
      <c r="Z593" s="342"/>
      <c r="AA593" s="342"/>
      <c r="AB593" s="342"/>
      <c r="AC593" s="342"/>
      <c r="AD593" s="342"/>
      <c r="AE593" s="342"/>
      <c r="AF593" s="342"/>
      <c r="AG593" s="342"/>
      <c r="AH593" s="342"/>
      <c r="AI593" s="342"/>
    </row>
    <row r="594">
      <c r="A594" s="342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P594" s="342"/>
      <c r="Q594" s="342"/>
      <c r="R594" s="342"/>
      <c r="S594" s="342"/>
      <c r="T594" s="342"/>
      <c r="U594" s="342"/>
      <c r="V594" s="342"/>
      <c r="W594" s="342"/>
      <c r="X594" s="342"/>
      <c r="Y594" s="342"/>
      <c r="Z594" s="342"/>
      <c r="AA594" s="342"/>
      <c r="AB594" s="342"/>
      <c r="AC594" s="342"/>
      <c r="AD594" s="342"/>
      <c r="AE594" s="342"/>
      <c r="AF594" s="342"/>
      <c r="AG594" s="342"/>
      <c r="AH594" s="342"/>
      <c r="AI594" s="342"/>
    </row>
    <row r="595">
      <c r="A595" s="342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P595" s="342"/>
      <c r="Q595" s="342"/>
      <c r="R595" s="342"/>
      <c r="S595" s="342"/>
      <c r="T595" s="342"/>
      <c r="U595" s="342"/>
      <c r="V595" s="342"/>
      <c r="W595" s="342"/>
      <c r="X595" s="342"/>
      <c r="Y595" s="342"/>
      <c r="Z595" s="342"/>
      <c r="AA595" s="342"/>
      <c r="AB595" s="342"/>
      <c r="AC595" s="342"/>
      <c r="AD595" s="342"/>
      <c r="AE595" s="342"/>
      <c r="AF595" s="342"/>
      <c r="AG595" s="342"/>
      <c r="AH595" s="342"/>
      <c r="AI595" s="342"/>
    </row>
    <row r="596">
      <c r="A596" s="342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P596" s="342"/>
      <c r="Q596" s="342"/>
      <c r="R596" s="342"/>
      <c r="S596" s="342"/>
      <c r="T596" s="342"/>
      <c r="U596" s="342"/>
      <c r="V596" s="342"/>
      <c r="W596" s="342"/>
      <c r="X596" s="342"/>
      <c r="Y596" s="342"/>
      <c r="Z596" s="342"/>
      <c r="AA596" s="342"/>
      <c r="AB596" s="342"/>
      <c r="AC596" s="342"/>
      <c r="AD596" s="342"/>
      <c r="AE596" s="342"/>
      <c r="AF596" s="342"/>
      <c r="AG596" s="342"/>
      <c r="AH596" s="342"/>
      <c r="AI596" s="342"/>
    </row>
    <row r="597">
      <c r="A597" s="342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P597" s="342"/>
      <c r="Q597" s="342"/>
      <c r="R597" s="342"/>
      <c r="S597" s="342"/>
      <c r="T597" s="342"/>
      <c r="U597" s="342"/>
      <c r="V597" s="342"/>
      <c r="W597" s="342"/>
      <c r="X597" s="342"/>
      <c r="Y597" s="342"/>
      <c r="Z597" s="342"/>
      <c r="AA597" s="342"/>
      <c r="AB597" s="342"/>
      <c r="AC597" s="342"/>
      <c r="AD597" s="342"/>
      <c r="AE597" s="342"/>
      <c r="AF597" s="342"/>
      <c r="AG597" s="342"/>
      <c r="AH597" s="342"/>
      <c r="AI597" s="342"/>
    </row>
    <row r="598">
      <c r="A598" s="342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P598" s="342"/>
      <c r="Q598" s="342"/>
      <c r="R598" s="342"/>
      <c r="S598" s="342"/>
      <c r="T598" s="342"/>
      <c r="U598" s="342"/>
      <c r="V598" s="342"/>
      <c r="W598" s="342"/>
      <c r="X598" s="342"/>
      <c r="Y598" s="342"/>
      <c r="Z598" s="342"/>
      <c r="AA598" s="342"/>
      <c r="AB598" s="342"/>
      <c r="AC598" s="342"/>
      <c r="AD598" s="342"/>
      <c r="AE598" s="342"/>
      <c r="AF598" s="342"/>
      <c r="AG598" s="342"/>
      <c r="AH598" s="342"/>
      <c r="AI598" s="342"/>
    </row>
    <row r="599">
      <c r="A599" s="342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P599" s="342"/>
      <c r="Q599" s="342"/>
      <c r="R599" s="342"/>
      <c r="S599" s="342"/>
      <c r="T599" s="342"/>
      <c r="U599" s="342"/>
      <c r="V599" s="342"/>
      <c r="W599" s="342"/>
      <c r="X599" s="342"/>
      <c r="Y599" s="342"/>
      <c r="Z599" s="342"/>
      <c r="AA599" s="342"/>
      <c r="AB599" s="342"/>
      <c r="AC599" s="342"/>
      <c r="AD599" s="342"/>
      <c r="AE599" s="342"/>
      <c r="AF599" s="342"/>
      <c r="AG599" s="342"/>
      <c r="AH599" s="342"/>
      <c r="AI599" s="342"/>
    </row>
    <row r="600">
      <c r="A600" s="342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  <c r="AA600" s="342"/>
      <c r="AB600" s="342"/>
      <c r="AC600" s="342"/>
      <c r="AD600" s="342"/>
      <c r="AE600" s="342"/>
      <c r="AF600" s="342"/>
      <c r="AG600" s="342"/>
      <c r="AH600" s="342"/>
      <c r="AI600" s="342"/>
    </row>
    <row r="601">
      <c r="A601" s="342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P601" s="342"/>
      <c r="Q601" s="342"/>
      <c r="R601" s="342"/>
      <c r="S601" s="342"/>
      <c r="T601" s="342"/>
      <c r="U601" s="342"/>
      <c r="V601" s="342"/>
      <c r="W601" s="342"/>
      <c r="X601" s="342"/>
      <c r="Y601" s="342"/>
      <c r="Z601" s="342"/>
      <c r="AA601" s="342"/>
      <c r="AB601" s="342"/>
      <c r="AC601" s="342"/>
      <c r="AD601" s="342"/>
      <c r="AE601" s="342"/>
      <c r="AF601" s="342"/>
      <c r="AG601" s="342"/>
      <c r="AH601" s="342"/>
      <c r="AI601" s="342"/>
    </row>
    <row r="602">
      <c r="A602" s="342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P602" s="342"/>
      <c r="Q602" s="342"/>
      <c r="R602" s="342"/>
      <c r="S602" s="342"/>
      <c r="T602" s="342"/>
      <c r="U602" s="342"/>
      <c r="V602" s="342"/>
      <c r="W602" s="342"/>
      <c r="X602" s="342"/>
      <c r="Y602" s="342"/>
      <c r="Z602" s="342"/>
      <c r="AA602" s="342"/>
      <c r="AB602" s="342"/>
      <c r="AC602" s="342"/>
      <c r="AD602" s="342"/>
      <c r="AE602" s="342"/>
      <c r="AF602" s="342"/>
      <c r="AG602" s="342"/>
      <c r="AH602" s="342"/>
      <c r="AI602" s="342"/>
    </row>
    <row r="603">
      <c r="A603" s="342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P603" s="342"/>
      <c r="Q603" s="342"/>
      <c r="R603" s="342"/>
      <c r="S603" s="342"/>
      <c r="T603" s="342"/>
      <c r="U603" s="342"/>
      <c r="V603" s="342"/>
      <c r="W603" s="342"/>
      <c r="X603" s="342"/>
      <c r="Y603" s="342"/>
      <c r="Z603" s="342"/>
      <c r="AA603" s="342"/>
      <c r="AB603" s="342"/>
      <c r="AC603" s="342"/>
      <c r="AD603" s="342"/>
      <c r="AE603" s="342"/>
      <c r="AF603" s="342"/>
      <c r="AG603" s="342"/>
      <c r="AH603" s="342"/>
      <c r="AI603" s="342"/>
    </row>
    <row r="604">
      <c r="A604" s="342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P604" s="342"/>
      <c r="Q604" s="342"/>
      <c r="R604" s="342"/>
      <c r="S604" s="342"/>
      <c r="T604" s="342"/>
      <c r="U604" s="342"/>
      <c r="V604" s="342"/>
      <c r="W604" s="342"/>
      <c r="X604" s="342"/>
      <c r="Y604" s="342"/>
      <c r="Z604" s="342"/>
      <c r="AA604" s="342"/>
      <c r="AB604" s="342"/>
      <c r="AC604" s="342"/>
      <c r="AD604" s="342"/>
      <c r="AE604" s="342"/>
      <c r="AF604" s="342"/>
      <c r="AG604" s="342"/>
      <c r="AH604" s="342"/>
      <c r="AI604" s="342"/>
    </row>
    <row r="605">
      <c r="A605" s="342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P605" s="342"/>
      <c r="Q605" s="342"/>
      <c r="R605" s="342"/>
      <c r="S605" s="342"/>
      <c r="T605" s="342"/>
      <c r="U605" s="342"/>
      <c r="V605" s="342"/>
      <c r="W605" s="342"/>
      <c r="X605" s="342"/>
      <c r="Y605" s="342"/>
      <c r="Z605" s="342"/>
      <c r="AA605" s="342"/>
      <c r="AB605" s="342"/>
      <c r="AC605" s="342"/>
      <c r="AD605" s="342"/>
      <c r="AE605" s="342"/>
      <c r="AF605" s="342"/>
      <c r="AG605" s="342"/>
      <c r="AH605" s="342"/>
      <c r="AI605" s="342"/>
    </row>
    <row r="606">
      <c r="A606" s="342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P606" s="342"/>
      <c r="Q606" s="342"/>
      <c r="R606" s="342"/>
      <c r="S606" s="342"/>
      <c r="T606" s="342"/>
      <c r="U606" s="342"/>
      <c r="V606" s="342"/>
      <c r="W606" s="342"/>
      <c r="X606" s="342"/>
      <c r="Y606" s="342"/>
      <c r="Z606" s="342"/>
      <c r="AA606" s="342"/>
      <c r="AB606" s="342"/>
      <c r="AC606" s="342"/>
      <c r="AD606" s="342"/>
      <c r="AE606" s="342"/>
      <c r="AF606" s="342"/>
      <c r="AG606" s="342"/>
      <c r="AH606" s="342"/>
      <c r="AI606" s="342"/>
    </row>
    <row r="607">
      <c r="A607" s="342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P607" s="342"/>
      <c r="Q607" s="342"/>
      <c r="R607" s="342"/>
      <c r="S607" s="342"/>
      <c r="T607" s="342"/>
      <c r="U607" s="342"/>
      <c r="V607" s="342"/>
      <c r="W607" s="342"/>
      <c r="X607" s="342"/>
      <c r="Y607" s="342"/>
      <c r="Z607" s="342"/>
      <c r="AA607" s="342"/>
      <c r="AB607" s="342"/>
      <c r="AC607" s="342"/>
      <c r="AD607" s="342"/>
      <c r="AE607" s="342"/>
      <c r="AF607" s="342"/>
      <c r="AG607" s="342"/>
      <c r="AH607" s="342"/>
      <c r="AI607" s="342"/>
    </row>
    <row r="608">
      <c r="A608" s="342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P608" s="342"/>
      <c r="Q608" s="342"/>
      <c r="R608" s="342"/>
      <c r="S608" s="342"/>
      <c r="T608" s="342"/>
      <c r="U608" s="342"/>
      <c r="V608" s="342"/>
      <c r="W608" s="342"/>
      <c r="X608" s="342"/>
      <c r="Y608" s="342"/>
      <c r="Z608" s="342"/>
      <c r="AA608" s="342"/>
      <c r="AB608" s="342"/>
      <c r="AC608" s="342"/>
      <c r="AD608" s="342"/>
      <c r="AE608" s="342"/>
      <c r="AF608" s="342"/>
      <c r="AG608" s="342"/>
      <c r="AH608" s="342"/>
      <c r="AI608" s="342"/>
    </row>
    <row r="609">
      <c r="A609" s="342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P609" s="342"/>
      <c r="Q609" s="342"/>
      <c r="R609" s="342"/>
      <c r="S609" s="342"/>
      <c r="T609" s="342"/>
      <c r="U609" s="342"/>
      <c r="V609" s="342"/>
      <c r="W609" s="342"/>
      <c r="X609" s="342"/>
      <c r="Y609" s="342"/>
      <c r="Z609" s="342"/>
      <c r="AA609" s="342"/>
      <c r="AB609" s="342"/>
      <c r="AC609" s="342"/>
      <c r="AD609" s="342"/>
      <c r="AE609" s="342"/>
      <c r="AF609" s="342"/>
      <c r="AG609" s="342"/>
      <c r="AH609" s="342"/>
      <c r="AI609" s="342"/>
    </row>
    <row r="610">
      <c r="A610" s="342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P610" s="342"/>
      <c r="Q610" s="342"/>
      <c r="R610" s="342"/>
      <c r="S610" s="342"/>
      <c r="T610" s="342"/>
      <c r="U610" s="342"/>
      <c r="V610" s="342"/>
      <c r="W610" s="342"/>
      <c r="X610" s="342"/>
      <c r="Y610" s="342"/>
      <c r="Z610" s="342"/>
      <c r="AA610" s="342"/>
      <c r="AB610" s="342"/>
      <c r="AC610" s="342"/>
      <c r="AD610" s="342"/>
      <c r="AE610" s="342"/>
      <c r="AF610" s="342"/>
      <c r="AG610" s="342"/>
      <c r="AH610" s="342"/>
      <c r="AI610" s="342"/>
    </row>
    <row r="611">
      <c r="A611" s="342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P611" s="342"/>
      <c r="Q611" s="342"/>
      <c r="R611" s="342"/>
      <c r="S611" s="342"/>
      <c r="T611" s="342"/>
      <c r="U611" s="342"/>
      <c r="V611" s="342"/>
      <c r="W611" s="342"/>
      <c r="X611" s="342"/>
      <c r="Y611" s="342"/>
      <c r="Z611" s="342"/>
      <c r="AA611" s="342"/>
      <c r="AB611" s="342"/>
      <c r="AC611" s="342"/>
      <c r="AD611" s="342"/>
      <c r="AE611" s="342"/>
      <c r="AF611" s="342"/>
      <c r="AG611" s="342"/>
      <c r="AH611" s="342"/>
      <c r="AI611" s="342"/>
    </row>
    <row r="612">
      <c r="A612" s="342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P612" s="342"/>
      <c r="Q612" s="342"/>
      <c r="R612" s="342"/>
      <c r="S612" s="342"/>
      <c r="T612" s="342"/>
      <c r="U612" s="342"/>
      <c r="V612" s="342"/>
      <c r="W612" s="342"/>
      <c r="X612" s="342"/>
      <c r="Y612" s="342"/>
      <c r="Z612" s="342"/>
      <c r="AA612" s="342"/>
      <c r="AB612" s="342"/>
      <c r="AC612" s="342"/>
      <c r="AD612" s="342"/>
      <c r="AE612" s="342"/>
      <c r="AF612" s="342"/>
      <c r="AG612" s="342"/>
      <c r="AH612" s="342"/>
      <c r="AI612" s="342"/>
    </row>
    <row r="613">
      <c r="A613" s="342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P613" s="342"/>
      <c r="Q613" s="342"/>
      <c r="R613" s="342"/>
      <c r="S613" s="342"/>
      <c r="T613" s="342"/>
      <c r="U613" s="342"/>
      <c r="V613" s="342"/>
      <c r="W613" s="342"/>
      <c r="X613" s="342"/>
      <c r="Y613" s="342"/>
      <c r="Z613" s="342"/>
      <c r="AA613" s="342"/>
      <c r="AB613" s="342"/>
      <c r="AC613" s="342"/>
      <c r="AD613" s="342"/>
      <c r="AE613" s="342"/>
      <c r="AF613" s="342"/>
      <c r="AG613" s="342"/>
      <c r="AH613" s="342"/>
      <c r="AI613" s="342"/>
    </row>
    <row r="614">
      <c r="A614" s="342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P614" s="342"/>
      <c r="Q614" s="342"/>
      <c r="R614" s="342"/>
      <c r="S614" s="342"/>
      <c r="T614" s="342"/>
      <c r="U614" s="342"/>
      <c r="V614" s="342"/>
      <c r="W614" s="342"/>
      <c r="X614" s="342"/>
      <c r="Y614" s="342"/>
      <c r="Z614" s="342"/>
      <c r="AA614" s="342"/>
      <c r="AB614" s="342"/>
      <c r="AC614" s="342"/>
      <c r="AD614" s="342"/>
      <c r="AE614" s="342"/>
      <c r="AF614" s="342"/>
      <c r="AG614" s="342"/>
      <c r="AH614" s="342"/>
      <c r="AI614" s="342"/>
    </row>
    <row r="615">
      <c r="A615" s="342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P615" s="342"/>
      <c r="Q615" s="342"/>
      <c r="R615" s="342"/>
      <c r="S615" s="342"/>
      <c r="T615" s="342"/>
      <c r="U615" s="342"/>
      <c r="V615" s="342"/>
      <c r="W615" s="342"/>
      <c r="X615" s="342"/>
      <c r="Y615" s="342"/>
      <c r="Z615" s="342"/>
      <c r="AA615" s="342"/>
      <c r="AB615" s="342"/>
      <c r="AC615" s="342"/>
      <c r="AD615" s="342"/>
      <c r="AE615" s="342"/>
      <c r="AF615" s="342"/>
      <c r="AG615" s="342"/>
      <c r="AH615" s="342"/>
      <c r="AI615" s="342"/>
    </row>
    <row r="616">
      <c r="A616" s="342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P616" s="342"/>
      <c r="Q616" s="342"/>
      <c r="R616" s="342"/>
      <c r="S616" s="342"/>
      <c r="T616" s="342"/>
      <c r="U616" s="342"/>
      <c r="V616" s="342"/>
      <c r="W616" s="342"/>
      <c r="X616" s="342"/>
      <c r="Y616" s="342"/>
      <c r="Z616" s="342"/>
      <c r="AA616" s="342"/>
      <c r="AB616" s="342"/>
      <c r="AC616" s="342"/>
      <c r="AD616" s="342"/>
      <c r="AE616" s="342"/>
      <c r="AF616" s="342"/>
      <c r="AG616" s="342"/>
      <c r="AH616" s="342"/>
      <c r="AI616" s="342"/>
    </row>
    <row r="617">
      <c r="A617" s="342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P617" s="342"/>
      <c r="Q617" s="342"/>
      <c r="R617" s="342"/>
      <c r="S617" s="342"/>
      <c r="T617" s="342"/>
      <c r="U617" s="342"/>
      <c r="V617" s="342"/>
      <c r="W617" s="342"/>
      <c r="X617" s="342"/>
      <c r="Y617" s="342"/>
      <c r="Z617" s="342"/>
      <c r="AA617" s="342"/>
      <c r="AB617" s="342"/>
      <c r="AC617" s="342"/>
      <c r="AD617" s="342"/>
      <c r="AE617" s="342"/>
      <c r="AF617" s="342"/>
      <c r="AG617" s="342"/>
      <c r="AH617" s="342"/>
      <c r="AI617" s="342"/>
    </row>
    <row r="618">
      <c r="A618" s="342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P618" s="342"/>
      <c r="Q618" s="342"/>
      <c r="R618" s="342"/>
      <c r="S618" s="342"/>
      <c r="T618" s="342"/>
      <c r="U618" s="342"/>
      <c r="V618" s="342"/>
      <c r="W618" s="342"/>
      <c r="X618" s="342"/>
      <c r="Y618" s="342"/>
      <c r="Z618" s="342"/>
      <c r="AA618" s="342"/>
      <c r="AB618" s="342"/>
      <c r="AC618" s="342"/>
      <c r="AD618" s="342"/>
      <c r="AE618" s="342"/>
      <c r="AF618" s="342"/>
      <c r="AG618" s="342"/>
      <c r="AH618" s="342"/>
      <c r="AI618" s="342"/>
    </row>
    <row r="619">
      <c r="A619" s="342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P619" s="342"/>
      <c r="Q619" s="342"/>
      <c r="R619" s="342"/>
      <c r="S619" s="342"/>
      <c r="T619" s="342"/>
      <c r="U619" s="342"/>
      <c r="V619" s="342"/>
      <c r="W619" s="342"/>
      <c r="X619" s="342"/>
      <c r="Y619" s="342"/>
      <c r="Z619" s="342"/>
      <c r="AA619" s="342"/>
      <c r="AB619" s="342"/>
      <c r="AC619" s="342"/>
      <c r="AD619" s="342"/>
      <c r="AE619" s="342"/>
      <c r="AF619" s="342"/>
      <c r="AG619" s="342"/>
      <c r="AH619" s="342"/>
      <c r="AI619" s="342"/>
    </row>
    <row r="620">
      <c r="A620" s="342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P620" s="342"/>
      <c r="Q620" s="342"/>
      <c r="R620" s="342"/>
      <c r="S620" s="342"/>
      <c r="T620" s="342"/>
      <c r="U620" s="342"/>
      <c r="V620" s="342"/>
      <c r="W620" s="342"/>
      <c r="X620" s="342"/>
      <c r="Y620" s="342"/>
      <c r="Z620" s="342"/>
      <c r="AA620" s="342"/>
      <c r="AB620" s="342"/>
      <c r="AC620" s="342"/>
      <c r="AD620" s="342"/>
      <c r="AE620" s="342"/>
      <c r="AF620" s="342"/>
      <c r="AG620" s="342"/>
      <c r="AH620" s="342"/>
      <c r="AI620" s="342"/>
    </row>
    <row r="621">
      <c r="A621" s="342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P621" s="342"/>
      <c r="Q621" s="342"/>
      <c r="R621" s="342"/>
      <c r="S621" s="342"/>
      <c r="T621" s="342"/>
      <c r="U621" s="342"/>
      <c r="V621" s="342"/>
      <c r="W621" s="342"/>
      <c r="X621" s="342"/>
      <c r="Y621" s="342"/>
      <c r="Z621" s="342"/>
      <c r="AA621" s="342"/>
      <c r="AB621" s="342"/>
      <c r="AC621" s="342"/>
      <c r="AD621" s="342"/>
      <c r="AE621" s="342"/>
      <c r="AF621" s="342"/>
      <c r="AG621" s="342"/>
      <c r="AH621" s="342"/>
      <c r="AI621" s="342"/>
    </row>
    <row r="622">
      <c r="A622" s="342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P622" s="342"/>
      <c r="Q622" s="342"/>
      <c r="R622" s="342"/>
      <c r="S622" s="342"/>
      <c r="T622" s="342"/>
      <c r="U622" s="342"/>
      <c r="V622" s="342"/>
      <c r="W622" s="342"/>
      <c r="X622" s="342"/>
      <c r="Y622" s="342"/>
      <c r="Z622" s="342"/>
      <c r="AA622" s="342"/>
      <c r="AB622" s="342"/>
      <c r="AC622" s="342"/>
      <c r="AD622" s="342"/>
      <c r="AE622" s="342"/>
      <c r="AF622" s="342"/>
      <c r="AG622" s="342"/>
      <c r="AH622" s="342"/>
      <c r="AI622" s="342"/>
    </row>
    <row r="623">
      <c r="A623" s="342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P623" s="342"/>
      <c r="Q623" s="342"/>
      <c r="R623" s="342"/>
      <c r="S623" s="342"/>
      <c r="T623" s="342"/>
      <c r="U623" s="342"/>
      <c r="V623" s="342"/>
      <c r="W623" s="342"/>
      <c r="X623" s="342"/>
      <c r="Y623" s="342"/>
      <c r="Z623" s="342"/>
      <c r="AA623" s="342"/>
      <c r="AB623" s="342"/>
      <c r="AC623" s="342"/>
      <c r="AD623" s="342"/>
      <c r="AE623" s="342"/>
      <c r="AF623" s="342"/>
      <c r="AG623" s="342"/>
      <c r="AH623" s="342"/>
      <c r="AI623" s="342"/>
    </row>
    <row r="624">
      <c r="A624" s="342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P624" s="342"/>
      <c r="Q624" s="342"/>
      <c r="R624" s="342"/>
      <c r="S624" s="342"/>
      <c r="T624" s="342"/>
      <c r="U624" s="342"/>
      <c r="V624" s="342"/>
      <c r="W624" s="342"/>
      <c r="X624" s="342"/>
      <c r="Y624" s="342"/>
      <c r="Z624" s="342"/>
      <c r="AA624" s="342"/>
      <c r="AB624" s="342"/>
      <c r="AC624" s="342"/>
      <c r="AD624" s="342"/>
      <c r="AE624" s="342"/>
      <c r="AF624" s="342"/>
      <c r="AG624" s="342"/>
      <c r="AH624" s="342"/>
      <c r="AI624" s="342"/>
    </row>
    <row r="625">
      <c r="A625" s="342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P625" s="342"/>
      <c r="Q625" s="342"/>
      <c r="R625" s="342"/>
      <c r="S625" s="342"/>
      <c r="T625" s="342"/>
      <c r="U625" s="342"/>
      <c r="V625" s="342"/>
      <c r="W625" s="342"/>
      <c r="X625" s="342"/>
      <c r="Y625" s="342"/>
      <c r="Z625" s="342"/>
      <c r="AA625" s="342"/>
      <c r="AB625" s="342"/>
      <c r="AC625" s="342"/>
      <c r="AD625" s="342"/>
      <c r="AE625" s="342"/>
      <c r="AF625" s="342"/>
      <c r="AG625" s="342"/>
      <c r="AH625" s="342"/>
      <c r="AI625" s="342"/>
    </row>
    <row r="626">
      <c r="A626" s="342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P626" s="342"/>
      <c r="Q626" s="342"/>
      <c r="R626" s="342"/>
      <c r="S626" s="342"/>
      <c r="T626" s="342"/>
      <c r="U626" s="342"/>
      <c r="V626" s="342"/>
      <c r="W626" s="342"/>
      <c r="X626" s="342"/>
      <c r="Y626" s="342"/>
      <c r="Z626" s="342"/>
      <c r="AA626" s="342"/>
      <c r="AB626" s="342"/>
      <c r="AC626" s="342"/>
      <c r="AD626" s="342"/>
      <c r="AE626" s="342"/>
      <c r="AF626" s="342"/>
      <c r="AG626" s="342"/>
      <c r="AH626" s="342"/>
      <c r="AI626" s="342"/>
    </row>
    <row r="627">
      <c r="A627" s="342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P627" s="342"/>
      <c r="Q627" s="342"/>
      <c r="R627" s="342"/>
      <c r="S627" s="342"/>
      <c r="T627" s="342"/>
      <c r="U627" s="342"/>
      <c r="V627" s="342"/>
      <c r="W627" s="342"/>
      <c r="X627" s="342"/>
      <c r="Y627" s="342"/>
      <c r="Z627" s="342"/>
      <c r="AA627" s="342"/>
      <c r="AB627" s="342"/>
      <c r="AC627" s="342"/>
      <c r="AD627" s="342"/>
      <c r="AE627" s="342"/>
      <c r="AF627" s="342"/>
      <c r="AG627" s="342"/>
      <c r="AH627" s="342"/>
      <c r="AI627" s="342"/>
    </row>
    <row r="628">
      <c r="A628" s="342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P628" s="342"/>
      <c r="Q628" s="342"/>
      <c r="R628" s="342"/>
      <c r="S628" s="342"/>
      <c r="T628" s="342"/>
      <c r="U628" s="342"/>
      <c r="V628" s="342"/>
      <c r="W628" s="342"/>
      <c r="X628" s="342"/>
      <c r="Y628" s="342"/>
      <c r="Z628" s="342"/>
      <c r="AA628" s="342"/>
      <c r="AB628" s="342"/>
      <c r="AC628" s="342"/>
      <c r="AD628" s="342"/>
      <c r="AE628" s="342"/>
      <c r="AF628" s="342"/>
      <c r="AG628" s="342"/>
      <c r="AH628" s="342"/>
      <c r="AI628" s="342"/>
    </row>
    <row r="629">
      <c r="A629" s="342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P629" s="342"/>
      <c r="Q629" s="342"/>
      <c r="R629" s="342"/>
      <c r="S629" s="342"/>
      <c r="T629" s="342"/>
      <c r="U629" s="342"/>
      <c r="V629" s="342"/>
      <c r="W629" s="342"/>
      <c r="X629" s="342"/>
      <c r="Y629" s="342"/>
      <c r="Z629" s="342"/>
      <c r="AA629" s="342"/>
      <c r="AB629" s="342"/>
      <c r="AC629" s="342"/>
      <c r="AD629" s="342"/>
      <c r="AE629" s="342"/>
      <c r="AF629" s="342"/>
      <c r="AG629" s="342"/>
      <c r="AH629" s="342"/>
      <c r="AI629" s="342"/>
    </row>
    <row r="630">
      <c r="A630" s="342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P630" s="342"/>
      <c r="Q630" s="342"/>
      <c r="R630" s="342"/>
      <c r="S630" s="342"/>
      <c r="T630" s="342"/>
      <c r="U630" s="342"/>
      <c r="V630" s="342"/>
      <c r="W630" s="342"/>
      <c r="X630" s="342"/>
      <c r="Y630" s="342"/>
      <c r="Z630" s="342"/>
      <c r="AA630" s="342"/>
      <c r="AB630" s="342"/>
      <c r="AC630" s="342"/>
      <c r="AD630" s="342"/>
      <c r="AE630" s="342"/>
      <c r="AF630" s="342"/>
      <c r="AG630" s="342"/>
      <c r="AH630" s="342"/>
      <c r="AI630" s="342"/>
    </row>
    <row r="631">
      <c r="A631" s="342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P631" s="342"/>
      <c r="Q631" s="342"/>
      <c r="R631" s="342"/>
      <c r="S631" s="342"/>
      <c r="T631" s="342"/>
      <c r="U631" s="342"/>
      <c r="V631" s="342"/>
      <c r="W631" s="342"/>
      <c r="X631" s="342"/>
      <c r="Y631" s="342"/>
      <c r="Z631" s="342"/>
      <c r="AA631" s="342"/>
      <c r="AB631" s="342"/>
      <c r="AC631" s="342"/>
      <c r="AD631" s="342"/>
      <c r="AE631" s="342"/>
      <c r="AF631" s="342"/>
      <c r="AG631" s="342"/>
      <c r="AH631" s="342"/>
      <c r="AI631" s="342"/>
    </row>
    <row r="632">
      <c r="A632" s="342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P632" s="342"/>
      <c r="Q632" s="342"/>
      <c r="R632" s="342"/>
      <c r="S632" s="342"/>
      <c r="T632" s="342"/>
      <c r="U632" s="342"/>
      <c r="V632" s="342"/>
      <c r="W632" s="342"/>
      <c r="X632" s="342"/>
      <c r="Y632" s="342"/>
      <c r="Z632" s="342"/>
      <c r="AA632" s="342"/>
      <c r="AB632" s="342"/>
      <c r="AC632" s="342"/>
      <c r="AD632" s="342"/>
      <c r="AE632" s="342"/>
      <c r="AF632" s="342"/>
      <c r="AG632" s="342"/>
      <c r="AH632" s="342"/>
      <c r="AI632" s="342"/>
    </row>
    <row r="633">
      <c r="A633" s="342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P633" s="342"/>
      <c r="Q633" s="342"/>
      <c r="R633" s="342"/>
      <c r="S633" s="342"/>
      <c r="T633" s="342"/>
      <c r="U633" s="342"/>
      <c r="V633" s="342"/>
      <c r="W633" s="342"/>
      <c r="X633" s="342"/>
      <c r="Y633" s="342"/>
      <c r="Z633" s="342"/>
      <c r="AA633" s="342"/>
      <c r="AB633" s="342"/>
      <c r="AC633" s="342"/>
      <c r="AD633" s="342"/>
      <c r="AE633" s="342"/>
      <c r="AF633" s="342"/>
      <c r="AG633" s="342"/>
      <c r="AH633" s="342"/>
      <c r="AI633" s="342"/>
    </row>
    <row r="634">
      <c r="A634" s="342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P634" s="342"/>
      <c r="Q634" s="342"/>
      <c r="R634" s="342"/>
      <c r="S634" s="342"/>
      <c r="T634" s="342"/>
      <c r="U634" s="342"/>
      <c r="V634" s="342"/>
      <c r="W634" s="342"/>
      <c r="X634" s="342"/>
      <c r="Y634" s="342"/>
      <c r="Z634" s="342"/>
      <c r="AA634" s="342"/>
      <c r="AB634" s="342"/>
      <c r="AC634" s="342"/>
      <c r="AD634" s="342"/>
      <c r="AE634" s="342"/>
      <c r="AF634" s="342"/>
      <c r="AG634" s="342"/>
      <c r="AH634" s="342"/>
      <c r="AI634" s="342"/>
    </row>
    <row r="635">
      <c r="A635" s="342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P635" s="342"/>
      <c r="Q635" s="342"/>
      <c r="R635" s="342"/>
      <c r="S635" s="342"/>
      <c r="T635" s="342"/>
      <c r="U635" s="342"/>
      <c r="V635" s="342"/>
      <c r="W635" s="342"/>
      <c r="X635" s="342"/>
      <c r="Y635" s="342"/>
      <c r="Z635" s="342"/>
      <c r="AA635" s="342"/>
      <c r="AB635" s="342"/>
      <c r="AC635" s="342"/>
      <c r="AD635" s="342"/>
      <c r="AE635" s="342"/>
      <c r="AF635" s="342"/>
      <c r="AG635" s="342"/>
      <c r="AH635" s="342"/>
      <c r="AI635" s="342"/>
    </row>
    <row r="636">
      <c r="A636" s="342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P636" s="342"/>
      <c r="Q636" s="342"/>
      <c r="R636" s="342"/>
      <c r="S636" s="342"/>
      <c r="T636" s="342"/>
      <c r="U636" s="342"/>
      <c r="V636" s="342"/>
      <c r="W636" s="342"/>
      <c r="X636" s="342"/>
      <c r="Y636" s="342"/>
      <c r="Z636" s="342"/>
      <c r="AA636" s="342"/>
      <c r="AB636" s="342"/>
      <c r="AC636" s="342"/>
      <c r="AD636" s="342"/>
      <c r="AE636" s="342"/>
      <c r="AF636" s="342"/>
      <c r="AG636" s="342"/>
      <c r="AH636" s="342"/>
      <c r="AI636" s="342"/>
    </row>
    <row r="637">
      <c r="A637" s="342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P637" s="342"/>
      <c r="Q637" s="342"/>
      <c r="R637" s="342"/>
      <c r="S637" s="342"/>
      <c r="T637" s="342"/>
      <c r="U637" s="342"/>
      <c r="V637" s="342"/>
      <c r="W637" s="342"/>
      <c r="X637" s="342"/>
      <c r="Y637" s="342"/>
      <c r="Z637" s="342"/>
      <c r="AA637" s="342"/>
      <c r="AB637" s="342"/>
      <c r="AC637" s="342"/>
      <c r="AD637" s="342"/>
      <c r="AE637" s="342"/>
      <c r="AF637" s="342"/>
      <c r="AG637" s="342"/>
      <c r="AH637" s="342"/>
      <c r="AI637" s="342"/>
    </row>
    <row r="638">
      <c r="A638" s="342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P638" s="342"/>
      <c r="Q638" s="342"/>
      <c r="R638" s="342"/>
      <c r="S638" s="342"/>
      <c r="T638" s="342"/>
      <c r="U638" s="342"/>
      <c r="V638" s="342"/>
      <c r="W638" s="342"/>
      <c r="X638" s="342"/>
      <c r="Y638" s="342"/>
      <c r="Z638" s="342"/>
      <c r="AA638" s="342"/>
      <c r="AB638" s="342"/>
      <c r="AC638" s="342"/>
      <c r="AD638" s="342"/>
      <c r="AE638" s="342"/>
      <c r="AF638" s="342"/>
      <c r="AG638" s="342"/>
      <c r="AH638" s="342"/>
      <c r="AI638" s="342"/>
    </row>
    <row r="639">
      <c r="A639" s="342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P639" s="342"/>
      <c r="Q639" s="342"/>
      <c r="R639" s="342"/>
      <c r="S639" s="342"/>
      <c r="T639" s="342"/>
      <c r="U639" s="342"/>
      <c r="V639" s="342"/>
      <c r="W639" s="342"/>
      <c r="X639" s="342"/>
      <c r="Y639" s="342"/>
      <c r="Z639" s="342"/>
      <c r="AA639" s="342"/>
      <c r="AB639" s="342"/>
      <c r="AC639" s="342"/>
      <c r="AD639" s="342"/>
      <c r="AE639" s="342"/>
      <c r="AF639" s="342"/>
      <c r="AG639" s="342"/>
      <c r="AH639" s="342"/>
      <c r="AI639" s="342"/>
    </row>
    <row r="640">
      <c r="A640" s="342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P640" s="342"/>
      <c r="Q640" s="342"/>
      <c r="R640" s="342"/>
      <c r="S640" s="342"/>
      <c r="T640" s="342"/>
      <c r="U640" s="342"/>
      <c r="V640" s="342"/>
      <c r="W640" s="342"/>
      <c r="X640" s="342"/>
      <c r="Y640" s="342"/>
      <c r="Z640" s="342"/>
      <c r="AA640" s="342"/>
      <c r="AB640" s="342"/>
      <c r="AC640" s="342"/>
      <c r="AD640" s="342"/>
      <c r="AE640" s="342"/>
      <c r="AF640" s="342"/>
      <c r="AG640" s="342"/>
      <c r="AH640" s="342"/>
      <c r="AI640" s="342"/>
    </row>
    <row r="641">
      <c r="A641" s="342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P641" s="342"/>
      <c r="Q641" s="342"/>
      <c r="R641" s="342"/>
      <c r="S641" s="342"/>
      <c r="T641" s="342"/>
      <c r="U641" s="342"/>
      <c r="V641" s="342"/>
      <c r="W641" s="342"/>
      <c r="X641" s="342"/>
      <c r="Y641" s="342"/>
      <c r="Z641" s="342"/>
      <c r="AA641" s="342"/>
      <c r="AB641" s="342"/>
      <c r="AC641" s="342"/>
      <c r="AD641" s="342"/>
      <c r="AE641" s="342"/>
      <c r="AF641" s="342"/>
      <c r="AG641" s="342"/>
      <c r="AH641" s="342"/>
      <c r="AI641" s="342"/>
    </row>
    <row r="642">
      <c r="A642" s="342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P642" s="342"/>
      <c r="Q642" s="342"/>
      <c r="R642" s="342"/>
      <c r="S642" s="342"/>
      <c r="T642" s="342"/>
      <c r="U642" s="342"/>
      <c r="V642" s="342"/>
      <c r="W642" s="342"/>
      <c r="X642" s="342"/>
      <c r="Y642" s="342"/>
      <c r="Z642" s="342"/>
      <c r="AA642" s="342"/>
      <c r="AB642" s="342"/>
      <c r="AC642" s="342"/>
      <c r="AD642" s="342"/>
      <c r="AE642" s="342"/>
      <c r="AF642" s="342"/>
      <c r="AG642" s="342"/>
      <c r="AH642" s="342"/>
      <c r="AI642" s="342"/>
    </row>
    <row r="643">
      <c r="A643" s="342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P643" s="342"/>
      <c r="Q643" s="342"/>
      <c r="R643" s="342"/>
      <c r="S643" s="342"/>
      <c r="T643" s="342"/>
      <c r="U643" s="342"/>
      <c r="V643" s="342"/>
      <c r="W643" s="342"/>
      <c r="X643" s="342"/>
      <c r="Y643" s="342"/>
      <c r="Z643" s="342"/>
      <c r="AA643" s="342"/>
      <c r="AB643" s="342"/>
      <c r="AC643" s="342"/>
      <c r="AD643" s="342"/>
      <c r="AE643" s="342"/>
      <c r="AF643" s="342"/>
      <c r="AG643" s="342"/>
      <c r="AH643" s="342"/>
      <c r="AI643" s="342"/>
    </row>
    <row r="644">
      <c r="A644" s="342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P644" s="342"/>
      <c r="Q644" s="342"/>
      <c r="R644" s="342"/>
      <c r="S644" s="342"/>
      <c r="T644" s="342"/>
      <c r="U644" s="342"/>
      <c r="V644" s="342"/>
      <c r="W644" s="342"/>
      <c r="X644" s="342"/>
      <c r="Y644" s="342"/>
      <c r="Z644" s="342"/>
      <c r="AA644" s="342"/>
      <c r="AB644" s="342"/>
      <c r="AC644" s="342"/>
      <c r="AD644" s="342"/>
      <c r="AE644" s="342"/>
      <c r="AF644" s="342"/>
      <c r="AG644" s="342"/>
      <c r="AH644" s="342"/>
      <c r="AI644" s="342"/>
    </row>
    <row r="645">
      <c r="A645" s="342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P645" s="342"/>
      <c r="Q645" s="342"/>
      <c r="R645" s="342"/>
      <c r="S645" s="342"/>
      <c r="T645" s="342"/>
      <c r="U645" s="342"/>
      <c r="V645" s="342"/>
      <c r="W645" s="342"/>
      <c r="X645" s="342"/>
      <c r="Y645" s="342"/>
      <c r="Z645" s="342"/>
      <c r="AA645" s="342"/>
      <c r="AB645" s="342"/>
      <c r="AC645" s="342"/>
      <c r="AD645" s="342"/>
      <c r="AE645" s="342"/>
      <c r="AF645" s="342"/>
      <c r="AG645" s="342"/>
      <c r="AH645" s="342"/>
      <c r="AI645" s="342"/>
    </row>
    <row r="646">
      <c r="A646" s="342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P646" s="342"/>
      <c r="Q646" s="342"/>
      <c r="R646" s="342"/>
      <c r="S646" s="342"/>
      <c r="T646" s="342"/>
      <c r="U646" s="342"/>
      <c r="V646" s="342"/>
      <c r="W646" s="342"/>
      <c r="X646" s="342"/>
      <c r="Y646" s="342"/>
      <c r="Z646" s="342"/>
      <c r="AA646" s="342"/>
      <c r="AB646" s="342"/>
      <c r="AC646" s="342"/>
      <c r="AD646" s="342"/>
      <c r="AE646" s="342"/>
      <c r="AF646" s="342"/>
      <c r="AG646" s="342"/>
      <c r="AH646" s="342"/>
      <c r="AI646" s="342"/>
    </row>
    <row r="647">
      <c r="A647" s="342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P647" s="342"/>
      <c r="Q647" s="342"/>
      <c r="R647" s="342"/>
      <c r="S647" s="342"/>
      <c r="T647" s="342"/>
      <c r="U647" s="342"/>
      <c r="V647" s="342"/>
      <c r="W647" s="342"/>
      <c r="X647" s="342"/>
      <c r="Y647" s="342"/>
      <c r="Z647" s="342"/>
      <c r="AA647" s="342"/>
      <c r="AB647" s="342"/>
      <c r="AC647" s="342"/>
      <c r="AD647" s="342"/>
      <c r="AE647" s="342"/>
      <c r="AF647" s="342"/>
      <c r="AG647" s="342"/>
      <c r="AH647" s="342"/>
      <c r="AI647" s="342"/>
    </row>
    <row r="648">
      <c r="A648" s="342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P648" s="342"/>
      <c r="Q648" s="342"/>
      <c r="R648" s="342"/>
      <c r="S648" s="342"/>
      <c r="T648" s="342"/>
      <c r="U648" s="342"/>
      <c r="V648" s="342"/>
      <c r="W648" s="342"/>
      <c r="X648" s="342"/>
      <c r="Y648" s="342"/>
      <c r="Z648" s="342"/>
      <c r="AA648" s="342"/>
      <c r="AB648" s="342"/>
      <c r="AC648" s="342"/>
      <c r="AD648" s="342"/>
      <c r="AE648" s="342"/>
      <c r="AF648" s="342"/>
      <c r="AG648" s="342"/>
      <c r="AH648" s="342"/>
      <c r="AI648" s="342"/>
    </row>
    <row r="649">
      <c r="A649" s="342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P649" s="342"/>
      <c r="Q649" s="342"/>
      <c r="R649" s="342"/>
      <c r="S649" s="342"/>
      <c r="T649" s="342"/>
      <c r="U649" s="342"/>
      <c r="V649" s="342"/>
      <c r="W649" s="342"/>
      <c r="X649" s="342"/>
      <c r="Y649" s="342"/>
      <c r="Z649" s="342"/>
      <c r="AA649" s="342"/>
      <c r="AB649" s="342"/>
      <c r="AC649" s="342"/>
      <c r="AD649" s="342"/>
      <c r="AE649" s="342"/>
      <c r="AF649" s="342"/>
      <c r="AG649" s="342"/>
      <c r="AH649" s="342"/>
      <c r="AI649" s="342"/>
    </row>
    <row r="650">
      <c r="A650" s="342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P650" s="342"/>
      <c r="Q650" s="342"/>
      <c r="R650" s="342"/>
      <c r="S650" s="342"/>
      <c r="T650" s="342"/>
      <c r="U650" s="342"/>
      <c r="V650" s="342"/>
      <c r="W650" s="342"/>
      <c r="X650" s="342"/>
      <c r="Y650" s="342"/>
      <c r="Z650" s="342"/>
      <c r="AA650" s="342"/>
      <c r="AB650" s="342"/>
      <c r="AC650" s="342"/>
      <c r="AD650" s="342"/>
      <c r="AE650" s="342"/>
      <c r="AF650" s="342"/>
      <c r="AG650" s="342"/>
      <c r="AH650" s="342"/>
      <c r="AI650" s="342"/>
    </row>
    <row r="651">
      <c r="A651" s="342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P651" s="342"/>
      <c r="Q651" s="342"/>
      <c r="R651" s="342"/>
      <c r="S651" s="342"/>
      <c r="T651" s="342"/>
      <c r="U651" s="342"/>
      <c r="V651" s="342"/>
      <c r="W651" s="342"/>
      <c r="X651" s="342"/>
      <c r="Y651" s="342"/>
      <c r="Z651" s="342"/>
      <c r="AA651" s="342"/>
      <c r="AB651" s="342"/>
      <c r="AC651" s="342"/>
      <c r="AD651" s="342"/>
      <c r="AE651" s="342"/>
      <c r="AF651" s="342"/>
      <c r="AG651" s="342"/>
      <c r="AH651" s="342"/>
      <c r="AI651" s="342"/>
    </row>
    <row r="652">
      <c r="A652" s="342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P652" s="342"/>
      <c r="Q652" s="342"/>
      <c r="R652" s="342"/>
      <c r="S652" s="342"/>
      <c r="T652" s="342"/>
      <c r="U652" s="342"/>
      <c r="V652" s="342"/>
      <c r="W652" s="342"/>
      <c r="X652" s="342"/>
      <c r="Y652" s="342"/>
      <c r="Z652" s="342"/>
      <c r="AA652" s="342"/>
      <c r="AB652" s="342"/>
      <c r="AC652" s="342"/>
      <c r="AD652" s="342"/>
      <c r="AE652" s="342"/>
      <c r="AF652" s="342"/>
      <c r="AG652" s="342"/>
      <c r="AH652" s="342"/>
      <c r="AI652" s="342"/>
    </row>
    <row r="653">
      <c r="A653" s="342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P653" s="342"/>
      <c r="Q653" s="342"/>
      <c r="R653" s="342"/>
      <c r="S653" s="342"/>
      <c r="T653" s="342"/>
      <c r="U653" s="342"/>
      <c r="V653" s="342"/>
      <c r="W653" s="342"/>
      <c r="X653" s="342"/>
      <c r="Y653" s="342"/>
      <c r="Z653" s="342"/>
      <c r="AA653" s="342"/>
      <c r="AB653" s="342"/>
      <c r="AC653" s="342"/>
      <c r="AD653" s="342"/>
      <c r="AE653" s="342"/>
      <c r="AF653" s="342"/>
      <c r="AG653" s="342"/>
      <c r="AH653" s="342"/>
      <c r="AI653" s="342"/>
    </row>
    <row r="654">
      <c r="A654" s="342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P654" s="342"/>
      <c r="Q654" s="342"/>
      <c r="R654" s="342"/>
      <c r="S654" s="342"/>
      <c r="T654" s="342"/>
      <c r="U654" s="342"/>
      <c r="V654" s="342"/>
      <c r="W654" s="342"/>
      <c r="X654" s="342"/>
      <c r="Y654" s="342"/>
      <c r="Z654" s="342"/>
      <c r="AA654" s="342"/>
      <c r="AB654" s="342"/>
      <c r="AC654" s="342"/>
      <c r="AD654" s="342"/>
      <c r="AE654" s="342"/>
      <c r="AF654" s="342"/>
      <c r="AG654" s="342"/>
      <c r="AH654" s="342"/>
      <c r="AI654" s="342"/>
    </row>
    <row r="655">
      <c r="A655" s="342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P655" s="342"/>
      <c r="Q655" s="342"/>
      <c r="R655" s="342"/>
      <c r="S655" s="342"/>
      <c r="T655" s="342"/>
      <c r="U655" s="342"/>
      <c r="V655" s="342"/>
      <c r="W655" s="342"/>
      <c r="X655" s="342"/>
      <c r="Y655" s="342"/>
      <c r="Z655" s="342"/>
      <c r="AA655" s="342"/>
      <c r="AB655" s="342"/>
      <c r="AC655" s="342"/>
      <c r="AD655" s="342"/>
      <c r="AE655" s="342"/>
      <c r="AF655" s="342"/>
      <c r="AG655" s="342"/>
      <c r="AH655" s="342"/>
      <c r="AI655" s="342"/>
    </row>
    <row r="656">
      <c r="A656" s="342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P656" s="342"/>
      <c r="Q656" s="342"/>
      <c r="R656" s="342"/>
      <c r="S656" s="342"/>
      <c r="T656" s="342"/>
      <c r="U656" s="342"/>
      <c r="V656" s="342"/>
      <c r="W656" s="342"/>
      <c r="X656" s="342"/>
      <c r="Y656" s="342"/>
      <c r="Z656" s="342"/>
      <c r="AA656" s="342"/>
      <c r="AB656" s="342"/>
      <c r="AC656" s="342"/>
      <c r="AD656" s="342"/>
      <c r="AE656" s="342"/>
      <c r="AF656" s="342"/>
      <c r="AG656" s="342"/>
      <c r="AH656" s="342"/>
      <c r="AI656" s="342"/>
    </row>
    <row r="657">
      <c r="A657" s="342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P657" s="342"/>
      <c r="Q657" s="342"/>
      <c r="R657" s="342"/>
      <c r="S657" s="342"/>
      <c r="T657" s="342"/>
      <c r="U657" s="342"/>
      <c r="V657" s="342"/>
      <c r="W657" s="342"/>
      <c r="X657" s="342"/>
      <c r="Y657" s="342"/>
      <c r="Z657" s="342"/>
      <c r="AA657" s="342"/>
      <c r="AB657" s="342"/>
      <c r="AC657" s="342"/>
      <c r="AD657" s="342"/>
      <c r="AE657" s="342"/>
      <c r="AF657" s="342"/>
      <c r="AG657" s="342"/>
      <c r="AH657" s="342"/>
      <c r="AI657" s="342"/>
    </row>
    <row r="658">
      <c r="A658" s="342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  <c r="AA658" s="342"/>
      <c r="AB658" s="342"/>
      <c r="AC658" s="342"/>
      <c r="AD658" s="342"/>
      <c r="AE658" s="342"/>
      <c r="AF658" s="342"/>
      <c r="AG658" s="342"/>
      <c r="AH658" s="342"/>
      <c r="AI658" s="342"/>
    </row>
    <row r="659">
      <c r="A659" s="342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P659" s="342"/>
      <c r="Q659" s="342"/>
      <c r="R659" s="342"/>
      <c r="S659" s="342"/>
      <c r="T659" s="342"/>
      <c r="U659" s="342"/>
      <c r="V659" s="342"/>
      <c r="W659" s="342"/>
      <c r="X659" s="342"/>
      <c r="Y659" s="342"/>
      <c r="Z659" s="342"/>
      <c r="AA659" s="342"/>
      <c r="AB659" s="342"/>
      <c r="AC659" s="342"/>
      <c r="AD659" s="342"/>
      <c r="AE659" s="342"/>
      <c r="AF659" s="342"/>
      <c r="AG659" s="342"/>
      <c r="AH659" s="342"/>
      <c r="AI659" s="342"/>
    </row>
    <row r="660">
      <c r="A660" s="342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P660" s="342"/>
      <c r="Q660" s="342"/>
      <c r="R660" s="342"/>
      <c r="S660" s="342"/>
      <c r="T660" s="342"/>
      <c r="U660" s="342"/>
      <c r="V660" s="342"/>
      <c r="W660" s="342"/>
      <c r="X660" s="342"/>
      <c r="Y660" s="342"/>
      <c r="Z660" s="342"/>
      <c r="AA660" s="342"/>
      <c r="AB660" s="342"/>
      <c r="AC660" s="342"/>
      <c r="AD660" s="342"/>
      <c r="AE660" s="342"/>
      <c r="AF660" s="342"/>
      <c r="AG660" s="342"/>
      <c r="AH660" s="342"/>
      <c r="AI660" s="342"/>
    </row>
    <row r="661">
      <c r="A661" s="342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P661" s="342"/>
      <c r="Q661" s="342"/>
      <c r="R661" s="342"/>
      <c r="S661" s="342"/>
      <c r="T661" s="342"/>
      <c r="U661" s="342"/>
      <c r="V661" s="342"/>
      <c r="W661" s="342"/>
      <c r="X661" s="342"/>
      <c r="Y661" s="342"/>
      <c r="Z661" s="342"/>
      <c r="AA661" s="342"/>
      <c r="AB661" s="342"/>
      <c r="AC661" s="342"/>
      <c r="AD661" s="342"/>
      <c r="AE661" s="342"/>
      <c r="AF661" s="342"/>
      <c r="AG661" s="342"/>
      <c r="AH661" s="342"/>
      <c r="AI661" s="342"/>
    </row>
    <row r="662">
      <c r="A662" s="342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P662" s="342"/>
      <c r="Q662" s="342"/>
      <c r="R662" s="342"/>
      <c r="S662" s="342"/>
      <c r="T662" s="342"/>
      <c r="U662" s="342"/>
      <c r="V662" s="342"/>
      <c r="W662" s="342"/>
      <c r="X662" s="342"/>
      <c r="Y662" s="342"/>
      <c r="Z662" s="342"/>
      <c r="AA662" s="342"/>
      <c r="AB662" s="342"/>
      <c r="AC662" s="342"/>
      <c r="AD662" s="342"/>
      <c r="AE662" s="342"/>
      <c r="AF662" s="342"/>
      <c r="AG662" s="342"/>
      <c r="AH662" s="342"/>
      <c r="AI662" s="342"/>
    </row>
    <row r="663">
      <c r="A663" s="342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P663" s="342"/>
      <c r="Q663" s="342"/>
      <c r="R663" s="342"/>
      <c r="S663" s="342"/>
      <c r="T663" s="342"/>
      <c r="U663" s="342"/>
      <c r="V663" s="342"/>
      <c r="W663" s="342"/>
      <c r="X663" s="342"/>
      <c r="Y663" s="342"/>
      <c r="Z663" s="342"/>
      <c r="AA663" s="342"/>
      <c r="AB663" s="342"/>
      <c r="AC663" s="342"/>
      <c r="AD663" s="342"/>
      <c r="AE663" s="342"/>
      <c r="AF663" s="342"/>
      <c r="AG663" s="342"/>
      <c r="AH663" s="342"/>
      <c r="AI663" s="342"/>
    </row>
    <row r="664">
      <c r="A664" s="342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P664" s="342"/>
      <c r="Q664" s="342"/>
      <c r="R664" s="342"/>
      <c r="S664" s="342"/>
      <c r="T664" s="342"/>
      <c r="U664" s="342"/>
      <c r="V664" s="342"/>
      <c r="W664" s="342"/>
      <c r="X664" s="342"/>
      <c r="Y664" s="342"/>
      <c r="Z664" s="342"/>
      <c r="AA664" s="342"/>
      <c r="AB664" s="342"/>
      <c r="AC664" s="342"/>
      <c r="AD664" s="342"/>
      <c r="AE664" s="342"/>
      <c r="AF664" s="342"/>
      <c r="AG664" s="342"/>
      <c r="AH664" s="342"/>
      <c r="AI664" s="342"/>
    </row>
    <row r="665">
      <c r="A665" s="342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P665" s="342"/>
      <c r="Q665" s="342"/>
      <c r="R665" s="342"/>
      <c r="S665" s="342"/>
      <c r="T665" s="342"/>
      <c r="U665" s="342"/>
      <c r="V665" s="342"/>
      <c r="W665" s="342"/>
      <c r="X665" s="342"/>
      <c r="Y665" s="342"/>
      <c r="Z665" s="342"/>
      <c r="AA665" s="342"/>
      <c r="AB665" s="342"/>
      <c r="AC665" s="342"/>
      <c r="AD665" s="342"/>
      <c r="AE665" s="342"/>
      <c r="AF665" s="342"/>
      <c r="AG665" s="342"/>
      <c r="AH665" s="342"/>
      <c r="AI665" s="342"/>
    </row>
    <row r="666">
      <c r="A666" s="342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  <c r="AA666" s="342"/>
      <c r="AB666" s="342"/>
      <c r="AC666" s="342"/>
      <c r="AD666" s="342"/>
      <c r="AE666" s="342"/>
      <c r="AF666" s="342"/>
      <c r="AG666" s="342"/>
      <c r="AH666" s="342"/>
      <c r="AI666" s="342"/>
    </row>
    <row r="667">
      <c r="A667" s="342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P667" s="342"/>
      <c r="Q667" s="342"/>
      <c r="R667" s="342"/>
      <c r="S667" s="342"/>
      <c r="T667" s="342"/>
      <c r="U667" s="342"/>
      <c r="V667" s="342"/>
      <c r="W667" s="342"/>
      <c r="X667" s="342"/>
      <c r="Y667" s="342"/>
      <c r="Z667" s="342"/>
      <c r="AA667" s="342"/>
      <c r="AB667" s="342"/>
      <c r="AC667" s="342"/>
      <c r="AD667" s="342"/>
      <c r="AE667" s="342"/>
      <c r="AF667" s="342"/>
      <c r="AG667" s="342"/>
      <c r="AH667" s="342"/>
      <c r="AI667" s="342"/>
    </row>
    <row r="668">
      <c r="A668" s="342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P668" s="342"/>
      <c r="Q668" s="342"/>
      <c r="R668" s="342"/>
      <c r="S668" s="342"/>
      <c r="T668" s="342"/>
      <c r="U668" s="342"/>
      <c r="V668" s="342"/>
      <c r="W668" s="342"/>
      <c r="X668" s="342"/>
      <c r="Y668" s="342"/>
      <c r="Z668" s="342"/>
      <c r="AA668" s="342"/>
      <c r="AB668" s="342"/>
      <c r="AC668" s="342"/>
      <c r="AD668" s="342"/>
      <c r="AE668" s="342"/>
      <c r="AF668" s="342"/>
      <c r="AG668" s="342"/>
      <c r="AH668" s="342"/>
      <c r="AI668" s="342"/>
    </row>
    <row r="669">
      <c r="A669" s="342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P669" s="342"/>
      <c r="Q669" s="342"/>
      <c r="R669" s="342"/>
      <c r="S669" s="342"/>
      <c r="T669" s="342"/>
      <c r="U669" s="342"/>
      <c r="V669" s="342"/>
      <c r="W669" s="342"/>
      <c r="X669" s="342"/>
      <c r="Y669" s="342"/>
      <c r="Z669" s="342"/>
      <c r="AA669" s="342"/>
      <c r="AB669" s="342"/>
      <c r="AC669" s="342"/>
      <c r="AD669" s="342"/>
      <c r="AE669" s="342"/>
      <c r="AF669" s="342"/>
      <c r="AG669" s="342"/>
      <c r="AH669" s="342"/>
      <c r="AI669" s="342"/>
    </row>
    <row r="670">
      <c r="A670" s="342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  <c r="AA670" s="342"/>
      <c r="AB670" s="342"/>
      <c r="AC670" s="342"/>
      <c r="AD670" s="342"/>
      <c r="AE670" s="342"/>
      <c r="AF670" s="342"/>
      <c r="AG670" s="342"/>
      <c r="AH670" s="342"/>
      <c r="AI670" s="342"/>
    </row>
    <row r="671">
      <c r="A671" s="342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P671" s="342"/>
      <c r="Q671" s="342"/>
      <c r="R671" s="342"/>
      <c r="S671" s="342"/>
      <c r="T671" s="342"/>
      <c r="U671" s="342"/>
      <c r="V671" s="342"/>
      <c r="W671" s="342"/>
      <c r="X671" s="342"/>
      <c r="Y671" s="342"/>
      <c r="Z671" s="342"/>
      <c r="AA671" s="342"/>
      <c r="AB671" s="342"/>
      <c r="AC671" s="342"/>
      <c r="AD671" s="342"/>
      <c r="AE671" s="342"/>
      <c r="AF671" s="342"/>
      <c r="AG671" s="342"/>
      <c r="AH671" s="342"/>
      <c r="AI671" s="342"/>
    </row>
    <row r="672">
      <c r="A672" s="342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P672" s="342"/>
      <c r="Q672" s="342"/>
      <c r="R672" s="342"/>
      <c r="S672" s="342"/>
      <c r="T672" s="342"/>
      <c r="U672" s="342"/>
      <c r="V672" s="342"/>
      <c r="W672" s="342"/>
      <c r="X672" s="342"/>
      <c r="Y672" s="342"/>
      <c r="Z672" s="342"/>
      <c r="AA672" s="342"/>
      <c r="AB672" s="342"/>
      <c r="AC672" s="342"/>
      <c r="AD672" s="342"/>
      <c r="AE672" s="342"/>
      <c r="AF672" s="342"/>
      <c r="AG672" s="342"/>
      <c r="AH672" s="342"/>
      <c r="AI672" s="342"/>
    </row>
    <row r="673">
      <c r="A673" s="342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P673" s="342"/>
      <c r="Q673" s="342"/>
      <c r="R673" s="342"/>
      <c r="S673" s="342"/>
      <c r="T673" s="342"/>
      <c r="U673" s="342"/>
      <c r="V673" s="342"/>
      <c r="W673" s="342"/>
      <c r="X673" s="342"/>
      <c r="Y673" s="342"/>
      <c r="Z673" s="342"/>
      <c r="AA673" s="342"/>
      <c r="AB673" s="342"/>
      <c r="AC673" s="342"/>
      <c r="AD673" s="342"/>
      <c r="AE673" s="342"/>
      <c r="AF673" s="342"/>
      <c r="AG673" s="342"/>
      <c r="AH673" s="342"/>
      <c r="AI673" s="342"/>
    </row>
    <row r="674">
      <c r="A674" s="342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  <c r="AA674" s="342"/>
      <c r="AB674" s="342"/>
      <c r="AC674" s="342"/>
      <c r="AD674" s="342"/>
      <c r="AE674" s="342"/>
      <c r="AF674" s="342"/>
      <c r="AG674" s="342"/>
      <c r="AH674" s="342"/>
      <c r="AI674" s="342"/>
    </row>
    <row r="675">
      <c r="A675" s="342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P675" s="342"/>
      <c r="Q675" s="342"/>
      <c r="R675" s="342"/>
      <c r="S675" s="342"/>
      <c r="T675" s="342"/>
      <c r="U675" s="342"/>
      <c r="V675" s="342"/>
      <c r="W675" s="342"/>
      <c r="X675" s="342"/>
      <c r="Y675" s="342"/>
      <c r="Z675" s="342"/>
      <c r="AA675" s="342"/>
      <c r="AB675" s="342"/>
      <c r="AC675" s="342"/>
      <c r="AD675" s="342"/>
      <c r="AE675" s="342"/>
      <c r="AF675" s="342"/>
      <c r="AG675" s="342"/>
      <c r="AH675" s="342"/>
      <c r="AI675" s="342"/>
    </row>
    <row r="676">
      <c r="A676" s="342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P676" s="342"/>
      <c r="Q676" s="342"/>
      <c r="R676" s="342"/>
      <c r="S676" s="342"/>
      <c r="T676" s="342"/>
      <c r="U676" s="342"/>
      <c r="V676" s="342"/>
      <c r="W676" s="342"/>
      <c r="X676" s="342"/>
      <c r="Y676" s="342"/>
      <c r="Z676" s="342"/>
      <c r="AA676" s="342"/>
      <c r="AB676" s="342"/>
      <c r="AC676" s="342"/>
      <c r="AD676" s="342"/>
      <c r="AE676" s="342"/>
      <c r="AF676" s="342"/>
      <c r="AG676" s="342"/>
      <c r="AH676" s="342"/>
      <c r="AI676" s="342"/>
    </row>
    <row r="677">
      <c r="A677" s="342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  <c r="AA677" s="342"/>
      <c r="AB677" s="342"/>
      <c r="AC677" s="342"/>
      <c r="AD677" s="342"/>
      <c r="AE677" s="342"/>
      <c r="AF677" s="342"/>
      <c r="AG677" s="342"/>
      <c r="AH677" s="342"/>
      <c r="AI677" s="342"/>
    </row>
    <row r="678">
      <c r="A678" s="342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P678" s="342"/>
      <c r="Q678" s="342"/>
      <c r="R678" s="342"/>
      <c r="S678" s="342"/>
      <c r="T678" s="342"/>
      <c r="U678" s="342"/>
      <c r="V678" s="342"/>
      <c r="W678" s="342"/>
      <c r="X678" s="342"/>
      <c r="Y678" s="342"/>
      <c r="Z678" s="342"/>
      <c r="AA678" s="342"/>
      <c r="AB678" s="342"/>
      <c r="AC678" s="342"/>
      <c r="AD678" s="342"/>
      <c r="AE678" s="342"/>
      <c r="AF678" s="342"/>
      <c r="AG678" s="342"/>
      <c r="AH678" s="342"/>
      <c r="AI678" s="342"/>
    </row>
    <row r="679">
      <c r="A679" s="342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P679" s="342"/>
      <c r="Q679" s="342"/>
      <c r="R679" s="342"/>
      <c r="S679" s="342"/>
      <c r="T679" s="342"/>
      <c r="U679" s="342"/>
      <c r="V679" s="342"/>
      <c r="W679" s="342"/>
      <c r="X679" s="342"/>
      <c r="Y679" s="342"/>
      <c r="Z679" s="342"/>
      <c r="AA679" s="342"/>
      <c r="AB679" s="342"/>
      <c r="AC679" s="342"/>
      <c r="AD679" s="342"/>
      <c r="AE679" s="342"/>
      <c r="AF679" s="342"/>
      <c r="AG679" s="342"/>
      <c r="AH679" s="342"/>
      <c r="AI679" s="342"/>
    </row>
    <row r="680">
      <c r="A680" s="342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  <c r="AA680" s="342"/>
      <c r="AB680" s="342"/>
      <c r="AC680" s="342"/>
      <c r="AD680" s="342"/>
      <c r="AE680" s="342"/>
      <c r="AF680" s="342"/>
      <c r="AG680" s="342"/>
      <c r="AH680" s="342"/>
      <c r="AI680" s="342"/>
    </row>
    <row r="681">
      <c r="A681" s="342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P681" s="342"/>
      <c r="Q681" s="342"/>
      <c r="R681" s="342"/>
      <c r="S681" s="342"/>
      <c r="T681" s="342"/>
      <c r="U681" s="342"/>
      <c r="V681" s="342"/>
      <c r="W681" s="342"/>
      <c r="X681" s="342"/>
      <c r="Y681" s="342"/>
      <c r="Z681" s="342"/>
      <c r="AA681" s="342"/>
      <c r="AB681" s="342"/>
      <c r="AC681" s="342"/>
      <c r="AD681" s="342"/>
      <c r="AE681" s="342"/>
      <c r="AF681" s="342"/>
      <c r="AG681" s="342"/>
      <c r="AH681" s="342"/>
      <c r="AI681" s="342"/>
    </row>
    <row r="682">
      <c r="A682" s="342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P682" s="342"/>
      <c r="Q682" s="342"/>
      <c r="R682" s="342"/>
      <c r="S682" s="342"/>
      <c r="T682" s="342"/>
      <c r="U682" s="342"/>
      <c r="V682" s="342"/>
      <c r="W682" s="342"/>
      <c r="X682" s="342"/>
      <c r="Y682" s="342"/>
      <c r="Z682" s="342"/>
      <c r="AA682" s="342"/>
      <c r="AB682" s="342"/>
      <c r="AC682" s="342"/>
      <c r="AD682" s="342"/>
      <c r="AE682" s="342"/>
      <c r="AF682" s="342"/>
      <c r="AG682" s="342"/>
      <c r="AH682" s="342"/>
      <c r="AI682" s="342"/>
    </row>
    <row r="683">
      <c r="A683" s="342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  <c r="AA683" s="342"/>
      <c r="AB683" s="342"/>
      <c r="AC683" s="342"/>
      <c r="AD683" s="342"/>
      <c r="AE683" s="342"/>
      <c r="AF683" s="342"/>
      <c r="AG683" s="342"/>
      <c r="AH683" s="342"/>
      <c r="AI683" s="342"/>
    </row>
    <row r="684">
      <c r="A684" s="342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P684" s="342"/>
      <c r="Q684" s="342"/>
      <c r="R684" s="342"/>
      <c r="S684" s="342"/>
      <c r="T684" s="342"/>
      <c r="U684" s="342"/>
      <c r="V684" s="342"/>
      <c r="W684" s="342"/>
      <c r="X684" s="342"/>
      <c r="Y684" s="342"/>
      <c r="Z684" s="342"/>
      <c r="AA684" s="342"/>
      <c r="AB684" s="342"/>
      <c r="AC684" s="342"/>
      <c r="AD684" s="342"/>
      <c r="AE684" s="342"/>
      <c r="AF684" s="342"/>
      <c r="AG684" s="342"/>
      <c r="AH684" s="342"/>
      <c r="AI684" s="342"/>
    </row>
    <row r="685">
      <c r="A685" s="342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P685" s="342"/>
      <c r="Q685" s="342"/>
      <c r="R685" s="342"/>
      <c r="S685" s="342"/>
      <c r="T685" s="342"/>
      <c r="U685" s="342"/>
      <c r="V685" s="342"/>
      <c r="W685" s="342"/>
      <c r="X685" s="342"/>
      <c r="Y685" s="342"/>
      <c r="Z685" s="342"/>
      <c r="AA685" s="342"/>
      <c r="AB685" s="342"/>
      <c r="AC685" s="342"/>
      <c r="AD685" s="342"/>
      <c r="AE685" s="342"/>
      <c r="AF685" s="342"/>
      <c r="AG685" s="342"/>
      <c r="AH685" s="342"/>
      <c r="AI685" s="342"/>
    </row>
    <row r="686">
      <c r="A686" s="342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  <c r="AA686" s="342"/>
      <c r="AB686" s="342"/>
      <c r="AC686" s="342"/>
      <c r="AD686" s="342"/>
      <c r="AE686" s="342"/>
      <c r="AF686" s="342"/>
      <c r="AG686" s="342"/>
      <c r="AH686" s="342"/>
      <c r="AI686" s="342"/>
    </row>
    <row r="687">
      <c r="A687" s="342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P687" s="342"/>
      <c r="Q687" s="342"/>
      <c r="R687" s="342"/>
      <c r="S687" s="342"/>
      <c r="T687" s="342"/>
      <c r="U687" s="342"/>
      <c r="V687" s="342"/>
      <c r="W687" s="342"/>
      <c r="X687" s="342"/>
      <c r="Y687" s="342"/>
      <c r="Z687" s="342"/>
      <c r="AA687" s="342"/>
      <c r="AB687" s="342"/>
      <c r="AC687" s="342"/>
      <c r="AD687" s="342"/>
      <c r="AE687" s="342"/>
      <c r="AF687" s="342"/>
      <c r="AG687" s="342"/>
      <c r="AH687" s="342"/>
      <c r="AI687" s="342"/>
    </row>
    <row r="688">
      <c r="A688" s="342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P688" s="342"/>
      <c r="Q688" s="342"/>
      <c r="R688" s="342"/>
      <c r="S688" s="342"/>
      <c r="T688" s="342"/>
      <c r="U688" s="342"/>
      <c r="V688" s="342"/>
      <c r="W688" s="342"/>
      <c r="X688" s="342"/>
      <c r="Y688" s="342"/>
      <c r="Z688" s="342"/>
      <c r="AA688" s="342"/>
      <c r="AB688" s="342"/>
      <c r="AC688" s="342"/>
      <c r="AD688" s="342"/>
      <c r="AE688" s="342"/>
      <c r="AF688" s="342"/>
      <c r="AG688" s="342"/>
      <c r="AH688" s="342"/>
      <c r="AI688" s="342"/>
    </row>
    <row r="689">
      <c r="A689" s="342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P689" s="342"/>
      <c r="Q689" s="342"/>
      <c r="R689" s="342"/>
      <c r="S689" s="342"/>
      <c r="T689" s="342"/>
      <c r="U689" s="342"/>
      <c r="V689" s="342"/>
      <c r="W689" s="342"/>
      <c r="X689" s="342"/>
      <c r="Y689" s="342"/>
      <c r="Z689" s="342"/>
      <c r="AA689" s="342"/>
      <c r="AB689" s="342"/>
      <c r="AC689" s="342"/>
      <c r="AD689" s="342"/>
      <c r="AE689" s="342"/>
      <c r="AF689" s="342"/>
      <c r="AG689" s="342"/>
      <c r="AH689" s="342"/>
      <c r="AI689" s="342"/>
    </row>
    <row r="690">
      <c r="A690" s="342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P690" s="342"/>
      <c r="Q690" s="342"/>
      <c r="R690" s="342"/>
      <c r="S690" s="342"/>
      <c r="T690" s="342"/>
      <c r="U690" s="342"/>
      <c r="V690" s="342"/>
      <c r="W690" s="342"/>
      <c r="X690" s="342"/>
      <c r="Y690" s="342"/>
      <c r="Z690" s="342"/>
      <c r="AA690" s="342"/>
      <c r="AB690" s="342"/>
      <c r="AC690" s="342"/>
      <c r="AD690" s="342"/>
      <c r="AE690" s="342"/>
      <c r="AF690" s="342"/>
      <c r="AG690" s="342"/>
      <c r="AH690" s="342"/>
      <c r="AI690" s="342"/>
    </row>
    <row r="691">
      <c r="A691" s="342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P691" s="342"/>
      <c r="Q691" s="342"/>
      <c r="R691" s="342"/>
      <c r="S691" s="342"/>
      <c r="T691" s="342"/>
      <c r="U691" s="342"/>
      <c r="V691" s="342"/>
      <c r="W691" s="342"/>
      <c r="X691" s="342"/>
      <c r="Y691" s="342"/>
      <c r="Z691" s="342"/>
      <c r="AA691" s="342"/>
      <c r="AB691" s="342"/>
      <c r="AC691" s="342"/>
      <c r="AD691" s="342"/>
      <c r="AE691" s="342"/>
      <c r="AF691" s="342"/>
      <c r="AG691" s="342"/>
      <c r="AH691" s="342"/>
      <c r="AI691" s="342"/>
    </row>
    <row r="692">
      <c r="A692" s="342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P692" s="342"/>
      <c r="Q692" s="342"/>
      <c r="R692" s="342"/>
      <c r="S692" s="342"/>
      <c r="T692" s="342"/>
      <c r="U692" s="342"/>
      <c r="V692" s="342"/>
      <c r="W692" s="342"/>
      <c r="X692" s="342"/>
      <c r="Y692" s="342"/>
      <c r="Z692" s="342"/>
      <c r="AA692" s="342"/>
      <c r="AB692" s="342"/>
      <c r="AC692" s="342"/>
      <c r="AD692" s="342"/>
      <c r="AE692" s="342"/>
      <c r="AF692" s="342"/>
      <c r="AG692" s="342"/>
      <c r="AH692" s="342"/>
      <c r="AI692" s="342"/>
    </row>
    <row r="693">
      <c r="A693" s="342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P693" s="342"/>
      <c r="Q693" s="342"/>
      <c r="R693" s="342"/>
      <c r="S693" s="342"/>
      <c r="T693" s="342"/>
      <c r="U693" s="342"/>
      <c r="V693" s="342"/>
      <c r="W693" s="342"/>
      <c r="X693" s="342"/>
      <c r="Y693" s="342"/>
      <c r="Z693" s="342"/>
      <c r="AA693" s="342"/>
      <c r="AB693" s="342"/>
      <c r="AC693" s="342"/>
      <c r="AD693" s="342"/>
      <c r="AE693" s="342"/>
      <c r="AF693" s="342"/>
      <c r="AG693" s="342"/>
      <c r="AH693" s="342"/>
      <c r="AI693" s="342"/>
    </row>
    <row r="694">
      <c r="A694" s="342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P694" s="342"/>
      <c r="Q694" s="342"/>
      <c r="R694" s="342"/>
      <c r="S694" s="342"/>
      <c r="T694" s="342"/>
      <c r="U694" s="342"/>
      <c r="V694" s="342"/>
      <c r="W694" s="342"/>
      <c r="X694" s="342"/>
      <c r="Y694" s="342"/>
      <c r="Z694" s="342"/>
      <c r="AA694" s="342"/>
      <c r="AB694" s="342"/>
      <c r="AC694" s="342"/>
      <c r="AD694" s="342"/>
      <c r="AE694" s="342"/>
      <c r="AF694" s="342"/>
      <c r="AG694" s="342"/>
      <c r="AH694" s="342"/>
      <c r="AI694" s="342"/>
    </row>
    <row r="695">
      <c r="A695" s="342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P695" s="342"/>
      <c r="Q695" s="342"/>
      <c r="R695" s="342"/>
      <c r="S695" s="342"/>
      <c r="T695" s="342"/>
      <c r="U695" s="342"/>
      <c r="V695" s="342"/>
      <c r="W695" s="342"/>
      <c r="X695" s="342"/>
      <c r="Y695" s="342"/>
      <c r="Z695" s="342"/>
      <c r="AA695" s="342"/>
      <c r="AB695" s="342"/>
      <c r="AC695" s="342"/>
      <c r="AD695" s="342"/>
      <c r="AE695" s="342"/>
      <c r="AF695" s="342"/>
      <c r="AG695" s="342"/>
      <c r="AH695" s="342"/>
      <c r="AI695" s="342"/>
    </row>
    <row r="696">
      <c r="A696" s="342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P696" s="342"/>
      <c r="Q696" s="342"/>
      <c r="R696" s="342"/>
      <c r="S696" s="342"/>
      <c r="T696" s="342"/>
      <c r="U696" s="342"/>
      <c r="V696" s="342"/>
      <c r="W696" s="342"/>
      <c r="X696" s="342"/>
      <c r="Y696" s="342"/>
      <c r="Z696" s="342"/>
      <c r="AA696" s="342"/>
      <c r="AB696" s="342"/>
      <c r="AC696" s="342"/>
      <c r="AD696" s="342"/>
      <c r="AE696" s="342"/>
      <c r="AF696" s="342"/>
      <c r="AG696" s="342"/>
      <c r="AH696" s="342"/>
      <c r="AI696" s="342"/>
    </row>
    <row r="697">
      <c r="A697" s="342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P697" s="342"/>
      <c r="Q697" s="342"/>
      <c r="R697" s="342"/>
      <c r="S697" s="342"/>
      <c r="T697" s="342"/>
      <c r="U697" s="342"/>
      <c r="V697" s="342"/>
      <c r="W697" s="342"/>
      <c r="X697" s="342"/>
      <c r="Y697" s="342"/>
      <c r="Z697" s="342"/>
      <c r="AA697" s="342"/>
      <c r="AB697" s="342"/>
      <c r="AC697" s="342"/>
      <c r="AD697" s="342"/>
      <c r="AE697" s="342"/>
      <c r="AF697" s="342"/>
      <c r="AG697" s="342"/>
      <c r="AH697" s="342"/>
      <c r="AI697" s="342"/>
    </row>
    <row r="698">
      <c r="A698" s="342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P698" s="342"/>
      <c r="Q698" s="342"/>
      <c r="R698" s="342"/>
      <c r="S698" s="342"/>
      <c r="T698" s="342"/>
      <c r="U698" s="342"/>
      <c r="V698" s="342"/>
      <c r="W698" s="342"/>
      <c r="X698" s="342"/>
      <c r="Y698" s="342"/>
      <c r="Z698" s="342"/>
      <c r="AA698" s="342"/>
      <c r="AB698" s="342"/>
      <c r="AC698" s="342"/>
      <c r="AD698" s="342"/>
      <c r="AE698" s="342"/>
      <c r="AF698" s="342"/>
      <c r="AG698" s="342"/>
      <c r="AH698" s="342"/>
      <c r="AI698" s="342"/>
    </row>
    <row r="699">
      <c r="A699" s="342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P699" s="342"/>
      <c r="Q699" s="342"/>
      <c r="R699" s="342"/>
      <c r="S699" s="342"/>
      <c r="T699" s="342"/>
      <c r="U699" s="342"/>
      <c r="V699" s="342"/>
      <c r="W699" s="342"/>
      <c r="X699" s="342"/>
      <c r="Y699" s="342"/>
      <c r="Z699" s="342"/>
      <c r="AA699" s="342"/>
      <c r="AB699" s="342"/>
      <c r="AC699" s="342"/>
      <c r="AD699" s="342"/>
      <c r="AE699" s="342"/>
      <c r="AF699" s="342"/>
      <c r="AG699" s="342"/>
      <c r="AH699" s="342"/>
      <c r="AI699" s="342"/>
    </row>
    <row r="700">
      <c r="A700" s="342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P700" s="342"/>
      <c r="Q700" s="342"/>
      <c r="R700" s="342"/>
      <c r="S700" s="342"/>
      <c r="T700" s="342"/>
      <c r="U700" s="342"/>
      <c r="V700" s="342"/>
      <c r="W700" s="342"/>
      <c r="X700" s="342"/>
      <c r="Y700" s="342"/>
      <c r="Z700" s="342"/>
      <c r="AA700" s="342"/>
      <c r="AB700" s="342"/>
      <c r="AC700" s="342"/>
      <c r="AD700" s="342"/>
      <c r="AE700" s="342"/>
      <c r="AF700" s="342"/>
      <c r="AG700" s="342"/>
      <c r="AH700" s="342"/>
      <c r="AI700" s="342"/>
    </row>
    <row r="701">
      <c r="A701" s="342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P701" s="342"/>
      <c r="Q701" s="342"/>
      <c r="R701" s="342"/>
      <c r="S701" s="342"/>
      <c r="T701" s="342"/>
      <c r="U701" s="342"/>
      <c r="V701" s="342"/>
      <c r="W701" s="342"/>
      <c r="X701" s="342"/>
      <c r="Y701" s="342"/>
      <c r="Z701" s="342"/>
      <c r="AA701" s="342"/>
      <c r="AB701" s="342"/>
      <c r="AC701" s="342"/>
      <c r="AD701" s="342"/>
      <c r="AE701" s="342"/>
      <c r="AF701" s="342"/>
      <c r="AG701" s="342"/>
      <c r="AH701" s="342"/>
      <c r="AI701" s="342"/>
    </row>
    <row r="702">
      <c r="A702" s="342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P702" s="342"/>
      <c r="Q702" s="342"/>
      <c r="R702" s="342"/>
      <c r="S702" s="342"/>
      <c r="T702" s="342"/>
      <c r="U702" s="342"/>
      <c r="V702" s="342"/>
      <c r="W702" s="342"/>
      <c r="X702" s="342"/>
      <c r="Y702" s="342"/>
      <c r="Z702" s="342"/>
      <c r="AA702" s="342"/>
      <c r="AB702" s="342"/>
      <c r="AC702" s="342"/>
      <c r="AD702" s="342"/>
      <c r="AE702" s="342"/>
      <c r="AF702" s="342"/>
      <c r="AG702" s="342"/>
      <c r="AH702" s="342"/>
      <c r="AI702" s="342"/>
    </row>
    <row r="703">
      <c r="A703" s="342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P703" s="342"/>
      <c r="Q703" s="342"/>
      <c r="R703" s="342"/>
      <c r="S703" s="342"/>
      <c r="T703" s="342"/>
      <c r="U703" s="342"/>
      <c r="V703" s="342"/>
      <c r="W703" s="342"/>
      <c r="X703" s="342"/>
      <c r="Y703" s="342"/>
      <c r="Z703" s="342"/>
      <c r="AA703" s="342"/>
      <c r="AB703" s="342"/>
      <c r="AC703" s="342"/>
      <c r="AD703" s="342"/>
      <c r="AE703" s="342"/>
      <c r="AF703" s="342"/>
      <c r="AG703" s="342"/>
      <c r="AH703" s="342"/>
      <c r="AI703" s="342"/>
    </row>
    <row r="704">
      <c r="A704" s="342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P704" s="342"/>
      <c r="Q704" s="342"/>
      <c r="R704" s="342"/>
      <c r="S704" s="342"/>
      <c r="T704" s="342"/>
      <c r="U704" s="342"/>
      <c r="V704" s="342"/>
      <c r="W704" s="342"/>
      <c r="X704" s="342"/>
      <c r="Y704" s="342"/>
      <c r="Z704" s="342"/>
      <c r="AA704" s="342"/>
      <c r="AB704" s="342"/>
      <c r="AC704" s="342"/>
      <c r="AD704" s="342"/>
      <c r="AE704" s="342"/>
      <c r="AF704" s="342"/>
      <c r="AG704" s="342"/>
      <c r="AH704" s="342"/>
      <c r="AI704" s="342"/>
    </row>
    <row r="705">
      <c r="A705" s="342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P705" s="342"/>
      <c r="Q705" s="342"/>
      <c r="R705" s="342"/>
      <c r="S705" s="342"/>
      <c r="T705" s="342"/>
      <c r="U705" s="342"/>
      <c r="V705" s="342"/>
      <c r="W705" s="342"/>
      <c r="X705" s="342"/>
      <c r="Y705" s="342"/>
      <c r="Z705" s="342"/>
      <c r="AA705" s="342"/>
      <c r="AB705" s="342"/>
      <c r="AC705" s="342"/>
      <c r="AD705" s="342"/>
      <c r="AE705" s="342"/>
      <c r="AF705" s="342"/>
      <c r="AG705" s="342"/>
      <c r="AH705" s="342"/>
      <c r="AI705" s="342"/>
    </row>
    <row r="706">
      <c r="A706" s="342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P706" s="342"/>
      <c r="Q706" s="342"/>
      <c r="R706" s="342"/>
      <c r="S706" s="342"/>
      <c r="T706" s="342"/>
      <c r="U706" s="342"/>
      <c r="V706" s="342"/>
      <c r="W706" s="342"/>
      <c r="X706" s="342"/>
      <c r="Y706" s="342"/>
      <c r="Z706" s="342"/>
      <c r="AA706" s="342"/>
      <c r="AB706" s="342"/>
      <c r="AC706" s="342"/>
      <c r="AD706" s="342"/>
      <c r="AE706" s="342"/>
      <c r="AF706" s="342"/>
      <c r="AG706" s="342"/>
      <c r="AH706" s="342"/>
      <c r="AI706" s="342"/>
    </row>
    <row r="707">
      <c r="A707" s="342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P707" s="342"/>
      <c r="Q707" s="342"/>
      <c r="R707" s="342"/>
      <c r="S707" s="342"/>
      <c r="T707" s="342"/>
      <c r="U707" s="342"/>
      <c r="V707" s="342"/>
      <c r="W707" s="342"/>
      <c r="X707" s="342"/>
      <c r="Y707" s="342"/>
      <c r="Z707" s="342"/>
      <c r="AA707" s="342"/>
      <c r="AB707" s="342"/>
      <c r="AC707" s="342"/>
      <c r="AD707" s="342"/>
      <c r="AE707" s="342"/>
      <c r="AF707" s="342"/>
      <c r="AG707" s="342"/>
      <c r="AH707" s="342"/>
      <c r="AI707" s="342"/>
    </row>
    <row r="708">
      <c r="A708" s="342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P708" s="342"/>
      <c r="Q708" s="342"/>
      <c r="R708" s="342"/>
      <c r="S708" s="342"/>
      <c r="T708" s="342"/>
      <c r="U708" s="342"/>
      <c r="V708" s="342"/>
      <c r="W708" s="342"/>
      <c r="X708" s="342"/>
      <c r="Y708" s="342"/>
      <c r="Z708" s="342"/>
      <c r="AA708" s="342"/>
      <c r="AB708" s="342"/>
      <c r="AC708" s="342"/>
      <c r="AD708" s="342"/>
      <c r="AE708" s="342"/>
      <c r="AF708" s="342"/>
      <c r="AG708" s="342"/>
      <c r="AH708" s="342"/>
      <c r="AI708" s="342"/>
    </row>
    <row r="709">
      <c r="A709" s="342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P709" s="342"/>
      <c r="Q709" s="342"/>
      <c r="R709" s="342"/>
      <c r="S709" s="342"/>
      <c r="T709" s="342"/>
      <c r="U709" s="342"/>
      <c r="V709" s="342"/>
      <c r="W709" s="342"/>
      <c r="X709" s="342"/>
      <c r="Y709" s="342"/>
      <c r="Z709" s="342"/>
      <c r="AA709" s="342"/>
      <c r="AB709" s="342"/>
      <c r="AC709" s="342"/>
      <c r="AD709" s="342"/>
      <c r="AE709" s="342"/>
      <c r="AF709" s="342"/>
      <c r="AG709" s="342"/>
      <c r="AH709" s="342"/>
      <c r="AI709" s="342"/>
    </row>
    <row r="710">
      <c r="A710" s="342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P710" s="342"/>
      <c r="Q710" s="342"/>
      <c r="R710" s="342"/>
      <c r="S710" s="342"/>
      <c r="T710" s="342"/>
      <c r="U710" s="342"/>
      <c r="V710" s="342"/>
      <c r="W710" s="342"/>
      <c r="X710" s="342"/>
      <c r="Y710" s="342"/>
      <c r="Z710" s="342"/>
      <c r="AA710" s="342"/>
      <c r="AB710" s="342"/>
      <c r="AC710" s="342"/>
      <c r="AD710" s="342"/>
      <c r="AE710" s="342"/>
      <c r="AF710" s="342"/>
      <c r="AG710" s="342"/>
      <c r="AH710" s="342"/>
      <c r="AI710" s="342"/>
    </row>
    <row r="711">
      <c r="A711" s="342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P711" s="342"/>
      <c r="Q711" s="342"/>
      <c r="R711" s="342"/>
      <c r="S711" s="342"/>
      <c r="T711" s="342"/>
      <c r="U711" s="342"/>
      <c r="V711" s="342"/>
      <c r="W711" s="342"/>
      <c r="X711" s="342"/>
      <c r="Y711" s="342"/>
      <c r="Z711" s="342"/>
      <c r="AA711" s="342"/>
      <c r="AB711" s="342"/>
      <c r="AC711" s="342"/>
      <c r="AD711" s="342"/>
      <c r="AE711" s="342"/>
      <c r="AF711" s="342"/>
      <c r="AG711" s="342"/>
      <c r="AH711" s="342"/>
      <c r="AI711" s="342"/>
    </row>
    <row r="712">
      <c r="A712" s="342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P712" s="342"/>
      <c r="Q712" s="342"/>
      <c r="R712" s="342"/>
      <c r="S712" s="342"/>
      <c r="T712" s="342"/>
      <c r="U712" s="342"/>
      <c r="V712" s="342"/>
      <c r="W712" s="342"/>
      <c r="X712" s="342"/>
      <c r="Y712" s="342"/>
      <c r="Z712" s="342"/>
      <c r="AA712" s="342"/>
      <c r="AB712" s="342"/>
      <c r="AC712" s="342"/>
      <c r="AD712" s="342"/>
      <c r="AE712" s="342"/>
      <c r="AF712" s="342"/>
      <c r="AG712" s="342"/>
      <c r="AH712" s="342"/>
      <c r="AI712" s="342"/>
    </row>
    <row r="713">
      <c r="A713" s="342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P713" s="342"/>
      <c r="Q713" s="342"/>
      <c r="R713" s="342"/>
      <c r="S713" s="342"/>
      <c r="T713" s="342"/>
      <c r="U713" s="342"/>
      <c r="V713" s="342"/>
      <c r="W713" s="342"/>
      <c r="X713" s="342"/>
      <c r="Y713" s="342"/>
      <c r="Z713" s="342"/>
      <c r="AA713" s="342"/>
      <c r="AB713" s="342"/>
      <c r="AC713" s="342"/>
      <c r="AD713" s="342"/>
      <c r="AE713" s="342"/>
      <c r="AF713" s="342"/>
      <c r="AG713" s="342"/>
      <c r="AH713" s="342"/>
      <c r="AI713" s="342"/>
    </row>
    <row r="714">
      <c r="A714" s="342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P714" s="342"/>
      <c r="Q714" s="342"/>
      <c r="R714" s="342"/>
      <c r="S714" s="342"/>
      <c r="T714" s="342"/>
      <c r="U714" s="342"/>
      <c r="V714" s="342"/>
      <c r="W714" s="342"/>
      <c r="X714" s="342"/>
      <c r="Y714" s="342"/>
      <c r="Z714" s="342"/>
      <c r="AA714" s="342"/>
      <c r="AB714" s="342"/>
      <c r="AC714" s="342"/>
      <c r="AD714" s="342"/>
      <c r="AE714" s="342"/>
      <c r="AF714" s="342"/>
      <c r="AG714" s="342"/>
      <c r="AH714" s="342"/>
      <c r="AI714" s="342"/>
    </row>
    <row r="715">
      <c r="A715" s="342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P715" s="342"/>
      <c r="Q715" s="342"/>
      <c r="R715" s="342"/>
      <c r="S715" s="342"/>
      <c r="T715" s="342"/>
      <c r="U715" s="342"/>
      <c r="V715" s="342"/>
      <c r="W715" s="342"/>
      <c r="X715" s="342"/>
      <c r="Y715" s="342"/>
      <c r="Z715" s="342"/>
      <c r="AA715" s="342"/>
      <c r="AB715" s="342"/>
      <c r="AC715" s="342"/>
      <c r="AD715" s="342"/>
      <c r="AE715" s="342"/>
      <c r="AF715" s="342"/>
      <c r="AG715" s="342"/>
      <c r="AH715" s="342"/>
      <c r="AI715" s="342"/>
    </row>
    <row r="716">
      <c r="A716" s="342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P716" s="342"/>
      <c r="Q716" s="342"/>
      <c r="R716" s="342"/>
      <c r="S716" s="342"/>
      <c r="T716" s="342"/>
      <c r="U716" s="342"/>
      <c r="V716" s="342"/>
      <c r="W716" s="342"/>
      <c r="X716" s="342"/>
      <c r="Y716" s="342"/>
      <c r="Z716" s="342"/>
      <c r="AA716" s="342"/>
      <c r="AB716" s="342"/>
      <c r="AC716" s="342"/>
      <c r="AD716" s="342"/>
      <c r="AE716" s="342"/>
      <c r="AF716" s="342"/>
      <c r="AG716" s="342"/>
      <c r="AH716" s="342"/>
      <c r="AI716" s="342"/>
    </row>
    <row r="717">
      <c r="A717" s="342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P717" s="342"/>
      <c r="Q717" s="342"/>
      <c r="R717" s="342"/>
      <c r="S717" s="342"/>
      <c r="T717" s="342"/>
      <c r="U717" s="342"/>
      <c r="V717" s="342"/>
      <c r="W717" s="342"/>
      <c r="X717" s="342"/>
      <c r="Y717" s="342"/>
      <c r="Z717" s="342"/>
      <c r="AA717" s="342"/>
      <c r="AB717" s="342"/>
      <c r="AC717" s="342"/>
      <c r="AD717" s="342"/>
      <c r="AE717" s="342"/>
      <c r="AF717" s="342"/>
      <c r="AG717" s="342"/>
      <c r="AH717" s="342"/>
      <c r="AI717" s="342"/>
    </row>
    <row r="718">
      <c r="A718" s="342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342"/>
      <c r="T718" s="342"/>
      <c r="U718" s="342"/>
      <c r="V718" s="342"/>
      <c r="W718" s="342"/>
      <c r="X718" s="342"/>
      <c r="Y718" s="342"/>
      <c r="Z718" s="342"/>
      <c r="AA718" s="342"/>
      <c r="AB718" s="342"/>
      <c r="AC718" s="342"/>
      <c r="AD718" s="342"/>
      <c r="AE718" s="342"/>
      <c r="AF718" s="342"/>
      <c r="AG718" s="342"/>
      <c r="AH718" s="342"/>
      <c r="AI718" s="342"/>
    </row>
    <row r="719">
      <c r="A719" s="342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342"/>
      <c r="T719" s="342"/>
      <c r="U719" s="342"/>
      <c r="V719" s="342"/>
      <c r="W719" s="342"/>
      <c r="X719" s="342"/>
      <c r="Y719" s="342"/>
      <c r="Z719" s="342"/>
      <c r="AA719" s="342"/>
      <c r="AB719" s="342"/>
      <c r="AC719" s="342"/>
      <c r="AD719" s="342"/>
      <c r="AE719" s="342"/>
      <c r="AF719" s="342"/>
      <c r="AG719" s="342"/>
      <c r="AH719" s="342"/>
      <c r="AI719" s="342"/>
    </row>
    <row r="720">
      <c r="A720" s="342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342"/>
      <c r="T720" s="342"/>
      <c r="U720" s="342"/>
      <c r="V720" s="342"/>
      <c r="W720" s="342"/>
      <c r="X720" s="342"/>
      <c r="Y720" s="342"/>
      <c r="Z720" s="342"/>
      <c r="AA720" s="342"/>
      <c r="AB720" s="342"/>
      <c r="AC720" s="342"/>
      <c r="AD720" s="342"/>
      <c r="AE720" s="342"/>
      <c r="AF720" s="342"/>
      <c r="AG720" s="342"/>
      <c r="AH720" s="342"/>
      <c r="AI720" s="342"/>
    </row>
    <row r="721">
      <c r="A721" s="342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342"/>
      <c r="T721" s="342"/>
      <c r="U721" s="342"/>
      <c r="V721" s="342"/>
      <c r="W721" s="342"/>
      <c r="X721" s="342"/>
      <c r="Y721" s="342"/>
      <c r="Z721" s="342"/>
      <c r="AA721" s="342"/>
      <c r="AB721" s="342"/>
      <c r="AC721" s="342"/>
      <c r="AD721" s="342"/>
      <c r="AE721" s="342"/>
      <c r="AF721" s="342"/>
      <c r="AG721" s="342"/>
      <c r="AH721" s="342"/>
      <c r="AI721" s="342"/>
    </row>
    <row r="722">
      <c r="A722" s="342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P722" s="342"/>
      <c r="Q722" s="342"/>
      <c r="R722" s="342"/>
      <c r="S722" s="342"/>
      <c r="T722" s="342"/>
      <c r="U722" s="342"/>
      <c r="V722" s="342"/>
      <c r="W722" s="342"/>
      <c r="X722" s="342"/>
      <c r="Y722" s="342"/>
      <c r="Z722" s="342"/>
      <c r="AA722" s="342"/>
      <c r="AB722" s="342"/>
      <c r="AC722" s="342"/>
      <c r="AD722" s="342"/>
      <c r="AE722" s="342"/>
      <c r="AF722" s="342"/>
      <c r="AG722" s="342"/>
      <c r="AH722" s="342"/>
      <c r="AI722" s="342"/>
    </row>
    <row r="723">
      <c r="A723" s="342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42"/>
      <c r="T723" s="342"/>
      <c r="U723" s="342"/>
      <c r="V723" s="342"/>
      <c r="W723" s="342"/>
      <c r="X723" s="342"/>
      <c r="Y723" s="342"/>
      <c r="Z723" s="342"/>
      <c r="AA723" s="342"/>
      <c r="AB723" s="342"/>
      <c r="AC723" s="342"/>
      <c r="AD723" s="342"/>
      <c r="AE723" s="342"/>
      <c r="AF723" s="342"/>
      <c r="AG723" s="342"/>
      <c r="AH723" s="342"/>
      <c r="AI723" s="342"/>
    </row>
    <row r="724">
      <c r="A724" s="342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42"/>
      <c r="T724" s="342"/>
      <c r="U724" s="342"/>
      <c r="V724" s="342"/>
      <c r="W724" s="342"/>
      <c r="X724" s="342"/>
      <c r="Y724" s="342"/>
      <c r="Z724" s="342"/>
      <c r="AA724" s="342"/>
      <c r="AB724" s="342"/>
      <c r="AC724" s="342"/>
      <c r="AD724" s="342"/>
      <c r="AE724" s="342"/>
      <c r="AF724" s="342"/>
      <c r="AG724" s="342"/>
      <c r="AH724" s="342"/>
      <c r="AI724" s="342"/>
    </row>
    <row r="725">
      <c r="A725" s="342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42"/>
      <c r="T725" s="342"/>
      <c r="U725" s="342"/>
      <c r="V725" s="342"/>
      <c r="W725" s="342"/>
      <c r="X725" s="342"/>
      <c r="Y725" s="342"/>
      <c r="Z725" s="342"/>
      <c r="AA725" s="342"/>
      <c r="AB725" s="342"/>
      <c r="AC725" s="342"/>
      <c r="AD725" s="342"/>
      <c r="AE725" s="342"/>
      <c r="AF725" s="342"/>
      <c r="AG725" s="342"/>
      <c r="AH725" s="342"/>
      <c r="AI725" s="342"/>
    </row>
    <row r="726">
      <c r="A726" s="342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42"/>
      <c r="T726" s="342"/>
      <c r="U726" s="342"/>
      <c r="V726" s="342"/>
      <c r="W726" s="342"/>
      <c r="X726" s="342"/>
      <c r="Y726" s="342"/>
      <c r="Z726" s="342"/>
      <c r="AA726" s="342"/>
      <c r="AB726" s="342"/>
      <c r="AC726" s="342"/>
      <c r="AD726" s="342"/>
      <c r="AE726" s="342"/>
      <c r="AF726" s="342"/>
      <c r="AG726" s="342"/>
      <c r="AH726" s="342"/>
      <c r="AI726" s="342"/>
    </row>
    <row r="727">
      <c r="A727" s="342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342"/>
      <c r="T727" s="342"/>
      <c r="U727" s="342"/>
      <c r="V727" s="342"/>
      <c r="W727" s="342"/>
      <c r="X727" s="342"/>
      <c r="Y727" s="342"/>
      <c r="Z727" s="342"/>
      <c r="AA727" s="342"/>
      <c r="AB727" s="342"/>
      <c r="AC727" s="342"/>
      <c r="AD727" s="342"/>
      <c r="AE727" s="342"/>
      <c r="AF727" s="342"/>
      <c r="AG727" s="342"/>
      <c r="AH727" s="342"/>
      <c r="AI727" s="342"/>
    </row>
    <row r="728">
      <c r="A728" s="342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342"/>
      <c r="T728" s="342"/>
      <c r="U728" s="342"/>
      <c r="V728" s="342"/>
      <c r="W728" s="342"/>
      <c r="X728" s="342"/>
      <c r="Y728" s="342"/>
      <c r="Z728" s="342"/>
      <c r="AA728" s="342"/>
      <c r="AB728" s="342"/>
      <c r="AC728" s="342"/>
      <c r="AD728" s="342"/>
      <c r="AE728" s="342"/>
      <c r="AF728" s="342"/>
      <c r="AG728" s="342"/>
      <c r="AH728" s="342"/>
      <c r="AI728" s="342"/>
    </row>
    <row r="729">
      <c r="A729" s="342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342"/>
      <c r="T729" s="342"/>
      <c r="U729" s="342"/>
      <c r="V729" s="342"/>
      <c r="W729" s="342"/>
      <c r="X729" s="342"/>
      <c r="Y729" s="342"/>
      <c r="Z729" s="342"/>
      <c r="AA729" s="342"/>
      <c r="AB729" s="342"/>
      <c r="AC729" s="342"/>
      <c r="AD729" s="342"/>
      <c r="AE729" s="342"/>
      <c r="AF729" s="342"/>
      <c r="AG729" s="342"/>
      <c r="AH729" s="342"/>
      <c r="AI729" s="342"/>
    </row>
    <row r="730">
      <c r="A730" s="342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P730" s="342"/>
      <c r="Q730" s="342"/>
      <c r="R730" s="342"/>
      <c r="S730" s="342"/>
      <c r="T730" s="342"/>
      <c r="U730" s="342"/>
      <c r="V730" s="342"/>
      <c r="W730" s="342"/>
      <c r="X730" s="342"/>
      <c r="Y730" s="342"/>
      <c r="Z730" s="342"/>
      <c r="AA730" s="342"/>
      <c r="AB730" s="342"/>
      <c r="AC730" s="342"/>
      <c r="AD730" s="342"/>
      <c r="AE730" s="342"/>
      <c r="AF730" s="342"/>
      <c r="AG730" s="342"/>
      <c r="AH730" s="342"/>
      <c r="AI730" s="342"/>
    </row>
    <row r="731">
      <c r="A731" s="342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P731" s="342"/>
      <c r="Q731" s="342"/>
      <c r="R731" s="342"/>
      <c r="S731" s="342"/>
      <c r="T731" s="342"/>
      <c r="U731" s="342"/>
      <c r="V731" s="342"/>
      <c r="W731" s="342"/>
      <c r="X731" s="342"/>
      <c r="Y731" s="342"/>
      <c r="Z731" s="342"/>
      <c r="AA731" s="342"/>
      <c r="AB731" s="342"/>
      <c r="AC731" s="342"/>
      <c r="AD731" s="342"/>
      <c r="AE731" s="342"/>
      <c r="AF731" s="342"/>
      <c r="AG731" s="342"/>
      <c r="AH731" s="342"/>
      <c r="AI731" s="342"/>
    </row>
    <row r="732">
      <c r="A732" s="342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  <c r="AA732" s="342"/>
      <c r="AB732" s="342"/>
      <c r="AC732" s="342"/>
      <c r="AD732" s="342"/>
      <c r="AE732" s="342"/>
      <c r="AF732" s="342"/>
      <c r="AG732" s="342"/>
      <c r="AH732" s="342"/>
      <c r="AI732" s="342"/>
    </row>
    <row r="733">
      <c r="A733" s="342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P733" s="342"/>
      <c r="Q733" s="342"/>
      <c r="R733" s="342"/>
      <c r="S733" s="342"/>
      <c r="T733" s="342"/>
      <c r="U733" s="342"/>
      <c r="V733" s="342"/>
      <c r="W733" s="342"/>
      <c r="X733" s="342"/>
      <c r="Y733" s="342"/>
      <c r="Z733" s="342"/>
      <c r="AA733" s="342"/>
      <c r="AB733" s="342"/>
      <c r="AC733" s="342"/>
      <c r="AD733" s="342"/>
      <c r="AE733" s="342"/>
      <c r="AF733" s="342"/>
      <c r="AG733" s="342"/>
      <c r="AH733" s="342"/>
      <c r="AI733" s="342"/>
    </row>
    <row r="734">
      <c r="A734" s="342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P734" s="342"/>
      <c r="Q734" s="342"/>
      <c r="R734" s="342"/>
      <c r="S734" s="342"/>
      <c r="T734" s="342"/>
      <c r="U734" s="342"/>
      <c r="V734" s="342"/>
      <c r="W734" s="342"/>
      <c r="X734" s="342"/>
      <c r="Y734" s="342"/>
      <c r="Z734" s="342"/>
      <c r="AA734" s="342"/>
      <c r="AB734" s="342"/>
      <c r="AC734" s="342"/>
      <c r="AD734" s="342"/>
      <c r="AE734" s="342"/>
      <c r="AF734" s="342"/>
      <c r="AG734" s="342"/>
      <c r="AH734" s="342"/>
      <c r="AI734" s="342"/>
    </row>
    <row r="735">
      <c r="A735" s="342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P735" s="342"/>
      <c r="Q735" s="342"/>
      <c r="R735" s="342"/>
      <c r="S735" s="342"/>
      <c r="T735" s="342"/>
      <c r="U735" s="342"/>
      <c r="V735" s="342"/>
      <c r="W735" s="342"/>
      <c r="X735" s="342"/>
      <c r="Y735" s="342"/>
      <c r="Z735" s="342"/>
      <c r="AA735" s="342"/>
      <c r="AB735" s="342"/>
      <c r="AC735" s="342"/>
      <c r="AD735" s="342"/>
      <c r="AE735" s="342"/>
      <c r="AF735" s="342"/>
      <c r="AG735" s="342"/>
      <c r="AH735" s="342"/>
      <c r="AI735" s="342"/>
    </row>
    <row r="736">
      <c r="A736" s="342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P736" s="342"/>
      <c r="Q736" s="342"/>
      <c r="R736" s="342"/>
      <c r="S736" s="342"/>
      <c r="T736" s="342"/>
      <c r="U736" s="342"/>
      <c r="V736" s="342"/>
      <c r="W736" s="342"/>
      <c r="X736" s="342"/>
      <c r="Y736" s="342"/>
      <c r="Z736" s="342"/>
      <c r="AA736" s="342"/>
      <c r="AB736" s="342"/>
      <c r="AC736" s="342"/>
      <c r="AD736" s="342"/>
      <c r="AE736" s="342"/>
      <c r="AF736" s="342"/>
      <c r="AG736" s="342"/>
      <c r="AH736" s="342"/>
      <c r="AI736" s="342"/>
    </row>
    <row r="737">
      <c r="A737" s="342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P737" s="342"/>
      <c r="Q737" s="342"/>
      <c r="R737" s="342"/>
      <c r="S737" s="342"/>
      <c r="T737" s="342"/>
      <c r="U737" s="342"/>
      <c r="V737" s="342"/>
      <c r="W737" s="342"/>
      <c r="X737" s="342"/>
      <c r="Y737" s="342"/>
      <c r="Z737" s="342"/>
      <c r="AA737" s="342"/>
      <c r="AB737" s="342"/>
      <c r="AC737" s="342"/>
      <c r="AD737" s="342"/>
      <c r="AE737" s="342"/>
      <c r="AF737" s="342"/>
      <c r="AG737" s="342"/>
      <c r="AH737" s="342"/>
      <c r="AI737" s="342"/>
    </row>
    <row r="738">
      <c r="A738" s="342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P738" s="342"/>
      <c r="Q738" s="342"/>
      <c r="R738" s="342"/>
      <c r="S738" s="342"/>
      <c r="T738" s="342"/>
      <c r="U738" s="342"/>
      <c r="V738" s="342"/>
      <c r="W738" s="342"/>
      <c r="X738" s="342"/>
      <c r="Y738" s="342"/>
      <c r="Z738" s="342"/>
      <c r="AA738" s="342"/>
      <c r="AB738" s="342"/>
      <c r="AC738" s="342"/>
      <c r="AD738" s="342"/>
      <c r="AE738" s="342"/>
      <c r="AF738" s="342"/>
      <c r="AG738" s="342"/>
      <c r="AH738" s="342"/>
      <c r="AI738" s="342"/>
    </row>
    <row r="739">
      <c r="A739" s="342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P739" s="342"/>
      <c r="Q739" s="342"/>
      <c r="R739" s="342"/>
      <c r="S739" s="342"/>
      <c r="T739" s="342"/>
      <c r="U739" s="342"/>
      <c r="V739" s="342"/>
      <c r="W739" s="342"/>
      <c r="X739" s="342"/>
      <c r="Y739" s="342"/>
      <c r="Z739" s="342"/>
      <c r="AA739" s="342"/>
      <c r="AB739" s="342"/>
      <c r="AC739" s="342"/>
      <c r="AD739" s="342"/>
      <c r="AE739" s="342"/>
      <c r="AF739" s="342"/>
      <c r="AG739" s="342"/>
      <c r="AH739" s="342"/>
      <c r="AI739" s="342"/>
    </row>
    <row r="740">
      <c r="A740" s="342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P740" s="342"/>
      <c r="Q740" s="342"/>
      <c r="R740" s="342"/>
      <c r="S740" s="342"/>
      <c r="T740" s="342"/>
      <c r="U740" s="342"/>
      <c r="V740" s="342"/>
      <c r="W740" s="342"/>
      <c r="X740" s="342"/>
      <c r="Y740" s="342"/>
      <c r="Z740" s="342"/>
      <c r="AA740" s="342"/>
      <c r="AB740" s="342"/>
      <c r="AC740" s="342"/>
      <c r="AD740" s="342"/>
      <c r="AE740" s="342"/>
      <c r="AF740" s="342"/>
      <c r="AG740" s="342"/>
      <c r="AH740" s="342"/>
      <c r="AI740" s="342"/>
    </row>
    <row r="741">
      <c r="A741" s="342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P741" s="342"/>
      <c r="Q741" s="342"/>
      <c r="R741" s="342"/>
      <c r="S741" s="342"/>
      <c r="T741" s="342"/>
      <c r="U741" s="342"/>
      <c r="V741" s="342"/>
      <c r="W741" s="342"/>
      <c r="X741" s="342"/>
      <c r="Y741" s="342"/>
      <c r="Z741" s="342"/>
      <c r="AA741" s="342"/>
      <c r="AB741" s="342"/>
      <c r="AC741" s="342"/>
      <c r="AD741" s="342"/>
      <c r="AE741" s="342"/>
      <c r="AF741" s="342"/>
      <c r="AG741" s="342"/>
      <c r="AH741" s="342"/>
      <c r="AI741" s="342"/>
    </row>
    <row r="742">
      <c r="A742" s="342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P742" s="342"/>
      <c r="Q742" s="342"/>
      <c r="R742" s="342"/>
      <c r="S742" s="342"/>
      <c r="T742" s="342"/>
      <c r="U742" s="342"/>
      <c r="V742" s="342"/>
      <c r="W742" s="342"/>
      <c r="X742" s="342"/>
      <c r="Y742" s="342"/>
      <c r="Z742" s="342"/>
      <c r="AA742" s="342"/>
      <c r="AB742" s="342"/>
      <c r="AC742" s="342"/>
      <c r="AD742" s="342"/>
      <c r="AE742" s="342"/>
      <c r="AF742" s="342"/>
      <c r="AG742" s="342"/>
      <c r="AH742" s="342"/>
      <c r="AI742" s="342"/>
    </row>
    <row r="743">
      <c r="A743" s="342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P743" s="342"/>
      <c r="Q743" s="342"/>
      <c r="R743" s="342"/>
      <c r="S743" s="342"/>
      <c r="T743" s="342"/>
      <c r="U743" s="342"/>
      <c r="V743" s="342"/>
      <c r="W743" s="342"/>
      <c r="X743" s="342"/>
      <c r="Y743" s="342"/>
      <c r="Z743" s="342"/>
      <c r="AA743" s="342"/>
      <c r="AB743" s="342"/>
      <c r="AC743" s="342"/>
      <c r="AD743" s="342"/>
      <c r="AE743" s="342"/>
      <c r="AF743" s="342"/>
      <c r="AG743" s="342"/>
      <c r="AH743" s="342"/>
      <c r="AI743" s="342"/>
    </row>
    <row r="744">
      <c r="A744" s="342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P744" s="342"/>
      <c r="Q744" s="342"/>
      <c r="R744" s="342"/>
      <c r="S744" s="342"/>
      <c r="T744" s="342"/>
      <c r="U744" s="342"/>
      <c r="V744" s="342"/>
      <c r="W744" s="342"/>
      <c r="X744" s="342"/>
      <c r="Y744" s="342"/>
      <c r="Z744" s="342"/>
      <c r="AA744" s="342"/>
      <c r="AB744" s="342"/>
      <c r="AC744" s="342"/>
      <c r="AD744" s="342"/>
      <c r="AE744" s="342"/>
      <c r="AF744" s="342"/>
      <c r="AG744" s="342"/>
      <c r="AH744" s="342"/>
      <c r="AI744" s="342"/>
    </row>
    <row r="745">
      <c r="A745" s="342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P745" s="342"/>
      <c r="Q745" s="342"/>
      <c r="R745" s="342"/>
      <c r="S745" s="342"/>
      <c r="T745" s="342"/>
      <c r="U745" s="342"/>
      <c r="V745" s="342"/>
      <c r="W745" s="342"/>
      <c r="X745" s="342"/>
      <c r="Y745" s="342"/>
      <c r="Z745" s="342"/>
      <c r="AA745" s="342"/>
      <c r="AB745" s="342"/>
      <c r="AC745" s="342"/>
      <c r="AD745" s="342"/>
      <c r="AE745" s="342"/>
      <c r="AF745" s="342"/>
      <c r="AG745" s="342"/>
      <c r="AH745" s="342"/>
      <c r="AI745" s="342"/>
    </row>
    <row r="746">
      <c r="A746" s="342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P746" s="342"/>
      <c r="Q746" s="342"/>
      <c r="R746" s="342"/>
      <c r="S746" s="342"/>
      <c r="T746" s="342"/>
      <c r="U746" s="342"/>
      <c r="V746" s="342"/>
      <c r="W746" s="342"/>
      <c r="X746" s="342"/>
      <c r="Y746" s="342"/>
      <c r="Z746" s="342"/>
      <c r="AA746" s="342"/>
      <c r="AB746" s="342"/>
      <c r="AC746" s="342"/>
      <c r="AD746" s="342"/>
      <c r="AE746" s="342"/>
      <c r="AF746" s="342"/>
      <c r="AG746" s="342"/>
      <c r="AH746" s="342"/>
      <c r="AI746" s="342"/>
    </row>
    <row r="747">
      <c r="A747" s="342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P747" s="342"/>
      <c r="Q747" s="342"/>
      <c r="R747" s="342"/>
      <c r="S747" s="342"/>
      <c r="T747" s="342"/>
      <c r="U747" s="342"/>
      <c r="V747" s="342"/>
      <c r="W747" s="342"/>
      <c r="X747" s="342"/>
      <c r="Y747" s="342"/>
      <c r="Z747" s="342"/>
      <c r="AA747" s="342"/>
      <c r="AB747" s="342"/>
      <c r="AC747" s="342"/>
      <c r="AD747" s="342"/>
      <c r="AE747" s="342"/>
      <c r="AF747" s="342"/>
      <c r="AG747" s="342"/>
      <c r="AH747" s="342"/>
      <c r="AI747" s="342"/>
    </row>
    <row r="748">
      <c r="A748" s="342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P748" s="342"/>
      <c r="Q748" s="342"/>
      <c r="R748" s="342"/>
      <c r="S748" s="342"/>
      <c r="T748" s="342"/>
      <c r="U748" s="342"/>
      <c r="V748" s="342"/>
      <c r="W748" s="342"/>
      <c r="X748" s="342"/>
      <c r="Y748" s="342"/>
      <c r="Z748" s="342"/>
      <c r="AA748" s="342"/>
      <c r="AB748" s="342"/>
      <c r="AC748" s="342"/>
      <c r="AD748" s="342"/>
      <c r="AE748" s="342"/>
      <c r="AF748" s="342"/>
      <c r="AG748" s="342"/>
      <c r="AH748" s="342"/>
      <c r="AI748" s="342"/>
    </row>
    <row r="749">
      <c r="A749" s="342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P749" s="342"/>
      <c r="Q749" s="342"/>
      <c r="R749" s="342"/>
      <c r="S749" s="342"/>
      <c r="T749" s="342"/>
      <c r="U749" s="342"/>
      <c r="V749" s="342"/>
      <c r="W749" s="342"/>
      <c r="X749" s="342"/>
      <c r="Y749" s="342"/>
      <c r="Z749" s="342"/>
      <c r="AA749" s="342"/>
      <c r="AB749" s="342"/>
      <c r="AC749" s="342"/>
      <c r="AD749" s="342"/>
      <c r="AE749" s="342"/>
      <c r="AF749" s="342"/>
      <c r="AG749" s="342"/>
      <c r="AH749" s="342"/>
      <c r="AI749" s="342"/>
    </row>
    <row r="750">
      <c r="A750" s="342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P750" s="342"/>
      <c r="Q750" s="342"/>
      <c r="R750" s="342"/>
      <c r="S750" s="342"/>
      <c r="T750" s="342"/>
      <c r="U750" s="342"/>
      <c r="V750" s="342"/>
      <c r="W750" s="342"/>
      <c r="X750" s="342"/>
      <c r="Y750" s="342"/>
      <c r="Z750" s="342"/>
      <c r="AA750" s="342"/>
      <c r="AB750" s="342"/>
      <c r="AC750" s="342"/>
      <c r="AD750" s="342"/>
      <c r="AE750" s="342"/>
      <c r="AF750" s="342"/>
      <c r="AG750" s="342"/>
      <c r="AH750" s="342"/>
      <c r="AI750" s="342"/>
    </row>
    <row r="751">
      <c r="A751" s="342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P751" s="342"/>
      <c r="Q751" s="342"/>
      <c r="R751" s="342"/>
      <c r="S751" s="342"/>
      <c r="T751" s="342"/>
      <c r="U751" s="342"/>
      <c r="V751" s="342"/>
      <c r="W751" s="342"/>
      <c r="X751" s="342"/>
      <c r="Y751" s="342"/>
      <c r="Z751" s="342"/>
      <c r="AA751" s="342"/>
      <c r="AB751" s="342"/>
      <c r="AC751" s="342"/>
      <c r="AD751" s="342"/>
      <c r="AE751" s="342"/>
      <c r="AF751" s="342"/>
      <c r="AG751" s="342"/>
      <c r="AH751" s="342"/>
      <c r="AI751" s="342"/>
    </row>
    <row r="752">
      <c r="A752" s="342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P752" s="342"/>
      <c r="Q752" s="342"/>
      <c r="R752" s="342"/>
      <c r="S752" s="342"/>
      <c r="T752" s="342"/>
      <c r="U752" s="342"/>
      <c r="V752" s="342"/>
      <c r="W752" s="342"/>
      <c r="X752" s="342"/>
      <c r="Y752" s="342"/>
      <c r="Z752" s="342"/>
      <c r="AA752" s="342"/>
      <c r="AB752" s="342"/>
      <c r="AC752" s="342"/>
      <c r="AD752" s="342"/>
      <c r="AE752" s="342"/>
      <c r="AF752" s="342"/>
      <c r="AG752" s="342"/>
      <c r="AH752" s="342"/>
      <c r="AI752" s="342"/>
    </row>
    <row r="753">
      <c r="A753" s="342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P753" s="342"/>
      <c r="Q753" s="342"/>
      <c r="R753" s="342"/>
      <c r="S753" s="342"/>
      <c r="T753" s="342"/>
      <c r="U753" s="342"/>
      <c r="V753" s="342"/>
      <c r="W753" s="342"/>
      <c r="X753" s="342"/>
      <c r="Y753" s="342"/>
      <c r="Z753" s="342"/>
      <c r="AA753" s="342"/>
      <c r="AB753" s="342"/>
      <c r="AC753" s="342"/>
      <c r="AD753" s="342"/>
      <c r="AE753" s="342"/>
      <c r="AF753" s="342"/>
      <c r="AG753" s="342"/>
      <c r="AH753" s="342"/>
      <c r="AI753" s="342"/>
    </row>
    <row r="754">
      <c r="A754" s="342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P754" s="342"/>
      <c r="Q754" s="342"/>
      <c r="R754" s="342"/>
      <c r="S754" s="342"/>
      <c r="T754" s="342"/>
      <c r="U754" s="342"/>
      <c r="V754" s="342"/>
      <c r="W754" s="342"/>
      <c r="X754" s="342"/>
      <c r="Y754" s="342"/>
      <c r="Z754" s="342"/>
      <c r="AA754" s="342"/>
      <c r="AB754" s="342"/>
      <c r="AC754" s="342"/>
      <c r="AD754" s="342"/>
      <c r="AE754" s="342"/>
      <c r="AF754" s="342"/>
      <c r="AG754" s="342"/>
      <c r="AH754" s="342"/>
      <c r="AI754" s="342"/>
    </row>
    <row r="755">
      <c r="A755" s="342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P755" s="342"/>
      <c r="Q755" s="342"/>
      <c r="R755" s="342"/>
      <c r="S755" s="342"/>
      <c r="T755" s="342"/>
      <c r="U755" s="342"/>
      <c r="V755" s="342"/>
      <c r="W755" s="342"/>
      <c r="X755" s="342"/>
      <c r="Y755" s="342"/>
      <c r="Z755" s="342"/>
      <c r="AA755" s="342"/>
      <c r="AB755" s="342"/>
      <c r="AC755" s="342"/>
      <c r="AD755" s="342"/>
      <c r="AE755" s="342"/>
      <c r="AF755" s="342"/>
      <c r="AG755" s="342"/>
      <c r="AH755" s="342"/>
      <c r="AI755" s="342"/>
    </row>
    <row r="756">
      <c r="A756" s="342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P756" s="342"/>
      <c r="Q756" s="342"/>
      <c r="R756" s="342"/>
      <c r="S756" s="342"/>
      <c r="T756" s="342"/>
      <c r="U756" s="342"/>
      <c r="V756" s="342"/>
      <c r="W756" s="342"/>
      <c r="X756" s="342"/>
      <c r="Y756" s="342"/>
      <c r="Z756" s="342"/>
      <c r="AA756" s="342"/>
      <c r="AB756" s="342"/>
      <c r="AC756" s="342"/>
      <c r="AD756" s="342"/>
      <c r="AE756" s="342"/>
      <c r="AF756" s="342"/>
      <c r="AG756" s="342"/>
      <c r="AH756" s="342"/>
      <c r="AI756" s="342"/>
    </row>
    <row r="757">
      <c r="A757" s="342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P757" s="342"/>
      <c r="Q757" s="342"/>
      <c r="R757" s="342"/>
      <c r="S757" s="342"/>
      <c r="T757" s="342"/>
      <c r="U757" s="342"/>
      <c r="V757" s="342"/>
      <c r="W757" s="342"/>
      <c r="X757" s="342"/>
      <c r="Y757" s="342"/>
      <c r="Z757" s="342"/>
      <c r="AA757" s="342"/>
      <c r="AB757" s="342"/>
      <c r="AC757" s="342"/>
      <c r="AD757" s="342"/>
      <c r="AE757" s="342"/>
      <c r="AF757" s="342"/>
      <c r="AG757" s="342"/>
      <c r="AH757" s="342"/>
      <c r="AI757" s="342"/>
    </row>
    <row r="758">
      <c r="A758" s="342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P758" s="342"/>
      <c r="Q758" s="342"/>
      <c r="R758" s="342"/>
      <c r="S758" s="342"/>
      <c r="T758" s="342"/>
      <c r="U758" s="342"/>
      <c r="V758" s="342"/>
      <c r="W758" s="342"/>
      <c r="X758" s="342"/>
      <c r="Y758" s="342"/>
      <c r="Z758" s="342"/>
      <c r="AA758" s="342"/>
      <c r="AB758" s="342"/>
      <c r="AC758" s="342"/>
      <c r="AD758" s="342"/>
      <c r="AE758" s="342"/>
      <c r="AF758" s="342"/>
      <c r="AG758" s="342"/>
      <c r="AH758" s="342"/>
      <c r="AI758" s="342"/>
    </row>
    <row r="759">
      <c r="A759" s="342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P759" s="342"/>
      <c r="Q759" s="342"/>
      <c r="R759" s="342"/>
      <c r="S759" s="342"/>
      <c r="T759" s="342"/>
      <c r="U759" s="342"/>
      <c r="V759" s="342"/>
      <c r="W759" s="342"/>
      <c r="X759" s="342"/>
      <c r="Y759" s="342"/>
      <c r="Z759" s="342"/>
      <c r="AA759" s="342"/>
      <c r="AB759" s="342"/>
      <c r="AC759" s="342"/>
      <c r="AD759" s="342"/>
      <c r="AE759" s="342"/>
      <c r="AF759" s="342"/>
      <c r="AG759" s="342"/>
      <c r="AH759" s="342"/>
      <c r="AI759" s="342"/>
    </row>
    <row r="760">
      <c r="A760" s="342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P760" s="342"/>
      <c r="Q760" s="342"/>
      <c r="R760" s="342"/>
      <c r="S760" s="342"/>
      <c r="T760" s="342"/>
      <c r="U760" s="342"/>
      <c r="V760" s="342"/>
      <c r="W760" s="342"/>
      <c r="X760" s="342"/>
      <c r="Y760" s="342"/>
      <c r="Z760" s="342"/>
      <c r="AA760" s="342"/>
      <c r="AB760" s="342"/>
      <c r="AC760" s="342"/>
      <c r="AD760" s="342"/>
      <c r="AE760" s="342"/>
      <c r="AF760" s="342"/>
      <c r="AG760" s="342"/>
      <c r="AH760" s="342"/>
      <c r="AI760" s="342"/>
    </row>
    <row r="761">
      <c r="A761" s="342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P761" s="342"/>
      <c r="Q761" s="342"/>
      <c r="R761" s="342"/>
      <c r="S761" s="342"/>
      <c r="T761" s="342"/>
      <c r="U761" s="342"/>
      <c r="V761" s="342"/>
      <c r="W761" s="342"/>
      <c r="X761" s="342"/>
      <c r="Y761" s="342"/>
      <c r="Z761" s="342"/>
      <c r="AA761" s="342"/>
      <c r="AB761" s="342"/>
      <c r="AC761" s="342"/>
      <c r="AD761" s="342"/>
      <c r="AE761" s="342"/>
      <c r="AF761" s="342"/>
      <c r="AG761" s="342"/>
      <c r="AH761" s="342"/>
      <c r="AI761" s="342"/>
    </row>
    <row r="762">
      <c r="A762" s="342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P762" s="342"/>
      <c r="Q762" s="342"/>
      <c r="R762" s="342"/>
      <c r="S762" s="342"/>
      <c r="T762" s="342"/>
      <c r="U762" s="342"/>
      <c r="V762" s="342"/>
      <c r="W762" s="342"/>
      <c r="X762" s="342"/>
      <c r="Y762" s="342"/>
      <c r="Z762" s="342"/>
      <c r="AA762" s="342"/>
      <c r="AB762" s="342"/>
      <c r="AC762" s="342"/>
      <c r="AD762" s="342"/>
      <c r="AE762" s="342"/>
      <c r="AF762" s="342"/>
      <c r="AG762" s="342"/>
      <c r="AH762" s="342"/>
      <c r="AI762" s="342"/>
    </row>
    <row r="763">
      <c r="A763" s="342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P763" s="342"/>
      <c r="Q763" s="342"/>
      <c r="R763" s="342"/>
      <c r="S763" s="342"/>
      <c r="T763" s="342"/>
      <c r="U763" s="342"/>
      <c r="V763" s="342"/>
      <c r="W763" s="342"/>
      <c r="X763" s="342"/>
      <c r="Y763" s="342"/>
      <c r="Z763" s="342"/>
      <c r="AA763" s="342"/>
      <c r="AB763" s="342"/>
      <c r="AC763" s="342"/>
      <c r="AD763" s="342"/>
      <c r="AE763" s="342"/>
      <c r="AF763" s="342"/>
      <c r="AG763" s="342"/>
      <c r="AH763" s="342"/>
      <c r="AI763" s="342"/>
    </row>
    <row r="764">
      <c r="A764" s="342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P764" s="342"/>
      <c r="Q764" s="342"/>
      <c r="R764" s="342"/>
      <c r="S764" s="342"/>
      <c r="T764" s="342"/>
      <c r="U764" s="342"/>
      <c r="V764" s="342"/>
      <c r="W764" s="342"/>
      <c r="X764" s="342"/>
      <c r="Y764" s="342"/>
      <c r="Z764" s="342"/>
      <c r="AA764" s="342"/>
      <c r="AB764" s="342"/>
      <c r="AC764" s="342"/>
      <c r="AD764" s="342"/>
      <c r="AE764" s="342"/>
      <c r="AF764" s="342"/>
      <c r="AG764" s="342"/>
      <c r="AH764" s="342"/>
      <c r="AI764" s="342"/>
    </row>
    <row r="765">
      <c r="A765" s="342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P765" s="342"/>
      <c r="Q765" s="342"/>
      <c r="R765" s="342"/>
      <c r="S765" s="342"/>
      <c r="T765" s="342"/>
      <c r="U765" s="342"/>
      <c r="V765" s="342"/>
      <c r="W765" s="342"/>
      <c r="X765" s="342"/>
      <c r="Y765" s="342"/>
      <c r="Z765" s="342"/>
      <c r="AA765" s="342"/>
      <c r="AB765" s="342"/>
      <c r="AC765" s="342"/>
      <c r="AD765" s="342"/>
      <c r="AE765" s="342"/>
      <c r="AF765" s="342"/>
      <c r="AG765" s="342"/>
      <c r="AH765" s="342"/>
      <c r="AI765" s="342"/>
    </row>
    <row r="766">
      <c r="A766" s="342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P766" s="342"/>
      <c r="Q766" s="342"/>
      <c r="R766" s="342"/>
      <c r="S766" s="342"/>
      <c r="T766" s="342"/>
      <c r="U766" s="342"/>
      <c r="V766" s="342"/>
      <c r="W766" s="342"/>
      <c r="X766" s="342"/>
      <c r="Y766" s="342"/>
      <c r="Z766" s="342"/>
      <c r="AA766" s="342"/>
      <c r="AB766" s="342"/>
      <c r="AC766" s="342"/>
      <c r="AD766" s="342"/>
      <c r="AE766" s="342"/>
      <c r="AF766" s="342"/>
      <c r="AG766" s="342"/>
      <c r="AH766" s="342"/>
      <c r="AI766" s="342"/>
    </row>
    <row r="767">
      <c r="A767" s="342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P767" s="342"/>
      <c r="Q767" s="342"/>
      <c r="R767" s="342"/>
      <c r="S767" s="342"/>
      <c r="T767" s="342"/>
      <c r="U767" s="342"/>
      <c r="V767" s="342"/>
      <c r="W767" s="342"/>
      <c r="X767" s="342"/>
      <c r="Y767" s="342"/>
      <c r="Z767" s="342"/>
      <c r="AA767" s="342"/>
      <c r="AB767" s="342"/>
      <c r="AC767" s="342"/>
      <c r="AD767" s="342"/>
      <c r="AE767" s="342"/>
      <c r="AF767" s="342"/>
      <c r="AG767" s="342"/>
      <c r="AH767" s="342"/>
      <c r="AI767" s="342"/>
    </row>
    <row r="768">
      <c r="A768" s="342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P768" s="342"/>
      <c r="Q768" s="342"/>
      <c r="R768" s="342"/>
      <c r="S768" s="342"/>
      <c r="T768" s="342"/>
      <c r="U768" s="342"/>
      <c r="V768" s="342"/>
      <c r="W768" s="342"/>
      <c r="X768" s="342"/>
      <c r="Y768" s="342"/>
      <c r="Z768" s="342"/>
      <c r="AA768" s="342"/>
      <c r="AB768" s="342"/>
      <c r="AC768" s="342"/>
      <c r="AD768" s="342"/>
      <c r="AE768" s="342"/>
      <c r="AF768" s="342"/>
      <c r="AG768" s="342"/>
      <c r="AH768" s="342"/>
      <c r="AI768" s="342"/>
    </row>
    <row r="769">
      <c r="A769" s="342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P769" s="342"/>
      <c r="Q769" s="342"/>
      <c r="R769" s="342"/>
      <c r="S769" s="342"/>
      <c r="T769" s="342"/>
      <c r="U769" s="342"/>
      <c r="V769" s="342"/>
      <c r="W769" s="342"/>
      <c r="X769" s="342"/>
      <c r="Y769" s="342"/>
      <c r="Z769" s="342"/>
      <c r="AA769" s="342"/>
      <c r="AB769" s="342"/>
      <c r="AC769" s="342"/>
      <c r="AD769" s="342"/>
      <c r="AE769" s="342"/>
      <c r="AF769" s="342"/>
      <c r="AG769" s="342"/>
      <c r="AH769" s="342"/>
      <c r="AI769" s="342"/>
    </row>
    <row r="770">
      <c r="A770" s="342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P770" s="342"/>
      <c r="Q770" s="342"/>
      <c r="R770" s="342"/>
      <c r="S770" s="342"/>
      <c r="T770" s="342"/>
      <c r="U770" s="342"/>
      <c r="V770" s="342"/>
      <c r="W770" s="342"/>
      <c r="X770" s="342"/>
      <c r="Y770" s="342"/>
      <c r="Z770" s="342"/>
      <c r="AA770" s="342"/>
      <c r="AB770" s="342"/>
      <c r="AC770" s="342"/>
      <c r="AD770" s="342"/>
      <c r="AE770" s="342"/>
      <c r="AF770" s="342"/>
      <c r="AG770" s="342"/>
      <c r="AH770" s="342"/>
      <c r="AI770" s="342"/>
    </row>
    <row r="771">
      <c r="A771" s="342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P771" s="342"/>
      <c r="Q771" s="342"/>
      <c r="R771" s="342"/>
      <c r="S771" s="342"/>
      <c r="T771" s="342"/>
      <c r="U771" s="342"/>
      <c r="V771" s="342"/>
      <c r="W771" s="342"/>
      <c r="X771" s="342"/>
      <c r="Y771" s="342"/>
      <c r="Z771" s="342"/>
      <c r="AA771" s="342"/>
      <c r="AB771" s="342"/>
      <c r="AC771" s="342"/>
      <c r="AD771" s="342"/>
      <c r="AE771" s="342"/>
      <c r="AF771" s="342"/>
      <c r="AG771" s="342"/>
      <c r="AH771" s="342"/>
      <c r="AI771" s="342"/>
    </row>
    <row r="772">
      <c r="A772" s="342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P772" s="342"/>
      <c r="Q772" s="342"/>
      <c r="R772" s="342"/>
      <c r="S772" s="342"/>
      <c r="T772" s="342"/>
      <c r="U772" s="342"/>
      <c r="V772" s="342"/>
      <c r="W772" s="342"/>
      <c r="X772" s="342"/>
      <c r="Y772" s="342"/>
      <c r="Z772" s="342"/>
      <c r="AA772" s="342"/>
      <c r="AB772" s="342"/>
      <c r="AC772" s="342"/>
      <c r="AD772" s="342"/>
      <c r="AE772" s="342"/>
      <c r="AF772" s="342"/>
      <c r="AG772" s="342"/>
      <c r="AH772" s="342"/>
      <c r="AI772" s="342"/>
    </row>
    <row r="773">
      <c r="A773" s="342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P773" s="342"/>
      <c r="Q773" s="342"/>
      <c r="R773" s="342"/>
      <c r="S773" s="342"/>
      <c r="T773" s="342"/>
      <c r="U773" s="342"/>
      <c r="V773" s="342"/>
      <c r="W773" s="342"/>
      <c r="X773" s="342"/>
      <c r="Y773" s="342"/>
      <c r="Z773" s="342"/>
      <c r="AA773" s="342"/>
      <c r="AB773" s="342"/>
      <c r="AC773" s="342"/>
      <c r="AD773" s="342"/>
      <c r="AE773" s="342"/>
      <c r="AF773" s="342"/>
      <c r="AG773" s="342"/>
      <c r="AH773" s="342"/>
      <c r="AI773" s="342"/>
    </row>
    <row r="774">
      <c r="A774" s="342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P774" s="342"/>
      <c r="Q774" s="342"/>
      <c r="R774" s="342"/>
      <c r="S774" s="342"/>
      <c r="T774" s="342"/>
      <c r="U774" s="342"/>
      <c r="V774" s="342"/>
      <c r="W774" s="342"/>
      <c r="X774" s="342"/>
      <c r="Y774" s="342"/>
      <c r="Z774" s="342"/>
      <c r="AA774" s="342"/>
      <c r="AB774" s="342"/>
      <c r="AC774" s="342"/>
      <c r="AD774" s="342"/>
      <c r="AE774" s="342"/>
      <c r="AF774" s="342"/>
      <c r="AG774" s="342"/>
      <c r="AH774" s="342"/>
      <c r="AI774" s="342"/>
    </row>
    <row r="775">
      <c r="A775" s="342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P775" s="342"/>
      <c r="Q775" s="342"/>
      <c r="R775" s="342"/>
      <c r="S775" s="342"/>
      <c r="T775" s="342"/>
      <c r="U775" s="342"/>
      <c r="V775" s="342"/>
      <c r="W775" s="342"/>
      <c r="X775" s="342"/>
      <c r="Y775" s="342"/>
      <c r="Z775" s="342"/>
      <c r="AA775" s="342"/>
      <c r="AB775" s="342"/>
      <c r="AC775" s="342"/>
      <c r="AD775" s="342"/>
      <c r="AE775" s="342"/>
      <c r="AF775" s="342"/>
      <c r="AG775" s="342"/>
      <c r="AH775" s="342"/>
      <c r="AI775" s="342"/>
    </row>
    <row r="776">
      <c r="A776" s="342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P776" s="342"/>
      <c r="Q776" s="342"/>
      <c r="R776" s="342"/>
      <c r="S776" s="342"/>
      <c r="T776" s="342"/>
      <c r="U776" s="342"/>
      <c r="V776" s="342"/>
      <c r="W776" s="342"/>
      <c r="X776" s="342"/>
      <c r="Y776" s="342"/>
      <c r="Z776" s="342"/>
      <c r="AA776" s="342"/>
      <c r="AB776" s="342"/>
      <c r="AC776" s="342"/>
      <c r="AD776" s="342"/>
      <c r="AE776" s="342"/>
      <c r="AF776" s="342"/>
      <c r="AG776" s="342"/>
      <c r="AH776" s="342"/>
      <c r="AI776" s="342"/>
    </row>
    <row r="777">
      <c r="A777" s="342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P777" s="342"/>
      <c r="Q777" s="342"/>
      <c r="R777" s="342"/>
      <c r="S777" s="342"/>
      <c r="T777" s="342"/>
      <c r="U777" s="342"/>
      <c r="V777" s="342"/>
      <c r="W777" s="342"/>
      <c r="X777" s="342"/>
      <c r="Y777" s="342"/>
      <c r="Z777" s="342"/>
      <c r="AA777" s="342"/>
      <c r="AB777" s="342"/>
      <c r="AC777" s="342"/>
      <c r="AD777" s="342"/>
      <c r="AE777" s="342"/>
      <c r="AF777" s="342"/>
      <c r="AG777" s="342"/>
      <c r="AH777" s="342"/>
      <c r="AI777" s="342"/>
    </row>
    <row r="778">
      <c r="A778" s="342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342"/>
      <c r="T778" s="342"/>
      <c r="U778" s="342"/>
      <c r="V778" s="342"/>
      <c r="W778" s="342"/>
      <c r="X778" s="342"/>
      <c r="Y778" s="342"/>
      <c r="Z778" s="342"/>
      <c r="AA778" s="342"/>
      <c r="AB778" s="342"/>
      <c r="AC778" s="342"/>
      <c r="AD778" s="342"/>
      <c r="AE778" s="342"/>
      <c r="AF778" s="342"/>
      <c r="AG778" s="342"/>
      <c r="AH778" s="342"/>
      <c r="AI778" s="342"/>
    </row>
    <row r="779">
      <c r="A779" s="342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342"/>
      <c r="T779" s="342"/>
      <c r="U779" s="342"/>
      <c r="V779" s="342"/>
      <c r="W779" s="342"/>
      <c r="X779" s="342"/>
      <c r="Y779" s="342"/>
      <c r="Z779" s="342"/>
      <c r="AA779" s="342"/>
      <c r="AB779" s="342"/>
      <c r="AC779" s="342"/>
      <c r="AD779" s="342"/>
      <c r="AE779" s="342"/>
      <c r="AF779" s="342"/>
      <c r="AG779" s="342"/>
      <c r="AH779" s="342"/>
      <c r="AI779" s="342"/>
    </row>
    <row r="780">
      <c r="A780" s="342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342"/>
      <c r="T780" s="342"/>
      <c r="U780" s="342"/>
      <c r="V780" s="342"/>
      <c r="W780" s="342"/>
      <c r="X780" s="342"/>
      <c r="Y780" s="342"/>
      <c r="Z780" s="342"/>
      <c r="AA780" s="342"/>
      <c r="AB780" s="342"/>
      <c r="AC780" s="342"/>
      <c r="AD780" s="342"/>
      <c r="AE780" s="342"/>
      <c r="AF780" s="342"/>
      <c r="AG780" s="342"/>
      <c r="AH780" s="342"/>
      <c r="AI780" s="342"/>
    </row>
    <row r="781">
      <c r="A781" s="342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P781" s="342"/>
      <c r="Q781" s="342"/>
      <c r="R781" s="342"/>
      <c r="S781" s="342"/>
      <c r="T781" s="342"/>
      <c r="U781" s="342"/>
      <c r="V781" s="342"/>
      <c r="W781" s="342"/>
      <c r="X781" s="342"/>
      <c r="Y781" s="342"/>
      <c r="Z781" s="342"/>
      <c r="AA781" s="342"/>
      <c r="AB781" s="342"/>
      <c r="AC781" s="342"/>
      <c r="AD781" s="342"/>
      <c r="AE781" s="342"/>
      <c r="AF781" s="342"/>
      <c r="AG781" s="342"/>
      <c r="AH781" s="342"/>
      <c r="AI781" s="342"/>
    </row>
    <row r="782">
      <c r="A782" s="342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P782" s="342"/>
      <c r="Q782" s="342"/>
      <c r="R782" s="342"/>
      <c r="S782" s="342"/>
      <c r="T782" s="342"/>
      <c r="U782" s="342"/>
      <c r="V782" s="342"/>
      <c r="W782" s="342"/>
      <c r="X782" s="342"/>
      <c r="Y782" s="342"/>
      <c r="Z782" s="342"/>
      <c r="AA782" s="342"/>
      <c r="AB782" s="342"/>
      <c r="AC782" s="342"/>
      <c r="AD782" s="342"/>
      <c r="AE782" s="342"/>
      <c r="AF782" s="342"/>
      <c r="AG782" s="342"/>
      <c r="AH782" s="342"/>
      <c r="AI782" s="342"/>
    </row>
    <row r="783">
      <c r="A783" s="342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P783" s="342"/>
      <c r="Q783" s="342"/>
      <c r="R783" s="342"/>
      <c r="S783" s="342"/>
      <c r="T783" s="342"/>
      <c r="U783" s="342"/>
      <c r="V783" s="342"/>
      <c r="W783" s="342"/>
      <c r="X783" s="342"/>
      <c r="Y783" s="342"/>
      <c r="Z783" s="342"/>
      <c r="AA783" s="342"/>
      <c r="AB783" s="342"/>
      <c r="AC783" s="342"/>
      <c r="AD783" s="342"/>
      <c r="AE783" s="342"/>
      <c r="AF783" s="342"/>
      <c r="AG783" s="342"/>
      <c r="AH783" s="342"/>
      <c r="AI783" s="342"/>
    </row>
    <row r="784">
      <c r="A784" s="342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P784" s="342"/>
      <c r="Q784" s="342"/>
      <c r="R784" s="342"/>
      <c r="S784" s="342"/>
      <c r="T784" s="342"/>
      <c r="U784" s="342"/>
      <c r="V784" s="342"/>
      <c r="W784" s="342"/>
      <c r="X784" s="342"/>
      <c r="Y784" s="342"/>
      <c r="Z784" s="342"/>
      <c r="AA784" s="342"/>
      <c r="AB784" s="342"/>
      <c r="AC784" s="342"/>
      <c r="AD784" s="342"/>
      <c r="AE784" s="342"/>
      <c r="AF784" s="342"/>
      <c r="AG784" s="342"/>
      <c r="AH784" s="342"/>
      <c r="AI784" s="342"/>
    </row>
    <row r="785">
      <c r="A785" s="342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P785" s="342"/>
      <c r="Q785" s="342"/>
      <c r="R785" s="342"/>
      <c r="S785" s="342"/>
      <c r="T785" s="342"/>
      <c r="U785" s="342"/>
      <c r="V785" s="342"/>
      <c r="W785" s="342"/>
      <c r="X785" s="342"/>
      <c r="Y785" s="342"/>
      <c r="Z785" s="342"/>
      <c r="AA785" s="342"/>
      <c r="AB785" s="342"/>
      <c r="AC785" s="342"/>
      <c r="AD785" s="342"/>
      <c r="AE785" s="342"/>
      <c r="AF785" s="342"/>
      <c r="AG785" s="342"/>
      <c r="AH785" s="342"/>
      <c r="AI785" s="342"/>
    </row>
    <row r="786">
      <c r="A786" s="342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P786" s="342"/>
      <c r="Q786" s="342"/>
      <c r="R786" s="342"/>
      <c r="S786" s="342"/>
      <c r="T786" s="342"/>
      <c r="U786" s="342"/>
      <c r="V786" s="342"/>
      <c r="W786" s="342"/>
      <c r="X786" s="342"/>
      <c r="Y786" s="342"/>
      <c r="Z786" s="342"/>
      <c r="AA786" s="342"/>
      <c r="AB786" s="342"/>
      <c r="AC786" s="342"/>
      <c r="AD786" s="342"/>
      <c r="AE786" s="342"/>
      <c r="AF786" s="342"/>
      <c r="AG786" s="342"/>
      <c r="AH786" s="342"/>
      <c r="AI786" s="342"/>
    </row>
    <row r="787">
      <c r="A787" s="342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P787" s="342"/>
      <c r="Q787" s="342"/>
      <c r="R787" s="342"/>
      <c r="S787" s="342"/>
      <c r="T787" s="342"/>
      <c r="U787" s="342"/>
      <c r="V787" s="342"/>
      <c r="W787" s="342"/>
      <c r="X787" s="342"/>
      <c r="Y787" s="342"/>
      <c r="Z787" s="342"/>
      <c r="AA787" s="342"/>
      <c r="AB787" s="342"/>
      <c r="AC787" s="342"/>
      <c r="AD787" s="342"/>
      <c r="AE787" s="342"/>
      <c r="AF787" s="342"/>
      <c r="AG787" s="342"/>
      <c r="AH787" s="342"/>
      <c r="AI787" s="342"/>
    </row>
    <row r="788">
      <c r="A788" s="342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P788" s="342"/>
      <c r="Q788" s="342"/>
      <c r="R788" s="342"/>
      <c r="S788" s="342"/>
      <c r="T788" s="342"/>
      <c r="U788" s="342"/>
      <c r="V788" s="342"/>
      <c r="W788" s="342"/>
      <c r="X788" s="342"/>
      <c r="Y788" s="342"/>
      <c r="Z788" s="342"/>
      <c r="AA788" s="342"/>
      <c r="AB788" s="342"/>
      <c r="AC788" s="342"/>
      <c r="AD788" s="342"/>
      <c r="AE788" s="342"/>
      <c r="AF788" s="342"/>
      <c r="AG788" s="342"/>
      <c r="AH788" s="342"/>
      <c r="AI788" s="342"/>
    </row>
    <row r="789">
      <c r="A789" s="342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P789" s="342"/>
      <c r="Q789" s="342"/>
      <c r="R789" s="342"/>
      <c r="S789" s="342"/>
      <c r="T789" s="342"/>
      <c r="U789" s="342"/>
      <c r="V789" s="342"/>
      <c r="W789" s="342"/>
      <c r="X789" s="342"/>
      <c r="Y789" s="342"/>
      <c r="Z789" s="342"/>
      <c r="AA789" s="342"/>
      <c r="AB789" s="342"/>
      <c r="AC789" s="342"/>
      <c r="AD789" s="342"/>
      <c r="AE789" s="342"/>
      <c r="AF789" s="342"/>
      <c r="AG789" s="342"/>
      <c r="AH789" s="342"/>
      <c r="AI789" s="342"/>
    </row>
    <row r="790">
      <c r="A790" s="342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P790" s="342"/>
      <c r="Q790" s="342"/>
      <c r="R790" s="342"/>
      <c r="S790" s="342"/>
      <c r="T790" s="342"/>
      <c r="U790" s="342"/>
      <c r="V790" s="342"/>
      <c r="W790" s="342"/>
      <c r="X790" s="342"/>
      <c r="Y790" s="342"/>
      <c r="Z790" s="342"/>
      <c r="AA790" s="342"/>
      <c r="AB790" s="342"/>
      <c r="AC790" s="342"/>
      <c r="AD790" s="342"/>
      <c r="AE790" s="342"/>
      <c r="AF790" s="342"/>
      <c r="AG790" s="342"/>
      <c r="AH790" s="342"/>
      <c r="AI790" s="342"/>
    </row>
    <row r="791">
      <c r="A791" s="342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P791" s="342"/>
      <c r="Q791" s="342"/>
      <c r="R791" s="342"/>
      <c r="S791" s="342"/>
      <c r="T791" s="342"/>
      <c r="U791" s="342"/>
      <c r="V791" s="342"/>
      <c r="W791" s="342"/>
      <c r="X791" s="342"/>
      <c r="Y791" s="342"/>
      <c r="Z791" s="342"/>
      <c r="AA791" s="342"/>
      <c r="AB791" s="342"/>
      <c r="AC791" s="342"/>
      <c r="AD791" s="342"/>
      <c r="AE791" s="342"/>
      <c r="AF791" s="342"/>
      <c r="AG791" s="342"/>
      <c r="AH791" s="342"/>
      <c r="AI791" s="342"/>
    </row>
    <row r="792">
      <c r="A792" s="342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P792" s="342"/>
      <c r="Q792" s="342"/>
      <c r="R792" s="342"/>
      <c r="S792" s="342"/>
      <c r="T792" s="342"/>
      <c r="U792" s="342"/>
      <c r="V792" s="342"/>
      <c r="W792" s="342"/>
      <c r="X792" s="342"/>
      <c r="Y792" s="342"/>
      <c r="Z792" s="342"/>
      <c r="AA792" s="342"/>
      <c r="AB792" s="342"/>
      <c r="AC792" s="342"/>
      <c r="AD792" s="342"/>
      <c r="AE792" s="342"/>
      <c r="AF792" s="342"/>
      <c r="AG792" s="342"/>
      <c r="AH792" s="342"/>
      <c r="AI792" s="342"/>
    </row>
    <row r="793">
      <c r="A793" s="342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P793" s="342"/>
      <c r="Q793" s="342"/>
      <c r="R793" s="342"/>
      <c r="S793" s="342"/>
      <c r="T793" s="342"/>
      <c r="U793" s="342"/>
      <c r="V793" s="342"/>
      <c r="W793" s="342"/>
      <c r="X793" s="342"/>
      <c r="Y793" s="342"/>
      <c r="Z793" s="342"/>
      <c r="AA793" s="342"/>
      <c r="AB793" s="342"/>
      <c r="AC793" s="342"/>
      <c r="AD793" s="342"/>
      <c r="AE793" s="342"/>
      <c r="AF793" s="342"/>
      <c r="AG793" s="342"/>
      <c r="AH793" s="342"/>
      <c r="AI793" s="342"/>
    </row>
    <row r="794">
      <c r="A794" s="342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P794" s="342"/>
      <c r="Q794" s="342"/>
      <c r="R794" s="342"/>
      <c r="S794" s="342"/>
      <c r="T794" s="342"/>
      <c r="U794" s="342"/>
      <c r="V794" s="342"/>
      <c r="W794" s="342"/>
      <c r="X794" s="342"/>
      <c r="Y794" s="342"/>
      <c r="Z794" s="342"/>
      <c r="AA794" s="342"/>
      <c r="AB794" s="342"/>
      <c r="AC794" s="342"/>
      <c r="AD794" s="342"/>
      <c r="AE794" s="342"/>
      <c r="AF794" s="342"/>
      <c r="AG794" s="342"/>
      <c r="AH794" s="342"/>
      <c r="AI794" s="342"/>
    </row>
    <row r="795">
      <c r="A795" s="342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P795" s="342"/>
      <c r="Q795" s="342"/>
      <c r="R795" s="342"/>
      <c r="S795" s="342"/>
      <c r="T795" s="342"/>
      <c r="U795" s="342"/>
      <c r="V795" s="342"/>
      <c r="W795" s="342"/>
      <c r="X795" s="342"/>
      <c r="Y795" s="342"/>
      <c r="Z795" s="342"/>
      <c r="AA795" s="342"/>
      <c r="AB795" s="342"/>
      <c r="AC795" s="342"/>
      <c r="AD795" s="342"/>
      <c r="AE795" s="342"/>
      <c r="AF795" s="342"/>
      <c r="AG795" s="342"/>
      <c r="AH795" s="342"/>
      <c r="AI795" s="342"/>
    </row>
    <row r="796">
      <c r="A796" s="342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P796" s="342"/>
      <c r="Q796" s="342"/>
      <c r="R796" s="342"/>
      <c r="S796" s="342"/>
      <c r="T796" s="342"/>
      <c r="U796" s="342"/>
      <c r="V796" s="342"/>
      <c r="W796" s="342"/>
      <c r="X796" s="342"/>
      <c r="Y796" s="342"/>
      <c r="Z796" s="342"/>
      <c r="AA796" s="342"/>
      <c r="AB796" s="342"/>
      <c r="AC796" s="342"/>
      <c r="AD796" s="342"/>
      <c r="AE796" s="342"/>
      <c r="AF796" s="342"/>
      <c r="AG796" s="342"/>
      <c r="AH796" s="342"/>
      <c r="AI796" s="342"/>
    </row>
    <row r="797">
      <c r="A797" s="342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P797" s="342"/>
      <c r="Q797" s="342"/>
      <c r="R797" s="342"/>
      <c r="S797" s="342"/>
      <c r="T797" s="342"/>
      <c r="U797" s="342"/>
      <c r="V797" s="342"/>
      <c r="W797" s="342"/>
      <c r="X797" s="342"/>
      <c r="Y797" s="342"/>
      <c r="Z797" s="342"/>
      <c r="AA797" s="342"/>
      <c r="AB797" s="342"/>
      <c r="AC797" s="342"/>
      <c r="AD797" s="342"/>
      <c r="AE797" s="342"/>
      <c r="AF797" s="342"/>
      <c r="AG797" s="342"/>
      <c r="AH797" s="342"/>
      <c r="AI797" s="342"/>
    </row>
    <row r="798">
      <c r="A798" s="342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  <c r="AA798" s="342"/>
      <c r="AB798" s="342"/>
      <c r="AC798" s="342"/>
      <c r="AD798" s="342"/>
      <c r="AE798" s="342"/>
      <c r="AF798" s="342"/>
      <c r="AG798" s="342"/>
      <c r="AH798" s="342"/>
      <c r="AI798" s="342"/>
    </row>
    <row r="799">
      <c r="A799" s="342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P799" s="342"/>
      <c r="Q799" s="342"/>
      <c r="R799" s="342"/>
      <c r="S799" s="342"/>
      <c r="T799" s="342"/>
      <c r="U799" s="342"/>
      <c r="V799" s="342"/>
      <c r="W799" s="342"/>
      <c r="X799" s="342"/>
      <c r="Y799" s="342"/>
      <c r="Z799" s="342"/>
      <c r="AA799" s="342"/>
      <c r="AB799" s="342"/>
      <c r="AC799" s="342"/>
      <c r="AD799" s="342"/>
      <c r="AE799" s="342"/>
      <c r="AF799" s="342"/>
      <c r="AG799" s="342"/>
      <c r="AH799" s="342"/>
      <c r="AI799" s="342"/>
    </row>
    <row r="800">
      <c r="A800" s="342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342"/>
      <c r="T800" s="342"/>
      <c r="U800" s="342"/>
      <c r="V800" s="342"/>
      <c r="W800" s="342"/>
      <c r="X800" s="342"/>
      <c r="Y800" s="342"/>
      <c r="Z800" s="342"/>
      <c r="AA800" s="342"/>
      <c r="AB800" s="342"/>
      <c r="AC800" s="342"/>
      <c r="AD800" s="342"/>
      <c r="AE800" s="342"/>
      <c r="AF800" s="342"/>
      <c r="AG800" s="342"/>
      <c r="AH800" s="342"/>
      <c r="AI800" s="342"/>
    </row>
    <row r="801">
      <c r="A801" s="342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P801" s="342"/>
      <c r="Q801" s="342"/>
      <c r="R801" s="342"/>
      <c r="S801" s="342"/>
      <c r="T801" s="342"/>
      <c r="U801" s="342"/>
      <c r="V801" s="342"/>
      <c r="W801" s="342"/>
      <c r="X801" s="342"/>
      <c r="Y801" s="342"/>
      <c r="Z801" s="342"/>
      <c r="AA801" s="342"/>
      <c r="AB801" s="342"/>
      <c r="AC801" s="342"/>
      <c r="AD801" s="342"/>
      <c r="AE801" s="342"/>
      <c r="AF801" s="342"/>
      <c r="AG801" s="342"/>
      <c r="AH801" s="342"/>
      <c r="AI801" s="342"/>
    </row>
    <row r="802">
      <c r="A802" s="342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P802" s="342"/>
      <c r="Q802" s="342"/>
      <c r="R802" s="342"/>
      <c r="S802" s="342"/>
      <c r="T802" s="342"/>
      <c r="U802" s="342"/>
      <c r="V802" s="342"/>
      <c r="W802" s="342"/>
      <c r="X802" s="342"/>
      <c r="Y802" s="342"/>
      <c r="Z802" s="342"/>
      <c r="AA802" s="342"/>
      <c r="AB802" s="342"/>
      <c r="AC802" s="342"/>
      <c r="AD802" s="342"/>
      <c r="AE802" s="342"/>
      <c r="AF802" s="342"/>
      <c r="AG802" s="342"/>
      <c r="AH802" s="342"/>
      <c r="AI802" s="342"/>
    </row>
    <row r="803">
      <c r="A803" s="342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P803" s="342"/>
      <c r="Q803" s="342"/>
      <c r="R803" s="342"/>
      <c r="S803" s="342"/>
      <c r="T803" s="342"/>
      <c r="U803" s="342"/>
      <c r="V803" s="342"/>
      <c r="W803" s="342"/>
      <c r="X803" s="342"/>
      <c r="Y803" s="342"/>
      <c r="Z803" s="342"/>
      <c r="AA803" s="342"/>
      <c r="AB803" s="342"/>
      <c r="AC803" s="342"/>
      <c r="AD803" s="342"/>
      <c r="AE803" s="342"/>
      <c r="AF803" s="342"/>
      <c r="AG803" s="342"/>
      <c r="AH803" s="342"/>
      <c r="AI803" s="342"/>
    </row>
    <row r="804">
      <c r="A804" s="342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P804" s="342"/>
      <c r="Q804" s="342"/>
      <c r="R804" s="342"/>
      <c r="S804" s="342"/>
      <c r="T804" s="342"/>
      <c r="U804" s="342"/>
      <c r="V804" s="342"/>
      <c r="W804" s="342"/>
      <c r="X804" s="342"/>
      <c r="Y804" s="342"/>
      <c r="Z804" s="342"/>
      <c r="AA804" s="342"/>
      <c r="AB804" s="342"/>
      <c r="AC804" s="342"/>
      <c r="AD804" s="342"/>
      <c r="AE804" s="342"/>
      <c r="AF804" s="342"/>
      <c r="AG804" s="342"/>
      <c r="AH804" s="342"/>
      <c r="AI804" s="342"/>
    </row>
    <row r="805">
      <c r="A805" s="342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P805" s="342"/>
      <c r="Q805" s="342"/>
      <c r="R805" s="342"/>
      <c r="S805" s="342"/>
      <c r="T805" s="342"/>
      <c r="U805" s="342"/>
      <c r="V805" s="342"/>
      <c r="W805" s="342"/>
      <c r="X805" s="342"/>
      <c r="Y805" s="342"/>
      <c r="Z805" s="342"/>
      <c r="AA805" s="342"/>
      <c r="AB805" s="342"/>
      <c r="AC805" s="342"/>
      <c r="AD805" s="342"/>
      <c r="AE805" s="342"/>
      <c r="AF805" s="342"/>
      <c r="AG805" s="342"/>
      <c r="AH805" s="342"/>
      <c r="AI805" s="342"/>
    </row>
    <row r="806">
      <c r="A806" s="342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P806" s="342"/>
      <c r="Q806" s="342"/>
      <c r="R806" s="342"/>
      <c r="S806" s="342"/>
      <c r="T806" s="342"/>
      <c r="U806" s="342"/>
      <c r="V806" s="342"/>
      <c r="W806" s="342"/>
      <c r="X806" s="342"/>
      <c r="Y806" s="342"/>
      <c r="Z806" s="342"/>
      <c r="AA806" s="342"/>
      <c r="AB806" s="342"/>
      <c r="AC806" s="342"/>
      <c r="AD806" s="342"/>
      <c r="AE806" s="342"/>
      <c r="AF806" s="342"/>
      <c r="AG806" s="342"/>
      <c r="AH806" s="342"/>
      <c r="AI806" s="342"/>
    </row>
    <row r="807">
      <c r="A807" s="342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P807" s="342"/>
      <c r="Q807" s="342"/>
      <c r="R807" s="342"/>
      <c r="S807" s="342"/>
      <c r="T807" s="342"/>
      <c r="U807" s="342"/>
      <c r="V807" s="342"/>
      <c r="W807" s="342"/>
      <c r="X807" s="342"/>
      <c r="Y807" s="342"/>
      <c r="Z807" s="342"/>
      <c r="AA807" s="342"/>
      <c r="AB807" s="342"/>
      <c r="AC807" s="342"/>
      <c r="AD807" s="342"/>
      <c r="AE807" s="342"/>
      <c r="AF807" s="342"/>
      <c r="AG807" s="342"/>
      <c r="AH807" s="342"/>
      <c r="AI807" s="342"/>
    </row>
    <row r="808">
      <c r="A808" s="342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P808" s="342"/>
      <c r="Q808" s="342"/>
      <c r="R808" s="342"/>
      <c r="S808" s="342"/>
      <c r="T808" s="342"/>
      <c r="U808" s="342"/>
      <c r="V808" s="342"/>
      <c r="W808" s="342"/>
      <c r="X808" s="342"/>
      <c r="Y808" s="342"/>
      <c r="Z808" s="342"/>
      <c r="AA808" s="342"/>
      <c r="AB808" s="342"/>
      <c r="AC808" s="342"/>
      <c r="AD808" s="342"/>
      <c r="AE808" s="342"/>
      <c r="AF808" s="342"/>
      <c r="AG808" s="342"/>
      <c r="AH808" s="342"/>
      <c r="AI808" s="342"/>
    </row>
    <row r="809">
      <c r="A809" s="342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P809" s="342"/>
      <c r="Q809" s="342"/>
      <c r="R809" s="342"/>
      <c r="S809" s="342"/>
      <c r="T809" s="342"/>
      <c r="U809" s="342"/>
      <c r="V809" s="342"/>
      <c r="W809" s="342"/>
      <c r="X809" s="342"/>
      <c r="Y809" s="342"/>
      <c r="Z809" s="342"/>
      <c r="AA809" s="342"/>
      <c r="AB809" s="342"/>
      <c r="AC809" s="342"/>
      <c r="AD809" s="342"/>
      <c r="AE809" s="342"/>
      <c r="AF809" s="342"/>
      <c r="AG809" s="342"/>
      <c r="AH809" s="342"/>
      <c r="AI809" s="342"/>
    </row>
    <row r="810">
      <c r="A810" s="342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P810" s="342"/>
      <c r="Q810" s="342"/>
      <c r="R810" s="342"/>
      <c r="S810" s="342"/>
      <c r="T810" s="342"/>
      <c r="U810" s="342"/>
      <c r="V810" s="342"/>
      <c r="W810" s="342"/>
      <c r="X810" s="342"/>
      <c r="Y810" s="342"/>
      <c r="Z810" s="342"/>
      <c r="AA810" s="342"/>
      <c r="AB810" s="342"/>
      <c r="AC810" s="342"/>
      <c r="AD810" s="342"/>
      <c r="AE810" s="342"/>
      <c r="AF810" s="342"/>
      <c r="AG810" s="342"/>
      <c r="AH810" s="342"/>
      <c r="AI810" s="342"/>
    </row>
    <row r="811">
      <c r="A811" s="342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P811" s="342"/>
      <c r="Q811" s="342"/>
      <c r="R811" s="342"/>
      <c r="S811" s="342"/>
      <c r="T811" s="342"/>
      <c r="U811" s="342"/>
      <c r="V811" s="342"/>
      <c r="W811" s="342"/>
      <c r="X811" s="342"/>
      <c r="Y811" s="342"/>
      <c r="Z811" s="342"/>
      <c r="AA811" s="342"/>
      <c r="AB811" s="342"/>
      <c r="AC811" s="342"/>
      <c r="AD811" s="342"/>
      <c r="AE811" s="342"/>
      <c r="AF811" s="342"/>
      <c r="AG811" s="342"/>
      <c r="AH811" s="342"/>
      <c r="AI811" s="342"/>
    </row>
    <row r="812">
      <c r="A812" s="342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P812" s="342"/>
      <c r="Q812" s="342"/>
      <c r="R812" s="342"/>
      <c r="S812" s="342"/>
      <c r="T812" s="342"/>
      <c r="U812" s="342"/>
      <c r="V812" s="342"/>
      <c r="W812" s="342"/>
      <c r="X812" s="342"/>
      <c r="Y812" s="342"/>
      <c r="Z812" s="342"/>
      <c r="AA812" s="342"/>
      <c r="AB812" s="342"/>
      <c r="AC812" s="342"/>
      <c r="AD812" s="342"/>
      <c r="AE812" s="342"/>
      <c r="AF812" s="342"/>
      <c r="AG812" s="342"/>
      <c r="AH812" s="342"/>
      <c r="AI812" s="342"/>
    </row>
    <row r="813">
      <c r="A813" s="342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P813" s="342"/>
      <c r="Q813" s="342"/>
      <c r="R813" s="342"/>
      <c r="S813" s="342"/>
      <c r="T813" s="342"/>
      <c r="U813" s="342"/>
      <c r="V813" s="342"/>
      <c r="W813" s="342"/>
      <c r="X813" s="342"/>
      <c r="Y813" s="342"/>
      <c r="Z813" s="342"/>
      <c r="AA813" s="342"/>
      <c r="AB813" s="342"/>
      <c r="AC813" s="342"/>
      <c r="AD813" s="342"/>
      <c r="AE813" s="342"/>
      <c r="AF813" s="342"/>
      <c r="AG813" s="342"/>
      <c r="AH813" s="342"/>
      <c r="AI813" s="342"/>
    </row>
    <row r="814">
      <c r="A814" s="342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P814" s="342"/>
      <c r="Q814" s="342"/>
      <c r="R814" s="342"/>
      <c r="S814" s="342"/>
      <c r="T814" s="342"/>
      <c r="U814" s="342"/>
      <c r="V814" s="342"/>
      <c r="W814" s="342"/>
      <c r="X814" s="342"/>
      <c r="Y814" s="342"/>
      <c r="Z814" s="342"/>
      <c r="AA814" s="342"/>
      <c r="AB814" s="342"/>
      <c r="AC814" s="342"/>
      <c r="AD814" s="342"/>
      <c r="AE814" s="342"/>
      <c r="AF814" s="342"/>
      <c r="AG814" s="342"/>
      <c r="AH814" s="342"/>
      <c r="AI814" s="342"/>
    </row>
    <row r="815">
      <c r="A815" s="342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P815" s="342"/>
      <c r="Q815" s="342"/>
      <c r="R815" s="342"/>
      <c r="S815" s="342"/>
      <c r="T815" s="342"/>
      <c r="U815" s="342"/>
      <c r="V815" s="342"/>
      <c r="W815" s="342"/>
      <c r="X815" s="342"/>
      <c r="Y815" s="342"/>
      <c r="Z815" s="342"/>
      <c r="AA815" s="342"/>
      <c r="AB815" s="342"/>
      <c r="AC815" s="342"/>
      <c r="AD815" s="342"/>
      <c r="AE815" s="342"/>
      <c r="AF815" s="342"/>
      <c r="AG815" s="342"/>
      <c r="AH815" s="342"/>
      <c r="AI815" s="342"/>
    </row>
    <row r="816">
      <c r="A816" s="342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P816" s="342"/>
      <c r="Q816" s="342"/>
      <c r="R816" s="342"/>
      <c r="S816" s="342"/>
      <c r="T816" s="342"/>
      <c r="U816" s="342"/>
      <c r="V816" s="342"/>
      <c r="W816" s="342"/>
      <c r="X816" s="342"/>
      <c r="Y816" s="342"/>
      <c r="Z816" s="342"/>
      <c r="AA816" s="342"/>
      <c r="AB816" s="342"/>
      <c r="AC816" s="342"/>
      <c r="AD816" s="342"/>
      <c r="AE816" s="342"/>
      <c r="AF816" s="342"/>
      <c r="AG816" s="342"/>
      <c r="AH816" s="342"/>
      <c r="AI816" s="342"/>
    </row>
    <row r="817">
      <c r="A817" s="342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P817" s="342"/>
      <c r="Q817" s="342"/>
      <c r="R817" s="342"/>
      <c r="S817" s="342"/>
      <c r="T817" s="342"/>
      <c r="U817" s="342"/>
      <c r="V817" s="342"/>
      <c r="W817" s="342"/>
      <c r="X817" s="342"/>
      <c r="Y817" s="342"/>
      <c r="Z817" s="342"/>
      <c r="AA817" s="342"/>
      <c r="AB817" s="342"/>
      <c r="AC817" s="342"/>
      <c r="AD817" s="342"/>
      <c r="AE817" s="342"/>
      <c r="AF817" s="342"/>
      <c r="AG817" s="342"/>
      <c r="AH817" s="342"/>
      <c r="AI817" s="342"/>
    </row>
    <row r="818">
      <c r="A818" s="342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P818" s="342"/>
      <c r="Q818" s="342"/>
      <c r="R818" s="342"/>
      <c r="S818" s="342"/>
      <c r="T818" s="342"/>
      <c r="U818" s="342"/>
      <c r="V818" s="342"/>
      <c r="W818" s="342"/>
      <c r="X818" s="342"/>
      <c r="Y818" s="342"/>
      <c r="Z818" s="342"/>
      <c r="AA818" s="342"/>
      <c r="AB818" s="342"/>
      <c r="AC818" s="342"/>
      <c r="AD818" s="342"/>
      <c r="AE818" s="342"/>
      <c r="AF818" s="342"/>
      <c r="AG818" s="342"/>
      <c r="AH818" s="342"/>
      <c r="AI818" s="342"/>
    </row>
    <row r="819">
      <c r="A819" s="342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P819" s="342"/>
      <c r="Q819" s="342"/>
      <c r="R819" s="342"/>
      <c r="S819" s="342"/>
      <c r="T819" s="342"/>
      <c r="U819" s="342"/>
      <c r="V819" s="342"/>
      <c r="W819" s="342"/>
      <c r="X819" s="342"/>
      <c r="Y819" s="342"/>
      <c r="Z819" s="342"/>
      <c r="AA819" s="342"/>
      <c r="AB819" s="342"/>
      <c r="AC819" s="342"/>
      <c r="AD819" s="342"/>
      <c r="AE819" s="342"/>
      <c r="AF819" s="342"/>
      <c r="AG819" s="342"/>
      <c r="AH819" s="342"/>
      <c r="AI819" s="342"/>
    </row>
    <row r="820">
      <c r="A820" s="342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P820" s="342"/>
      <c r="Q820" s="342"/>
      <c r="R820" s="342"/>
      <c r="S820" s="342"/>
      <c r="T820" s="342"/>
      <c r="U820" s="342"/>
      <c r="V820" s="342"/>
      <c r="W820" s="342"/>
      <c r="X820" s="342"/>
      <c r="Y820" s="342"/>
      <c r="Z820" s="342"/>
      <c r="AA820" s="342"/>
      <c r="AB820" s="342"/>
      <c r="AC820" s="342"/>
      <c r="AD820" s="342"/>
      <c r="AE820" s="342"/>
      <c r="AF820" s="342"/>
      <c r="AG820" s="342"/>
      <c r="AH820" s="342"/>
      <c r="AI820" s="342"/>
    </row>
    <row r="821">
      <c r="A821" s="342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P821" s="342"/>
      <c r="Q821" s="342"/>
      <c r="R821" s="342"/>
      <c r="S821" s="342"/>
      <c r="T821" s="342"/>
      <c r="U821" s="342"/>
      <c r="V821" s="342"/>
      <c r="W821" s="342"/>
      <c r="X821" s="342"/>
      <c r="Y821" s="342"/>
      <c r="Z821" s="342"/>
      <c r="AA821" s="342"/>
      <c r="AB821" s="342"/>
      <c r="AC821" s="342"/>
      <c r="AD821" s="342"/>
      <c r="AE821" s="342"/>
      <c r="AF821" s="342"/>
      <c r="AG821" s="342"/>
      <c r="AH821" s="342"/>
      <c r="AI821" s="342"/>
    </row>
    <row r="822">
      <c r="A822" s="342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P822" s="342"/>
      <c r="Q822" s="342"/>
      <c r="R822" s="342"/>
      <c r="S822" s="342"/>
      <c r="T822" s="342"/>
      <c r="U822" s="342"/>
      <c r="V822" s="342"/>
      <c r="W822" s="342"/>
      <c r="X822" s="342"/>
      <c r="Y822" s="342"/>
      <c r="Z822" s="342"/>
      <c r="AA822" s="342"/>
      <c r="AB822" s="342"/>
      <c r="AC822" s="342"/>
      <c r="AD822" s="342"/>
      <c r="AE822" s="342"/>
      <c r="AF822" s="342"/>
      <c r="AG822" s="342"/>
      <c r="AH822" s="342"/>
      <c r="AI822" s="342"/>
    </row>
    <row r="823">
      <c r="A823" s="342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P823" s="342"/>
      <c r="Q823" s="342"/>
      <c r="R823" s="342"/>
      <c r="S823" s="342"/>
      <c r="T823" s="342"/>
      <c r="U823" s="342"/>
      <c r="V823" s="342"/>
      <c r="W823" s="342"/>
      <c r="X823" s="342"/>
      <c r="Y823" s="342"/>
      <c r="Z823" s="342"/>
      <c r="AA823" s="342"/>
      <c r="AB823" s="342"/>
      <c r="AC823" s="342"/>
      <c r="AD823" s="342"/>
      <c r="AE823" s="342"/>
      <c r="AF823" s="342"/>
      <c r="AG823" s="342"/>
      <c r="AH823" s="342"/>
      <c r="AI823" s="342"/>
    </row>
    <row r="824">
      <c r="A824" s="342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P824" s="342"/>
      <c r="Q824" s="342"/>
      <c r="R824" s="342"/>
      <c r="S824" s="342"/>
      <c r="T824" s="342"/>
      <c r="U824" s="342"/>
      <c r="V824" s="342"/>
      <c r="W824" s="342"/>
      <c r="X824" s="342"/>
      <c r="Y824" s="342"/>
      <c r="Z824" s="342"/>
      <c r="AA824" s="342"/>
      <c r="AB824" s="342"/>
      <c r="AC824" s="342"/>
      <c r="AD824" s="342"/>
      <c r="AE824" s="342"/>
      <c r="AF824" s="342"/>
      <c r="AG824" s="342"/>
      <c r="AH824" s="342"/>
      <c r="AI824" s="342"/>
    </row>
    <row r="825">
      <c r="A825" s="342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P825" s="342"/>
      <c r="Q825" s="342"/>
      <c r="R825" s="342"/>
      <c r="S825" s="342"/>
      <c r="T825" s="342"/>
      <c r="U825" s="342"/>
      <c r="V825" s="342"/>
      <c r="W825" s="342"/>
      <c r="X825" s="342"/>
      <c r="Y825" s="342"/>
      <c r="Z825" s="342"/>
      <c r="AA825" s="342"/>
      <c r="AB825" s="342"/>
      <c r="AC825" s="342"/>
      <c r="AD825" s="342"/>
      <c r="AE825" s="342"/>
      <c r="AF825" s="342"/>
      <c r="AG825" s="342"/>
      <c r="AH825" s="342"/>
      <c r="AI825" s="342"/>
    </row>
    <row r="826">
      <c r="A826" s="342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P826" s="342"/>
      <c r="Q826" s="342"/>
      <c r="R826" s="342"/>
      <c r="S826" s="342"/>
      <c r="T826" s="342"/>
      <c r="U826" s="342"/>
      <c r="V826" s="342"/>
      <c r="W826" s="342"/>
      <c r="X826" s="342"/>
      <c r="Y826" s="342"/>
      <c r="Z826" s="342"/>
      <c r="AA826" s="342"/>
      <c r="AB826" s="342"/>
      <c r="AC826" s="342"/>
      <c r="AD826" s="342"/>
      <c r="AE826" s="342"/>
      <c r="AF826" s="342"/>
      <c r="AG826" s="342"/>
      <c r="AH826" s="342"/>
      <c r="AI826" s="342"/>
    </row>
    <row r="827">
      <c r="A827" s="342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P827" s="342"/>
      <c r="Q827" s="342"/>
      <c r="R827" s="342"/>
      <c r="S827" s="342"/>
      <c r="T827" s="342"/>
      <c r="U827" s="342"/>
      <c r="V827" s="342"/>
      <c r="W827" s="342"/>
      <c r="X827" s="342"/>
      <c r="Y827" s="342"/>
      <c r="Z827" s="342"/>
      <c r="AA827" s="342"/>
      <c r="AB827" s="342"/>
      <c r="AC827" s="342"/>
      <c r="AD827" s="342"/>
      <c r="AE827" s="342"/>
      <c r="AF827" s="342"/>
      <c r="AG827" s="342"/>
      <c r="AH827" s="342"/>
      <c r="AI827" s="342"/>
    </row>
    <row r="828">
      <c r="A828" s="342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P828" s="342"/>
      <c r="Q828" s="342"/>
      <c r="R828" s="342"/>
      <c r="S828" s="342"/>
      <c r="T828" s="342"/>
      <c r="U828" s="342"/>
      <c r="V828" s="342"/>
      <c r="W828" s="342"/>
      <c r="X828" s="342"/>
      <c r="Y828" s="342"/>
      <c r="Z828" s="342"/>
      <c r="AA828" s="342"/>
      <c r="AB828" s="342"/>
      <c r="AC828" s="342"/>
      <c r="AD828" s="342"/>
      <c r="AE828" s="342"/>
      <c r="AF828" s="342"/>
      <c r="AG828" s="342"/>
      <c r="AH828" s="342"/>
      <c r="AI828" s="342"/>
    </row>
    <row r="829">
      <c r="A829" s="342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P829" s="342"/>
      <c r="Q829" s="342"/>
      <c r="R829" s="342"/>
      <c r="S829" s="342"/>
      <c r="T829" s="342"/>
      <c r="U829" s="342"/>
      <c r="V829" s="342"/>
      <c r="W829" s="342"/>
      <c r="X829" s="342"/>
      <c r="Y829" s="342"/>
      <c r="Z829" s="342"/>
      <c r="AA829" s="342"/>
      <c r="AB829" s="342"/>
      <c r="AC829" s="342"/>
      <c r="AD829" s="342"/>
      <c r="AE829" s="342"/>
      <c r="AF829" s="342"/>
      <c r="AG829" s="342"/>
      <c r="AH829" s="342"/>
      <c r="AI829" s="342"/>
    </row>
    <row r="830">
      <c r="A830" s="342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P830" s="342"/>
      <c r="Q830" s="342"/>
      <c r="R830" s="342"/>
      <c r="S830" s="342"/>
      <c r="T830" s="342"/>
      <c r="U830" s="342"/>
      <c r="V830" s="342"/>
      <c r="W830" s="342"/>
      <c r="X830" s="342"/>
      <c r="Y830" s="342"/>
      <c r="Z830" s="342"/>
      <c r="AA830" s="342"/>
      <c r="AB830" s="342"/>
      <c r="AC830" s="342"/>
      <c r="AD830" s="342"/>
      <c r="AE830" s="342"/>
      <c r="AF830" s="342"/>
      <c r="AG830" s="342"/>
      <c r="AH830" s="342"/>
      <c r="AI830" s="342"/>
    </row>
    <row r="831">
      <c r="A831" s="342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P831" s="342"/>
      <c r="Q831" s="342"/>
      <c r="R831" s="342"/>
      <c r="S831" s="342"/>
      <c r="T831" s="342"/>
      <c r="U831" s="342"/>
      <c r="V831" s="342"/>
      <c r="W831" s="342"/>
      <c r="X831" s="342"/>
      <c r="Y831" s="342"/>
      <c r="Z831" s="342"/>
      <c r="AA831" s="342"/>
      <c r="AB831" s="342"/>
      <c r="AC831" s="342"/>
      <c r="AD831" s="342"/>
      <c r="AE831" s="342"/>
      <c r="AF831" s="342"/>
      <c r="AG831" s="342"/>
      <c r="AH831" s="342"/>
      <c r="AI831" s="342"/>
    </row>
    <row r="832">
      <c r="A832" s="342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P832" s="342"/>
      <c r="Q832" s="342"/>
      <c r="R832" s="342"/>
      <c r="S832" s="342"/>
      <c r="T832" s="342"/>
      <c r="U832" s="342"/>
      <c r="V832" s="342"/>
      <c r="W832" s="342"/>
      <c r="X832" s="342"/>
      <c r="Y832" s="342"/>
      <c r="Z832" s="342"/>
      <c r="AA832" s="342"/>
      <c r="AB832" s="342"/>
      <c r="AC832" s="342"/>
      <c r="AD832" s="342"/>
      <c r="AE832" s="342"/>
      <c r="AF832" s="342"/>
      <c r="AG832" s="342"/>
      <c r="AH832" s="342"/>
      <c r="AI832" s="342"/>
    </row>
    <row r="833">
      <c r="A833" s="342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  <c r="AA833" s="342"/>
      <c r="AB833" s="342"/>
      <c r="AC833" s="342"/>
      <c r="AD833" s="342"/>
      <c r="AE833" s="342"/>
      <c r="AF833" s="342"/>
      <c r="AG833" s="342"/>
      <c r="AH833" s="342"/>
      <c r="AI833" s="342"/>
    </row>
    <row r="834">
      <c r="A834" s="342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  <c r="AA834" s="342"/>
      <c r="AB834" s="342"/>
      <c r="AC834" s="342"/>
      <c r="AD834" s="342"/>
      <c r="AE834" s="342"/>
      <c r="AF834" s="342"/>
      <c r="AG834" s="342"/>
      <c r="AH834" s="342"/>
      <c r="AI834" s="342"/>
    </row>
    <row r="835">
      <c r="A835" s="342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P835" s="342"/>
      <c r="Q835" s="342"/>
      <c r="R835" s="342"/>
      <c r="S835" s="342"/>
      <c r="T835" s="342"/>
      <c r="U835" s="342"/>
      <c r="V835" s="342"/>
      <c r="W835" s="342"/>
      <c r="X835" s="342"/>
      <c r="Y835" s="342"/>
      <c r="Z835" s="342"/>
      <c r="AA835" s="342"/>
      <c r="AB835" s="342"/>
      <c r="AC835" s="342"/>
      <c r="AD835" s="342"/>
      <c r="AE835" s="342"/>
      <c r="AF835" s="342"/>
      <c r="AG835" s="342"/>
      <c r="AH835" s="342"/>
      <c r="AI835" s="342"/>
    </row>
    <row r="836">
      <c r="A836" s="342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P836" s="342"/>
      <c r="Q836" s="342"/>
      <c r="R836" s="342"/>
      <c r="S836" s="342"/>
      <c r="T836" s="342"/>
      <c r="U836" s="342"/>
      <c r="V836" s="342"/>
      <c r="W836" s="342"/>
      <c r="X836" s="342"/>
      <c r="Y836" s="342"/>
      <c r="Z836" s="342"/>
      <c r="AA836" s="342"/>
      <c r="AB836" s="342"/>
      <c r="AC836" s="342"/>
      <c r="AD836" s="342"/>
      <c r="AE836" s="342"/>
      <c r="AF836" s="342"/>
      <c r="AG836" s="342"/>
      <c r="AH836" s="342"/>
      <c r="AI836" s="342"/>
    </row>
    <row r="837">
      <c r="A837" s="342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P837" s="342"/>
      <c r="Q837" s="342"/>
      <c r="R837" s="342"/>
      <c r="S837" s="342"/>
      <c r="T837" s="342"/>
      <c r="U837" s="342"/>
      <c r="V837" s="342"/>
      <c r="W837" s="342"/>
      <c r="X837" s="342"/>
      <c r="Y837" s="342"/>
      <c r="Z837" s="342"/>
      <c r="AA837" s="342"/>
      <c r="AB837" s="342"/>
      <c r="AC837" s="342"/>
      <c r="AD837" s="342"/>
      <c r="AE837" s="342"/>
      <c r="AF837" s="342"/>
      <c r="AG837" s="342"/>
      <c r="AH837" s="342"/>
      <c r="AI837" s="342"/>
    </row>
    <row r="838">
      <c r="A838" s="342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P838" s="342"/>
      <c r="Q838" s="342"/>
      <c r="R838" s="342"/>
      <c r="S838" s="342"/>
      <c r="T838" s="342"/>
      <c r="U838" s="342"/>
      <c r="V838" s="342"/>
      <c r="W838" s="342"/>
      <c r="X838" s="342"/>
      <c r="Y838" s="342"/>
      <c r="Z838" s="342"/>
      <c r="AA838" s="342"/>
      <c r="AB838" s="342"/>
      <c r="AC838" s="342"/>
      <c r="AD838" s="342"/>
      <c r="AE838" s="342"/>
      <c r="AF838" s="342"/>
      <c r="AG838" s="342"/>
      <c r="AH838" s="342"/>
      <c r="AI838" s="342"/>
    </row>
    <row r="839">
      <c r="A839" s="342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  <c r="AA839" s="342"/>
      <c r="AB839" s="342"/>
      <c r="AC839" s="342"/>
      <c r="AD839" s="342"/>
      <c r="AE839" s="342"/>
      <c r="AF839" s="342"/>
      <c r="AG839" s="342"/>
      <c r="AH839" s="342"/>
      <c r="AI839" s="342"/>
    </row>
    <row r="840">
      <c r="A840" s="342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P840" s="342"/>
      <c r="Q840" s="342"/>
      <c r="R840" s="342"/>
      <c r="S840" s="342"/>
      <c r="T840" s="342"/>
      <c r="U840" s="342"/>
      <c r="V840" s="342"/>
      <c r="W840" s="342"/>
      <c r="X840" s="342"/>
      <c r="Y840" s="342"/>
      <c r="Z840" s="342"/>
      <c r="AA840" s="342"/>
      <c r="AB840" s="342"/>
      <c r="AC840" s="342"/>
      <c r="AD840" s="342"/>
      <c r="AE840" s="342"/>
      <c r="AF840" s="342"/>
      <c r="AG840" s="342"/>
      <c r="AH840" s="342"/>
      <c r="AI840" s="342"/>
    </row>
    <row r="841">
      <c r="A841" s="342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P841" s="342"/>
      <c r="Q841" s="342"/>
      <c r="R841" s="342"/>
      <c r="S841" s="342"/>
      <c r="T841" s="342"/>
      <c r="U841" s="342"/>
      <c r="V841" s="342"/>
      <c r="W841" s="342"/>
      <c r="X841" s="342"/>
      <c r="Y841" s="342"/>
      <c r="Z841" s="342"/>
      <c r="AA841" s="342"/>
      <c r="AB841" s="342"/>
      <c r="AC841" s="342"/>
      <c r="AD841" s="342"/>
      <c r="AE841" s="342"/>
      <c r="AF841" s="342"/>
      <c r="AG841" s="342"/>
      <c r="AH841" s="342"/>
      <c r="AI841" s="342"/>
    </row>
    <row r="842">
      <c r="A842" s="342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  <c r="AA842" s="342"/>
      <c r="AB842" s="342"/>
      <c r="AC842" s="342"/>
      <c r="AD842" s="342"/>
      <c r="AE842" s="342"/>
      <c r="AF842" s="342"/>
      <c r="AG842" s="342"/>
      <c r="AH842" s="342"/>
      <c r="AI842" s="342"/>
    </row>
    <row r="843">
      <c r="A843" s="342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P843" s="342"/>
      <c r="Q843" s="342"/>
      <c r="R843" s="342"/>
      <c r="S843" s="342"/>
      <c r="T843" s="342"/>
      <c r="U843" s="342"/>
      <c r="V843" s="342"/>
      <c r="W843" s="342"/>
      <c r="X843" s="342"/>
      <c r="Y843" s="342"/>
      <c r="Z843" s="342"/>
      <c r="AA843" s="342"/>
      <c r="AB843" s="342"/>
      <c r="AC843" s="342"/>
      <c r="AD843" s="342"/>
      <c r="AE843" s="342"/>
      <c r="AF843" s="342"/>
      <c r="AG843" s="342"/>
      <c r="AH843" s="342"/>
      <c r="AI843" s="342"/>
    </row>
    <row r="844">
      <c r="A844" s="342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P844" s="342"/>
      <c r="Q844" s="342"/>
      <c r="R844" s="342"/>
      <c r="S844" s="342"/>
      <c r="T844" s="342"/>
      <c r="U844" s="342"/>
      <c r="V844" s="342"/>
      <c r="W844" s="342"/>
      <c r="X844" s="342"/>
      <c r="Y844" s="342"/>
      <c r="Z844" s="342"/>
      <c r="AA844" s="342"/>
      <c r="AB844" s="342"/>
      <c r="AC844" s="342"/>
      <c r="AD844" s="342"/>
      <c r="AE844" s="342"/>
      <c r="AF844" s="342"/>
      <c r="AG844" s="342"/>
      <c r="AH844" s="342"/>
      <c r="AI844" s="342"/>
    </row>
    <row r="845">
      <c r="A845" s="342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P845" s="342"/>
      <c r="Q845" s="342"/>
      <c r="R845" s="342"/>
      <c r="S845" s="342"/>
      <c r="T845" s="342"/>
      <c r="U845" s="342"/>
      <c r="V845" s="342"/>
      <c r="W845" s="342"/>
      <c r="X845" s="342"/>
      <c r="Y845" s="342"/>
      <c r="Z845" s="342"/>
      <c r="AA845" s="342"/>
      <c r="AB845" s="342"/>
      <c r="AC845" s="342"/>
      <c r="AD845" s="342"/>
      <c r="AE845" s="342"/>
      <c r="AF845" s="342"/>
      <c r="AG845" s="342"/>
      <c r="AH845" s="342"/>
      <c r="AI845" s="342"/>
    </row>
    <row r="846">
      <c r="A846" s="342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P846" s="342"/>
      <c r="Q846" s="342"/>
      <c r="R846" s="342"/>
      <c r="S846" s="342"/>
      <c r="T846" s="342"/>
      <c r="U846" s="342"/>
      <c r="V846" s="342"/>
      <c r="W846" s="342"/>
      <c r="X846" s="342"/>
      <c r="Y846" s="342"/>
      <c r="Z846" s="342"/>
      <c r="AA846" s="342"/>
      <c r="AB846" s="342"/>
      <c r="AC846" s="342"/>
      <c r="AD846" s="342"/>
      <c r="AE846" s="342"/>
      <c r="AF846" s="342"/>
      <c r="AG846" s="342"/>
      <c r="AH846" s="342"/>
      <c r="AI846" s="342"/>
    </row>
    <row r="847">
      <c r="A847" s="342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P847" s="342"/>
      <c r="Q847" s="342"/>
      <c r="R847" s="342"/>
      <c r="S847" s="342"/>
      <c r="T847" s="342"/>
      <c r="U847" s="342"/>
      <c r="V847" s="342"/>
      <c r="W847" s="342"/>
      <c r="X847" s="342"/>
      <c r="Y847" s="342"/>
      <c r="Z847" s="342"/>
      <c r="AA847" s="342"/>
      <c r="AB847" s="342"/>
      <c r="AC847" s="342"/>
      <c r="AD847" s="342"/>
      <c r="AE847" s="342"/>
      <c r="AF847" s="342"/>
      <c r="AG847" s="342"/>
      <c r="AH847" s="342"/>
      <c r="AI847" s="342"/>
    </row>
    <row r="848">
      <c r="A848" s="342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P848" s="342"/>
      <c r="Q848" s="342"/>
      <c r="R848" s="342"/>
      <c r="S848" s="342"/>
      <c r="T848" s="342"/>
      <c r="U848" s="342"/>
      <c r="V848" s="342"/>
      <c r="W848" s="342"/>
      <c r="X848" s="342"/>
      <c r="Y848" s="342"/>
      <c r="Z848" s="342"/>
      <c r="AA848" s="342"/>
      <c r="AB848" s="342"/>
      <c r="AC848" s="342"/>
      <c r="AD848" s="342"/>
      <c r="AE848" s="342"/>
      <c r="AF848" s="342"/>
      <c r="AG848" s="342"/>
      <c r="AH848" s="342"/>
      <c r="AI848" s="342"/>
    </row>
    <row r="849">
      <c r="A849" s="342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P849" s="342"/>
      <c r="Q849" s="342"/>
      <c r="R849" s="342"/>
      <c r="S849" s="342"/>
      <c r="T849" s="342"/>
      <c r="U849" s="342"/>
      <c r="V849" s="342"/>
      <c r="W849" s="342"/>
      <c r="X849" s="342"/>
      <c r="Y849" s="342"/>
      <c r="Z849" s="342"/>
      <c r="AA849" s="342"/>
      <c r="AB849" s="342"/>
      <c r="AC849" s="342"/>
      <c r="AD849" s="342"/>
      <c r="AE849" s="342"/>
      <c r="AF849" s="342"/>
      <c r="AG849" s="342"/>
      <c r="AH849" s="342"/>
      <c r="AI849" s="342"/>
    </row>
    <row r="850">
      <c r="A850" s="342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P850" s="342"/>
      <c r="Q850" s="342"/>
      <c r="R850" s="342"/>
      <c r="S850" s="342"/>
      <c r="T850" s="342"/>
      <c r="U850" s="342"/>
      <c r="V850" s="342"/>
      <c r="W850" s="342"/>
      <c r="X850" s="342"/>
      <c r="Y850" s="342"/>
      <c r="Z850" s="342"/>
      <c r="AA850" s="342"/>
      <c r="AB850" s="342"/>
      <c r="AC850" s="342"/>
      <c r="AD850" s="342"/>
      <c r="AE850" s="342"/>
      <c r="AF850" s="342"/>
      <c r="AG850" s="342"/>
      <c r="AH850" s="342"/>
      <c r="AI850" s="342"/>
    </row>
    <row r="851">
      <c r="A851" s="342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P851" s="342"/>
      <c r="Q851" s="342"/>
      <c r="R851" s="342"/>
      <c r="S851" s="342"/>
      <c r="T851" s="342"/>
      <c r="U851" s="342"/>
      <c r="V851" s="342"/>
      <c r="W851" s="342"/>
      <c r="X851" s="342"/>
      <c r="Y851" s="342"/>
      <c r="Z851" s="342"/>
      <c r="AA851" s="342"/>
      <c r="AB851" s="342"/>
      <c r="AC851" s="342"/>
      <c r="AD851" s="342"/>
      <c r="AE851" s="342"/>
      <c r="AF851" s="342"/>
      <c r="AG851" s="342"/>
      <c r="AH851" s="342"/>
      <c r="AI851" s="342"/>
    </row>
    <row r="852">
      <c r="A852" s="342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P852" s="342"/>
      <c r="Q852" s="342"/>
      <c r="R852" s="342"/>
      <c r="S852" s="342"/>
      <c r="T852" s="342"/>
      <c r="U852" s="342"/>
      <c r="V852" s="342"/>
      <c r="W852" s="342"/>
      <c r="X852" s="342"/>
      <c r="Y852" s="342"/>
      <c r="Z852" s="342"/>
      <c r="AA852" s="342"/>
      <c r="AB852" s="342"/>
      <c r="AC852" s="342"/>
      <c r="AD852" s="342"/>
      <c r="AE852" s="342"/>
      <c r="AF852" s="342"/>
      <c r="AG852" s="342"/>
      <c r="AH852" s="342"/>
      <c r="AI852" s="342"/>
    </row>
    <row r="853">
      <c r="A853" s="342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P853" s="342"/>
      <c r="Q853" s="342"/>
      <c r="R853" s="342"/>
      <c r="S853" s="342"/>
      <c r="T853" s="342"/>
      <c r="U853" s="342"/>
      <c r="V853" s="342"/>
      <c r="W853" s="342"/>
      <c r="X853" s="342"/>
      <c r="Y853" s="342"/>
      <c r="Z853" s="342"/>
      <c r="AA853" s="342"/>
      <c r="AB853" s="342"/>
      <c r="AC853" s="342"/>
      <c r="AD853" s="342"/>
      <c r="AE853" s="342"/>
      <c r="AF853" s="342"/>
      <c r="AG853" s="342"/>
      <c r="AH853" s="342"/>
      <c r="AI853" s="342"/>
    </row>
    <row r="854">
      <c r="A854" s="342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P854" s="342"/>
      <c r="Q854" s="342"/>
      <c r="R854" s="342"/>
      <c r="S854" s="342"/>
      <c r="T854" s="342"/>
      <c r="U854" s="342"/>
      <c r="V854" s="342"/>
      <c r="W854" s="342"/>
      <c r="X854" s="342"/>
      <c r="Y854" s="342"/>
      <c r="Z854" s="342"/>
      <c r="AA854" s="342"/>
      <c r="AB854" s="342"/>
      <c r="AC854" s="342"/>
      <c r="AD854" s="342"/>
      <c r="AE854" s="342"/>
      <c r="AF854" s="342"/>
      <c r="AG854" s="342"/>
      <c r="AH854" s="342"/>
      <c r="AI854" s="342"/>
    </row>
    <row r="855">
      <c r="A855" s="342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P855" s="342"/>
      <c r="Q855" s="342"/>
      <c r="R855" s="342"/>
      <c r="S855" s="342"/>
      <c r="T855" s="342"/>
      <c r="U855" s="342"/>
      <c r="V855" s="342"/>
      <c r="W855" s="342"/>
      <c r="X855" s="342"/>
      <c r="Y855" s="342"/>
      <c r="Z855" s="342"/>
      <c r="AA855" s="342"/>
      <c r="AB855" s="342"/>
      <c r="AC855" s="342"/>
      <c r="AD855" s="342"/>
      <c r="AE855" s="342"/>
      <c r="AF855" s="342"/>
      <c r="AG855" s="342"/>
      <c r="AH855" s="342"/>
      <c r="AI855" s="342"/>
    </row>
    <row r="856">
      <c r="A856" s="342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P856" s="342"/>
      <c r="Q856" s="342"/>
      <c r="R856" s="342"/>
      <c r="S856" s="342"/>
      <c r="T856" s="342"/>
      <c r="U856" s="342"/>
      <c r="V856" s="342"/>
      <c r="W856" s="342"/>
      <c r="X856" s="342"/>
      <c r="Y856" s="342"/>
      <c r="Z856" s="342"/>
      <c r="AA856" s="342"/>
      <c r="AB856" s="342"/>
      <c r="AC856" s="342"/>
      <c r="AD856" s="342"/>
      <c r="AE856" s="342"/>
      <c r="AF856" s="342"/>
      <c r="AG856" s="342"/>
      <c r="AH856" s="342"/>
      <c r="AI856" s="342"/>
    </row>
    <row r="857">
      <c r="A857" s="342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P857" s="342"/>
      <c r="Q857" s="342"/>
      <c r="R857" s="342"/>
      <c r="S857" s="342"/>
      <c r="T857" s="342"/>
      <c r="U857" s="342"/>
      <c r="V857" s="342"/>
      <c r="W857" s="342"/>
      <c r="X857" s="342"/>
      <c r="Y857" s="342"/>
      <c r="Z857" s="342"/>
      <c r="AA857" s="342"/>
      <c r="AB857" s="342"/>
      <c r="AC857" s="342"/>
      <c r="AD857" s="342"/>
      <c r="AE857" s="342"/>
      <c r="AF857" s="342"/>
      <c r="AG857" s="342"/>
      <c r="AH857" s="342"/>
      <c r="AI857" s="342"/>
    </row>
    <row r="858">
      <c r="A858" s="342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P858" s="342"/>
      <c r="Q858" s="342"/>
      <c r="R858" s="342"/>
      <c r="S858" s="342"/>
      <c r="T858" s="342"/>
      <c r="U858" s="342"/>
      <c r="V858" s="342"/>
      <c r="W858" s="342"/>
      <c r="X858" s="342"/>
      <c r="Y858" s="342"/>
      <c r="Z858" s="342"/>
      <c r="AA858" s="342"/>
      <c r="AB858" s="342"/>
      <c r="AC858" s="342"/>
      <c r="AD858" s="342"/>
      <c r="AE858" s="342"/>
      <c r="AF858" s="342"/>
      <c r="AG858" s="342"/>
      <c r="AH858" s="342"/>
      <c r="AI858" s="342"/>
    </row>
    <row r="859">
      <c r="A859" s="342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P859" s="342"/>
      <c r="Q859" s="342"/>
      <c r="R859" s="342"/>
      <c r="S859" s="342"/>
      <c r="T859" s="342"/>
      <c r="U859" s="342"/>
      <c r="V859" s="342"/>
      <c r="W859" s="342"/>
      <c r="X859" s="342"/>
      <c r="Y859" s="342"/>
      <c r="Z859" s="342"/>
      <c r="AA859" s="342"/>
      <c r="AB859" s="342"/>
      <c r="AC859" s="342"/>
      <c r="AD859" s="342"/>
      <c r="AE859" s="342"/>
      <c r="AF859" s="342"/>
      <c r="AG859" s="342"/>
      <c r="AH859" s="342"/>
      <c r="AI859" s="342"/>
    </row>
    <row r="860">
      <c r="A860" s="342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P860" s="342"/>
      <c r="Q860" s="342"/>
      <c r="R860" s="342"/>
      <c r="S860" s="342"/>
      <c r="T860" s="342"/>
      <c r="U860" s="342"/>
      <c r="V860" s="342"/>
      <c r="W860" s="342"/>
      <c r="X860" s="342"/>
      <c r="Y860" s="342"/>
      <c r="Z860" s="342"/>
      <c r="AA860" s="342"/>
      <c r="AB860" s="342"/>
      <c r="AC860" s="342"/>
      <c r="AD860" s="342"/>
      <c r="AE860" s="342"/>
      <c r="AF860" s="342"/>
      <c r="AG860" s="342"/>
      <c r="AH860" s="342"/>
      <c r="AI860" s="342"/>
    </row>
    <row r="861">
      <c r="A861" s="342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P861" s="342"/>
      <c r="Q861" s="342"/>
      <c r="R861" s="342"/>
      <c r="S861" s="342"/>
      <c r="T861" s="342"/>
      <c r="U861" s="342"/>
      <c r="V861" s="342"/>
      <c r="W861" s="342"/>
      <c r="X861" s="342"/>
      <c r="Y861" s="342"/>
      <c r="Z861" s="342"/>
      <c r="AA861" s="342"/>
      <c r="AB861" s="342"/>
      <c r="AC861" s="342"/>
      <c r="AD861" s="342"/>
      <c r="AE861" s="342"/>
      <c r="AF861" s="342"/>
      <c r="AG861" s="342"/>
      <c r="AH861" s="342"/>
      <c r="AI861" s="342"/>
    </row>
    <row r="862">
      <c r="A862" s="342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P862" s="342"/>
      <c r="Q862" s="342"/>
      <c r="R862" s="342"/>
      <c r="S862" s="342"/>
      <c r="T862" s="342"/>
      <c r="U862" s="342"/>
      <c r="V862" s="342"/>
      <c r="W862" s="342"/>
      <c r="X862" s="342"/>
      <c r="Y862" s="342"/>
      <c r="Z862" s="342"/>
      <c r="AA862" s="342"/>
      <c r="AB862" s="342"/>
      <c r="AC862" s="342"/>
      <c r="AD862" s="342"/>
      <c r="AE862" s="342"/>
      <c r="AF862" s="342"/>
      <c r="AG862" s="342"/>
      <c r="AH862" s="342"/>
      <c r="AI862" s="342"/>
    </row>
    <row r="863">
      <c r="A863" s="342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P863" s="342"/>
      <c r="Q863" s="342"/>
      <c r="R863" s="342"/>
      <c r="S863" s="342"/>
      <c r="T863" s="342"/>
      <c r="U863" s="342"/>
      <c r="V863" s="342"/>
      <c r="W863" s="342"/>
      <c r="X863" s="342"/>
      <c r="Y863" s="342"/>
      <c r="Z863" s="342"/>
      <c r="AA863" s="342"/>
      <c r="AB863" s="342"/>
      <c r="AC863" s="342"/>
      <c r="AD863" s="342"/>
      <c r="AE863" s="342"/>
      <c r="AF863" s="342"/>
      <c r="AG863" s="342"/>
      <c r="AH863" s="342"/>
      <c r="AI863" s="342"/>
    </row>
    <row r="864">
      <c r="A864" s="342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  <c r="AA864" s="342"/>
      <c r="AB864" s="342"/>
      <c r="AC864" s="342"/>
      <c r="AD864" s="342"/>
      <c r="AE864" s="342"/>
      <c r="AF864" s="342"/>
      <c r="AG864" s="342"/>
      <c r="AH864" s="342"/>
      <c r="AI864" s="342"/>
    </row>
    <row r="865">
      <c r="A865" s="342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P865" s="342"/>
      <c r="Q865" s="342"/>
      <c r="R865" s="342"/>
      <c r="S865" s="342"/>
      <c r="T865" s="342"/>
      <c r="U865" s="342"/>
      <c r="V865" s="342"/>
      <c r="W865" s="342"/>
      <c r="X865" s="342"/>
      <c r="Y865" s="342"/>
      <c r="Z865" s="342"/>
      <c r="AA865" s="342"/>
      <c r="AB865" s="342"/>
      <c r="AC865" s="342"/>
      <c r="AD865" s="342"/>
      <c r="AE865" s="342"/>
      <c r="AF865" s="342"/>
      <c r="AG865" s="342"/>
      <c r="AH865" s="342"/>
      <c r="AI865" s="342"/>
    </row>
    <row r="866">
      <c r="A866" s="342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P866" s="342"/>
      <c r="Q866" s="342"/>
      <c r="R866" s="342"/>
      <c r="S866" s="342"/>
      <c r="T866" s="342"/>
      <c r="U866" s="342"/>
      <c r="V866" s="342"/>
      <c r="W866" s="342"/>
      <c r="X866" s="342"/>
      <c r="Y866" s="342"/>
      <c r="Z866" s="342"/>
      <c r="AA866" s="342"/>
      <c r="AB866" s="342"/>
      <c r="AC866" s="342"/>
      <c r="AD866" s="342"/>
      <c r="AE866" s="342"/>
      <c r="AF866" s="342"/>
      <c r="AG866" s="342"/>
      <c r="AH866" s="342"/>
      <c r="AI866" s="342"/>
    </row>
    <row r="867">
      <c r="A867" s="342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P867" s="342"/>
      <c r="Q867" s="342"/>
      <c r="R867" s="342"/>
      <c r="S867" s="342"/>
      <c r="T867" s="342"/>
      <c r="U867" s="342"/>
      <c r="V867" s="342"/>
      <c r="W867" s="342"/>
      <c r="X867" s="342"/>
      <c r="Y867" s="342"/>
      <c r="Z867" s="342"/>
      <c r="AA867" s="342"/>
      <c r="AB867" s="342"/>
      <c r="AC867" s="342"/>
      <c r="AD867" s="342"/>
      <c r="AE867" s="342"/>
      <c r="AF867" s="342"/>
      <c r="AG867" s="342"/>
      <c r="AH867" s="342"/>
      <c r="AI867" s="342"/>
    </row>
    <row r="868">
      <c r="A868" s="342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P868" s="342"/>
      <c r="Q868" s="342"/>
      <c r="R868" s="342"/>
      <c r="S868" s="342"/>
      <c r="T868" s="342"/>
      <c r="U868" s="342"/>
      <c r="V868" s="342"/>
      <c r="W868" s="342"/>
      <c r="X868" s="342"/>
      <c r="Y868" s="342"/>
      <c r="Z868" s="342"/>
      <c r="AA868" s="342"/>
      <c r="AB868" s="342"/>
      <c r="AC868" s="342"/>
      <c r="AD868" s="342"/>
      <c r="AE868" s="342"/>
      <c r="AF868" s="342"/>
      <c r="AG868" s="342"/>
      <c r="AH868" s="342"/>
      <c r="AI868" s="342"/>
    </row>
    <row r="869">
      <c r="A869" s="342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P869" s="342"/>
      <c r="Q869" s="342"/>
      <c r="R869" s="342"/>
      <c r="S869" s="342"/>
      <c r="T869" s="342"/>
      <c r="U869" s="342"/>
      <c r="V869" s="342"/>
      <c r="W869" s="342"/>
      <c r="X869" s="342"/>
      <c r="Y869" s="342"/>
      <c r="Z869" s="342"/>
      <c r="AA869" s="342"/>
      <c r="AB869" s="342"/>
      <c r="AC869" s="342"/>
      <c r="AD869" s="342"/>
      <c r="AE869" s="342"/>
      <c r="AF869" s="342"/>
      <c r="AG869" s="342"/>
      <c r="AH869" s="342"/>
      <c r="AI869" s="342"/>
    </row>
    <row r="870">
      <c r="A870" s="342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P870" s="342"/>
      <c r="Q870" s="342"/>
      <c r="R870" s="342"/>
      <c r="S870" s="342"/>
      <c r="T870" s="342"/>
      <c r="U870" s="342"/>
      <c r="V870" s="342"/>
      <c r="W870" s="342"/>
      <c r="X870" s="342"/>
      <c r="Y870" s="342"/>
      <c r="Z870" s="342"/>
      <c r="AA870" s="342"/>
      <c r="AB870" s="342"/>
      <c r="AC870" s="342"/>
      <c r="AD870" s="342"/>
      <c r="AE870" s="342"/>
      <c r="AF870" s="342"/>
      <c r="AG870" s="342"/>
      <c r="AH870" s="342"/>
      <c r="AI870" s="342"/>
    </row>
    <row r="871">
      <c r="A871" s="342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P871" s="342"/>
      <c r="Q871" s="342"/>
      <c r="R871" s="342"/>
      <c r="S871" s="342"/>
      <c r="T871" s="342"/>
      <c r="U871" s="342"/>
      <c r="V871" s="342"/>
      <c r="W871" s="342"/>
      <c r="X871" s="342"/>
      <c r="Y871" s="342"/>
      <c r="Z871" s="342"/>
      <c r="AA871" s="342"/>
      <c r="AB871" s="342"/>
      <c r="AC871" s="342"/>
      <c r="AD871" s="342"/>
      <c r="AE871" s="342"/>
      <c r="AF871" s="342"/>
      <c r="AG871" s="342"/>
      <c r="AH871" s="342"/>
      <c r="AI871" s="342"/>
    </row>
    <row r="872">
      <c r="A872" s="342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P872" s="342"/>
      <c r="Q872" s="342"/>
      <c r="R872" s="342"/>
      <c r="S872" s="342"/>
      <c r="T872" s="342"/>
      <c r="U872" s="342"/>
      <c r="V872" s="342"/>
      <c r="W872" s="342"/>
      <c r="X872" s="342"/>
      <c r="Y872" s="342"/>
      <c r="Z872" s="342"/>
      <c r="AA872" s="342"/>
      <c r="AB872" s="342"/>
      <c r="AC872" s="342"/>
      <c r="AD872" s="342"/>
      <c r="AE872" s="342"/>
      <c r="AF872" s="342"/>
      <c r="AG872" s="342"/>
      <c r="AH872" s="342"/>
      <c r="AI872" s="342"/>
    </row>
    <row r="873">
      <c r="A873" s="342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P873" s="342"/>
      <c r="Q873" s="342"/>
      <c r="R873" s="342"/>
      <c r="S873" s="342"/>
      <c r="T873" s="342"/>
      <c r="U873" s="342"/>
      <c r="V873" s="342"/>
      <c r="W873" s="342"/>
      <c r="X873" s="342"/>
      <c r="Y873" s="342"/>
      <c r="Z873" s="342"/>
      <c r="AA873" s="342"/>
      <c r="AB873" s="342"/>
      <c r="AC873" s="342"/>
      <c r="AD873" s="342"/>
      <c r="AE873" s="342"/>
      <c r="AF873" s="342"/>
      <c r="AG873" s="342"/>
      <c r="AH873" s="342"/>
      <c r="AI873" s="342"/>
    </row>
    <row r="874">
      <c r="A874" s="342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P874" s="342"/>
      <c r="Q874" s="342"/>
      <c r="R874" s="342"/>
      <c r="S874" s="342"/>
      <c r="T874" s="342"/>
      <c r="U874" s="342"/>
      <c r="V874" s="342"/>
      <c r="W874" s="342"/>
      <c r="X874" s="342"/>
      <c r="Y874" s="342"/>
      <c r="Z874" s="342"/>
      <c r="AA874" s="342"/>
      <c r="AB874" s="342"/>
      <c r="AC874" s="342"/>
      <c r="AD874" s="342"/>
      <c r="AE874" s="342"/>
      <c r="AF874" s="342"/>
      <c r="AG874" s="342"/>
      <c r="AH874" s="342"/>
      <c r="AI874" s="342"/>
    </row>
    <row r="875">
      <c r="A875" s="342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P875" s="342"/>
      <c r="Q875" s="342"/>
      <c r="R875" s="342"/>
      <c r="S875" s="342"/>
      <c r="T875" s="342"/>
      <c r="U875" s="342"/>
      <c r="V875" s="342"/>
      <c r="W875" s="342"/>
      <c r="X875" s="342"/>
      <c r="Y875" s="342"/>
      <c r="Z875" s="342"/>
      <c r="AA875" s="342"/>
      <c r="AB875" s="342"/>
      <c r="AC875" s="342"/>
      <c r="AD875" s="342"/>
      <c r="AE875" s="342"/>
      <c r="AF875" s="342"/>
      <c r="AG875" s="342"/>
      <c r="AH875" s="342"/>
      <c r="AI875" s="342"/>
    </row>
    <row r="876">
      <c r="A876" s="342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P876" s="342"/>
      <c r="Q876" s="342"/>
      <c r="R876" s="342"/>
      <c r="S876" s="342"/>
      <c r="T876" s="342"/>
      <c r="U876" s="342"/>
      <c r="V876" s="342"/>
      <c r="W876" s="342"/>
      <c r="X876" s="342"/>
      <c r="Y876" s="342"/>
      <c r="Z876" s="342"/>
      <c r="AA876" s="342"/>
      <c r="AB876" s="342"/>
      <c r="AC876" s="342"/>
      <c r="AD876" s="342"/>
      <c r="AE876" s="342"/>
      <c r="AF876" s="342"/>
      <c r="AG876" s="342"/>
      <c r="AH876" s="342"/>
      <c r="AI876" s="342"/>
    </row>
    <row r="877">
      <c r="A877" s="342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P877" s="342"/>
      <c r="Q877" s="342"/>
      <c r="R877" s="342"/>
      <c r="S877" s="342"/>
      <c r="T877" s="342"/>
      <c r="U877" s="342"/>
      <c r="V877" s="342"/>
      <c r="W877" s="342"/>
      <c r="X877" s="342"/>
      <c r="Y877" s="342"/>
      <c r="Z877" s="342"/>
      <c r="AA877" s="342"/>
      <c r="AB877" s="342"/>
      <c r="AC877" s="342"/>
      <c r="AD877" s="342"/>
      <c r="AE877" s="342"/>
      <c r="AF877" s="342"/>
      <c r="AG877" s="342"/>
      <c r="AH877" s="342"/>
      <c r="AI877" s="342"/>
    </row>
    <row r="878">
      <c r="A878" s="342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P878" s="342"/>
      <c r="Q878" s="342"/>
      <c r="R878" s="342"/>
      <c r="S878" s="342"/>
      <c r="T878" s="342"/>
      <c r="U878" s="342"/>
      <c r="V878" s="342"/>
      <c r="W878" s="342"/>
      <c r="X878" s="342"/>
      <c r="Y878" s="342"/>
      <c r="Z878" s="342"/>
      <c r="AA878" s="342"/>
      <c r="AB878" s="342"/>
      <c r="AC878" s="342"/>
      <c r="AD878" s="342"/>
      <c r="AE878" s="342"/>
      <c r="AF878" s="342"/>
      <c r="AG878" s="342"/>
      <c r="AH878" s="342"/>
      <c r="AI878" s="342"/>
    </row>
    <row r="879">
      <c r="A879" s="342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P879" s="342"/>
      <c r="Q879" s="342"/>
      <c r="R879" s="342"/>
      <c r="S879" s="342"/>
      <c r="T879" s="342"/>
      <c r="U879" s="342"/>
      <c r="V879" s="342"/>
      <c r="W879" s="342"/>
      <c r="X879" s="342"/>
      <c r="Y879" s="342"/>
      <c r="Z879" s="342"/>
      <c r="AA879" s="342"/>
      <c r="AB879" s="342"/>
      <c r="AC879" s="342"/>
      <c r="AD879" s="342"/>
      <c r="AE879" s="342"/>
      <c r="AF879" s="342"/>
      <c r="AG879" s="342"/>
      <c r="AH879" s="342"/>
      <c r="AI879" s="342"/>
    </row>
    <row r="880">
      <c r="A880" s="342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P880" s="342"/>
      <c r="Q880" s="342"/>
      <c r="R880" s="342"/>
      <c r="S880" s="342"/>
      <c r="T880" s="342"/>
      <c r="U880" s="342"/>
      <c r="V880" s="342"/>
      <c r="W880" s="342"/>
      <c r="X880" s="342"/>
      <c r="Y880" s="342"/>
      <c r="Z880" s="342"/>
      <c r="AA880" s="342"/>
      <c r="AB880" s="342"/>
      <c r="AC880" s="342"/>
      <c r="AD880" s="342"/>
      <c r="AE880" s="342"/>
      <c r="AF880" s="342"/>
      <c r="AG880" s="342"/>
      <c r="AH880" s="342"/>
      <c r="AI880" s="342"/>
    </row>
    <row r="881">
      <c r="A881" s="342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P881" s="342"/>
      <c r="Q881" s="342"/>
      <c r="R881" s="342"/>
      <c r="S881" s="342"/>
      <c r="T881" s="342"/>
      <c r="U881" s="342"/>
      <c r="V881" s="342"/>
      <c r="W881" s="342"/>
      <c r="X881" s="342"/>
      <c r="Y881" s="342"/>
      <c r="Z881" s="342"/>
      <c r="AA881" s="342"/>
      <c r="AB881" s="342"/>
      <c r="AC881" s="342"/>
      <c r="AD881" s="342"/>
      <c r="AE881" s="342"/>
      <c r="AF881" s="342"/>
      <c r="AG881" s="342"/>
      <c r="AH881" s="342"/>
      <c r="AI881" s="342"/>
    </row>
    <row r="882">
      <c r="A882" s="342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P882" s="342"/>
      <c r="Q882" s="342"/>
      <c r="R882" s="342"/>
      <c r="S882" s="342"/>
      <c r="T882" s="342"/>
      <c r="U882" s="342"/>
      <c r="V882" s="342"/>
      <c r="W882" s="342"/>
      <c r="X882" s="342"/>
      <c r="Y882" s="342"/>
      <c r="Z882" s="342"/>
      <c r="AA882" s="342"/>
      <c r="AB882" s="342"/>
      <c r="AC882" s="342"/>
      <c r="AD882" s="342"/>
      <c r="AE882" s="342"/>
      <c r="AF882" s="342"/>
      <c r="AG882" s="342"/>
      <c r="AH882" s="342"/>
      <c r="AI882" s="342"/>
    </row>
    <row r="883">
      <c r="A883" s="342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P883" s="342"/>
      <c r="Q883" s="342"/>
      <c r="R883" s="342"/>
      <c r="S883" s="342"/>
      <c r="T883" s="342"/>
      <c r="U883" s="342"/>
      <c r="V883" s="342"/>
      <c r="W883" s="342"/>
      <c r="X883" s="342"/>
      <c r="Y883" s="342"/>
      <c r="Z883" s="342"/>
      <c r="AA883" s="342"/>
      <c r="AB883" s="342"/>
      <c r="AC883" s="342"/>
      <c r="AD883" s="342"/>
      <c r="AE883" s="342"/>
      <c r="AF883" s="342"/>
      <c r="AG883" s="342"/>
      <c r="AH883" s="342"/>
      <c r="AI883" s="342"/>
    </row>
    <row r="884">
      <c r="A884" s="342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P884" s="342"/>
      <c r="Q884" s="342"/>
      <c r="R884" s="342"/>
      <c r="S884" s="342"/>
      <c r="T884" s="342"/>
      <c r="U884" s="342"/>
      <c r="V884" s="342"/>
      <c r="W884" s="342"/>
      <c r="X884" s="342"/>
      <c r="Y884" s="342"/>
      <c r="Z884" s="342"/>
      <c r="AA884" s="342"/>
      <c r="AB884" s="342"/>
      <c r="AC884" s="342"/>
      <c r="AD884" s="342"/>
      <c r="AE884" s="342"/>
      <c r="AF884" s="342"/>
      <c r="AG884" s="342"/>
      <c r="AH884" s="342"/>
      <c r="AI884" s="342"/>
    </row>
    <row r="885">
      <c r="A885" s="342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P885" s="342"/>
      <c r="Q885" s="342"/>
      <c r="R885" s="342"/>
      <c r="S885" s="342"/>
      <c r="T885" s="342"/>
      <c r="U885" s="342"/>
      <c r="V885" s="342"/>
      <c r="W885" s="342"/>
      <c r="X885" s="342"/>
      <c r="Y885" s="342"/>
      <c r="Z885" s="342"/>
      <c r="AA885" s="342"/>
      <c r="AB885" s="342"/>
      <c r="AC885" s="342"/>
      <c r="AD885" s="342"/>
      <c r="AE885" s="342"/>
      <c r="AF885" s="342"/>
      <c r="AG885" s="342"/>
      <c r="AH885" s="342"/>
      <c r="AI885" s="342"/>
    </row>
    <row r="886">
      <c r="A886" s="342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P886" s="342"/>
      <c r="Q886" s="342"/>
      <c r="R886" s="342"/>
      <c r="S886" s="342"/>
      <c r="T886" s="342"/>
      <c r="U886" s="342"/>
      <c r="V886" s="342"/>
      <c r="W886" s="342"/>
      <c r="X886" s="342"/>
      <c r="Y886" s="342"/>
      <c r="Z886" s="342"/>
      <c r="AA886" s="342"/>
      <c r="AB886" s="342"/>
      <c r="AC886" s="342"/>
      <c r="AD886" s="342"/>
      <c r="AE886" s="342"/>
      <c r="AF886" s="342"/>
      <c r="AG886" s="342"/>
      <c r="AH886" s="342"/>
      <c r="AI886" s="342"/>
    </row>
    <row r="887">
      <c r="A887" s="342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P887" s="342"/>
      <c r="Q887" s="342"/>
      <c r="R887" s="342"/>
      <c r="S887" s="342"/>
      <c r="T887" s="342"/>
      <c r="U887" s="342"/>
      <c r="V887" s="342"/>
      <c r="W887" s="342"/>
      <c r="X887" s="342"/>
      <c r="Y887" s="342"/>
      <c r="Z887" s="342"/>
      <c r="AA887" s="342"/>
      <c r="AB887" s="342"/>
      <c r="AC887" s="342"/>
      <c r="AD887" s="342"/>
      <c r="AE887" s="342"/>
      <c r="AF887" s="342"/>
      <c r="AG887" s="342"/>
      <c r="AH887" s="342"/>
      <c r="AI887" s="342"/>
    </row>
    <row r="888">
      <c r="A888" s="342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P888" s="342"/>
      <c r="Q888" s="342"/>
      <c r="R888" s="342"/>
      <c r="S888" s="342"/>
      <c r="T888" s="342"/>
      <c r="U888" s="342"/>
      <c r="V888" s="342"/>
      <c r="W888" s="342"/>
      <c r="X888" s="342"/>
      <c r="Y888" s="342"/>
      <c r="Z888" s="342"/>
      <c r="AA888" s="342"/>
      <c r="AB888" s="342"/>
      <c r="AC888" s="342"/>
      <c r="AD888" s="342"/>
      <c r="AE888" s="342"/>
      <c r="AF888" s="342"/>
      <c r="AG888" s="342"/>
      <c r="AH888" s="342"/>
      <c r="AI888" s="342"/>
    </row>
    <row r="889">
      <c r="A889" s="342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P889" s="342"/>
      <c r="Q889" s="342"/>
      <c r="R889" s="342"/>
      <c r="S889" s="342"/>
      <c r="T889" s="342"/>
      <c r="U889" s="342"/>
      <c r="V889" s="342"/>
      <c r="W889" s="342"/>
      <c r="X889" s="342"/>
      <c r="Y889" s="342"/>
      <c r="Z889" s="342"/>
      <c r="AA889" s="342"/>
      <c r="AB889" s="342"/>
      <c r="AC889" s="342"/>
      <c r="AD889" s="342"/>
      <c r="AE889" s="342"/>
      <c r="AF889" s="342"/>
      <c r="AG889" s="342"/>
      <c r="AH889" s="342"/>
      <c r="AI889" s="342"/>
    </row>
    <row r="890">
      <c r="A890" s="342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P890" s="342"/>
      <c r="Q890" s="342"/>
      <c r="R890" s="342"/>
      <c r="S890" s="342"/>
      <c r="T890" s="342"/>
      <c r="U890" s="342"/>
      <c r="V890" s="342"/>
      <c r="W890" s="342"/>
      <c r="X890" s="342"/>
      <c r="Y890" s="342"/>
      <c r="Z890" s="342"/>
      <c r="AA890" s="342"/>
      <c r="AB890" s="342"/>
      <c r="AC890" s="342"/>
      <c r="AD890" s="342"/>
      <c r="AE890" s="342"/>
      <c r="AF890" s="342"/>
      <c r="AG890" s="342"/>
      <c r="AH890" s="342"/>
      <c r="AI890" s="342"/>
    </row>
    <row r="891">
      <c r="A891" s="342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2"/>
      <c r="X891" s="342"/>
      <c r="Y891" s="342"/>
      <c r="Z891" s="342"/>
      <c r="AA891" s="342"/>
      <c r="AB891" s="342"/>
      <c r="AC891" s="342"/>
      <c r="AD891" s="342"/>
      <c r="AE891" s="342"/>
      <c r="AF891" s="342"/>
      <c r="AG891" s="342"/>
      <c r="AH891" s="342"/>
      <c r="AI891" s="342"/>
    </row>
    <row r="892">
      <c r="A892" s="342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P892" s="342"/>
      <c r="Q892" s="342"/>
      <c r="R892" s="342"/>
      <c r="S892" s="342"/>
      <c r="T892" s="342"/>
      <c r="U892" s="342"/>
      <c r="V892" s="342"/>
      <c r="W892" s="342"/>
      <c r="X892" s="342"/>
      <c r="Y892" s="342"/>
      <c r="Z892" s="342"/>
      <c r="AA892" s="342"/>
      <c r="AB892" s="342"/>
      <c r="AC892" s="342"/>
      <c r="AD892" s="342"/>
      <c r="AE892" s="342"/>
      <c r="AF892" s="342"/>
      <c r="AG892" s="342"/>
      <c r="AH892" s="342"/>
      <c r="AI892" s="342"/>
    </row>
    <row r="893">
      <c r="A893" s="342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P893" s="342"/>
      <c r="Q893" s="342"/>
      <c r="R893" s="342"/>
      <c r="S893" s="342"/>
      <c r="T893" s="342"/>
      <c r="U893" s="342"/>
      <c r="V893" s="342"/>
      <c r="W893" s="342"/>
      <c r="X893" s="342"/>
      <c r="Y893" s="342"/>
      <c r="Z893" s="342"/>
      <c r="AA893" s="342"/>
      <c r="AB893" s="342"/>
      <c r="AC893" s="342"/>
      <c r="AD893" s="342"/>
      <c r="AE893" s="342"/>
      <c r="AF893" s="342"/>
      <c r="AG893" s="342"/>
      <c r="AH893" s="342"/>
      <c r="AI893" s="342"/>
    </row>
    <row r="894">
      <c r="A894" s="342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P894" s="342"/>
      <c r="Q894" s="342"/>
      <c r="R894" s="342"/>
      <c r="S894" s="342"/>
      <c r="T894" s="342"/>
      <c r="U894" s="342"/>
      <c r="V894" s="342"/>
      <c r="W894" s="342"/>
      <c r="X894" s="342"/>
      <c r="Y894" s="342"/>
      <c r="Z894" s="342"/>
      <c r="AA894" s="342"/>
      <c r="AB894" s="342"/>
      <c r="AC894" s="342"/>
      <c r="AD894" s="342"/>
      <c r="AE894" s="342"/>
      <c r="AF894" s="342"/>
      <c r="AG894" s="342"/>
      <c r="AH894" s="342"/>
      <c r="AI894" s="342"/>
    </row>
    <row r="895">
      <c r="A895" s="342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P895" s="342"/>
      <c r="Q895" s="342"/>
      <c r="R895" s="342"/>
      <c r="S895" s="342"/>
      <c r="T895" s="342"/>
      <c r="U895" s="342"/>
      <c r="V895" s="342"/>
      <c r="W895" s="342"/>
      <c r="X895" s="342"/>
      <c r="Y895" s="342"/>
      <c r="Z895" s="342"/>
      <c r="AA895" s="342"/>
      <c r="AB895" s="342"/>
      <c r="AC895" s="342"/>
      <c r="AD895" s="342"/>
      <c r="AE895" s="342"/>
      <c r="AF895" s="342"/>
      <c r="AG895" s="342"/>
      <c r="AH895" s="342"/>
      <c r="AI895" s="342"/>
    </row>
    <row r="896">
      <c r="A896" s="342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P896" s="342"/>
      <c r="Q896" s="342"/>
      <c r="R896" s="342"/>
      <c r="S896" s="342"/>
      <c r="T896" s="342"/>
      <c r="U896" s="342"/>
      <c r="V896" s="342"/>
      <c r="W896" s="342"/>
      <c r="X896" s="342"/>
      <c r="Y896" s="342"/>
      <c r="Z896" s="342"/>
      <c r="AA896" s="342"/>
      <c r="AB896" s="342"/>
      <c r="AC896" s="342"/>
      <c r="AD896" s="342"/>
      <c r="AE896" s="342"/>
      <c r="AF896" s="342"/>
      <c r="AG896" s="342"/>
      <c r="AH896" s="342"/>
      <c r="AI896" s="342"/>
    </row>
    <row r="897">
      <c r="A897" s="342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P897" s="342"/>
      <c r="Q897" s="342"/>
      <c r="R897" s="342"/>
      <c r="S897" s="342"/>
      <c r="T897" s="342"/>
      <c r="U897" s="342"/>
      <c r="V897" s="342"/>
      <c r="W897" s="342"/>
      <c r="X897" s="342"/>
      <c r="Y897" s="342"/>
      <c r="Z897" s="342"/>
      <c r="AA897" s="342"/>
      <c r="AB897" s="342"/>
      <c r="AC897" s="342"/>
      <c r="AD897" s="342"/>
      <c r="AE897" s="342"/>
      <c r="AF897" s="342"/>
      <c r="AG897" s="342"/>
      <c r="AH897" s="342"/>
      <c r="AI897" s="342"/>
    </row>
    <row r="898">
      <c r="A898" s="342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P898" s="342"/>
      <c r="Q898" s="342"/>
      <c r="R898" s="342"/>
      <c r="S898" s="342"/>
      <c r="T898" s="342"/>
      <c r="U898" s="342"/>
      <c r="V898" s="342"/>
      <c r="W898" s="342"/>
      <c r="X898" s="342"/>
      <c r="Y898" s="342"/>
      <c r="Z898" s="342"/>
      <c r="AA898" s="342"/>
      <c r="AB898" s="342"/>
      <c r="AC898" s="342"/>
      <c r="AD898" s="342"/>
      <c r="AE898" s="342"/>
      <c r="AF898" s="342"/>
      <c r="AG898" s="342"/>
      <c r="AH898" s="342"/>
      <c r="AI898" s="342"/>
    </row>
    <row r="899">
      <c r="A899" s="342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P899" s="342"/>
      <c r="Q899" s="342"/>
      <c r="R899" s="342"/>
      <c r="S899" s="342"/>
      <c r="T899" s="342"/>
      <c r="U899" s="342"/>
      <c r="V899" s="342"/>
      <c r="W899" s="342"/>
      <c r="X899" s="342"/>
      <c r="Y899" s="342"/>
      <c r="Z899" s="342"/>
      <c r="AA899" s="342"/>
      <c r="AB899" s="342"/>
      <c r="AC899" s="342"/>
      <c r="AD899" s="342"/>
      <c r="AE899" s="342"/>
      <c r="AF899" s="342"/>
      <c r="AG899" s="342"/>
      <c r="AH899" s="342"/>
      <c r="AI899" s="342"/>
    </row>
    <row r="900">
      <c r="A900" s="342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P900" s="342"/>
      <c r="Q900" s="342"/>
      <c r="R900" s="342"/>
      <c r="S900" s="342"/>
      <c r="T900" s="342"/>
      <c r="U900" s="342"/>
      <c r="V900" s="342"/>
      <c r="W900" s="342"/>
      <c r="X900" s="342"/>
      <c r="Y900" s="342"/>
      <c r="Z900" s="342"/>
      <c r="AA900" s="342"/>
      <c r="AB900" s="342"/>
      <c r="AC900" s="342"/>
      <c r="AD900" s="342"/>
      <c r="AE900" s="342"/>
      <c r="AF900" s="342"/>
      <c r="AG900" s="342"/>
      <c r="AH900" s="342"/>
      <c r="AI900" s="342"/>
    </row>
    <row r="901">
      <c r="A901" s="342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P901" s="342"/>
      <c r="Q901" s="342"/>
      <c r="R901" s="342"/>
      <c r="S901" s="342"/>
      <c r="T901" s="342"/>
      <c r="U901" s="342"/>
      <c r="V901" s="342"/>
      <c r="W901" s="342"/>
      <c r="X901" s="342"/>
      <c r="Y901" s="342"/>
      <c r="Z901" s="342"/>
      <c r="AA901" s="342"/>
      <c r="AB901" s="342"/>
      <c r="AC901" s="342"/>
      <c r="AD901" s="342"/>
      <c r="AE901" s="342"/>
      <c r="AF901" s="342"/>
      <c r="AG901" s="342"/>
      <c r="AH901" s="342"/>
      <c r="AI901" s="342"/>
    </row>
    <row r="902">
      <c r="A902" s="342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P902" s="342"/>
      <c r="Q902" s="342"/>
      <c r="R902" s="342"/>
      <c r="S902" s="342"/>
      <c r="T902" s="342"/>
      <c r="U902" s="342"/>
      <c r="V902" s="342"/>
      <c r="W902" s="342"/>
      <c r="X902" s="342"/>
      <c r="Y902" s="342"/>
      <c r="Z902" s="342"/>
      <c r="AA902" s="342"/>
      <c r="AB902" s="342"/>
      <c r="AC902" s="342"/>
      <c r="AD902" s="342"/>
      <c r="AE902" s="342"/>
      <c r="AF902" s="342"/>
      <c r="AG902" s="342"/>
      <c r="AH902" s="342"/>
      <c r="AI902" s="342"/>
    </row>
    <row r="903">
      <c r="A903" s="342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P903" s="342"/>
      <c r="Q903" s="342"/>
      <c r="R903" s="342"/>
      <c r="S903" s="342"/>
      <c r="T903" s="342"/>
      <c r="U903" s="342"/>
      <c r="V903" s="342"/>
      <c r="W903" s="342"/>
      <c r="X903" s="342"/>
      <c r="Y903" s="342"/>
      <c r="Z903" s="342"/>
      <c r="AA903" s="342"/>
      <c r="AB903" s="342"/>
      <c r="AC903" s="342"/>
      <c r="AD903" s="342"/>
      <c r="AE903" s="342"/>
      <c r="AF903" s="342"/>
      <c r="AG903" s="342"/>
      <c r="AH903" s="342"/>
      <c r="AI903" s="342"/>
    </row>
    <row r="904">
      <c r="A904" s="342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P904" s="342"/>
      <c r="Q904" s="342"/>
      <c r="R904" s="342"/>
      <c r="S904" s="342"/>
      <c r="T904" s="342"/>
      <c r="U904" s="342"/>
      <c r="V904" s="342"/>
      <c r="W904" s="342"/>
      <c r="X904" s="342"/>
      <c r="Y904" s="342"/>
      <c r="Z904" s="342"/>
      <c r="AA904" s="342"/>
      <c r="AB904" s="342"/>
      <c r="AC904" s="342"/>
      <c r="AD904" s="342"/>
      <c r="AE904" s="342"/>
      <c r="AF904" s="342"/>
      <c r="AG904" s="342"/>
      <c r="AH904" s="342"/>
      <c r="AI904" s="342"/>
    </row>
    <row r="905">
      <c r="A905" s="342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P905" s="342"/>
      <c r="Q905" s="342"/>
      <c r="R905" s="342"/>
      <c r="S905" s="342"/>
      <c r="T905" s="342"/>
      <c r="U905" s="342"/>
      <c r="V905" s="342"/>
      <c r="W905" s="342"/>
      <c r="X905" s="342"/>
      <c r="Y905" s="342"/>
      <c r="Z905" s="342"/>
      <c r="AA905" s="342"/>
      <c r="AB905" s="342"/>
      <c r="AC905" s="342"/>
      <c r="AD905" s="342"/>
      <c r="AE905" s="342"/>
      <c r="AF905" s="342"/>
      <c r="AG905" s="342"/>
      <c r="AH905" s="342"/>
      <c r="AI905" s="342"/>
    </row>
    <row r="906">
      <c r="A906" s="342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P906" s="342"/>
      <c r="Q906" s="342"/>
      <c r="R906" s="342"/>
      <c r="S906" s="342"/>
      <c r="T906" s="342"/>
      <c r="U906" s="342"/>
      <c r="V906" s="342"/>
      <c r="W906" s="342"/>
      <c r="X906" s="342"/>
      <c r="Y906" s="342"/>
      <c r="Z906" s="342"/>
      <c r="AA906" s="342"/>
      <c r="AB906" s="342"/>
      <c r="AC906" s="342"/>
      <c r="AD906" s="342"/>
      <c r="AE906" s="342"/>
      <c r="AF906" s="342"/>
      <c r="AG906" s="342"/>
      <c r="AH906" s="342"/>
      <c r="AI906" s="342"/>
    </row>
    <row r="907">
      <c r="A907" s="342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P907" s="342"/>
      <c r="Q907" s="342"/>
      <c r="R907" s="342"/>
      <c r="S907" s="342"/>
      <c r="T907" s="342"/>
      <c r="U907" s="342"/>
      <c r="V907" s="342"/>
      <c r="W907" s="342"/>
      <c r="X907" s="342"/>
      <c r="Y907" s="342"/>
      <c r="Z907" s="342"/>
      <c r="AA907" s="342"/>
      <c r="AB907" s="342"/>
      <c r="AC907" s="342"/>
      <c r="AD907" s="342"/>
      <c r="AE907" s="342"/>
      <c r="AF907" s="342"/>
      <c r="AG907" s="342"/>
      <c r="AH907" s="342"/>
      <c r="AI907" s="342"/>
    </row>
    <row r="908">
      <c r="A908" s="342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P908" s="342"/>
      <c r="Q908" s="342"/>
      <c r="R908" s="342"/>
      <c r="S908" s="342"/>
      <c r="T908" s="342"/>
      <c r="U908" s="342"/>
      <c r="V908" s="342"/>
      <c r="W908" s="342"/>
      <c r="X908" s="342"/>
      <c r="Y908" s="342"/>
      <c r="Z908" s="342"/>
      <c r="AA908" s="342"/>
      <c r="AB908" s="342"/>
      <c r="AC908" s="342"/>
      <c r="AD908" s="342"/>
      <c r="AE908" s="342"/>
      <c r="AF908" s="342"/>
      <c r="AG908" s="342"/>
      <c r="AH908" s="342"/>
      <c r="AI908" s="342"/>
    </row>
    <row r="909">
      <c r="A909" s="342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P909" s="342"/>
      <c r="Q909" s="342"/>
      <c r="R909" s="342"/>
      <c r="S909" s="342"/>
      <c r="T909" s="342"/>
      <c r="U909" s="342"/>
      <c r="V909" s="342"/>
      <c r="W909" s="342"/>
      <c r="X909" s="342"/>
      <c r="Y909" s="342"/>
      <c r="Z909" s="342"/>
      <c r="AA909" s="342"/>
      <c r="AB909" s="342"/>
      <c r="AC909" s="342"/>
      <c r="AD909" s="342"/>
      <c r="AE909" s="342"/>
      <c r="AF909" s="342"/>
      <c r="AG909" s="342"/>
      <c r="AH909" s="342"/>
      <c r="AI909" s="342"/>
    </row>
    <row r="910">
      <c r="A910" s="342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P910" s="342"/>
      <c r="Q910" s="342"/>
      <c r="R910" s="342"/>
      <c r="S910" s="342"/>
      <c r="T910" s="342"/>
      <c r="U910" s="342"/>
      <c r="V910" s="342"/>
      <c r="W910" s="342"/>
      <c r="X910" s="342"/>
      <c r="Y910" s="342"/>
      <c r="Z910" s="342"/>
      <c r="AA910" s="342"/>
      <c r="AB910" s="342"/>
      <c r="AC910" s="342"/>
      <c r="AD910" s="342"/>
      <c r="AE910" s="342"/>
      <c r="AF910" s="342"/>
      <c r="AG910" s="342"/>
      <c r="AH910" s="342"/>
      <c r="AI910" s="342"/>
    </row>
    <row r="911">
      <c r="A911" s="342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P911" s="342"/>
      <c r="Q911" s="342"/>
      <c r="R911" s="342"/>
      <c r="S911" s="342"/>
      <c r="T911" s="342"/>
      <c r="U911" s="342"/>
      <c r="V911" s="342"/>
      <c r="W911" s="342"/>
      <c r="X911" s="342"/>
      <c r="Y911" s="342"/>
      <c r="Z911" s="342"/>
      <c r="AA911" s="342"/>
      <c r="AB911" s="342"/>
      <c r="AC911" s="342"/>
      <c r="AD911" s="342"/>
      <c r="AE911" s="342"/>
      <c r="AF911" s="342"/>
      <c r="AG911" s="342"/>
      <c r="AH911" s="342"/>
      <c r="AI911" s="342"/>
    </row>
    <row r="912">
      <c r="A912" s="342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P912" s="342"/>
      <c r="Q912" s="342"/>
      <c r="R912" s="342"/>
      <c r="S912" s="342"/>
      <c r="T912" s="342"/>
      <c r="U912" s="342"/>
      <c r="V912" s="342"/>
      <c r="W912" s="342"/>
      <c r="X912" s="342"/>
      <c r="Y912" s="342"/>
      <c r="Z912" s="342"/>
      <c r="AA912" s="342"/>
      <c r="AB912" s="342"/>
      <c r="AC912" s="342"/>
      <c r="AD912" s="342"/>
      <c r="AE912" s="342"/>
      <c r="AF912" s="342"/>
      <c r="AG912" s="342"/>
      <c r="AH912" s="342"/>
      <c r="AI912" s="342"/>
    </row>
    <row r="913">
      <c r="A913" s="342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P913" s="342"/>
      <c r="Q913" s="342"/>
      <c r="R913" s="342"/>
      <c r="S913" s="342"/>
      <c r="T913" s="342"/>
      <c r="U913" s="342"/>
      <c r="V913" s="342"/>
      <c r="W913" s="342"/>
      <c r="X913" s="342"/>
      <c r="Y913" s="342"/>
      <c r="Z913" s="342"/>
      <c r="AA913" s="342"/>
      <c r="AB913" s="342"/>
      <c r="AC913" s="342"/>
      <c r="AD913" s="342"/>
      <c r="AE913" s="342"/>
      <c r="AF913" s="342"/>
      <c r="AG913" s="342"/>
      <c r="AH913" s="342"/>
      <c r="AI913" s="342"/>
    </row>
    <row r="914">
      <c r="A914" s="342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P914" s="342"/>
      <c r="Q914" s="342"/>
      <c r="R914" s="342"/>
      <c r="S914" s="342"/>
      <c r="T914" s="342"/>
      <c r="U914" s="342"/>
      <c r="V914" s="342"/>
      <c r="W914" s="342"/>
      <c r="X914" s="342"/>
      <c r="Y914" s="342"/>
      <c r="Z914" s="342"/>
      <c r="AA914" s="342"/>
      <c r="AB914" s="342"/>
      <c r="AC914" s="342"/>
      <c r="AD914" s="342"/>
      <c r="AE914" s="342"/>
      <c r="AF914" s="342"/>
      <c r="AG914" s="342"/>
      <c r="AH914" s="342"/>
      <c r="AI914" s="342"/>
    </row>
    <row r="915">
      <c r="A915" s="342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P915" s="342"/>
      <c r="Q915" s="342"/>
      <c r="R915" s="342"/>
      <c r="S915" s="342"/>
      <c r="T915" s="342"/>
      <c r="U915" s="342"/>
      <c r="V915" s="342"/>
      <c r="W915" s="342"/>
      <c r="X915" s="342"/>
      <c r="Y915" s="342"/>
      <c r="Z915" s="342"/>
      <c r="AA915" s="342"/>
      <c r="AB915" s="342"/>
      <c r="AC915" s="342"/>
      <c r="AD915" s="342"/>
      <c r="AE915" s="342"/>
      <c r="AF915" s="342"/>
      <c r="AG915" s="342"/>
      <c r="AH915" s="342"/>
      <c r="AI915" s="342"/>
    </row>
    <row r="916">
      <c r="A916" s="342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P916" s="342"/>
      <c r="Q916" s="342"/>
      <c r="R916" s="342"/>
      <c r="S916" s="342"/>
      <c r="T916" s="342"/>
      <c r="U916" s="342"/>
      <c r="V916" s="342"/>
      <c r="W916" s="342"/>
      <c r="X916" s="342"/>
      <c r="Y916" s="342"/>
      <c r="Z916" s="342"/>
      <c r="AA916" s="342"/>
      <c r="AB916" s="342"/>
      <c r="AC916" s="342"/>
      <c r="AD916" s="342"/>
      <c r="AE916" s="342"/>
      <c r="AF916" s="342"/>
      <c r="AG916" s="342"/>
      <c r="AH916" s="342"/>
      <c r="AI916" s="342"/>
    </row>
    <row r="917">
      <c r="A917" s="342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P917" s="342"/>
      <c r="Q917" s="342"/>
      <c r="R917" s="342"/>
      <c r="S917" s="342"/>
      <c r="T917" s="342"/>
      <c r="U917" s="342"/>
      <c r="V917" s="342"/>
      <c r="W917" s="342"/>
      <c r="X917" s="342"/>
      <c r="Y917" s="342"/>
      <c r="Z917" s="342"/>
      <c r="AA917" s="342"/>
      <c r="AB917" s="342"/>
      <c r="AC917" s="342"/>
      <c r="AD917" s="342"/>
      <c r="AE917" s="342"/>
      <c r="AF917" s="342"/>
      <c r="AG917" s="342"/>
      <c r="AH917" s="342"/>
      <c r="AI917" s="342"/>
    </row>
    <row r="918">
      <c r="A918" s="342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P918" s="342"/>
      <c r="Q918" s="342"/>
      <c r="R918" s="342"/>
      <c r="S918" s="342"/>
      <c r="T918" s="342"/>
      <c r="U918" s="342"/>
      <c r="V918" s="342"/>
      <c r="W918" s="342"/>
      <c r="X918" s="342"/>
      <c r="Y918" s="342"/>
      <c r="Z918" s="342"/>
      <c r="AA918" s="342"/>
      <c r="AB918" s="342"/>
      <c r="AC918" s="342"/>
      <c r="AD918" s="342"/>
      <c r="AE918" s="342"/>
      <c r="AF918" s="342"/>
      <c r="AG918" s="342"/>
      <c r="AH918" s="342"/>
      <c r="AI918" s="342"/>
    </row>
    <row r="919">
      <c r="A919" s="342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P919" s="342"/>
      <c r="Q919" s="342"/>
      <c r="R919" s="342"/>
      <c r="S919" s="342"/>
      <c r="T919" s="342"/>
      <c r="U919" s="342"/>
      <c r="V919" s="342"/>
      <c r="W919" s="342"/>
      <c r="X919" s="342"/>
      <c r="Y919" s="342"/>
      <c r="Z919" s="342"/>
      <c r="AA919" s="342"/>
      <c r="AB919" s="342"/>
      <c r="AC919" s="342"/>
      <c r="AD919" s="342"/>
      <c r="AE919" s="342"/>
      <c r="AF919" s="342"/>
      <c r="AG919" s="342"/>
      <c r="AH919" s="342"/>
      <c r="AI919" s="342"/>
    </row>
    <row r="920">
      <c r="A920" s="342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P920" s="342"/>
      <c r="Q920" s="342"/>
      <c r="R920" s="342"/>
      <c r="S920" s="342"/>
      <c r="T920" s="342"/>
      <c r="U920" s="342"/>
      <c r="V920" s="342"/>
      <c r="W920" s="342"/>
      <c r="X920" s="342"/>
      <c r="Y920" s="342"/>
      <c r="Z920" s="342"/>
      <c r="AA920" s="342"/>
      <c r="AB920" s="342"/>
      <c r="AC920" s="342"/>
      <c r="AD920" s="342"/>
      <c r="AE920" s="342"/>
      <c r="AF920" s="342"/>
      <c r="AG920" s="342"/>
      <c r="AH920" s="342"/>
      <c r="AI920" s="342"/>
    </row>
    <row r="921">
      <c r="A921" s="342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P921" s="342"/>
      <c r="Q921" s="342"/>
      <c r="R921" s="342"/>
      <c r="S921" s="342"/>
      <c r="T921" s="342"/>
      <c r="U921" s="342"/>
      <c r="V921" s="342"/>
      <c r="W921" s="342"/>
      <c r="X921" s="342"/>
      <c r="Y921" s="342"/>
      <c r="Z921" s="342"/>
      <c r="AA921" s="342"/>
      <c r="AB921" s="342"/>
      <c r="AC921" s="342"/>
      <c r="AD921" s="342"/>
      <c r="AE921" s="342"/>
      <c r="AF921" s="342"/>
      <c r="AG921" s="342"/>
      <c r="AH921" s="342"/>
      <c r="AI921" s="342"/>
    </row>
    <row r="922">
      <c r="A922" s="342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P922" s="342"/>
      <c r="Q922" s="342"/>
      <c r="R922" s="342"/>
      <c r="S922" s="342"/>
      <c r="T922" s="342"/>
      <c r="U922" s="342"/>
      <c r="V922" s="342"/>
      <c r="W922" s="342"/>
      <c r="X922" s="342"/>
      <c r="Y922" s="342"/>
      <c r="Z922" s="342"/>
      <c r="AA922" s="342"/>
      <c r="AB922" s="342"/>
      <c r="AC922" s="342"/>
      <c r="AD922" s="342"/>
      <c r="AE922" s="342"/>
      <c r="AF922" s="342"/>
      <c r="AG922" s="342"/>
      <c r="AH922" s="342"/>
      <c r="AI922" s="342"/>
    </row>
    <row r="923">
      <c r="A923" s="342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P923" s="342"/>
      <c r="Q923" s="342"/>
      <c r="R923" s="342"/>
      <c r="S923" s="342"/>
      <c r="T923" s="342"/>
      <c r="U923" s="342"/>
      <c r="V923" s="342"/>
      <c r="W923" s="342"/>
      <c r="X923" s="342"/>
      <c r="Y923" s="342"/>
      <c r="Z923" s="342"/>
      <c r="AA923" s="342"/>
      <c r="AB923" s="342"/>
      <c r="AC923" s="342"/>
      <c r="AD923" s="342"/>
      <c r="AE923" s="342"/>
      <c r="AF923" s="342"/>
      <c r="AG923" s="342"/>
      <c r="AH923" s="342"/>
      <c r="AI923" s="342"/>
    </row>
    <row r="924">
      <c r="A924" s="342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P924" s="342"/>
      <c r="Q924" s="342"/>
      <c r="R924" s="342"/>
      <c r="S924" s="342"/>
      <c r="T924" s="342"/>
      <c r="U924" s="342"/>
      <c r="V924" s="342"/>
      <c r="W924" s="342"/>
      <c r="X924" s="342"/>
      <c r="Y924" s="342"/>
      <c r="Z924" s="342"/>
      <c r="AA924" s="342"/>
      <c r="AB924" s="342"/>
      <c r="AC924" s="342"/>
      <c r="AD924" s="342"/>
      <c r="AE924" s="342"/>
      <c r="AF924" s="342"/>
      <c r="AG924" s="342"/>
      <c r="AH924" s="342"/>
      <c r="AI924" s="342"/>
    </row>
    <row r="925">
      <c r="A925" s="342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P925" s="342"/>
      <c r="Q925" s="342"/>
      <c r="R925" s="342"/>
      <c r="S925" s="342"/>
      <c r="T925" s="342"/>
      <c r="U925" s="342"/>
      <c r="V925" s="342"/>
      <c r="W925" s="342"/>
      <c r="X925" s="342"/>
      <c r="Y925" s="342"/>
      <c r="Z925" s="342"/>
      <c r="AA925" s="342"/>
      <c r="AB925" s="342"/>
      <c r="AC925" s="342"/>
      <c r="AD925" s="342"/>
      <c r="AE925" s="342"/>
      <c r="AF925" s="342"/>
      <c r="AG925" s="342"/>
      <c r="AH925" s="342"/>
      <c r="AI925" s="342"/>
    </row>
    <row r="926">
      <c r="A926" s="342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P926" s="342"/>
      <c r="Q926" s="342"/>
      <c r="R926" s="342"/>
      <c r="S926" s="342"/>
      <c r="T926" s="342"/>
      <c r="U926" s="342"/>
      <c r="V926" s="342"/>
      <c r="W926" s="342"/>
      <c r="X926" s="342"/>
      <c r="Y926" s="342"/>
      <c r="Z926" s="342"/>
      <c r="AA926" s="342"/>
      <c r="AB926" s="342"/>
      <c r="AC926" s="342"/>
      <c r="AD926" s="342"/>
      <c r="AE926" s="342"/>
      <c r="AF926" s="342"/>
      <c r="AG926" s="342"/>
      <c r="AH926" s="342"/>
      <c r="AI926" s="342"/>
    </row>
    <row r="927">
      <c r="A927" s="342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P927" s="342"/>
      <c r="Q927" s="342"/>
      <c r="R927" s="342"/>
      <c r="S927" s="342"/>
      <c r="T927" s="342"/>
      <c r="U927" s="342"/>
      <c r="V927" s="342"/>
      <c r="W927" s="342"/>
      <c r="X927" s="342"/>
      <c r="Y927" s="342"/>
      <c r="Z927" s="342"/>
      <c r="AA927" s="342"/>
      <c r="AB927" s="342"/>
      <c r="AC927" s="342"/>
      <c r="AD927" s="342"/>
      <c r="AE927" s="342"/>
      <c r="AF927" s="342"/>
      <c r="AG927" s="342"/>
      <c r="AH927" s="342"/>
      <c r="AI927" s="342"/>
    </row>
    <row r="928">
      <c r="A928" s="342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P928" s="342"/>
      <c r="Q928" s="342"/>
      <c r="R928" s="342"/>
      <c r="S928" s="342"/>
      <c r="T928" s="342"/>
      <c r="U928" s="342"/>
      <c r="V928" s="342"/>
      <c r="W928" s="342"/>
      <c r="X928" s="342"/>
      <c r="Y928" s="342"/>
      <c r="Z928" s="342"/>
      <c r="AA928" s="342"/>
      <c r="AB928" s="342"/>
      <c r="AC928" s="342"/>
      <c r="AD928" s="342"/>
      <c r="AE928" s="342"/>
      <c r="AF928" s="342"/>
      <c r="AG928" s="342"/>
      <c r="AH928" s="342"/>
      <c r="AI928" s="342"/>
    </row>
    <row r="929">
      <c r="A929" s="342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P929" s="342"/>
      <c r="Q929" s="342"/>
      <c r="R929" s="342"/>
      <c r="S929" s="342"/>
      <c r="T929" s="342"/>
      <c r="U929" s="342"/>
      <c r="V929" s="342"/>
      <c r="W929" s="342"/>
      <c r="X929" s="342"/>
      <c r="Y929" s="342"/>
      <c r="Z929" s="342"/>
      <c r="AA929" s="342"/>
      <c r="AB929" s="342"/>
      <c r="AC929" s="342"/>
      <c r="AD929" s="342"/>
      <c r="AE929" s="342"/>
      <c r="AF929" s="342"/>
      <c r="AG929" s="342"/>
      <c r="AH929" s="342"/>
      <c r="AI929" s="342"/>
    </row>
    <row r="930">
      <c r="A930" s="342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  <c r="AA930" s="342"/>
      <c r="AB930" s="342"/>
      <c r="AC930" s="342"/>
      <c r="AD930" s="342"/>
      <c r="AE930" s="342"/>
      <c r="AF930" s="342"/>
      <c r="AG930" s="342"/>
      <c r="AH930" s="342"/>
      <c r="AI930" s="342"/>
    </row>
    <row r="931">
      <c r="A931" s="342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P931" s="342"/>
      <c r="Q931" s="342"/>
      <c r="R931" s="342"/>
      <c r="S931" s="342"/>
      <c r="T931" s="342"/>
      <c r="U931" s="342"/>
      <c r="V931" s="342"/>
      <c r="W931" s="342"/>
      <c r="X931" s="342"/>
      <c r="Y931" s="342"/>
      <c r="Z931" s="342"/>
      <c r="AA931" s="342"/>
      <c r="AB931" s="342"/>
      <c r="AC931" s="342"/>
      <c r="AD931" s="342"/>
      <c r="AE931" s="342"/>
      <c r="AF931" s="342"/>
      <c r="AG931" s="342"/>
      <c r="AH931" s="342"/>
      <c r="AI931" s="342"/>
    </row>
    <row r="932">
      <c r="A932" s="342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P932" s="342"/>
      <c r="Q932" s="342"/>
      <c r="R932" s="342"/>
      <c r="S932" s="342"/>
      <c r="T932" s="342"/>
      <c r="U932" s="342"/>
      <c r="V932" s="342"/>
      <c r="W932" s="342"/>
      <c r="X932" s="342"/>
      <c r="Y932" s="342"/>
      <c r="Z932" s="342"/>
      <c r="AA932" s="342"/>
      <c r="AB932" s="342"/>
      <c r="AC932" s="342"/>
      <c r="AD932" s="342"/>
      <c r="AE932" s="342"/>
      <c r="AF932" s="342"/>
      <c r="AG932" s="342"/>
      <c r="AH932" s="342"/>
      <c r="AI932" s="342"/>
    </row>
    <row r="933">
      <c r="A933" s="342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P933" s="342"/>
      <c r="Q933" s="342"/>
      <c r="R933" s="342"/>
      <c r="S933" s="342"/>
      <c r="T933" s="342"/>
      <c r="U933" s="342"/>
      <c r="V933" s="342"/>
      <c r="W933" s="342"/>
      <c r="X933" s="342"/>
      <c r="Y933" s="342"/>
      <c r="Z933" s="342"/>
      <c r="AA933" s="342"/>
      <c r="AB933" s="342"/>
      <c r="AC933" s="342"/>
      <c r="AD933" s="342"/>
      <c r="AE933" s="342"/>
      <c r="AF933" s="342"/>
      <c r="AG933" s="342"/>
      <c r="AH933" s="342"/>
      <c r="AI933" s="342"/>
    </row>
    <row r="934">
      <c r="A934" s="342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P934" s="342"/>
      <c r="Q934" s="342"/>
      <c r="R934" s="342"/>
      <c r="S934" s="342"/>
      <c r="T934" s="342"/>
      <c r="U934" s="342"/>
      <c r="V934" s="342"/>
      <c r="W934" s="342"/>
      <c r="X934" s="342"/>
      <c r="Y934" s="342"/>
      <c r="Z934" s="342"/>
      <c r="AA934" s="342"/>
      <c r="AB934" s="342"/>
      <c r="AC934" s="342"/>
      <c r="AD934" s="342"/>
      <c r="AE934" s="342"/>
      <c r="AF934" s="342"/>
      <c r="AG934" s="342"/>
      <c r="AH934" s="342"/>
      <c r="AI934" s="342"/>
    </row>
    <row r="935">
      <c r="A935" s="342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  <c r="AA935" s="342"/>
      <c r="AB935" s="342"/>
      <c r="AC935" s="342"/>
      <c r="AD935" s="342"/>
      <c r="AE935" s="342"/>
      <c r="AF935" s="342"/>
      <c r="AG935" s="342"/>
      <c r="AH935" s="342"/>
      <c r="AI935" s="342"/>
    </row>
    <row r="936">
      <c r="A936" s="342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P936" s="342"/>
      <c r="Q936" s="342"/>
      <c r="R936" s="342"/>
      <c r="S936" s="342"/>
      <c r="T936" s="342"/>
      <c r="U936" s="342"/>
      <c r="V936" s="342"/>
      <c r="W936" s="342"/>
      <c r="X936" s="342"/>
      <c r="Y936" s="342"/>
      <c r="Z936" s="342"/>
      <c r="AA936" s="342"/>
      <c r="AB936" s="342"/>
      <c r="AC936" s="342"/>
      <c r="AD936" s="342"/>
      <c r="AE936" s="342"/>
      <c r="AF936" s="342"/>
      <c r="AG936" s="342"/>
      <c r="AH936" s="342"/>
      <c r="AI936" s="342"/>
    </row>
    <row r="937">
      <c r="A937" s="342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P937" s="342"/>
      <c r="Q937" s="342"/>
      <c r="R937" s="342"/>
      <c r="S937" s="342"/>
      <c r="T937" s="342"/>
      <c r="U937" s="342"/>
      <c r="V937" s="342"/>
      <c r="W937" s="342"/>
      <c r="X937" s="342"/>
      <c r="Y937" s="342"/>
      <c r="Z937" s="342"/>
      <c r="AA937" s="342"/>
      <c r="AB937" s="342"/>
      <c r="AC937" s="342"/>
      <c r="AD937" s="342"/>
      <c r="AE937" s="342"/>
      <c r="AF937" s="342"/>
      <c r="AG937" s="342"/>
      <c r="AH937" s="342"/>
      <c r="AI937" s="342"/>
    </row>
    <row r="938">
      <c r="A938" s="342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P938" s="342"/>
      <c r="Q938" s="342"/>
      <c r="R938" s="342"/>
      <c r="S938" s="342"/>
      <c r="T938" s="342"/>
      <c r="U938" s="342"/>
      <c r="V938" s="342"/>
      <c r="W938" s="342"/>
      <c r="X938" s="342"/>
      <c r="Y938" s="342"/>
      <c r="Z938" s="342"/>
      <c r="AA938" s="342"/>
      <c r="AB938" s="342"/>
      <c r="AC938" s="342"/>
      <c r="AD938" s="342"/>
      <c r="AE938" s="342"/>
      <c r="AF938" s="342"/>
      <c r="AG938" s="342"/>
      <c r="AH938" s="342"/>
      <c r="AI938" s="342"/>
    </row>
    <row r="939">
      <c r="A939" s="342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P939" s="342"/>
      <c r="Q939" s="342"/>
      <c r="R939" s="342"/>
      <c r="S939" s="342"/>
      <c r="T939" s="342"/>
      <c r="U939" s="342"/>
      <c r="V939" s="342"/>
      <c r="W939" s="342"/>
      <c r="X939" s="342"/>
      <c r="Y939" s="342"/>
      <c r="Z939" s="342"/>
      <c r="AA939" s="342"/>
      <c r="AB939" s="342"/>
      <c r="AC939" s="342"/>
      <c r="AD939" s="342"/>
      <c r="AE939" s="342"/>
      <c r="AF939" s="342"/>
      <c r="AG939" s="342"/>
      <c r="AH939" s="342"/>
      <c r="AI939" s="342"/>
    </row>
    <row r="940">
      <c r="A940" s="342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P940" s="342"/>
      <c r="Q940" s="342"/>
      <c r="R940" s="342"/>
      <c r="S940" s="342"/>
      <c r="T940" s="342"/>
      <c r="U940" s="342"/>
      <c r="V940" s="342"/>
      <c r="W940" s="342"/>
      <c r="X940" s="342"/>
      <c r="Y940" s="342"/>
      <c r="Z940" s="342"/>
      <c r="AA940" s="342"/>
      <c r="AB940" s="342"/>
      <c r="AC940" s="342"/>
      <c r="AD940" s="342"/>
      <c r="AE940" s="342"/>
      <c r="AF940" s="342"/>
      <c r="AG940" s="342"/>
      <c r="AH940" s="342"/>
      <c r="AI940" s="342"/>
    </row>
    <row r="941">
      <c r="A941" s="342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P941" s="342"/>
      <c r="Q941" s="342"/>
      <c r="R941" s="342"/>
      <c r="S941" s="342"/>
      <c r="T941" s="342"/>
      <c r="U941" s="342"/>
      <c r="V941" s="342"/>
      <c r="W941" s="342"/>
      <c r="X941" s="342"/>
      <c r="Y941" s="342"/>
      <c r="Z941" s="342"/>
      <c r="AA941" s="342"/>
      <c r="AB941" s="342"/>
      <c r="AC941" s="342"/>
      <c r="AD941" s="342"/>
      <c r="AE941" s="342"/>
      <c r="AF941" s="342"/>
      <c r="AG941" s="342"/>
      <c r="AH941" s="342"/>
      <c r="AI941" s="342"/>
    </row>
    <row r="942">
      <c r="A942" s="342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P942" s="342"/>
      <c r="Q942" s="342"/>
      <c r="R942" s="342"/>
      <c r="S942" s="342"/>
      <c r="T942" s="342"/>
      <c r="U942" s="342"/>
      <c r="V942" s="342"/>
      <c r="W942" s="342"/>
      <c r="X942" s="342"/>
      <c r="Y942" s="342"/>
      <c r="Z942" s="342"/>
      <c r="AA942" s="342"/>
      <c r="AB942" s="342"/>
      <c r="AC942" s="342"/>
      <c r="AD942" s="342"/>
      <c r="AE942" s="342"/>
      <c r="AF942" s="342"/>
      <c r="AG942" s="342"/>
      <c r="AH942" s="342"/>
      <c r="AI942" s="342"/>
    </row>
    <row r="943">
      <c r="A943" s="342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P943" s="342"/>
      <c r="Q943" s="342"/>
      <c r="R943" s="342"/>
      <c r="S943" s="342"/>
      <c r="T943" s="342"/>
      <c r="U943" s="342"/>
      <c r="V943" s="342"/>
      <c r="W943" s="342"/>
      <c r="X943" s="342"/>
      <c r="Y943" s="342"/>
      <c r="Z943" s="342"/>
      <c r="AA943" s="342"/>
      <c r="AB943" s="342"/>
      <c r="AC943" s="342"/>
      <c r="AD943" s="342"/>
      <c r="AE943" s="342"/>
      <c r="AF943" s="342"/>
      <c r="AG943" s="342"/>
      <c r="AH943" s="342"/>
      <c r="AI943" s="342"/>
    </row>
    <row r="944">
      <c r="A944" s="342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P944" s="342"/>
      <c r="Q944" s="342"/>
      <c r="R944" s="342"/>
      <c r="S944" s="342"/>
      <c r="T944" s="342"/>
      <c r="U944" s="342"/>
      <c r="V944" s="342"/>
      <c r="W944" s="342"/>
      <c r="X944" s="342"/>
      <c r="Y944" s="342"/>
      <c r="Z944" s="342"/>
      <c r="AA944" s="342"/>
      <c r="AB944" s="342"/>
      <c r="AC944" s="342"/>
      <c r="AD944" s="342"/>
      <c r="AE944" s="342"/>
      <c r="AF944" s="342"/>
      <c r="AG944" s="342"/>
      <c r="AH944" s="342"/>
      <c r="AI944" s="342"/>
    </row>
    <row r="945">
      <c r="A945" s="342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P945" s="342"/>
      <c r="Q945" s="342"/>
      <c r="R945" s="342"/>
      <c r="S945" s="342"/>
      <c r="T945" s="342"/>
      <c r="U945" s="342"/>
      <c r="V945" s="342"/>
      <c r="W945" s="342"/>
      <c r="X945" s="342"/>
      <c r="Y945" s="342"/>
      <c r="Z945" s="342"/>
      <c r="AA945" s="342"/>
      <c r="AB945" s="342"/>
      <c r="AC945" s="342"/>
      <c r="AD945" s="342"/>
      <c r="AE945" s="342"/>
      <c r="AF945" s="342"/>
      <c r="AG945" s="342"/>
      <c r="AH945" s="342"/>
      <c r="AI945" s="342"/>
    </row>
    <row r="946">
      <c r="A946" s="342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P946" s="342"/>
      <c r="Q946" s="342"/>
      <c r="R946" s="342"/>
      <c r="S946" s="342"/>
      <c r="T946" s="342"/>
      <c r="U946" s="342"/>
      <c r="V946" s="342"/>
      <c r="W946" s="342"/>
      <c r="X946" s="342"/>
      <c r="Y946" s="342"/>
      <c r="Z946" s="342"/>
      <c r="AA946" s="342"/>
      <c r="AB946" s="342"/>
      <c r="AC946" s="342"/>
      <c r="AD946" s="342"/>
      <c r="AE946" s="342"/>
      <c r="AF946" s="342"/>
      <c r="AG946" s="342"/>
      <c r="AH946" s="342"/>
      <c r="AI946" s="342"/>
    </row>
    <row r="947">
      <c r="A947" s="342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P947" s="342"/>
      <c r="Q947" s="342"/>
      <c r="R947" s="342"/>
      <c r="S947" s="342"/>
      <c r="T947" s="342"/>
      <c r="U947" s="342"/>
      <c r="V947" s="342"/>
      <c r="W947" s="342"/>
      <c r="X947" s="342"/>
      <c r="Y947" s="342"/>
      <c r="Z947" s="342"/>
      <c r="AA947" s="342"/>
      <c r="AB947" s="342"/>
      <c r="AC947" s="342"/>
      <c r="AD947" s="342"/>
      <c r="AE947" s="342"/>
      <c r="AF947" s="342"/>
      <c r="AG947" s="342"/>
      <c r="AH947" s="342"/>
      <c r="AI947" s="342"/>
    </row>
    <row r="948">
      <c r="A948" s="342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P948" s="342"/>
      <c r="Q948" s="342"/>
      <c r="R948" s="342"/>
      <c r="S948" s="342"/>
      <c r="T948" s="342"/>
      <c r="U948" s="342"/>
      <c r="V948" s="342"/>
      <c r="W948" s="342"/>
      <c r="X948" s="342"/>
      <c r="Y948" s="342"/>
      <c r="Z948" s="342"/>
      <c r="AA948" s="342"/>
      <c r="AB948" s="342"/>
      <c r="AC948" s="342"/>
      <c r="AD948" s="342"/>
      <c r="AE948" s="342"/>
      <c r="AF948" s="342"/>
      <c r="AG948" s="342"/>
      <c r="AH948" s="342"/>
      <c r="AI948" s="342"/>
    </row>
    <row r="949">
      <c r="A949" s="342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P949" s="342"/>
      <c r="Q949" s="342"/>
      <c r="R949" s="342"/>
      <c r="S949" s="342"/>
      <c r="T949" s="342"/>
      <c r="U949" s="342"/>
      <c r="V949" s="342"/>
      <c r="W949" s="342"/>
      <c r="X949" s="342"/>
      <c r="Y949" s="342"/>
      <c r="Z949" s="342"/>
      <c r="AA949" s="342"/>
      <c r="AB949" s="342"/>
      <c r="AC949" s="342"/>
      <c r="AD949" s="342"/>
      <c r="AE949" s="342"/>
      <c r="AF949" s="342"/>
      <c r="AG949" s="342"/>
      <c r="AH949" s="342"/>
      <c r="AI949" s="342"/>
    </row>
    <row r="950">
      <c r="A950" s="342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P950" s="342"/>
      <c r="Q950" s="342"/>
      <c r="R950" s="342"/>
      <c r="S950" s="342"/>
      <c r="T950" s="342"/>
      <c r="U950" s="342"/>
      <c r="V950" s="342"/>
      <c r="W950" s="342"/>
      <c r="X950" s="342"/>
      <c r="Y950" s="342"/>
      <c r="Z950" s="342"/>
      <c r="AA950" s="342"/>
      <c r="AB950" s="342"/>
      <c r="AC950" s="342"/>
      <c r="AD950" s="342"/>
      <c r="AE950" s="342"/>
      <c r="AF950" s="342"/>
      <c r="AG950" s="342"/>
      <c r="AH950" s="342"/>
      <c r="AI950" s="342"/>
    </row>
    <row r="951">
      <c r="A951" s="342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P951" s="342"/>
      <c r="Q951" s="342"/>
      <c r="R951" s="342"/>
      <c r="S951" s="342"/>
      <c r="T951" s="342"/>
      <c r="U951" s="342"/>
      <c r="V951" s="342"/>
      <c r="W951" s="342"/>
      <c r="X951" s="342"/>
      <c r="Y951" s="342"/>
      <c r="Z951" s="342"/>
      <c r="AA951" s="342"/>
      <c r="AB951" s="342"/>
      <c r="AC951" s="342"/>
      <c r="AD951" s="342"/>
      <c r="AE951" s="342"/>
      <c r="AF951" s="342"/>
      <c r="AG951" s="342"/>
      <c r="AH951" s="342"/>
      <c r="AI951" s="342"/>
    </row>
    <row r="952">
      <c r="A952" s="342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P952" s="342"/>
      <c r="Q952" s="342"/>
      <c r="R952" s="342"/>
      <c r="S952" s="342"/>
      <c r="T952" s="342"/>
      <c r="U952" s="342"/>
      <c r="V952" s="342"/>
      <c r="W952" s="342"/>
      <c r="X952" s="342"/>
      <c r="Y952" s="342"/>
      <c r="Z952" s="342"/>
      <c r="AA952" s="342"/>
      <c r="AB952" s="342"/>
      <c r="AC952" s="342"/>
      <c r="AD952" s="342"/>
      <c r="AE952" s="342"/>
      <c r="AF952" s="342"/>
      <c r="AG952" s="342"/>
      <c r="AH952" s="342"/>
      <c r="AI952" s="342"/>
    </row>
    <row r="953">
      <c r="A953" s="342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P953" s="342"/>
      <c r="Q953" s="342"/>
      <c r="R953" s="342"/>
      <c r="S953" s="342"/>
      <c r="T953" s="342"/>
      <c r="U953" s="342"/>
      <c r="V953" s="342"/>
      <c r="W953" s="342"/>
      <c r="X953" s="342"/>
      <c r="Y953" s="342"/>
      <c r="Z953" s="342"/>
      <c r="AA953" s="342"/>
      <c r="AB953" s="342"/>
      <c r="AC953" s="342"/>
      <c r="AD953" s="342"/>
      <c r="AE953" s="342"/>
      <c r="AF953" s="342"/>
      <c r="AG953" s="342"/>
      <c r="AH953" s="342"/>
      <c r="AI953" s="342"/>
    </row>
    <row r="954">
      <c r="A954" s="342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P954" s="342"/>
      <c r="Q954" s="342"/>
      <c r="R954" s="342"/>
      <c r="S954" s="342"/>
      <c r="T954" s="342"/>
      <c r="U954" s="342"/>
      <c r="V954" s="342"/>
      <c r="W954" s="342"/>
      <c r="X954" s="342"/>
      <c r="Y954" s="342"/>
      <c r="Z954" s="342"/>
      <c r="AA954" s="342"/>
      <c r="AB954" s="342"/>
      <c r="AC954" s="342"/>
      <c r="AD954" s="342"/>
      <c r="AE954" s="342"/>
      <c r="AF954" s="342"/>
      <c r="AG954" s="342"/>
      <c r="AH954" s="342"/>
      <c r="AI954" s="342"/>
    </row>
    <row r="955">
      <c r="A955" s="342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P955" s="342"/>
      <c r="Q955" s="342"/>
      <c r="R955" s="342"/>
      <c r="S955" s="342"/>
      <c r="T955" s="342"/>
      <c r="U955" s="342"/>
      <c r="V955" s="342"/>
      <c r="W955" s="342"/>
      <c r="X955" s="342"/>
      <c r="Y955" s="342"/>
      <c r="Z955" s="342"/>
      <c r="AA955" s="342"/>
      <c r="AB955" s="342"/>
      <c r="AC955" s="342"/>
      <c r="AD955" s="342"/>
      <c r="AE955" s="342"/>
      <c r="AF955" s="342"/>
      <c r="AG955" s="342"/>
      <c r="AH955" s="342"/>
      <c r="AI955" s="342"/>
    </row>
    <row r="956">
      <c r="A956" s="342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P956" s="342"/>
      <c r="Q956" s="342"/>
      <c r="R956" s="342"/>
      <c r="S956" s="342"/>
      <c r="T956" s="342"/>
      <c r="U956" s="342"/>
      <c r="V956" s="342"/>
      <c r="W956" s="342"/>
      <c r="X956" s="342"/>
      <c r="Y956" s="342"/>
      <c r="Z956" s="342"/>
      <c r="AA956" s="342"/>
      <c r="AB956" s="342"/>
      <c r="AC956" s="342"/>
      <c r="AD956" s="342"/>
      <c r="AE956" s="342"/>
      <c r="AF956" s="342"/>
      <c r="AG956" s="342"/>
      <c r="AH956" s="342"/>
      <c r="AI956" s="342"/>
    </row>
    <row r="957">
      <c r="A957" s="342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P957" s="342"/>
      <c r="Q957" s="342"/>
      <c r="R957" s="342"/>
      <c r="S957" s="342"/>
      <c r="T957" s="342"/>
      <c r="U957" s="342"/>
      <c r="V957" s="342"/>
      <c r="W957" s="342"/>
      <c r="X957" s="342"/>
      <c r="Y957" s="342"/>
      <c r="Z957" s="342"/>
      <c r="AA957" s="342"/>
      <c r="AB957" s="342"/>
      <c r="AC957" s="342"/>
      <c r="AD957" s="342"/>
      <c r="AE957" s="342"/>
      <c r="AF957" s="342"/>
      <c r="AG957" s="342"/>
      <c r="AH957" s="342"/>
      <c r="AI957" s="342"/>
    </row>
    <row r="958">
      <c r="A958" s="342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P958" s="342"/>
      <c r="Q958" s="342"/>
      <c r="R958" s="342"/>
      <c r="S958" s="342"/>
      <c r="T958" s="342"/>
      <c r="U958" s="342"/>
      <c r="V958" s="342"/>
      <c r="W958" s="342"/>
      <c r="X958" s="342"/>
      <c r="Y958" s="342"/>
      <c r="Z958" s="342"/>
      <c r="AA958" s="342"/>
      <c r="AB958" s="342"/>
      <c r="AC958" s="342"/>
      <c r="AD958" s="342"/>
      <c r="AE958" s="342"/>
      <c r="AF958" s="342"/>
      <c r="AG958" s="342"/>
      <c r="AH958" s="342"/>
      <c r="AI958" s="342"/>
    </row>
    <row r="959">
      <c r="A959" s="342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P959" s="342"/>
      <c r="Q959" s="342"/>
      <c r="R959" s="342"/>
      <c r="S959" s="342"/>
      <c r="T959" s="342"/>
      <c r="U959" s="342"/>
      <c r="V959" s="342"/>
      <c r="W959" s="342"/>
      <c r="X959" s="342"/>
      <c r="Y959" s="342"/>
      <c r="Z959" s="342"/>
      <c r="AA959" s="342"/>
      <c r="AB959" s="342"/>
      <c r="AC959" s="342"/>
      <c r="AD959" s="342"/>
      <c r="AE959" s="342"/>
      <c r="AF959" s="342"/>
      <c r="AG959" s="342"/>
      <c r="AH959" s="342"/>
      <c r="AI959" s="342"/>
    </row>
    <row r="960">
      <c r="A960" s="342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P960" s="342"/>
      <c r="Q960" s="342"/>
      <c r="R960" s="342"/>
      <c r="S960" s="342"/>
      <c r="T960" s="342"/>
      <c r="U960" s="342"/>
      <c r="V960" s="342"/>
      <c r="W960" s="342"/>
      <c r="X960" s="342"/>
      <c r="Y960" s="342"/>
      <c r="Z960" s="342"/>
      <c r="AA960" s="342"/>
      <c r="AB960" s="342"/>
      <c r="AC960" s="342"/>
      <c r="AD960" s="342"/>
      <c r="AE960" s="342"/>
      <c r="AF960" s="342"/>
      <c r="AG960" s="342"/>
      <c r="AH960" s="342"/>
      <c r="AI960" s="342"/>
    </row>
    <row r="961">
      <c r="A961" s="342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P961" s="342"/>
      <c r="Q961" s="342"/>
      <c r="R961" s="342"/>
      <c r="S961" s="342"/>
      <c r="T961" s="342"/>
      <c r="U961" s="342"/>
      <c r="V961" s="342"/>
      <c r="W961" s="342"/>
      <c r="X961" s="342"/>
      <c r="Y961" s="342"/>
      <c r="Z961" s="342"/>
      <c r="AA961" s="342"/>
      <c r="AB961" s="342"/>
      <c r="AC961" s="342"/>
      <c r="AD961" s="342"/>
      <c r="AE961" s="342"/>
      <c r="AF961" s="342"/>
      <c r="AG961" s="342"/>
      <c r="AH961" s="342"/>
      <c r="AI961" s="342"/>
    </row>
    <row r="962">
      <c r="A962" s="342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P962" s="342"/>
      <c r="Q962" s="342"/>
      <c r="R962" s="342"/>
      <c r="S962" s="342"/>
      <c r="T962" s="342"/>
      <c r="U962" s="342"/>
      <c r="V962" s="342"/>
      <c r="W962" s="342"/>
      <c r="X962" s="342"/>
      <c r="Y962" s="342"/>
      <c r="Z962" s="342"/>
      <c r="AA962" s="342"/>
      <c r="AB962" s="342"/>
      <c r="AC962" s="342"/>
      <c r="AD962" s="342"/>
      <c r="AE962" s="342"/>
      <c r="AF962" s="342"/>
      <c r="AG962" s="342"/>
      <c r="AH962" s="342"/>
      <c r="AI962" s="342"/>
    </row>
    <row r="963">
      <c r="A963" s="342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P963" s="342"/>
      <c r="Q963" s="342"/>
      <c r="R963" s="342"/>
      <c r="S963" s="342"/>
      <c r="T963" s="342"/>
      <c r="U963" s="342"/>
      <c r="V963" s="342"/>
      <c r="W963" s="342"/>
      <c r="X963" s="342"/>
      <c r="Y963" s="342"/>
      <c r="Z963" s="342"/>
      <c r="AA963" s="342"/>
      <c r="AB963" s="342"/>
      <c r="AC963" s="342"/>
      <c r="AD963" s="342"/>
      <c r="AE963" s="342"/>
      <c r="AF963" s="342"/>
      <c r="AG963" s="342"/>
      <c r="AH963" s="342"/>
      <c r="AI963" s="342"/>
    </row>
    <row r="964">
      <c r="A964" s="342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P964" s="342"/>
      <c r="Q964" s="342"/>
      <c r="R964" s="342"/>
      <c r="S964" s="342"/>
      <c r="T964" s="342"/>
      <c r="U964" s="342"/>
      <c r="V964" s="342"/>
      <c r="W964" s="342"/>
      <c r="X964" s="342"/>
      <c r="Y964" s="342"/>
      <c r="Z964" s="342"/>
      <c r="AA964" s="342"/>
      <c r="AB964" s="342"/>
      <c r="AC964" s="342"/>
      <c r="AD964" s="342"/>
      <c r="AE964" s="342"/>
      <c r="AF964" s="342"/>
      <c r="AG964" s="342"/>
      <c r="AH964" s="342"/>
      <c r="AI964" s="342"/>
    </row>
    <row r="965">
      <c r="A965" s="342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P965" s="342"/>
      <c r="Q965" s="342"/>
      <c r="R965" s="342"/>
      <c r="S965" s="342"/>
      <c r="T965" s="342"/>
      <c r="U965" s="342"/>
      <c r="V965" s="342"/>
      <c r="W965" s="342"/>
      <c r="X965" s="342"/>
      <c r="Y965" s="342"/>
      <c r="Z965" s="342"/>
      <c r="AA965" s="342"/>
      <c r="AB965" s="342"/>
      <c r="AC965" s="342"/>
      <c r="AD965" s="342"/>
      <c r="AE965" s="342"/>
      <c r="AF965" s="342"/>
      <c r="AG965" s="342"/>
      <c r="AH965" s="342"/>
      <c r="AI965" s="342"/>
    </row>
    <row r="966">
      <c r="A966" s="342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P966" s="342"/>
      <c r="Q966" s="342"/>
      <c r="R966" s="342"/>
      <c r="S966" s="342"/>
      <c r="T966" s="342"/>
      <c r="U966" s="342"/>
      <c r="V966" s="342"/>
      <c r="W966" s="342"/>
      <c r="X966" s="342"/>
      <c r="Y966" s="342"/>
      <c r="Z966" s="342"/>
      <c r="AA966" s="342"/>
      <c r="AB966" s="342"/>
      <c r="AC966" s="342"/>
      <c r="AD966" s="342"/>
      <c r="AE966" s="342"/>
      <c r="AF966" s="342"/>
      <c r="AG966" s="342"/>
      <c r="AH966" s="342"/>
      <c r="AI966" s="342"/>
    </row>
    <row r="967">
      <c r="A967" s="342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P967" s="342"/>
      <c r="Q967" s="342"/>
      <c r="R967" s="342"/>
      <c r="S967" s="342"/>
      <c r="T967" s="342"/>
      <c r="U967" s="342"/>
      <c r="V967" s="342"/>
      <c r="W967" s="342"/>
      <c r="X967" s="342"/>
      <c r="Y967" s="342"/>
      <c r="Z967" s="342"/>
      <c r="AA967" s="342"/>
      <c r="AB967" s="342"/>
      <c r="AC967" s="342"/>
      <c r="AD967" s="342"/>
      <c r="AE967" s="342"/>
      <c r="AF967" s="342"/>
      <c r="AG967" s="342"/>
      <c r="AH967" s="342"/>
      <c r="AI967" s="342"/>
    </row>
    <row r="968">
      <c r="A968" s="342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P968" s="342"/>
      <c r="Q968" s="342"/>
      <c r="R968" s="342"/>
      <c r="S968" s="342"/>
      <c r="T968" s="342"/>
      <c r="U968" s="342"/>
      <c r="V968" s="342"/>
      <c r="W968" s="342"/>
      <c r="X968" s="342"/>
      <c r="Y968" s="342"/>
      <c r="Z968" s="342"/>
      <c r="AA968" s="342"/>
      <c r="AB968" s="342"/>
      <c r="AC968" s="342"/>
      <c r="AD968" s="342"/>
      <c r="AE968" s="342"/>
      <c r="AF968" s="342"/>
      <c r="AG968" s="342"/>
      <c r="AH968" s="342"/>
      <c r="AI968" s="342"/>
    </row>
    <row r="969">
      <c r="A969" s="342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P969" s="342"/>
      <c r="Q969" s="342"/>
      <c r="R969" s="342"/>
      <c r="S969" s="342"/>
      <c r="T969" s="342"/>
      <c r="U969" s="342"/>
      <c r="V969" s="342"/>
      <c r="W969" s="342"/>
      <c r="X969" s="342"/>
      <c r="Y969" s="342"/>
      <c r="Z969" s="342"/>
      <c r="AA969" s="342"/>
      <c r="AB969" s="342"/>
      <c r="AC969" s="342"/>
      <c r="AD969" s="342"/>
      <c r="AE969" s="342"/>
      <c r="AF969" s="342"/>
      <c r="AG969" s="342"/>
      <c r="AH969" s="342"/>
      <c r="AI969" s="342"/>
    </row>
    <row r="970">
      <c r="A970" s="342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P970" s="342"/>
      <c r="Q970" s="342"/>
      <c r="R970" s="342"/>
      <c r="S970" s="342"/>
      <c r="T970" s="342"/>
      <c r="U970" s="342"/>
      <c r="V970" s="342"/>
      <c r="W970" s="342"/>
      <c r="X970" s="342"/>
      <c r="Y970" s="342"/>
      <c r="Z970" s="342"/>
      <c r="AA970" s="342"/>
      <c r="AB970" s="342"/>
      <c r="AC970" s="342"/>
      <c r="AD970" s="342"/>
      <c r="AE970" s="342"/>
      <c r="AF970" s="342"/>
      <c r="AG970" s="342"/>
      <c r="AH970" s="342"/>
      <c r="AI970" s="342"/>
    </row>
    <row r="971">
      <c r="A971" s="342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P971" s="342"/>
      <c r="Q971" s="342"/>
      <c r="R971" s="342"/>
      <c r="S971" s="342"/>
      <c r="T971" s="342"/>
      <c r="U971" s="342"/>
      <c r="V971" s="342"/>
      <c r="W971" s="342"/>
      <c r="X971" s="342"/>
      <c r="Y971" s="342"/>
      <c r="Z971" s="342"/>
      <c r="AA971" s="342"/>
      <c r="AB971" s="342"/>
      <c r="AC971" s="342"/>
      <c r="AD971" s="342"/>
      <c r="AE971" s="342"/>
      <c r="AF971" s="342"/>
      <c r="AG971" s="342"/>
      <c r="AH971" s="342"/>
      <c r="AI971" s="342"/>
    </row>
    <row r="972">
      <c r="A972" s="342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P972" s="342"/>
      <c r="Q972" s="342"/>
      <c r="R972" s="342"/>
      <c r="S972" s="342"/>
      <c r="T972" s="342"/>
      <c r="U972" s="342"/>
      <c r="V972" s="342"/>
      <c r="W972" s="342"/>
      <c r="X972" s="342"/>
      <c r="Y972" s="342"/>
      <c r="Z972" s="342"/>
      <c r="AA972" s="342"/>
      <c r="AB972" s="342"/>
      <c r="AC972" s="342"/>
      <c r="AD972" s="342"/>
      <c r="AE972" s="342"/>
      <c r="AF972" s="342"/>
      <c r="AG972" s="342"/>
      <c r="AH972" s="342"/>
      <c r="AI972" s="342"/>
    </row>
    <row r="973">
      <c r="A973" s="342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P973" s="342"/>
      <c r="Q973" s="342"/>
      <c r="R973" s="342"/>
      <c r="S973" s="342"/>
      <c r="T973" s="342"/>
      <c r="U973" s="342"/>
      <c r="V973" s="342"/>
      <c r="W973" s="342"/>
      <c r="X973" s="342"/>
      <c r="Y973" s="342"/>
      <c r="Z973" s="342"/>
      <c r="AA973" s="342"/>
      <c r="AB973" s="342"/>
      <c r="AC973" s="342"/>
      <c r="AD973" s="342"/>
      <c r="AE973" s="342"/>
      <c r="AF973" s="342"/>
      <c r="AG973" s="342"/>
      <c r="AH973" s="342"/>
      <c r="AI973" s="342"/>
    </row>
    <row r="974">
      <c r="A974" s="342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P974" s="342"/>
      <c r="Q974" s="342"/>
      <c r="R974" s="342"/>
      <c r="S974" s="342"/>
      <c r="T974" s="342"/>
      <c r="U974" s="342"/>
      <c r="V974" s="342"/>
      <c r="W974" s="342"/>
      <c r="X974" s="342"/>
      <c r="Y974" s="342"/>
      <c r="Z974" s="342"/>
      <c r="AA974" s="342"/>
      <c r="AB974" s="342"/>
      <c r="AC974" s="342"/>
      <c r="AD974" s="342"/>
      <c r="AE974" s="342"/>
      <c r="AF974" s="342"/>
      <c r="AG974" s="342"/>
      <c r="AH974" s="342"/>
      <c r="AI974" s="342"/>
    </row>
    <row r="975">
      <c r="A975" s="342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P975" s="342"/>
      <c r="Q975" s="342"/>
      <c r="R975" s="342"/>
      <c r="S975" s="342"/>
      <c r="T975" s="342"/>
      <c r="U975" s="342"/>
      <c r="V975" s="342"/>
      <c r="W975" s="342"/>
      <c r="X975" s="342"/>
      <c r="Y975" s="342"/>
      <c r="Z975" s="342"/>
      <c r="AA975" s="342"/>
      <c r="AB975" s="342"/>
      <c r="AC975" s="342"/>
      <c r="AD975" s="342"/>
      <c r="AE975" s="342"/>
      <c r="AF975" s="342"/>
      <c r="AG975" s="342"/>
      <c r="AH975" s="342"/>
      <c r="AI975" s="342"/>
    </row>
    <row r="976">
      <c r="A976" s="342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P976" s="342"/>
      <c r="Q976" s="342"/>
      <c r="R976" s="342"/>
      <c r="S976" s="342"/>
      <c r="T976" s="342"/>
      <c r="U976" s="342"/>
      <c r="V976" s="342"/>
      <c r="W976" s="342"/>
      <c r="X976" s="342"/>
      <c r="Y976" s="342"/>
      <c r="Z976" s="342"/>
      <c r="AA976" s="342"/>
      <c r="AB976" s="342"/>
      <c r="AC976" s="342"/>
      <c r="AD976" s="342"/>
      <c r="AE976" s="342"/>
      <c r="AF976" s="342"/>
      <c r="AG976" s="342"/>
      <c r="AH976" s="342"/>
      <c r="AI976" s="342"/>
    </row>
    <row r="977">
      <c r="A977" s="342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P977" s="342"/>
      <c r="Q977" s="342"/>
      <c r="R977" s="342"/>
      <c r="S977" s="342"/>
      <c r="T977" s="342"/>
      <c r="U977" s="342"/>
      <c r="V977" s="342"/>
      <c r="W977" s="342"/>
      <c r="X977" s="342"/>
      <c r="Y977" s="342"/>
      <c r="Z977" s="342"/>
      <c r="AA977" s="342"/>
      <c r="AB977" s="342"/>
      <c r="AC977" s="342"/>
      <c r="AD977" s="342"/>
      <c r="AE977" s="342"/>
      <c r="AF977" s="342"/>
      <c r="AG977" s="342"/>
      <c r="AH977" s="342"/>
      <c r="AI977" s="342"/>
    </row>
    <row r="978">
      <c r="A978" s="342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P978" s="342"/>
      <c r="Q978" s="342"/>
      <c r="R978" s="342"/>
      <c r="S978" s="342"/>
      <c r="T978" s="342"/>
      <c r="U978" s="342"/>
      <c r="V978" s="342"/>
      <c r="W978" s="342"/>
      <c r="X978" s="342"/>
      <c r="Y978" s="342"/>
      <c r="Z978" s="342"/>
      <c r="AA978" s="342"/>
      <c r="AB978" s="342"/>
      <c r="AC978" s="342"/>
      <c r="AD978" s="342"/>
      <c r="AE978" s="342"/>
      <c r="AF978" s="342"/>
      <c r="AG978" s="342"/>
      <c r="AH978" s="342"/>
      <c r="AI978" s="342"/>
    </row>
    <row r="979">
      <c r="A979" s="342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P979" s="342"/>
      <c r="Q979" s="342"/>
      <c r="R979" s="342"/>
      <c r="S979" s="342"/>
      <c r="T979" s="342"/>
      <c r="U979" s="342"/>
      <c r="V979" s="342"/>
      <c r="W979" s="342"/>
      <c r="X979" s="342"/>
      <c r="Y979" s="342"/>
      <c r="Z979" s="342"/>
      <c r="AA979" s="342"/>
      <c r="AB979" s="342"/>
      <c r="AC979" s="342"/>
      <c r="AD979" s="342"/>
      <c r="AE979" s="342"/>
      <c r="AF979" s="342"/>
      <c r="AG979" s="342"/>
      <c r="AH979" s="342"/>
      <c r="AI979" s="342"/>
    </row>
    <row r="980">
      <c r="A980" s="342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P980" s="342"/>
      <c r="Q980" s="342"/>
      <c r="R980" s="342"/>
      <c r="S980" s="342"/>
      <c r="T980" s="342"/>
      <c r="U980" s="342"/>
      <c r="V980" s="342"/>
      <c r="W980" s="342"/>
      <c r="X980" s="342"/>
      <c r="Y980" s="342"/>
      <c r="Z980" s="342"/>
      <c r="AA980" s="342"/>
      <c r="AB980" s="342"/>
      <c r="AC980" s="342"/>
      <c r="AD980" s="342"/>
      <c r="AE980" s="342"/>
      <c r="AF980" s="342"/>
      <c r="AG980" s="342"/>
      <c r="AH980" s="342"/>
      <c r="AI980" s="342"/>
    </row>
    <row r="981">
      <c r="A981" s="342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P981" s="342"/>
      <c r="Q981" s="342"/>
      <c r="R981" s="342"/>
      <c r="S981" s="342"/>
      <c r="T981" s="342"/>
      <c r="U981" s="342"/>
      <c r="V981" s="342"/>
      <c r="W981" s="342"/>
      <c r="X981" s="342"/>
      <c r="Y981" s="342"/>
      <c r="Z981" s="342"/>
      <c r="AA981" s="342"/>
      <c r="AB981" s="342"/>
      <c r="AC981" s="342"/>
      <c r="AD981" s="342"/>
      <c r="AE981" s="342"/>
      <c r="AF981" s="342"/>
      <c r="AG981" s="342"/>
      <c r="AH981" s="342"/>
      <c r="AI981" s="342"/>
    </row>
    <row r="982">
      <c r="A982" s="342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P982" s="342"/>
      <c r="Q982" s="342"/>
      <c r="R982" s="342"/>
      <c r="S982" s="342"/>
      <c r="T982" s="342"/>
      <c r="U982" s="342"/>
      <c r="V982" s="342"/>
      <c r="W982" s="342"/>
      <c r="X982" s="342"/>
      <c r="Y982" s="342"/>
      <c r="Z982" s="342"/>
      <c r="AA982" s="342"/>
      <c r="AB982" s="342"/>
      <c r="AC982" s="342"/>
      <c r="AD982" s="342"/>
      <c r="AE982" s="342"/>
      <c r="AF982" s="342"/>
      <c r="AG982" s="342"/>
      <c r="AH982" s="342"/>
      <c r="AI982" s="342"/>
    </row>
    <row r="983">
      <c r="A983" s="342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P983" s="342"/>
      <c r="Q983" s="342"/>
      <c r="R983" s="342"/>
      <c r="S983" s="342"/>
      <c r="T983" s="342"/>
      <c r="U983" s="342"/>
      <c r="V983" s="342"/>
      <c r="W983" s="342"/>
      <c r="X983" s="342"/>
      <c r="Y983" s="342"/>
      <c r="Z983" s="342"/>
      <c r="AA983" s="342"/>
      <c r="AB983" s="342"/>
      <c r="AC983" s="342"/>
      <c r="AD983" s="342"/>
      <c r="AE983" s="342"/>
      <c r="AF983" s="342"/>
      <c r="AG983" s="342"/>
      <c r="AH983" s="342"/>
      <c r="AI983" s="342"/>
    </row>
    <row r="984">
      <c r="A984" s="342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P984" s="342"/>
      <c r="Q984" s="342"/>
      <c r="R984" s="342"/>
      <c r="S984" s="342"/>
      <c r="T984" s="342"/>
      <c r="U984" s="342"/>
      <c r="V984" s="342"/>
      <c r="W984" s="342"/>
      <c r="X984" s="342"/>
      <c r="Y984" s="342"/>
      <c r="Z984" s="342"/>
      <c r="AA984" s="342"/>
      <c r="AB984" s="342"/>
      <c r="AC984" s="342"/>
      <c r="AD984" s="342"/>
      <c r="AE984" s="342"/>
      <c r="AF984" s="342"/>
      <c r="AG984" s="342"/>
      <c r="AH984" s="342"/>
      <c r="AI984" s="342"/>
    </row>
    <row r="985">
      <c r="A985" s="342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P985" s="342"/>
      <c r="Q985" s="342"/>
      <c r="R985" s="342"/>
      <c r="S985" s="342"/>
      <c r="T985" s="342"/>
      <c r="U985" s="342"/>
      <c r="V985" s="342"/>
      <c r="W985" s="342"/>
      <c r="X985" s="342"/>
      <c r="Y985" s="342"/>
      <c r="Z985" s="342"/>
      <c r="AA985" s="342"/>
      <c r="AB985" s="342"/>
      <c r="AC985" s="342"/>
      <c r="AD985" s="342"/>
      <c r="AE985" s="342"/>
      <c r="AF985" s="342"/>
      <c r="AG985" s="342"/>
      <c r="AH985" s="342"/>
      <c r="AI985" s="342"/>
    </row>
    <row r="986">
      <c r="A986" s="342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P986" s="342"/>
      <c r="Q986" s="342"/>
      <c r="R986" s="342"/>
      <c r="S986" s="342"/>
      <c r="T986" s="342"/>
      <c r="U986" s="342"/>
      <c r="V986" s="342"/>
      <c r="W986" s="342"/>
      <c r="X986" s="342"/>
      <c r="Y986" s="342"/>
      <c r="Z986" s="342"/>
      <c r="AA986" s="342"/>
      <c r="AB986" s="342"/>
      <c r="AC986" s="342"/>
      <c r="AD986" s="342"/>
      <c r="AE986" s="342"/>
      <c r="AF986" s="342"/>
      <c r="AG986" s="342"/>
      <c r="AH986" s="342"/>
      <c r="AI986" s="342"/>
    </row>
    <row r="987">
      <c r="A987" s="342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P987" s="342"/>
      <c r="Q987" s="342"/>
      <c r="R987" s="342"/>
      <c r="S987" s="342"/>
      <c r="T987" s="342"/>
      <c r="U987" s="342"/>
      <c r="V987" s="342"/>
      <c r="W987" s="342"/>
      <c r="X987" s="342"/>
      <c r="Y987" s="342"/>
      <c r="Z987" s="342"/>
      <c r="AA987" s="342"/>
      <c r="AB987" s="342"/>
      <c r="AC987" s="342"/>
      <c r="AD987" s="342"/>
      <c r="AE987" s="342"/>
      <c r="AF987" s="342"/>
      <c r="AG987" s="342"/>
      <c r="AH987" s="342"/>
      <c r="AI987" s="342"/>
    </row>
    <row r="988">
      <c r="A988" s="342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P988" s="342"/>
      <c r="Q988" s="342"/>
      <c r="R988" s="342"/>
      <c r="S988" s="342"/>
      <c r="T988" s="342"/>
      <c r="U988" s="342"/>
      <c r="V988" s="342"/>
      <c r="W988" s="342"/>
      <c r="X988" s="342"/>
      <c r="Y988" s="342"/>
      <c r="Z988" s="342"/>
      <c r="AA988" s="342"/>
      <c r="AB988" s="342"/>
      <c r="AC988" s="342"/>
      <c r="AD988" s="342"/>
      <c r="AE988" s="342"/>
      <c r="AF988" s="342"/>
      <c r="AG988" s="342"/>
      <c r="AH988" s="342"/>
      <c r="AI988" s="342"/>
    </row>
    <row r="989">
      <c r="A989" s="342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P989" s="342"/>
      <c r="Q989" s="342"/>
      <c r="R989" s="342"/>
      <c r="S989" s="342"/>
      <c r="T989" s="342"/>
      <c r="U989" s="342"/>
      <c r="V989" s="342"/>
      <c r="W989" s="342"/>
      <c r="X989" s="342"/>
      <c r="Y989" s="342"/>
      <c r="Z989" s="342"/>
      <c r="AA989" s="342"/>
      <c r="AB989" s="342"/>
      <c r="AC989" s="342"/>
      <c r="AD989" s="342"/>
      <c r="AE989" s="342"/>
      <c r="AF989" s="342"/>
      <c r="AG989" s="342"/>
      <c r="AH989" s="342"/>
      <c r="AI989" s="342"/>
    </row>
    <row r="990">
      <c r="A990" s="342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P990" s="342"/>
      <c r="Q990" s="342"/>
      <c r="R990" s="342"/>
      <c r="S990" s="342"/>
      <c r="T990" s="342"/>
      <c r="U990" s="342"/>
      <c r="V990" s="342"/>
      <c r="W990" s="342"/>
      <c r="X990" s="342"/>
      <c r="Y990" s="342"/>
      <c r="Z990" s="342"/>
      <c r="AA990" s="342"/>
      <c r="AB990" s="342"/>
      <c r="AC990" s="342"/>
      <c r="AD990" s="342"/>
      <c r="AE990" s="342"/>
      <c r="AF990" s="342"/>
      <c r="AG990" s="342"/>
      <c r="AH990" s="342"/>
      <c r="AI990" s="342"/>
    </row>
    <row r="991">
      <c r="A991" s="342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P991" s="342"/>
      <c r="Q991" s="342"/>
      <c r="R991" s="342"/>
      <c r="S991" s="342"/>
      <c r="T991" s="342"/>
      <c r="U991" s="342"/>
      <c r="V991" s="342"/>
      <c r="W991" s="342"/>
      <c r="X991" s="342"/>
      <c r="Y991" s="342"/>
      <c r="Z991" s="342"/>
      <c r="AA991" s="342"/>
      <c r="AB991" s="342"/>
      <c r="AC991" s="342"/>
      <c r="AD991" s="342"/>
      <c r="AE991" s="342"/>
      <c r="AF991" s="342"/>
      <c r="AG991" s="342"/>
      <c r="AH991" s="342"/>
      <c r="AI991" s="342"/>
    </row>
    <row r="992">
      <c r="A992" s="342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P992" s="342"/>
      <c r="Q992" s="342"/>
      <c r="R992" s="342"/>
      <c r="S992" s="342"/>
      <c r="T992" s="342"/>
      <c r="U992" s="342"/>
      <c r="V992" s="342"/>
      <c r="W992" s="342"/>
      <c r="X992" s="342"/>
      <c r="Y992" s="342"/>
      <c r="Z992" s="342"/>
      <c r="AA992" s="342"/>
      <c r="AB992" s="342"/>
      <c r="AC992" s="342"/>
      <c r="AD992" s="342"/>
      <c r="AE992" s="342"/>
      <c r="AF992" s="342"/>
      <c r="AG992" s="342"/>
      <c r="AH992" s="342"/>
      <c r="AI992" s="342"/>
    </row>
    <row r="993">
      <c r="A993" s="342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P993" s="342"/>
      <c r="Q993" s="342"/>
      <c r="R993" s="342"/>
      <c r="S993" s="342"/>
      <c r="T993" s="342"/>
      <c r="U993" s="342"/>
      <c r="V993" s="342"/>
      <c r="W993" s="342"/>
      <c r="X993" s="342"/>
      <c r="Y993" s="342"/>
      <c r="Z993" s="342"/>
      <c r="AA993" s="342"/>
      <c r="AB993" s="342"/>
      <c r="AC993" s="342"/>
      <c r="AD993" s="342"/>
      <c r="AE993" s="342"/>
      <c r="AF993" s="342"/>
      <c r="AG993" s="342"/>
      <c r="AH993" s="342"/>
      <c r="AI993" s="342"/>
    </row>
    <row r="994">
      <c r="A994" s="342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P994" s="342"/>
      <c r="Q994" s="342"/>
      <c r="R994" s="342"/>
      <c r="S994" s="342"/>
      <c r="T994" s="342"/>
      <c r="U994" s="342"/>
      <c r="V994" s="342"/>
      <c r="W994" s="342"/>
      <c r="X994" s="342"/>
      <c r="Y994" s="342"/>
      <c r="Z994" s="342"/>
      <c r="AA994" s="342"/>
      <c r="AB994" s="342"/>
      <c r="AC994" s="342"/>
      <c r="AD994" s="342"/>
      <c r="AE994" s="342"/>
      <c r="AF994" s="342"/>
      <c r="AG994" s="342"/>
      <c r="AH994" s="342"/>
      <c r="AI994" s="342"/>
    </row>
    <row r="995">
      <c r="A995" s="342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P995" s="342"/>
      <c r="Q995" s="342"/>
      <c r="R995" s="342"/>
      <c r="S995" s="342"/>
      <c r="T995" s="342"/>
      <c r="U995" s="342"/>
      <c r="V995" s="342"/>
      <c r="W995" s="342"/>
      <c r="X995" s="342"/>
      <c r="Y995" s="342"/>
      <c r="Z995" s="342"/>
      <c r="AA995" s="342"/>
      <c r="AB995" s="342"/>
      <c r="AC995" s="342"/>
      <c r="AD995" s="342"/>
      <c r="AE995" s="342"/>
      <c r="AF995" s="342"/>
      <c r="AG995" s="342"/>
      <c r="AH995" s="342"/>
      <c r="AI995" s="342"/>
    </row>
    <row r="996">
      <c r="A996" s="342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  <c r="AA996" s="342"/>
      <c r="AB996" s="342"/>
      <c r="AC996" s="342"/>
      <c r="AD996" s="342"/>
      <c r="AE996" s="342"/>
      <c r="AF996" s="342"/>
      <c r="AG996" s="342"/>
      <c r="AH996" s="342"/>
      <c r="AI996" s="342"/>
    </row>
    <row r="997">
      <c r="A997" s="342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P997" s="342"/>
      <c r="Q997" s="342"/>
      <c r="R997" s="342"/>
      <c r="S997" s="342"/>
      <c r="T997" s="342"/>
      <c r="U997" s="342"/>
      <c r="V997" s="342"/>
      <c r="W997" s="342"/>
      <c r="X997" s="342"/>
      <c r="Y997" s="342"/>
      <c r="Z997" s="342"/>
      <c r="AA997" s="342"/>
      <c r="AB997" s="342"/>
      <c r="AC997" s="342"/>
      <c r="AD997" s="342"/>
      <c r="AE997" s="342"/>
      <c r="AF997" s="342"/>
      <c r="AG997" s="342"/>
      <c r="AH997" s="342"/>
      <c r="AI997" s="342"/>
    </row>
    <row r="998">
      <c r="A998" s="342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P998" s="342"/>
      <c r="Q998" s="342"/>
      <c r="R998" s="342"/>
      <c r="S998" s="342"/>
      <c r="T998" s="342"/>
      <c r="U998" s="342"/>
      <c r="V998" s="342"/>
      <c r="W998" s="342"/>
      <c r="X998" s="342"/>
      <c r="Y998" s="342"/>
      <c r="Z998" s="342"/>
      <c r="AA998" s="342"/>
      <c r="AB998" s="342"/>
      <c r="AC998" s="342"/>
      <c r="AD998" s="342"/>
      <c r="AE998" s="342"/>
      <c r="AF998" s="342"/>
      <c r="AG998" s="342"/>
      <c r="AH998" s="342"/>
      <c r="AI998" s="342"/>
    </row>
    <row r="999">
      <c r="A999" s="342"/>
      <c r="B999" s="342"/>
      <c r="C999" s="342"/>
      <c r="D999" s="342"/>
      <c r="E999" s="342"/>
      <c r="F999" s="342"/>
      <c r="G999" s="342"/>
      <c r="H999" s="342"/>
      <c r="I999" s="342"/>
      <c r="J999" s="342"/>
      <c r="K999" s="342"/>
      <c r="L999" s="342"/>
      <c r="M999" s="342"/>
      <c r="N999" s="342"/>
      <c r="O999" s="342"/>
      <c r="P999" s="342"/>
      <c r="Q999" s="342"/>
      <c r="R999" s="342"/>
      <c r="S999" s="342"/>
      <c r="T999" s="342"/>
      <c r="U999" s="342"/>
      <c r="V999" s="342"/>
      <c r="W999" s="342"/>
      <c r="X999" s="342"/>
      <c r="Y999" s="342"/>
      <c r="Z999" s="342"/>
      <c r="AA999" s="342"/>
      <c r="AB999" s="342"/>
      <c r="AC999" s="342"/>
      <c r="AD999" s="342"/>
      <c r="AE999" s="342"/>
      <c r="AF999" s="342"/>
      <c r="AG999" s="342"/>
      <c r="AH999" s="342"/>
      <c r="AI999" s="342"/>
    </row>
    <row r="1000">
      <c r="A1000" s="342"/>
      <c r="B1000" s="342"/>
      <c r="C1000" s="342"/>
      <c r="D1000" s="342"/>
      <c r="E1000" s="342"/>
      <c r="F1000" s="342"/>
      <c r="G1000" s="342"/>
      <c r="H1000" s="342"/>
      <c r="I1000" s="342"/>
      <c r="J1000" s="342"/>
      <c r="K1000" s="342"/>
      <c r="L1000" s="342"/>
      <c r="M1000" s="342"/>
      <c r="N1000" s="342"/>
      <c r="O1000" s="342"/>
      <c r="P1000" s="342"/>
      <c r="Q1000" s="342"/>
      <c r="R1000" s="342"/>
      <c r="S1000" s="342"/>
      <c r="T1000" s="342"/>
      <c r="U1000" s="342"/>
      <c r="V1000" s="342"/>
      <c r="W1000" s="342"/>
      <c r="X1000" s="342"/>
      <c r="Y1000" s="342"/>
      <c r="Z1000" s="342"/>
      <c r="AA1000" s="342"/>
      <c r="AB1000" s="342"/>
      <c r="AC1000" s="342"/>
      <c r="AD1000" s="342"/>
      <c r="AE1000" s="342"/>
      <c r="AF1000" s="342"/>
      <c r="AG1000" s="342"/>
      <c r="AH1000" s="342"/>
      <c r="AI1000" s="342"/>
    </row>
  </sheetData>
  <mergeCells count="37">
    <mergeCell ref="Q28:T30"/>
    <mergeCell ref="U28:X30"/>
    <mergeCell ref="Y28:AB30"/>
    <mergeCell ref="B3:AF3"/>
    <mergeCell ref="A7:AH7"/>
    <mergeCell ref="A8:A9"/>
    <mergeCell ref="B8:B9"/>
    <mergeCell ref="C27:P27"/>
    <mergeCell ref="Q27:AB27"/>
    <mergeCell ref="C28:P28"/>
    <mergeCell ref="C29:P29"/>
    <mergeCell ref="C30:P30"/>
    <mergeCell ref="B32:Y32"/>
    <mergeCell ref="B33:T33"/>
    <mergeCell ref="A36:F36"/>
    <mergeCell ref="G36:AD36"/>
    <mergeCell ref="C37:F37"/>
    <mergeCell ref="W37:AD37"/>
    <mergeCell ref="C40:F40"/>
    <mergeCell ref="A41:F41"/>
    <mergeCell ref="C45:F45"/>
    <mergeCell ref="G37:N37"/>
    <mergeCell ref="O37:V37"/>
    <mergeCell ref="C38:F38"/>
    <mergeCell ref="G38:N43"/>
    <mergeCell ref="O38:V43"/>
    <mergeCell ref="W38:AD43"/>
    <mergeCell ref="C39:F39"/>
    <mergeCell ref="O45:V45"/>
    <mergeCell ref="W45:AD45"/>
    <mergeCell ref="C42:F42"/>
    <mergeCell ref="C43:F43"/>
    <mergeCell ref="C44:F44"/>
    <mergeCell ref="G44:N44"/>
    <mergeCell ref="O44:V44"/>
    <mergeCell ref="W44:AD44"/>
    <mergeCell ref="G45:N45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3.71"/>
    <col customWidth="1" min="3" max="3" width="5.57"/>
    <col customWidth="1" min="4" max="34" width="6.29"/>
  </cols>
  <sheetData>
    <row r="1">
      <c r="A1" s="449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</row>
    <row r="2">
      <c r="A2" s="417"/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2"/>
      <c r="AE2" s="342"/>
      <c r="AF2" s="342"/>
      <c r="AG2" s="342"/>
      <c r="AH2" s="342"/>
      <c r="AI2" s="342"/>
    </row>
    <row r="3">
      <c r="A3" s="417"/>
      <c r="B3" s="418" t="s">
        <v>475</v>
      </c>
      <c r="AG3" s="342"/>
      <c r="AH3" s="342"/>
      <c r="AI3" s="342"/>
    </row>
    <row r="4">
      <c r="A4" s="417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2"/>
      <c r="AD4" s="342"/>
      <c r="AE4" s="342"/>
      <c r="AF4" s="342"/>
      <c r="AG4" s="342"/>
      <c r="AH4" s="342"/>
      <c r="AI4" s="342"/>
    </row>
    <row r="5">
      <c r="A5" s="417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342"/>
      <c r="AG5" s="342"/>
      <c r="AH5" s="342"/>
      <c r="AI5" s="342"/>
    </row>
    <row r="6">
      <c r="A6" s="417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2"/>
      <c r="AF6" s="342"/>
      <c r="AG6" s="342"/>
      <c r="AH6" s="342"/>
      <c r="AI6" s="342"/>
    </row>
    <row r="7">
      <c r="A7" s="420">
        <v>46113.0</v>
      </c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2"/>
    </row>
    <row r="8">
      <c r="A8" s="423" t="s">
        <v>438</v>
      </c>
      <c r="B8" s="423" t="s">
        <v>439</v>
      </c>
      <c r="C8" s="424"/>
      <c r="D8" s="425" t="s">
        <v>440</v>
      </c>
      <c r="E8" s="426" t="s">
        <v>441</v>
      </c>
      <c r="F8" s="425" t="s">
        <v>442</v>
      </c>
      <c r="G8" s="426" t="s">
        <v>441</v>
      </c>
      <c r="H8" s="426" t="s">
        <v>441</v>
      </c>
      <c r="I8" s="426" t="s">
        <v>443</v>
      </c>
      <c r="J8" s="426" t="s">
        <v>444</v>
      </c>
      <c r="K8" s="426" t="s">
        <v>440</v>
      </c>
      <c r="L8" s="426" t="s">
        <v>441</v>
      </c>
      <c r="M8" s="427" t="s">
        <v>442</v>
      </c>
      <c r="N8" s="426" t="s">
        <v>441</v>
      </c>
      <c r="O8" s="426" t="s">
        <v>441</v>
      </c>
      <c r="P8" s="426" t="s">
        <v>443</v>
      </c>
      <c r="Q8" s="425" t="s">
        <v>444</v>
      </c>
      <c r="R8" s="426" t="s">
        <v>440</v>
      </c>
      <c r="S8" s="426" t="s">
        <v>441</v>
      </c>
      <c r="T8" s="427" t="s">
        <v>442</v>
      </c>
      <c r="U8" s="426" t="s">
        <v>441</v>
      </c>
      <c r="V8" s="426" t="s">
        <v>441</v>
      </c>
      <c r="W8" s="426" t="s">
        <v>443</v>
      </c>
      <c r="X8" s="426" t="s">
        <v>444</v>
      </c>
      <c r="Y8" s="426" t="s">
        <v>440</v>
      </c>
      <c r="Z8" s="426" t="s">
        <v>441</v>
      </c>
      <c r="AA8" s="427" t="s">
        <v>442</v>
      </c>
      <c r="AB8" s="426" t="s">
        <v>441</v>
      </c>
      <c r="AC8" s="426" t="s">
        <v>441</v>
      </c>
      <c r="AD8" s="425" t="s">
        <v>443</v>
      </c>
      <c r="AE8" s="426" t="s">
        <v>444</v>
      </c>
      <c r="AF8" s="426" t="s">
        <v>440</v>
      </c>
      <c r="AG8" s="426" t="s">
        <v>441</v>
      </c>
      <c r="AH8" s="427" t="s">
        <v>442</v>
      </c>
      <c r="AI8" s="429"/>
    </row>
    <row r="9">
      <c r="A9" s="49"/>
      <c r="B9" s="49"/>
      <c r="C9" s="426">
        <v>28.0</v>
      </c>
      <c r="D9" s="425">
        <v>1.0</v>
      </c>
      <c r="E9" s="426">
        <v>2.0</v>
      </c>
      <c r="F9" s="426">
        <v>3.0</v>
      </c>
      <c r="G9" s="426">
        <v>4.0</v>
      </c>
      <c r="H9" s="426">
        <v>5.0</v>
      </c>
      <c r="I9" s="426">
        <v>6.0</v>
      </c>
      <c r="J9" s="426">
        <v>7.0</v>
      </c>
      <c r="K9" s="426">
        <v>8.0</v>
      </c>
      <c r="L9" s="426">
        <v>9.0</v>
      </c>
      <c r="M9" s="426">
        <v>10.0</v>
      </c>
      <c r="N9" s="426">
        <v>11.0</v>
      </c>
      <c r="O9" s="426">
        <v>12.0</v>
      </c>
      <c r="P9" s="426">
        <v>13.0</v>
      </c>
      <c r="Q9" s="425">
        <v>14.0</v>
      </c>
      <c r="R9" s="426">
        <v>15.0</v>
      </c>
      <c r="S9" s="426">
        <v>16.0</v>
      </c>
      <c r="T9" s="426">
        <v>17.0</v>
      </c>
      <c r="U9" s="426">
        <v>18.0</v>
      </c>
      <c r="V9" s="426">
        <v>19.0</v>
      </c>
      <c r="W9" s="426">
        <v>20.0</v>
      </c>
      <c r="X9" s="426">
        <v>21.0</v>
      </c>
      <c r="Y9" s="426">
        <v>22.0</v>
      </c>
      <c r="Z9" s="426">
        <v>23.0</v>
      </c>
      <c r="AA9" s="426">
        <v>24.0</v>
      </c>
      <c r="AB9" s="426">
        <v>25.0</v>
      </c>
      <c r="AC9" s="426">
        <v>26.0</v>
      </c>
      <c r="AD9" s="425">
        <v>27.0</v>
      </c>
      <c r="AE9" s="426">
        <v>28.0</v>
      </c>
      <c r="AF9" s="426">
        <v>29.0</v>
      </c>
      <c r="AG9" s="426">
        <v>30.0</v>
      </c>
      <c r="AH9" s="426">
        <v>31.0</v>
      </c>
      <c r="AI9" s="429"/>
    </row>
    <row r="10">
      <c r="A10" s="444">
        <v>1.0</v>
      </c>
      <c r="B10" s="494" t="s">
        <v>476</v>
      </c>
      <c r="C10" s="442"/>
      <c r="D10" s="443" t="s">
        <v>441</v>
      </c>
      <c r="E10" s="443" t="s">
        <v>441</v>
      </c>
      <c r="F10" s="495" t="s">
        <v>447</v>
      </c>
      <c r="G10" s="443" t="s">
        <v>446</v>
      </c>
      <c r="H10" s="443" t="s">
        <v>446</v>
      </c>
      <c r="I10" s="443" t="s">
        <v>446</v>
      </c>
      <c r="J10" s="443" t="s">
        <v>446</v>
      </c>
      <c r="K10" s="443" t="s">
        <v>446</v>
      </c>
      <c r="L10" s="443" t="s">
        <v>446</v>
      </c>
      <c r="M10" s="495" t="s">
        <v>447</v>
      </c>
      <c r="N10" s="443" t="s">
        <v>441</v>
      </c>
      <c r="O10" s="443" t="s">
        <v>441</v>
      </c>
      <c r="P10" s="443" t="s">
        <v>441</v>
      </c>
      <c r="Q10" s="443" t="s">
        <v>441</v>
      </c>
      <c r="R10" s="443" t="s">
        <v>441</v>
      </c>
      <c r="S10" s="443" t="s">
        <v>441</v>
      </c>
      <c r="T10" s="443" t="s">
        <v>441</v>
      </c>
      <c r="U10" s="495" t="s">
        <v>447</v>
      </c>
      <c r="V10" s="443" t="s">
        <v>446</v>
      </c>
      <c r="W10" s="443" t="s">
        <v>446</v>
      </c>
      <c r="X10" s="443" t="s">
        <v>446</v>
      </c>
      <c r="Y10" s="443" t="s">
        <v>446</v>
      </c>
      <c r="Z10" s="443" t="s">
        <v>446</v>
      </c>
      <c r="AA10" s="443" t="s">
        <v>441</v>
      </c>
      <c r="AB10" s="443" t="s">
        <v>441</v>
      </c>
      <c r="AC10" s="443" t="s">
        <v>441</v>
      </c>
      <c r="AD10" s="443" t="s">
        <v>441</v>
      </c>
      <c r="AE10" s="443" t="s">
        <v>441</v>
      </c>
      <c r="AF10" s="443" t="s">
        <v>441</v>
      </c>
      <c r="AG10" s="443" t="s">
        <v>441</v>
      </c>
      <c r="AH10" s="495" t="s">
        <v>447</v>
      </c>
      <c r="AI10" s="343" t="str">
        <f>COUNTIF(#REF!,"X")</f>
        <v>#REF!</v>
      </c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342"/>
    </row>
    <row r="12">
      <c r="A12" s="444">
        <v>2.0</v>
      </c>
      <c r="B12" s="496" t="s">
        <v>477</v>
      </c>
      <c r="C12" s="442"/>
      <c r="D12" s="443" t="s">
        <v>446</v>
      </c>
      <c r="E12" s="495" t="s">
        <v>447</v>
      </c>
      <c r="F12" s="443" t="s">
        <v>441</v>
      </c>
      <c r="G12" s="443" t="s">
        <v>441</v>
      </c>
      <c r="H12" s="443" t="s">
        <v>441</v>
      </c>
      <c r="I12" s="443" t="s">
        <v>441</v>
      </c>
      <c r="J12" s="443" t="s">
        <v>441</v>
      </c>
      <c r="K12" s="443" t="s">
        <v>441</v>
      </c>
      <c r="L12" s="495" t="s">
        <v>447</v>
      </c>
      <c r="M12" s="443" t="s">
        <v>446</v>
      </c>
      <c r="N12" s="443" t="s">
        <v>446</v>
      </c>
      <c r="O12" s="444" t="s">
        <v>450</v>
      </c>
      <c r="P12" s="444" t="s">
        <v>450</v>
      </c>
      <c r="Q12" s="444" t="s">
        <v>450</v>
      </c>
      <c r="R12" s="443" t="s">
        <v>446</v>
      </c>
      <c r="S12" s="443" t="s">
        <v>446</v>
      </c>
      <c r="T12" s="495" t="s">
        <v>447</v>
      </c>
      <c r="U12" s="443" t="s">
        <v>441</v>
      </c>
      <c r="V12" s="443" t="s">
        <v>441</v>
      </c>
      <c r="W12" s="443" t="s">
        <v>441</v>
      </c>
      <c r="X12" s="443" t="s">
        <v>441</v>
      </c>
      <c r="Y12" s="443" t="s">
        <v>441</v>
      </c>
      <c r="Z12" s="495" t="s">
        <v>447</v>
      </c>
      <c r="AA12" s="443" t="s">
        <v>446</v>
      </c>
      <c r="AB12" s="444" t="s">
        <v>450</v>
      </c>
      <c r="AC12" s="444" t="s">
        <v>450</v>
      </c>
      <c r="AD12" s="443" t="s">
        <v>446</v>
      </c>
      <c r="AE12" s="443" t="s">
        <v>446</v>
      </c>
      <c r="AF12" s="443" t="s">
        <v>446</v>
      </c>
      <c r="AG12" s="495" t="s">
        <v>447</v>
      </c>
      <c r="AH12" s="443" t="s">
        <v>441</v>
      </c>
      <c r="AI12" s="343" t="str">
        <f>COUNTIF(#REF!,"X")</f>
        <v>#REF!</v>
      </c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440" t="s">
        <v>395</v>
      </c>
      <c r="P13" s="440" t="s">
        <v>395</v>
      </c>
      <c r="Q13" s="440" t="s">
        <v>395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440" t="s">
        <v>395</v>
      </c>
      <c r="AC13" s="440" t="s">
        <v>395</v>
      </c>
      <c r="AD13" s="22"/>
      <c r="AE13" s="22"/>
      <c r="AF13" s="22"/>
      <c r="AG13" s="22"/>
      <c r="AH13" s="22"/>
      <c r="AI13" s="342"/>
    </row>
    <row r="14">
      <c r="A14" s="443">
        <v>3.0</v>
      </c>
      <c r="B14" s="441" t="s">
        <v>451</v>
      </c>
      <c r="C14" s="442"/>
      <c r="D14" s="435" t="s">
        <v>447</v>
      </c>
      <c r="E14" s="443" t="s">
        <v>446</v>
      </c>
      <c r="F14" s="443" t="s">
        <v>446</v>
      </c>
      <c r="G14" s="430" t="s">
        <v>446</v>
      </c>
      <c r="H14" s="430" t="s">
        <v>446</v>
      </c>
      <c r="I14" s="443" t="s">
        <v>441</v>
      </c>
      <c r="J14" s="443" t="s">
        <v>441</v>
      </c>
      <c r="K14" s="435" t="s">
        <v>447</v>
      </c>
      <c r="L14" s="443" t="s">
        <v>441</v>
      </c>
      <c r="M14" s="443" t="s">
        <v>441</v>
      </c>
      <c r="N14" s="430" t="s">
        <v>446</v>
      </c>
      <c r="O14" s="443" t="s">
        <v>441</v>
      </c>
      <c r="P14" s="443" t="s">
        <v>441</v>
      </c>
      <c r="Q14" s="443" t="s">
        <v>441</v>
      </c>
      <c r="R14" s="435" t="s">
        <v>447</v>
      </c>
      <c r="S14" s="443" t="s">
        <v>446</v>
      </c>
      <c r="T14" s="443" t="s">
        <v>446</v>
      </c>
      <c r="U14" s="430" t="s">
        <v>446</v>
      </c>
      <c r="V14" s="430" t="s">
        <v>446</v>
      </c>
      <c r="W14" s="434" t="s">
        <v>441</v>
      </c>
      <c r="X14" s="434" t="s">
        <v>441</v>
      </c>
      <c r="Y14" s="434" t="s">
        <v>441</v>
      </c>
      <c r="Z14" s="443" t="s">
        <v>441</v>
      </c>
      <c r="AA14" s="434" t="s">
        <v>441</v>
      </c>
      <c r="AB14" s="443" t="s">
        <v>441</v>
      </c>
      <c r="AC14" s="443" t="s">
        <v>441</v>
      </c>
      <c r="AD14" s="443" t="s">
        <v>446</v>
      </c>
      <c r="AE14" s="443" t="s">
        <v>446</v>
      </c>
      <c r="AF14" s="435" t="s">
        <v>447</v>
      </c>
      <c r="AG14" s="443" t="s">
        <v>446</v>
      </c>
      <c r="AH14" s="443" t="s">
        <v>446</v>
      </c>
      <c r="AI14" s="343">
        <f>COUNTIF(C10:AH10,"X")</f>
        <v>4</v>
      </c>
    </row>
    <row r="15">
      <c r="A15" s="22"/>
      <c r="B15" s="22"/>
      <c r="C15" s="22"/>
      <c r="D15" s="22"/>
      <c r="E15" s="22"/>
      <c r="F15" s="22"/>
      <c r="G15" s="22"/>
      <c r="H15" s="22"/>
      <c r="I15" s="144"/>
      <c r="J15" s="144"/>
      <c r="K15" s="144"/>
      <c r="L15" s="144"/>
      <c r="M15" s="14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342"/>
    </row>
    <row r="16">
      <c r="A16" s="497"/>
      <c r="B16" s="445"/>
      <c r="C16" s="22"/>
      <c r="D16" s="144"/>
      <c r="E16" s="144"/>
      <c r="F16" s="144"/>
      <c r="G16" s="446"/>
      <c r="H16" s="446"/>
      <c r="I16" s="144"/>
      <c r="J16" s="144"/>
      <c r="K16" s="446"/>
      <c r="L16" s="446"/>
      <c r="M16" s="435"/>
      <c r="N16" s="446"/>
      <c r="O16" s="446"/>
      <c r="P16" s="144"/>
      <c r="Q16" s="144"/>
      <c r="R16" s="435"/>
      <c r="S16" s="144"/>
      <c r="T16" s="144"/>
      <c r="U16" s="144"/>
      <c r="V16" s="144"/>
      <c r="W16" s="144"/>
      <c r="X16" s="144"/>
      <c r="Y16" s="446"/>
      <c r="Z16" s="446"/>
      <c r="AA16" s="435"/>
      <c r="AB16" s="144"/>
      <c r="AC16" s="144"/>
      <c r="AD16" s="446"/>
      <c r="AE16" s="446"/>
      <c r="AF16" s="144"/>
      <c r="AG16" s="144"/>
      <c r="AH16" s="22"/>
      <c r="AI16" s="343">
        <f>COUNTIF(C12:AH12,"X")</f>
        <v>5</v>
      </c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144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342"/>
    </row>
    <row r="18">
      <c r="A18" s="20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343" t="str">
        <f>COUNTIF(#REF!,"X")</f>
        <v>#REF!</v>
      </c>
    </row>
    <row r="19">
      <c r="A19" s="20"/>
      <c r="B19" s="20"/>
      <c r="C19" s="22"/>
      <c r="D19" s="22"/>
      <c r="E19" s="22"/>
      <c r="F19" s="22"/>
      <c r="G19" s="22"/>
      <c r="H19" s="22"/>
      <c r="I19" s="22"/>
      <c r="J19" s="34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342"/>
    </row>
    <row r="20">
      <c r="A20" s="20"/>
      <c r="B20" s="2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343">
        <f>COUNTIF(C20:AH20,"X")</f>
        <v>0</v>
      </c>
    </row>
    <row r="21">
      <c r="A21" s="20"/>
      <c r="B21" s="20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343">
        <f>COUNTIF(D21:AH21,"X")</f>
        <v>0</v>
      </c>
    </row>
    <row r="22">
      <c r="A22" s="342"/>
      <c r="B22" s="342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2"/>
      <c r="AG22" s="342"/>
      <c r="AH22" s="342"/>
      <c r="AI22" s="342"/>
    </row>
    <row r="23">
      <c r="A23" s="342"/>
      <c r="B23" s="447" t="s">
        <v>452</v>
      </c>
      <c r="C23" s="448">
        <f t="shared" ref="C23:AH23" si="1">COUNTIF((C10:C20),"P")</f>
        <v>0</v>
      </c>
      <c r="D23" s="448">
        <f t="shared" si="1"/>
        <v>1</v>
      </c>
      <c r="E23" s="448">
        <f t="shared" si="1"/>
        <v>1</v>
      </c>
      <c r="F23" s="448">
        <f t="shared" si="1"/>
        <v>1</v>
      </c>
      <c r="G23" s="448">
        <f t="shared" si="1"/>
        <v>2</v>
      </c>
      <c r="H23" s="448">
        <f t="shared" si="1"/>
        <v>2</v>
      </c>
      <c r="I23" s="448">
        <f t="shared" si="1"/>
        <v>1</v>
      </c>
      <c r="J23" s="448">
        <f t="shared" si="1"/>
        <v>1</v>
      </c>
      <c r="K23" s="448">
        <f t="shared" si="1"/>
        <v>1</v>
      </c>
      <c r="L23" s="448">
        <f t="shared" si="1"/>
        <v>1</v>
      </c>
      <c r="M23" s="448">
        <f t="shared" si="1"/>
        <v>1</v>
      </c>
      <c r="N23" s="448">
        <f t="shared" si="1"/>
        <v>2</v>
      </c>
      <c r="O23" s="448">
        <f t="shared" si="1"/>
        <v>0</v>
      </c>
      <c r="P23" s="448">
        <f t="shared" si="1"/>
        <v>0</v>
      </c>
      <c r="Q23" s="448">
        <f t="shared" si="1"/>
        <v>0</v>
      </c>
      <c r="R23" s="448">
        <f t="shared" si="1"/>
        <v>1</v>
      </c>
      <c r="S23" s="448">
        <f t="shared" si="1"/>
        <v>2</v>
      </c>
      <c r="T23" s="448">
        <f t="shared" si="1"/>
        <v>1</v>
      </c>
      <c r="U23" s="448">
        <f t="shared" si="1"/>
        <v>1</v>
      </c>
      <c r="V23" s="448">
        <f t="shared" si="1"/>
        <v>2</v>
      </c>
      <c r="W23" s="448">
        <f t="shared" si="1"/>
        <v>1</v>
      </c>
      <c r="X23" s="448">
        <f t="shared" si="1"/>
        <v>1</v>
      </c>
      <c r="Y23" s="448">
        <f t="shared" si="1"/>
        <v>1</v>
      </c>
      <c r="Z23" s="448">
        <f t="shared" si="1"/>
        <v>1</v>
      </c>
      <c r="AA23" s="448">
        <f t="shared" si="1"/>
        <v>1</v>
      </c>
      <c r="AB23" s="448">
        <f t="shared" si="1"/>
        <v>0</v>
      </c>
      <c r="AC23" s="448">
        <f t="shared" si="1"/>
        <v>0</v>
      </c>
      <c r="AD23" s="448">
        <f t="shared" si="1"/>
        <v>2</v>
      </c>
      <c r="AE23" s="448">
        <f t="shared" si="1"/>
        <v>2</v>
      </c>
      <c r="AF23" s="448">
        <f t="shared" si="1"/>
        <v>1</v>
      </c>
      <c r="AG23" s="448">
        <f t="shared" si="1"/>
        <v>1</v>
      </c>
      <c r="AH23" s="448">
        <f t="shared" si="1"/>
        <v>1</v>
      </c>
      <c r="AI23" s="343">
        <f>COUNTIF(D23:AH23,"X")</f>
        <v>0</v>
      </c>
    </row>
    <row r="24">
      <c r="A24" s="342"/>
      <c r="B24" s="447" t="s">
        <v>453</v>
      </c>
      <c r="C24" s="448">
        <f t="shared" ref="C24:AH24" si="2">COUNTIF((C10:C20),"S")</f>
        <v>0</v>
      </c>
      <c r="D24" s="448">
        <f t="shared" si="2"/>
        <v>1</v>
      </c>
      <c r="E24" s="448">
        <f t="shared" si="2"/>
        <v>1</v>
      </c>
      <c r="F24" s="448">
        <f t="shared" si="2"/>
        <v>1</v>
      </c>
      <c r="G24" s="448">
        <f t="shared" si="2"/>
        <v>1</v>
      </c>
      <c r="H24" s="448">
        <f t="shared" si="2"/>
        <v>1</v>
      </c>
      <c r="I24" s="448">
        <f t="shared" si="2"/>
        <v>2</v>
      </c>
      <c r="J24" s="448">
        <f t="shared" si="2"/>
        <v>2</v>
      </c>
      <c r="K24" s="448">
        <f t="shared" si="2"/>
        <v>1</v>
      </c>
      <c r="L24" s="448">
        <f t="shared" si="2"/>
        <v>1</v>
      </c>
      <c r="M24" s="448">
        <f t="shared" si="2"/>
        <v>1</v>
      </c>
      <c r="N24" s="448">
        <f t="shared" si="2"/>
        <v>1</v>
      </c>
      <c r="O24" s="448">
        <f t="shared" si="2"/>
        <v>2</v>
      </c>
      <c r="P24" s="448">
        <f t="shared" si="2"/>
        <v>2</v>
      </c>
      <c r="Q24" s="448">
        <f t="shared" si="2"/>
        <v>2</v>
      </c>
      <c r="R24" s="448">
        <f t="shared" si="2"/>
        <v>1</v>
      </c>
      <c r="S24" s="448">
        <f t="shared" si="2"/>
        <v>1</v>
      </c>
      <c r="T24" s="448">
        <f t="shared" si="2"/>
        <v>1</v>
      </c>
      <c r="U24" s="448">
        <f t="shared" si="2"/>
        <v>1</v>
      </c>
      <c r="V24" s="448">
        <f t="shared" si="2"/>
        <v>1</v>
      </c>
      <c r="W24" s="448">
        <f t="shared" si="2"/>
        <v>2</v>
      </c>
      <c r="X24" s="448">
        <f t="shared" si="2"/>
        <v>2</v>
      </c>
      <c r="Y24" s="448">
        <f t="shared" si="2"/>
        <v>2</v>
      </c>
      <c r="Z24" s="448">
        <f t="shared" si="2"/>
        <v>1</v>
      </c>
      <c r="AA24" s="448">
        <f t="shared" si="2"/>
        <v>2</v>
      </c>
      <c r="AB24" s="448">
        <f t="shared" si="2"/>
        <v>2</v>
      </c>
      <c r="AC24" s="448">
        <f t="shared" si="2"/>
        <v>2</v>
      </c>
      <c r="AD24" s="448">
        <f t="shared" si="2"/>
        <v>1</v>
      </c>
      <c r="AE24" s="448">
        <f t="shared" si="2"/>
        <v>1</v>
      </c>
      <c r="AF24" s="448">
        <f t="shared" si="2"/>
        <v>1</v>
      </c>
      <c r="AG24" s="448">
        <f t="shared" si="2"/>
        <v>1</v>
      </c>
      <c r="AH24" s="448">
        <f t="shared" si="2"/>
        <v>1</v>
      </c>
      <c r="AI24" s="342"/>
    </row>
    <row r="25">
      <c r="A25" s="342"/>
      <c r="B25" s="342"/>
      <c r="C25" s="342"/>
      <c r="D25" s="342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  <c r="AC25" s="342"/>
      <c r="AD25" s="342"/>
      <c r="AE25" s="342"/>
      <c r="AF25" s="342"/>
      <c r="AG25" s="342"/>
      <c r="AH25" s="342"/>
      <c r="AI25" s="342"/>
    </row>
    <row r="26">
      <c r="A26" s="342"/>
      <c r="B26" s="342"/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342"/>
      <c r="AE26" s="342"/>
      <c r="AF26" s="342"/>
      <c r="AG26" s="342"/>
      <c r="AH26" s="342"/>
      <c r="AI26" s="342"/>
    </row>
    <row r="27">
      <c r="A27" s="450" t="s">
        <v>454</v>
      </c>
      <c r="B27" s="451"/>
      <c r="C27" s="45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453" t="s">
        <v>455</v>
      </c>
      <c r="R27" s="454"/>
      <c r="S27" s="454"/>
      <c r="T27" s="454"/>
      <c r="U27" s="454"/>
      <c r="V27" s="454"/>
      <c r="W27" s="454"/>
      <c r="X27" s="454"/>
      <c r="Y27" s="454"/>
      <c r="Z27" s="454"/>
      <c r="AA27" s="454"/>
      <c r="AB27" s="455"/>
      <c r="AC27" s="342"/>
      <c r="AD27" s="342"/>
      <c r="AE27" s="342"/>
      <c r="AF27" s="342"/>
      <c r="AG27" s="342"/>
      <c r="AH27" s="342"/>
      <c r="AI27" s="342"/>
    </row>
    <row r="28">
      <c r="A28" s="456" t="s">
        <v>446</v>
      </c>
      <c r="B28" s="457" t="s">
        <v>478</v>
      </c>
      <c r="C28" s="458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60"/>
      <c r="Q28" s="461" t="s">
        <v>476</v>
      </c>
      <c r="R28" s="462"/>
      <c r="S28" s="462"/>
      <c r="T28" s="463"/>
      <c r="U28" s="461" t="s">
        <v>479</v>
      </c>
      <c r="V28" s="462"/>
      <c r="W28" s="462"/>
      <c r="X28" s="463"/>
      <c r="Y28" s="461" t="s">
        <v>451</v>
      </c>
      <c r="Z28" s="462"/>
      <c r="AA28" s="462"/>
      <c r="AB28" s="463"/>
      <c r="AC28" s="342"/>
      <c r="AD28" s="342"/>
      <c r="AE28" s="342"/>
      <c r="AF28" s="342"/>
      <c r="AG28" s="342"/>
      <c r="AH28" s="342"/>
      <c r="AI28" s="342"/>
    </row>
    <row r="29">
      <c r="A29" s="465" t="s">
        <v>447</v>
      </c>
      <c r="B29" s="466" t="s">
        <v>14</v>
      </c>
      <c r="C29" s="458"/>
      <c r="D29" s="459"/>
      <c r="E29" s="459"/>
      <c r="F29" s="459"/>
      <c r="G29" s="459"/>
      <c r="H29" s="459"/>
      <c r="I29" s="459"/>
      <c r="J29" s="459"/>
      <c r="K29" s="459"/>
      <c r="L29" s="459"/>
      <c r="M29" s="459"/>
      <c r="N29" s="459"/>
      <c r="O29" s="459"/>
      <c r="P29" s="460"/>
      <c r="Q29" s="467"/>
      <c r="T29" s="468"/>
      <c r="U29" s="467"/>
      <c r="X29" s="468"/>
      <c r="Y29" s="467"/>
      <c r="AB29" s="468"/>
      <c r="AC29" s="342"/>
      <c r="AD29" s="342"/>
      <c r="AE29" s="342"/>
      <c r="AF29" s="342"/>
      <c r="AG29" s="342"/>
      <c r="AH29" s="342"/>
      <c r="AI29" s="342"/>
    </row>
    <row r="30">
      <c r="A30" s="469" t="s">
        <v>441</v>
      </c>
      <c r="B30" s="457" t="s">
        <v>459</v>
      </c>
      <c r="C30" s="458"/>
      <c r="D30" s="459"/>
      <c r="E30" s="459"/>
      <c r="F30" s="459"/>
      <c r="G30" s="459"/>
      <c r="H30" s="459"/>
      <c r="I30" s="459"/>
      <c r="J30" s="459"/>
      <c r="K30" s="459"/>
      <c r="L30" s="459"/>
      <c r="M30" s="459"/>
      <c r="N30" s="459"/>
      <c r="O30" s="459"/>
      <c r="P30" s="460"/>
      <c r="Q30" s="470"/>
      <c r="R30" s="459"/>
      <c r="S30" s="459"/>
      <c r="T30" s="460"/>
      <c r="U30" s="470"/>
      <c r="V30" s="459"/>
      <c r="W30" s="459"/>
      <c r="X30" s="460"/>
      <c r="Y30" s="470"/>
      <c r="Z30" s="459"/>
      <c r="AA30" s="459"/>
      <c r="AB30" s="460"/>
      <c r="AC30" s="342"/>
      <c r="AD30" s="342"/>
      <c r="AE30" s="342"/>
      <c r="AF30" s="342"/>
      <c r="AG30" s="342"/>
      <c r="AH30" s="342"/>
      <c r="AI30" s="342"/>
    </row>
    <row r="31">
      <c r="A31" s="469" t="s">
        <v>480</v>
      </c>
      <c r="B31" s="457" t="s">
        <v>481</v>
      </c>
      <c r="C31" s="498" t="s">
        <v>482</v>
      </c>
      <c r="D31" s="459"/>
      <c r="E31" s="459"/>
      <c r="F31" s="459"/>
      <c r="G31" s="459"/>
      <c r="H31" s="459"/>
      <c r="I31" s="459"/>
      <c r="J31" s="459"/>
      <c r="K31" s="459"/>
      <c r="L31" s="459"/>
      <c r="M31" s="459"/>
      <c r="N31" s="459"/>
      <c r="O31" s="459"/>
      <c r="P31" s="460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</row>
    <row r="32">
      <c r="A32" s="471">
        <v>1.0</v>
      </c>
      <c r="B32" s="472" t="s">
        <v>460</v>
      </c>
      <c r="Z32" s="342"/>
      <c r="AA32" s="342"/>
      <c r="AB32" s="342"/>
      <c r="AC32" s="342"/>
      <c r="AD32" s="342"/>
      <c r="AE32" s="342"/>
      <c r="AF32" s="342"/>
      <c r="AG32" s="342"/>
      <c r="AH32" s="342"/>
      <c r="AI32" s="342"/>
    </row>
    <row r="33">
      <c r="A33" s="471">
        <v>2.0</v>
      </c>
      <c r="B33" s="472" t="s">
        <v>461</v>
      </c>
      <c r="U33" s="342"/>
      <c r="V33" s="342"/>
      <c r="W33" s="342"/>
      <c r="X33" s="342"/>
      <c r="Y33" s="342"/>
      <c r="Z33" s="342"/>
      <c r="AA33" s="342"/>
      <c r="AB33" s="342"/>
      <c r="AC33" s="342"/>
      <c r="AD33" s="342"/>
      <c r="AE33" s="342"/>
      <c r="AF33" s="342"/>
      <c r="AG33" s="342"/>
      <c r="AH33" s="342"/>
      <c r="AI33" s="342"/>
    </row>
    <row r="34">
      <c r="A34" s="342"/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2"/>
      <c r="AG34" s="342"/>
      <c r="AH34" s="342"/>
      <c r="AI34" s="342"/>
    </row>
    <row r="35">
      <c r="A35" s="342"/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  <c r="AH35" s="342"/>
      <c r="AI35" s="342"/>
    </row>
    <row r="36">
      <c r="A36" s="473" t="s">
        <v>462</v>
      </c>
      <c r="B36" s="454"/>
      <c r="C36" s="454"/>
      <c r="D36" s="454"/>
      <c r="E36" s="454"/>
      <c r="F36" s="455"/>
      <c r="G36" s="499" t="s">
        <v>483</v>
      </c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6"/>
      <c r="AE36" s="342"/>
      <c r="AF36" s="342"/>
      <c r="AG36" s="342"/>
      <c r="AH36" s="342"/>
      <c r="AI36" s="342"/>
    </row>
    <row r="37">
      <c r="A37" s="477">
        <v>1.0</v>
      </c>
      <c r="B37" s="478" t="s">
        <v>458</v>
      </c>
      <c r="C37" s="479">
        <v>8.9616930217E10</v>
      </c>
      <c r="D37" s="454"/>
      <c r="E37" s="454"/>
      <c r="F37" s="455"/>
      <c r="G37" s="480" t="s">
        <v>464</v>
      </c>
      <c r="H37" s="263"/>
      <c r="I37" s="263"/>
      <c r="J37" s="263"/>
      <c r="K37" s="263"/>
      <c r="L37" s="263"/>
      <c r="M37" s="263"/>
      <c r="N37" s="264"/>
      <c r="O37" s="480" t="s">
        <v>465</v>
      </c>
      <c r="P37" s="263"/>
      <c r="Q37" s="263"/>
      <c r="R37" s="263"/>
      <c r="S37" s="263"/>
      <c r="T37" s="263"/>
      <c r="U37" s="263"/>
      <c r="V37" s="264"/>
      <c r="W37" s="480" t="s">
        <v>466</v>
      </c>
      <c r="X37" s="263"/>
      <c r="Y37" s="263"/>
      <c r="Z37" s="263"/>
      <c r="AA37" s="263"/>
      <c r="AB37" s="263"/>
      <c r="AC37" s="263"/>
      <c r="AD37" s="264"/>
      <c r="AE37" s="342"/>
      <c r="AF37" s="342"/>
      <c r="AG37" s="342"/>
      <c r="AH37" s="342"/>
      <c r="AI37" s="342"/>
    </row>
    <row r="38">
      <c r="A38" s="477">
        <v>2.0</v>
      </c>
      <c r="B38" s="478" t="s">
        <v>449</v>
      </c>
      <c r="C38" s="479">
        <v>8.1332847794E10</v>
      </c>
      <c r="D38" s="454"/>
      <c r="E38" s="454"/>
      <c r="F38" s="455"/>
      <c r="G38" s="481"/>
      <c r="H38" s="267"/>
      <c r="I38" s="267"/>
      <c r="J38" s="267"/>
      <c r="K38" s="267"/>
      <c r="L38" s="267"/>
      <c r="M38" s="267"/>
      <c r="N38" s="268"/>
      <c r="O38" s="481"/>
      <c r="P38" s="267"/>
      <c r="Q38" s="267"/>
      <c r="R38" s="267"/>
      <c r="S38" s="267"/>
      <c r="T38" s="267"/>
      <c r="U38" s="267"/>
      <c r="V38" s="268"/>
      <c r="W38" s="481"/>
      <c r="X38" s="267"/>
      <c r="Y38" s="267"/>
      <c r="Z38" s="267"/>
      <c r="AA38" s="267"/>
      <c r="AB38" s="267"/>
      <c r="AC38" s="267"/>
      <c r="AD38" s="268"/>
      <c r="AE38" s="342"/>
      <c r="AF38" s="342"/>
      <c r="AG38" s="342"/>
      <c r="AH38" s="342"/>
      <c r="AI38" s="342"/>
    </row>
    <row r="39">
      <c r="A39" s="477">
        <v>3.0</v>
      </c>
      <c r="B39" s="478" t="s">
        <v>410</v>
      </c>
      <c r="C39" s="479">
        <v>8.7853055999E10</v>
      </c>
      <c r="D39" s="454"/>
      <c r="E39" s="454"/>
      <c r="F39" s="455"/>
      <c r="G39" s="482"/>
      <c r="N39" s="270"/>
      <c r="O39" s="482"/>
      <c r="V39" s="270"/>
      <c r="W39" s="482"/>
      <c r="AD39" s="270"/>
      <c r="AE39" s="342"/>
      <c r="AF39" s="342"/>
      <c r="AG39" s="342"/>
      <c r="AH39" s="342"/>
      <c r="AI39" s="342"/>
    </row>
    <row r="40">
      <c r="A40" s="483"/>
      <c r="B40" s="484"/>
      <c r="C40" s="458"/>
      <c r="D40" s="459"/>
      <c r="E40" s="459"/>
      <c r="F40" s="460"/>
      <c r="G40" s="482"/>
      <c r="N40" s="270"/>
      <c r="O40" s="482"/>
      <c r="V40" s="270"/>
      <c r="W40" s="482"/>
      <c r="AD40" s="270"/>
      <c r="AE40" s="342"/>
      <c r="AF40" s="342"/>
      <c r="AG40" s="342"/>
      <c r="AH40" s="342"/>
      <c r="AI40" s="342"/>
    </row>
    <row r="41">
      <c r="A41" s="473" t="s">
        <v>467</v>
      </c>
      <c r="B41" s="454"/>
      <c r="C41" s="454"/>
      <c r="D41" s="454"/>
      <c r="E41" s="454"/>
      <c r="F41" s="455"/>
      <c r="G41" s="482"/>
      <c r="N41" s="270"/>
      <c r="O41" s="482"/>
      <c r="V41" s="270"/>
      <c r="W41" s="482"/>
      <c r="AD41" s="270"/>
      <c r="AE41" s="342"/>
      <c r="AF41" s="342"/>
      <c r="AG41" s="342"/>
      <c r="AH41" s="342"/>
      <c r="AI41" s="342"/>
    </row>
    <row r="42">
      <c r="A42" s="477">
        <v>1.0</v>
      </c>
      <c r="B42" s="478" t="s">
        <v>468</v>
      </c>
      <c r="C42" s="485">
        <v>8.133180917E9</v>
      </c>
      <c r="D42" s="462"/>
      <c r="E42" s="462"/>
      <c r="F42" s="486"/>
      <c r="G42" s="482"/>
      <c r="N42" s="270"/>
      <c r="O42" s="482"/>
      <c r="V42" s="270"/>
      <c r="W42" s="482"/>
      <c r="AD42" s="270"/>
      <c r="AE42" s="342"/>
      <c r="AF42" s="342"/>
      <c r="AG42" s="342"/>
      <c r="AH42" s="342"/>
      <c r="AI42" s="342"/>
    </row>
    <row r="43">
      <c r="A43" s="477">
        <v>2.0</v>
      </c>
      <c r="B43" s="487" t="s">
        <v>469</v>
      </c>
      <c r="C43" s="488" t="s">
        <v>470</v>
      </c>
      <c r="D43" s="489"/>
      <c r="E43" s="489"/>
      <c r="F43" s="490"/>
      <c r="G43" s="491"/>
      <c r="H43" s="192"/>
      <c r="I43" s="192"/>
      <c r="J43" s="192"/>
      <c r="K43" s="192"/>
      <c r="L43" s="192"/>
      <c r="M43" s="192"/>
      <c r="N43" s="357"/>
      <c r="O43" s="491"/>
      <c r="P43" s="192"/>
      <c r="Q43" s="192"/>
      <c r="R43" s="192"/>
      <c r="S43" s="192"/>
      <c r="T43" s="192"/>
      <c r="U43" s="192"/>
      <c r="V43" s="357"/>
      <c r="W43" s="491"/>
      <c r="X43" s="192"/>
      <c r="Y43" s="192"/>
      <c r="Z43" s="192"/>
      <c r="AA43" s="192"/>
      <c r="AB43" s="192"/>
      <c r="AC43" s="192"/>
      <c r="AD43" s="357"/>
      <c r="AE43" s="342"/>
      <c r="AF43" s="342"/>
      <c r="AG43" s="342"/>
      <c r="AH43" s="342"/>
      <c r="AI43" s="342"/>
    </row>
    <row r="44">
      <c r="A44" s="483"/>
      <c r="B44" s="484"/>
      <c r="C44" s="458"/>
      <c r="D44" s="459"/>
      <c r="E44" s="459"/>
      <c r="F44" s="460"/>
      <c r="G44" s="480" t="s">
        <v>468</v>
      </c>
      <c r="H44" s="263"/>
      <c r="I44" s="263"/>
      <c r="J44" s="263"/>
      <c r="K44" s="263"/>
      <c r="L44" s="263"/>
      <c r="M44" s="263"/>
      <c r="N44" s="264"/>
      <c r="O44" s="480" t="s">
        <v>469</v>
      </c>
      <c r="P44" s="263"/>
      <c r="Q44" s="263"/>
      <c r="R44" s="263"/>
      <c r="S44" s="263"/>
      <c r="T44" s="263"/>
      <c r="U44" s="263"/>
      <c r="V44" s="264"/>
      <c r="W44" s="500"/>
      <c r="X44" s="263"/>
      <c r="Y44" s="263"/>
      <c r="Z44" s="263"/>
      <c r="AA44" s="263"/>
      <c r="AB44" s="263"/>
      <c r="AC44" s="263"/>
      <c r="AD44" s="264"/>
      <c r="AE44" s="342"/>
      <c r="AF44" s="342"/>
      <c r="AG44" s="342"/>
      <c r="AH44" s="342"/>
      <c r="AI44" s="342"/>
    </row>
    <row r="45">
      <c r="A45" s="483"/>
      <c r="B45" s="484"/>
      <c r="C45" s="492"/>
      <c r="D45" s="454"/>
      <c r="E45" s="454"/>
      <c r="F45" s="455"/>
      <c r="G45" s="493" t="s">
        <v>484</v>
      </c>
      <c r="H45" s="459"/>
      <c r="I45" s="459"/>
      <c r="J45" s="459"/>
      <c r="K45" s="459"/>
      <c r="L45" s="459"/>
      <c r="M45" s="459"/>
      <c r="N45" s="460"/>
      <c r="O45" s="493" t="s">
        <v>473</v>
      </c>
      <c r="P45" s="459"/>
      <c r="Q45" s="459"/>
      <c r="R45" s="459"/>
      <c r="S45" s="459"/>
      <c r="T45" s="459"/>
      <c r="U45" s="459"/>
      <c r="V45" s="460"/>
      <c r="W45" s="493" t="s">
        <v>474</v>
      </c>
      <c r="X45" s="459"/>
      <c r="Y45" s="459"/>
      <c r="Z45" s="459"/>
      <c r="AA45" s="459"/>
      <c r="AB45" s="459"/>
      <c r="AC45" s="459"/>
      <c r="AD45" s="460"/>
      <c r="AE45" s="342"/>
      <c r="AF45" s="342"/>
      <c r="AG45" s="342"/>
      <c r="AH45" s="342"/>
      <c r="AI45" s="342"/>
    </row>
    <row r="46">
      <c r="A46" s="342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42"/>
      <c r="AG46" s="342"/>
      <c r="AH46" s="342"/>
      <c r="AI46" s="342"/>
    </row>
    <row r="47">
      <c r="A47" s="342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</row>
    <row r="48">
      <c r="A48" s="342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42"/>
      <c r="AD48" s="342"/>
      <c r="AE48" s="342"/>
      <c r="AF48" s="342"/>
      <c r="AG48" s="342"/>
      <c r="AH48" s="342"/>
      <c r="AI48" s="342"/>
    </row>
    <row r="49">
      <c r="A49" s="342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42"/>
      <c r="AD49" s="342"/>
      <c r="AE49" s="342"/>
      <c r="AF49" s="342"/>
      <c r="AG49" s="342"/>
      <c r="AH49" s="342"/>
      <c r="AI49" s="342"/>
    </row>
    <row r="50">
      <c r="A50" s="342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342"/>
      <c r="AE50" s="342"/>
      <c r="AF50" s="342"/>
      <c r="AG50" s="342"/>
      <c r="AH50" s="342"/>
      <c r="AI50" s="342"/>
    </row>
    <row r="51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42"/>
      <c r="AD51" s="342"/>
      <c r="AE51" s="342"/>
      <c r="AF51" s="342"/>
      <c r="AG51" s="342"/>
      <c r="AH51" s="342"/>
      <c r="AI51" s="342"/>
    </row>
    <row r="52">
      <c r="A52" s="342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42"/>
      <c r="AB52" s="342"/>
      <c r="AC52" s="342"/>
      <c r="AD52" s="342"/>
      <c r="AE52" s="342"/>
      <c r="AF52" s="342"/>
      <c r="AG52" s="342"/>
      <c r="AH52" s="342"/>
      <c r="AI52" s="342"/>
    </row>
    <row r="53">
      <c r="A53" s="342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  <c r="AC53" s="342"/>
      <c r="AD53" s="342"/>
      <c r="AE53" s="342"/>
      <c r="AF53" s="342"/>
      <c r="AG53" s="342"/>
      <c r="AH53" s="342"/>
      <c r="AI53" s="342"/>
    </row>
    <row r="54">
      <c r="A54" s="342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  <c r="AC54" s="342"/>
      <c r="AD54" s="342"/>
      <c r="AE54" s="342"/>
      <c r="AF54" s="342"/>
      <c r="AG54" s="342"/>
      <c r="AH54" s="342"/>
      <c r="AI54" s="342"/>
    </row>
    <row r="55">
      <c r="A55" s="342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42"/>
    </row>
    <row r="56">
      <c r="A56" s="342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  <c r="AA56" s="342"/>
      <c r="AB56" s="342"/>
      <c r="AC56" s="342"/>
      <c r="AD56" s="342"/>
      <c r="AE56" s="342"/>
      <c r="AF56" s="342"/>
      <c r="AG56" s="342"/>
      <c r="AH56" s="342"/>
      <c r="AI56" s="342"/>
    </row>
    <row r="57">
      <c r="A57" s="342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  <c r="AE57" s="342"/>
      <c r="AF57" s="342"/>
      <c r="AG57" s="342"/>
      <c r="AH57" s="342"/>
      <c r="AI57" s="342"/>
    </row>
    <row r="58">
      <c r="A58" s="342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</row>
    <row r="59">
      <c r="A59" s="342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</row>
    <row r="60">
      <c r="A60" s="342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  <c r="AG60" s="342"/>
      <c r="AH60" s="342"/>
      <c r="AI60" s="342"/>
    </row>
    <row r="61">
      <c r="A61" s="342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</row>
    <row r="62">
      <c r="A62" s="342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  <c r="AA62" s="342"/>
      <c r="AB62" s="342"/>
      <c r="AC62" s="342"/>
      <c r="AD62" s="342"/>
      <c r="AE62" s="342"/>
      <c r="AF62" s="342"/>
      <c r="AG62" s="342"/>
      <c r="AH62" s="342"/>
      <c r="AI62" s="342"/>
    </row>
    <row r="63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  <c r="AA63" s="342"/>
      <c r="AB63" s="342"/>
      <c r="AC63" s="342"/>
      <c r="AD63" s="342"/>
      <c r="AE63" s="342"/>
      <c r="AF63" s="342"/>
      <c r="AG63" s="342"/>
      <c r="AH63" s="342"/>
      <c r="AI63" s="342"/>
    </row>
    <row r="64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42"/>
      <c r="AE64" s="342"/>
      <c r="AF64" s="342"/>
      <c r="AG64" s="342"/>
      <c r="AH64" s="342"/>
      <c r="AI64" s="342"/>
    </row>
    <row r="65">
      <c r="A65" s="342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42"/>
      <c r="AB65" s="342"/>
      <c r="AC65" s="342"/>
      <c r="AD65" s="342"/>
      <c r="AE65" s="342"/>
      <c r="AF65" s="342"/>
      <c r="AG65" s="342"/>
      <c r="AH65" s="342"/>
      <c r="AI65" s="342"/>
    </row>
    <row r="66">
      <c r="A66" s="342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42"/>
      <c r="AE66" s="342"/>
      <c r="AF66" s="342"/>
      <c r="AG66" s="342"/>
      <c r="AH66" s="342"/>
      <c r="AI66" s="342"/>
    </row>
    <row r="67">
      <c r="A67" s="342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  <c r="AG67" s="342"/>
      <c r="AH67" s="342"/>
      <c r="AI67" s="342"/>
    </row>
    <row r="68">
      <c r="A68" s="342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</row>
    <row r="69">
      <c r="A69" s="342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  <c r="AC69" s="342"/>
      <c r="AD69" s="342"/>
      <c r="AE69" s="342"/>
      <c r="AF69" s="342"/>
      <c r="AG69" s="342"/>
      <c r="AH69" s="342"/>
      <c r="AI69" s="342"/>
    </row>
    <row r="70">
      <c r="A70" s="342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2"/>
      <c r="AD70" s="342"/>
      <c r="AE70" s="342"/>
      <c r="AF70" s="342"/>
      <c r="AG70" s="342"/>
      <c r="AH70" s="342"/>
      <c r="AI70" s="342"/>
    </row>
    <row r="71">
      <c r="A71" s="342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</row>
    <row r="72">
      <c r="A72" s="342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</row>
    <row r="73">
      <c r="A73" s="342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  <c r="AA73" s="342"/>
      <c r="AB73" s="342"/>
      <c r="AC73" s="342"/>
      <c r="AD73" s="342"/>
      <c r="AE73" s="342"/>
      <c r="AF73" s="342"/>
      <c r="AG73" s="342"/>
      <c r="AH73" s="342"/>
      <c r="AI73" s="342"/>
    </row>
    <row r="74">
      <c r="A74" s="342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  <c r="AA74" s="342"/>
      <c r="AB74" s="342"/>
      <c r="AC74" s="342"/>
      <c r="AD74" s="342"/>
      <c r="AE74" s="342"/>
      <c r="AF74" s="342"/>
      <c r="AG74" s="342"/>
      <c r="AH74" s="342"/>
      <c r="AI74" s="342"/>
    </row>
    <row r="75">
      <c r="A75" s="342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</row>
    <row r="76">
      <c r="A76" s="342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342"/>
      <c r="AB76" s="342"/>
      <c r="AC76" s="342"/>
      <c r="AD76" s="342"/>
      <c r="AE76" s="342"/>
      <c r="AF76" s="342"/>
      <c r="AG76" s="342"/>
      <c r="AH76" s="342"/>
      <c r="AI76" s="342"/>
    </row>
    <row r="77">
      <c r="A77" s="342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  <c r="AA77" s="342"/>
      <c r="AB77" s="342"/>
      <c r="AC77" s="342"/>
      <c r="AD77" s="342"/>
      <c r="AE77" s="342"/>
      <c r="AF77" s="342"/>
      <c r="AG77" s="342"/>
      <c r="AH77" s="342"/>
      <c r="AI77" s="342"/>
    </row>
    <row r="78">
      <c r="A78" s="342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342"/>
      <c r="AB78" s="342"/>
      <c r="AC78" s="342"/>
      <c r="AD78" s="342"/>
      <c r="AE78" s="342"/>
      <c r="AF78" s="342"/>
      <c r="AG78" s="342"/>
      <c r="AH78" s="342"/>
      <c r="AI78" s="342"/>
    </row>
    <row r="79">
      <c r="A79" s="342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A79" s="342"/>
      <c r="AB79" s="342"/>
      <c r="AC79" s="342"/>
      <c r="AD79" s="342"/>
      <c r="AE79" s="342"/>
      <c r="AF79" s="342"/>
      <c r="AG79" s="342"/>
      <c r="AH79" s="342"/>
      <c r="AI79" s="342"/>
    </row>
    <row r="80">
      <c r="A80" s="342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  <c r="AA80" s="342"/>
      <c r="AB80" s="342"/>
      <c r="AC80" s="342"/>
      <c r="AD80" s="342"/>
      <c r="AE80" s="342"/>
      <c r="AF80" s="342"/>
      <c r="AG80" s="342"/>
      <c r="AH80" s="342"/>
      <c r="AI80" s="342"/>
    </row>
    <row r="81">
      <c r="A81" s="342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  <c r="AA81" s="342"/>
      <c r="AB81" s="342"/>
      <c r="AC81" s="342"/>
      <c r="AD81" s="342"/>
      <c r="AE81" s="342"/>
      <c r="AF81" s="342"/>
      <c r="AG81" s="342"/>
      <c r="AH81" s="342"/>
      <c r="AI81" s="342"/>
    </row>
    <row r="82">
      <c r="A82" s="342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</row>
    <row r="83">
      <c r="A83" s="342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  <c r="AA83" s="342"/>
      <c r="AB83" s="342"/>
      <c r="AC83" s="342"/>
      <c r="AD83" s="342"/>
      <c r="AE83" s="342"/>
      <c r="AF83" s="342"/>
      <c r="AG83" s="342"/>
      <c r="AH83" s="342"/>
      <c r="AI83" s="342"/>
    </row>
    <row r="84">
      <c r="A84" s="342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342"/>
      <c r="AB84" s="342"/>
      <c r="AC84" s="342"/>
      <c r="AD84" s="342"/>
      <c r="AE84" s="342"/>
      <c r="AF84" s="342"/>
      <c r="AG84" s="342"/>
      <c r="AH84" s="342"/>
      <c r="AI84" s="342"/>
    </row>
    <row r="85">
      <c r="A85" s="342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  <c r="AA85" s="342"/>
      <c r="AB85" s="342"/>
      <c r="AC85" s="342"/>
      <c r="AD85" s="342"/>
      <c r="AE85" s="342"/>
      <c r="AF85" s="342"/>
      <c r="AG85" s="342"/>
      <c r="AH85" s="342"/>
      <c r="AI85" s="342"/>
    </row>
    <row r="86">
      <c r="A86" s="342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</row>
    <row r="87">
      <c r="A87" s="342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</row>
    <row r="88">
      <c r="A88" s="342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</row>
    <row r="89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</row>
    <row r="90">
      <c r="A90" s="342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  <c r="AI90" s="342"/>
    </row>
    <row r="91">
      <c r="A91" s="342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2"/>
      <c r="AH91" s="342"/>
      <c r="AI91" s="342"/>
    </row>
    <row r="92">
      <c r="A92" s="342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</row>
    <row r="93">
      <c r="A93" s="342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</row>
    <row r="94">
      <c r="A94" s="342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  <c r="AA94" s="342"/>
      <c r="AB94" s="342"/>
      <c r="AC94" s="342"/>
      <c r="AD94" s="342"/>
      <c r="AE94" s="342"/>
      <c r="AF94" s="342"/>
      <c r="AG94" s="342"/>
      <c r="AH94" s="342"/>
      <c r="AI94" s="342"/>
    </row>
    <row r="95">
      <c r="A95" s="342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</row>
    <row r="96">
      <c r="A96" s="342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  <c r="AC96" s="342"/>
      <c r="AD96" s="342"/>
      <c r="AE96" s="342"/>
      <c r="AF96" s="342"/>
      <c r="AG96" s="342"/>
      <c r="AH96" s="342"/>
      <c r="AI96" s="342"/>
    </row>
    <row r="97">
      <c r="A97" s="342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  <c r="AA97" s="342"/>
      <c r="AB97" s="342"/>
      <c r="AC97" s="342"/>
      <c r="AD97" s="342"/>
      <c r="AE97" s="342"/>
      <c r="AF97" s="342"/>
      <c r="AG97" s="342"/>
      <c r="AH97" s="342"/>
      <c r="AI97" s="342"/>
    </row>
    <row r="98">
      <c r="A98" s="342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A98" s="342"/>
      <c r="AB98" s="342"/>
      <c r="AC98" s="342"/>
      <c r="AD98" s="342"/>
      <c r="AE98" s="342"/>
      <c r="AF98" s="342"/>
      <c r="AG98" s="342"/>
      <c r="AH98" s="342"/>
      <c r="AI98" s="342"/>
    </row>
    <row r="99">
      <c r="A99" s="342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</row>
    <row r="100">
      <c r="A100" s="342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  <c r="AA100" s="342"/>
      <c r="AB100" s="342"/>
      <c r="AC100" s="342"/>
      <c r="AD100" s="342"/>
      <c r="AE100" s="342"/>
      <c r="AF100" s="342"/>
      <c r="AG100" s="342"/>
      <c r="AH100" s="342"/>
      <c r="AI100" s="342"/>
    </row>
    <row r="101">
      <c r="A101" s="342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  <c r="AA101" s="342"/>
      <c r="AB101" s="342"/>
      <c r="AC101" s="342"/>
      <c r="AD101" s="342"/>
      <c r="AE101" s="342"/>
      <c r="AF101" s="342"/>
      <c r="AG101" s="342"/>
      <c r="AH101" s="342"/>
      <c r="AI101" s="342"/>
    </row>
    <row r="102">
      <c r="A102" s="342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42"/>
      <c r="AB102" s="342"/>
      <c r="AC102" s="342"/>
      <c r="AD102" s="342"/>
      <c r="AE102" s="342"/>
      <c r="AF102" s="342"/>
      <c r="AG102" s="342"/>
      <c r="AH102" s="342"/>
      <c r="AI102" s="342"/>
    </row>
    <row r="103">
      <c r="A103" s="342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</row>
    <row r="104">
      <c r="A104" s="342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342"/>
      <c r="AI104" s="342"/>
    </row>
    <row r="105">
      <c r="A105" s="342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342"/>
      <c r="AI105" s="342"/>
    </row>
    <row r="106">
      <c r="A106" s="342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2"/>
    </row>
    <row r="107">
      <c r="A107" s="342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</row>
    <row r="108">
      <c r="A108" s="342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</row>
    <row r="109">
      <c r="A109" s="342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42"/>
      <c r="AB109" s="342"/>
      <c r="AC109" s="342"/>
      <c r="AD109" s="342"/>
      <c r="AE109" s="342"/>
      <c r="AF109" s="342"/>
      <c r="AG109" s="342"/>
      <c r="AH109" s="342"/>
      <c r="AI109" s="342"/>
    </row>
    <row r="110">
      <c r="A110" s="342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42"/>
      <c r="AB110" s="342"/>
      <c r="AC110" s="342"/>
      <c r="AD110" s="342"/>
      <c r="AE110" s="342"/>
      <c r="AF110" s="342"/>
      <c r="AG110" s="342"/>
      <c r="AH110" s="342"/>
      <c r="AI110" s="342"/>
    </row>
    <row r="111">
      <c r="A111" s="342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342"/>
      <c r="AB111" s="342"/>
      <c r="AC111" s="342"/>
      <c r="AD111" s="342"/>
      <c r="AE111" s="342"/>
      <c r="AF111" s="342"/>
      <c r="AG111" s="342"/>
      <c r="AH111" s="342"/>
      <c r="AI111" s="342"/>
    </row>
    <row r="112">
      <c r="A112" s="342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</row>
    <row r="113">
      <c r="A113" s="342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  <c r="AA113" s="342"/>
      <c r="AB113" s="342"/>
      <c r="AC113" s="342"/>
      <c r="AD113" s="342"/>
      <c r="AE113" s="342"/>
      <c r="AF113" s="342"/>
      <c r="AG113" s="342"/>
      <c r="AH113" s="342"/>
      <c r="AI113" s="342"/>
    </row>
    <row r="114">
      <c r="A114" s="342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</row>
    <row r="115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  <c r="AA115" s="342"/>
      <c r="AB115" s="342"/>
      <c r="AC115" s="342"/>
      <c r="AD115" s="342"/>
      <c r="AE115" s="342"/>
      <c r="AF115" s="342"/>
      <c r="AG115" s="342"/>
      <c r="AH115" s="342"/>
      <c r="AI115" s="342"/>
    </row>
    <row r="116">
      <c r="A116" s="342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  <c r="AC116" s="342"/>
      <c r="AD116" s="342"/>
      <c r="AE116" s="342"/>
      <c r="AF116" s="342"/>
      <c r="AG116" s="342"/>
      <c r="AH116" s="342"/>
      <c r="AI116" s="342"/>
    </row>
    <row r="117">
      <c r="A117" s="342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</row>
    <row r="118">
      <c r="A118" s="342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  <c r="AA118" s="342"/>
      <c r="AB118" s="342"/>
      <c r="AC118" s="342"/>
      <c r="AD118" s="342"/>
      <c r="AE118" s="342"/>
      <c r="AF118" s="342"/>
      <c r="AG118" s="342"/>
      <c r="AH118" s="342"/>
      <c r="AI118" s="342"/>
    </row>
    <row r="119">
      <c r="A119" s="342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</row>
    <row r="120">
      <c r="A120" s="342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</row>
    <row r="121">
      <c r="A121" s="342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  <c r="AA121" s="342"/>
      <c r="AB121" s="342"/>
      <c r="AC121" s="342"/>
      <c r="AD121" s="342"/>
      <c r="AE121" s="342"/>
      <c r="AF121" s="342"/>
      <c r="AG121" s="342"/>
      <c r="AH121" s="342"/>
      <c r="AI121" s="342"/>
    </row>
    <row r="122">
      <c r="A122" s="342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</row>
    <row r="123">
      <c r="A123" s="342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  <c r="AA123" s="342"/>
      <c r="AB123" s="342"/>
      <c r="AC123" s="342"/>
      <c r="AD123" s="342"/>
      <c r="AE123" s="342"/>
      <c r="AF123" s="342"/>
      <c r="AG123" s="342"/>
      <c r="AH123" s="342"/>
      <c r="AI123" s="342"/>
    </row>
    <row r="124">
      <c r="A124" s="342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  <c r="AA124" s="342"/>
      <c r="AB124" s="342"/>
      <c r="AC124" s="342"/>
      <c r="AD124" s="342"/>
      <c r="AE124" s="342"/>
      <c r="AF124" s="342"/>
      <c r="AG124" s="342"/>
      <c r="AH124" s="342"/>
      <c r="AI124" s="342"/>
    </row>
    <row r="125">
      <c r="A125" s="342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  <c r="AA125" s="342"/>
      <c r="AB125" s="342"/>
      <c r="AC125" s="342"/>
      <c r="AD125" s="342"/>
      <c r="AE125" s="342"/>
      <c r="AF125" s="342"/>
      <c r="AG125" s="342"/>
      <c r="AH125" s="342"/>
      <c r="AI125" s="342"/>
    </row>
    <row r="126">
      <c r="A126" s="342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2"/>
      <c r="AI126" s="342"/>
    </row>
    <row r="127">
      <c r="A127" s="342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  <c r="AC127" s="342"/>
      <c r="AD127" s="342"/>
      <c r="AE127" s="342"/>
      <c r="AF127" s="342"/>
      <c r="AG127" s="342"/>
      <c r="AH127" s="342"/>
      <c r="AI127" s="342"/>
    </row>
    <row r="128">
      <c r="A128" s="342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  <c r="AA128" s="342"/>
      <c r="AB128" s="342"/>
      <c r="AC128" s="342"/>
      <c r="AD128" s="342"/>
      <c r="AE128" s="342"/>
      <c r="AF128" s="342"/>
      <c r="AG128" s="342"/>
      <c r="AH128" s="342"/>
      <c r="AI128" s="342"/>
    </row>
    <row r="129">
      <c r="A129" s="342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  <c r="AA129" s="342"/>
      <c r="AB129" s="342"/>
      <c r="AC129" s="342"/>
      <c r="AD129" s="342"/>
      <c r="AE129" s="342"/>
      <c r="AF129" s="342"/>
      <c r="AG129" s="342"/>
      <c r="AH129" s="342"/>
      <c r="AI129" s="342"/>
    </row>
    <row r="130">
      <c r="A130" s="342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342"/>
      <c r="AB130" s="342"/>
      <c r="AC130" s="342"/>
      <c r="AD130" s="342"/>
      <c r="AE130" s="342"/>
      <c r="AF130" s="342"/>
      <c r="AG130" s="342"/>
      <c r="AH130" s="342"/>
      <c r="AI130" s="342"/>
    </row>
    <row r="131">
      <c r="A131" s="342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  <c r="AA131" s="342"/>
      <c r="AB131" s="342"/>
      <c r="AC131" s="342"/>
      <c r="AD131" s="342"/>
      <c r="AE131" s="342"/>
      <c r="AF131" s="342"/>
      <c r="AG131" s="342"/>
      <c r="AH131" s="342"/>
      <c r="AI131" s="342"/>
    </row>
    <row r="132">
      <c r="A132" s="342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  <c r="AA132" s="342"/>
      <c r="AB132" s="342"/>
      <c r="AC132" s="342"/>
      <c r="AD132" s="342"/>
      <c r="AE132" s="342"/>
      <c r="AF132" s="342"/>
      <c r="AG132" s="342"/>
      <c r="AH132" s="342"/>
      <c r="AI132" s="342"/>
    </row>
    <row r="133">
      <c r="A133" s="342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  <c r="AA133" s="342"/>
      <c r="AB133" s="342"/>
      <c r="AC133" s="342"/>
      <c r="AD133" s="342"/>
      <c r="AE133" s="342"/>
      <c r="AF133" s="342"/>
      <c r="AG133" s="342"/>
      <c r="AH133" s="342"/>
      <c r="AI133" s="342"/>
    </row>
    <row r="134">
      <c r="A134" s="342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  <c r="AA134" s="342"/>
      <c r="AB134" s="342"/>
      <c r="AC134" s="342"/>
      <c r="AD134" s="342"/>
      <c r="AE134" s="342"/>
      <c r="AF134" s="342"/>
      <c r="AG134" s="342"/>
      <c r="AH134" s="342"/>
      <c r="AI134" s="342"/>
    </row>
    <row r="135">
      <c r="A135" s="342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  <c r="AA135" s="342"/>
      <c r="AB135" s="342"/>
      <c r="AC135" s="342"/>
      <c r="AD135" s="342"/>
      <c r="AE135" s="342"/>
      <c r="AF135" s="342"/>
      <c r="AG135" s="342"/>
      <c r="AH135" s="342"/>
      <c r="AI135" s="342"/>
    </row>
    <row r="136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</row>
    <row r="137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</row>
    <row r="138">
      <c r="A138" s="342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  <c r="AA138" s="342"/>
      <c r="AB138" s="342"/>
      <c r="AC138" s="342"/>
      <c r="AD138" s="342"/>
      <c r="AE138" s="342"/>
      <c r="AF138" s="342"/>
      <c r="AG138" s="342"/>
      <c r="AH138" s="342"/>
      <c r="AI138" s="342"/>
    </row>
    <row r="139">
      <c r="A139" s="342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  <c r="AA139" s="342"/>
      <c r="AB139" s="342"/>
      <c r="AC139" s="342"/>
      <c r="AD139" s="342"/>
      <c r="AE139" s="342"/>
      <c r="AF139" s="342"/>
      <c r="AG139" s="342"/>
      <c r="AH139" s="342"/>
      <c r="AI139" s="342"/>
    </row>
    <row r="140">
      <c r="A140" s="342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  <c r="AA140" s="342"/>
      <c r="AB140" s="342"/>
      <c r="AC140" s="342"/>
      <c r="AD140" s="342"/>
      <c r="AE140" s="342"/>
      <c r="AF140" s="342"/>
      <c r="AG140" s="342"/>
      <c r="AH140" s="342"/>
      <c r="AI140" s="342"/>
    </row>
    <row r="141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  <c r="AA141" s="342"/>
      <c r="AB141" s="342"/>
      <c r="AC141" s="342"/>
      <c r="AD141" s="342"/>
      <c r="AE141" s="342"/>
      <c r="AF141" s="342"/>
      <c r="AG141" s="342"/>
      <c r="AH141" s="342"/>
      <c r="AI141" s="342"/>
    </row>
    <row r="142">
      <c r="A142" s="342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342"/>
      <c r="AB142" s="342"/>
      <c r="AC142" s="342"/>
      <c r="AD142" s="342"/>
      <c r="AE142" s="342"/>
      <c r="AF142" s="342"/>
      <c r="AG142" s="342"/>
      <c r="AH142" s="342"/>
      <c r="AI142" s="342"/>
    </row>
    <row r="143">
      <c r="A143" s="342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  <c r="AA143" s="342"/>
      <c r="AB143" s="342"/>
      <c r="AC143" s="342"/>
      <c r="AD143" s="342"/>
      <c r="AE143" s="342"/>
      <c r="AF143" s="342"/>
      <c r="AG143" s="342"/>
      <c r="AH143" s="342"/>
      <c r="AI143" s="342"/>
    </row>
    <row r="144">
      <c r="A144" s="342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  <c r="AA144" s="342"/>
      <c r="AB144" s="342"/>
      <c r="AC144" s="342"/>
      <c r="AD144" s="342"/>
      <c r="AE144" s="342"/>
      <c r="AF144" s="342"/>
      <c r="AG144" s="342"/>
      <c r="AH144" s="342"/>
      <c r="AI144" s="342"/>
    </row>
    <row r="145">
      <c r="A145" s="342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  <c r="AA145" s="342"/>
      <c r="AB145" s="342"/>
      <c r="AC145" s="342"/>
      <c r="AD145" s="342"/>
      <c r="AE145" s="342"/>
      <c r="AF145" s="342"/>
      <c r="AG145" s="342"/>
      <c r="AH145" s="342"/>
      <c r="AI145" s="342"/>
    </row>
    <row r="146">
      <c r="A146" s="342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  <c r="AA146" s="342"/>
      <c r="AB146" s="342"/>
      <c r="AC146" s="342"/>
      <c r="AD146" s="342"/>
      <c r="AE146" s="342"/>
      <c r="AF146" s="342"/>
      <c r="AG146" s="342"/>
      <c r="AH146" s="342"/>
      <c r="AI146" s="342"/>
    </row>
    <row r="147">
      <c r="A147" s="342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  <c r="AA147" s="342"/>
      <c r="AB147" s="342"/>
      <c r="AC147" s="342"/>
      <c r="AD147" s="342"/>
      <c r="AE147" s="342"/>
      <c r="AF147" s="342"/>
      <c r="AG147" s="342"/>
      <c r="AH147" s="342"/>
      <c r="AI147" s="342"/>
    </row>
    <row r="148">
      <c r="A148" s="342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  <c r="AA148" s="342"/>
      <c r="AB148" s="342"/>
      <c r="AC148" s="342"/>
      <c r="AD148" s="342"/>
      <c r="AE148" s="342"/>
      <c r="AF148" s="342"/>
      <c r="AG148" s="342"/>
      <c r="AH148" s="342"/>
      <c r="AI148" s="342"/>
    </row>
    <row r="149">
      <c r="A149" s="342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  <c r="AA149" s="342"/>
      <c r="AB149" s="342"/>
      <c r="AC149" s="342"/>
      <c r="AD149" s="342"/>
      <c r="AE149" s="342"/>
      <c r="AF149" s="342"/>
      <c r="AG149" s="342"/>
      <c r="AH149" s="342"/>
      <c r="AI149" s="342"/>
    </row>
    <row r="150">
      <c r="A150" s="342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  <c r="AA150" s="342"/>
      <c r="AB150" s="342"/>
      <c r="AC150" s="342"/>
      <c r="AD150" s="342"/>
      <c r="AE150" s="342"/>
      <c r="AF150" s="342"/>
      <c r="AG150" s="342"/>
      <c r="AH150" s="342"/>
      <c r="AI150" s="342"/>
    </row>
    <row r="151">
      <c r="A151" s="342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  <c r="AA151" s="342"/>
      <c r="AB151" s="342"/>
      <c r="AC151" s="342"/>
      <c r="AD151" s="342"/>
      <c r="AE151" s="342"/>
      <c r="AF151" s="342"/>
      <c r="AG151" s="342"/>
      <c r="AH151" s="342"/>
      <c r="AI151" s="342"/>
    </row>
    <row r="152">
      <c r="A152" s="342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  <c r="AA152" s="342"/>
      <c r="AB152" s="342"/>
      <c r="AC152" s="342"/>
      <c r="AD152" s="342"/>
      <c r="AE152" s="342"/>
      <c r="AF152" s="342"/>
      <c r="AG152" s="342"/>
      <c r="AH152" s="342"/>
      <c r="AI152" s="342"/>
    </row>
    <row r="153">
      <c r="A153" s="342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342"/>
      <c r="AB153" s="342"/>
      <c r="AC153" s="342"/>
      <c r="AD153" s="342"/>
      <c r="AE153" s="342"/>
      <c r="AF153" s="342"/>
      <c r="AG153" s="342"/>
      <c r="AH153" s="342"/>
      <c r="AI153" s="342"/>
    </row>
    <row r="154">
      <c r="A154" s="342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  <c r="AA154" s="342"/>
      <c r="AB154" s="342"/>
      <c r="AC154" s="342"/>
      <c r="AD154" s="342"/>
      <c r="AE154" s="342"/>
      <c r="AF154" s="342"/>
      <c r="AG154" s="342"/>
      <c r="AH154" s="342"/>
      <c r="AI154" s="342"/>
    </row>
    <row r="155">
      <c r="A155" s="342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  <c r="AA155" s="342"/>
      <c r="AB155" s="342"/>
      <c r="AC155" s="342"/>
      <c r="AD155" s="342"/>
      <c r="AE155" s="342"/>
      <c r="AF155" s="342"/>
      <c r="AG155" s="342"/>
      <c r="AH155" s="342"/>
      <c r="AI155" s="342"/>
    </row>
    <row r="156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  <c r="AA156" s="342"/>
      <c r="AB156" s="342"/>
      <c r="AC156" s="342"/>
      <c r="AD156" s="342"/>
      <c r="AE156" s="342"/>
      <c r="AF156" s="342"/>
      <c r="AG156" s="342"/>
      <c r="AH156" s="342"/>
      <c r="AI156" s="342"/>
    </row>
    <row r="157">
      <c r="A157" s="342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342"/>
      <c r="AB157" s="342"/>
      <c r="AC157" s="342"/>
      <c r="AD157" s="342"/>
      <c r="AE157" s="342"/>
      <c r="AF157" s="342"/>
      <c r="AG157" s="342"/>
      <c r="AH157" s="342"/>
      <c r="AI157" s="342"/>
    </row>
    <row r="158">
      <c r="A158" s="342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342"/>
      <c r="AB158" s="342"/>
      <c r="AC158" s="342"/>
      <c r="AD158" s="342"/>
      <c r="AE158" s="342"/>
      <c r="AF158" s="342"/>
      <c r="AG158" s="342"/>
      <c r="AH158" s="342"/>
      <c r="AI158" s="342"/>
    </row>
    <row r="159">
      <c r="A159" s="342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  <c r="AA159" s="342"/>
      <c r="AB159" s="342"/>
      <c r="AC159" s="342"/>
      <c r="AD159" s="342"/>
      <c r="AE159" s="342"/>
      <c r="AF159" s="342"/>
      <c r="AG159" s="342"/>
      <c r="AH159" s="342"/>
      <c r="AI159" s="342"/>
    </row>
    <row r="160">
      <c r="A160" s="342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  <c r="AA160" s="342"/>
      <c r="AB160" s="342"/>
      <c r="AC160" s="342"/>
      <c r="AD160" s="342"/>
      <c r="AE160" s="342"/>
      <c r="AF160" s="342"/>
      <c r="AG160" s="342"/>
      <c r="AH160" s="342"/>
      <c r="AI160" s="342"/>
    </row>
    <row r="161">
      <c r="A161" s="342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  <c r="AA161" s="342"/>
      <c r="AB161" s="342"/>
      <c r="AC161" s="342"/>
      <c r="AD161" s="342"/>
      <c r="AE161" s="342"/>
      <c r="AF161" s="342"/>
      <c r="AG161" s="342"/>
      <c r="AH161" s="342"/>
      <c r="AI161" s="342"/>
    </row>
    <row r="162">
      <c r="A162" s="342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  <c r="AA162" s="342"/>
      <c r="AB162" s="342"/>
      <c r="AC162" s="342"/>
      <c r="AD162" s="342"/>
      <c r="AE162" s="342"/>
      <c r="AF162" s="342"/>
      <c r="AG162" s="342"/>
      <c r="AH162" s="342"/>
      <c r="AI162" s="342"/>
    </row>
    <row r="163">
      <c r="A163" s="342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342"/>
      <c r="AB163" s="342"/>
      <c r="AC163" s="342"/>
      <c r="AD163" s="342"/>
      <c r="AE163" s="342"/>
      <c r="AF163" s="342"/>
      <c r="AG163" s="342"/>
      <c r="AH163" s="342"/>
      <c r="AI163" s="342"/>
    </row>
    <row r="164">
      <c r="A164" s="342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  <c r="AA164" s="342"/>
      <c r="AB164" s="342"/>
      <c r="AC164" s="342"/>
      <c r="AD164" s="342"/>
      <c r="AE164" s="342"/>
      <c r="AF164" s="342"/>
      <c r="AG164" s="342"/>
      <c r="AH164" s="342"/>
      <c r="AI164" s="342"/>
    </row>
    <row r="165">
      <c r="A165" s="342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  <c r="AA165" s="342"/>
      <c r="AB165" s="342"/>
      <c r="AC165" s="342"/>
      <c r="AD165" s="342"/>
      <c r="AE165" s="342"/>
      <c r="AF165" s="342"/>
      <c r="AG165" s="342"/>
      <c r="AH165" s="342"/>
      <c r="AI165" s="342"/>
    </row>
    <row r="166">
      <c r="A166" s="342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  <c r="AA166" s="342"/>
      <c r="AB166" s="342"/>
      <c r="AC166" s="342"/>
      <c r="AD166" s="342"/>
      <c r="AE166" s="342"/>
      <c r="AF166" s="342"/>
      <c r="AG166" s="342"/>
      <c r="AH166" s="342"/>
      <c r="AI166" s="342"/>
    </row>
    <row r="167">
      <c r="A167" s="342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  <c r="AA167" s="342"/>
      <c r="AB167" s="342"/>
      <c r="AC167" s="342"/>
      <c r="AD167" s="342"/>
      <c r="AE167" s="342"/>
      <c r="AF167" s="342"/>
      <c r="AG167" s="342"/>
      <c r="AH167" s="342"/>
      <c r="AI167" s="342"/>
    </row>
    <row r="168">
      <c r="A168" s="342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  <c r="AA168" s="342"/>
      <c r="AB168" s="342"/>
      <c r="AC168" s="342"/>
      <c r="AD168" s="342"/>
      <c r="AE168" s="342"/>
      <c r="AF168" s="342"/>
      <c r="AG168" s="342"/>
      <c r="AH168" s="342"/>
      <c r="AI168" s="342"/>
    </row>
    <row r="169">
      <c r="A169" s="342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342"/>
      <c r="AB169" s="342"/>
      <c r="AC169" s="342"/>
      <c r="AD169" s="342"/>
      <c r="AE169" s="342"/>
      <c r="AF169" s="342"/>
      <c r="AG169" s="342"/>
      <c r="AH169" s="342"/>
      <c r="AI169" s="342"/>
    </row>
    <row r="170">
      <c r="A170" s="342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  <c r="AA170" s="342"/>
      <c r="AB170" s="342"/>
      <c r="AC170" s="342"/>
      <c r="AD170" s="342"/>
      <c r="AE170" s="342"/>
      <c r="AF170" s="342"/>
      <c r="AG170" s="342"/>
      <c r="AH170" s="342"/>
      <c r="AI170" s="342"/>
    </row>
    <row r="171">
      <c r="A171" s="342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  <c r="AA171" s="342"/>
      <c r="AB171" s="342"/>
      <c r="AC171" s="342"/>
      <c r="AD171" s="342"/>
      <c r="AE171" s="342"/>
      <c r="AF171" s="342"/>
      <c r="AG171" s="342"/>
      <c r="AH171" s="342"/>
      <c r="AI171" s="342"/>
    </row>
    <row r="172">
      <c r="A172" s="342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  <c r="AA172" s="342"/>
      <c r="AB172" s="342"/>
      <c r="AC172" s="342"/>
      <c r="AD172" s="342"/>
      <c r="AE172" s="342"/>
      <c r="AF172" s="342"/>
      <c r="AG172" s="342"/>
      <c r="AH172" s="342"/>
      <c r="AI172" s="342"/>
    </row>
    <row r="173">
      <c r="A173" s="342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  <c r="AA173" s="342"/>
      <c r="AB173" s="342"/>
      <c r="AC173" s="342"/>
      <c r="AD173" s="342"/>
      <c r="AE173" s="342"/>
      <c r="AF173" s="342"/>
      <c r="AG173" s="342"/>
      <c r="AH173" s="342"/>
      <c r="AI173" s="342"/>
    </row>
    <row r="174">
      <c r="A174" s="342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  <c r="AA174" s="342"/>
      <c r="AB174" s="342"/>
      <c r="AC174" s="342"/>
      <c r="AD174" s="342"/>
      <c r="AE174" s="342"/>
      <c r="AF174" s="342"/>
      <c r="AG174" s="342"/>
      <c r="AH174" s="342"/>
      <c r="AI174" s="342"/>
    </row>
    <row r="175">
      <c r="A175" s="342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2"/>
      <c r="AI175" s="342"/>
    </row>
    <row r="176">
      <c r="A176" s="342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342"/>
      <c r="AB176" s="342"/>
      <c r="AC176" s="342"/>
      <c r="AD176" s="342"/>
      <c r="AE176" s="342"/>
      <c r="AF176" s="342"/>
      <c r="AG176" s="342"/>
      <c r="AH176" s="342"/>
      <c r="AI176" s="342"/>
    </row>
    <row r="177">
      <c r="A177" s="342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  <c r="AA177" s="342"/>
      <c r="AB177" s="342"/>
      <c r="AC177" s="342"/>
      <c r="AD177" s="342"/>
      <c r="AE177" s="342"/>
      <c r="AF177" s="342"/>
      <c r="AG177" s="342"/>
      <c r="AH177" s="342"/>
      <c r="AI177" s="342"/>
    </row>
    <row r="178">
      <c r="A178" s="342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  <c r="AA178" s="342"/>
      <c r="AB178" s="342"/>
      <c r="AC178" s="342"/>
      <c r="AD178" s="342"/>
      <c r="AE178" s="342"/>
      <c r="AF178" s="342"/>
      <c r="AG178" s="342"/>
      <c r="AH178" s="342"/>
      <c r="AI178" s="342"/>
    </row>
    <row r="179">
      <c r="A179" s="342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  <c r="AA179" s="342"/>
      <c r="AB179" s="342"/>
      <c r="AC179" s="342"/>
      <c r="AD179" s="342"/>
      <c r="AE179" s="342"/>
      <c r="AF179" s="342"/>
      <c r="AG179" s="342"/>
      <c r="AH179" s="342"/>
      <c r="AI179" s="342"/>
    </row>
    <row r="180">
      <c r="A180" s="342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  <c r="AA180" s="342"/>
      <c r="AB180" s="342"/>
      <c r="AC180" s="342"/>
      <c r="AD180" s="342"/>
      <c r="AE180" s="342"/>
      <c r="AF180" s="342"/>
      <c r="AG180" s="342"/>
      <c r="AH180" s="342"/>
      <c r="AI180" s="342"/>
    </row>
    <row r="181">
      <c r="A181" s="342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  <c r="AA181" s="342"/>
      <c r="AB181" s="342"/>
      <c r="AC181" s="342"/>
      <c r="AD181" s="342"/>
      <c r="AE181" s="342"/>
      <c r="AF181" s="342"/>
      <c r="AG181" s="342"/>
      <c r="AH181" s="342"/>
      <c r="AI181" s="342"/>
    </row>
    <row r="182">
      <c r="A182" s="342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  <c r="AA182" s="342"/>
      <c r="AB182" s="342"/>
      <c r="AC182" s="342"/>
      <c r="AD182" s="342"/>
      <c r="AE182" s="342"/>
      <c r="AF182" s="342"/>
      <c r="AG182" s="342"/>
      <c r="AH182" s="342"/>
      <c r="AI182" s="342"/>
    </row>
    <row r="183">
      <c r="A183" s="342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  <c r="AA183" s="342"/>
      <c r="AB183" s="342"/>
      <c r="AC183" s="342"/>
      <c r="AD183" s="342"/>
      <c r="AE183" s="342"/>
      <c r="AF183" s="342"/>
      <c r="AG183" s="342"/>
      <c r="AH183" s="342"/>
      <c r="AI183" s="342"/>
    </row>
    <row r="184">
      <c r="A184" s="342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  <c r="AA184" s="342"/>
      <c r="AB184" s="342"/>
      <c r="AC184" s="342"/>
      <c r="AD184" s="342"/>
      <c r="AE184" s="342"/>
      <c r="AF184" s="342"/>
      <c r="AG184" s="342"/>
      <c r="AH184" s="342"/>
      <c r="AI184" s="342"/>
    </row>
    <row r="185">
      <c r="A185" s="342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  <c r="AA185" s="342"/>
      <c r="AB185" s="342"/>
      <c r="AC185" s="342"/>
      <c r="AD185" s="342"/>
      <c r="AE185" s="342"/>
      <c r="AF185" s="342"/>
      <c r="AG185" s="342"/>
      <c r="AH185" s="342"/>
      <c r="AI185" s="342"/>
    </row>
    <row r="186">
      <c r="A186" s="342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  <c r="AA186" s="342"/>
      <c r="AB186" s="342"/>
      <c r="AC186" s="342"/>
      <c r="AD186" s="342"/>
      <c r="AE186" s="342"/>
      <c r="AF186" s="342"/>
      <c r="AG186" s="342"/>
      <c r="AH186" s="342"/>
      <c r="AI186" s="342"/>
    </row>
    <row r="187">
      <c r="A187" s="342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  <c r="AA187" s="342"/>
      <c r="AB187" s="342"/>
      <c r="AC187" s="342"/>
      <c r="AD187" s="342"/>
      <c r="AE187" s="342"/>
      <c r="AF187" s="342"/>
      <c r="AG187" s="342"/>
      <c r="AH187" s="342"/>
      <c r="AI187" s="342"/>
    </row>
    <row r="188">
      <c r="A188" s="342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  <c r="AA188" s="342"/>
      <c r="AB188" s="342"/>
      <c r="AC188" s="342"/>
      <c r="AD188" s="342"/>
      <c r="AE188" s="342"/>
      <c r="AF188" s="342"/>
      <c r="AG188" s="342"/>
      <c r="AH188" s="342"/>
      <c r="AI188" s="342"/>
    </row>
    <row r="189">
      <c r="A189" s="342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  <c r="AA189" s="342"/>
      <c r="AB189" s="342"/>
      <c r="AC189" s="342"/>
      <c r="AD189" s="342"/>
      <c r="AE189" s="342"/>
      <c r="AF189" s="342"/>
      <c r="AG189" s="342"/>
      <c r="AH189" s="342"/>
      <c r="AI189" s="342"/>
    </row>
    <row r="190">
      <c r="A190" s="342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  <c r="AA190" s="342"/>
      <c r="AB190" s="342"/>
      <c r="AC190" s="342"/>
      <c r="AD190" s="342"/>
      <c r="AE190" s="342"/>
      <c r="AF190" s="342"/>
      <c r="AG190" s="342"/>
      <c r="AH190" s="342"/>
      <c r="AI190" s="342"/>
    </row>
    <row r="191">
      <c r="A191" s="342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  <c r="AA191" s="342"/>
      <c r="AB191" s="342"/>
      <c r="AC191" s="342"/>
      <c r="AD191" s="342"/>
      <c r="AE191" s="342"/>
      <c r="AF191" s="342"/>
      <c r="AG191" s="342"/>
      <c r="AH191" s="342"/>
      <c r="AI191" s="342"/>
    </row>
    <row r="192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  <c r="AA192" s="342"/>
      <c r="AB192" s="342"/>
      <c r="AC192" s="342"/>
      <c r="AD192" s="342"/>
      <c r="AE192" s="342"/>
      <c r="AF192" s="342"/>
      <c r="AG192" s="342"/>
      <c r="AH192" s="342"/>
      <c r="AI192" s="342"/>
    </row>
    <row r="193">
      <c r="A193" s="342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  <c r="AA193" s="342"/>
      <c r="AB193" s="342"/>
      <c r="AC193" s="342"/>
      <c r="AD193" s="342"/>
      <c r="AE193" s="342"/>
      <c r="AF193" s="342"/>
      <c r="AG193" s="342"/>
      <c r="AH193" s="342"/>
      <c r="AI193" s="342"/>
    </row>
    <row r="194">
      <c r="A194" s="342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  <c r="AA194" s="342"/>
      <c r="AB194" s="342"/>
      <c r="AC194" s="342"/>
      <c r="AD194" s="342"/>
      <c r="AE194" s="342"/>
      <c r="AF194" s="342"/>
      <c r="AG194" s="342"/>
      <c r="AH194" s="342"/>
      <c r="AI194" s="342"/>
    </row>
    <row r="195">
      <c r="A195" s="342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  <c r="AA195" s="342"/>
      <c r="AB195" s="342"/>
      <c r="AC195" s="342"/>
      <c r="AD195" s="342"/>
      <c r="AE195" s="342"/>
      <c r="AF195" s="342"/>
      <c r="AG195" s="342"/>
      <c r="AH195" s="342"/>
      <c r="AI195" s="342"/>
    </row>
    <row r="196">
      <c r="A196" s="342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  <c r="AA196" s="342"/>
      <c r="AB196" s="342"/>
      <c r="AC196" s="342"/>
      <c r="AD196" s="342"/>
      <c r="AE196" s="342"/>
      <c r="AF196" s="342"/>
      <c r="AG196" s="342"/>
      <c r="AH196" s="342"/>
      <c r="AI196" s="342"/>
    </row>
    <row r="197">
      <c r="A197" s="342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  <c r="AA197" s="342"/>
      <c r="AB197" s="342"/>
      <c r="AC197" s="342"/>
      <c r="AD197" s="342"/>
      <c r="AE197" s="342"/>
      <c r="AF197" s="342"/>
      <c r="AG197" s="342"/>
      <c r="AH197" s="342"/>
      <c r="AI197" s="342"/>
    </row>
    <row r="198">
      <c r="A198" s="342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  <c r="AA198" s="342"/>
      <c r="AB198" s="342"/>
      <c r="AC198" s="342"/>
      <c r="AD198" s="342"/>
      <c r="AE198" s="342"/>
      <c r="AF198" s="342"/>
      <c r="AG198" s="342"/>
      <c r="AH198" s="342"/>
      <c r="AI198" s="342"/>
    </row>
    <row r="199">
      <c r="A199" s="342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  <c r="AA199" s="342"/>
      <c r="AB199" s="342"/>
      <c r="AC199" s="342"/>
      <c r="AD199" s="342"/>
      <c r="AE199" s="342"/>
      <c r="AF199" s="342"/>
      <c r="AG199" s="342"/>
      <c r="AH199" s="342"/>
      <c r="AI199" s="342"/>
    </row>
    <row r="200">
      <c r="A200" s="342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  <c r="AA200" s="342"/>
      <c r="AB200" s="342"/>
      <c r="AC200" s="342"/>
      <c r="AD200" s="342"/>
      <c r="AE200" s="342"/>
      <c r="AF200" s="342"/>
      <c r="AG200" s="342"/>
      <c r="AH200" s="342"/>
      <c r="AI200" s="342"/>
    </row>
    <row r="201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  <c r="AA201" s="342"/>
      <c r="AB201" s="342"/>
      <c r="AC201" s="342"/>
      <c r="AD201" s="342"/>
      <c r="AE201" s="342"/>
      <c r="AF201" s="342"/>
      <c r="AG201" s="342"/>
      <c r="AH201" s="342"/>
      <c r="AI201" s="342"/>
    </row>
    <row r="202">
      <c r="A202" s="342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  <c r="AA202" s="342"/>
      <c r="AB202" s="342"/>
      <c r="AC202" s="342"/>
      <c r="AD202" s="342"/>
      <c r="AE202" s="342"/>
      <c r="AF202" s="342"/>
      <c r="AG202" s="342"/>
      <c r="AH202" s="342"/>
      <c r="AI202" s="342"/>
    </row>
    <row r="203">
      <c r="A203" s="342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  <c r="AA203" s="342"/>
      <c r="AB203" s="342"/>
      <c r="AC203" s="342"/>
      <c r="AD203" s="342"/>
      <c r="AE203" s="342"/>
      <c r="AF203" s="342"/>
      <c r="AG203" s="342"/>
      <c r="AH203" s="342"/>
      <c r="AI203" s="342"/>
    </row>
    <row r="204">
      <c r="A204" s="342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  <c r="AA204" s="342"/>
      <c r="AB204" s="342"/>
      <c r="AC204" s="342"/>
      <c r="AD204" s="342"/>
      <c r="AE204" s="342"/>
      <c r="AF204" s="342"/>
      <c r="AG204" s="342"/>
      <c r="AH204" s="342"/>
      <c r="AI204" s="342"/>
    </row>
    <row r="205">
      <c r="A205" s="342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  <c r="AA205" s="342"/>
      <c r="AB205" s="342"/>
      <c r="AC205" s="342"/>
      <c r="AD205" s="342"/>
      <c r="AE205" s="342"/>
      <c r="AF205" s="342"/>
      <c r="AG205" s="342"/>
      <c r="AH205" s="342"/>
      <c r="AI205" s="342"/>
    </row>
    <row r="206">
      <c r="A206" s="342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  <c r="AA206" s="342"/>
      <c r="AB206" s="342"/>
      <c r="AC206" s="342"/>
      <c r="AD206" s="342"/>
      <c r="AE206" s="342"/>
      <c r="AF206" s="342"/>
      <c r="AG206" s="342"/>
      <c r="AH206" s="342"/>
      <c r="AI206" s="342"/>
    </row>
    <row r="207">
      <c r="A207" s="342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  <c r="AA207" s="342"/>
      <c r="AB207" s="342"/>
      <c r="AC207" s="342"/>
      <c r="AD207" s="342"/>
      <c r="AE207" s="342"/>
      <c r="AF207" s="342"/>
      <c r="AG207" s="342"/>
      <c r="AH207" s="342"/>
      <c r="AI207" s="342"/>
    </row>
    <row r="208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  <c r="AA208" s="342"/>
      <c r="AB208" s="342"/>
      <c r="AC208" s="342"/>
      <c r="AD208" s="342"/>
      <c r="AE208" s="342"/>
      <c r="AF208" s="342"/>
      <c r="AG208" s="342"/>
      <c r="AH208" s="342"/>
      <c r="AI208" s="342"/>
    </row>
    <row r="209">
      <c r="A209" s="342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  <c r="AA209" s="342"/>
      <c r="AB209" s="342"/>
      <c r="AC209" s="342"/>
      <c r="AD209" s="342"/>
      <c r="AE209" s="342"/>
      <c r="AF209" s="342"/>
      <c r="AG209" s="342"/>
      <c r="AH209" s="342"/>
      <c r="AI209" s="342"/>
    </row>
    <row r="210">
      <c r="A210" s="342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  <c r="AA210" s="342"/>
      <c r="AB210" s="342"/>
      <c r="AC210" s="342"/>
      <c r="AD210" s="342"/>
      <c r="AE210" s="342"/>
      <c r="AF210" s="342"/>
      <c r="AG210" s="342"/>
      <c r="AH210" s="342"/>
      <c r="AI210" s="342"/>
    </row>
    <row r="211">
      <c r="A211" s="342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  <c r="AA211" s="342"/>
      <c r="AB211" s="342"/>
      <c r="AC211" s="342"/>
      <c r="AD211" s="342"/>
      <c r="AE211" s="342"/>
      <c r="AF211" s="342"/>
      <c r="AG211" s="342"/>
      <c r="AH211" s="342"/>
      <c r="AI211" s="342"/>
    </row>
    <row r="212">
      <c r="A212" s="342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  <c r="AA212" s="342"/>
      <c r="AB212" s="342"/>
      <c r="AC212" s="342"/>
      <c r="AD212" s="342"/>
      <c r="AE212" s="342"/>
      <c r="AF212" s="342"/>
      <c r="AG212" s="342"/>
      <c r="AH212" s="342"/>
      <c r="AI212" s="342"/>
    </row>
    <row r="213">
      <c r="A213" s="342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  <c r="AA213" s="342"/>
      <c r="AB213" s="342"/>
      <c r="AC213" s="342"/>
      <c r="AD213" s="342"/>
      <c r="AE213" s="342"/>
      <c r="AF213" s="342"/>
      <c r="AG213" s="342"/>
      <c r="AH213" s="342"/>
      <c r="AI213" s="342"/>
    </row>
    <row r="214">
      <c r="A214" s="342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  <c r="AA214" s="342"/>
      <c r="AB214" s="342"/>
      <c r="AC214" s="342"/>
      <c r="AD214" s="342"/>
      <c r="AE214" s="342"/>
      <c r="AF214" s="342"/>
      <c r="AG214" s="342"/>
      <c r="AH214" s="342"/>
      <c r="AI214" s="342"/>
    </row>
    <row r="215">
      <c r="A215" s="342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  <c r="AA215" s="342"/>
      <c r="AB215" s="342"/>
      <c r="AC215" s="342"/>
      <c r="AD215" s="342"/>
      <c r="AE215" s="342"/>
      <c r="AF215" s="342"/>
      <c r="AG215" s="342"/>
      <c r="AH215" s="342"/>
      <c r="AI215" s="342"/>
    </row>
    <row r="216">
      <c r="A216" s="342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  <c r="AA216" s="342"/>
      <c r="AB216" s="342"/>
      <c r="AC216" s="342"/>
      <c r="AD216" s="342"/>
      <c r="AE216" s="342"/>
      <c r="AF216" s="342"/>
      <c r="AG216" s="342"/>
      <c r="AH216" s="342"/>
      <c r="AI216" s="342"/>
    </row>
    <row r="217">
      <c r="A217" s="342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  <c r="AA217" s="342"/>
      <c r="AB217" s="342"/>
      <c r="AC217" s="342"/>
      <c r="AD217" s="342"/>
      <c r="AE217" s="342"/>
      <c r="AF217" s="342"/>
      <c r="AG217" s="342"/>
      <c r="AH217" s="342"/>
      <c r="AI217" s="342"/>
    </row>
    <row r="218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  <c r="AA218" s="342"/>
      <c r="AB218" s="342"/>
      <c r="AC218" s="342"/>
      <c r="AD218" s="342"/>
      <c r="AE218" s="342"/>
      <c r="AF218" s="342"/>
      <c r="AG218" s="342"/>
      <c r="AH218" s="342"/>
      <c r="AI218" s="342"/>
    </row>
    <row r="219">
      <c r="A219" s="342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  <c r="AA219" s="342"/>
      <c r="AB219" s="342"/>
      <c r="AC219" s="342"/>
      <c r="AD219" s="342"/>
      <c r="AE219" s="342"/>
      <c r="AF219" s="342"/>
      <c r="AG219" s="342"/>
      <c r="AH219" s="342"/>
      <c r="AI219" s="342"/>
    </row>
    <row r="220">
      <c r="A220" s="342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  <c r="AA220" s="342"/>
      <c r="AB220" s="342"/>
      <c r="AC220" s="342"/>
      <c r="AD220" s="342"/>
      <c r="AE220" s="342"/>
      <c r="AF220" s="342"/>
      <c r="AG220" s="342"/>
      <c r="AH220" s="342"/>
      <c r="AI220" s="342"/>
    </row>
    <row r="221">
      <c r="A221" s="342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  <c r="AA221" s="342"/>
      <c r="AB221" s="342"/>
      <c r="AC221" s="342"/>
      <c r="AD221" s="342"/>
      <c r="AE221" s="342"/>
      <c r="AF221" s="342"/>
      <c r="AG221" s="342"/>
      <c r="AH221" s="342"/>
      <c r="AI221" s="342"/>
    </row>
    <row r="222">
      <c r="A222" s="342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  <c r="AA222" s="342"/>
      <c r="AB222" s="342"/>
      <c r="AC222" s="342"/>
      <c r="AD222" s="342"/>
      <c r="AE222" s="342"/>
      <c r="AF222" s="342"/>
      <c r="AG222" s="342"/>
      <c r="AH222" s="342"/>
      <c r="AI222" s="342"/>
    </row>
    <row r="223">
      <c r="A223" s="342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  <c r="AA223" s="342"/>
      <c r="AB223" s="342"/>
      <c r="AC223" s="342"/>
      <c r="AD223" s="342"/>
      <c r="AE223" s="342"/>
      <c r="AF223" s="342"/>
      <c r="AG223" s="342"/>
      <c r="AH223" s="342"/>
      <c r="AI223" s="342"/>
    </row>
    <row r="224">
      <c r="A224" s="342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  <c r="AA224" s="342"/>
      <c r="AB224" s="342"/>
      <c r="AC224" s="342"/>
      <c r="AD224" s="342"/>
      <c r="AE224" s="342"/>
      <c r="AF224" s="342"/>
      <c r="AG224" s="342"/>
      <c r="AH224" s="342"/>
      <c r="AI224" s="342"/>
    </row>
    <row r="225">
      <c r="A225" s="342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  <c r="AA225" s="342"/>
      <c r="AB225" s="342"/>
      <c r="AC225" s="342"/>
      <c r="AD225" s="342"/>
      <c r="AE225" s="342"/>
      <c r="AF225" s="342"/>
      <c r="AG225" s="342"/>
      <c r="AH225" s="342"/>
      <c r="AI225" s="342"/>
    </row>
    <row r="226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  <c r="AA226" s="342"/>
      <c r="AB226" s="342"/>
      <c r="AC226" s="342"/>
      <c r="AD226" s="342"/>
      <c r="AE226" s="342"/>
      <c r="AF226" s="342"/>
      <c r="AG226" s="342"/>
      <c r="AH226" s="342"/>
      <c r="AI226" s="342"/>
    </row>
    <row r="227">
      <c r="A227" s="342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  <c r="AA227" s="342"/>
      <c r="AB227" s="342"/>
      <c r="AC227" s="342"/>
      <c r="AD227" s="342"/>
      <c r="AE227" s="342"/>
      <c r="AF227" s="342"/>
      <c r="AG227" s="342"/>
      <c r="AH227" s="342"/>
      <c r="AI227" s="342"/>
    </row>
    <row r="228">
      <c r="A228" s="342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  <c r="AA228" s="342"/>
      <c r="AB228" s="342"/>
      <c r="AC228" s="342"/>
      <c r="AD228" s="342"/>
      <c r="AE228" s="342"/>
      <c r="AF228" s="342"/>
      <c r="AG228" s="342"/>
      <c r="AH228" s="342"/>
      <c r="AI228" s="342"/>
    </row>
    <row r="229">
      <c r="A229" s="342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  <c r="AA229" s="342"/>
      <c r="AB229" s="342"/>
      <c r="AC229" s="342"/>
      <c r="AD229" s="342"/>
      <c r="AE229" s="342"/>
      <c r="AF229" s="342"/>
      <c r="AG229" s="342"/>
      <c r="AH229" s="342"/>
      <c r="AI229" s="342"/>
    </row>
    <row r="230">
      <c r="A230" s="342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  <c r="AA230" s="342"/>
      <c r="AB230" s="342"/>
      <c r="AC230" s="342"/>
      <c r="AD230" s="342"/>
      <c r="AE230" s="342"/>
      <c r="AF230" s="342"/>
      <c r="AG230" s="342"/>
      <c r="AH230" s="342"/>
      <c r="AI230" s="342"/>
    </row>
    <row r="231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  <c r="AA231" s="342"/>
      <c r="AB231" s="342"/>
      <c r="AC231" s="342"/>
      <c r="AD231" s="342"/>
      <c r="AE231" s="342"/>
      <c r="AF231" s="342"/>
      <c r="AG231" s="342"/>
      <c r="AH231" s="342"/>
      <c r="AI231" s="342"/>
    </row>
    <row r="232">
      <c r="A232" s="342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  <c r="AA232" s="342"/>
      <c r="AB232" s="342"/>
      <c r="AC232" s="342"/>
      <c r="AD232" s="342"/>
      <c r="AE232" s="342"/>
      <c r="AF232" s="342"/>
      <c r="AG232" s="342"/>
      <c r="AH232" s="342"/>
      <c r="AI232" s="342"/>
    </row>
    <row r="233">
      <c r="A233" s="342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  <c r="AA233" s="342"/>
      <c r="AB233" s="342"/>
      <c r="AC233" s="342"/>
      <c r="AD233" s="342"/>
      <c r="AE233" s="342"/>
      <c r="AF233" s="342"/>
      <c r="AG233" s="342"/>
      <c r="AH233" s="342"/>
      <c r="AI233" s="342"/>
    </row>
    <row r="234">
      <c r="A234" s="342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  <c r="AA234" s="342"/>
      <c r="AB234" s="342"/>
      <c r="AC234" s="342"/>
      <c r="AD234" s="342"/>
      <c r="AE234" s="342"/>
      <c r="AF234" s="342"/>
      <c r="AG234" s="342"/>
      <c r="AH234" s="342"/>
      <c r="AI234" s="342"/>
    </row>
    <row r="235">
      <c r="A235" s="342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  <c r="AA235" s="342"/>
      <c r="AB235" s="342"/>
      <c r="AC235" s="342"/>
      <c r="AD235" s="342"/>
      <c r="AE235" s="342"/>
      <c r="AF235" s="342"/>
      <c r="AG235" s="342"/>
      <c r="AH235" s="342"/>
      <c r="AI235" s="342"/>
    </row>
    <row r="236">
      <c r="A236" s="342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  <c r="AA236" s="342"/>
      <c r="AB236" s="342"/>
      <c r="AC236" s="342"/>
      <c r="AD236" s="342"/>
      <c r="AE236" s="342"/>
      <c r="AF236" s="342"/>
      <c r="AG236" s="342"/>
      <c r="AH236" s="342"/>
      <c r="AI236" s="342"/>
    </row>
    <row r="237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  <c r="AA237" s="342"/>
      <c r="AB237" s="342"/>
      <c r="AC237" s="342"/>
      <c r="AD237" s="342"/>
      <c r="AE237" s="342"/>
      <c r="AF237" s="342"/>
      <c r="AG237" s="342"/>
      <c r="AH237" s="342"/>
      <c r="AI237" s="342"/>
    </row>
    <row r="238">
      <c r="A238" s="342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  <c r="AA238" s="342"/>
      <c r="AB238" s="342"/>
      <c r="AC238" s="342"/>
      <c r="AD238" s="342"/>
      <c r="AE238" s="342"/>
      <c r="AF238" s="342"/>
      <c r="AG238" s="342"/>
      <c r="AH238" s="342"/>
      <c r="AI238" s="342"/>
    </row>
    <row r="239">
      <c r="A239" s="342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  <c r="AA239" s="342"/>
      <c r="AB239" s="342"/>
      <c r="AC239" s="342"/>
      <c r="AD239" s="342"/>
      <c r="AE239" s="342"/>
      <c r="AF239" s="342"/>
      <c r="AG239" s="342"/>
      <c r="AH239" s="342"/>
      <c r="AI239" s="342"/>
    </row>
    <row r="240">
      <c r="A240" s="342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  <c r="AA240" s="342"/>
      <c r="AB240" s="342"/>
      <c r="AC240" s="342"/>
      <c r="AD240" s="342"/>
      <c r="AE240" s="342"/>
      <c r="AF240" s="342"/>
      <c r="AG240" s="342"/>
      <c r="AH240" s="342"/>
      <c r="AI240" s="342"/>
    </row>
    <row r="241">
      <c r="A241" s="342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  <c r="AA241" s="342"/>
      <c r="AB241" s="342"/>
      <c r="AC241" s="342"/>
      <c r="AD241" s="342"/>
      <c r="AE241" s="342"/>
      <c r="AF241" s="342"/>
      <c r="AG241" s="342"/>
      <c r="AH241" s="342"/>
      <c r="AI241" s="342"/>
    </row>
    <row r="242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  <c r="AA242" s="342"/>
      <c r="AB242" s="342"/>
      <c r="AC242" s="342"/>
      <c r="AD242" s="342"/>
      <c r="AE242" s="342"/>
      <c r="AF242" s="342"/>
      <c r="AG242" s="342"/>
      <c r="AH242" s="342"/>
      <c r="AI242" s="342"/>
    </row>
    <row r="243">
      <c r="A243" s="342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  <c r="AA243" s="342"/>
      <c r="AB243" s="342"/>
      <c r="AC243" s="342"/>
      <c r="AD243" s="342"/>
      <c r="AE243" s="342"/>
      <c r="AF243" s="342"/>
      <c r="AG243" s="342"/>
      <c r="AH243" s="342"/>
      <c r="AI243" s="342"/>
    </row>
    <row r="244">
      <c r="A244" s="342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  <c r="AA244" s="342"/>
      <c r="AB244" s="342"/>
      <c r="AC244" s="342"/>
      <c r="AD244" s="342"/>
      <c r="AE244" s="342"/>
      <c r="AF244" s="342"/>
      <c r="AG244" s="342"/>
      <c r="AH244" s="342"/>
      <c r="AI244" s="342"/>
    </row>
    <row r="245">
      <c r="A245" s="342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  <c r="AA245" s="342"/>
      <c r="AB245" s="342"/>
      <c r="AC245" s="342"/>
      <c r="AD245" s="342"/>
      <c r="AE245" s="342"/>
      <c r="AF245" s="342"/>
      <c r="AG245" s="342"/>
      <c r="AH245" s="342"/>
      <c r="AI245" s="342"/>
    </row>
    <row r="246">
      <c r="A246" s="342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  <c r="AA246" s="342"/>
      <c r="AB246" s="342"/>
      <c r="AC246" s="342"/>
      <c r="AD246" s="342"/>
      <c r="AE246" s="342"/>
      <c r="AF246" s="342"/>
      <c r="AG246" s="342"/>
      <c r="AH246" s="342"/>
      <c r="AI246" s="342"/>
    </row>
    <row r="247">
      <c r="A247" s="342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  <c r="AA247" s="342"/>
      <c r="AB247" s="342"/>
      <c r="AC247" s="342"/>
      <c r="AD247" s="342"/>
      <c r="AE247" s="342"/>
      <c r="AF247" s="342"/>
      <c r="AG247" s="342"/>
      <c r="AH247" s="342"/>
      <c r="AI247" s="342"/>
    </row>
    <row r="248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  <c r="AA248" s="342"/>
      <c r="AB248" s="342"/>
      <c r="AC248" s="342"/>
      <c r="AD248" s="342"/>
      <c r="AE248" s="342"/>
      <c r="AF248" s="342"/>
      <c r="AG248" s="342"/>
      <c r="AH248" s="342"/>
      <c r="AI248" s="342"/>
    </row>
    <row r="249">
      <c r="A249" s="342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  <c r="AA249" s="342"/>
      <c r="AB249" s="342"/>
      <c r="AC249" s="342"/>
      <c r="AD249" s="342"/>
      <c r="AE249" s="342"/>
      <c r="AF249" s="342"/>
      <c r="AG249" s="342"/>
      <c r="AH249" s="342"/>
      <c r="AI249" s="342"/>
    </row>
    <row r="250">
      <c r="A250" s="342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  <c r="AA250" s="342"/>
      <c r="AB250" s="342"/>
      <c r="AC250" s="342"/>
      <c r="AD250" s="342"/>
      <c r="AE250" s="342"/>
      <c r="AF250" s="342"/>
      <c r="AG250" s="342"/>
      <c r="AH250" s="342"/>
      <c r="AI250" s="342"/>
    </row>
    <row r="251">
      <c r="A251" s="342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  <c r="AA251" s="342"/>
      <c r="AB251" s="342"/>
      <c r="AC251" s="342"/>
      <c r="AD251" s="342"/>
      <c r="AE251" s="342"/>
      <c r="AF251" s="342"/>
      <c r="AG251" s="342"/>
      <c r="AH251" s="342"/>
      <c r="AI251" s="342"/>
    </row>
    <row r="252">
      <c r="A252" s="342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  <c r="AA252" s="342"/>
      <c r="AB252" s="342"/>
      <c r="AC252" s="342"/>
      <c r="AD252" s="342"/>
      <c r="AE252" s="342"/>
      <c r="AF252" s="342"/>
      <c r="AG252" s="342"/>
      <c r="AH252" s="342"/>
      <c r="AI252" s="342"/>
    </row>
    <row r="253">
      <c r="A253" s="342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  <c r="AA253" s="342"/>
      <c r="AB253" s="342"/>
      <c r="AC253" s="342"/>
      <c r="AD253" s="342"/>
      <c r="AE253" s="342"/>
      <c r="AF253" s="342"/>
      <c r="AG253" s="342"/>
      <c r="AH253" s="342"/>
      <c r="AI253" s="342"/>
    </row>
    <row r="254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  <c r="AA254" s="342"/>
      <c r="AB254" s="342"/>
      <c r="AC254" s="342"/>
      <c r="AD254" s="342"/>
      <c r="AE254" s="342"/>
      <c r="AF254" s="342"/>
      <c r="AG254" s="342"/>
      <c r="AH254" s="342"/>
      <c r="AI254" s="342"/>
    </row>
    <row r="255">
      <c r="A255" s="342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  <c r="AA255" s="342"/>
      <c r="AB255" s="342"/>
      <c r="AC255" s="342"/>
      <c r="AD255" s="342"/>
      <c r="AE255" s="342"/>
      <c r="AF255" s="342"/>
      <c r="AG255" s="342"/>
      <c r="AH255" s="342"/>
      <c r="AI255" s="342"/>
    </row>
    <row r="256">
      <c r="A256" s="342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  <c r="AA256" s="342"/>
      <c r="AB256" s="342"/>
      <c r="AC256" s="342"/>
      <c r="AD256" s="342"/>
      <c r="AE256" s="342"/>
      <c r="AF256" s="342"/>
      <c r="AG256" s="342"/>
      <c r="AH256" s="342"/>
      <c r="AI256" s="342"/>
    </row>
    <row r="257">
      <c r="A257" s="342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  <c r="AA257" s="342"/>
      <c r="AB257" s="342"/>
      <c r="AC257" s="342"/>
      <c r="AD257" s="342"/>
      <c r="AE257" s="342"/>
      <c r="AF257" s="342"/>
      <c r="AG257" s="342"/>
      <c r="AH257" s="342"/>
      <c r="AI257" s="342"/>
    </row>
    <row r="258">
      <c r="A258" s="342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  <c r="AA258" s="342"/>
      <c r="AB258" s="342"/>
      <c r="AC258" s="342"/>
      <c r="AD258" s="342"/>
      <c r="AE258" s="342"/>
      <c r="AF258" s="342"/>
      <c r="AG258" s="342"/>
      <c r="AH258" s="342"/>
      <c r="AI258" s="342"/>
    </row>
    <row r="259">
      <c r="A259" s="342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  <c r="AA259" s="342"/>
      <c r="AB259" s="342"/>
      <c r="AC259" s="342"/>
      <c r="AD259" s="342"/>
      <c r="AE259" s="342"/>
      <c r="AF259" s="342"/>
      <c r="AG259" s="342"/>
      <c r="AH259" s="342"/>
      <c r="AI259" s="342"/>
    </row>
    <row r="260">
      <c r="A260" s="342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  <c r="AA260" s="342"/>
      <c r="AB260" s="342"/>
      <c r="AC260" s="342"/>
      <c r="AD260" s="342"/>
      <c r="AE260" s="342"/>
      <c r="AF260" s="342"/>
      <c r="AG260" s="342"/>
      <c r="AH260" s="342"/>
      <c r="AI260" s="342"/>
    </row>
    <row r="261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  <c r="AA261" s="342"/>
      <c r="AB261" s="342"/>
      <c r="AC261" s="342"/>
      <c r="AD261" s="342"/>
      <c r="AE261" s="342"/>
      <c r="AF261" s="342"/>
      <c r="AG261" s="342"/>
      <c r="AH261" s="342"/>
      <c r="AI261" s="342"/>
    </row>
    <row r="262">
      <c r="A262" s="342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  <c r="AA262" s="342"/>
      <c r="AB262" s="342"/>
      <c r="AC262" s="342"/>
      <c r="AD262" s="342"/>
      <c r="AE262" s="342"/>
      <c r="AF262" s="342"/>
      <c r="AG262" s="342"/>
      <c r="AH262" s="342"/>
      <c r="AI262" s="342"/>
    </row>
    <row r="263">
      <c r="A263" s="342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  <c r="AA263" s="342"/>
      <c r="AB263" s="342"/>
      <c r="AC263" s="342"/>
      <c r="AD263" s="342"/>
      <c r="AE263" s="342"/>
      <c r="AF263" s="342"/>
      <c r="AG263" s="342"/>
      <c r="AH263" s="342"/>
      <c r="AI263" s="342"/>
    </row>
    <row r="264">
      <c r="A264" s="342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  <c r="AA264" s="342"/>
      <c r="AB264" s="342"/>
      <c r="AC264" s="342"/>
      <c r="AD264" s="342"/>
      <c r="AE264" s="342"/>
      <c r="AF264" s="342"/>
      <c r="AG264" s="342"/>
      <c r="AH264" s="342"/>
      <c r="AI264" s="342"/>
    </row>
    <row r="265">
      <c r="A265" s="342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  <c r="AA265" s="342"/>
      <c r="AB265" s="342"/>
      <c r="AC265" s="342"/>
      <c r="AD265" s="342"/>
      <c r="AE265" s="342"/>
      <c r="AF265" s="342"/>
      <c r="AG265" s="342"/>
      <c r="AH265" s="342"/>
      <c r="AI265" s="342"/>
    </row>
    <row r="266">
      <c r="A266" s="342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  <c r="AA266" s="342"/>
      <c r="AB266" s="342"/>
      <c r="AC266" s="342"/>
      <c r="AD266" s="342"/>
      <c r="AE266" s="342"/>
      <c r="AF266" s="342"/>
      <c r="AG266" s="342"/>
      <c r="AH266" s="342"/>
      <c r="AI266" s="342"/>
    </row>
    <row r="267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  <c r="AA267" s="342"/>
      <c r="AB267" s="342"/>
      <c r="AC267" s="342"/>
      <c r="AD267" s="342"/>
      <c r="AE267" s="342"/>
      <c r="AF267" s="342"/>
      <c r="AG267" s="342"/>
      <c r="AH267" s="342"/>
      <c r="AI267" s="342"/>
    </row>
    <row r="268">
      <c r="A268" s="342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  <c r="AA268" s="342"/>
      <c r="AB268" s="342"/>
      <c r="AC268" s="342"/>
      <c r="AD268" s="342"/>
      <c r="AE268" s="342"/>
      <c r="AF268" s="342"/>
      <c r="AG268" s="342"/>
      <c r="AH268" s="342"/>
      <c r="AI268" s="342"/>
    </row>
    <row r="269">
      <c r="A269" s="342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  <c r="AA269" s="342"/>
      <c r="AB269" s="342"/>
      <c r="AC269" s="342"/>
      <c r="AD269" s="342"/>
      <c r="AE269" s="342"/>
      <c r="AF269" s="342"/>
      <c r="AG269" s="342"/>
      <c r="AH269" s="342"/>
      <c r="AI269" s="342"/>
    </row>
    <row r="270">
      <c r="A270" s="342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  <c r="AA270" s="342"/>
      <c r="AB270" s="342"/>
      <c r="AC270" s="342"/>
      <c r="AD270" s="342"/>
      <c r="AE270" s="342"/>
      <c r="AF270" s="342"/>
      <c r="AG270" s="342"/>
      <c r="AH270" s="342"/>
      <c r="AI270" s="342"/>
    </row>
    <row r="271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  <c r="AA271" s="342"/>
      <c r="AB271" s="342"/>
      <c r="AC271" s="342"/>
      <c r="AD271" s="342"/>
      <c r="AE271" s="342"/>
      <c r="AF271" s="342"/>
      <c r="AG271" s="342"/>
      <c r="AH271" s="342"/>
      <c r="AI271" s="342"/>
    </row>
    <row r="272">
      <c r="A272" s="342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  <c r="AA272" s="342"/>
      <c r="AB272" s="342"/>
      <c r="AC272" s="342"/>
      <c r="AD272" s="342"/>
      <c r="AE272" s="342"/>
      <c r="AF272" s="342"/>
      <c r="AG272" s="342"/>
      <c r="AH272" s="342"/>
      <c r="AI272" s="342"/>
    </row>
    <row r="273">
      <c r="A273" s="342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  <c r="AA273" s="342"/>
      <c r="AB273" s="342"/>
      <c r="AC273" s="342"/>
      <c r="AD273" s="342"/>
      <c r="AE273" s="342"/>
      <c r="AF273" s="342"/>
      <c r="AG273" s="342"/>
      <c r="AH273" s="342"/>
      <c r="AI273" s="342"/>
    </row>
    <row r="274">
      <c r="A274" s="342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  <c r="AA274" s="342"/>
      <c r="AB274" s="342"/>
      <c r="AC274" s="342"/>
      <c r="AD274" s="342"/>
      <c r="AE274" s="342"/>
      <c r="AF274" s="342"/>
      <c r="AG274" s="342"/>
      <c r="AH274" s="342"/>
      <c r="AI274" s="342"/>
    </row>
    <row r="275">
      <c r="A275" s="342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  <c r="AA275" s="342"/>
      <c r="AB275" s="342"/>
      <c r="AC275" s="342"/>
      <c r="AD275" s="342"/>
      <c r="AE275" s="342"/>
      <c r="AF275" s="342"/>
      <c r="AG275" s="342"/>
      <c r="AH275" s="342"/>
      <c r="AI275" s="342"/>
    </row>
    <row r="276">
      <c r="A276" s="342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  <c r="AA276" s="342"/>
      <c r="AB276" s="342"/>
      <c r="AC276" s="342"/>
      <c r="AD276" s="342"/>
      <c r="AE276" s="342"/>
      <c r="AF276" s="342"/>
      <c r="AG276" s="342"/>
      <c r="AH276" s="342"/>
      <c r="AI276" s="342"/>
    </row>
    <row r="277">
      <c r="A277" s="342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  <c r="AA277" s="342"/>
      <c r="AB277" s="342"/>
      <c r="AC277" s="342"/>
      <c r="AD277" s="342"/>
      <c r="AE277" s="342"/>
      <c r="AF277" s="342"/>
      <c r="AG277" s="342"/>
      <c r="AH277" s="342"/>
      <c r="AI277" s="342"/>
    </row>
    <row r="278">
      <c r="A278" s="342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  <c r="AA278" s="342"/>
      <c r="AB278" s="342"/>
      <c r="AC278" s="342"/>
      <c r="AD278" s="342"/>
      <c r="AE278" s="342"/>
      <c r="AF278" s="342"/>
      <c r="AG278" s="342"/>
      <c r="AH278" s="342"/>
      <c r="AI278" s="342"/>
    </row>
    <row r="279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  <c r="AA279" s="342"/>
      <c r="AB279" s="342"/>
      <c r="AC279" s="342"/>
      <c r="AD279" s="342"/>
      <c r="AE279" s="342"/>
      <c r="AF279" s="342"/>
      <c r="AG279" s="342"/>
      <c r="AH279" s="342"/>
      <c r="AI279" s="342"/>
    </row>
    <row r="280">
      <c r="A280" s="342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  <c r="AA280" s="342"/>
      <c r="AB280" s="342"/>
      <c r="AC280" s="342"/>
      <c r="AD280" s="342"/>
      <c r="AE280" s="342"/>
      <c r="AF280" s="342"/>
      <c r="AG280" s="342"/>
      <c r="AH280" s="342"/>
      <c r="AI280" s="342"/>
    </row>
    <row r="281">
      <c r="A281" s="342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  <c r="AA281" s="342"/>
      <c r="AB281" s="342"/>
      <c r="AC281" s="342"/>
      <c r="AD281" s="342"/>
      <c r="AE281" s="342"/>
      <c r="AF281" s="342"/>
      <c r="AG281" s="342"/>
      <c r="AH281" s="342"/>
      <c r="AI281" s="342"/>
    </row>
    <row r="282">
      <c r="A282" s="342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  <c r="AA282" s="342"/>
      <c r="AB282" s="342"/>
      <c r="AC282" s="342"/>
      <c r="AD282" s="342"/>
      <c r="AE282" s="342"/>
      <c r="AF282" s="342"/>
      <c r="AG282" s="342"/>
      <c r="AH282" s="342"/>
      <c r="AI282" s="342"/>
    </row>
    <row r="283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  <c r="AA283" s="342"/>
      <c r="AB283" s="342"/>
      <c r="AC283" s="342"/>
      <c r="AD283" s="342"/>
      <c r="AE283" s="342"/>
      <c r="AF283" s="342"/>
      <c r="AG283" s="342"/>
      <c r="AH283" s="342"/>
      <c r="AI283" s="342"/>
    </row>
    <row r="284">
      <c r="A284" s="342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  <c r="AA284" s="342"/>
      <c r="AB284" s="342"/>
      <c r="AC284" s="342"/>
      <c r="AD284" s="342"/>
      <c r="AE284" s="342"/>
      <c r="AF284" s="342"/>
      <c r="AG284" s="342"/>
      <c r="AH284" s="342"/>
      <c r="AI284" s="342"/>
    </row>
    <row r="285">
      <c r="A285" s="342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  <c r="AA285" s="342"/>
      <c r="AB285" s="342"/>
      <c r="AC285" s="342"/>
      <c r="AD285" s="342"/>
      <c r="AE285" s="342"/>
      <c r="AF285" s="342"/>
      <c r="AG285" s="342"/>
      <c r="AH285" s="342"/>
      <c r="AI285" s="342"/>
    </row>
    <row r="286">
      <c r="A286" s="342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  <c r="AA286" s="342"/>
      <c r="AB286" s="342"/>
      <c r="AC286" s="342"/>
      <c r="AD286" s="342"/>
      <c r="AE286" s="342"/>
      <c r="AF286" s="342"/>
      <c r="AG286" s="342"/>
      <c r="AH286" s="342"/>
      <c r="AI286" s="342"/>
    </row>
    <row r="287">
      <c r="A287" s="342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  <c r="AA287" s="342"/>
      <c r="AB287" s="342"/>
      <c r="AC287" s="342"/>
      <c r="AD287" s="342"/>
      <c r="AE287" s="342"/>
      <c r="AF287" s="342"/>
      <c r="AG287" s="342"/>
      <c r="AH287" s="342"/>
      <c r="AI287" s="342"/>
    </row>
    <row r="288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  <c r="AA288" s="342"/>
      <c r="AB288" s="342"/>
      <c r="AC288" s="342"/>
      <c r="AD288" s="342"/>
      <c r="AE288" s="342"/>
      <c r="AF288" s="342"/>
      <c r="AG288" s="342"/>
      <c r="AH288" s="342"/>
      <c r="AI288" s="342"/>
    </row>
    <row r="289">
      <c r="A289" s="342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  <c r="AA289" s="342"/>
      <c r="AB289" s="342"/>
      <c r="AC289" s="342"/>
      <c r="AD289" s="342"/>
      <c r="AE289" s="342"/>
      <c r="AF289" s="342"/>
      <c r="AG289" s="342"/>
      <c r="AH289" s="342"/>
      <c r="AI289" s="342"/>
    </row>
    <row r="290">
      <c r="A290" s="342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  <c r="AA290" s="342"/>
      <c r="AB290" s="342"/>
      <c r="AC290" s="342"/>
      <c r="AD290" s="342"/>
      <c r="AE290" s="342"/>
      <c r="AF290" s="342"/>
      <c r="AG290" s="342"/>
      <c r="AH290" s="342"/>
      <c r="AI290" s="342"/>
    </row>
    <row r="291">
      <c r="A291" s="342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  <c r="AA291" s="342"/>
      <c r="AB291" s="342"/>
      <c r="AC291" s="342"/>
      <c r="AD291" s="342"/>
      <c r="AE291" s="342"/>
      <c r="AF291" s="342"/>
      <c r="AG291" s="342"/>
      <c r="AH291" s="342"/>
      <c r="AI291" s="342"/>
    </row>
    <row r="292">
      <c r="A292" s="342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  <c r="AA292" s="342"/>
      <c r="AB292" s="342"/>
      <c r="AC292" s="342"/>
      <c r="AD292" s="342"/>
      <c r="AE292" s="342"/>
      <c r="AF292" s="342"/>
      <c r="AG292" s="342"/>
      <c r="AH292" s="342"/>
      <c r="AI292" s="342"/>
    </row>
    <row r="293">
      <c r="A293" s="342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  <c r="AA293" s="342"/>
      <c r="AB293" s="342"/>
      <c r="AC293" s="342"/>
      <c r="AD293" s="342"/>
      <c r="AE293" s="342"/>
      <c r="AF293" s="342"/>
      <c r="AG293" s="342"/>
      <c r="AH293" s="342"/>
      <c r="AI293" s="342"/>
    </row>
    <row r="294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  <c r="AA294" s="342"/>
      <c r="AB294" s="342"/>
      <c r="AC294" s="342"/>
      <c r="AD294" s="342"/>
      <c r="AE294" s="342"/>
      <c r="AF294" s="342"/>
      <c r="AG294" s="342"/>
      <c r="AH294" s="342"/>
      <c r="AI294" s="342"/>
    </row>
    <row r="295">
      <c r="A295" s="342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  <c r="AA295" s="342"/>
      <c r="AB295" s="342"/>
      <c r="AC295" s="342"/>
      <c r="AD295" s="342"/>
      <c r="AE295" s="342"/>
      <c r="AF295" s="342"/>
      <c r="AG295" s="342"/>
      <c r="AH295" s="342"/>
      <c r="AI295" s="342"/>
    </row>
    <row r="296">
      <c r="A296" s="342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  <c r="AA296" s="342"/>
      <c r="AB296" s="342"/>
      <c r="AC296" s="342"/>
      <c r="AD296" s="342"/>
      <c r="AE296" s="342"/>
      <c r="AF296" s="342"/>
      <c r="AG296" s="342"/>
      <c r="AH296" s="342"/>
      <c r="AI296" s="342"/>
    </row>
    <row r="297">
      <c r="A297" s="342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  <c r="AA297" s="342"/>
      <c r="AB297" s="342"/>
      <c r="AC297" s="342"/>
      <c r="AD297" s="342"/>
      <c r="AE297" s="342"/>
      <c r="AF297" s="342"/>
      <c r="AG297" s="342"/>
      <c r="AH297" s="342"/>
      <c r="AI297" s="342"/>
    </row>
    <row r="298">
      <c r="A298" s="342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  <c r="AA298" s="342"/>
      <c r="AB298" s="342"/>
      <c r="AC298" s="342"/>
      <c r="AD298" s="342"/>
      <c r="AE298" s="342"/>
      <c r="AF298" s="342"/>
      <c r="AG298" s="342"/>
      <c r="AH298" s="342"/>
      <c r="AI298" s="342"/>
    </row>
    <row r="299">
      <c r="A299" s="342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  <c r="AA299" s="342"/>
      <c r="AB299" s="342"/>
      <c r="AC299" s="342"/>
      <c r="AD299" s="342"/>
      <c r="AE299" s="342"/>
      <c r="AF299" s="342"/>
      <c r="AG299" s="342"/>
      <c r="AH299" s="342"/>
      <c r="AI299" s="342"/>
    </row>
    <row r="300">
      <c r="A300" s="342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  <c r="AA300" s="342"/>
      <c r="AB300" s="342"/>
      <c r="AC300" s="342"/>
      <c r="AD300" s="342"/>
      <c r="AE300" s="342"/>
      <c r="AF300" s="342"/>
      <c r="AG300" s="342"/>
      <c r="AH300" s="342"/>
      <c r="AI300" s="342"/>
    </row>
    <row r="301">
      <c r="A301" s="342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  <c r="AA301" s="342"/>
      <c r="AB301" s="342"/>
      <c r="AC301" s="342"/>
      <c r="AD301" s="342"/>
      <c r="AE301" s="342"/>
      <c r="AF301" s="342"/>
      <c r="AG301" s="342"/>
      <c r="AH301" s="342"/>
      <c r="AI301" s="342"/>
    </row>
    <row r="302">
      <c r="A302" s="342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  <c r="AA302" s="342"/>
      <c r="AB302" s="342"/>
      <c r="AC302" s="342"/>
      <c r="AD302" s="342"/>
      <c r="AE302" s="342"/>
      <c r="AF302" s="342"/>
      <c r="AG302" s="342"/>
      <c r="AH302" s="342"/>
      <c r="AI302" s="342"/>
    </row>
    <row r="303">
      <c r="A303" s="342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  <c r="AA303" s="342"/>
      <c r="AB303" s="342"/>
      <c r="AC303" s="342"/>
      <c r="AD303" s="342"/>
      <c r="AE303" s="342"/>
      <c r="AF303" s="342"/>
      <c r="AG303" s="342"/>
      <c r="AH303" s="342"/>
      <c r="AI303" s="342"/>
    </row>
    <row r="304">
      <c r="A304" s="342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  <c r="AA304" s="342"/>
      <c r="AB304" s="342"/>
      <c r="AC304" s="342"/>
      <c r="AD304" s="342"/>
      <c r="AE304" s="342"/>
      <c r="AF304" s="342"/>
      <c r="AG304" s="342"/>
      <c r="AH304" s="342"/>
      <c r="AI304" s="342"/>
    </row>
    <row r="305">
      <c r="A305" s="342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  <c r="AA305" s="342"/>
      <c r="AB305" s="342"/>
      <c r="AC305" s="342"/>
      <c r="AD305" s="342"/>
      <c r="AE305" s="342"/>
      <c r="AF305" s="342"/>
      <c r="AG305" s="342"/>
      <c r="AH305" s="342"/>
      <c r="AI305" s="342"/>
    </row>
    <row r="306">
      <c r="A306" s="342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  <c r="AA306" s="342"/>
      <c r="AB306" s="342"/>
      <c r="AC306" s="342"/>
      <c r="AD306" s="342"/>
      <c r="AE306" s="342"/>
      <c r="AF306" s="342"/>
      <c r="AG306" s="342"/>
      <c r="AH306" s="342"/>
      <c r="AI306" s="342"/>
    </row>
    <row r="307">
      <c r="A307" s="342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  <c r="AA307" s="342"/>
      <c r="AB307" s="342"/>
      <c r="AC307" s="342"/>
      <c r="AD307" s="342"/>
      <c r="AE307" s="342"/>
      <c r="AF307" s="342"/>
      <c r="AG307" s="342"/>
      <c r="AH307" s="342"/>
      <c r="AI307" s="342"/>
    </row>
    <row r="308">
      <c r="A308" s="342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  <c r="AA308" s="342"/>
      <c r="AB308" s="342"/>
      <c r="AC308" s="342"/>
      <c r="AD308" s="342"/>
      <c r="AE308" s="342"/>
      <c r="AF308" s="342"/>
      <c r="AG308" s="342"/>
      <c r="AH308" s="342"/>
      <c r="AI308" s="342"/>
    </row>
    <row r="309">
      <c r="A309" s="342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  <c r="AA309" s="342"/>
      <c r="AB309" s="342"/>
      <c r="AC309" s="342"/>
      <c r="AD309" s="342"/>
      <c r="AE309" s="342"/>
      <c r="AF309" s="342"/>
      <c r="AG309" s="342"/>
      <c r="AH309" s="342"/>
      <c r="AI309" s="342"/>
    </row>
    <row r="310">
      <c r="A310" s="342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  <c r="AA310" s="342"/>
      <c r="AB310" s="342"/>
      <c r="AC310" s="342"/>
      <c r="AD310" s="342"/>
      <c r="AE310" s="342"/>
      <c r="AF310" s="342"/>
      <c r="AG310" s="342"/>
      <c r="AH310" s="342"/>
      <c r="AI310" s="342"/>
    </row>
    <row r="311">
      <c r="A311" s="342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  <c r="AA311" s="342"/>
      <c r="AB311" s="342"/>
      <c r="AC311" s="342"/>
      <c r="AD311" s="342"/>
      <c r="AE311" s="342"/>
      <c r="AF311" s="342"/>
      <c r="AG311" s="342"/>
      <c r="AH311" s="342"/>
      <c r="AI311" s="342"/>
    </row>
    <row r="312">
      <c r="A312" s="342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  <c r="AA312" s="342"/>
      <c r="AB312" s="342"/>
      <c r="AC312" s="342"/>
      <c r="AD312" s="342"/>
      <c r="AE312" s="342"/>
      <c r="AF312" s="342"/>
      <c r="AG312" s="342"/>
      <c r="AH312" s="342"/>
      <c r="AI312" s="342"/>
    </row>
    <row r="313">
      <c r="A313" s="342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  <c r="AA313" s="342"/>
      <c r="AB313" s="342"/>
      <c r="AC313" s="342"/>
      <c r="AD313" s="342"/>
      <c r="AE313" s="342"/>
      <c r="AF313" s="342"/>
      <c r="AG313" s="342"/>
      <c r="AH313" s="342"/>
      <c r="AI313" s="342"/>
    </row>
    <row r="314">
      <c r="A314" s="342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  <c r="AA314" s="342"/>
      <c r="AB314" s="342"/>
      <c r="AC314" s="342"/>
      <c r="AD314" s="342"/>
      <c r="AE314" s="342"/>
      <c r="AF314" s="342"/>
      <c r="AG314" s="342"/>
      <c r="AH314" s="342"/>
      <c r="AI314" s="342"/>
    </row>
    <row r="315">
      <c r="A315" s="342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  <c r="AA315" s="342"/>
      <c r="AB315" s="342"/>
      <c r="AC315" s="342"/>
      <c r="AD315" s="342"/>
      <c r="AE315" s="342"/>
      <c r="AF315" s="342"/>
      <c r="AG315" s="342"/>
      <c r="AH315" s="342"/>
      <c r="AI315" s="342"/>
    </row>
    <row r="316">
      <c r="A316" s="342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  <c r="AA316" s="342"/>
      <c r="AB316" s="342"/>
      <c r="AC316" s="342"/>
      <c r="AD316" s="342"/>
      <c r="AE316" s="342"/>
      <c r="AF316" s="342"/>
      <c r="AG316" s="342"/>
      <c r="AH316" s="342"/>
      <c r="AI316" s="342"/>
    </row>
    <row r="317">
      <c r="A317" s="342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  <c r="AA317" s="342"/>
      <c r="AB317" s="342"/>
      <c r="AC317" s="342"/>
      <c r="AD317" s="342"/>
      <c r="AE317" s="342"/>
      <c r="AF317" s="342"/>
      <c r="AG317" s="342"/>
      <c r="AH317" s="342"/>
      <c r="AI317" s="342"/>
    </row>
    <row r="318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  <c r="AA318" s="342"/>
      <c r="AB318" s="342"/>
      <c r="AC318" s="342"/>
      <c r="AD318" s="342"/>
      <c r="AE318" s="342"/>
      <c r="AF318" s="342"/>
      <c r="AG318" s="342"/>
      <c r="AH318" s="342"/>
      <c r="AI318" s="342"/>
    </row>
    <row r="319">
      <c r="A319" s="342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  <c r="AA319" s="342"/>
      <c r="AB319" s="342"/>
      <c r="AC319" s="342"/>
      <c r="AD319" s="342"/>
      <c r="AE319" s="342"/>
      <c r="AF319" s="342"/>
      <c r="AG319" s="342"/>
      <c r="AH319" s="342"/>
      <c r="AI319" s="342"/>
    </row>
    <row r="320">
      <c r="A320" s="342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  <c r="AA320" s="342"/>
      <c r="AB320" s="342"/>
      <c r="AC320" s="342"/>
      <c r="AD320" s="342"/>
      <c r="AE320" s="342"/>
      <c r="AF320" s="342"/>
      <c r="AG320" s="342"/>
      <c r="AH320" s="342"/>
      <c r="AI320" s="342"/>
    </row>
    <row r="321">
      <c r="A321" s="342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  <c r="AA321" s="342"/>
      <c r="AB321" s="342"/>
      <c r="AC321" s="342"/>
      <c r="AD321" s="342"/>
      <c r="AE321" s="342"/>
      <c r="AF321" s="342"/>
      <c r="AG321" s="342"/>
      <c r="AH321" s="342"/>
      <c r="AI321" s="342"/>
    </row>
    <row r="322">
      <c r="A322" s="342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  <c r="AA322" s="342"/>
      <c r="AB322" s="342"/>
      <c r="AC322" s="342"/>
      <c r="AD322" s="342"/>
      <c r="AE322" s="342"/>
      <c r="AF322" s="342"/>
      <c r="AG322" s="342"/>
      <c r="AH322" s="342"/>
      <c r="AI322" s="342"/>
    </row>
    <row r="323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  <c r="AA323" s="342"/>
      <c r="AB323" s="342"/>
      <c r="AC323" s="342"/>
      <c r="AD323" s="342"/>
      <c r="AE323" s="342"/>
      <c r="AF323" s="342"/>
      <c r="AG323" s="342"/>
      <c r="AH323" s="342"/>
      <c r="AI323" s="342"/>
    </row>
    <row r="324">
      <c r="A324" s="342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  <c r="AA324" s="342"/>
      <c r="AB324" s="342"/>
      <c r="AC324" s="342"/>
      <c r="AD324" s="342"/>
      <c r="AE324" s="342"/>
      <c r="AF324" s="342"/>
      <c r="AG324" s="342"/>
      <c r="AH324" s="342"/>
      <c r="AI324" s="342"/>
    </row>
    <row r="325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  <c r="AA325" s="342"/>
      <c r="AB325" s="342"/>
      <c r="AC325" s="342"/>
      <c r="AD325" s="342"/>
      <c r="AE325" s="342"/>
      <c r="AF325" s="342"/>
      <c r="AG325" s="342"/>
      <c r="AH325" s="342"/>
      <c r="AI325" s="342"/>
    </row>
    <row r="326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  <c r="AA326" s="342"/>
      <c r="AB326" s="342"/>
      <c r="AC326" s="342"/>
      <c r="AD326" s="342"/>
      <c r="AE326" s="342"/>
      <c r="AF326" s="342"/>
      <c r="AG326" s="342"/>
      <c r="AH326" s="342"/>
      <c r="AI326" s="342"/>
    </row>
    <row r="327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  <c r="AA327" s="342"/>
      <c r="AB327" s="342"/>
      <c r="AC327" s="342"/>
      <c r="AD327" s="342"/>
      <c r="AE327" s="342"/>
      <c r="AF327" s="342"/>
      <c r="AG327" s="342"/>
      <c r="AH327" s="342"/>
      <c r="AI327" s="342"/>
    </row>
    <row r="328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  <c r="AA328" s="342"/>
      <c r="AB328" s="342"/>
      <c r="AC328" s="342"/>
      <c r="AD328" s="342"/>
      <c r="AE328" s="342"/>
      <c r="AF328" s="342"/>
      <c r="AG328" s="342"/>
      <c r="AH328" s="342"/>
      <c r="AI328" s="342"/>
    </row>
    <row r="329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  <c r="AA329" s="342"/>
      <c r="AB329" s="342"/>
      <c r="AC329" s="342"/>
      <c r="AD329" s="342"/>
      <c r="AE329" s="342"/>
      <c r="AF329" s="342"/>
      <c r="AG329" s="342"/>
      <c r="AH329" s="342"/>
      <c r="AI329" s="342"/>
    </row>
    <row r="330">
      <c r="A330" s="342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  <c r="AA330" s="342"/>
      <c r="AB330" s="342"/>
      <c r="AC330" s="342"/>
      <c r="AD330" s="342"/>
      <c r="AE330" s="342"/>
      <c r="AF330" s="342"/>
      <c r="AG330" s="342"/>
      <c r="AH330" s="342"/>
      <c r="AI330" s="342"/>
    </row>
    <row r="331">
      <c r="A331" s="342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  <c r="AA331" s="342"/>
      <c r="AB331" s="342"/>
      <c r="AC331" s="342"/>
      <c r="AD331" s="342"/>
      <c r="AE331" s="342"/>
      <c r="AF331" s="342"/>
      <c r="AG331" s="342"/>
      <c r="AH331" s="342"/>
      <c r="AI331" s="342"/>
    </row>
    <row r="332">
      <c r="A332" s="342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  <c r="AA332" s="342"/>
      <c r="AB332" s="342"/>
      <c r="AC332" s="342"/>
      <c r="AD332" s="342"/>
      <c r="AE332" s="342"/>
      <c r="AF332" s="342"/>
      <c r="AG332" s="342"/>
      <c r="AH332" s="342"/>
      <c r="AI332" s="342"/>
    </row>
    <row r="333">
      <c r="A333" s="342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  <c r="AA333" s="342"/>
      <c r="AB333" s="342"/>
      <c r="AC333" s="342"/>
      <c r="AD333" s="342"/>
      <c r="AE333" s="342"/>
      <c r="AF333" s="342"/>
      <c r="AG333" s="342"/>
      <c r="AH333" s="342"/>
      <c r="AI333" s="342"/>
    </row>
    <row r="334">
      <c r="A334" s="342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  <c r="AA334" s="342"/>
      <c r="AB334" s="342"/>
      <c r="AC334" s="342"/>
      <c r="AD334" s="342"/>
      <c r="AE334" s="342"/>
      <c r="AF334" s="342"/>
      <c r="AG334" s="342"/>
      <c r="AH334" s="342"/>
      <c r="AI334" s="342"/>
    </row>
    <row r="335">
      <c r="A335" s="342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  <c r="AA335" s="342"/>
      <c r="AB335" s="342"/>
      <c r="AC335" s="342"/>
      <c r="AD335" s="342"/>
      <c r="AE335" s="342"/>
      <c r="AF335" s="342"/>
      <c r="AG335" s="342"/>
      <c r="AH335" s="342"/>
      <c r="AI335" s="342"/>
    </row>
    <row r="336">
      <c r="A336" s="342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  <c r="AA336" s="342"/>
      <c r="AB336" s="342"/>
      <c r="AC336" s="342"/>
      <c r="AD336" s="342"/>
      <c r="AE336" s="342"/>
      <c r="AF336" s="342"/>
      <c r="AG336" s="342"/>
      <c r="AH336" s="342"/>
      <c r="AI336" s="342"/>
    </row>
    <row r="337">
      <c r="A337" s="342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  <c r="AA337" s="342"/>
      <c r="AB337" s="342"/>
      <c r="AC337" s="342"/>
      <c r="AD337" s="342"/>
      <c r="AE337" s="342"/>
      <c r="AF337" s="342"/>
      <c r="AG337" s="342"/>
      <c r="AH337" s="342"/>
      <c r="AI337" s="342"/>
    </row>
    <row r="338">
      <c r="A338" s="342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  <c r="AA338" s="342"/>
      <c r="AB338" s="342"/>
      <c r="AC338" s="342"/>
      <c r="AD338" s="342"/>
      <c r="AE338" s="342"/>
      <c r="AF338" s="342"/>
      <c r="AG338" s="342"/>
      <c r="AH338" s="342"/>
      <c r="AI338" s="342"/>
    </row>
    <row r="339">
      <c r="A339" s="342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  <c r="AA339" s="342"/>
      <c r="AB339" s="342"/>
      <c r="AC339" s="342"/>
      <c r="AD339" s="342"/>
      <c r="AE339" s="342"/>
      <c r="AF339" s="342"/>
      <c r="AG339" s="342"/>
      <c r="AH339" s="342"/>
      <c r="AI339" s="342"/>
    </row>
    <row r="340">
      <c r="A340" s="342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  <c r="AA340" s="342"/>
      <c r="AB340" s="342"/>
      <c r="AC340" s="342"/>
      <c r="AD340" s="342"/>
      <c r="AE340" s="342"/>
      <c r="AF340" s="342"/>
      <c r="AG340" s="342"/>
      <c r="AH340" s="342"/>
      <c r="AI340" s="342"/>
    </row>
    <row r="341">
      <c r="A341" s="342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  <c r="AA341" s="342"/>
      <c r="AB341" s="342"/>
      <c r="AC341" s="342"/>
      <c r="AD341" s="342"/>
      <c r="AE341" s="342"/>
      <c r="AF341" s="342"/>
      <c r="AG341" s="342"/>
      <c r="AH341" s="342"/>
      <c r="AI341" s="342"/>
    </row>
    <row r="342">
      <c r="A342" s="342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  <c r="AA342" s="342"/>
      <c r="AB342" s="342"/>
      <c r="AC342" s="342"/>
      <c r="AD342" s="342"/>
      <c r="AE342" s="342"/>
      <c r="AF342" s="342"/>
      <c r="AG342" s="342"/>
      <c r="AH342" s="342"/>
      <c r="AI342" s="342"/>
    </row>
    <row r="343">
      <c r="A343" s="342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  <c r="AA343" s="342"/>
      <c r="AB343" s="342"/>
      <c r="AC343" s="342"/>
      <c r="AD343" s="342"/>
      <c r="AE343" s="342"/>
      <c r="AF343" s="342"/>
      <c r="AG343" s="342"/>
      <c r="AH343" s="342"/>
      <c r="AI343" s="342"/>
    </row>
    <row r="344">
      <c r="A344" s="342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  <c r="AA344" s="342"/>
      <c r="AB344" s="342"/>
      <c r="AC344" s="342"/>
      <c r="AD344" s="342"/>
      <c r="AE344" s="342"/>
      <c r="AF344" s="342"/>
      <c r="AG344" s="342"/>
      <c r="AH344" s="342"/>
      <c r="AI344" s="342"/>
    </row>
    <row r="345">
      <c r="A345" s="342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  <c r="AA345" s="342"/>
      <c r="AB345" s="342"/>
      <c r="AC345" s="342"/>
      <c r="AD345" s="342"/>
      <c r="AE345" s="342"/>
      <c r="AF345" s="342"/>
      <c r="AG345" s="342"/>
      <c r="AH345" s="342"/>
      <c r="AI345" s="342"/>
    </row>
    <row r="346">
      <c r="A346" s="342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  <c r="AA346" s="342"/>
      <c r="AB346" s="342"/>
      <c r="AC346" s="342"/>
      <c r="AD346" s="342"/>
      <c r="AE346" s="342"/>
      <c r="AF346" s="342"/>
      <c r="AG346" s="342"/>
      <c r="AH346" s="342"/>
      <c r="AI346" s="342"/>
    </row>
    <row r="347">
      <c r="A347" s="342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  <c r="AA347" s="342"/>
      <c r="AB347" s="342"/>
      <c r="AC347" s="342"/>
      <c r="AD347" s="342"/>
      <c r="AE347" s="342"/>
      <c r="AF347" s="342"/>
      <c r="AG347" s="342"/>
      <c r="AH347" s="342"/>
      <c r="AI347" s="342"/>
    </row>
    <row r="348">
      <c r="A348" s="342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  <c r="AA348" s="342"/>
      <c r="AB348" s="342"/>
      <c r="AC348" s="342"/>
      <c r="AD348" s="342"/>
      <c r="AE348" s="342"/>
      <c r="AF348" s="342"/>
      <c r="AG348" s="342"/>
      <c r="AH348" s="342"/>
      <c r="AI348" s="342"/>
    </row>
    <row r="349">
      <c r="A349" s="342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  <c r="AA349" s="342"/>
      <c r="AB349" s="342"/>
      <c r="AC349" s="342"/>
      <c r="AD349" s="342"/>
      <c r="AE349" s="342"/>
      <c r="AF349" s="342"/>
      <c r="AG349" s="342"/>
      <c r="AH349" s="342"/>
      <c r="AI349" s="342"/>
    </row>
    <row r="350">
      <c r="A350" s="342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  <c r="AA350" s="342"/>
      <c r="AB350" s="342"/>
      <c r="AC350" s="342"/>
      <c r="AD350" s="342"/>
      <c r="AE350" s="342"/>
      <c r="AF350" s="342"/>
      <c r="AG350" s="342"/>
      <c r="AH350" s="342"/>
      <c r="AI350" s="342"/>
    </row>
    <row r="351">
      <c r="A351" s="342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  <c r="AA351" s="342"/>
      <c r="AB351" s="342"/>
      <c r="AC351" s="342"/>
      <c r="AD351" s="342"/>
      <c r="AE351" s="342"/>
      <c r="AF351" s="342"/>
      <c r="AG351" s="342"/>
      <c r="AH351" s="342"/>
      <c r="AI351" s="342"/>
    </row>
    <row r="352">
      <c r="A352" s="342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  <c r="AA352" s="342"/>
      <c r="AB352" s="342"/>
      <c r="AC352" s="342"/>
      <c r="AD352" s="342"/>
      <c r="AE352" s="342"/>
      <c r="AF352" s="342"/>
      <c r="AG352" s="342"/>
      <c r="AH352" s="342"/>
      <c r="AI352" s="342"/>
    </row>
    <row r="353">
      <c r="A353" s="342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  <c r="AA353" s="342"/>
      <c r="AB353" s="342"/>
      <c r="AC353" s="342"/>
      <c r="AD353" s="342"/>
      <c r="AE353" s="342"/>
      <c r="AF353" s="342"/>
      <c r="AG353" s="342"/>
      <c r="AH353" s="342"/>
      <c r="AI353" s="342"/>
    </row>
    <row r="354">
      <c r="A354" s="342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  <c r="AA354" s="342"/>
      <c r="AB354" s="342"/>
      <c r="AC354" s="342"/>
      <c r="AD354" s="342"/>
      <c r="AE354" s="342"/>
      <c r="AF354" s="342"/>
      <c r="AG354" s="342"/>
      <c r="AH354" s="342"/>
      <c r="AI354" s="342"/>
    </row>
    <row r="355">
      <c r="A355" s="342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  <c r="AA355" s="342"/>
      <c r="AB355" s="342"/>
      <c r="AC355" s="342"/>
      <c r="AD355" s="342"/>
      <c r="AE355" s="342"/>
      <c r="AF355" s="342"/>
      <c r="AG355" s="342"/>
      <c r="AH355" s="342"/>
      <c r="AI355" s="342"/>
    </row>
    <row r="356">
      <c r="A356" s="342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  <c r="AA356" s="342"/>
      <c r="AB356" s="342"/>
      <c r="AC356" s="342"/>
      <c r="AD356" s="342"/>
      <c r="AE356" s="342"/>
      <c r="AF356" s="342"/>
      <c r="AG356" s="342"/>
      <c r="AH356" s="342"/>
      <c r="AI356" s="342"/>
    </row>
    <row r="357">
      <c r="A357" s="342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  <c r="AA357" s="342"/>
      <c r="AB357" s="342"/>
      <c r="AC357" s="342"/>
      <c r="AD357" s="342"/>
      <c r="AE357" s="342"/>
      <c r="AF357" s="342"/>
      <c r="AG357" s="342"/>
      <c r="AH357" s="342"/>
      <c r="AI357" s="342"/>
    </row>
    <row r="358">
      <c r="A358" s="342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  <c r="AA358" s="342"/>
      <c r="AB358" s="342"/>
      <c r="AC358" s="342"/>
      <c r="AD358" s="342"/>
      <c r="AE358" s="342"/>
      <c r="AF358" s="342"/>
      <c r="AG358" s="342"/>
      <c r="AH358" s="342"/>
      <c r="AI358" s="342"/>
    </row>
    <row r="359">
      <c r="A359" s="342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  <c r="AA359" s="342"/>
      <c r="AB359" s="342"/>
      <c r="AC359" s="342"/>
      <c r="AD359" s="342"/>
      <c r="AE359" s="342"/>
      <c r="AF359" s="342"/>
      <c r="AG359" s="342"/>
      <c r="AH359" s="342"/>
      <c r="AI359" s="342"/>
    </row>
    <row r="360">
      <c r="A360" s="342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  <c r="AA360" s="342"/>
      <c r="AB360" s="342"/>
      <c r="AC360" s="342"/>
      <c r="AD360" s="342"/>
      <c r="AE360" s="342"/>
      <c r="AF360" s="342"/>
      <c r="AG360" s="342"/>
      <c r="AH360" s="342"/>
      <c r="AI360" s="342"/>
    </row>
    <row r="361">
      <c r="A361" s="342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  <c r="AA361" s="342"/>
      <c r="AB361" s="342"/>
      <c r="AC361" s="342"/>
      <c r="AD361" s="342"/>
      <c r="AE361" s="342"/>
      <c r="AF361" s="342"/>
      <c r="AG361" s="342"/>
      <c r="AH361" s="342"/>
      <c r="AI361" s="342"/>
    </row>
    <row r="362">
      <c r="A362" s="342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  <c r="AA362" s="342"/>
      <c r="AB362" s="342"/>
      <c r="AC362" s="342"/>
      <c r="AD362" s="342"/>
      <c r="AE362" s="342"/>
      <c r="AF362" s="342"/>
      <c r="AG362" s="342"/>
      <c r="AH362" s="342"/>
      <c r="AI362" s="342"/>
    </row>
    <row r="363">
      <c r="A363" s="342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  <c r="AA363" s="342"/>
      <c r="AB363" s="342"/>
      <c r="AC363" s="342"/>
      <c r="AD363" s="342"/>
      <c r="AE363" s="342"/>
      <c r="AF363" s="342"/>
      <c r="AG363" s="342"/>
      <c r="AH363" s="342"/>
      <c r="AI363" s="342"/>
    </row>
    <row r="364">
      <c r="A364" s="342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  <c r="AA364" s="342"/>
      <c r="AB364" s="342"/>
      <c r="AC364" s="342"/>
      <c r="AD364" s="342"/>
      <c r="AE364" s="342"/>
      <c r="AF364" s="342"/>
      <c r="AG364" s="342"/>
      <c r="AH364" s="342"/>
      <c r="AI364" s="342"/>
    </row>
    <row r="365">
      <c r="A365" s="342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  <c r="AA365" s="342"/>
      <c r="AB365" s="342"/>
      <c r="AC365" s="342"/>
      <c r="AD365" s="342"/>
      <c r="AE365" s="342"/>
      <c r="AF365" s="342"/>
      <c r="AG365" s="342"/>
      <c r="AH365" s="342"/>
      <c r="AI365" s="342"/>
    </row>
    <row r="366">
      <c r="A366" s="342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  <c r="AA366" s="342"/>
      <c r="AB366" s="342"/>
      <c r="AC366" s="342"/>
      <c r="AD366" s="342"/>
      <c r="AE366" s="342"/>
      <c r="AF366" s="342"/>
      <c r="AG366" s="342"/>
      <c r="AH366" s="342"/>
      <c r="AI366" s="342"/>
    </row>
    <row r="367">
      <c r="A367" s="342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  <c r="AA367" s="342"/>
      <c r="AB367" s="342"/>
      <c r="AC367" s="342"/>
      <c r="AD367" s="342"/>
      <c r="AE367" s="342"/>
      <c r="AF367" s="342"/>
      <c r="AG367" s="342"/>
      <c r="AH367" s="342"/>
      <c r="AI367" s="342"/>
    </row>
    <row r="368">
      <c r="A368" s="342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  <c r="AA368" s="342"/>
      <c r="AB368" s="342"/>
      <c r="AC368" s="342"/>
      <c r="AD368" s="342"/>
      <c r="AE368" s="342"/>
      <c r="AF368" s="342"/>
      <c r="AG368" s="342"/>
      <c r="AH368" s="342"/>
      <c r="AI368" s="342"/>
    </row>
    <row r="369">
      <c r="A369" s="342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  <c r="AA369" s="342"/>
      <c r="AB369" s="342"/>
      <c r="AC369" s="342"/>
      <c r="AD369" s="342"/>
      <c r="AE369" s="342"/>
      <c r="AF369" s="342"/>
      <c r="AG369" s="342"/>
      <c r="AH369" s="342"/>
      <c r="AI369" s="342"/>
    </row>
    <row r="370">
      <c r="A370" s="342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  <c r="AA370" s="342"/>
      <c r="AB370" s="342"/>
      <c r="AC370" s="342"/>
      <c r="AD370" s="342"/>
      <c r="AE370" s="342"/>
      <c r="AF370" s="342"/>
      <c r="AG370" s="342"/>
      <c r="AH370" s="342"/>
      <c r="AI370" s="342"/>
    </row>
    <row r="371">
      <c r="A371" s="342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  <c r="AA371" s="342"/>
      <c r="AB371" s="342"/>
      <c r="AC371" s="342"/>
      <c r="AD371" s="342"/>
      <c r="AE371" s="342"/>
      <c r="AF371" s="342"/>
      <c r="AG371" s="342"/>
      <c r="AH371" s="342"/>
      <c r="AI371" s="342"/>
    </row>
    <row r="372">
      <c r="A372" s="342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  <c r="AA372" s="342"/>
      <c r="AB372" s="342"/>
      <c r="AC372" s="342"/>
      <c r="AD372" s="342"/>
      <c r="AE372" s="342"/>
      <c r="AF372" s="342"/>
      <c r="AG372" s="342"/>
      <c r="AH372" s="342"/>
      <c r="AI372" s="342"/>
    </row>
    <row r="373">
      <c r="A373" s="342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  <c r="AA373" s="342"/>
      <c r="AB373" s="342"/>
      <c r="AC373" s="342"/>
      <c r="AD373" s="342"/>
      <c r="AE373" s="342"/>
      <c r="AF373" s="342"/>
      <c r="AG373" s="342"/>
      <c r="AH373" s="342"/>
      <c r="AI373" s="342"/>
    </row>
    <row r="374">
      <c r="A374" s="342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  <c r="AA374" s="342"/>
      <c r="AB374" s="342"/>
      <c r="AC374" s="342"/>
      <c r="AD374" s="342"/>
      <c r="AE374" s="342"/>
      <c r="AF374" s="342"/>
      <c r="AG374" s="342"/>
      <c r="AH374" s="342"/>
      <c r="AI374" s="342"/>
    </row>
    <row r="375">
      <c r="A375" s="342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  <c r="AA375" s="342"/>
      <c r="AB375" s="342"/>
      <c r="AC375" s="342"/>
      <c r="AD375" s="342"/>
      <c r="AE375" s="342"/>
      <c r="AF375" s="342"/>
      <c r="AG375" s="342"/>
      <c r="AH375" s="342"/>
      <c r="AI375" s="342"/>
    </row>
    <row r="376">
      <c r="A376" s="342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  <c r="AA376" s="342"/>
      <c r="AB376" s="342"/>
      <c r="AC376" s="342"/>
      <c r="AD376" s="342"/>
      <c r="AE376" s="342"/>
      <c r="AF376" s="342"/>
      <c r="AG376" s="342"/>
      <c r="AH376" s="342"/>
      <c r="AI376" s="342"/>
    </row>
    <row r="377">
      <c r="A377" s="342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  <c r="AA377" s="342"/>
      <c r="AB377" s="342"/>
      <c r="AC377" s="342"/>
      <c r="AD377" s="342"/>
      <c r="AE377" s="342"/>
      <c r="AF377" s="342"/>
      <c r="AG377" s="342"/>
      <c r="AH377" s="342"/>
      <c r="AI377" s="342"/>
    </row>
    <row r="378">
      <c r="A378" s="342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  <c r="AA378" s="342"/>
      <c r="AB378" s="342"/>
      <c r="AC378" s="342"/>
      <c r="AD378" s="342"/>
      <c r="AE378" s="342"/>
      <c r="AF378" s="342"/>
      <c r="AG378" s="342"/>
      <c r="AH378" s="342"/>
      <c r="AI378" s="342"/>
    </row>
    <row r="379">
      <c r="A379" s="342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  <c r="AA379" s="342"/>
      <c r="AB379" s="342"/>
      <c r="AC379" s="342"/>
      <c r="AD379" s="342"/>
      <c r="AE379" s="342"/>
      <c r="AF379" s="342"/>
      <c r="AG379" s="342"/>
      <c r="AH379" s="342"/>
      <c r="AI379" s="342"/>
    </row>
    <row r="380">
      <c r="A380" s="342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  <c r="AA380" s="342"/>
      <c r="AB380" s="342"/>
      <c r="AC380" s="342"/>
      <c r="AD380" s="342"/>
      <c r="AE380" s="342"/>
      <c r="AF380" s="342"/>
      <c r="AG380" s="342"/>
      <c r="AH380" s="342"/>
      <c r="AI380" s="342"/>
    </row>
    <row r="381">
      <c r="A381" s="342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  <c r="AA381" s="342"/>
      <c r="AB381" s="342"/>
      <c r="AC381" s="342"/>
      <c r="AD381" s="342"/>
      <c r="AE381" s="342"/>
      <c r="AF381" s="342"/>
      <c r="AG381" s="342"/>
      <c r="AH381" s="342"/>
      <c r="AI381" s="342"/>
    </row>
    <row r="382">
      <c r="A382" s="342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  <c r="AA382" s="342"/>
      <c r="AB382" s="342"/>
      <c r="AC382" s="342"/>
      <c r="AD382" s="342"/>
      <c r="AE382" s="342"/>
      <c r="AF382" s="342"/>
      <c r="AG382" s="342"/>
      <c r="AH382" s="342"/>
      <c r="AI382" s="342"/>
    </row>
    <row r="383">
      <c r="A383" s="342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  <c r="AA383" s="342"/>
      <c r="AB383" s="342"/>
      <c r="AC383" s="342"/>
      <c r="AD383" s="342"/>
      <c r="AE383" s="342"/>
      <c r="AF383" s="342"/>
      <c r="AG383" s="342"/>
      <c r="AH383" s="342"/>
      <c r="AI383" s="342"/>
    </row>
    <row r="384">
      <c r="A384" s="342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P384" s="342"/>
      <c r="Q384" s="342"/>
      <c r="R384" s="342"/>
      <c r="S384" s="342"/>
      <c r="T384" s="342"/>
      <c r="U384" s="342"/>
      <c r="V384" s="342"/>
      <c r="W384" s="342"/>
      <c r="X384" s="342"/>
      <c r="Y384" s="342"/>
      <c r="Z384" s="342"/>
      <c r="AA384" s="342"/>
      <c r="AB384" s="342"/>
      <c r="AC384" s="342"/>
      <c r="AD384" s="342"/>
      <c r="AE384" s="342"/>
      <c r="AF384" s="342"/>
      <c r="AG384" s="342"/>
      <c r="AH384" s="342"/>
      <c r="AI384" s="342"/>
    </row>
    <row r="385">
      <c r="A385" s="342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P385" s="342"/>
      <c r="Q385" s="342"/>
      <c r="R385" s="342"/>
      <c r="S385" s="342"/>
      <c r="T385" s="342"/>
      <c r="U385" s="342"/>
      <c r="V385" s="342"/>
      <c r="W385" s="342"/>
      <c r="X385" s="342"/>
      <c r="Y385" s="342"/>
      <c r="Z385" s="342"/>
      <c r="AA385" s="342"/>
      <c r="AB385" s="342"/>
      <c r="AC385" s="342"/>
      <c r="AD385" s="342"/>
      <c r="AE385" s="342"/>
      <c r="AF385" s="342"/>
      <c r="AG385" s="342"/>
      <c r="AH385" s="342"/>
      <c r="AI385" s="342"/>
    </row>
    <row r="386">
      <c r="A386" s="342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  <c r="AA386" s="342"/>
      <c r="AB386" s="342"/>
      <c r="AC386" s="342"/>
      <c r="AD386" s="342"/>
      <c r="AE386" s="342"/>
      <c r="AF386" s="342"/>
      <c r="AG386" s="342"/>
      <c r="AH386" s="342"/>
      <c r="AI386" s="342"/>
    </row>
    <row r="387">
      <c r="A387" s="342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P387" s="342"/>
      <c r="Q387" s="342"/>
      <c r="R387" s="342"/>
      <c r="S387" s="342"/>
      <c r="T387" s="342"/>
      <c r="U387" s="342"/>
      <c r="V387" s="342"/>
      <c r="W387" s="342"/>
      <c r="X387" s="342"/>
      <c r="Y387" s="342"/>
      <c r="Z387" s="342"/>
      <c r="AA387" s="342"/>
      <c r="AB387" s="342"/>
      <c r="AC387" s="342"/>
      <c r="AD387" s="342"/>
      <c r="AE387" s="342"/>
      <c r="AF387" s="342"/>
      <c r="AG387" s="342"/>
      <c r="AH387" s="342"/>
      <c r="AI387" s="342"/>
    </row>
    <row r="388">
      <c r="A388" s="342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P388" s="342"/>
      <c r="Q388" s="342"/>
      <c r="R388" s="342"/>
      <c r="S388" s="342"/>
      <c r="T388" s="342"/>
      <c r="U388" s="342"/>
      <c r="V388" s="342"/>
      <c r="W388" s="342"/>
      <c r="X388" s="342"/>
      <c r="Y388" s="342"/>
      <c r="Z388" s="342"/>
      <c r="AA388" s="342"/>
      <c r="AB388" s="342"/>
      <c r="AC388" s="342"/>
      <c r="AD388" s="342"/>
      <c r="AE388" s="342"/>
      <c r="AF388" s="342"/>
      <c r="AG388" s="342"/>
      <c r="AH388" s="342"/>
      <c r="AI388" s="342"/>
    </row>
    <row r="389">
      <c r="A389" s="342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  <c r="AA389" s="342"/>
      <c r="AB389" s="342"/>
      <c r="AC389" s="342"/>
      <c r="AD389" s="342"/>
      <c r="AE389" s="342"/>
      <c r="AF389" s="342"/>
      <c r="AG389" s="342"/>
      <c r="AH389" s="342"/>
      <c r="AI389" s="342"/>
    </row>
    <row r="390">
      <c r="A390" s="342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P390" s="342"/>
      <c r="Q390" s="342"/>
      <c r="R390" s="342"/>
      <c r="S390" s="342"/>
      <c r="T390" s="342"/>
      <c r="U390" s="342"/>
      <c r="V390" s="342"/>
      <c r="W390" s="342"/>
      <c r="X390" s="342"/>
      <c r="Y390" s="342"/>
      <c r="Z390" s="342"/>
      <c r="AA390" s="342"/>
      <c r="AB390" s="342"/>
      <c r="AC390" s="342"/>
      <c r="AD390" s="342"/>
      <c r="AE390" s="342"/>
      <c r="AF390" s="342"/>
      <c r="AG390" s="342"/>
      <c r="AH390" s="342"/>
      <c r="AI390" s="342"/>
    </row>
    <row r="391">
      <c r="A391" s="342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P391" s="342"/>
      <c r="Q391" s="342"/>
      <c r="R391" s="342"/>
      <c r="S391" s="342"/>
      <c r="T391" s="342"/>
      <c r="U391" s="342"/>
      <c r="V391" s="342"/>
      <c r="W391" s="342"/>
      <c r="X391" s="342"/>
      <c r="Y391" s="342"/>
      <c r="Z391" s="342"/>
      <c r="AA391" s="342"/>
      <c r="AB391" s="342"/>
      <c r="AC391" s="342"/>
      <c r="AD391" s="342"/>
      <c r="AE391" s="342"/>
      <c r="AF391" s="342"/>
      <c r="AG391" s="342"/>
      <c r="AH391" s="342"/>
      <c r="AI391" s="342"/>
    </row>
    <row r="392">
      <c r="A392" s="342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  <c r="AA392" s="342"/>
      <c r="AB392" s="342"/>
      <c r="AC392" s="342"/>
      <c r="AD392" s="342"/>
      <c r="AE392" s="342"/>
      <c r="AF392" s="342"/>
      <c r="AG392" s="342"/>
      <c r="AH392" s="342"/>
      <c r="AI392" s="342"/>
    </row>
    <row r="393">
      <c r="A393" s="342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P393" s="342"/>
      <c r="Q393" s="342"/>
      <c r="R393" s="342"/>
      <c r="S393" s="342"/>
      <c r="T393" s="342"/>
      <c r="U393" s="342"/>
      <c r="V393" s="342"/>
      <c r="W393" s="342"/>
      <c r="X393" s="342"/>
      <c r="Y393" s="342"/>
      <c r="Z393" s="342"/>
      <c r="AA393" s="342"/>
      <c r="AB393" s="342"/>
      <c r="AC393" s="342"/>
      <c r="AD393" s="342"/>
      <c r="AE393" s="342"/>
      <c r="AF393" s="342"/>
      <c r="AG393" s="342"/>
      <c r="AH393" s="342"/>
      <c r="AI393" s="342"/>
    </row>
    <row r="394">
      <c r="A394" s="342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P394" s="342"/>
      <c r="Q394" s="342"/>
      <c r="R394" s="342"/>
      <c r="S394" s="342"/>
      <c r="T394" s="342"/>
      <c r="U394" s="342"/>
      <c r="V394" s="342"/>
      <c r="W394" s="342"/>
      <c r="X394" s="342"/>
      <c r="Y394" s="342"/>
      <c r="Z394" s="342"/>
      <c r="AA394" s="342"/>
      <c r="AB394" s="342"/>
      <c r="AC394" s="342"/>
      <c r="AD394" s="342"/>
      <c r="AE394" s="342"/>
      <c r="AF394" s="342"/>
      <c r="AG394" s="342"/>
      <c r="AH394" s="342"/>
      <c r="AI394" s="342"/>
    </row>
    <row r="395">
      <c r="A395" s="342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  <c r="AA395" s="342"/>
      <c r="AB395" s="342"/>
      <c r="AC395" s="342"/>
      <c r="AD395" s="342"/>
      <c r="AE395" s="342"/>
      <c r="AF395" s="342"/>
      <c r="AG395" s="342"/>
      <c r="AH395" s="342"/>
      <c r="AI395" s="342"/>
    </row>
    <row r="396">
      <c r="A396" s="342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2"/>
      <c r="Y396" s="342"/>
      <c r="Z396" s="342"/>
      <c r="AA396" s="342"/>
      <c r="AB396" s="342"/>
      <c r="AC396" s="342"/>
      <c r="AD396" s="342"/>
      <c r="AE396" s="342"/>
      <c r="AF396" s="342"/>
      <c r="AG396" s="342"/>
      <c r="AH396" s="342"/>
      <c r="AI396" s="342"/>
    </row>
    <row r="397">
      <c r="A397" s="342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P397" s="342"/>
      <c r="Q397" s="342"/>
      <c r="R397" s="342"/>
      <c r="S397" s="342"/>
      <c r="T397" s="342"/>
      <c r="U397" s="342"/>
      <c r="V397" s="342"/>
      <c r="W397" s="342"/>
      <c r="X397" s="342"/>
      <c r="Y397" s="342"/>
      <c r="Z397" s="342"/>
      <c r="AA397" s="342"/>
      <c r="AB397" s="342"/>
      <c r="AC397" s="342"/>
      <c r="AD397" s="342"/>
      <c r="AE397" s="342"/>
      <c r="AF397" s="342"/>
      <c r="AG397" s="342"/>
      <c r="AH397" s="342"/>
      <c r="AI397" s="342"/>
    </row>
    <row r="398">
      <c r="A398" s="342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  <c r="AA398" s="342"/>
      <c r="AB398" s="342"/>
      <c r="AC398" s="342"/>
      <c r="AD398" s="342"/>
      <c r="AE398" s="342"/>
      <c r="AF398" s="342"/>
      <c r="AG398" s="342"/>
      <c r="AH398" s="342"/>
      <c r="AI398" s="342"/>
    </row>
    <row r="399">
      <c r="A399" s="342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P399" s="342"/>
      <c r="Q399" s="342"/>
      <c r="R399" s="342"/>
      <c r="S399" s="342"/>
      <c r="T399" s="342"/>
      <c r="U399" s="342"/>
      <c r="V399" s="342"/>
      <c r="W399" s="342"/>
      <c r="X399" s="342"/>
      <c r="Y399" s="342"/>
      <c r="Z399" s="342"/>
      <c r="AA399" s="342"/>
      <c r="AB399" s="342"/>
      <c r="AC399" s="342"/>
      <c r="AD399" s="342"/>
      <c r="AE399" s="342"/>
      <c r="AF399" s="342"/>
      <c r="AG399" s="342"/>
      <c r="AH399" s="342"/>
      <c r="AI399" s="342"/>
    </row>
    <row r="400">
      <c r="A400" s="342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P400" s="342"/>
      <c r="Q400" s="342"/>
      <c r="R400" s="342"/>
      <c r="S400" s="342"/>
      <c r="T400" s="342"/>
      <c r="U400" s="342"/>
      <c r="V400" s="342"/>
      <c r="W400" s="342"/>
      <c r="X400" s="342"/>
      <c r="Y400" s="342"/>
      <c r="Z400" s="342"/>
      <c r="AA400" s="342"/>
      <c r="AB400" s="342"/>
      <c r="AC400" s="342"/>
      <c r="AD400" s="342"/>
      <c r="AE400" s="342"/>
      <c r="AF400" s="342"/>
      <c r="AG400" s="342"/>
      <c r="AH400" s="342"/>
      <c r="AI400" s="342"/>
    </row>
    <row r="401">
      <c r="A401" s="342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P401" s="342"/>
      <c r="Q401" s="342"/>
      <c r="R401" s="342"/>
      <c r="S401" s="342"/>
      <c r="T401" s="342"/>
      <c r="U401" s="342"/>
      <c r="V401" s="342"/>
      <c r="W401" s="342"/>
      <c r="X401" s="342"/>
      <c r="Y401" s="342"/>
      <c r="Z401" s="342"/>
      <c r="AA401" s="342"/>
      <c r="AB401" s="342"/>
      <c r="AC401" s="342"/>
      <c r="AD401" s="342"/>
      <c r="AE401" s="342"/>
      <c r="AF401" s="342"/>
      <c r="AG401" s="342"/>
      <c r="AH401" s="342"/>
      <c r="AI401" s="342"/>
    </row>
    <row r="402">
      <c r="A402" s="342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  <c r="AA402" s="342"/>
      <c r="AB402" s="342"/>
      <c r="AC402" s="342"/>
      <c r="AD402" s="342"/>
      <c r="AE402" s="342"/>
      <c r="AF402" s="342"/>
      <c r="AG402" s="342"/>
      <c r="AH402" s="342"/>
      <c r="AI402" s="342"/>
    </row>
    <row r="403">
      <c r="A403" s="342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P403" s="342"/>
      <c r="Q403" s="342"/>
      <c r="R403" s="342"/>
      <c r="S403" s="342"/>
      <c r="T403" s="342"/>
      <c r="U403" s="342"/>
      <c r="V403" s="342"/>
      <c r="W403" s="342"/>
      <c r="X403" s="342"/>
      <c r="Y403" s="342"/>
      <c r="Z403" s="342"/>
      <c r="AA403" s="342"/>
      <c r="AB403" s="342"/>
      <c r="AC403" s="342"/>
      <c r="AD403" s="342"/>
      <c r="AE403" s="342"/>
      <c r="AF403" s="342"/>
      <c r="AG403" s="342"/>
      <c r="AH403" s="342"/>
      <c r="AI403" s="342"/>
    </row>
    <row r="404">
      <c r="A404" s="342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P404" s="342"/>
      <c r="Q404" s="342"/>
      <c r="R404" s="342"/>
      <c r="S404" s="342"/>
      <c r="T404" s="342"/>
      <c r="U404" s="342"/>
      <c r="V404" s="342"/>
      <c r="W404" s="342"/>
      <c r="X404" s="342"/>
      <c r="Y404" s="342"/>
      <c r="Z404" s="342"/>
      <c r="AA404" s="342"/>
      <c r="AB404" s="342"/>
      <c r="AC404" s="342"/>
      <c r="AD404" s="342"/>
      <c r="AE404" s="342"/>
      <c r="AF404" s="342"/>
      <c r="AG404" s="342"/>
      <c r="AH404" s="342"/>
      <c r="AI404" s="342"/>
    </row>
    <row r="405">
      <c r="A405" s="342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P405" s="342"/>
      <c r="Q405" s="342"/>
      <c r="R405" s="342"/>
      <c r="S405" s="342"/>
      <c r="T405" s="342"/>
      <c r="U405" s="342"/>
      <c r="V405" s="342"/>
      <c r="W405" s="342"/>
      <c r="X405" s="342"/>
      <c r="Y405" s="342"/>
      <c r="Z405" s="342"/>
      <c r="AA405" s="342"/>
      <c r="AB405" s="342"/>
      <c r="AC405" s="342"/>
      <c r="AD405" s="342"/>
      <c r="AE405" s="342"/>
      <c r="AF405" s="342"/>
      <c r="AG405" s="342"/>
      <c r="AH405" s="342"/>
      <c r="AI405" s="342"/>
    </row>
    <row r="406">
      <c r="A406" s="342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P406" s="342"/>
      <c r="Q406" s="342"/>
      <c r="R406" s="342"/>
      <c r="S406" s="342"/>
      <c r="T406" s="342"/>
      <c r="U406" s="342"/>
      <c r="V406" s="342"/>
      <c r="W406" s="342"/>
      <c r="X406" s="342"/>
      <c r="Y406" s="342"/>
      <c r="Z406" s="342"/>
      <c r="AA406" s="342"/>
      <c r="AB406" s="342"/>
      <c r="AC406" s="342"/>
      <c r="AD406" s="342"/>
      <c r="AE406" s="342"/>
      <c r="AF406" s="342"/>
      <c r="AG406" s="342"/>
      <c r="AH406" s="342"/>
      <c r="AI406" s="342"/>
    </row>
    <row r="407">
      <c r="A407" s="342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P407" s="342"/>
      <c r="Q407" s="342"/>
      <c r="R407" s="342"/>
      <c r="S407" s="342"/>
      <c r="T407" s="342"/>
      <c r="U407" s="342"/>
      <c r="V407" s="342"/>
      <c r="W407" s="342"/>
      <c r="X407" s="342"/>
      <c r="Y407" s="342"/>
      <c r="Z407" s="342"/>
      <c r="AA407" s="342"/>
      <c r="AB407" s="342"/>
      <c r="AC407" s="342"/>
      <c r="AD407" s="342"/>
      <c r="AE407" s="342"/>
      <c r="AF407" s="342"/>
      <c r="AG407" s="342"/>
      <c r="AH407" s="342"/>
      <c r="AI407" s="342"/>
    </row>
    <row r="408">
      <c r="A408" s="342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P408" s="342"/>
      <c r="Q408" s="342"/>
      <c r="R408" s="342"/>
      <c r="S408" s="342"/>
      <c r="T408" s="342"/>
      <c r="U408" s="342"/>
      <c r="V408" s="342"/>
      <c r="W408" s="342"/>
      <c r="X408" s="342"/>
      <c r="Y408" s="342"/>
      <c r="Z408" s="342"/>
      <c r="AA408" s="342"/>
      <c r="AB408" s="342"/>
      <c r="AC408" s="342"/>
      <c r="AD408" s="342"/>
      <c r="AE408" s="342"/>
      <c r="AF408" s="342"/>
      <c r="AG408" s="342"/>
      <c r="AH408" s="342"/>
      <c r="AI408" s="342"/>
    </row>
    <row r="409">
      <c r="A409" s="342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  <c r="AA409" s="342"/>
      <c r="AB409" s="342"/>
      <c r="AC409" s="342"/>
      <c r="AD409" s="342"/>
      <c r="AE409" s="342"/>
      <c r="AF409" s="342"/>
      <c r="AG409" s="342"/>
      <c r="AH409" s="342"/>
      <c r="AI409" s="342"/>
    </row>
    <row r="410">
      <c r="A410" s="342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P410" s="342"/>
      <c r="Q410" s="342"/>
      <c r="R410" s="342"/>
      <c r="S410" s="342"/>
      <c r="T410" s="342"/>
      <c r="U410" s="342"/>
      <c r="V410" s="342"/>
      <c r="W410" s="342"/>
      <c r="X410" s="342"/>
      <c r="Y410" s="342"/>
      <c r="Z410" s="342"/>
      <c r="AA410" s="342"/>
      <c r="AB410" s="342"/>
      <c r="AC410" s="342"/>
      <c r="AD410" s="342"/>
      <c r="AE410" s="342"/>
      <c r="AF410" s="342"/>
      <c r="AG410" s="342"/>
      <c r="AH410" s="342"/>
      <c r="AI410" s="342"/>
    </row>
    <row r="411">
      <c r="A411" s="342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P411" s="342"/>
      <c r="Q411" s="342"/>
      <c r="R411" s="342"/>
      <c r="S411" s="342"/>
      <c r="T411" s="342"/>
      <c r="U411" s="342"/>
      <c r="V411" s="342"/>
      <c r="W411" s="342"/>
      <c r="X411" s="342"/>
      <c r="Y411" s="342"/>
      <c r="Z411" s="342"/>
      <c r="AA411" s="342"/>
      <c r="AB411" s="342"/>
      <c r="AC411" s="342"/>
      <c r="AD411" s="342"/>
      <c r="AE411" s="342"/>
      <c r="AF411" s="342"/>
      <c r="AG411" s="342"/>
      <c r="AH411" s="342"/>
      <c r="AI411" s="342"/>
    </row>
    <row r="412">
      <c r="A412" s="342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P412" s="342"/>
      <c r="Q412" s="342"/>
      <c r="R412" s="342"/>
      <c r="S412" s="342"/>
      <c r="T412" s="342"/>
      <c r="U412" s="342"/>
      <c r="V412" s="342"/>
      <c r="W412" s="342"/>
      <c r="X412" s="342"/>
      <c r="Y412" s="342"/>
      <c r="Z412" s="342"/>
      <c r="AA412" s="342"/>
      <c r="AB412" s="342"/>
      <c r="AC412" s="342"/>
      <c r="AD412" s="342"/>
      <c r="AE412" s="342"/>
      <c r="AF412" s="342"/>
      <c r="AG412" s="342"/>
      <c r="AH412" s="342"/>
      <c r="AI412" s="342"/>
    </row>
    <row r="413">
      <c r="A413" s="342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  <c r="AA413" s="342"/>
      <c r="AB413" s="342"/>
      <c r="AC413" s="342"/>
      <c r="AD413" s="342"/>
      <c r="AE413" s="342"/>
      <c r="AF413" s="342"/>
      <c r="AG413" s="342"/>
      <c r="AH413" s="342"/>
      <c r="AI413" s="342"/>
    </row>
    <row r="414">
      <c r="A414" s="342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P414" s="342"/>
      <c r="Q414" s="342"/>
      <c r="R414" s="342"/>
      <c r="S414" s="342"/>
      <c r="T414" s="342"/>
      <c r="U414" s="342"/>
      <c r="V414" s="342"/>
      <c r="W414" s="342"/>
      <c r="X414" s="342"/>
      <c r="Y414" s="342"/>
      <c r="Z414" s="342"/>
      <c r="AA414" s="342"/>
      <c r="AB414" s="342"/>
      <c r="AC414" s="342"/>
      <c r="AD414" s="342"/>
      <c r="AE414" s="342"/>
      <c r="AF414" s="342"/>
      <c r="AG414" s="342"/>
      <c r="AH414" s="342"/>
      <c r="AI414" s="342"/>
    </row>
    <row r="415">
      <c r="A415" s="342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P415" s="342"/>
      <c r="Q415" s="342"/>
      <c r="R415" s="342"/>
      <c r="S415" s="342"/>
      <c r="T415" s="342"/>
      <c r="U415" s="342"/>
      <c r="V415" s="342"/>
      <c r="W415" s="342"/>
      <c r="X415" s="342"/>
      <c r="Y415" s="342"/>
      <c r="Z415" s="342"/>
      <c r="AA415" s="342"/>
      <c r="AB415" s="342"/>
      <c r="AC415" s="342"/>
      <c r="AD415" s="342"/>
      <c r="AE415" s="342"/>
      <c r="AF415" s="342"/>
      <c r="AG415" s="342"/>
      <c r="AH415" s="342"/>
      <c r="AI415" s="342"/>
    </row>
    <row r="416">
      <c r="A416" s="342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P416" s="342"/>
      <c r="Q416" s="342"/>
      <c r="R416" s="342"/>
      <c r="S416" s="342"/>
      <c r="T416" s="342"/>
      <c r="U416" s="342"/>
      <c r="V416" s="342"/>
      <c r="W416" s="342"/>
      <c r="X416" s="342"/>
      <c r="Y416" s="342"/>
      <c r="Z416" s="342"/>
      <c r="AA416" s="342"/>
      <c r="AB416" s="342"/>
      <c r="AC416" s="342"/>
      <c r="AD416" s="342"/>
      <c r="AE416" s="342"/>
      <c r="AF416" s="342"/>
      <c r="AG416" s="342"/>
      <c r="AH416" s="342"/>
      <c r="AI416" s="342"/>
    </row>
    <row r="417">
      <c r="A417" s="342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P417" s="342"/>
      <c r="Q417" s="342"/>
      <c r="R417" s="342"/>
      <c r="S417" s="342"/>
      <c r="T417" s="342"/>
      <c r="U417" s="342"/>
      <c r="V417" s="342"/>
      <c r="W417" s="342"/>
      <c r="X417" s="342"/>
      <c r="Y417" s="342"/>
      <c r="Z417" s="342"/>
      <c r="AA417" s="342"/>
      <c r="AB417" s="342"/>
      <c r="AC417" s="342"/>
      <c r="AD417" s="342"/>
      <c r="AE417" s="342"/>
      <c r="AF417" s="342"/>
      <c r="AG417" s="342"/>
      <c r="AH417" s="342"/>
      <c r="AI417" s="342"/>
    </row>
    <row r="418">
      <c r="A418" s="342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P418" s="342"/>
      <c r="Q418" s="342"/>
      <c r="R418" s="342"/>
      <c r="S418" s="342"/>
      <c r="T418" s="342"/>
      <c r="U418" s="342"/>
      <c r="V418" s="342"/>
      <c r="W418" s="342"/>
      <c r="X418" s="342"/>
      <c r="Y418" s="342"/>
      <c r="Z418" s="342"/>
      <c r="AA418" s="342"/>
      <c r="AB418" s="342"/>
      <c r="AC418" s="342"/>
      <c r="AD418" s="342"/>
      <c r="AE418" s="342"/>
      <c r="AF418" s="342"/>
      <c r="AG418" s="342"/>
      <c r="AH418" s="342"/>
      <c r="AI418" s="342"/>
    </row>
    <row r="419">
      <c r="A419" s="342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P419" s="342"/>
      <c r="Q419" s="342"/>
      <c r="R419" s="342"/>
      <c r="S419" s="342"/>
      <c r="T419" s="342"/>
      <c r="U419" s="342"/>
      <c r="V419" s="342"/>
      <c r="W419" s="342"/>
      <c r="X419" s="342"/>
      <c r="Y419" s="342"/>
      <c r="Z419" s="342"/>
      <c r="AA419" s="342"/>
      <c r="AB419" s="342"/>
      <c r="AC419" s="342"/>
      <c r="AD419" s="342"/>
      <c r="AE419" s="342"/>
      <c r="AF419" s="342"/>
      <c r="AG419" s="342"/>
      <c r="AH419" s="342"/>
      <c r="AI419" s="342"/>
    </row>
    <row r="420">
      <c r="A420" s="342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P420" s="342"/>
      <c r="Q420" s="342"/>
      <c r="R420" s="342"/>
      <c r="S420" s="342"/>
      <c r="T420" s="342"/>
      <c r="U420" s="342"/>
      <c r="V420" s="342"/>
      <c r="W420" s="342"/>
      <c r="X420" s="342"/>
      <c r="Y420" s="342"/>
      <c r="Z420" s="342"/>
      <c r="AA420" s="342"/>
      <c r="AB420" s="342"/>
      <c r="AC420" s="342"/>
      <c r="AD420" s="342"/>
      <c r="AE420" s="342"/>
      <c r="AF420" s="342"/>
      <c r="AG420" s="342"/>
      <c r="AH420" s="342"/>
      <c r="AI420" s="342"/>
    </row>
    <row r="421">
      <c r="A421" s="342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P421" s="342"/>
      <c r="Q421" s="342"/>
      <c r="R421" s="342"/>
      <c r="S421" s="342"/>
      <c r="T421" s="342"/>
      <c r="U421" s="342"/>
      <c r="V421" s="342"/>
      <c r="W421" s="342"/>
      <c r="X421" s="342"/>
      <c r="Y421" s="342"/>
      <c r="Z421" s="342"/>
      <c r="AA421" s="342"/>
      <c r="AB421" s="342"/>
      <c r="AC421" s="342"/>
      <c r="AD421" s="342"/>
      <c r="AE421" s="342"/>
      <c r="AF421" s="342"/>
      <c r="AG421" s="342"/>
      <c r="AH421" s="342"/>
      <c r="AI421" s="342"/>
    </row>
    <row r="422">
      <c r="A422" s="342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P422" s="342"/>
      <c r="Q422" s="342"/>
      <c r="R422" s="342"/>
      <c r="S422" s="342"/>
      <c r="T422" s="342"/>
      <c r="U422" s="342"/>
      <c r="V422" s="342"/>
      <c r="W422" s="342"/>
      <c r="X422" s="342"/>
      <c r="Y422" s="342"/>
      <c r="Z422" s="342"/>
      <c r="AA422" s="342"/>
      <c r="AB422" s="342"/>
      <c r="AC422" s="342"/>
      <c r="AD422" s="342"/>
      <c r="AE422" s="342"/>
      <c r="AF422" s="342"/>
      <c r="AG422" s="342"/>
      <c r="AH422" s="342"/>
      <c r="AI422" s="342"/>
    </row>
    <row r="423">
      <c r="A423" s="342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P423" s="342"/>
      <c r="Q423" s="342"/>
      <c r="R423" s="342"/>
      <c r="S423" s="342"/>
      <c r="T423" s="342"/>
      <c r="U423" s="342"/>
      <c r="V423" s="342"/>
      <c r="W423" s="342"/>
      <c r="X423" s="342"/>
      <c r="Y423" s="342"/>
      <c r="Z423" s="342"/>
      <c r="AA423" s="342"/>
      <c r="AB423" s="342"/>
      <c r="AC423" s="342"/>
      <c r="AD423" s="342"/>
      <c r="AE423" s="342"/>
      <c r="AF423" s="342"/>
      <c r="AG423" s="342"/>
      <c r="AH423" s="342"/>
      <c r="AI423" s="342"/>
    </row>
    <row r="424">
      <c r="A424" s="342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2"/>
      <c r="R424" s="342"/>
      <c r="S424" s="342"/>
      <c r="T424" s="342"/>
      <c r="U424" s="342"/>
      <c r="V424" s="342"/>
      <c r="W424" s="342"/>
      <c r="X424" s="342"/>
      <c r="Y424" s="342"/>
      <c r="Z424" s="342"/>
      <c r="AA424" s="342"/>
      <c r="AB424" s="342"/>
      <c r="AC424" s="342"/>
      <c r="AD424" s="342"/>
      <c r="AE424" s="342"/>
      <c r="AF424" s="342"/>
      <c r="AG424" s="342"/>
      <c r="AH424" s="342"/>
      <c r="AI424" s="342"/>
    </row>
    <row r="425">
      <c r="A425" s="342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  <c r="AA425" s="342"/>
      <c r="AB425" s="342"/>
      <c r="AC425" s="342"/>
      <c r="AD425" s="342"/>
      <c r="AE425" s="342"/>
      <c r="AF425" s="342"/>
      <c r="AG425" s="342"/>
      <c r="AH425" s="342"/>
      <c r="AI425" s="342"/>
    </row>
    <row r="426">
      <c r="A426" s="342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P426" s="342"/>
      <c r="Q426" s="342"/>
      <c r="R426" s="342"/>
      <c r="S426" s="342"/>
      <c r="T426" s="342"/>
      <c r="U426" s="342"/>
      <c r="V426" s="342"/>
      <c r="W426" s="342"/>
      <c r="X426" s="342"/>
      <c r="Y426" s="342"/>
      <c r="Z426" s="342"/>
      <c r="AA426" s="342"/>
      <c r="AB426" s="342"/>
      <c r="AC426" s="342"/>
      <c r="AD426" s="342"/>
      <c r="AE426" s="342"/>
      <c r="AF426" s="342"/>
      <c r="AG426" s="342"/>
      <c r="AH426" s="342"/>
      <c r="AI426" s="342"/>
    </row>
    <row r="427">
      <c r="A427" s="342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P427" s="342"/>
      <c r="Q427" s="342"/>
      <c r="R427" s="342"/>
      <c r="S427" s="342"/>
      <c r="T427" s="342"/>
      <c r="U427" s="342"/>
      <c r="V427" s="342"/>
      <c r="W427" s="342"/>
      <c r="X427" s="342"/>
      <c r="Y427" s="342"/>
      <c r="Z427" s="342"/>
      <c r="AA427" s="342"/>
      <c r="AB427" s="342"/>
      <c r="AC427" s="342"/>
      <c r="AD427" s="342"/>
      <c r="AE427" s="342"/>
      <c r="AF427" s="342"/>
      <c r="AG427" s="342"/>
      <c r="AH427" s="342"/>
      <c r="AI427" s="342"/>
    </row>
    <row r="428">
      <c r="A428" s="342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P428" s="342"/>
      <c r="Q428" s="342"/>
      <c r="R428" s="342"/>
      <c r="S428" s="342"/>
      <c r="T428" s="342"/>
      <c r="U428" s="342"/>
      <c r="V428" s="342"/>
      <c r="W428" s="342"/>
      <c r="X428" s="342"/>
      <c r="Y428" s="342"/>
      <c r="Z428" s="342"/>
      <c r="AA428" s="342"/>
      <c r="AB428" s="342"/>
      <c r="AC428" s="342"/>
      <c r="AD428" s="342"/>
      <c r="AE428" s="342"/>
      <c r="AF428" s="342"/>
      <c r="AG428" s="342"/>
      <c r="AH428" s="342"/>
      <c r="AI428" s="342"/>
    </row>
    <row r="429">
      <c r="A429" s="342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P429" s="342"/>
      <c r="Q429" s="342"/>
      <c r="R429" s="342"/>
      <c r="S429" s="342"/>
      <c r="T429" s="342"/>
      <c r="U429" s="342"/>
      <c r="V429" s="342"/>
      <c r="W429" s="342"/>
      <c r="X429" s="342"/>
      <c r="Y429" s="342"/>
      <c r="Z429" s="342"/>
      <c r="AA429" s="342"/>
      <c r="AB429" s="342"/>
      <c r="AC429" s="342"/>
      <c r="AD429" s="342"/>
      <c r="AE429" s="342"/>
      <c r="AF429" s="342"/>
      <c r="AG429" s="342"/>
      <c r="AH429" s="342"/>
      <c r="AI429" s="342"/>
    </row>
    <row r="430">
      <c r="A430" s="342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P430" s="342"/>
      <c r="Q430" s="342"/>
      <c r="R430" s="342"/>
      <c r="S430" s="342"/>
      <c r="T430" s="342"/>
      <c r="U430" s="342"/>
      <c r="V430" s="342"/>
      <c r="W430" s="342"/>
      <c r="X430" s="342"/>
      <c r="Y430" s="342"/>
      <c r="Z430" s="342"/>
      <c r="AA430" s="342"/>
      <c r="AB430" s="342"/>
      <c r="AC430" s="342"/>
      <c r="AD430" s="342"/>
      <c r="AE430" s="342"/>
      <c r="AF430" s="342"/>
      <c r="AG430" s="342"/>
      <c r="AH430" s="342"/>
      <c r="AI430" s="342"/>
    </row>
    <row r="431">
      <c r="A431" s="342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P431" s="342"/>
      <c r="Q431" s="342"/>
      <c r="R431" s="342"/>
      <c r="S431" s="342"/>
      <c r="T431" s="342"/>
      <c r="U431" s="342"/>
      <c r="V431" s="342"/>
      <c r="W431" s="342"/>
      <c r="X431" s="342"/>
      <c r="Y431" s="342"/>
      <c r="Z431" s="342"/>
      <c r="AA431" s="342"/>
      <c r="AB431" s="342"/>
      <c r="AC431" s="342"/>
      <c r="AD431" s="342"/>
      <c r="AE431" s="342"/>
      <c r="AF431" s="342"/>
      <c r="AG431" s="342"/>
      <c r="AH431" s="342"/>
      <c r="AI431" s="342"/>
    </row>
    <row r="432">
      <c r="A432" s="342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P432" s="342"/>
      <c r="Q432" s="342"/>
      <c r="R432" s="342"/>
      <c r="S432" s="342"/>
      <c r="T432" s="342"/>
      <c r="U432" s="342"/>
      <c r="V432" s="342"/>
      <c r="W432" s="342"/>
      <c r="X432" s="342"/>
      <c r="Y432" s="342"/>
      <c r="Z432" s="342"/>
      <c r="AA432" s="342"/>
      <c r="AB432" s="342"/>
      <c r="AC432" s="342"/>
      <c r="AD432" s="342"/>
      <c r="AE432" s="342"/>
      <c r="AF432" s="342"/>
      <c r="AG432" s="342"/>
      <c r="AH432" s="342"/>
      <c r="AI432" s="342"/>
    </row>
    <row r="433">
      <c r="A433" s="342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P433" s="342"/>
      <c r="Q433" s="342"/>
      <c r="R433" s="342"/>
      <c r="S433" s="342"/>
      <c r="T433" s="342"/>
      <c r="U433" s="342"/>
      <c r="V433" s="342"/>
      <c r="W433" s="342"/>
      <c r="X433" s="342"/>
      <c r="Y433" s="342"/>
      <c r="Z433" s="342"/>
      <c r="AA433" s="342"/>
      <c r="AB433" s="342"/>
      <c r="AC433" s="342"/>
      <c r="AD433" s="342"/>
      <c r="AE433" s="342"/>
      <c r="AF433" s="342"/>
      <c r="AG433" s="342"/>
      <c r="AH433" s="342"/>
      <c r="AI433" s="342"/>
    </row>
    <row r="434">
      <c r="A434" s="342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  <c r="AA434" s="342"/>
      <c r="AB434" s="342"/>
      <c r="AC434" s="342"/>
      <c r="AD434" s="342"/>
      <c r="AE434" s="342"/>
      <c r="AF434" s="342"/>
      <c r="AG434" s="342"/>
      <c r="AH434" s="342"/>
      <c r="AI434" s="342"/>
    </row>
    <row r="435">
      <c r="A435" s="342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  <c r="AA435" s="342"/>
      <c r="AB435" s="342"/>
      <c r="AC435" s="342"/>
      <c r="AD435" s="342"/>
      <c r="AE435" s="342"/>
      <c r="AF435" s="342"/>
      <c r="AG435" s="342"/>
      <c r="AH435" s="342"/>
      <c r="AI435" s="342"/>
    </row>
    <row r="436">
      <c r="A436" s="342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  <c r="AA436" s="342"/>
      <c r="AB436" s="342"/>
      <c r="AC436" s="342"/>
      <c r="AD436" s="342"/>
      <c r="AE436" s="342"/>
      <c r="AF436" s="342"/>
      <c r="AG436" s="342"/>
      <c r="AH436" s="342"/>
      <c r="AI436" s="342"/>
    </row>
    <row r="437">
      <c r="A437" s="342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  <c r="AA437" s="342"/>
      <c r="AB437" s="342"/>
      <c r="AC437" s="342"/>
      <c r="AD437" s="342"/>
      <c r="AE437" s="342"/>
      <c r="AF437" s="342"/>
      <c r="AG437" s="342"/>
      <c r="AH437" s="342"/>
      <c r="AI437" s="342"/>
    </row>
    <row r="438">
      <c r="A438" s="342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P438" s="342"/>
      <c r="Q438" s="342"/>
      <c r="R438" s="342"/>
      <c r="S438" s="342"/>
      <c r="T438" s="342"/>
      <c r="U438" s="342"/>
      <c r="V438" s="342"/>
      <c r="W438" s="342"/>
      <c r="X438" s="342"/>
      <c r="Y438" s="342"/>
      <c r="Z438" s="342"/>
      <c r="AA438" s="342"/>
      <c r="AB438" s="342"/>
      <c r="AC438" s="342"/>
      <c r="AD438" s="342"/>
      <c r="AE438" s="342"/>
      <c r="AF438" s="342"/>
      <c r="AG438" s="342"/>
      <c r="AH438" s="342"/>
      <c r="AI438" s="342"/>
    </row>
    <row r="439">
      <c r="A439" s="342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P439" s="342"/>
      <c r="Q439" s="342"/>
      <c r="R439" s="342"/>
      <c r="S439" s="342"/>
      <c r="T439" s="342"/>
      <c r="U439" s="342"/>
      <c r="V439" s="342"/>
      <c r="W439" s="342"/>
      <c r="X439" s="342"/>
      <c r="Y439" s="342"/>
      <c r="Z439" s="342"/>
      <c r="AA439" s="342"/>
      <c r="AB439" s="342"/>
      <c r="AC439" s="342"/>
      <c r="AD439" s="342"/>
      <c r="AE439" s="342"/>
      <c r="AF439" s="342"/>
      <c r="AG439" s="342"/>
      <c r="AH439" s="342"/>
      <c r="AI439" s="342"/>
    </row>
    <row r="440">
      <c r="A440" s="342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  <c r="AA440" s="342"/>
      <c r="AB440" s="342"/>
      <c r="AC440" s="342"/>
      <c r="AD440" s="342"/>
      <c r="AE440" s="342"/>
      <c r="AF440" s="342"/>
      <c r="AG440" s="342"/>
      <c r="AH440" s="342"/>
      <c r="AI440" s="342"/>
    </row>
    <row r="441">
      <c r="A441" s="342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P441" s="342"/>
      <c r="Q441" s="342"/>
      <c r="R441" s="342"/>
      <c r="S441" s="342"/>
      <c r="T441" s="342"/>
      <c r="U441" s="342"/>
      <c r="V441" s="342"/>
      <c r="W441" s="342"/>
      <c r="X441" s="342"/>
      <c r="Y441" s="342"/>
      <c r="Z441" s="342"/>
      <c r="AA441" s="342"/>
      <c r="AB441" s="342"/>
      <c r="AC441" s="342"/>
      <c r="AD441" s="342"/>
      <c r="AE441" s="342"/>
      <c r="AF441" s="342"/>
      <c r="AG441" s="342"/>
      <c r="AH441" s="342"/>
      <c r="AI441" s="342"/>
    </row>
    <row r="442">
      <c r="A442" s="342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P442" s="342"/>
      <c r="Q442" s="342"/>
      <c r="R442" s="342"/>
      <c r="S442" s="342"/>
      <c r="T442" s="342"/>
      <c r="U442" s="342"/>
      <c r="V442" s="342"/>
      <c r="W442" s="342"/>
      <c r="X442" s="342"/>
      <c r="Y442" s="342"/>
      <c r="Z442" s="342"/>
      <c r="AA442" s="342"/>
      <c r="AB442" s="342"/>
      <c r="AC442" s="342"/>
      <c r="AD442" s="342"/>
      <c r="AE442" s="342"/>
      <c r="AF442" s="342"/>
      <c r="AG442" s="342"/>
      <c r="AH442" s="342"/>
      <c r="AI442" s="342"/>
    </row>
    <row r="443">
      <c r="A443" s="342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P443" s="342"/>
      <c r="Q443" s="342"/>
      <c r="R443" s="342"/>
      <c r="S443" s="342"/>
      <c r="T443" s="342"/>
      <c r="U443" s="342"/>
      <c r="V443" s="342"/>
      <c r="W443" s="342"/>
      <c r="X443" s="342"/>
      <c r="Y443" s="342"/>
      <c r="Z443" s="342"/>
      <c r="AA443" s="342"/>
      <c r="AB443" s="342"/>
      <c r="AC443" s="342"/>
      <c r="AD443" s="342"/>
      <c r="AE443" s="342"/>
      <c r="AF443" s="342"/>
      <c r="AG443" s="342"/>
      <c r="AH443" s="342"/>
      <c r="AI443" s="342"/>
    </row>
    <row r="444">
      <c r="A444" s="342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P444" s="342"/>
      <c r="Q444" s="342"/>
      <c r="R444" s="342"/>
      <c r="S444" s="342"/>
      <c r="T444" s="342"/>
      <c r="U444" s="342"/>
      <c r="V444" s="342"/>
      <c r="W444" s="342"/>
      <c r="X444" s="342"/>
      <c r="Y444" s="342"/>
      <c r="Z444" s="342"/>
      <c r="AA444" s="342"/>
      <c r="AB444" s="342"/>
      <c r="AC444" s="342"/>
      <c r="AD444" s="342"/>
      <c r="AE444" s="342"/>
      <c r="AF444" s="342"/>
      <c r="AG444" s="342"/>
      <c r="AH444" s="342"/>
      <c r="AI444" s="342"/>
    </row>
    <row r="445">
      <c r="A445" s="342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2"/>
      <c r="Y445" s="342"/>
      <c r="Z445" s="342"/>
      <c r="AA445" s="342"/>
      <c r="AB445" s="342"/>
      <c r="AC445" s="342"/>
      <c r="AD445" s="342"/>
      <c r="AE445" s="342"/>
      <c r="AF445" s="342"/>
      <c r="AG445" s="342"/>
      <c r="AH445" s="342"/>
      <c r="AI445" s="342"/>
    </row>
    <row r="446">
      <c r="A446" s="342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P446" s="342"/>
      <c r="Q446" s="342"/>
      <c r="R446" s="342"/>
      <c r="S446" s="342"/>
      <c r="T446" s="342"/>
      <c r="U446" s="342"/>
      <c r="V446" s="342"/>
      <c r="W446" s="342"/>
      <c r="X446" s="342"/>
      <c r="Y446" s="342"/>
      <c r="Z446" s="342"/>
      <c r="AA446" s="342"/>
      <c r="AB446" s="342"/>
      <c r="AC446" s="342"/>
      <c r="AD446" s="342"/>
      <c r="AE446" s="342"/>
      <c r="AF446" s="342"/>
      <c r="AG446" s="342"/>
      <c r="AH446" s="342"/>
      <c r="AI446" s="342"/>
    </row>
    <row r="447">
      <c r="A447" s="342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P447" s="342"/>
      <c r="Q447" s="342"/>
      <c r="R447" s="342"/>
      <c r="S447" s="342"/>
      <c r="T447" s="342"/>
      <c r="U447" s="342"/>
      <c r="V447" s="342"/>
      <c r="W447" s="342"/>
      <c r="X447" s="342"/>
      <c r="Y447" s="342"/>
      <c r="Z447" s="342"/>
      <c r="AA447" s="342"/>
      <c r="AB447" s="342"/>
      <c r="AC447" s="342"/>
      <c r="AD447" s="342"/>
      <c r="AE447" s="342"/>
      <c r="AF447" s="342"/>
      <c r="AG447" s="342"/>
      <c r="AH447" s="342"/>
      <c r="AI447" s="342"/>
    </row>
    <row r="448">
      <c r="A448" s="342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P448" s="342"/>
      <c r="Q448" s="342"/>
      <c r="R448" s="342"/>
      <c r="S448" s="342"/>
      <c r="T448" s="342"/>
      <c r="U448" s="342"/>
      <c r="V448" s="342"/>
      <c r="W448" s="342"/>
      <c r="X448" s="342"/>
      <c r="Y448" s="342"/>
      <c r="Z448" s="342"/>
      <c r="AA448" s="342"/>
      <c r="AB448" s="342"/>
      <c r="AC448" s="342"/>
      <c r="AD448" s="342"/>
      <c r="AE448" s="342"/>
      <c r="AF448" s="342"/>
      <c r="AG448" s="342"/>
      <c r="AH448" s="342"/>
      <c r="AI448" s="342"/>
    </row>
    <row r="449">
      <c r="A449" s="342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  <c r="AA449" s="342"/>
      <c r="AB449" s="342"/>
      <c r="AC449" s="342"/>
      <c r="AD449" s="342"/>
      <c r="AE449" s="342"/>
      <c r="AF449" s="342"/>
      <c r="AG449" s="342"/>
      <c r="AH449" s="342"/>
      <c r="AI449" s="342"/>
    </row>
    <row r="450">
      <c r="A450" s="342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P450" s="342"/>
      <c r="Q450" s="342"/>
      <c r="R450" s="342"/>
      <c r="S450" s="342"/>
      <c r="T450" s="342"/>
      <c r="U450" s="342"/>
      <c r="V450" s="342"/>
      <c r="W450" s="342"/>
      <c r="X450" s="342"/>
      <c r="Y450" s="342"/>
      <c r="Z450" s="342"/>
      <c r="AA450" s="342"/>
      <c r="AB450" s="342"/>
      <c r="AC450" s="342"/>
      <c r="AD450" s="342"/>
      <c r="AE450" s="342"/>
      <c r="AF450" s="342"/>
      <c r="AG450" s="342"/>
      <c r="AH450" s="342"/>
      <c r="AI450" s="342"/>
    </row>
    <row r="451">
      <c r="A451" s="342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P451" s="342"/>
      <c r="Q451" s="342"/>
      <c r="R451" s="342"/>
      <c r="S451" s="342"/>
      <c r="T451" s="342"/>
      <c r="U451" s="342"/>
      <c r="V451" s="342"/>
      <c r="W451" s="342"/>
      <c r="X451" s="342"/>
      <c r="Y451" s="342"/>
      <c r="Z451" s="342"/>
      <c r="AA451" s="342"/>
      <c r="AB451" s="342"/>
      <c r="AC451" s="342"/>
      <c r="AD451" s="342"/>
      <c r="AE451" s="342"/>
      <c r="AF451" s="342"/>
      <c r="AG451" s="342"/>
      <c r="AH451" s="342"/>
      <c r="AI451" s="342"/>
    </row>
    <row r="452">
      <c r="A452" s="342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P452" s="342"/>
      <c r="Q452" s="342"/>
      <c r="R452" s="342"/>
      <c r="S452" s="342"/>
      <c r="T452" s="342"/>
      <c r="U452" s="342"/>
      <c r="V452" s="342"/>
      <c r="W452" s="342"/>
      <c r="X452" s="342"/>
      <c r="Y452" s="342"/>
      <c r="Z452" s="342"/>
      <c r="AA452" s="342"/>
      <c r="AB452" s="342"/>
      <c r="AC452" s="342"/>
      <c r="AD452" s="342"/>
      <c r="AE452" s="342"/>
      <c r="AF452" s="342"/>
      <c r="AG452" s="342"/>
      <c r="AH452" s="342"/>
      <c r="AI452" s="342"/>
    </row>
    <row r="453">
      <c r="A453" s="342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P453" s="342"/>
      <c r="Q453" s="342"/>
      <c r="R453" s="342"/>
      <c r="S453" s="342"/>
      <c r="T453" s="342"/>
      <c r="U453" s="342"/>
      <c r="V453" s="342"/>
      <c r="W453" s="342"/>
      <c r="X453" s="342"/>
      <c r="Y453" s="342"/>
      <c r="Z453" s="342"/>
      <c r="AA453" s="342"/>
      <c r="AB453" s="342"/>
      <c r="AC453" s="342"/>
      <c r="AD453" s="342"/>
      <c r="AE453" s="342"/>
      <c r="AF453" s="342"/>
      <c r="AG453" s="342"/>
      <c r="AH453" s="342"/>
      <c r="AI453" s="342"/>
    </row>
    <row r="454">
      <c r="A454" s="342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P454" s="342"/>
      <c r="Q454" s="342"/>
      <c r="R454" s="342"/>
      <c r="S454" s="342"/>
      <c r="T454" s="342"/>
      <c r="U454" s="342"/>
      <c r="V454" s="342"/>
      <c r="W454" s="342"/>
      <c r="X454" s="342"/>
      <c r="Y454" s="342"/>
      <c r="Z454" s="342"/>
      <c r="AA454" s="342"/>
      <c r="AB454" s="342"/>
      <c r="AC454" s="342"/>
      <c r="AD454" s="342"/>
      <c r="AE454" s="342"/>
      <c r="AF454" s="342"/>
      <c r="AG454" s="342"/>
      <c r="AH454" s="342"/>
      <c r="AI454" s="342"/>
    </row>
    <row r="455">
      <c r="A455" s="342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2"/>
      <c r="Y455" s="342"/>
      <c r="Z455" s="342"/>
      <c r="AA455" s="342"/>
      <c r="AB455" s="342"/>
      <c r="AC455" s="342"/>
      <c r="AD455" s="342"/>
      <c r="AE455" s="342"/>
      <c r="AF455" s="342"/>
      <c r="AG455" s="342"/>
      <c r="AH455" s="342"/>
      <c r="AI455" s="342"/>
    </row>
    <row r="456">
      <c r="A456" s="342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P456" s="342"/>
      <c r="Q456" s="342"/>
      <c r="R456" s="342"/>
      <c r="S456" s="342"/>
      <c r="T456" s="342"/>
      <c r="U456" s="342"/>
      <c r="V456" s="342"/>
      <c r="W456" s="342"/>
      <c r="X456" s="342"/>
      <c r="Y456" s="342"/>
      <c r="Z456" s="342"/>
      <c r="AA456" s="342"/>
      <c r="AB456" s="342"/>
      <c r="AC456" s="342"/>
      <c r="AD456" s="342"/>
      <c r="AE456" s="342"/>
      <c r="AF456" s="342"/>
      <c r="AG456" s="342"/>
      <c r="AH456" s="342"/>
      <c r="AI456" s="342"/>
    </row>
    <row r="457">
      <c r="A457" s="342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P457" s="342"/>
      <c r="Q457" s="342"/>
      <c r="R457" s="342"/>
      <c r="S457" s="342"/>
      <c r="T457" s="342"/>
      <c r="U457" s="342"/>
      <c r="V457" s="342"/>
      <c r="W457" s="342"/>
      <c r="X457" s="342"/>
      <c r="Y457" s="342"/>
      <c r="Z457" s="342"/>
      <c r="AA457" s="342"/>
      <c r="AB457" s="342"/>
      <c r="AC457" s="342"/>
      <c r="AD457" s="342"/>
      <c r="AE457" s="342"/>
      <c r="AF457" s="342"/>
      <c r="AG457" s="342"/>
      <c r="AH457" s="342"/>
      <c r="AI457" s="342"/>
    </row>
    <row r="458">
      <c r="A458" s="342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P458" s="342"/>
      <c r="Q458" s="342"/>
      <c r="R458" s="342"/>
      <c r="S458" s="342"/>
      <c r="T458" s="342"/>
      <c r="U458" s="342"/>
      <c r="V458" s="342"/>
      <c r="W458" s="342"/>
      <c r="X458" s="342"/>
      <c r="Y458" s="342"/>
      <c r="Z458" s="342"/>
      <c r="AA458" s="342"/>
      <c r="AB458" s="342"/>
      <c r="AC458" s="342"/>
      <c r="AD458" s="342"/>
      <c r="AE458" s="342"/>
      <c r="AF458" s="342"/>
      <c r="AG458" s="342"/>
      <c r="AH458" s="342"/>
      <c r="AI458" s="342"/>
    </row>
    <row r="459">
      <c r="A459" s="342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P459" s="342"/>
      <c r="Q459" s="342"/>
      <c r="R459" s="342"/>
      <c r="S459" s="342"/>
      <c r="T459" s="342"/>
      <c r="U459" s="342"/>
      <c r="V459" s="342"/>
      <c r="W459" s="342"/>
      <c r="X459" s="342"/>
      <c r="Y459" s="342"/>
      <c r="Z459" s="342"/>
      <c r="AA459" s="342"/>
      <c r="AB459" s="342"/>
      <c r="AC459" s="342"/>
      <c r="AD459" s="342"/>
      <c r="AE459" s="342"/>
      <c r="AF459" s="342"/>
      <c r="AG459" s="342"/>
      <c r="AH459" s="342"/>
      <c r="AI459" s="342"/>
    </row>
    <row r="460">
      <c r="A460" s="342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2"/>
      <c r="R460" s="342"/>
      <c r="S460" s="342"/>
      <c r="T460" s="342"/>
      <c r="U460" s="342"/>
      <c r="V460" s="342"/>
      <c r="W460" s="342"/>
      <c r="X460" s="342"/>
      <c r="Y460" s="342"/>
      <c r="Z460" s="342"/>
      <c r="AA460" s="342"/>
      <c r="AB460" s="342"/>
      <c r="AC460" s="342"/>
      <c r="AD460" s="342"/>
      <c r="AE460" s="342"/>
      <c r="AF460" s="342"/>
      <c r="AG460" s="342"/>
      <c r="AH460" s="342"/>
      <c r="AI460" s="342"/>
    </row>
    <row r="461">
      <c r="A461" s="342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P461" s="342"/>
      <c r="Q461" s="342"/>
      <c r="R461" s="342"/>
      <c r="S461" s="342"/>
      <c r="T461" s="342"/>
      <c r="U461" s="342"/>
      <c r="V461" s="342"/>
      <c r="W461" s="342"/>
      <c r="X461" s="342"/>
      <c r="Y461" s="342"/>
      <c r="Z461" s="342"/>
      <c r="AA461" s="342"/>
      <c r="AB461" s="342"/>
      <c r="AC461" s="342"/>
      <c r="AD461" s="342"/>
      <c r="AE461" s="342"/>
      <c r="AF461" s="342"/>
      <c r="AG461" s="342"/>
      <c r="AH461" s="342"/>
      <c r="AI461" s="342"/>
    </row>
    <row r="462">
      <c r="A462" s="342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P462" s="342"/>
      <c r="Q462" s="342"/>
      <c r="R462" s="342"/>
      <c r="S462" s="342"/>
      <c r="T462" s="342"/>
      <c r="U462" s="342"/>
      <c r="V462" s="342"/>
      <c r="W462" s="342"/>
      <c r="X462" s="342"/>
      <c r="Y462" s="342"/>
      <c r="Z462" s="342"/>
      <c r="AA462" s="342"/>
      <c r="AB462" s="342"/>
      <c r="AC462" s="342"/>
      <c r="AD462" s="342"/>
      <c r="AE462" s="342"/>
      <c r="AF462" s="342"/>
      <c r="AG462" s="342"/>
      <c r="AH462" s="342"/>
      <c r="AI462" s="342"/>
    </row>
    <row r="463">
      <c r="A463" s="342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2"/>
      <c r="Y463" s="342"/>
      <c r="Z463" s="342"/>
      <c r="AA463" s="342"/>
      <c r="AB463" s="342"/>
      <c r="AC463" s="342"/>
      <c r="AD463" s="342"/>
      <c r="AE463" s="342"/>
      <c r="AF463" s="342"/>
      <c r="AG463" s="342"/>
      <c r="AH463" s="342"/>
      <c r="AI463" s="342"/>
    </row>
    <row r="464">
      <c r="A464" s="342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P464" s="342"/>
      <c r="Q464" s="342"/>
      <c r="R464" s="342"/>
      <c r="S464" s="342"/>
      <c r="T464" s="342"/>
      <c r="U464" s="342"/>
      <c r="V464" s="342"/>
      <c r="W464" s="342"/>
      <c r="X464" s="342"/>
      <c r="Y464" s="342"/>
      <c r="Z464" s="342"/>
      <c r="AA464" s="342"/>
      <c r="AB464" s="342"/>
      <c r="AC464" s="342"/>
      <c r="AD464" s="342"/>
      <c r="AE464" s="342"/>
      <c r="AF464" s="342"/>
      <c r="AG464" s="342"/>
      <c r="AH464" s="342"/>
      <c r="AI464" s="342"/>
    </row>
    <row r="465">
      <c r="A465" s="342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2"/>
      <c r="Y465" s="342"/>
      <c r="Z465" s="342"/>
      <c r="AA465" s="342"/>
      <c r="AB465" s="342"/>
      <c r="AC465" s="342"/>
      <c r="AD465" s="342"/>
      <c r="AE465" s="342"/>
      <c r="AF465" s="342"/>
      <c r="AG465" s="342"/>
      <c r="AH465" s="342"/>
      <c r="AI465" s="342"/>
    </row>
    <row r="466">
      <c r="A466" s="342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P466" s="342"/>
      <c r="Q466" s="342"/>
      <c r="R466" s="342"/>
      <c r="S466" s="342"/>
      <c r="T466" s="342"/>
      <c r="U466" s="342"/>
      <c r="V466" s="342"/>
      <c r="W466" s="342"/>
      <c r="X466" s="342"/>
      <c r="Y466" s="342"/>
      <c r="Z466" s="342"/>
      <c r="AA466" s="342"/>
      <c r="AB466" s="342"/>
      <c r="AC466" s="342"/>
      <c r="AD466" s="342"/>
      <c r="AE466" s="342"/>
      <c r="AF466" s="342"/>
      <c r="AG466" s="342"/>
      <c r="AH466" s="342"/>
      <c r="AI466" s="342"/>
    </row>
    <row r="467">
      <c r="A467" s="342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P467" s="342"/>
      <c r="Q467" s="342"/>
      <c r="R467" s="342"/>
      <c r="S467" s="342"/>
      <c r="T467" s="342"/>
      <c r="U467" s="342"/>
      <c r="V467" s="342"/>
      <c r="W467" s="342"/>
      <c r="X467" s="342"/>
      <c r="Y467" s="342"/>
      <c r="Z467" s="342"/>
      <c r="AA467" s="342"/>
      <c r="AB467" s="342"/>
      <c r="AC467" s="342"/>
      <c r="AD467" s="342"/>
      <c r="AE467" s="342"/>
      <c r="AF467" s="342"/>
      <c r="AG467" s="342"/>
      <c r="AH467" s="342"/>
      <c r="AI467" s="342"/>
    </row>
    <row r="468">
      <c r="A468" s="342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  <c r="AA468" s="342"/>
      <c r="AB468" s="342"/>
      <c r="AC468" s="342"/>
      <c r="AD468" s="342"/>
      <c r="AE468" s="342"/>
      <c r="AF468" s="342"/>
      <c r="AG468" s="342"/>
      <c r="AH468" s="342"/>
      <c r="AI468" s="342"/>
    </row>
    <row r="469">
      <c r="A469" s="342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P469" s="342"/>
      <c r="Q469" s="342"/>
      <c r="R469" s="342"/>
      <c r="S469" s="342"/>
      <c r="T469" s="342"/>
      <c r="U469" s="342"/>
      <c r="V469" s="342"/>
      <c r="W469" s="342"/>
      <c r="X469" s="342"/>
      <c r="Y469" s="342"/>
      <c r="Z469" s="342"/>
      <c r="AA469" s="342"/>
      <c r="AB469" s="342"/>
      <c r="AC469" s="342"/>
      <c r="AD469" s="342"/>
      <c r="AE469" s="342"/>
      <c r="AF469" s="342"/>
      <c r="AG469" s="342"/>
      <c r="AH469" s="342"/>
      <c r="AI469" s="342"/>
    </row>
    <row r="470">
      <c r="A470" s="342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P470" s="342"/>
      <c r="Q470" s="342"/>
      <c r="R470" s="342"/>
      <c r="S470" s="342"/>
      <c r="T470" s="342"/>
      <c r="U470" s="342"/>
      <c r="V470" s="342"/>
      <c r="W470" s="342"/>
      <c r="X470" s="342"/>
      <c r="Y470" s="342"/>
      <c r="Z470" s="342"/>
      <c r="AA470" s="342"/>
      <c r="AB470" s="342"/>
      <c r="AC470" s="342"/>
      <c r="AD470" s="342"/>
      <c r="AE470" s="342"/>
      <c r="AF470" s="342"/>
      <c r="AG470" s="342"/>
      <c r="AH470" s="342"/>
      <c r="AI470" s="342"/>
    </row>
    <row r="471">
      <c r="A471" s="342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P471" s="342"/>
      <c r="Q471" s="342"/>
      <c r="R471" s="342"/>
      <c r="S471" s="342"/>
      <c r="T471" s="342"/>
      <c r="U471" s="342"/>
      <c r="V471" s="342"/>
      <c r="W471" s="342"/>
      <c r="X471" s="342"/>
      <c r="Y471" s="342"/>
      <c r="Z471" s="342"/>
      <c r="AA471" s="342"/>
      <c r="AB471" s="342"/>
      <c r="AC471" s="342"/>
      <c r="AD471" s="342"/>
      <c r="AE471" s="342"/>
      <c r="AF471" s="342"/>
      <c r="AG471" s="342"/>
      <c r="AH471" s="342"/>
      <c r="AI471" s="342"/>
    </row>
    <row r="472">
      <c r="A472" s="342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P472" s="342"/>
      <c r="Q472" s="342"/>
      <c r="R472" s="342"/>
      <c r="S472" s="342"/>
      <c r="T472" s="342"/>
      <c r="U472" s="342"/>
      <c r="V472" s="342"/>
      <c r="W472" s="342"/>
      <c r="X472" s="342"/>
      <c r="Y472" s="342"/>
      <c r="Z472" s="342"/>
      <c r="AA472" s="342"/>
      <c r="AB472" s="342"/>
      <c r="AC472" s="342"/>
      <c r="AD472" s="342"/>
      <c r="AE472" s="342"/>
      <c r="AF472" s="342"/>
      <c r="AG472" s="342"/>
      <c r="AH472" s="342"/>
      <c r="AI472" s="342"/>
    </row>
    <row r="473">
      <c r="A473" s="342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P473" s="342"/>
      <c r="Q473" s="342"/>
      <c r="R473" s="342"/>
      <c r="S473" s="342"/>
      <c r="T473" s="342"/>
      <c r="U473" s="342"/>
      <c r="V473" s="342"/>
      <c r="W473" s="342"/>
      <c r="X473" s="342"/>
      <c r="Y473" s="342"/>
      <c r="Z473" s="342"/>
      <c r="AA473" s="342"/>
      <c r="AB473" s="342"/>
      <c r="AC473" s="342"/>
      <c r="AD473" s="342"/>
      <c r="AE473" s="342"/>
      <c r="AF473" s="342"/>
      <c r="AG473" s="342"/>
      <c r="AH473" s="342"/>
      <c r="AI473" s="342"/>
    </row>
    <row r="474">
      <c r="A474" s="342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P474" s="342"/>
      <c r="Q474" s="342"/>
      <c r="R474" s="342"/>
      <c r="S474" s="342"/>
      <c r="T474" s="342"/>
      <c r="U474" s="342"/>
      <c r="V474" s="342"/>
      <c r="W474" s="342"/>
      <c r="X474" s="342"/>
      <c r="Y474" s="342"/>
      <c r="Z474" s="342"/>
      <c r="AA474" s="342"/>
      <c r="AB474" s="342"/>
      <c r="AC474" s="342"/>
      <c r="AD474" s="342"/>
      <c r="AE474" s="342"/>
      <c r="AF474" s="342"/>
      <c r="AG474" s="342"/>
      <c r="AH474" s="342"/>
      <c r="AI474" s="342"/>
    </row>
    <row r="475">
      <c r="A475" s="342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P475" s="342"/>
      <c r="Q475" s="342"/>
      <c r="R475" s="342"/>
      <c r="S475" s="342"/>
      <c r="T475" s="342"/>
      <c r="U475" s="342"/>
      <c r="V475" s="342"/>
      <c r="W475" s="342"/>
      <c r="X475" s="342"/>
      <c r="Y475" s="342"/>
      <c r="Z475" s="342"/>
      <c r="AA475" s="342"/>
      <c r="AB475" s="342"/>
      <c r="AC475" s="342"/>
      <c r="AD475" s="342"/>
      <c r="AE475" s="342"/>
      <c r="AF475" s="342"/>
      <c r="AG475" s="342"/>
      <c r="AH475" s="342"/>
      <c r="AI475" s="342"/>
    </row>
    <row r="476">
      <c r="A476" s="342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P476" s="342"/>
      <c r="Q476" s="342"/>
      <c r="R476" s="342"/>
      <c r="S476" s="342"/>
      <c r="T476" s="342"/>
      <c r="U476" s="342"/>
      <c r="V476" s="342"/>
      <c r="W476" s="342"/>
      <c r="X476" s="342"/>
      <c r="Y476" s="342"/>
      <c r="Z476" s="342"/>
      <c r="AA476" s="342"/>
      <c r="AB476" s="342"/>
      <c r="AC476" s="342"/>
      <c r="AD476" s="342"/>
      <c r="AE476" s="342"/>
      <c r="AF476" s="342"/>
      <c r="AG476" s="342"/>
      <c r="AH476" s="342"/>
      <c r="AI476" s="342"/>
    </row>
    <row r="477">
      <c r="A477" s="342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P477" s="342"/>
      <c r="Q477" s="342"/>
      <c r="R477" s="342"/>
      <c r="S477" s="342"/>
      <c r="T477" s="342"/>
      <c r="U477" s="342"/>
      <c r="V477" s="342"/>
      <c r="W477" s="342"/>
      <c r="X477" s="342"/>
      <c r="Y477" s="342"/>
      <c r="Z477" s="342"/>
      <c r="AA477" s="342"/>
      <c r="AB477" s="342"/>
      <c r="AC477" s="342"/>
      <c r="AD477" s="342"/>
      <c r="AE477" s="342"/>
      <c r="AF477" s="342"/>
      <c r="AG477" s="342"/>
      <c r="AH477" s="342"/>
      <c r="AI477" s="342"/>
    </row>
    <row r="478">
      <c r="A478" s="342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P478" s="342"/>
      <c r="Q478" s="342"/>
      <c r="R478" s="342"/>
      <c r="S478" s="342"/>
      <c r="T478" s="342"/>
      <c r="U478" s="342"/>
      <c r="V478" s="342"/>
      <c r="W478" s="342"/>
      <c r="X478" s="342"/>
      <c r="Y478" s="342"/>
      <c r="Z478" s="342"/>
      <c r="AA478" s="342"/>
      <c r="AB478" s="342"/>
      <c r="AC478" s="342"/>
      <c r="AD478" s="342"/>
      <c r="AE478" s="342"/>
      <c r="AF478" s="342"/>
      <c r="AG478" s="342"/>
      <c r="AH478" s="342"/>
      <c r="AI478" s="342"/>
    </row>
    <row r="479">
      <c r="A479" s="342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P479" s="342"/>
      <c r="Q479" s="342"/>
      <c r="R479" s="342"/>
      <c r="S479" s="342"/>
      <c r="T479" s="342"/>
      <c r="U479" s="342"/>
      <c r="V479" s="342"/>
      <c r="W479" s="342"/>
      <c r="X479" s="342"/>
      <c r="Y479" s="342"/>
      <c r="Z479" s="342"/>
      <c r="AA479" s="342"/>
      <c r="AB479" s="342"/>
      <c r="AC479" s="342"/>
      <c r="AD479" s="342"/>
      <c r="AE479" s="342"/>
      <c r="AF479" s="342"/>
      <c r="AG479" s="342"/>
      <c r="AH479" s="342"/>
      <c r="AI479" s="342"/>
    </row>
    <row r="480">
      <c r="A480" s="342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P480" s="342"/>
      <c r="Q480" s="342"/>
      <c r="R480" s="342"/>
      <c r="S480" s="342"/>
      <c r="T480" s="342"/>
      <c r="U480" s="342"/>
      <c r="V480" s="342"/>
      <c r="W480" s="342"/>
      <c r="X480" s="342"/>
      <c r="Y480" s="342"/>
      <c r="Z480" s="342"/>
      <c r="AA480" s="342"/>
      <c r="AB480" s="342"/>
      <c r="AC480" s="342"/>
      <c r="AD480" s="342"/>
      <c r="AE480" s="342"/>
      <c r="AF480" s="342"/>
      <c r="AG480" s="342"/>
      <c r="AH480" s="342"/>
      <c r="AI480" s="342"/>
    </row>
    <row r="481">
      <c r="A481" s="342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P481" s="342"/>
      <c r="Q481" s="342"/>
      <c r="R481" s="342"/>
      <c r="S481" s="342"/>
      <c r="T481" s="342"/>
      <c r="U481" s="342"/>
      <c r="V481" s="342"/>
      <c r="W481" s="342"/>
      <c r="X481" s="342"/>
      <c r="Y481" s="342"/>
      <c r="Z481" s="342"/>
      <c r="AA481" s="342"/>
      <c r="AB481" s="342"/>
      <c r="AC481" s="342"/>
      <c r="AD481" s="342"/>
      <c r="AE481" s="342"/>
      <c r="AF481" s="342"/>
      <c r="AG481" s="342"/>
      <c r="AH481" s="342"/>
      <c r="AI481" s="342"/>
    </row>
    <row r="482">
      <c r="A482" s="342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P482" s="342"/>
      <c r="Q482" s="342"/>
      <c r="R482" s="342"/>
      <c r="S482" s="342"/>
      <c r="T482" s="342"/>
      <c r="U482" s="342"/>
      <c r="V482" s="342"/>
      <c r="W482" s="342"/>
      <c r="X482" s="342"/>
      <c r="Y482" s="342"/>
      <c r="Z482" s="342"/>
      <c r="AA482" s="342"/>
      <c r="AB482" s="342"/>
      <c r="AC482" s="342"/>
      <c r="AD482" s="342"/>
      <c r="AE482" s="342"/>
      <c r="AF482" s="342"/>
      <c r="AG482" s="342"/>
      <c r="AH482" s="342"/>
      <c r="AI482" s="342"/>
    </row>
    <row r="483">
      <c r="A483" s="342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P483" s="342"/>
      <c r="Q483" s="342"/>
      <c r="R483" s="342"/>
      <c r="S483" s="342"/>
      <c r="T483" s="342"/>
      <c r="U483" s="342"/>
      <c r="V483" s="342"/>
      <c r="W483" s="342"/>
      <c r="X483" s="342"/>
      <c r="Y483" s="342"/>
      <c r="Z483" s="342"/>
      <c r="AA483" s="342"/>
      <c r="AB483" s="342"/>
      <c r="AC483" s="342"/>
      <c r="AD483" s="342"/>
      <c r="AE483" s="342"/>
      <c r="AF483" s="342"/>
      <c r="AG483" s="342"/>
      <c r="AH483" s="342"/>
      <c r="AI483" s="342"/>
    </row>
    <row r="484">
      <c r="A484" s="342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P484" s="342"/>
      <c r="Q484" s="342"/>
      <c r="R484" s="342"/>
      <c r="S484" s="342"/>
      <c r="T484" s="342"/>
      <c r="U484" s="342"/>
      <c r="V484" s="342"/>
      <c r="W484" s="342"/>
      <c r="X484" s="342"/>
      <c r="Y484" s="342"/>
      <c r="Z484" s="342"/>
      <c r="AA484" s="342"/>
      <c r="AB484" s="342"/>
      <c r="AC484" s="342"/>
      <c r="AD484" s="342"/>
      <c r="AE484" s="342"/>
      <c r="AF484" s="342"/>
      <c r="AG484" s="342"/>
      <c r="AH484" s="342"/>
      <c r="AI484" s="342"/>
    </row>
    <row r="485">
      <c r="A485" s="342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P485" s="342"/>
      <c r="Q485" s="342"/>
      <c r="R485" s="342"/>
      <c r="S485" s="342"/>
      <c r="T485" s="342"/>
      <c r="U485" s="342"/>
      <c r="V485" s="342"/>
      <c r="W485" s="342"/>
      <c r="X485" s="342"/>
      <c r="Y485" s="342"/>
      <c r="Z485" s="342"/>
      <c r="AA485" s="342"/>
      <c r="AB485" s="342"/>
      <c r="AC485" s="342"/>
      <c r="AD485" s="342"/>
      <c r="AE485" s="342"/>
      <c r="AF485" s="342"/>
      <c r="AG485" s="342"/>
      <c r="AH485" s="342"/>
      <c r="AI485" s="342"/>
    </row>
    <row r="486">
      <c r="A486" s="342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P486" s="342"/>
      <c r="Q486" s="342"/>
      <c r="R486" s="342"/>
      <c r="S486" s="342"/>
      <c r="T486" s="342"/>
      <c r="U486" s="342"/>
      <c r="V486" s="342"/>
      <c r="W486" s="342"/>
      <c r="X486" s="342"/>
      <c r="Y486" s="342"/>
      <c r="Z486" s="342"/>
      <c r="AA486" s="342"/>
      <c r="AB486" s="342"/>
      <c r="AC486" s="342"/>
      <c r="AD486" s="342"/>
      <c r="AE486" s="342"/>
      <c r="AF486" s="342"/>
      <c r="AG486" s="342"/>
      <c r="AH486" s="342"/>
      <c r="AI486" s="342"/>
    </row>
    <row r="487">
      <c r="A487" s="342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P487" s="342"/>
      <c r="Q487" s="342"/>
      <c r="R487" s="342"/>
      <c r="S487" s="342"/>
      <c r="T487" s="342"/>
      <c r="U487" s="342"/>
      <c r="V487" s="342"/>
      <c r="W487" s="342"/>
      <c r="X487" s="342"/>
      <c r="Y487" s="342"/>
      <c r="Z487" s="342"/>
      <c r="AA487" s="342"/>
      <c r="AB487" s="342"/>
      <c r="AC487" s="342"/>
      <c r="AD487" s="342"/>
      <c r="AE487" s="342"/>
      <c r="AF487" s="342"/>
      <c r="AG487" s="342"/>
      <c r="AH487" s="342"/>
      <c r="AI487" s="342"/>
    </row>
    <row r="488">
      <c r="A488" s="342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P488" s="342"/>
      <c r="Q488" s="342"/>
      <c r="R488" s="342"/>
      <c r="S488" s="342"/>
      <c r="T488" s="342"/>
      <c r="U488" s="342"/>
      <c r="V488" s="342"/>
      <c r="W488" s="342"/>
      <c r="X488" s="342"/>
      <c r="Y488" s="342"/>
      <c r="Z488" s="342"/>
      <c r="AA488" s="342"/>
      <c r="AB488" s="342"/>
      <c r="AC488" s="342"/>
      <c r="AD488" s="342"/>
      <c r="AE488" s="342"/>
      <c r="AF488" s="342"/>
      <c r="AG488" s="342"/>
      <c r="AH488" s="342"/>
      <c r="AI488" s="342"/>
    </row>
    <row r="489">
      <c r="A489" s="342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P489" s="342"/>
      <c r="Q489" s="342"/>
      <c r="R489" s="342"/>
      <c r="S489" s="342"/>
      <c r="T489" s="342"/>
      <c r="U489" s="342"/>
      <c r="V489" s="342"/>
      <c r="W489" s="342"/>
      <c r="X489" s="342"/>
      <c r="Y489" s="342"/>
      <c r="Z489" s="342"/>
      <c r="AA489" s="342"/>
      <c r="AB489" s="342"/>
      <c r="AC489" s="342"/>
      <c r="AD489" s="342"/>
      <c r="AE489" s="342"/>
      <c r="AF489" s="342"/>
      <c r="AG489" s="342"/>
      <c r="AH489" s="342"/>
      <c r="AI489" s="342"/>
    </row>
    <row r="490">
      <c r="A490" s="342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P490" s="342"/>
      <c r="Q490" s="342"/>
      <c r="R490" s="342"/>
      <c r="S490" s="342"/>
      <c r="T490" s="342"/>
      <c r="U490" s="342"/>
      <c r="V490" s="342"/>
      <c r="W490" s="342"/>
      <c r="X490" s="342"/>
      <c r="Y490" s="342"/>
      <c r="Z490" s="342"/>
      <c r="AA490" s="342"/>
      <c r="AB490" s="342"/>
      <c r="AC490" s="342"/>
      <c r="AD490" s="342"/>
      <c r="AE490" s="342"/>
      <c r="AF490" s="342"/>
      <c r="AG490" s="342"/>
      <c r="AH490" s="342"/>
      <c r="AI490" s="342"/>
    </row>
    <row r="491">
      <c r="A491" s="342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P491" s="342"/>
      <c r="Q491" s="342"/>
      <c r="R491" s="342"/>
      <c r="S491" s="342"/>
      <c r="T491" s="342"/>
      <c r="U491" s="342"/>
      <c r="V491" s="342"/>
      <c r="W491" s="342"/>
      <c r="X491" s="342"/>
      <c r="Y491" s="342"/>
      <c r="Z491" s="342"/>
      <c r="AA491" s="342"/>
      <c r="AB491" s="342"/>
      <c r="AC491" s="342"/>
      <c r="AD491" s="342"/>
      <c r="AE491" s="342"/>
      <c r="AF491" s="342"/>
      <c r="AG491" s="342"/>
      <c r="AH491" s="342"/>
      <c r="AI491" s="342"/>
    </row>
    <row r="492">
      <c r="A492" s="342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P492" s="342"/>
      <c r="Q492" s="342"/>
      <c r="R492" s="342"/>
      <c r="S492" s="342"/>
      <c r="T492" s="342"/>
      <c r="U492" s="342"/>
      <c r="V492" s="342"/>
      <c r="W492" s="342"/>
      <c r="X492" s="342"/>
      <c r="Y492" s="342"/>
      <c r="Z492" s="342"/>
      <c r="AA492" s="342"/>
      <c r="AB492" s="342"/>
      <c r="AC492" s="342"/>
      <c r="AD492" s="342"/>
      <c r="AE492" s="342"/>
      <c r="AF492" s="342"/>
      <c r="AG492" s="342"/>
      <c r="AH492" s="342"/>
      <c r="AI492" s="342"/>
    </row>
    <row r="493">
      <c r="A493" s="342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P493" s="342"/>
      <c r="Q493" s="342"/>
      <c r="R493" s="342"/>
      <c r="S493" s="342"/>
      <c r="T493" s="342"/>
      <c r="U493" s="342"/>
      <c r="V493" s="342"/>
      <c r="W493" s="342"/>
      <c r="X493" s="342"/>
      <c r="Y493" s="342"/>
      <c r="Z493" s="342"/>
      <c r="AA493" s="342"/>
      <c r="AB493" s="342"/>
      <c r="AC493" s="342"/>
      <c r="AD493" s="342"/>
      <c r="AE493" s="342"/>
      <c r="AF493" s="342"/>
      <c r="AG493" s="342"/>
      <c r="AH493" s="342"/>
      <c r="AI493" s="342"/>
    </row>
    <row r="494">
      <c r="A494" s="342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P494" s="342"/>
      <c r="Q494" s="342"/>
      <c r="R494" s="342"/>
      <c r="S494" s="342"/>
      <c r="T494" s="342"/>
      <c r="U494" s="342"/>
      <c r="V494" s="342"/>
      <c r="W494" s="342"/>
      <c r="X494" s="342"/>
      <c r="Y494" s="342"/>
      <c r="Z494" s="342"/>
      <c r="AA494" s="342"/>
      <c r="AB494" s="342"/>
      <c r="AC494" s="342"/>
      <c r="AD494" s="342"/>
      <c r="AE494" s="342"/>
      <c r="AF494" s="342"/>
      <c r="AG494" s="342"/>
      <c r="AH494" s="342"/>
      <c r="AI494" s="342"/>
    </row>
    <row r="495">
      <c r="A495" s="342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P495" s="342"/>
      <c r="Q495" s="342"/>
      <c r="R495" s="342"/>
      <c r="S495" s="342"/>
      <c r="T495" s="342"/>
      <c r="U495" s="342"/>
      <c r="V495" s="342"/>
      <c r="W495" s="342"/>
      <c r="X495" s="342"/>
      <c r="Y495" s="342"/>
      <c r="Z495" s="342"/>
      <c r="AA495" s="342"/>
      <c r="AB495" s="342"/>
      <c r="AC495" s="342"/>
      <c r="AD495" s="342"/>
      <c r="AE495" s="342"/>
      <c r="AF495" s="342"/>
      <c r="AG495" s="342"/>
      <c r="AH495" s="342"/>
      <c r="AI495" s="342"/>
    </row>
    <row r="496">
      <c r="A496" s="342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P496" s="342"/>
      <c r="Q496" s="342"/>
      <c r="R496" s="342"/>
      <c r="S496" s="342"/>
      <c r="T496" s="342"/>
      <c r="U496" s="342"/>
      <c r="V496" s="342"/>
      <c r="W496" s="342"/>
      <c r="X496" s="342"/>
      <c r="Y496" s="342"/>
      <c r="Z496" s="342"/>
      <c r="AA496" s="342"/>
      <c r="AB496" s="342"/>
      <c r="AC496" s="342"/>
      <c r="AD496" s="342"/>
      <c r="AE496" s="342"/>
      <c r="AF496" s="342"/>
      <c r="AG496" s="342"/>
      <c r="AH496" s="342"/>
      <c r="AI496" s="342"/>
    </row>
    <row r="497">
      <c r="A497" s="342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P497" s="342"/>
      <c r="Q497" s="342"/>
      <c r="R497" s="342"/>
      <c r="S497" s="342"/>
      <c r="T497" s="342"/>
      <c r="U497" s="342"/>
      <c r="V497" s="342"/>
      <c r="W497" s="342"/>
      <c r="X497" s="342"/>
      <c r="Y497" s="342"/>
      <c r="Z497" s="342"/>
      <c r="AA497" s="342"/>
      <c r="AB497" s="342"/>
      <c r="AC497" s="342"/>
      <c r="AD497" s="342"/>
      <c r="AE497" s="342"/>
      <c r="AF497" s="342"/>
      <c r="AG497" s="342"/>
      <c r="AH497" s="342"/>
      <c r="AI497" s="342"/>
    </row>
    <row r="498">
      <c r="A498" s="342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P498" s="342"/>
      <c r="Q498" s="342"/>
      <c r="R498" s="342"/>
      <c r="S498" s="342"/>
      <c r="T498" s="342"/>
      <c r="U498" s="342"/>
      <c r="V498" s="342"/>
      <c r="W498" s="342"/>
      <c r="X498" s="342"/>
      <c r="Y498" s="342"/>
      <c r="Z498" s="342"/>
      <c r="AA498" s="342"/>
      <c r="AB498" s="342"/>
      <c r="AC498" s="342"/>
      <c r="AD498" s="342"/>
      <c r="AE498" s="342"/>
      <c r="AF498" s="342"/>
      <c r="AG498" s="342"/>
      <c r="AH498" s="342"/>
      <c r="AI498" s="342"/>
    </row>
    <row r="499">
      <c r="A499" s="342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P499" s="342"/>
      <c r="Q499" s="342"/>
      <c r="R499" s="342"/>
      <c r="S499" s="342"/>
      <c r="T499" s="342"/>
      <c r="U499" s="342"/>
      <c r="V499" s="342"/>
      <c r="W499" s="342"/>
      <c r="X499" s="342"/>
      <c r="Y499" s="342"/>
      <c r="Z499" s="342"/>
      <c r="AA499" s="342"/>
      <c r="AB499" s="342"/>
      <c r="AC499" s="342"/>
      <c r="AD499" s="342"/>
      <c r="AE499" s="342"/>
      <c r="AF499" s="342"/>
      <c r="AG499" s="342"/>
      <c r="AH499" s="342"/>
      <c r="AI499" s="342"/>
    </row>
    <row r="500">
      <c r="A500" s="342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P500" s="342"/>
      <c r="Q500" s="342"/>
      <c r="R500" s="342"/>
      <c r="S500" s="342"/>
      <c r="T500" s="342"/>
      <c r="U500" s="342"/>
      <c r="V500" s="342"/>
      <c r="W500" s="342"/>
      <c r="X500" s="342"/>
      <c r="Y500" s="342"/>
      <c r="Z500" s="342"/>
      <c r="AA500" s="342"/>
      <c r="AB500" s="342"/>
      <c r="AC500" s="342"/>
      <c r="AD500" s="342"/>
      <c r="AE500" s="342"/>
      <c r="AF500" s="342"/>
      <c r="AG500" s="342"/>
      <c r="AH500" s="342"/>
      <c r="AI500" s="342"/>
    </row>
    <row r="501">
      <c r="A501" s="342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P501" s="342"/>
      <c r="Q501" s="342"/>
      <c r="R501" s="342"/>
      <c r="S501" s="342"/>
      <c r="T501" s="342"/>
      <c r="U501" s="342"/>
      <c r="V501" s="342"/>
      <c r="W501" s="342"/>
      <c r="X501" s="342"/>
      <c r="Y501" s="342"/>
      <c r="Z501" s="342"/>
      <c r="AA501" s="342"/>
      <c r="AB501" s="342"/>
      <c r="AC501" s="342"/>
      <c r="AD501" s="342"/>
      <c r="AE501" s="342"/>
      <c r="AF501" s="342"/>
      <c r="AG501" s="342"/>
      <c r="AH501" s="342"/>
      <c r="AI501" s="342"/>
    </row>
    <row r="502">
      <c r="A502" s="342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P502" s="342"/>
      <c r="Q502" s="342"/>
      <c r="R502" s="342"/>
      <c r="S502" s="342"/>
      <c r="T502" s="342"/>
      <c r="U502" s="342"/>
      <c r="V502" s="342"/>
      <c r="W502" s="342"/>
      <c r="X502" s="342"/>
      <c r="Y502" s="342"/>
      <c r="Z502" s="342"/>
      <c r="AA502" s="342"/>
      <c r="AB502" s="342"/>
      <c r="AC502" s="342"/>
      <c r="AD502" s="342"/>
      <c r="AE502" s="342"/>
      <c r="AF502" s="342"/>
      <c r="AG502" s="342"/>
      <c r="AH502" s="342"/>
      <c r="AI502" s="342"/>
    </row>
    <row r="503">
      <c r="A503" s="342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P503" s="342"/>
      <c r="Q503" s="342"/>
      <c r="R503" s="342"/>
      <c r="S503" s="342"/>
      <c r="T503" s="342"/>
      <c r="U503" s="342"/>
      <c r="V503" s="342"/>
      <c r="W503" s="342"/>
      <c r="X503" s="342"/>
      <c r="Y503" s="342"/>
      <c r="Z503" s="342"/>
      <c r="AA503" s="342"/>
      <c r="AB503" s="342"/>
      <c r="AC503" s="342"/>
      <c r="AD503" s="342"/>
      <c r="AE503" s="342"/>
      <c r="AF503" s="342"/>
      <c r="AG503" s="342"/>
      <c r="AH503" s="342"/>
      <c r="AI503" s="342"/>
    </row>
    <row r="504">
      <c r="A504" s="342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P504" s="342"/>
      <c r="Q504" s="342"/>
      <c r="R504" s="342"/>
      <c r="S504" s="342"/>
      <c r="T504" s="342"/>
      <c r="U504" s="342"/>
      <c r="V504" s="342"/>
      <c r="W504" s="342"/>
      <c r="X504" s="342"/>
      <c r="Y504" s="342"/>
      <c r="Z504" s="342"/>
      <c r="AA504" s="342"/>
      <c r="AB504" s="342"/>
      <c r="AC504" s="342"/>
      <c r="AD504" s="342"/>
      <c r="AE504" s="342"/>
      <c r="AF504" s="342"/>
      <c r="AG504" s="342"/>
      <c r="AH504" s="342"/>
      <c r="AI504" s="342"/>
    </row>
    <row r="505">
      <c r="A505" s="342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P505" s="342"/>
      <c r="Q505" s="342"/>
      <c r="R505" s="342"/>
      <c r="S505" s="342"/>
      <c r="T505" s="342"/>
      <c r="U505" s="342"/>
      <c r="V505" s="342"/>
      <c r="W505" s="342"/>
      <c r="X505" s="342"/>
      <c r="Y505" s="342"/>
      <c r="Z505" s="342"/>
      <c r="AA505" s="342"/>
      <c r="AB505" s="342"/>
      <c r="AC505" s="342"/>
      <c r="AD505" s="342"/>
      <c r="AE505" s="342"/>
      <c r="AF505" s="342"/>
      <c r="AG505" s="342"/>
      <c r="AH505" s="342"/>
      <c r="AI505" s="342"/>
    </row>
    <row r="506">
      <c r="A506" s="342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P506" s="342"/>
      <c r="Q506" s="342"/>
      <c r="R506" s="342"/>
      <c r="S506" s="342"/>
      <c r="T506" s="342"/>
      <c r="U506" s="342"/>
      <c r="V506" s="342"/>
      <c r="W506" s="342"/>
      <c r="X506" s="342"/>
      <c r="Y506" s="342"/>
      <c r="Z506" s="342"/>
      <c r="AA506" s="342"/>
      <c r="AB506" s="342"/>
      <c r="AC506" s="342"/>
      <c r="AD506" s="342"/>
      <c r="AE506" s="342"/>
      <c r="AF506" s="342"/>
      <c r="AG506" s="342"/>
      <c r="AH506" s="342"/>
      <c r="AI506" s="342"/>
    </row>
    <row r="507">
      <c r="A507" s="342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P507" s="342"/>
      <c r="Q507" s="342"/>
      <c r="R507" s="342"/>
      <c r="S507" s="342"/>
      <c r="T507" s="342"/>
      <c r="U507" s="342"/>
      <c r="V507" s="342"/>
      <c r="W507" s="342"/>
      <c r="X507" s="342"/>
      <c r="Y507" s="342"/>
      <c r="Z507" s="342"/>
      <c r="AA507" s="342"/>
      <c r="AB507" s="342"/>
      <c r="AC507" s="342"/>
      <c r="AD507" s="342"/>
      <c r="AE507" s="342"/>
      <c r="AF507" s="342"/>
      <c r="AG507" s="342"/>
      <c r="AH507" s="342"/>
      <c r="AI507" s="342"/>
    </row>
    <row r="508">
      <c r="A508" s="342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P508" s="342"/>
      <c r="Q508" s="342"/>
      <c r="R508" s="342"/>
      <c r="S508" s="342"/>
      <c r="T508" s="342"/>
      <c r="U508" s="342"/>
      <c r="V508" s="342"/>
      <c r="W508" s="342"/>
      <c r="X508" s="342"/>
      <c r="Y508" s="342"/>
      <c r="Z508" s="342"/>
      <c r="AA508" s="342"/>
      <c r="AB508" s="342"/>
      <c r="AC508" s="342"/>
      <c r="AD508" s="342"/>
      <c r="AE508" s="342"/>
      <c r="AF508" s="342"/>
      <c r="AG508" s="342"/>
      <c r="AH508" s="342"/>
      <c r="AI508" s="342"/>
    </row>
    <row r="509">
      <c r="A509" s="342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P509" s="342"/>
      <c r="Q509" s="342"/>
      <c r="R509" s="342"/>
      <c r="S509" s="342"/>
      <c r="T509" s="342"/>
      <c r="U509" s="342"/>
      <c r="V509" s="342"/>
      <c r="W509" s="342"/>
      <c r="X509" s="342"/>
      <c r="Y509" s="342"/>
      <c r="Z509" s="342"/>
      <c r="AA509" s="342"/>
      <c r="AB509" s="342"/>
      <c r="AC509" s="342"/>
      <c r="AD509" s="342"/>
      <c r="AE509" s="342"/>
      <c r="AF509" s="342"/>
      <c r="AG509" s="342"/>
      <c r="AH509" s="342"/>
      <c r="AI509" s="342"/>
    </row>
    <row r="510">
      <c r="A510" s="342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P510" s="342"/>
      <c r="Q510" s="342"/>
      <c r="R510" s="342"/>
      <c r="S510" s="342"/>
      <c r="T510" s="342"/>
      <c r="U510" s="342"/>
      <c r="V510" s="342"/>
      <c r="W510" s="342"/>
      <c r="X510" s="342"/>
      <c r="Y510" s="342"/>
      <c r="Z510" s="342"/>
      <c r="AA510" s="342"/>
      <c r="AB510" s="342"/>
      <c r="AC510" s="342"/>
      <c r="AD510" s="342"/>
      <c r="AE510" s="342"/>
      <c r="AF510" s="342"/>
      <c r="AG510" s="342"/>
      <c r="AH510" s="342"/>
      <c r="AI510" s="342"/>
    </row>
    <row r="511">
      <c r="A511" s="342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P511" s="342"/>
      <c r="Q511" s="342"/>
      <c r="R511" s="342"/>
      <c r="S511" s="342"/>
      <c r="T511" s="342"/>
      <c r="U511" s="342"/>
      <c r="V511" s="342"/>
      <c r="W511" s="342"/>
      <c r="X511" s="342"/>
      <c r="Y511" s="342"/>
      <c r="Z511" s="342"/>
      <c r="AA511" s="342"/>
      <c r="AB511" s="342"/>
      <c r="AC511" s="342"/>
      <c r="AD511" s="342"/>
      <c r="AE511" s="342"/>
      <c r="AF511" s="342"/>
      <c r="AG511" s="342"/>
      <c r="AH511" s="342"/>
      <c r="AI511" s="342"/>
    </row>
    <row r="512">
      <c r="A512" s="342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P512" s="342"/>
      <c r="Q512" s="342"/>
      <c r="R512" s="342"/>
      <c r="S512" s="342"/>
      <c r="T512" s="342"/>
      <c r="U512" s="342"/>
      <c r="V512" s="342"/>
      <c r="W512" s="342"/>
      <c r="X512" s="342"/>
      <c r="Y512" s="342"/>
      <c r="Z512" s="342"/>
      <c r="AA512" s="342"/>
      <c r="AB512" s="342"/>
      <c r="AC512" s="342"/>
      <c r="AD512" s="342"/>
      <c r="AE512" s="342"/>
      <c r="AF512" s="342"/>
      <c r="AG512" s="342"/>
      <c r="AH512" s="342"/>
      <c r="AI512" s="342"/>
    </row>
    <row r="513">
      <c r="A513" s="342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P513" s="342"/>
      <c r="Q513" s="342"/>
      <c r="R513" s="342"/>
      <c r="S513" s="342"/>
      <c r="T513" s="342"/>
      <c r="U513" s="342"/>
      <c r="V513" s="342"/>
      <c r="W513" s="342"/>
      <c r="X513" s="342"/>
      <c r="Y513" s="342"/>
      <c r="Z513" s="342"/>
      <c r="AA513" s="342"/>
      <c r="AB513" s="342"/>
      <c r="AC513" s="342"/>
      <c r="AD513" s="342"/>
      <c r="AE513" s="342"/>
      <c r="AF513" s="342"/>
      <c r="AG513" s="342"/>
      <c r="AH513" s="342"/>
      <c r="AI513" s="342"/>
    </row>
    <row r="514">
      <c r="A514" s="342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P514" s="342"/>
      <c r="Q514" s="342"/>
      <c r="R514" s="342"/>
      <c r="S514" s="342"/>
      <c r="T514" s="342"/>
      <c r="U514" s="342"/>
      <c r="V514" s="342"/>
      <c r="W514" s="342"/>
      <c r="X514" s="342"/>
      <c r="Y514" s="342"/>
      <c r="Z514" s="342"/>
      <c r="AA514" s="342"/>
      <c r="AB514" s="342"/>
      <c r="AC514" s="342"/>
      <c r="AD514" s="342"/>
      <c r="AE514" s="342"/>
      <c r="AF514" s="342"/>
      <c r="AG514" s="342"/>
      <c r="AH514" s="342"/>
      <c r="AI514" s="342"/>
    </row>
    <row r="515">
      <c r="A515" s="342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P515" s="342"/>
      <c r="Q515" s="342"/>
      <c r="R515" s="342"/>
      <c r="S515" s="342"/>
      <c r="T515" s="342"/>
      <c r="U515" s="342"/>
      <c r="V515" s="342"/>
      <c r="W515" s="342"/>
      <c r="X515" s="342"/>
      <c r="Y515" s="342"/>
      <c r="Z515" s="342"/>
      <c r="AA515" s="342"/>
      <c r="AB515" s="342"/>
      <c r="AC515" s="342"/>
      <c r="AD515" s="342"/>
      <c r="AE515" s="342"/>
      <c r="AF515" s="342"/>
      <c r="AG515" s="342"/>
      <c r="AH515" s="342"/>
      <c r="AI515" s="342"/>
    </row>
    <row r="516">
      <c r="A516" s="342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P516" s="342"/>
      <c r="Q516" s="342"/>
      <c r="R516" s="342"/>
      <c r="S516" s="342"/>
      <c r="T516" s="342"/>
      <c r="U516" s="342"/>
      <c r="V516" s="342"/>
      <c r="W516" s="342"/>
      <c r="X516" s="342"/>
      <c r="Y516" s="342"/>
      <c r="Z516" s="342"/>
      <c r="AA516" s="342"/>
      <c r="AB516" s="342"/>
      <c r="AC516" s="342"/>
      <c r="AD516" s="342"/>
      <c r="AE516" s="342"/>
      <c r="AF516" s="342"/>
      <c r="AG516" s="342"/>
      <c r="AH516" s="342"/>
      <c r="AI516" s="342"/>
    </row>
    <row r="517">
      <c r="A517" s="342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P517" s="342"/>
      <c r="Q517" s="342"/>
      <c r="R517" s="342"/>
      <c r="S517" s="342"/>
      <c r="T517" s="342"/>
      <c r="U517" s="342"/>
      <c r="V517" s="342"/>
      <c r="W517" s="342"/>
      <c r="X517" s="342"/>
      <c r="Y517" s="342"/>
      <c r="Z517" s="342"/>
      <c r="AA517" s="342"/>
      <c r="AB517" s="342"/>
      <c r="AC517" s="342"/>
      <c r="AD517" s="342"/>
      <c r="AE517" s="342"/>
      <c r="AF517" s="342"/>
      <c r="AG517" s="342"/>
      <c r="AH517" s="342"/>
      <c r="AI517" s="342"/>
    </row>
    <row r="518">
      <c r="A518" s="342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P518" s="342"/>
      <c r="Q518" s="342"/>
      <c r="R518" s="342"/>
      <c r="S518" s="342"/>
      <c r="T518" s="342"/>
      <c r="U518" s="342"/>
      <c r="V518" s="342"/>
      <c r="W518" s="342"/>
      <c r="X518" s="342"/>
      <c r="Y518" s="342"/>
      <c r="Z518" s="342"/>
      <c r="AA518" s="342"/>
      <c r="AB518" s="342"/>
      <c r="AC518" s="342"/>
      <c r="AD518" s="342"/>
      <c r="AE518" s="342"/>
      <c r="AF518" s="342"/>
      <c r="AG518" s="342"/>
      <c r="AH518" s="342"/>
      <c r="AI518" s="342"/>
    </row>
    <row r="519">
      <c r="A519" s="342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P519" s="342"/>
      <c r="Q519" s="342"/>
      <c r="R519" s="342"/>
      <c r="S519" s="342"/>
      <c r="T519" s="342"/>
      <c r="U519" s="342"/>
      <c r="V519" s="342"/>
      <c r="W519" s="342"/>
      <c r="X519" s="342"/>
      <c r="Y519" s="342"/>
      <c r="Z519" s="342"/>
      <c r="AA519" s="342"/>
      <c r="AB519" s="342"/>
      <c r="AC519" s="342"/>
      <c r="AD519" s="342"/>
      <c r="AE519" s="342"/>
      <c r="AF519" s="342"/>
      <c r="AG519" s="342"/>
      <c r="AH519" s="342"/>
      <c r="AI519" s="342"/>
    </row>
    <row r="520">
      <c r="A520" s="342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P520" s="342"/>
      <c r="Q520" s="342"/>
      <c r="R520" s="342"/>
      <c r="S520" s="342"/>
      <c r="T520" s="342"/>
      <c r="U520" s="342"/>
      <c r="V520" s="342"/>
      <c r="W520" s="342"/>
      <c r="X520" s="342"/>
      <c r="Y520" s="342"/>
      <c r="Z520" s="342"/>
      <c r="AA520" s="342"/>
      <c r="AB520" s="342"/>
      <c r="AC520" s="342"/>
      <c r="AD520" s="342"/>
      <c r="AE520" s="342"/>
      <c r="AF520" s="342"/>
      <c r="AG520" s="342"/>
      <c r="AH520" s="342"/>
      <c r="AI520" s="342"/>
    </row>
    <row r="521">
      <c r="A521" s="342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P521" s="342"/>
      <c r="Q521" s="342"/>
      <c r="R521" s="342"/>
      <c r="S521" s="342"/>
      <c r="T521" s="342"/>
      <c r="U521" s="342"/>
      <c r="V521" s="342"/>
      <c r="W521" s="342"/>
      <c r="X521" s="342"/>
      <c r="Y521" s="342"/>
      <c r="Z521" s="342"/>
      <c r="AA521" s="342"/>
      <c r="AB521" s="342"/>
      <c r="AC521" s="342"/>
      <c r="AD521" s="342"/>
      <c r="AE521" s="342"/>
      <c r="AF521" s="342"/>
      <c r="AG521" s="342"/>
      <c r="AH521" s="342"/>
      <c r="AI521" s="342"/>
    </row>
    <row r="522">
      <c r="A522" s="342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P522" s="342"/>
      <c r="Q522" s="342"/>
      <c r="R522" s="342"/>
      <c r="S522" s="342"/>
      <c r="T522" s="342"/>
      <c r="U522" s="342"/>
      <c r="V522" s="342"/>
      <c r="W522" s="342"/>
      <c r="X522" s="342"/>
      <c r="Y522" s="342"/>
      <c r="Z522" s="342"/>
      <c r="AA522" s="342"/>
      <c r="AB522" s="342"/>
      <c r="AC522" s="342"/>
      <c r="AD522" s="342"/>
      <c r="AE522" s="342"/>
      <c r="AF522" s="342"/>
      <c r="AG522" s="342"/>
      <c r="AH522" s="342"/>
      <c r="AI522" s="342"/>
    </row>
    <row r="523">
      <c r="A523" s="342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P523" s="342"/>
      <c r="Q523" s="342"/>
      <c r="R523" s="342"/>
      <c r="S523" s="342"/>
      <c r="T523" s="342"/>
      <c r="U523" s="342"/>
      <c r="V523" s="342"/>
      <c r="W523" s="342"/>
      <c r="X523" s="342"/>
      <c r="Y523" s="342"/>
      <c r="Z523" s="342"/>
      <c r="AA523" s="342"/>
      <c r="AB523" s="342"/>
      <c r="AC523" s="342"/>
      <c r="AD523" s="342"/>
      <c r="AE523" s="342"/>
      <c r="AF523" s="342"/>
      <c r="AG523" s="342"/>
      <c r="AH523" s="342"/>
      <c r="AI523" s="342"/>
    </row>
    <row r="524">
      <c r="A524" s="342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P524" s="342"/>
      <c r="Q524" s="342"/>
      <c r="R524" s="342"/>
      <c r="S524" s="342"/>
      <c r="T524" s="342"/>
      <c r="U524" s="342"/>
      <c r="V524" s="342"/>
      <c r="W524" s="342"/>
      <c r="X524" s="342"/>
      <c r="Y524" s="342"/>
      <c r="Z524" s="342"/>
      <c r="AA524" s="342"/>
      <c r="AB524" s="342"/>
      <c r="AC524" s="342"/>
      <c r="AD524" s="342"/>
      <c r="AE524" s="342"/>
      <c r="AF524" s="342"/>
      <c r="AG524" s="342"/>
      <c r="AH524" s="342"/>
      <c r="AI524" s="342"/>
    </row>
    <row r="525">
      <c r="A525" s="342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P525" s="342"/>
      <c r="Q525" s="342"/>
      <c r="R525" s="342"/>
      <c r="S525" s="342"/>
      <c r="T525" s="342"/>
      <c r="U525" s="342"/>
      <c r="V525" s="342"/>
      <c r="W525" s="342"/>
      <c r="X525" s="342"/>
      <c r="Y525" s="342"/>
      <c r="Z525" s="342"/>
      <c r="AA525" s="342"/>
      <c r="AB525" s="342"/>
      <c r="AC525" s="342"/>
      <c r="AD525" s="342"/>
      <c r="AE525" s="342"/>
      <c r="AF525" s="342"/>
      <c r="AG525" s="342"/>
      <c r="AH525" s="342"/>
      <c r="AI525" s="342"/>
    </row>
    <row r="526">
      <c r="A526" s="342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P526" s="342"/>
      <c r="Q526" s="342"/>
      <c r="R526" s="342"/>
      <c r="S526" s="342"/>
      <c r="T526" s="342"/>
      <c r="U526" s="342"/>
      <c r="V526" s="342"/>
      <c r="W526" s="342"/>
      <c r="X526" s="342"/>
      <c r="Y526" s="342"/>
      <c r="Z526" s="342"/>
      <c r="AA526" s="342"/>
      <c r="AB526" s="342"/>
      <c r="AC526" s="342"/>
      <c r="AD526" s="342"/>
      <c r="AE526" s="342"/>
      <c r="AF526" s="342"/>
      <c r="AG526" s="342"/>
      <c r="AH526" s="342"/>
      <c r="AI526" s="342"/>
    </row>
    <row r="527">
      <c r="A527" s="342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P527" s="342"/>
      <c r="Q527" s="342"/>
      <c r="R527" s="342"/>
      <c r="S527" s="342"/>
      <c r="T527" s="342"/>
      <c r="U527" s="342"/>
      <c r="V527" s="342"/>
      <c r="W527" s="342"/>
      <c r="X527" s="342"/>
      <c r="Y527" s="342"/>
      <c r="Z527" s="342"/>
      <c r="AA527" s="342"/>
      <c r="AB527" s="342"/>
      <c r="AC527" s="342"/>
      <c r="AD527" s="342"/>
      <c r="AE527" s="342"/>
      <c r="AF527" s="342"/>
      <c r="AG527" s="342"/>
      <c r="AH527" s="342"/>
      <c r="AI527" s="342"/>
    </row>
    <row r="528">
      <c r="A528" s="342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P528" s="342"/>
      <c r="Q528" s="342"/>
      <c r="R528" s="342"/>
      <c r="S528" s="342"/>
      <c r="T528" s="342"/>
      <c r="U528" s="342"/>
      <c r="V528" s="342"/>
      <c r="W528" s="342"/>
      <c r="X528" s="342"/>
      <c r="Y528" s="342"/>
      <c r="Z528" s="342"/>
      <c r="AA528" s="342"/>
      <c r="AB528" s="342"/>
      <c r="AC528" s="342"/>
      <c r="AD528" s="342"/>
      <c r="AE528" s="342"/>
      <c r="AF528" s="342"/>
      <c r="AG528" s="342"/>
      <c r="AH528" s="342"/>
      <c r="AI528" s="342"/>
    </row>
    <row r="529">
      <c r="A529" s="342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P529" s="342"/>
      <c r="Q529" s="342"/>
      <c r="R529" s="342"/>
      <c r="S529" s="342"/>
      <c r="T529" s="342"/>
      <c r="U529" s="342"/>
      <c r="V529" s="342"/>
      <c r="W529" s="342"/>
      <c r="X529" s="342"/>
      <c r="Y529" s="342"/>
      <c r="Z529" s="342"/>
      <c r="AA529" s="342"/>
      <c r="AB529" s="342"/>
      <c r="AC529" s="342"/>
      <c r="AD529" s="342"/>
      <c r="AE529" s="342"/>
      <c r="AF529" s="342"/>
      <c r="AG529" s="342"/>
      <c r="AH529" s="342"/>
      <c r="AI529" s="342"/>
    </row>
    <row r="530">
      <c r="A530" s="342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P530" s="342"/>
      <c r="Q530" s="342"/>
      <c r="R530" s="342"/>
      <c r="S530" s="342"/>
      <c r="T530" s="342"/>
      <c r="U530" s="342"/>
      <c r="V530" s="342"/>
      <c r="W530" s="342"/>
      <c r="X530" s="342"/>
      <c r="Y530" s="342"/>
      <c r="Z530" s="342"/>
      <c r="AA530" s="342"/>
      <c r="AB530" s="342"/>
      <c r="AC530" s="342"/>
      <c r="AD530" s="342"/>
      <c r="AE530" s="342"/>
      <c r="AF530" s="342"/>
      <c r="AG530" s="342"/>
      <c r="AH530" s="342"/>
      <c r="AI530" s="342"/>
    </row>
    <row r="531">
      <c r="A531" s="342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P531" s="342"/>
      <c r="Q531" s="342"/>
      <c r="R531" s="342"/>
      <c r="S531" s="342"/>
      <c r="T531" s="342"/>
      <c r="U531" s="342"/>
      <c r="V531" s="342"/>
      <c r="W531" s="342"/>
      <c r="X531" s="342"/>
      <c r="Y531" s="342"/>
      <c r="Z531" s="342"/>
      <c r="AA531" s="342"/>
      <c r="AB531" s="342"/>
      <c r="AC531" s="342"/>
      <c r="AD531" s="342"/>
      <c r="AE531" s="342"/>
      <c r="AF531" s="342"/>
      <c r="AG531" s="342"/>
      <c r="AH531" s="342"/>
      <c r="AI531" s="342"/>
    </row>
    <row r="532">
      <c r="A532" s="342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P532" s="342"/>
      <c r="Q532" s="342"/>
      <c r="R532" s="342"/>
      <c r="S532" s="342"/>
      <c r="T532" s="342"/>
      <c r="U532" s="342"/>
      <c r="V532" s="342"/>
      <c r="W532" s="342"/>
      <c r="X532" s="342"/>
      <c r="Y532" s="342"/>
      <c r="Z532" s="342"/>
      <c r="AA532" s="342"/>
      <c r="AB532" s="342"/>
      <c r="AC532" s="342"/>
      <c r="AD532" s="342"/>
      <c r="AE532" s="342"/>
      <c r="AF532" s="342"/>
      <c r="AG532" s="342"/>
      <c r="AH532" s="342"/>
      <c r="AI532" s="342"/>
    </row>
    <row r="533">
      <c r="A533" s="342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P533" s="342"/>
      <c r="Q533" s="342"/>
      <c r="R533" s="342"/>
      <c r="S533" s="342"/>
      <c r="T533" s="342"/>
      <c r="U533" s="342"/>
      <c r="V533" s="342"/>
      <c r="W533" s="342"/>
      <c r="X533" s="342"/>
      <c r="Y533" s="342"/>
      <c r="Z533" s="342"/>
      <c r="AA533" s="342"/>
      <c r="AB533" s="342"/>
      <c r="AC533" s="342"/>
      <c r="AD533" s="342"/>
      <c r="AE533" s="342"/>
      <c r="AF533" s="342"/>
      <c r="AG533" s="342"/>
      <c r="AH533" s="342"/>
      <c r="AI533" s="342"/>
    </row>
    <row r="534">
      <c r="A534" s="342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  <c r="AA534" s="342"/>
      <c r="AB534" s="342"/>
      <c r="AC534" s="342"/>
      <c r="AD534" s="342"/>
      <c r="AE534" s="342"/>
      <c r="AF534" s="342"/>
      <c r="AG534" s="342"/>
      <c r="AH534" s="342"/>
      <c r="AI534" s="342"/>
    </row>
    <row r="535">
      <c r="A535" s="342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P535" s="342"/>
      <c r="Q535" s="342"/>
      <c r="R535" s="342"/>
      <c r="S535" s="342"/>
      <c r="T535" s="342"/>
      <c r="U535" s="342"/>
      <c r="V535" s="342"/>
      <c r="W535" s="342"/>
      <c r="X535" s="342"/>
      <c r="Y535" s="342"/>
      <c r="Z535" s="342"/>
      <c r="AA535" s="342"/>
      <c r="AB535" s="342"/>
      <c r="AC535" s="342"/>
      <c r="AD535" s="342"/>
      <c r="AE535" s="342"/>
      <c r="AF535" s="342"/>
      <c r="AG535" s="342"/>
      <c r="AH535" s="342"/>
      <c r="AI535" s="342"/>
    </row>
    <row r="536">
      <c r="A536" s="342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P536" s="342"/>
      <c r="Q536" s="342"/>
      <c r="R536" s="342"/>
      <c r="S536" s="342"/>
      <c r="T536" s="342"/>
      <c r="U536" s="342"/>
      <c r="V536" s="342"/>
      <c r="W536" s="342"/>
      <c r="X536" s="342"/>
      <c r="Y536" s="342"/>
      <c r="Z536" s="342"/>
      <c r="AA536" s="342"/>
      <c r="AB536" s="342"/>
      <c r="AC536" s="342"/>
      <c r="AD536" s="342"/>
      <c r="AE536" s="342"/>
      <c r="AF536" s="342"/>
      <c r="AG536" s="342"/>
      <c r="AH536" s="342"/>
      <c r="AI536" s="342"/>
    </row>
    <row r="537">
      <c r="A537" s="342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P537" s="342"/>
      <c r="Q537" s="342"/>
      <c r="R537" s="342"/>
      <c r="S537" s="342"/>
      <c r="T537" s="342"/>
      <c r="U537" s="342"/>
      <c r="V537" s="342"/>
      <c r="W537" s="342"/>
      <c r="X537" s="342"/>
      <c r="Y537" s="342"/>
      <c r="Z537" s="342"/>
      <c r="AA537" s="342"/>
      <c r="AB537" s="342"/>
      <c r="AC537" s="342"/>
      <c r="AD537" s="342"/>
      <c r="AE537" s="342"/>
      <c r="AF537" s="342"/>
      <c r="AG537" s="342"/>
      <c r="AH537" s="342"/>
      <c r="AI537" s="342"/>
    </row>
    <row r="538">
      <c r="A538" s="342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P538" s="342"/>
      <c r="Q538" s="342"/>
      <c r="R538" s="342"/>
      <c r="S538" s="342"/>
      <c r="T538" s="342"/>
      <c r="U538" s="342"/>
      <c r="V538" s="342"/>
      <c r="W538" s="342"/>
      <c r="X538" s="342"/>
      <c r="Y538" s="342"/>
      <c r="Z538" s="342"/>
      <c r="AA538" s="342"/>
      <c r="AB538" s="342"/>
      <c r="AC538" s="342"/>
      <c r="AD538" s="342"/>
      <c r="AE538" s="342"/>
      <c r="AF538" s="342"/>
      <c r="AG538" s="342"/>
      <c r="AH538" s="342"/>
      <c r="AI538" s="342"/>
    </row>
    <row r="539">
      <c r="A539" s="342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P539" s="342"/>
      <c r="Q539" s="342"/>
      <c r="R539" s="342"/>
      <c r="S539" s="342"/>
      <c r="T539" s="342"/>
      <c r="U539" s="342"/>
      <c r="V539" s="342"/>
      <c r="W539" s="342"/>
      <c r="X539" s="342"/>
      <c r="Y539" s="342"/>
      <c r="Z539" s="342"/>
      <c r="AA539" s="342"/>
      <c r="AB539" s="342"/>
      <c r="AC539" s="342"/>
      <c r="AD539" s="342"/>
      <c r="AE539" s="342"/>
      <c r="AF539" s="342"/>
      <c r="AG539" s="342"/>
      <c r="AH539" s="342"/>
      <c r="AI539" s="342"/>
    </row>
    <row r="540">
      <c r="A540" s="342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2"/>
      <c r="Y540" s="342"/>
      <c r="Z540" s="342"/>
      <c r="AA540" s="342"/>
      <c r="AB540" s="342"/>
      <c r="AC540" s="342"/>
      <c r="AD540" s="342"/>
      <c r="AE540" s="342"/>
      <c r="AF540" s="342"/>
      <c r="AG540" s="342"/>
      <c r="AH540" s="342"/>
      <c r="AI540" s="342"/>
    </row>
    <row r="541">
      <c r="A541" s="342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P541" s="342"/>
      <c r="Q541" s="342"/>
      <c r="R541" s="342"/>
      <c r="S541" s="342"/>
      <c r="T541" s="342"/>
      <c r="U541" s="342"/>
      <c r="V541" s="342"/>
      <c r="W541" s="342"/>
      <c r="X541" s="342"/>
      <c r="Y541" s="342"/>
      <c r="Z541" s="342"/>
      <c r="AA541" s="342"/>
      <c r="AB541" s="342"/>
      <c r="AC541" s="342"/>
      <c r="AD541" s="342"/>
      <c r="AE541" s="342"/>
      <c r="AF541" s="342"/>
      <c r="AG541" s="342"/>
      <c r="AH541" s="342"/>
      <c r="AI541" s="342"/>
    </row>
    <row r="542">
      <c r="A542" s="342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P542" s="342"/>
      <c r="Q542" s="342"/>
      <c r="R542" s="342"/>
      <c r="S542" s="342"/>
      <c r="T542" s="342"/>
      <c r="U542" s="342"/>
      <c r="V542" s="342"/>
      <c r="W542" s="342"/>
      <c r="X542" s="342"/>
      <c r="Y542" s="342"/>
      <c r="Z542" s="342"/>
      <c r="AA542" s="342"/>
      <c r="AB542" s="342"/>
      <c r="AC542" s="342"/>
      <c r="AD542" s="342"/>
      <c r="AE542" s="342"/>
      <c r="AF542" s="342"/>
      <c r="AG542" s="342"/>
      <c r="AH542" s="342"/>
      <c r="AI542" s="342"/>
    </row>
    <row r="543">
      <c r="A543" s="342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P543" s="342"/>
      <c r="Q543" s="342"/>
      <c r="R543" s="342"/>
      <c r="S543" s="342"/>
      <c r="T543" s="342"/>
      <c r="U543" s="342"/>
      <c r="V543" s="342"/>
      <c r="W543" s="342"/>
      <c r="X543" s="342"/>
      <c r="Y543" s="342"/>
      <c r="Z543" s="342"/>
      <c r="AA543" s="342"/>
      <c r="AB543" s="342"/>
      <c r="AC543" s="342"/>
      <c r="AD543" s="342"/>
      <c r="AE543" s="342"/>
      <c r="AF543" s="342"/>
      <c r="AG543" s="342"/>
      <c r="AH543" s="342"/>
      <c r="AI543" s="342"/>
    </row>
    <row r="544">
      <c r="A544" s="342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P544" s="342"/>
      <c r="Q544" s="342"/>
      <c r="R544" s="342"/>
      <c r="S544" s="342"/>
      <c r="T544" s="342"/>
      <c r="U544" s="342"/>
      <c r="V544" s="342"/>
      <c r="W544" s="342"/>
      <c r="X544" s="342"/>
      <c r="Y544" s="342"/>
      <c r="Z544" s="342"/>
      <c r="AA544" s="342"/>
      <c r="AB544" s="342"/>
      <c r="AC544" s="342"/>
      <c r="AD544" s="342"/>
      <c r="AE544" s="342"/>
      <c r="AF544" s="342"/>
      <c r="AG544" s="342"/>
      <c r="AH544" s="342"/>
      <c r="AI544" s="342"/>
    </row>
    <row r="545">
      <c r="A545" s="342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P545" s="342"/>
      <c r="Q545" s="342"/>
      <c r="R545" s="342"/>
      <c r="S545" s="342"/>
      <c r="T545" s="342"/>
      <c r="U545" s="342"/>
      <c r="V545" s="342"/>
      <c r="W545" s="342"/>
      <c r="X545" s="342"/>
      <c r="Y545" s="342"/>
      <c r="Z545" s="342"/>
      <c r="AA545" s="342"/>
      <c r="AB545" s="342"/>
      <c r="AC545" s="342"/>
      <c r="AD545" s="342"/>
      <c r="AE545" s="342"/>
      <c r="AF545" s="342"/>
      <c r="AG545" s="342"/>
      <c r="AH545" s="342"/>
      <c r="AI545" s="342"/>
    </row>
    <row r="546">
      <c r="A546" s="342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P546" s="342"/>
      <c r="Q546" s="342"/>
      <c r="R546" s="342"/>
      <c r="S546" s="342"/>
      <c r="T546" s="342"/>
      <c r="U546" s="342"/>
      <c r="V546" s="342"/>
      <c r="W546" s="342"/>
      <c r="X546" s="342"/>
      <c r="Y546" s="342"/>
      <c r="Z546" s="342"/>
      <c r="AA546" s="342"/>
      <c r="AB546" s="342"/>
      <c r="AC546" s="342"/>
      <c r="AD546" s="342"/>
      <c r="AE546" s="342"/>
      <c r="AF546" s="342"/>
      <c r="AG546" s="342"/>
      <c r="AH546" s="342"/>
      <c r="AI546" s="342"/>
    </row>
    <row r="547">
      <c r="A547" s="342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P547" s="342"/>
      <c r="Q547" s="342"/>
      <c r="R547" s="342"/>
      <c r="S547" s="342"/>
      <c r="T547" s="342"/>
      <c r="U547" s="342"/>
      <c r="V547" s="342"/>
      <c r="W547" s="342"/>
      <c r="X547" s="342"/>
      <c r="Y547" s="342"/>
      <c r="Z547" s="342"/>
      <c r="AA547" s="342"/>
      <c r="AB547" s="342"/>
      <c r="AC547" s="342"/>
      <c r="AD547" s="342"/>
      <c r="AE547" s="342"/>
      <c r="AF547" s="342"/>
      <c r="AG547" s="342"/>
      <c r="AH547" s="342"/>
      <c r="AI547" s="342"/>
    </row>
    <row r="548">
      <c r="A548" s="342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P548" s="342"/>
      <c r="Q548" s="342"/>
      <c r="R548" s="342"/>
      <c r="S548" s="342"/>
      <c r="T548" s="342"/>
      <c r="U548" s="342"/>
      <c r="V548" s="342"/>
      <c r="W548" s="342"/>
      <c r="X548" s="342"/>
      <c r="Y548" s="342"/>
      <c r="Z548" s="342"/>
      <c r="AA548" s="342"/>
      <c r="AB548" s="342"/>
      <c r="AC548" s="342"/>
      <c r="AD548" s="342"/>
      <c r="AE548" s="342"/>
      <c r="AF548" s="342"/>
      <c r="AG548" s="342"/>
      <c r="AH548" s="342"/>
      <c r="AI548" s="342"/>
    </row>
    <row r="549">
      <c r="A549" s="342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  <c r="AA549" s="342"/>
      <c r="AB549" s="342"/>
      <c r="AC549" s="342"/>
      <c r="AD549" s="342"/>
      <c r="AE549" s="342"/>
      <c r="AF549" s="342"/>
      <c r="AG549" s="342"/>
      <c r="AH549" s="342"/>
      <c r="AI549" s="342"/>
    </row>
    <row r="550">
      <c r="A550" s="342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P550" s="342"/>
      <c r="Q550" s="342"/>
      <c r="R550" s="342"/>
      <c r="S550" s="342"/>
      <c r="T550" s="342"/>
      <c r="U550" s="342"/>
      <c r="V550" s="342"/>
      <c r="W550" s="342"/>
      <c r="X550" s="342"/>
      <c r="Y550" s="342"/>
      <c r="Z550" s="342"/>
      <c r="AA550" s="342"/>
      <c r="AB550" s="342"/>
      <c r="AC550" s="342"/>
      <c r="AD550" s="342"/>
      <c r="AE550" s="342"/>
      <c r="AF550" s="342"/>
      <c r="AG550" s="342"/>
      <c r="AH550" s="342"/>
      <c r="AI550" s="342"/>
    </row>
    <row r="551">
      <c r="A551" s="342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P551" s="342"/>
      <c r="Q551" s="342"/>
      <c r="R551" s="342"/>
      <c r="S551" s="342"/>
      <c r="T551" s="342"/>
      <c r="U551" s="342"/>
      <c r="V551" s="342"/>
      <c r="W551" s="342"/>
      <c r="X551" s="342"/>
      <c r="Y551" s="342"/>
      <c r="Z551" s="342"/>
      <c r="AA551" s="342"/>
      <c r="AB551" s="342"/>
      <c r="AC551" s="342"/>
      <c r="AD551" s="342"/>
      <c r="AE551" s="342"/>
      <c r="AF551" s="342"/>
      <c r="AG551" s="342"/>
      <c r="AH551" s="342"/>
      <c r="AI551" s="342"/>
    </row>
    <row r="552">
      <c r="A552" s="342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P552" s="342"/>
      <c r="Q552" s="342"/>
      <c r="R552" s="342"/>
      <c r="S552" s="342"/>
      <c r="T552" s="342"/>
      <c r="U552" s="342"/>
      <c r="V552" s="342"/>
      <c r="W552" s="342"/>
      <c r="X552" s="342"/>
      <c r="Y552" s="342"/>
      <c r="Z552" s="342"/>
      <c r="AA552" s="342"/>
      <c r="AB552" s="342"/>
      <c r="AC552" s="342"/>
      <c r="AD552" s="342"/>
      <c r="AE552" s="342"/>
      <c r="AF552" s="342"/>
      <c r="AG552" s="342"/>
      <c r="AH552" s="342"/>
      <c r="AI552" s="342"/>
    </row>
    <row r="553">
      <c r="A553" s="342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P553" s="342"/>
      <c r="Q553" s="342"/>
      <c r="R553" s="342"/>
      <c r="S553" s="342"/>
      <c r="T553" s="342"/>
      <c r="U553" s="342"/>
      <c r="V553" s="342"/>
      <c r="W553" s="342"/>
      <c r="X553" s="342"/>
      <c r="Y553" s="342"/>
      <c r="Z553" s="342"/>
      <c r="AA553" s="342"/>
      <c r="AB553" s="342"/>
      <c r="AC553" s="342"/>
      <c r="AD553" s="342"/>
      <c r="AE553" s="342"/>
      <c r="AF553" s="342"/>
      <c r="AG553" s="342"/>
      <c r="AH553" s="342"/>
      <c r="AI553" s="342"/>
    </row>
    <row r="554">
      <c r="A554" s="342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P554" s="342"/>
      <c r="Q554" s="342"/>
      <c r="R554" s="342"/>
      <c r="S554" s="342"/>
      <c r="T554" s="342"/>
      <c r="U554" s="342"/>
      <c r="V554" s="342"/>
      <c r="W554" s="342"/>
      <c r="X554" s="342"/>
      <c r="Y554" s="342"/>
      <c r="Z554" s="342"/>
      <c r="AA554" s="342"/>
      <c r="AB554" s="342"/>
      <c r="AC554" s="342"/>
      <c r="AD554" s="342"/>
      <c r="AE554" s="342"/>
      <c r="AF554" s="342"/>
      <c r="AG554" s="342"/>
      <c r="AH554" s="342"/>
      <c r="AI554" s="342"/>
    </row>
    <row r="555">
      <c r="A555" s="342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P555" s="342"/>
      <c r="Q555" s="342"/>
      <c r="R555" s="342"/>
      <c r="S555" s="342"/>
      <c r="T555" s="342"/>
      <c r="U555" s="342"/>
      <c r="V555" s="342"/>
      <c r="W555" s="342"/>
      <c r="X555" s="342"/>
      <c r="Y555" s="342"/>
      <c r="Z555" s="342"/>
      <c r="AA555" s="342"/>
      <c r="AB555" s="342"/>
      <c r="AC555" s="342"/>
      <c r="AD555" s="342"/>
      <c r="AE555" s="342"/>
      <c r="AF555" s="342"/>
      <c r="AG555" s="342"/>
      <c r="AH555" s="342"/>
      <c r="AI555" s="342"/>
    </row>
    <row r="556">
      <c r="A556" s="342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P556" s="342"/>
      <c r="Q556" s="342"/>
      <c r="R556" s="342"/>
      <c r="S556" s="342"/>
      <c r="T556" s="342"/>
      <c r="U556" s="342"/>
      <c r="V556" s="342"/>
      <c r="W556" s="342"/>
      <c r="X556" s="342"/>
      <c r="Y556" s="342"/>
      <c r="Z556" s="342"/>
      <c r="AA556" s="342"/>
      <c r="AB556" s="342"/>
      <c r="AC556" s="342"/>
      <c r="AD556" s="342"/>
      <c r="AE556" s="342"/>
      <c r="AF556" s="342"/>
      <c r="AG556" s="342"/>
      <c r="AH556" s="342"/>
      <c r="AI556" s="342"/>
    </row>
    <row r="557">
      <c r="A557" s="342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P557" s="342"/>
      <c r="Q557" s="342"/>
      <c r="R557" s="342"/>
      <c r="S557" s="342"/>
      <c r="T557" s="342"/>
      <c r="U557" s="342"/>
      <c r="V557" s="342"/>
      <c r="W557" s="342"/>
      <c r="X557" s="342"/>
      <c r="Y557" s="342"/>
      <c r="Z557" s="342"/>
      <c r="AA557" s="342"/>
      <c r="AB557" s="342"/>
      <c r="AC557" s="342"/>
      <c r="AD557" s="342"/>
      <c r="AE557" s="342"/>
      <c r="AF557" s="342"/>
      <c r="AG557" s="342"/>
      <c r="AH557" s="342"/>
      <c r="AI557" s="342"/>
    </row>
    <row r="558">
      <c r="A558" s="342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P558" s="342"/>
      <c r="Q558" s="342"/>
      <c r="R558" s="342"/>
      <c r="S558" s="342"/>
      <c r="T558" s="342"/>
      <c r="U558" s="342"/>
      <c r="V558" s="342"/>
      <c r="W558" s="342"/>
      <c r="X558" s="342"/>
      <c r="Y558" s="342"/>
      <c r="Z558" s="342"/>
      <c r="AA558" s="342"/>
      <c r="AB558" s="342"/>
      <c r="AC558" s="342"/>
      <c r="AD558" s="342"/>
      <c r="AE558" s="342"/>
      <c r="AF558" s="342"/>
      <c r="AG558" s="342"/>
      <c r="AH558" s="342"/>
      <c r="AI558" s="342"/>
    </row>
    <row r="559">
      <c r="A559" s="342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P559" s="342"/>
      <c r="Q559" s="342"/>
      <c r="R559" s="342"/>
      <c r="S559" s="342"/>
      <c r="T559" s="342"/>
      <c r="U559" s="342"/>
      <c r="V559" s="342"/>
      <c r="W559" s="342"/>
      <c r="X559" s="342"/>
      <c r="Y559" s="342"/>
      <c r="Z559" s="342"/>
      <c r="AA559" s="342"/>
      <c r="AB559" s="342"/>
      <c r="AC559" s="342"/>
      <c r="AD559" s="342"/>
      <c r="AE559" s="342"/>
      <c r="AF559" s="342"/>
      <c r="AG559" s="342"/>
      <c r="AH559" s="342"/>
      <c r="AI559" s="342"/>
    </row>
    <row r="560">
      <c r="A560" s="342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P560" s="342"/>
      <c r="Q560" s="342"/>
      <c r="R560" s="342"/>
      <c r="S560" s="342"/>
      <c r="T560" s="342"/>
      <c r="U560" s="342"/>
      <c r="V560" s="342"/>
      <c r="W560" s="342"/>
      <c r="X560" s="342"/>
      <c r="Y560" s="342"/>
      <c r="Z560" s="342"/>
      <c r="AA560" s="342"/>
      <c r="AB560" s="342"/>
      <c r="AC560" s="342"/>
      <c r="AD560" s="342"/>
      <c r="AE560" s="342"/>
      <c r="AF560" s="342"/>
      <c r="AG560" s="342"/>
      <c r="AH560" s="342"/>
      <c r="AI560" s="342"/>
    </row>
    <row r="561">
      <c r="A561" s="342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P561" s="342"/>
      <c r="Q561" s="342"/>
      <c r="R561" s="342"/>
      <c r="S561" s="342"/>
      <c r="T561" s="342"/>
      <c r="U561" s="342"/>
      <c r="V561" s="342"/>
      <c r="W561" s="342"/>
      <c r="X561" s="342"/>
      <c r="Y561" s="342"/>
      <c r="Z561" s="342"/>
      <c r="AA561" s="342"/>
      <c r="AB561" s="342"/>
      <c r="AC561" s="342"/>
      <c r="AD561" s="342"/>
      <c r="AE561" s="342"/>
      <c r="AF561" s="342"/>
      <c r="AG561" s="342"/>
      <c r="AH561" s="342"/>
      <c r="AI561" s="342"/>
    </row>
    <row r="562">
      <c r="A562" s="342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P562" s="342"/>
      <c r="Q562" s="342"/>
      <c r="R562" s="342"/>
      <c r="S562" s="342"/>
      <c r="T562" s="342"/>
      <c r="U562" s="342"/>
      <c r="V562" s="342"/>
      <c r="W562" s="342"/>
      <c r="X562" s="342"/>
      <c r="Y562" s="342"/>
      <c r="Z562" s="342"/>
      <c r="AA562" s="342"/>
      <c r="AB562" s="342"/>
      <c r="AC562" s="342"/>
      <c r="AD562" s="342"/>
      <c r="AE562" s="342"/>
      <c r="AF562" s="342"/>
      <c r="AG562" s="342"/>
      <c r="AH562" s="342"/>
      <c r="AI562" s="342"/>
    </row>
    <row r="563">
      <c r="A563" s="342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P563" s="342"/>
      <c r="Q563" s="342"/>
      <c r="R563" s="342"/>
      <c r="S563" s="342"/>
      <c r="T563" s="342"/>
      <c r="U563" s="342"/>
      <c r="V563" s="342"/>
      <c r="W563" s="342"/>
      <c r="X563" s="342"/>
      <c r="Y563" s="342"/>
      <c r="Z563" s="342"/>
      <c r="AA563" s="342"/>
      <c r="AB563" s="342"/>
      <c r="AC563" s="342"/>
      <c r="AD563" s="342"/>
      <c r="AE563" s="342"/>
      <c r="AF563" s="342"/>
      <c r="AG563" s="342"/>
      <c r="AH563" s="342"/>
      <c r="AI563" s="342"/>
    </row>
    <row r="564">
      <c r="A564" s="342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P564" s="342"/>
      <c r="Q564" s="342"/>
      <c r="R564" s="342"/>
      <c r="S564" s="342"/>
      <c r="T564" s="342"/>
      <c r="U564" s="342"/>
      <c r="V564" s="342"/>
      <c r="W564" s="342"/>
      <c r="X564" s="342"/>
      <c r="Y564" s="342"/>
      <c r="Z564" s="342"/>
      <c r="AA564" s="342"/>
      <c r="AB564" s="342"/>
      <c r="AC564" s="342"/>
      <c r="AD564" s="342"/>
      <c r="AE564" s="342"/>
      <c r="AF564" s="342"/>
      <c r="AG564" s="342"/>
      <c r="AH564" s="342"/>
      <c r="AI564" s="342"/>
    </row>
    <row r="565">
      <c r="A565" s="342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P565" s="342"/>
      <c r="Q565" s="342"/>
      <c r="R565" s="342"/>
      <c r="S565" s="342"/>
      <c r="T565" s="342"/>
      <c r="U565" s="342"/>
      <c r="V565" s="342"/>
      <c r="W565" s="342"/>
      <c r="X565" s="342"/>
      <c r="Y565" s="342"/>
      <c r="Z565" s="342"/>
      <c r="AA565" s="342"/>
      <c r="AB565" s="342"/>
      <c r="AC565" s="342"/>
      <c r="AD565" s="342"/>
      <c r="AE565" s="342"/>
      <c r="AF565" s="342"/>
      <c r="AG565" s="342"/>
      <c r="AH565" s="342"/>
      <c r="AI565" s="342"/>
    </row>
    <row r="566">
      <c r="A566" s="342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P566" s="342"/>
      <c r="Q566" s="342"/>
      <c r="R566" s="342"/>
      <c r="S566" s="342"/>
      <c r="T566" s="342"/>
      <c r="U566" s="342"/>
      <c r="V566" s="342"/>
      <c r="W566" s="342"/>
      <c r="X566" s="342"/>
      <c r="Y566" s="342"/>
      <c r="Z566" s="342"/>
      <c r="AA566" s="342"/>
      <c r="AB566" s="342"/>
      <c r="AC566" s="342"/>
      <c r="AD566" s="342"/>
      <c r="AE566" s="342"/>
      <c r="AF566" s="342"/>
      <c r="AG566" s="342"/>
      <c r="AH566" s="342"/>
      <c r="AI566" s="342"/>
    </row>
    <row r="567">
      <c r="A567" s="342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P567" s="342"/>
      <c r="Q567" s="342"/>
      <c r="R567" s="342"/>
      <c r="S567" s="342"/>
      <c r="T567" s="342"/>
      <c r="U567" s="342"/>
      <c r="V567" s="342"/>
      <c r="W567" s="342"/>
      <c r="X567" s="342"/>
      <c r="Y567" s="342"/>
      <c r="Z567" s="342"/>
      <c r="AA567" s="342"/>
      <c r="AB567" s="342"/>
      <c r="AC567" s="342"/>
      <c r="AD567" s="342"/>
      <c r="AE567" s="342"/>
      <c r="AF567" s="342"/>
      <c r="AG567" s="342"/>
      <c r="AH567" s="342"/>
      <c r="AI567" s="342"/>
    </row>
    <row r="568">
      <c r="A568" s="342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P568" s="342"/>
      <c r="Q568" s="342"/>
      <c r="R568" s="342"/>
      <c r="S568" s="342"/>
      <c r="T568" s="342"/>
      <c r="U568" s="342"/>
      <c r="V568" s="342"/>
      <c r="W568" s="342"/>
      <c r="X568" s="342"/>
      <c r="Y568" s="342"/>
      <c r="Z568" s="342"/>
      <c r="AA568" s="342"/>
      <c r="AB568" s="342"/>
      <c r="AC568" s="342"/>
      <c r="AD568" s="342"/>
      <c r="AE568" s="342"/>
      <c r="AF568" s="342"/>
      <c r="AG568" s="342"/>
      <c r="AH568" s="342"/>
      <c r="AI568" s="342"/>
    </row>
    <row r="569">
      <c r="A569" s="342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P569" s="342"/>
      <c r="Q569" s="342"/>
      <c r="R569" s="342"/>
      <c r="S569" s="342"/>
      <c r="T569" s="342"/>
      <c r="U569" s="342"/>
      <c r="V569" s="342"/>
      <c r="W569" s="342"/>
      <c r="X569" s="342"/>
      <c r="Y569" s="342"/>
      <c r="Z569" s="342"/>
      <c r="AA569" s="342"/>
      <c r="AB569" s="342"/>
      <c r="AC569" s="342"/>
      <c r="AD569" s="342"/>
      <c r="AE569" s="342"/>
      <c r="AF569" s="342"/>
      <c r="AG569" s="342"/>
      <c r="AH569" s="342"/>
      <c r="AI569" s="342"/>
    </row>
    <row r="570">
      <c r="A570" s="342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P570" s="342"/>
      <c r="Q570" s="342"/>
      <c r="R570" s="342"/>
      <c r="S570" s="342"/>
      <c r="T570" s="342"/>
      <c r="U570" s="342"/>
      <c r="V570" s="342"/>
      <c r="W570" s="342"/>
      <c r="X570" s="342"/>
      <c r="Y570" s="342"/>
      <c r="Z570" s="342"/>
      <c r="AA570" s="342"/>
      <c r="AB570" s="342"/>
      <c r="AC570" s="342"/>
      <c r="AD570" s="342"/>
      <c r="AE570" s="342"/>
      <c r="AF570" s="342"/>
      <c r="AG570" s="342"/>
      <c r="AH570" s="342"/>
      <c r="AI570" s="342"/>
    </row>
    <row r="571">
      <c r="A571" s="342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P571" s="342"/>
      <c r="Q571" s="342"/>
      <c r="R571" s="342"/>
      <c r="S571" s="342"/>
      <c r="T571" s="342"/>
      <c r="U571" s="342"/>
      <c r="V571" s="342"/>
      <c r="W571" s="342"/>
      <c r="X571" s="342"/>
      <c r="Y571" s="342"/>
      <c r="Z571" s="342"/>
      <c r="AA571" s="342"/>
      <c r="AB571" s="342"/>
      <c r="AC571" s="342"/>
      <c r="AD571" s="342"/>
      <c r="AE571" s="342"/>
      <c r="AF571" s="342"/>
      <c r="AG571" s="342"/>
      <c r="AH571" s="342"/>
      <c r="AI571" s="342"/>
    </row>
    <row r="572">
      <c r="A572" s="342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P572" s="342"/>
      <c r="Q572" s="342"/>
      <c r="R572" s="342"/>
      <c r="S572" s="342"/>
      <c r="T572" s="342"/>
      <c r="U572" s="342"/>
      <c r="V572" s="342"/>
      <c r="W572" s="342"/>
      <c r="X572" s="342"/>
      <c r="Y572" s="342"/>
      <c r="Z572" s="342"/>
      <c r="AA572" s="342"/>
      <c r="AB572" s="342"/>
      <c r="AC572" s="342"/>
      <c r="AD572" s="342"/>
      <c r="AE572" s="342"/>
      <c r="AF572" s="342"/>
      <c r="AG572" s="342"/>
      <c r="AH572" s="342"/>
      <c r="AI572" s="342"/>
    </row>
    <row r="573">
      <c r="A573" s="342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P573" s="342"/>
      <c r="Q573" s="342"/>
      <c r="R573" s="342"/>
      <c r="S573" s="342"/>
      <c r="T573" s="342"/>
      <c r="U573" s="342"/>
      <c r="V573" s="342"/>
      <c r="W573" s="342"/>
      <c r="X573" s="342"/>
      <c r="Y573" s="342"/>
      <c r="Z573" s="342"/>
      <c r="AA573" s="342"/>
      <c r="AB573" s="342"/>
      <c r="AC573" s="342"/>
      <c r="AD573" s="342"/>
      <c r="AE573" s="342"/>
      <c r="AF573" s="342"/>
      <c r="AG573" s="342"/>
      <c r="AH573" s="342"/>
      <c r="AI573" s="342"/>
    </row>
    <row r="574">
      <c r="A574" s="342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P574" s="342"/>
      <c r="Q574" s="342"/>
      <c r="R574" s="342"/>
      <c r="S574" s="342"/>
      <c r="T574" s="342"/>
      <c r="U574" s="342"/>
      <c r="V574" s="342"/>
      <c r="W574" s="342"/>
      <c r="X574" s="342"/>
      <c r="Y574" s="342"/>
      <c r="Z574" s="342"/>
      <c r="AA574" s="342"/>
      <c r="AB574" s="342"/>
      <c r="AC574" s="342"/>
      <c r="AD574" s="342"/>
      <c r="AE574" s="342"/>
      <c r="AF574" s="342"/>
      <c r="AG574" s="342"/>
      <c r="AH574" s="342"/>
      <c r="AI574" s="342"/>
    </row>
    <row r="575">
      <c r="A575" s="342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P575" s="342"/>
      <c r="Q575" s="342"/>
      <c r="R575" s="342"/>
      <c r="S575" s="342"/>
      <c r="T575" s="342"/>
      <c r="U575" s="342"/>
      <c r="V575" s="342"/>
      <c r="W575" s="342"/>
      <c r="X575" s="342"/>
      <c r="Y575" s="342"/>
      <c r="Z575" s="342"/>
      <c r="AA575" s="342"/>
      <c r="AB575" s="342"/>
      <c r="AC575" s="342"/>
      <c r="AD575" s="342"/>
      <c r="AE575" s="342"/>
      <c r="AF575" s="342"/>
      <c r="AG575" s="342"/>
      <c r="AH575" s="342"/>
      <c r="AI575" s="342"/>
    </row>
    <row r="576">
      <c r="A576" s="342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P576" s="342"/>
      <c r="Q576" s="342"/>
      <c r="R576" s="342"/>
      <c r="S576" s="342"/>
      <c r="T576" s="342"/>
      <c r="U576" s="342"/>
      <c r="V576" s="342"/>
      <c r="W576" s="342"/>
      <c r="X576" s="342"/>
      <c r="Y576" s="342"/>
      <c r="Z576" s="342"/>
      <c r="AA576" s="342"/>
      <c r="AB576" s="342"/>
      <c r="AC576" s="342"/>
      <c r="AD576" s="342"/>
      <c r="AE576" s="342"/>
      <c r="AF576" s="342"/>
      <c r="AG576" s="342"/>
      <c r="AH576" s="342"/>
      <c r="AI576" s="342"/>
    </row>
    <row r="577">
      <c r="A577" s="342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P577" s="342"/>
      <c r="Q577" s="342"/>
      <c r="R577" s="342"/>
      <c r="S577" s="342"/>
      <c r="T577" s="342"/>
      <c r="U577" s="342"/>
      <c r="V577" s="342"/>
      <c r="W577" s="342"/>
      <c r="X577" s="342"/>
      <c r="Y577" s="342"/>
      <c r="Z577" s="342"/>
      <c r="AA577" s="342"/>
      <c r="AB577" s="342"/>
      <c r="AC577" s="342"/>
      <c r="AD577" s="342"/>
      <c r="AE577" s="342"/>
      <c r="AF577" s="342"/>
      <c r="AG577" s="342"/>
      <c r="AH577" s="342"/>
      <c r="AI577" s="342"/>
    </row>
    <row r="578">
      <c r="A578" s="342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P578" s="342"/>
      <c r="Q578" s="342"/>
      <c r="R578" s="342"/>
      <c r="S578" s="342"/>
      <c r="T578" s="342"/>
      <c r="U578" s="342"/>
      <c r="V578" s="342"/>
      <c r="W578" s="342"/>
      <c r="X578" s="342"/>
      <c r="Y578" s="342"/>
      <c r="Z578" s="342"/>
      <c r="AA578" s="342"/>
      <c r="AB578" s="342"/>
      <c r="AC578" s="342"/>
      <c r="AD578" s="342"/>
      <c r="AE578" s="342"/>
      <c r="AF578" s="342"/>
      <c r="AG578" s="342"/>
      <c r="AH578" s="342"/>
      <c r="AI578" s="342"/>
    </row>
    <row r="579">
      <c r="A579" s="342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P579" s="342"/>
      <c r="Q579" s="342"/>
      <c r="R579" s="342"/>
      <c r="S579" s="342"/>
      <c r="T579" s="342"/>
      <c r="U579" s="342"/>
      <c r="V579" s="342"/>
      <c r="W579" s="342"/>
      <c r="X579" s="342"/>
      <c r="Y579" s="342"/>
      <c r="Z579" s="342"/>
      <c r="AA579" s="342"/>
      <c r="AB579" s="342"/>
      <c r="AC579" s="342"/>
      <c r="AD579" s="342"/>
      <c r="AE579" s="342"/>
      <c r="AF579" s="342"/>
      <c r="AG579" s="342"/>
      <c r="AH579" s="342"/>
      <c r="AI579" s="342"/>
    </row>
    <row r="580">
      <c r="A580" s="342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P580" s="342"/>
      <c r="Q580" s="342"/>
      <c r="R580" s="342"/>
      <c r="S580" s="342"/>
      <c r="T580" s="342"/>
      <c r="U580" s="342"/>
      <c r="V580" s="342"/>
      <c r="W580" s="342"/>
      <c r="X580" s="342"/>
      <c r="Y580" s="342"/>
      <c r="Z580" s="342"/>
      <c r="AA580" s="342"/>
      <c r="AB580" s="342"/>
      <c r="AC580" s="342"/>
      <c r="AD580" s="342"/>
      <c r="AE580" s="342"/>
      <c r="AF580" s="342"/>
      <c r="AG580" s="342"/>
      <c r="AH580" s="342"/>
      <c r="AI580" s="342"/>
    </row>
    <row r="581">
      <c r="A581" s="342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P581" s="342"/>
      <c r="Q581" s="342"/>
      <c r="R581" s="342"/>
      <c r="S581" s="342"/>
      <c r="T581" s="342"/>
      <c r="U581" s="342"/>
      <c r="V581" s="342"/>
      <c r="W581" s="342"/>
      <c r="X581" s="342"/>
      <c r="Y581" s="342"/>
      <c r="Z581" s="342"/>
      <c r="AA581" s="342"/>
      <c r="AB581" s="342"/>
      <c r="AC581" s="342"/>
      <c r="AD581" s="342"/>
      <c r="AE581" s="342"/>
      <c r="AF581" s="342"/>
      <c r="AG581" s="342"/>
      <c r="AH581" s="342"/>
      <c r="AI581" s="342"/>
    </row>
    <row r="582">
      <c r="A582" s="342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P582" s="342"/>
      <c r="Q582" s="342"/>
      <c r="R582" s="342"/>
      <c r="S582" s="342"/>
      <c r="T582" s="342"/>
      <c r="U582" s="342"/>
      <c r="V582" s="342"/>
      <c r="W582" s="342"/>
      <c r="X582" s="342"/>
      <c r="Y582" s="342"/>
      <c r="Z582" s="342"/>
      <c r="AA582" s="342"/>
      <c r="AB582" s="342"/>
      <c r="AC582" s="342"/>
      <c r="AD582" s="342"/>
      <c r="AE582" s="342"/>
      <c r="AF582" s="342"/>
      <c r="AG582" s="342"/>
      <c r="AH582" s="342"/>
      <c r="AI582" s="342"/>
    </row>
    <row r="583">
      <c r="A583" s="342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P583" s="342"/>
      <c r="Q583" s="342"/>
      <c r="R583" s="342"/>
      <c r="S583" s="342"/>
      <c r="T583" s="342"/>
      <c r="U583" s="342"/>
      <c r="V583" s="342"/>
      <c r="W583" s="342"/>
      <c r="X583" s="342"/>
      <c r="Y583" s="342"/>
      <c r="Z583" s="342"/>
      <c r="AA583" s="342"/>
      <c r="AB583" s="342"/>
      <c r="AC583" s="342"/>
      <c r="AD583" s="342"/>
      <c r="AE583" s="342"/>
      <c r="AF583" s="342"/>
      <c r="AG583" s="342"/>
      <c r="AH583" s="342"/>
      <c r="AI583" s="342"/>
    </row>
    <row r="584">
      <c r="A584" s="342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P584" s="342"/>
      <c r="Q584" s="342"/>
      <c r="R584" s="342"/>
      <c r="S584" s="342"/>
      <c r="T584" s="342"/>
      <c r="U584" s="342"/>
      <c r="V584" s="342"/>
      <c r="W584" s="342"/>
      <c r="X584" s="342"/>
      <c r="Y584" s="342"/>
      <c r="Z584" s="342"/>
      <c r="AA584" s="342"/>
      <c r="AB584" s="342"/>
      <c r="AC584" s="342"/>
      <c r="AD584" s="342"/>
      <c r="AE584" s="342"/>
      <c r="AF584" s="342"/>
      <c r="AG584" s="342"/>
      <c r="AH584" s="342"/>
      <c r="AI584" s="342"/>
    </row>
    <row r="585">
      <c r="A585" s="342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P585" s="342"/>
      <c r="Q585" s="342"/>
      <c r="R585" s="342"/>
      <c r="S585" s="342"/>
      <c r="T585" s="342"/>
      <c r="U585" s="342"/>
      <c r="V585" s="342"/>
      <c r="W585" s="342"/>
      <c r="X585" s="342"/>
      <c r="Y585" s="342"/>
      <c r="Z585" s="342"/>
      <c r="AA585" s="342"/>
      <c r="AB585" s="342"/>
      <c r="AC585" s="342"/>
      <c r="AD585" s="342"/>
      <c r="AE585" s="342"/>
      <c r="AF585" s="342"/>
      <c r="AG585" s="342"/>
      <c r="AH585" s="342"/>
      <c r="AI585" s="342"/>
    </row>
    <row r="586">
      <c r="A586" s="342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P586" s="342"/>
      <c r="Q586" s="342"/>
      <c r="R586" s="342"/>
      <c r="S586" s="342"/>
      <c r="T586" s="342"/>
      <c r="U586" s="342"/>
      <c r="V586" s="342"/>
      <c r="W586" s="342"/>
      <c r="X586" s="342"/>
      <c r="Y586" s="342"/>
      <c r="Z586" s="342"/>
      <c r="AA586" s="342"/>
      <c r="AB586" s="342"/>
      <c r="AC586" s="342"/>
      <c r="AD586" s="342"/>
      <c r="AE586" s="342"/>
      <c r="AF586" s="342"/>
      <c r="AG586" s="342"/>
      <c r="AH586" s="342"/>
      <c r="AI586" s="342"/>
    </row>
    <row r="587">
      <c r="A587" s="342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P587" s="342"/>
      <c r="Q587" s="342"/>
      <c r="R587" s="342"/>
      <c r="S587" s="342"/>
      <c r="T587" s="342"/>
      <c r="U587" s="342"/>
      <c r="V587" s="342"/>
      <c r="W587" s="342"/>
      <c r="X587" s="342"/>
      <c r="Y587" s="342"/>
      <c r="Z587" s="342"/>
      <c r="AA587" s="342"/>
      <c r="AB587" s="342"/>
      <c r="AC587" s="342"/>
      <c r="AD587" s="342"/>
      <c r="AE587" s="342"/>
      <c r="AF587" s="342"/>
      <c r="AG587" s="342"/>
      <c r="AH587" s="342"/>
      <c r="AI587" s="342"/>
    </row>
    <row r="588">
      <c r="A588" s="342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P588" s="342"/>
      <c r="Q588" s="342"/>
      <c r="R588" s="342"/>
      <c r="S588" s="342"/>
      <c r="T588" s="342"/>
      <c r="U588" s="342"/>
      <c r="V588" s="342"/>
      <c r="W588" s="342"/>
      <c r="X588" s="342"/>
      <c r="Y588" s="342"/>
      <c r="Z588" s="342"/>
      <c r="AA588" s="342"/>
      <c r="AB588" s="342"/>
      <c r="AC588" s="342"/>
      <c r="AD588" s="342"/>
      <c r="AE588" s="342"/>
      <c r="AF588" s="342"/>
      <c r="AG588" s="342"/>
      <c r="AH588" s="342"/>
      <c r="AI588" s="342"/>
    </row>
    <row r="589">
      <c r="A589" s="342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P589" s="342"/>
      <c r="Q589" s="342"/>
      <c r="R589" s="342"/>
      <c r="S589" s="342"/>
      <c r="T589" s="342"/>
      <c r="U589" s="342"/>
      <c r="V589" s="342"/>
      <c r="W589" s="342"/>
      <c r="X589" s="342"/>
      <c r="Y589" s="342"/>
      <c r="Z589" s="342"/>
      <c r="AA589" s="342"/>
      <c r="AB589" s="342"/>
      <c r="AC589" s="342"/>
      <c r="AD589" s="342"/>
      <c r="AE589" s="342"/>
      <c r="AF589" s="342"/>
      <c r="AG589" s="342"/>
      <c r="AH589" s="342"/>
      <c r="AI589" s="342"/>
    </row>
    <row r="590">
      <c r="A590" s="342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P590" s="342"/>
      <c r="Q590" s="342"/>
      <c r="R590" s="342"/>
      <c r="S590" s="342"/>
      <c r="T590" s="342"/>
      <c r="U590" s="342"/>
      <c r="V590" s="342"/>
      <c r="W590" s="342"/>
      <c r="X590" s="342"/>
      <c r="Y590" s="342"/>
      <c r="Z590" s="342"/>
      <c r="AA590" s="342"/>
      <c r="AB590" s="342"/>
      <c r="AC590" s="342"/>
      <c r="AD590" s="342"/>
      <c r="AE590" s="342"/>
      <c r="AF590" s="342"/>
      <c r="AG590" s="342"/>
      <c r="AH590" s="342"/>
      <c r="AI590" s="342"/>
    </row>
    <row r="591">
      <c r="A591" s="342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P591" s="342"/>
      <c r="Q591" s="342"/>
      <c r="R591" s="342"/>
      <c r="S591" s="342"/>
      <c r="T591" s="342"/>
      <c r="U591" s="342"/>
      <c r="V591" s="342"/>
      <c r="W591" s="342"/>
      <c r="X591" s="342"/>
      <c r="Y591" s="342"/>
      <c r="Z591" s="342"/>
      <c r="AA591" s="342"/>
      <c r="AB591" s="342"/>
      <c r="AC591" s="342"/>
      <c r="AD591" s="342"/>
      <c r="AE591" s="342"/>
      <c r="AF591" s="342"/>
      <c r="AG591" s="342"/>
      <c r="AH591" s="342"/>
      <c r="AI591" s="342"/>
    </row>
    <row r="592">
      <c r="A592" s="342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P592" s="342"/>
      <c r="Q592" s="342"/>
      <c r="R592" s="342"/>
      <c r="S592" s="342"/>
      <c r="T592" s="342"/>
      <c r="U592" s="342"/>
      <c r="V592" s="342"/>
      <c r="W592" s="342"/>
      <c r="X592" s="342"/>
      <c r="Y592" s="342"/>
      <c r="Z592" s="342"/>
      <c r="AA592" s="342"/>
      <c r="AB592" s="342"/>
      <c r="AC592" s="342"/>
      <c r="AD592" s="342"/>
      <c r="AE592" s="342"/>
      <c r="AF592" s="342"/>
      <c r="AG592" s="342"/>
      <c r="AH592" s="342"/>
      <c r="AI592" s="342"/>
    </row>
    <row r="593">
      <c r="A593" s="342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P593" s="342"/>
      <c r="Q593" s="342"/>
      <c r="R593" s="342"/>
      <c r="S593" s="342"/>
      <c r="T593" s="342"/>
      <c r="U593" s="342"/>
      <c r="V593" s="342"/>
      <c r="W593" s="342"/>
      <c r="X593" s="342"/>
      <c r="Y593" s="342"/>
      <c r="Z593" s="342"/>
      <c r="AA593" s="342"/>
      <c r="AB593" s="342"/>
      <c r="AC593" s="342"/>
      <c r="AD593" s="342"/>
      <c r="AE593" s="342"/>
      <c r="AF593" s="342"/>
      <c r="AG593" s="342"/>
      <c r="AH593" s="342"/>
      <c r="AI593" s="342"/>
    </row>
    <row r="594">
      <c r="A594" s="342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P594" s="342"/>
      <c r="Q594" s="342"/>
      <c r="R594" s="342"/>
      <c r="S594" s="342"/>
      <c r="T594" s="342"/>
      <c r="U594" s="342"/>
      <c r="V594" s="342"/>
      <c r="W594" s="342"/>
      <c r="X594" s="342"/>
      <c r="Y594" s="342"/>
      <c r="Z594" s="342"/>
      <c r="AA594" s="342"/>
      <c r="AB594" s="342"/>
      <c r="AC594" s="342"/>
      <c r="AD594" s="342"/>
      <c r="AE594" s="342"/>
      <c r="AF594" s="342"/>
      <c r="AG594" s="342"/>
      <c r="AH594" s="342"/>
      <c r="AI594" s="342"/>
    </row>
    <row r="595">
      <c r="A595" s="342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P595" s="342"/>
      <c r="Q595" s="342"/>
      <c r="R595" s="342"/>
      <c r="S595" s="342"/>
      <c r="T595" s="342"/>
      <c r="U595" s="342"/>
      <c r="V595" s="342"/>
      <c r="W595" s="342"/>
      <c r="X595" s="342"/>
      <c r="Y595" s="342"/>
      <c r="Z595" s="342"/>
      <c r="AA595" s="342"/>
      <c r="AB595" s="342"/>
      <c r="AC595" s="342"/>
      <c r="AD595" s="342"/>
      <c r="AE595" s="342"/>
      <c r="AF595" s="342"/>
      <c r="AG595" s="342"/>
      <c r="AH595" s="342"/>
      <c r="AI595" s="342"/>
    </row>
    <row r="596">
      <c r="A596" s="342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P596" s="342"/>
      <c r="Q596" s="342"/>
      <c r="R596" s="342"/>
      <c r="S596" s="342"/>
      <c r="T596" s="342"/>
      <c r="U596" s="342"/>
      <c r="V596" s="342"/>
      <c r="W596" s="342"/>
      <c r="X596" s="342"/>
      <c r="Y596" s="342"/>
      <c r="Z596" s="342"/>
      <c r="AA596" s="342"/>
      <c r="AB596" s="342"/>
      <c r="AC596" s="342"/>
      <c r="AD596" s="342"/>
      <c r="AE596" s="342"/>
      <c r="AF596" s="342"/>
      <c r="AG596" s="342"/>
      <c r="AH596" s="342"/>
      <c r="AI596" s="342"/>
    </row>
    <row r="597">
      <c r="A597" s="342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P597" s="342"/>
      <c r="Q597" s="342"/>
      <c r="R597" s="342"/>
      <c r="S597" s="342"/>
      <c r="T597" s="342"/>
      <c r="U597" s="342"/>
      <c r="V597" s="342"/>
      <c r="W597" s="342"/>
      <c r="X597" s="342"/>
      <c r="Y597" s="342"/>
      <c r="Z597" s="342"/>
      <c r="AA597" s="342"/>
      <c r="AB597" s="342"/>
      <c r="AC597" s="342"/>
      <c r="AD597" s="342"/>
      <c r="AE597" s="342"/>
      <c r="AF597" s="342"/>
      <c r="AG597" s="342"/>
      <c r="AH597" s="342"/>
      <c r="AI597" s="342"/>
    </row>
    <row r="598">
      <c r="A598" s="342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P598" s="342"/>
      <c r="Q598" s="342"/>
      <c r="R598" s="342"/>
      <c r="S598" s="342"/>
      <c r="T598" s="342"/>
      <c r="U598" s="342"/>
      <c r="V598" s="342"/>
      <c r="W598" s="342"/>
      <c r="X598" s="342"/>
      <c r="Y598" s="342"/>
      <c r="Z598" s="342"/>
      <c r="AA598" s="342"/>
      <c r="AB598" s="342"/>
      <c r="AC598" s="342"/>
      <c r="AD598" s="342"/>
      <c r="AE598" s="342"/>
      <c r="AF598" s="342"/>
      <c r="AG598" s="342"/>
      <c r="AH598" s="342"/>
      <c r="AI598" s="342"/>
    </row>
    <row r="599">
      <c r="A599" s="342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P599" s="342"/>
      <c r="Q599" s="342"/>
      <c r="R599" s="342"/>
      <c r="S599" s="342"/>
      <c r="T599" s="342"/>
      <c r="U599" s="342"/>
      <c r="V599" s="342"/>
      <c r="W599" s="342"/>
      <c r="X599" s="342"/>
      <c r="Y599" s="342"/>
      <c r="Z599" s="342"/>
      <c r="AA599" s="342"/>
      <c r="AB599" s="342"/>
      <c r="AC599" s="342"/>
      <c r="AD599" s="342"/>
      <c r="AE599" s="342"/>
      <c r="AF599" s="342"/>
      <c r="AG599" s="342"/>
      <c r="AH599" s="342"/>
      <c r="AI599" s="342"/>
    </row>
    <row r="600">
      <c r="A600" s="342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  <c r="AA600" s="342"/>
      <c r="AB600" s="342"/>
      <c r="AC600" s="342"/>
      <c r="AD600" s="342"/>
      <c r="AE600" s="342"/>
      <c r="AF600" s="342"/>
      <c r="AG600" s="342"/>
      <c r="AH600" s="342"/>
      <c r="AI600" s="342"/>
    </row>
    <row r="601">
      <c r="A601" s="342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P601" s="342"/>
      <c r="Q601" s="342"/>
      <c r="R601" s="342"/>
      <c r="S601" s="342"/>
      <c r="T601" s="342"/>
      <c r="U601" s="342"/>
      <c r="V601" s="342"/>
      <c r="W601" s="342"/>
      <c r="X601" s="342"/>
      <c r="Y601" s="342"/>
      <c r="Z601" s="342"/>
      <c r="AA601" s="342"/>
      <c r="AB601" s="342"/>
      <c r="AC601" s="342"/>
      <c r="AD601" s="342"/>
      <c r="AE601" s="342"/>
      <c r="AF601" s="342"/>
      <c r="AG601" s="342"/>
      <c r="AH601" s="342"/>
      <c r="AI601" s="342"/>
    </row>
    <row r="602">
      <c r="A602" s="342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P602" s="342"/>
      <c r="Q602" s="342"/>
      <c r="R602" s="342"/>
      <c r="S602" s="342"/>
      <c r="T602" s="342"/>
      <c r="U602" s="342"/>
      <c r="V602" s="342"/>
      <c r="W602" s="342"/>
      <c r="X602" s="342"/>
      <c r="Y602" s="342"/>
      <c r="Z602" s="342"/>
      <c r="AA602" s="342"/>
      <c r="AB602" s="342"/>
      <c r="AC602" s="342"/>
      <c r="AD602" s="342"/>
      <c r="AE602" s="342"/>
      <c r="AF602" s="342"/>
      <c r="AG602" s="342"/>
      <c r="AH602" s="342"/>
      <c r="AI602" s="342"/>
    </row>
    <row r="603">
      <c r="A603" s="342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P603" s="342"/>
      <c r="Q603" s="342"/>
      <c r="R603" s="342"/>
      <c r="S603" s="342"/>
      <c r="T603" s="342"/>
      <c r="U603" s="342"/>
      <c r="V603" s="342"/>
      <c r="W603" s="342"/>
      <c r="X603" s="342"/>
      <c r="Y603" s="342"/>
      <c r="Z603" s="342"/>
      <c r="AA603" s="342"/>
      <c r="AB603" s="342"/>
      <c r="AC603" s="342"/>
      <c r="AD603" s="342"/>
      <c r="AE603" s="342"/>
      <c r="AF603" s="342"/>
      <c r="AG603" s="342"/>
      <c r="AH603" s="342"/>
      <c r="AI603" s="342"/>
    </row>
    <row r="604">
      <c r="A604" s="342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P604" s="342"/>
      <c r="Q604" s="342"/>
      <c r="R604" s="342"/>
      <c r="S604" s="342"/>
      <c r="T604" s="342"/>
      <c r="U604" s="342"/>
      <c r="V604" s="342"/>
      <c r="W604" s="342"/>
      <c r="X604" s="342"/>
      <c r="Y604" s="342"/>
      <c r="Z604" s="342"/>
      <c r="AA604" s="342"/>
      <c r="AB604" s="342"/>
      <c r="AC604" s="342"/>
      <c r="AD604" s="342"/>
      <c r="AE604" s="342"/>
      <c r="AF604" s="342"/>
      <c r="AG604" s="342"/>
      <c r="AH604" s="342"/>
      <c r="AI604" s="342"/>
    </row>
    <row r="605">
      <c r="A605" s="342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P605" s="342"/>
      <c r="Q605" s="342"/>
      <c r="R605" s="342"/>
      <c r="S605" s="342"/>
      <c r="T605" s="342"/>
      <c r="U605" s="342"/>
      <c r="V605" s="342"/>
      <c r="W605" s="342"/>
      <c r="X605" s="342"/>
      <c r="Y605" s="342"/>
      <c r="Z605" s="342"/>
      <c r="AA605" s="342"/>
      <c r="AB605" s="342"/>
      <c r="AC605" s="342"/>
      <c r="AD605" s="342"/>
      <c r="AE605" s="342"/>
      <c r="AF605" s="342"/>
      <c r="AG605" s="342"/>
      <c r="AH605" s="342"/>
      <c r="AI605" s="342"/>
    </row>
    <row r="606">
      <c r="A606" s="342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P606" s="342"/>
      <c r="Q606" s="342"/>
      <c r="R606" s="342"/>
      <c r="S606" s="342"/>
      <c r="T606" s="342"/>
      <c r="U606" s="342"/>
      <c r="V606" s="342"/>
      <c r="W606" s="342"/>
      <c r="X606" s="342"/>
      <c r="Y606" s="342"/>
      <c r="Z606" s="342"/>
      <c r="AA606" s="342"/>
      <c r="AB606" s="342"/>
      <c r="AC606" s="342"/>
      <c r="AD606" s="342"/>
      <c r="AE606" s="342"/>
      <c r="AF606" s="342"/>
      <c r="AG606" s="342"/>
      <c r="AH606" s="342"/>
      <c r="AI606" s="342"/>
    </row>
    <row r="607">
      <c r="A607" s="342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P607" s="342"/>
      <c r="Q607" s="342"/>
      <c r="R607" s="342"/>
      <c r="S607" s="342"/>
      <c r="T607" s="342"/>
      <c r="U607" s="342"/>
      <c r="V607" s="342"/>
      <c r="W607" s="342"/>
      <c r="X607" s="342"/>
      <c r="Y607" s="342"/>
      <c r="Z607" s="342"/>
      <c r="AA607" s="342"/>
      <c r="AB607" s="342"/>
      <c r="AC607" s="342"/>
      <c r="AD607" s="342"/>
      <c r="AE607" s="342"/>
      <c r="AF607" s="342"/>
      <c r="AG607" s="342"/>
      <c r="AH607" s="342"/>
      <c r="AI607" s="342"/>
    </row>
    <row r="608">
      <c r="A608" s="342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P608" s="342"/>
      <c r="Q608" s="342"/>
      <c r="R608" s="342"/>
      <c r="S608" s="342"/>
      <c r="T608" s="342"/>
      <c r="U608" s="342"/>
      <c r="V608" s="342"/>
      <c r="W608" s="342"/>
      <c r="X608" s="342"/>
      <c r="Y608" s="342"/>
      <c r="Z608" s="342"/>
      <c r="AA608" s="342"/>
      <c r="AB608" s="342"/>
      <c r="AC608" s="342"/>
      <c r="AD608" s="342"/>
      <c r="AE608" s="342"/>
      <c r="AF608" s="342"/>
      <c r="AG608" s="342"/>
      <c r="AH608" s="342"/>
      <c r="AI608" s="342"/>
    </row>
    <row r="609">
      <c r="A609" s="342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P609" s="342"/>
      <c r="Q609" s="342"/>
      <c r="R609" s="342"/>
      <c r="S609" s="342"/>
      <c r="T609" s="342"/>
      <c r="U609" s="342"/>
      <c r="V609" s="342"/>
      <c r="W609" s="342"/>
      <c r="X609" s="342"/>
      <c r="Y609" s="342"/>
      <c r="Z609" s="342"/>
      <c r="AA609" s="342"/>
      <c r="AB609" s="342"/>
      <c r="AC609" s="342"/>
      <c r="AD609" s="342"/>
      <c r="AE609" s="342"/>
      <c r="AF609" s="342"/>
      <c r="AG609" s="342"/>
      <c r="AH609" s="342"/>
      <c r="AI609" s="342"/>
    </row>
    <row r="610">
      <c r="A610" s="342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P610" s="342"/>
      <c r="Q610" s="342"/>
      <c r="R610" s="342"/>
      <c r="S610" s="342"/>
      <c r="T610" s="342"/>
      <c r="U610" s="342"/>
      <c r="V610" s="342"/>
      <c r="W610" s="342"/>
      <c r="X610" s="342"/>
      <c r="Y610" s="342"/>
      <c r="Z610" s="342"/>
      <c r="AA610" s="342"/>
      <c r="AB610" s="342"/>
      <c r="AC610" s="342"/>
      <c r="AD610" s="342"/>
      <c r="AE610" s="342"/>
      <c r="AF610" s="342"/>
      <c r="AG610" s="342"/>
      <c r="AH610" s="342"/>
      <c r="AI610" s="342"/>
    </row>
    <row r="611">
      <c r="A611" s="342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P611" s="342"/>
      <c r="Q611" s="342"/>
      <c r="R611" s="342"/>
      <c r="S611" s="342"/>
      <c r="T611" s="342"/>
      <c r="U611" s="342"/>
      <c r="V611" s="342"/>
      <c r="W611" s="342"/>
      <c r="X611" s="342"/>
      <c r="Y611" s="342"/>
      <c r="Z611" s="342"/>
      <c r="AA611" s="342"/>
      <c r="AB611" s="342"/>
      <c r="AC611" s="342"/>
      <c r="AD611" s="342"/>
      <c r="AE611" s="342"/>
      <c r="AF611" s="342"/>
      <c r="AG611" s="342"/>
      <c r="AH611" s="342"/>
      <c r="AI611" s="342"/>
    </row>
    <row r="612">
      <c r="A612" s="342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P612" s="342"/>
      <c r="Q612" s="342"/>
      <c r="R612" s="342"/>
      <c r="S612" s="342"/>
      <c r="T612" s="342"/>
      <c r="U612" s="342"/>
      <c r="V612" s="342"/>
      <c r="W612" s="342"/>
      <c r="X612" s="342"/>
      <c r="Y612" s="342"/>
      <c r="Z612" s="342"/>
      <c r="AA612" s="342"/>
      <c r="AB612" s="342"/>
      <c r="AC612" s="342"/>
      <c r="AD612" s="342"/>
      <c r="AE612" s="342"/>
      <c r="AF612" s="342"/>
      <c r="AG612" s="342"/>
      <c r="AH612" s="342"/>
      <c r="AI612" s="342"/>
    </row>
    <row r="613">
      <c r="A613" s="342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P613" s="342"/>
      <c r="Q613" s="342"/>
      <c r="R613" s="342"/>
      <c r="S613" s="342"/>
      <c r="T613" s="342"/>
      <c r="U613" s="342"/>
      <c r="V613" s="342"/>
      <c r="W613" s="342"/>
      <c r="X613" s="342"/>
      <c r="Y613" s="342"/>
      <c r="Z613" s="342"/>
      <c r="AA613" s="342"/>
      <c r="AB613" s="342"/>
      <c r="AC613" s="342"/>
      <c r="AD613" s="342"/>
      <c r="AE613" s="342"/>
      <c r="AF613" s="342"/>
      <c r="AG613" s="342"/>
      <c r="AH613" s="342"/>
      <c r="AI613" s="342"/>
    </row>
    <row r="614">
      <c r="A614" s="342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P614" s="342"/>
      <c r="Q614" s="342"/>
      <c r="R614" s="342"/>
      <c r="S614" s="342"/>
      <c r="T614" s="342"/>
      <c r="U614" s="342"/>
      <c r="V614" s="342"/>
      <c r="W614" s="342"/>
      <c r="X614" s="342"/>
      <c r="Y614" s="342"/>
      <c r="Z614" s="342"/>
      <c r="AA614" s="342"/>
      <c r="AB614" s="342"/>
      <c r="AC614" s="342"/>
      <c r="AD614" s="342"/>
      <c r="AE614" s="342"/>
      <c r="AF614" s="342"/>
      <c r="AG614" s="342"/>
      <c r="AH614" s="342"/>
      <c r="AI614" s="342"/>
    </row>
    <row r="615">
      <c r="A615" s="342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P615" s="342"/>
      <c r="Q615" s="342"/>
      <c r="R615" s="342"/>
      <c r="S615" s="342"/>
      <c r="T615" s="342"/>
      <c r="U615" s="342"/>
      <c r="V615" s="342"/>
      <c r="W615" s="342"/>
      <c r="X615" s="342"/>
      <c r="Y615" s="342"/>
      <c r="Z615" s="342"/>
      <c r="AA615" s="342"/>
      <c r="AB615" s="342"/>
      <c r="AC615" s="342"/>
      <c r="AD615" s="342"/>
      <c r="AE615" s="342"/>
      <c r="AF615" s="342"/>
      <c r="AG615" s="342"/>
      <c r="AH615" s="342"/>
      <c r="AI615" s="342"/>
    </row>
    <row r="616">
      <c r="A616" s="342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P616" s="342"/>
      <c r="Q616" s="342"/>
      <c r="R616" s="342"/>
      <c r="S616" s="342"/>
      <c r="T616" s="342"/>
      <c r="U616" s="342"/>
      <c r="V616" s="342"/>
      <c r="W616" s="342"/>
      <c r="X616" s="342"/>
      <c r="Y616" s="342"/>
      <c r="Z616" s="342"/>
      <c r="AA616" s="342"/>
      <c r="AB616" s="342"/>
      <c r="AC616" s="342"/>
      <c r="AD616" s="342"/>
      <c r="AE616" s="342"/>
      <c r="AF616" s="342"/>
      <c r="AG616" s="342"/>
      <c r="AH616" s="342"/>
      <c r="AI616" s="342"/>
    </row>
    <row r="617">
      <c r="A617" s="342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P617" s="342"/>
      <c r="Q617" s="342"/>
      <c r="R617" s="342"/>
      <c r="S617" s="342"/>
      <c r="T617" s="342"/>
      <c r="U617" s="342"/>
      <c r="V617" s="342"/>
      <c r="W617" s="342"/>
      <c r="X617" s="342"/>
      <c r="Y617" s="342"/>
      <c r="Z617" s="342"/>
      <c r="AA617" s="342"/>
      <c r="AB617" s="342"/>
      <c r="AC617" s="342"/>
      <c r="AD617" s="342"/>
      <c r="AE617" s="342"/>
      <c r="AF617" s="342"/>
      <c r="AG617" s="342"/>
      <c r="AH617" s="342"/>
      <c r="AI617" s="342"/>
    </row>
    <row r="618">
      <c r="A618" s="342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P618" s="342"/>
      <c r="Q618" s="342"/>
      <c r="R618" s="342"/>
      <c r="S618" s="342"/>
      <c r="T618" s="342"/>
      <c r="U618" s="342"/>
      <c r="V618" s="342"/>
      <c r="W618" s="342"/>
      <c r="X618" s="342"/>
      <c r="Y618" s="342"/>
      <c r="Z618" s="342"/>
      <c r="AA618" s="342"/>
      <c r="AB618" s="342"/>
      <c r="AC618" s="342"/>
      <c r="AD618" s="342"/>
      <c r="AE618" s="342"/>
      <c r="AF618" s="342"/>
      <c r="AG618" s="342"/>
      <c r="AH618" s="342"/>
      <c r="AI618" s="342"/>
    </row>
    <row r="619">
      <c r="A619" s="342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P619" s="342"/>
      <c r="Q619" s="342"/>
      <c r="R619" s="342"/>
      <c r="S619" s="342"/>
      <c r="T619" s="342"/>
      <c r="U619" s="342"/>
      <c r="V619" s="342"/>
      <c r="W619" s="342"/>
      <c r="X619" s="342"/>
      <c r="Y619" s="342"/>
      <c r="Z619" s="342"/>
      <c r="AA619" s="342"/>
      <c r="AB619" s="342"/>
      <c r="AC619" s="342"/>
      <c r="AD619" s="342"/>
      <c r="AE619" s="342"/>
      <c r="AF619" s="342"/>
      <c r="AG619" s="342"/>
      <c r="AH619" s="342"/>
      <c r="AI619" s="342"/>
    </row>
    <row r="620">
      <c r="A620" s="342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P620" s="342"/>
      <c r="Q620" s="342"/>
      <c r="R620" s="342"/>
      <c r="S620" s="342"/>
      <c r="T620" s="342"/>
      <c r="U620" s="342"/>
      <c r="V620" s="342"/>
      <c r="W620" s="342"/>
      <c r="X620" s="342"/>
      <c r="Y620" s="342"/>
      <c r="Z620" s="342"/>
      <c r="AA620" s="342"/>
      <c r="AB620" s="342"/>
      <c r="AC620" s="342"/>
      <c r="AD620" s="342"/>
      <c r="AE620" s="342"/>
      <c r="AF620" s="342"/>
      <c r="AG620" s="342"/>
      <c r="AH620" s="342"/>
      <c r="AI620" s="342"/>
    </row>
    <row r="621">
      <c r="A621" s="342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P621" s="342"/>
      <c r="Q621" s="342"/>
      <c r="R621" s="342"/>
      <c r="S621" s="342"/>
      <c r="T621" s="342"/>
      <c r="U621" s="342"/>
      <c r="V621" s="342"/>
      <c r="W621" s="342"/>
      <c r="X621" s="342"/>
      <c r="Y621" s="342"/>
      <c r="Z621" s="342"/>
      <c r="AA621" s="342"/>
      <c r="AB621" s="342"/>
      <c r="AC621" s="342"/>
      <c r="AD621" s="342"/>
      <c r="AE621" s="342"/>
      <c r="AF621" s="342"/>
      <c r="AG621" s="342"/>
      <c r="AH621" s="342"/>
      <c r="AI621" s="342"/>
    </row>
    <row r="622">
      <c r="A622" s="342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P622" s="342"/>
      <c r="Q622" s="342"/>
      <c r="R622" s="342"/>
      <c r="S622" s="342"/>
      <c r="T622" s="342"/>
      <c r="U622" s="342"/>
      <c r="V622" s="342"/>
      <c r="W622" s="342"/>
      <c r="X622" s="342"/>
      <c r="Y622" s="342"/>
      <c r="Z622" s="342"/>
      <c r="AA622" s="342"/>
      <c r="AB622" s="342"/>
      <c r="AC622" s="342"/>
      <c r="AD622" s="342"/>
      <c r="AE622" s="342"/>
      <c r="AF622" s="342"/>
      <c r="AG622" s="342"/>
      <c r="AH622" s="342"/>
      <c r="AI622" s="342"/>
    </row>
    <row r="623">
      <c r="A623" s="342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P623" s="342"/>
      <c r="Q623" s="342"/>
      <c r="R623" s="342"/>
      <c r="S623" s="342"/>
      <c r="T623" s="342"/>
      <c r="U623" s="342"/>
      <c r="V623" s="342"/>
      <c r="W623" s="342"/>
      <c r="X623" s="342"/>
      <c r="Y623" s="342"/>
      <c r="Z623" s="342"/>
      <c r="AA623" s="342"/>
      <c r="AB623" s="342"/>
      <c r="AC623" s="342"/>
      <c r="AD623" s="342"/>
      <c r="AE623" s="342"/>
      <c r="AF623" s="342"/>
      <c r="AG623" s="342"/>
      <c r="AH623" s="342"/>
      <c r="AI623" s="342"/>
    </row>
    <row r="624">
      <c r="A624" s="342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P624" s="342"/>
      <c r="Q624" s="342"/>
      <c r="R624" s="342"/>
      <c r="S624" s="342"/>
      <c r="T624" s="342"/>
      <c r="U624" s="342"/>
      <c r="V624" s="342"/>
      <c r="W624" s="342"/>
      <c r="X624" s="342"/>
      <c r="Y624" s="342"/>
      <c r="Z624" s="342"/>
      <c r="AA624" s="342"/>
      <c r="AB624" s="342"/>
      <c r="AC624" s="342"/>
      <c r="AD624" s="342"/>
      <c r="AE624" s="342"/>
      <c r="AF624" s="342"/>
      <c r="AG624" s="342"/>
      <c r="AH624" s="342"/>
      <c r="AI624" s="342"/>
    </row>
    <row r="625">
      <c r="A625" s="342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P625" s="342"/>
      <c r="Q625" s="342"/>
      <c r="R625" s="342"/>
      <c r="S625" s="342"/>
      <c r="T625" s="342"/>
      <c r="U625" s="342"/>
      <c r="V625" s="342"/>
      <c r="W625" s="342"/>
      <c r="X625" s="342"/>
      <c r="Y625" s="342"/>
      <c r="Z625" s="342"/>
      <c r="AA625" s="342"/>
      <c r="AB625" s="342"/>
      <c r="AC625" s="342"/>
      <c r="AD625" s="342"/>
      <c r="AE625" s="342"/>
      <c r="AF625" s="342"/>
      <c r="AG625" s="342"/>
      <c r="AH625" s="342"/>
      <c r="AI625" s="342"/>
    </row>
    <row r="626">
      <c r="A626" s="342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P626" s="342"/>
      <c r="Q626" s="342"/>
      <c r="R626" s="342"/>
      <c r="S626" s="342"/>
      <c r="T626" s="342"/>
      <c r="U626" s="342"/>
      <c r="V626" s="342"/>
      <c r="W626" s="342"/>
      <c r="X626" s="342"/>
      <c r="Y626" s="342"/>
      <c r="Z626" s="342"/>
      <c r="AA626" s="342"/>
      <c r="AB626" s="342"/>
      <c r="AC626" s="342"/>
      <c r="AD626" s="342"/>
      <c r="AE626" s="342"/>
      <c r="AF626" s="342"/>
      <c r="AG626" s="342"/>
      <c r="AH626" s="342"/>
      <c r="AI626" s="342"/>
    </row>
    <row r="627">
      <c r="A627" s="342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P627" s="342"/>
      <c r="Q627" s="342"/>
      <c r="R627" s="342"/>
      <c r="S627" s="342"/>
      <c r="T627" s="342"/>
      <c r="U627" s="342"/>
      <c r="V627" s="342"/>
      <c r="W627" s="342"/>
      <c r="X627" s="342"/>
      <c r="Y627" s="342"/>
      <c r="Z627" s="342"/>
      <c r="AA627" s="342"/>
      <c r="AB627" s="342"/>
      <c r="AC627" s="342"/>
      <c r="AD627" s="342"/>
      <c r="AE627" s="342"/>
      <c r="AF627" s="342"/>
      <c r="AG627" s="342"/>
      <c r="AH627" s="342"/>
      <c r="AI627" s="342"/>
    </row>
    <row r="628">
      <c r="A628" s="342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P628" s="342"/>
      <c r="Q628" s="342"/>
      <c r="R628" s="342"/>
      <c r="S628" s="342"/>
      <c r="T628" s="342"/>
      <c r="U628" s="342"/>
      <c r="V628" s="342"/>
      <c r="W628" s="342"/>
      <c r="X628" s="342"/>
      <c r="Y628" s="342"/>
      <c r="Z628" s="342"/>
      <c r="AA628" s="342"/>
      <c r="AB628" s="342"/>
      <c r="AC628" s="342"/>
      <c r="AD628" s="342"/>
      <c r="AE628" s="342"/>
      <c r="AF628" s="342"/>
      <c r="AG628" s="342"/>
      <c r="AH628" s="342"/>
      <c r="AI628" s="342"/>
    </row>
    <row r="629">
      <c r="A629" s="342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P629" s="342"/>
      <c r="Q629" s="342"/>
      <c r="R629" s="342"/>
      <c r="S629" s="342"/>
      <c r="T629" s="342"/>
      <c r="U629" s="342"/>
      <c r="V629" s="342"/>
      <c r="W629" s="342"/>
      <c r="X629" s="342"/>
      <c r="Y629" s="342"/>
      <c r="Z629" s="342"/>
      <c r="AA629" s="342"/>
      <c r="AB629" s="342"/>
      <c r="AC629" s="342"/>
      <c r="AD629" s="342"/>
      <c r="AE629" s="342"/>
      <c r="AF629" s="342"/>
      <c r="AG629" s="342"/>
      <c r="AH629" s="342"/>
      <c r="AI629" s="342"/>
    </row>
    <row r="630">
      <c r="A630" s="342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P630" s="342"/>
      <c r="Q630" s="342"/>
      <c r="R630" s="342"/>
      <c r="S630" s="342"/>
      <c r="T630" s="342"/>
      <c r="U630" s="342"/>
      <c r="V630" s="342"/>
      <c r="W630" s="342"/>
      <c r="X630" s="342"/>
      <c r="Y630" s="342"/>
      <c r="Z630" s="342"/>
      <c r="AA630" s="342"/>
      <c r="AB630" s="342"/>
      <c r="AC630" s="342"/>
      <c r="AD630" s="342"/>
      <c r="AE630" s="342"/>
      <c r="AF630" s="342"/>
      <c r="AG630" s="342"/>
      <c r="AH630" s="342"/>
      <c r="AI630" s="342"/>
    </row>
    <row r="631">
      <c r="A631" s="342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P631" s="342"/>
      <c r="Q631" s="342"/>
      <c r="R631" s="342"/>
      <c r="S631" s="342"/>
      <c r="T631" s="342"/>
      <c r="U631" s="342"/>
      <c r="V631" s="342"/>
      <c r="W631" s="342"/>
      <c r="X631" s="342"/>
      <c r="Y631" s="342"/>
      <c r="Z631" s="342"/>
      <c r="AA631" s="342"/>
      <c r="AB631" s="342"/>
      <c r="AC631" s="342"/>
      <c r="AD631" s="342"/>
      <c r="AE631" s="342"/>
      <c r="AF631" s="342"/>
      <c r="AG631" s="342"/>
      <c r="AH631" s="342"/>
      <c r="AI631" s="342"/>
    </row>
    <row r="632">
      <c r="A632" s="342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P632" s="342"/>
      <c r="Q632" s="342"/>
      <c r="R632" s="342"/>
      <c r="S632" s="342"/>
      <c r="T632" s="342"/>
      <c r="U632" s="342"/>
      <c r="V632" s="342"/>
      <c r="W632" s="342"/>
      <c r="X632" s="342"/>
      <c r="Y632" s="342"/>
      <c r="Z632" s="342"/>
      <c r="AA632" s="342"/>
      <c r="AB632" s="342"/>
      <c r="AC632" s="342"/>
      <c r="AD632" s="342"/>
      <c r="AE632" s="342"/>
      <c r="AF632" s="342"/>
      <c r="AG632" s="342"/>
      <c r="AH632" s="342"/>
      <c r="AI632" s="342"/>
    </row>
    <row r="633">
      <c r="A633" s="342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P633" s="342"/>
      <c r="Q633" s="342"/>
      <c r="R633" s="342"/>
      <c r="S633" s="342"/>
      <c r="T633" s="342"/>
      <c r="U633" s="342"/>
      <c r="V633" s="342"/>
      <c r="W633" s="342"/>
      <c r="X633" s="342"/>
      <c r="Y633" s="342"/>
      <c r="Z633" s="342"/>
      <c r="AA633" s="342"/>
      <c r="AB633" s="342"/>
      <c r="AC633" s="342"/>
      <c r="AD633" s="342"/>
      <c r="AE633" s="342"/>
      <c r="AF633" s="342"/>
      <c r="AG633" s="342"/>
      <c r="AH633" s="342"/>
      <c r="AI633" s="342"/>
    </row>
    <row r="634">
      <c r="A634" s="342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P634" s="342"/>
      <c r="Q634" s="342"/>
      <c r="R634" s="342"/>
      <c r="S634" s="342"/>
      <c r="T634" s="342"/>
      <c r="U634" s="342"/>
      <c r="V634" s="342"/>
      <c r="W634" s="342"/>
      <c r="X634" s="342"/>
      <c r="Y634" s="342"/>
      <c r="Z634" s="342"/>
      <c r="AA634" s="342"/>
      <c r="AB634" s="342"/>
      <c r="AC634" s="342"/>
      <c r="AD634" s="342"/>
      <c r="AE634" s="342"/>
      <c r="AF634" s="342"/>
      <c r="AG634" s="342"/>
      <c r="AH634" s="342"/>
      <c r="AI634" s="342"/>
    </row>
    <row r="635">
      <c r="A635" s="342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P635" s="342"/>
      <c r="Q635" s="342"/>
      <c r="R635" s="342"/>
      <c r="S635" s="342"/>
      <c r="T635" s="342"/>
      <c r="U635" s="342"/>
      <c r="V635" s="342"/>
      <c r="W635" s="342"/>
      <c r="X635" s="342"/>
      <c r="Y635" s="342"/>
      <c r="Z635" s="342"/>
      <c r="AA635" s="342"/>
      <c r="AB635" s="342"/>
      <c r="AC635" s="342"/>
      <c r="AD635" s="342"/>
      <c r="AE635" s="342"/>
      <c r="AF635" s="342"/>
      <c r="AG635" s="342"/>
      <c r="AH635" s="342"/>
      <c r="AI635" s="342"/>
    </row>
    <row r="636">
      <c r="A636" s="342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P636" s="342"/>
      <c r="Q636" s="342"/>
      <c r="R636" s="342"/>
      <c r="S636" s="342"/>
      <c r="T636" s="342"/>
      <c r="U636" s="342"/>
      <c r="V636" s="342"/>
      <c r="W636" s="342"/>
      <c r="X636" s="342"/>
      <c r="Y636" s="342"/>
      <c r="Z636" s="342"/>
      <c r="AA636" s="342"/>
      <c r="AB636" s="342"/>
      <c r="AC636" s="342"/>
      <c r="AD636" s="342"/>
      <c r="AE636" s="342"/>
      <c r="AF636" s="342"/>
      <c r="AG636" s="342"/>
      <c r="AH636" s="342"/>
      <c r="AI636" s="342"/>
    </row>
    <row r="637">
      <c r="A637" s="342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P637" s="342"/>
      <c r="Q637" s="342"/>
      <c r="R637" s="342"/>
      <c r="S637" s="342"/>
      <c r="T637" s="342"/>
      <c r="U637" s="342"/>
      <c r="V637" s="342"/>
      <c r="W637" s="342"/>
      <c r="X637" s="342"/>
      <c r="Y637" s="342"/>
      <c r="Z637" s="342"/>
      <c r="AA637" s="342"/>
      <c r="AB637" s="342"/>
      <c r="AC637" s="342"/>
      <c r="AD637" s="342"/>
      <c r="AE637" s="342"/>
      <c r="AF637" s="342"/>
      <c r="AG637" s="342"/>
      <c r="AH637" s="342"/>
      <c r="AI637" s="342"/>
    </row>
    <row r="638">
      <c r="A638" s="342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P638" s="342"/>
      <c r="Q638" s="342"/>
      <c r="R638" s="342"/>
      <c r="S638" s="342"/>
      <c r="T638" s="342"/>
      <c r="U638" s="342"/>
      <c r="V638" s="342"/>
      <c r="W638" s="342"/>
      <c r="X638" s="342"/>
      <c r="Y638" s="342"/>
      <c r="Z638" s="342"/>
      <c r="AA638" s="342"/>
      <c r="AB638" s="342"/>
      <c r="AC638" s="342"/>
      <c r="AD638" s="342"/>
      <c r="AE638" s="342"/>
      <c r="AF638" s="342"/>
      <c r="AG638" s="342"/>
      <c r="AH638" s="342"/>
      <c r="AI638" s="342"/>
    </row>
    <row r="639">
      <c r="A639" s="342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P639" s="342"/>
      <c r="Q639" s="342"/>
      <c r="R639" s="342"/>
      <c r="S639" s="342"/>
      <c r="T639" s="342"/>
      <c r="U639" s="342"/>
      <c r="V639" s="342"/>
      <c r="W639" s="342"/>
      <c r="X639" s="342"/>
      <c r="Y639" s="342"/>
      <c r="Z639" s="342"/>
      <c r="AA639" s="342"/>
      <c r="AB639" s="342"/>
      <c r="AC639" s="342"/>
      <c r="AD639" s="342"/>
      <c r="AE639" s="342"/>
      <c r="AF639" s="342"/>
      <c r="AG639" s="342"/>
      <c r="AH639" s="342"/>
      <c r="AI639" s="342"/>
    </row>
    <row r="640">
      <c r="A640" s="342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P640" s="342"/>
      <c r="Q640" s="342"/>
      <c r="R640" s="342"/>
      <c r="S640" s="342"/>
      <c r="T640" s="342"/>
      <c r="U640" s="342"/>
      <c r="V640" s="342"/>
      <c r="W640" s="342"/>
      <c r="X640" s="342"/>
      <c r="Y640" s="342"/>
      <c r="Z640" s="342"/>
      <c r="AA640" s="342"/>
      <c r="AB640" s="342"/>
      <c r="AC640" s="342"/>
      <c r="AD640" s="342"/>
      <c r="AE640" s="342"/>
      <c r="AF640" s="342"/>
      <c r="AG640" s="342"/>
      <c r="AH640" s="342"/>
      <c r="AI640" s="342"/>
    </row>
    <row r="641">
      <c r="A641" s="342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P641" s="342"/>
      <c r="Q641" s="342"/>
      <c r="R641" s="342"/>
      <c r="S641" s="342"/>
      <c r="T641" s="342"/>
      <c r="U641" s="342"/>
      <c r="V641" s="342"/>
      <c r="W641" s="342"/>
      <c r="X641" s="342"/>
      <c r="Y641" s="342"/>
      <c r="Z641" s="342"/>
      <c r="AA641" s="342"/>
      <c r="AB641" s="342"/>
      <c r="AC641" s="342"/>
      <c r="AD641" s="342"/>
      <c r="AE641" s="342"/>
      <c r="AF641" s="342"/>
      <c r="AG641" s="342"/>
      <c r="AH641" s="342"/>
      <c r="AI641" s="342"/>
    </row>
    <row r="642">
      <c r="A642" s="342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P642" s="342"/>
      <c r="Q642" s="342"/>
      <c r="R642" s="342"/>
      <c r="S642" s="342"/>
      <c r="T642" s="342"/>
      <c r="U642" s="342"/>
      <c r="V642" s="342"/>
      <c r="W642" s="342"/>
      <c r="X642" s="342"/>
      <c r="Y642" s="342"/>
      <c r="Z642" s="342"/>
      <c r="AA642" s="342"/>
      <c r="AB642" s="342"/>
      <c r="AC642" s="342"/>
      <c r="AD642" s="342"/>
      <c r="AE642" s="342"/>
      <c r="AF642" s="342"/>
      <c r="AG642" s="342"/>
      <c r="AH642" s="342"/>
      <c r="AI642" s="342"/>
    </row>
    <row r="643">
      <c r="A643" s="342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P643" s="342"/>
      <c r="Q643" s="342"/>
      <c r="R643" s="342"/>
      <c r="S643" s="342"/>
      <c r="T643" s="342"/>
      <c r="U643" s="342"/>
      <c r="V643" s="342"/>
      <c r="W643" s="342"/>
      <c r="X643" s="342"/>
      <c r="Y643" s="342"/>
      <c r="Z643" s="342"/>
      <c r="AA643" s="342"/>
      <c r="AB643" s="342"/>
      <c r="AC643" s="342"/>
      <c r="AD643" s="342"/>
      <c r="AE643" s="342"/>
      <c r="AF643" s="342"/>
      <c r="AG643" s="342"/>
      <c r="AH643" s="342"/>
      <c r="AI643" s="342"/>
    </row>
    <row r="644">
      <c r="A644" s="342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P644" s="342"/>
      <c r="Q644" s="342"/>
      <c r="R644" s="342"/>
      <c r="S644" s="342"/>
      <c r="T644" s="342"/>
      <c r="U644" s="342"/>
      <c r="V644" s="342"/>
      <c r="W644" s="342"/>
      <c r="X644" s="342"/>
      <c r="Y644" s="342"/>
      <c r="Z644" s="342"/>
      <c r="AA644" s="342"/>
      <c r="AB644" s="342"/>
      <c r="AC644" s="342"/>
      <c r="AD644" s="342"/>
      <c r="AE644" s="342"/>
      <c r="AF644" s="342"/>
      <c r="AG644" s="342"/>
      <c r="AH644" s="342"/>
      <c r="AI644" s="342"/>
    </row>
    <row r="645">
      <c r="A645" s="342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P645" s="342"/>
      <c r="Q645" s="342"/>
      <c r="R645" s="342"/>
      <c r="S645" s="342"/>
      <c r="T645" s="342"/>
      <c r="U645" s="342"/>
      <c r="V645" s="342"/>
      <c r="W645" s="342"/>
      <c r="X645" s="342"/>
      <c r="Y645" s="342"/>
      <c r="Z645" s="342"/>
      <c r="AA645" s="342"/>
      <c r="AB645" s="342"/>
      <c r="AC645" s="342"/>
      <c r="AD645" s="342"/>
      <c r="AE645" s="342"/>
      <c r="AF645" s="342"/>
      <c r="AG645" s="342"/>
      <c r="AH645" s="342"/>
      <c r="AI645" s="342"/>
    </row>
    <row r="646">
      <c r="A646" s="342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P646" s="342"/>
      <c r="Q646" s="342"/>
      <c r="R646" s="342"/>
      <c r="S646" s="342"/>
      <c r="T646" s="342"/>
      <c r="U646" s="342"/>
      <c r="V646" s="342"/>
      <c r="W646" s="342"/>
      <c r="X646" s="342"/>
      <c r="Y646" s="342"/>
      <c r="Z646" s="342"/>
      <c r="AA646" s="342"/>
      <c r="AB646" s="342"/>
      <c r="AC646" s="342"/>
      <c r="AD646" s="342"/>
      <c r="AE646" s="342"/>
      <c r="AF646" s="342"/>
      <c r="AG646" s="342"/>
      <c r="AH646" s="342"/>
      <c r="AI646" s="342"/>
    </row>
    <row r="647">
      <c r="A647" s="342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P647" s="342"/>
      <c r="Q647" s="342"/>
      <c r="R647" s="342"/>
      <c r="S647" s="342"/>
      <c r="T647" s="342"/>
      <c r="U647" s="342"/>
      <c r="V647" s="342"/>
      <c r="W647" s="342"/>
      <c r="X647" s="342"/>
      <c r="Y647" s="342"/>
      <c r="Z647" s="342"/>
      <c r="AA647" s="342"/>
      <c r="AB647" s="342"/>
      <c r="AC647" s="342"/>
      <c r="AD647" s="342"/>
      <c r="AE647" s="342"/>
      <c r="AF647" s="342"/>
      <c r="AG647" s="342"/>
      <c r="AH647" s="342"/>
      <c r="AI647" s="342"/>
    </row>
    <row r="648">
      <c r="A648" s="342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P648" s="342"/>
      <c r="Q648" s="342"/>
      <c r="R648" s="342"/>
      <c r="S648" s="342"/>
      <c r="T648" s="342"/>
      <c r="U648" s="342"/>
      <c r="V648" s="342"/>
      <c r="W648" s="342"/>
      <c r="X648" s="342"/>
      <c r="Y648" s="342"/>
      <c r="Z648" s="342"/>
      <c r="AA648" s="342"/>
      <c r="AB648" s="342"/>
      <c r="AC648" s="342"/>
      <c r="AD648" s="342"/>
      <c r="AE648" s="342"/>
      <c r="AF648" s="342"/>
      <c r="AG648" s="342"/>
      <c r="AH648" s="342"/>
      <c r="AI648" s="342"/>
    </row>
    <row r="649">
      <c r="A649" s="342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P649" s="342"/>
      <c r="Q649" s="342"/>
      <c r="R649" s="342"/>
      <c r="S649" s="342"/>
      <c r="T649" s="342"/>
      <c r="U649" s="342"/>
      <c r="V649" s="342"/>
      <c r="W649" s="342"/>
      <c r="X649" s="342"/>
      <c r="Y649" s="342"/>
      <c r="Z649" s="342"/>
      <c r="AA649" s="342"/>
      <c r="AB649" s="342"/>
      <c r="AC649" s="342"/>
      <c r="AD649" s="342"/>
      <c r="AE649" s="342"/>
      <c r="AF649" s="342"/>
      <c r="AG649" s="342"/>
      <c r="AH649" s="342"/>
      <c r="AI649" s="342"/>
    </row>
    <row r="650">
      <c r="A650" s="342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P650" s="342"/>
      <c r="Q650" s="342"/>
      <c r="R650" s="342"/>
      <c r="S650" s="342"/>
      <c r="T650" s="342"/>
      <c r="U650" s="342"/>
      <c r="V650" s="342"/>
      <c r="W650" s="342"/>
      <c r="X650" s="342"/>
      <c r="Y650" s="342"/>
      <c r="Z650" s="342"/>
      <c r="AA650" s="342"/>
      <c r="AB650" s="342"/>
      <c r="AC650" s="342"/>
      <c r="AD650" s="342"/>
      <c r="AE650" s="342"/>
      <c r="AF650" s="342"/>
      <c r="AG650" s="342"/>
      <c r="AH650" s="342"/>
      <c r="AI650" s="342"/>
    </row>
    <row r="651">
      <c r="A651" s="342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P651" s="342"/>
      <c r="Q651" s="342"/>
      <c r="R651" s="342"/>
      <c r="S651" s="342"/>
      <c r="T651" s="342"/>
      <c r="U651" s="342"/>
      <c r="V651" s="342"/>
      <c r="W651" s="342"/>
      <c r="X651" s="342"/>
      <c r="Y651" s="342"/>
      <c r="Z651" s="342"/>
      <c r="AA651" s="342"/>
      <c r="AB651" s="342"/>
      <c r="AC651" s="342"/>
      <c r="AD651" s="342"/>
      <c r="AE651" s="342"/>
      <c r="AF651" s="342"/>
      <c r="AG651" s="342"/>
      <c r="AH651" s="342"/>
      <c r="AI651" s="342"/>
    </row>
    <row r="652">
      <c r="A652" s="342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P652" s="342"/>
      <c r="Q652" s="342"/>
      <c r="R652" s="342"/>
      <c r="S652" s="342"/>
      <c r="T652" s="342"/>
      <c r="U652" s="342"/>
      <c r="V652" s="342"/>
      <c r="W652" s="342"/>
      <c r="X652" s="342"/>
      <c r="Y652" s="342"/>
      <c r="Z652" s="342"/>
      <c r="AA652" s="342"/>
      <c r="AB652" s="342"/>
      <c r="AC652" s="342"/>
      <c r="AD652" s="342"/>
      <c r="AE652" s="342"/>
      <c r="AF652" s="342"/>
      <c r="AG652" s="342"/>
      <c r="AH652" s="342"/>
      <c r="AI652" s="342"/>
    </row>
    <row r="653">
      <c r="A653" s="342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P653" s="342"/>
      <c r="Q653" s="342"/>
      <c r="R653" s="342"/>
      <c r="S653" s="342"/>
      <c r="T653" s="342"/>
      <c r="U653" s="342"/>
      <c r="V653" s="342"/>
      <c r="W653" s="342"/>
      <c r="X653" s="342"/>
      <c r="Y653" s="342"/>
      <c r="Z653" s="342"/>
      <c r="AA653" s="342"/>
      <c r="AB653" s="342"/>
      <c r="AC653" s="342"/>
      <c r="AD653" s="342"/>
      <c r="AE653" s="342"/>
      <c r="AF653" s="342"/>
      <c r="AG653" s="342"/>
      <c r="AH653" s="342"/>
      <c r="AI653" s="342"/>
    </row>
    <row r="654">
      <c r="A654" s="342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P654" s="342"/>
      <c r="Q654" s="342"/>
      <c r="R654" s="342"/>
      <c r="S654" s="342"/>
      <c r="T654" s="342"/>
      <c r="U654" s="342"/>
      <c r="V654" s="342"/>
      <c r="W654" s="342"/>
      <c r="X654" s="342"/>
      <c r="Y654" s="342"/>
      <c r="Z654" s="342"/>
      <c r="AA654" s="342"/>
      <c r="AB654" s="342"/>
      <c r="AC654" s="342"/>
      <c r="AD654" s="342"/>
      <c r="AE654" s="342"/>
      <c r="AF654" s="342"/>
      <c r="AG654" s="342"/>
      <c r="AH654" s="342"/>
      <c r="AI654" s="342"/>
    </row>
    <row r="655">
      <c r="A655" s="342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P655" s="342"/>
      <c r="Q655" s="342"/>
      <c r="R655" s="342"/>
      <c r="S655" s="342"/>
      <c r="T655" s="342"/>
      <c r="U655" s="342"/>
      <c r="V655" s="342"/>
      <c r="W655" s="342"/>
      <c r="X655" s="342"/>
      <c r="Y655" s="342"/>
      <c r="Z655" s="342"/>
      <c r="AA655" s="342"/>
      <c r="AB655" s="342"/>
      <c r="AC655" s="342"/>
      <c r="AD655" s="342"/>
      <c r="AE655" s="342"/>
      <c r="AF655" s="342"/>
      <c r="AG655" s="342"/>
      <c r="AH655" s="342"/>
      <c r="AI655" s="342"/>
    </row>
    <row r="656">
      <c r="A656" s="342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P656" s="342"/>
      <c r="Q656" s="342"/>
      <c r="R656" s="342"/>
      <c r="S656" s="342"/>
      <c r="T656" s="342"/>
      <c r="U656" s="342"/>
      <c r="V656" s="342"/>
      <c r="W656" s="342"/>
      <c r="X656" s="342"/>
      <c r="Y656" s="342"/>
      <c r="Z656" s="342"/>
      <c r="AA656" s="342"/>
      <c r="AB656" s="342"/>
      <c r="AC656" s="342"/>
      <c r="AD656" s="342"/>
      <c r="AE656" s="342"/>
      <c r="AF656" s="342"/>
      <c r="AG656" s="342"/>
      <c r="AH656" s="342"/>
      <c r="AI656" s="342"/>
    </row>
    <row r="657">
      <c r="A657" s="342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P657" s="342"/>
      <c r="Q657" s="342"/>
      <c r="R657" s="342"/>
      <c r="S657" s="342"/>
      <c r="T657" s="342"/>
      <c r="U657" s="342"/>
      <c r="V657" s="342"/>
      <c r="W657" s="342"/>
      <c r="X657" s="342"/>
      <c r="Y657" s="342"/>
      <c r="Z657" s="342"/>
      <c r="AA657" s="342"/>
      <c r="AB657" s="342"/>
      <c r="AC657" s="342"/>
      <c r="AD657" s="342"/>
      <c r="AE657" s="342"/>
      <c r="AF657" s="342"/>
      <c r="AG657" s="342"/>
      <c r="AH657" s="342"/>
      <c r="AI657" s="342"/>
    </row>
    <row r="658">
      <c r="A658" s="342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  <c r="AA658" s="342"/>
      <c r="AB658" s="342"/>
      <c r="AC658" s="342"/>
      <c r="AD658" s="342"/>
      <c r="AE658" s="342"/>
      <c r="AF658" s="342"/>
      <c r="AG658" s="342"/>
      <c r="AH658" s="342"/>
      <c r="AI658" s="342"/>
    </row>
    <row r="659">
      <c r="A659" s="342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P659" s="342"/>
      <c r="Q659" s="342"/>
      <c r="R659" s="342"/>
      <c r="S659" s="342"/>
      <c r="T659" s="342"/>
      <c r="U659" s="342"/>
      <c r="V659" s="342"/>
      <c r="W659" s="342"/>
      <c r="X659" s="342"/>
      <c r="Y659" s="342"/>
      <c r="Z659" s="342"/>
      <c r="AA659" s="342"/>
      <c r="AB659" s="342"/>
      <c r="AC659" s="342"/>
      <c r="AD659" s="342"/>
      <c r="AE659" s="342"/>
      <c r="AF659" s="342"/>
      <c r="AG659" s="342"/>
      <c r="AH659" s="342"/>
      <c r="AI659" s="342"/>
    </row>
    <row r="660">
      <c r="A660" s="342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P660" s="342"/>
      <c r="Q660" s="342"/>
      <c r="R660" s="342"/>
      <c r="S660" s="342"/>
      <c r="T660" s="342"/>
      <c r="U660" s="342"/>
      <c r="V660" s="342"/>
      <c r="W660" s="342"/>
      <c r="X660" s="342"/>
      <c r="Y660" s="342"/>
      <c r="Z660" s="342"/>
      <c r="AA660" s="342"/>
      <c r="AB660" s="342"/>
      <c r="AC660" s="342"/>
      <c r="AD660" s="342"/>
      <c r="AE660" s="342"/>
      <c r="AF660" s="342"/>
      <c r="AG660" s="342"/>
      <c r="AH660" s="342"/>
      <c r="AI660" s="342"/>
    </row>
    <row r="661">
      <c r="A661" s="342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P661" s="342"/>
      <c r="Q661" s="342"/>
      <c r="R661" s="342"/>
      <c r="S661" s="342"/>
      <c r="T661" s="342"/>
      <c r="U661" s="342"/>
      <c r="V661" s="342"/>
      <c r="W661" s="342"/>
      <c r="X661" s="342"/>
      <c r="Y661" s="342"/>
      <c r="Z661" s="342"/>
      <c r="AA661" s="342"/>
      <c r="AB661" s="342"/>
      <c r="AC661" s="342"/>
      <c r="AD661" s="342"/>
      <c r="AE661" s="342"/>
      <c r="AF661" s="342"/>
      <c r="AG661" s="342"/>
      <c r="AH661" s="342"/>
      <c r="AI661" s="342"/>
    </row>
    <row r="662">
      <c r="A662" s="342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P662" s="342"/>
      <c r="Q662" s="342"/>
      <c r="R662" s="342"/>
      <c r="S662" s="342"/>
      <c r="T662" s="342"/>
      <c r="U662" s="342"/>
      <c r="V662" s="342"/>
      <c r="W662" s="342"/>
      <c r="X662" s="342"/>
      <c r="Y662" s="342"/>
      <c r="Z662" s="342"/>
      <c r="AA662" s="342"/>
      <c r="AB662" s="342"/>
      <c r="AC662" s="342"/>
      <c r="AD662" s="342"/>
      <c r="AE662" s="342"/>
      <c r="AF662" s="342"/>
      <c r="AG662" s="342"/>
      <c r="AH662" s="342"/>
      <c r="AI662" s="342"/>
    </row>
    <row r="663">
      <c r="A663" s="342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P663" s="342"/>
      <c r="Q663" s="342"/>
      <c r="R663" s="342"/>
      <c r="S663" s="342"/>
      <c r="T663" s="342"/>
      <c r="U663" s="342"/>
      <c r="V663" s="342"/>
      <c r="W663" s="342"/>
      <c r="X663" s="342"/>
      <c r="Y663" s="342"/>
      <c r="Z663" s="342"/>
      <c r="AA663" s="342"/>
      <c r="AB663" s="342"/>
      <c r="AC663" s="342"/>
      <c r="AD663" s="342"/>
      <c r="AE663" s="342"/>
      <c r="AF663" s="342"/>
      <c r="AG663" s="342"/>
      <c r="AH663" s="342"/>
      <c r="AI663" s="342"/>
    </row>
    <row r="664">
      <c r="A664" s="342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P664" s="342"/>
      <c r="Q664" s="342"/>
      <c r="R664" s="342"/>
      <c r="S664" s="342"/>
      <c r="T664" s="342"/>
      <c r="U664" s="342"/>
      <c r="V664" s="342"/>
      <c r="W664" s="342"/>
      <c r="X664" s="342"/>
      <c r="Y664" s="342"/>
      <c r="Z664" s="342"/>
      <c r="AA664" s="342"/>
      <c r="AB664" s="342"/>
      <c r="AC664" s="342"/>
      <c r="AD664" s="342"/>
      <c r="AE664" s="342"/>
      <c r="AF664" s="342"/>
      <c r="AG664" s="342"/>
      <c r="AH664" s="342"/>
      <c r="AI664" s="342"/>
    </row>
    <row r="665">
      <c r="A665" s="342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P665" s="342"/>
      <c r="Q665" s="342"/>
      <c r="R665" s="342"/>
      <c r="S665" s="342"/>
      <c r="T665" s="342"/>
      <c r="U665" s="342"/>
      <c r="V665" s="342"/>
      <c r="W665" s="342"/>
      <c r="X665" s="342"/>
      <c r="Y665" s="342"/>
      <c r="Z665" s="342"/>
      <c r="AA665" s="342"/>
      <c r="AB665" s="342"/>
      <c r="AC665" s="342"/>
      <c r="AD665" s="342"/>
      <c r="AE665" s="342"/>
      <c r="AF665" s="342"/>
      <c r="AG665" s="342"/>
      <c r="AH665" s="342"/>
      <c r="AI665" s="342"/>
    </row>
    <row r="666">
      <c r="A666" s="342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  <c r="AA666" s="342"/>
      <c r="AB666" s="342"/>
      <c r="AC666" s="342"/>
      <c r="AD666" s="342"/>
      <c r="AE666" s="342"/>
      <c r="AF666" s="342"/>
      <c r="AG666" s="342"/>
      <c r="AH666" s="342"/>
      <c r="AI666" s="342"/>
    </row>
    <row r="667">
      <c r="A667" s="342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P667" s="342"/>
      <c r="Q667" s="342"/>
      <c r="R667" s="342"/>
      <c r="S667" s="342"/>
      <c r="T667" s="342"/>
      <c r="U667" s="342"/>
      <c r="V667" s="342"/>
      <c r="W667" s="342"/>
      <c r="X667" s="342"/>
      <c r="Y667" s="342"/>
      <c r="Z667" s="342"/>
      <c r="AA667" s="342"/>
      <c r="AB667" s="342"/>
      <c r="AC667" s="342"/>
      <c r="AD667" s="342"/>
      <c r="AE667" s="342"/>
      <c r="AF667" s="342"/>
      <c r="AG667" s="342"/>
      <c r="AH667" s="342"/>
      <c r="AI667" s="342"/>
    </row>
    <row r="668">
      <c r="A668" s="342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P668" s="342"/>
      <c r="Q668" s="342"/>
      <c r="R668" s="342"/>
      <c r="S668" s="342"/>
      <c r="T668" s="342"/>
      <c r="U668" s="342"/>
      <c r="V668" s="342"/>
      <c r="W668" s="342"/>
      <c r="X668" s="342"/>
      <c r="Y668" s="342"/>
      <c r="Z668" s="342"/>
      <c r="AA668" s="342"/>
      <c r="AB668" s="342"/>
      <c r="AC668" s="342"/>
      <c r="AD668" s="342"/>
      <c r="AE668" s="342"/>
      <c r="AF668" s="342"/>
      <c r="AG668" s="342"/>
      <c r="AH668" s="342"/>
      <c r="AI668" s="342"/>
    </row>
    <row r="669">
      <c r="A669" s="342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P669" s="342"/>
      <c r="Q669" s="342"/>
      <c r="R669" s="342"/>
      <c r="S669" s="342"/>
      <c r="T669" s="342"/>
      <c r="U669" s="342"/>
      <c r="V669" s="342"/>
      <c r="W669" s="342"/>
      <c r="X669" s="342"/>
      <c r="Y669" s="342"/>
      <c r="Z669" s="342"/>
      <c r="AA669" s="342"/>
      <c r="AB669" s="342"/>
      <c r="AC669" s="342"/>
      <c r="AD669" s="342"/>
      <c r="AE669" s="342"/>
      <c r="AF669" s="342"/>
      <c r="AG669" s="342"/>
      <c r="AH669" s="342"/>
      <c r="AI669" s="342"/>
    </row>
    <row r="670">
      <c r="A670" s="342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  <c r="AA670" s="342"/>
      <c r="AB670" s="342"/>
      <c r="AC670" s="342"/>
      <c r="AD670" s="342"/>
      <c r="AE670" s="342"/>
      <c r="AF670" s="342"/>
      <c r="AG670" s="342"/>
      <c r="AH670" s="342"/>
      <c r="AI670" s="342"/>
    </row>
    <row r="671">
      <c r="A671" s="342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P671" s="342"/>
      <c r="Q671" s="342"/>
      <c r="R671" s="342"/>
      <c r="S671" s="342"/>
      <c r="T671" s="342"/>
      <c r="U671" s="342"/>
      <c r="V671" s="342"/>
      <c r="W671" s="342"/>
      <c r="X671" s="342"/>
      <c r="Y671" s="342"/>
      <c r="Z671" s="342"/>
      <c r="AA671" s="342"/>
      <c r="AB671" s="342"/>
      <c r="AC671" s="342"/>
      <c r="AD671" s="342"/>
      <c r="AE671" s="342"/>
      <c r="AF671" s="342"/>
      <c r="AG671" s="342"/>
      <c r="AH671" s="342"/>
      <c r="AI671" s="342"/>
    </row>
    <row r="672">
      <c r="A672" s="342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P672" s="342"/>
      <c r="Q672" s="342"/>
      <c r="R672" s="342"/>
      <c r="S672" s="342"/>
      <c r="T672" s="342"/>
      <c r="U672" s="342"/>
      <c r="V672" s="342"/>
      <c r="W672" s="342"/>
      <c r="X672" s="342"/>
      <c r="Y672" s="342"/>
      <c r="Z672" s="342"/>
      <c r="AA672" s="342"/>
      <c r="AB672" s="342"/>
      <c r="AC672" s="342"/>
      <c r="AD672" s="342"/>
      <c r="AE672" s="342"/>
      <c r="AF672" s="342"/>
      <c r="AG672" s="342"/>
      <c r="AH672" s="342"/>
      <c r="AI672" s="342"/>
    </row>
    <row r="673">
      <c r="A673" s="342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P673" s="342"/>
      <c r="Q673" s="342"/>
      <c r="R673" s="342"/>
      <c r="S673" s="342"/>
      <c r="T673" s="342"/>
      <c r="U673" s="342"/>
      <c r="V673" s="342"/>
      <c r="W673" s="342"/>
      <c r="X673" s="342"/>
      <c r="Y673" s="342"/>
      <c r="Z673" s="342"/>
      <c r="AA673" s="342"/>
      <c r="AB673" s="342"/>
      <c r="AC673" s="342"/>
      <c r="AD673" s="342"/>
      <c r="AE673" s="342"/>
      <c r="AF673" s="342"/>
      <c r="AG673" s="342"/>
      <c r="AH673" s="342"/>
      <c r="AI673" s="342"/>
    </row>
    <row r="674">
      <c r="A674" s="342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  <c r="AA674" s="342"/>
      <c r="AB674" s="342"/>
      <c r="AC674" s="342"/>
      <c r="AD674" s="342"/>
      <c r="AE674" s="342"/>
      <c r="AF674" s="342"/>
      <c r="AG674" s="342"/>
      <c r="AH674" s="342"/>
      <c r="AI674" s="342"/>
    </row>
    <row r="675">
      <c r="A675" s="342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P675" s="342"/>
      <c r="Q675" s="342"/>
      <c r="R675" s="342"/>
      <c r="S675" s="342"/>
      <c r="T675" s="342"/>
      <c r="U675" s="342"/>
      <c r="V675" s="342"/>
      <c r="W675" s="342"/>
      <c r="X675" s="342"/>
      <c r="Y675" s="342"/>
      <c r="Z675" s="342"/>
      <c r="AA675" s="342"/>
      <c r="AB675" s="342"/>
      <c r="AC675" s="342"/>
      <c r="AD675" s="342"/>
      <c r="AE675" s="342"/>
      <c r="AF675" s="342"/>
      <c r="AG675" s="342"/>
      <c r="AH675" s="342"/>
      <c r="AI675" s="342"/>
    </row>
    <row r="676">
      <c r="A676" s="342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P676" s="342"/>
      <c r="Q676" s="342"/>
      <c r="R676" s="342"/>
      <c r="S676" s="342"/>
      <c r="T676" s="342"/>
      <c r="U676" s="342"/>
      <c r="V676" s="342"/>
      <c r="W676" s="342"/>
      <c r="X676" s="342"/>
      <c r="Y676" s="342"/>
      <c r="Z676" s="342"/>
      <c r="AA676" s="342"/>
      <c r="AB676" s="342"/>
      <c r="AC676" s="342"/>
      <c r="AD676" s="342"/>
      <c r="AE676" s="342"/>
      <c r="AF676" s="342"/>
      <c r="AG676" s="342"/>
      <c r="AH676" s="342"/>
      <c r="AI676" s="342"/>
    </row>
    <row r="677">
      <c r="A677" s="342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  <c r="AA677" s="342"/>
      <c r="AB677" s="342"/>
      <c r="AC677" s="342"/>
      <c r="AD677" s="342"/>
      <c r="AE677" s="342"/>
      <c r="AF677" s="342"/>
      <c r="AG677" s="342"/>
      <c r="AH677" s="342"/>
      <c r="AI677" s="342"/>
    </row>
    <row r="678">
      <c r="A678" s="342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P678" s="342"/>
      <c r="Q678" s="342"/>
      <c r="R678" s="342"/>
      <c r="S678" s="342"/>
      <c r="T678" s="342"/>
      <c r="U678" s="342"/>
      <c r="V678" s="342"/>
      <c r="W678" s="342"/>
      <c r="X678" s="342"/>
      <c r="Y678" s="342"/>
      <c r="Z678" s="342"/>
      <c r="AA678" s="342"/>
      <c r="AB678" s="342"/>
      <c r="AC678" s="342"/>
      <c r="AD678" s="342"/>
      <c r="AE678" s="342"/>
      <c r="AF678" s="342"/>
      <c r="AG678" s="342"/>
      <c r="AH678" s="342"/>
      <c r="AI678" s="342"/>
    </row>
    <row r="679">
      <c r="A679" s="342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P679" s="342"/>
      <c r="Q679" s="342"/>
      <c r="R679" s="342"/>
      <c r="S679" s="342"/>
      <c r="T679" s="342"/>
      <c r="U679" s="342"/>
      <c r="V679" s="342"/>
      <c r="W679" s="342"/>
      <c r="X679" s="342"/>
      <c r="Y679" s="342"/>
      <c r="Z679" s="342"/>
      <c r="AA679" s="342"/>
      <c r="AB679" s="342"/>
      <c r="AC679" s="342"/>
      <c r="AD679" s="342"/>
      <c r="AE679" s="342"/>
      <c r="AF679" s="342"/>
      <c r="AG679" s="342"/>
      <c r="AH679" s="342"/>
      <c r="AI679" s="342"/>
    </row>
    <row r="680">
      <c r="A680" s="342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  <c r="AA680" s="342"/>
      <c r="AB680" s="342"/>
      <c r="AC680" s="342"/>
      <c r="AD680" s="342"/>
      <c r="AE680" s="342"/>
      <c r="AF680" s="342"/>
      <c r="AG680" s="342"/>
      <c r="AH680" s="342"/>
      <c r="AI680" s="342"/>
    </row>
    <row r="681">
      <c r="A681" s="342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P681" s="342"/>
      <c r="Q681" s="342"/>
      <c r="R681" s="342"/>
      <c r="S681" s="342"/>
      <c r="T681" s="342"/>
      <c r="U681" s="342"/>
      <c r="V681" s="342"/>
      <c r="W681" s="342"/>
      <c r="X681" s="342"/>
      <c r="Y681" s="342"/>
      <c r="Z681" s="342"/>
      <c r="AA681" s="342"/>
      <c r="AB681" s="342"/>
      <c r="AC681" s="342"/>
      <c r="AD681" s="342"/>
      <c r="AE681" s="342"/>
      <c r="AF681" s="342"/>
      <c r="AG681" s="342"/>
      <c r="AH681" s="342"/>
      <c r="AI681" s="342"/>
    </row>
    <row r="682">
      <c r="A682" s="342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P682" s="342"/>
      <c r="Q682" s="342"/>
      <c r="R682" s="342"/>
      <c r="S682" s="342"/>
      <c r="T682" s="342"/>
      <c r="U682" s="342"/>
      <c r="V682" s="342"/>
      <c r="W682" s="342"/>
      <c r="X682" s="342"/>
      <c r="Y682" s="342"/>
      <c r="Z682" s="342"/>
      <c r="AA682" s="342"/>
      <c r="AB682" s="342"/>
      <c r="AC682" s="342"/>
      <c r="AD682" s="342"/>
      <c r="AE682" s="342"/>
      <c r="AF682" s="342"/>
      <c r="AG682" s="342"/>
      <c r="AH682" s="342"/>
      <c r="AI682" s="342"/>
    </row>
    <row r="683">
      <c r="A683" s="342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  <c r="AA683" s="342"/>
      <c r="AB683" s="342"/>
      <c r="AC683" s="342"/>
      <c r="AD683" s="342"/>
      <c r="AE683" s="342"/>
      <c r="AF683" s="342"/>
      <c r="AG683" s="342"/>
      <c r="AH683" s="342"/>
      <c r="AI683" s="342"/>
    </row>
    <row r="684">
      <c r="A684" s="342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P684" s="342"/>
      <c r="Q684" s="342"/>
      <c r="R684" s="342"/>
      <c r="S684" s="342"/>
      <c r="T684" s="342"/>
      <c r="U684" s="342"/>
      <c r="V684" s="342"/>
      <c r="W684" s="342"/>
      <c r="X684" s="342"/>
      <c r="Y684" s="342"/>
      <c r="Z684" s="342"/>
      <c r="AA684" s="342"/>
      <c r="AB684" s="342"/>
      <c r="AC684" s="342"/>
      <c r="AD684" s="342"/>
      <c r="AE684" s="342"/>
      <c r="AF684" s="342"/>
      <c r="AG684" s="342"/>
      <c r="AH684" s="342"/>
      <c r="AI684" s="342"/>
    </row>
    <row r="685">
      <c r="A685" s="342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P685" s="342"/>
      <c r="Q685" s="342"/>
      <c r="R685" s="342"/>
      <c r="S685" s="342"/>
      <c r="T685" s="342"/>
      <c r="U685" s="342"/>
      <c r="V685" s="342"/>
      <c r="W685" s="342"/>
      <c r="X685" s="342"/>
      <c r="Y685" s="342"/>
      <c r="Z685" s="342"/>
      <c r="AA685" s="342"/>
      <c r="AB685" s="342"/>
      <c r="AC685" s="342"/>
      <c r="AD685" s="342"/>
      <c r="AE685" s="342"/>
      <c r="AF685" s="342"/>
      <c r="AG685" s="342"/>
      <c r="AH685" s="342"/>
      <c r="AI685" s="342"/>
    </row>
    <row r="686">
      <c r="A686" s="342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  <c r="AA686" s="342"/>
      <c r="AB686" s="342"/>
      <c r="AC686" s="342"/>
      <c r="AD686" s="342"/>
      <c r="AE686" s="342"/>
      <c r="AF686" s="342"/>
      <c r="AG686" s="342"/>
      <c r="AH686" s="342"/>
      <c r="AI686" s="342"/>
    </row>
    <row r="687">
      <c r="A687" s="342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P687" s="342"/>
      <c r="Q687" s="342"/>
      <c r="R687" s="342"/>
      <c r="S687" s="342"/>
      <c r="T687" s="342"/>
      <c r="U687" s="342"/>
      <c r="V687" s="342"/>
      <c r="W687" s="342"/>
      <c r="X687" s="342"/>
      <c r="Y687" s="342"/>
      <c r="Z687" s="342"/>
      <c r="AA687" s="342"/>
      <c r="AB687" s="342"/>
      <c r="AC687" s="342"/>
      <c r="AD687" s="342"/>
      <c r="AE687" s="342"/>
      <c r="AF687" s="342"/>
      <c r="AG687" s="342"/>
      <c r="AH687" s="342"/>
      <c r="AI687" s="342"/>
    </row>
    <row r="688">
      <c r="A688" s="342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P688" s="342"/>
      <c r="Q688" s="342"/>
      <c r="R688" s="342"/>
      <c r="S688" s="342"/>
      <c r="T688" s="342"/>
      <c r="U688" s="342"/>
      <c r="V688" s="342"/>
      <c r="W688" s="342"/>
      <c r="X688" s="342"/>
      <c r="Y688" s="342"/>
      <c r="Z688" s="342"/>
      <c r="AA688" s="342"/>
      <c r="AB688" s="342"/>
      <c r="AC688" s="342"/>
      <c r="AD688" s="342"/>
      <c r="AE688" s="342"/>
      <c r="AF688" s="342"/>
      <c r="AG688" s="342"/>
      <c r="AH688" s="342"/>
      <c r="AI688" s="342"/>
    </row>
    <row r="689">
      <c r="A689" s="342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P689" s="342"/>
      <c r="Q689" s="342"/>
      <c r="R689" s="342"/>
      <c r="S689" s="342"/>
      <c r="T689" s="342"/>
      <c r="U689" s="342"/>
      <c r="V689" s="342"/>
      <c r="W689" s="342"/>
      <c r="X689" s="342"/>
      <c r="Y689" s="342"/>
      <c r="Z689" s="342"/>
      <c r="AA689" s="342"/>
      <c r="AB689" s="342"/>
      <c r="AC689" s="342"/>
      <c r="AD689" s="342"/>
      <c r="AE689" s="342"/>
      <c r="AF689" s="342"/>
      <c r="AG689" s="342"/>
      <c r="AH689" s="342"/>
      <c r="AI689" s="342"/>
    </row>
    <row r="690">
      <c r="A690" s="342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P690" s="342"/>
      <c r="Q690" s="342"/>
      <c r="R690" s="342"/>
      <c r="S690" s="342"/>
      <c r="T690" s="342"/>
      <c r="U690" s="342"/>
      <c r="V690" s="342"/>
      <c r="W690" s="342"/>
      <c r="X690" s="342"/>
      <c r="Y690" s="342"/>
      <c r="Z690" s="342"/>
      <c r="AA690" s="342"/>
      <c r="AB690" s="342"/>
      <c r="AC690" s="342"/>
      <c r="AD690" s="342"/>
      <c r="AE690" s="342"/>
      <c r="AF690" s="342"/>
      <c r="AG690" s="342"/>
      <c r="AH690" s="342"/>
      <c r="AI690" s="342"/>
    </row>
    <row r="691">
      <c r="A691" s="342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P691" s="342"/>
      <c r="Q691" s="342"/>
      <c r="R691" s="342"/>
      <c r="S691" s="342"/>
      <c r="T691" s="342"/>
      <c r="U691" s="342"/>
      <c r="V691" s="342"/>
      <c r="W691" s="342"/>
      <c r="X691" s="342"/>
      <c r="Y691" s="342"/>
      <c r="Z691" s="342"/>
      <c r="AA691" s="342"/>
      <c r="AB691" s="342"/>
      <c r="AC691" s="342"/>
      <c r="AD691" s="342"/>
      <c r="AE691" s="342"/>
      <c r="AF691" s="342"/>
      <c r="AG691" s="342"/>
      <c r="AH691" s="342"/>
      <c r="AI691" s="342"/>
    </row>
    <row r="692">
      <c r="A692" s="342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P692" s="342"/>
      <c r="Q692" s="342"/>
      <c r="R692" s="342"/>
      <c r="S692" s="342"/>
      <c r="T692" s="342"/>
      <c r="U692" s="342"/>
      <c r="V692" s="342"/>
      <c r="W692" s="342"/>
      <c r="X692" s="342"/>
      <c r="Y692" s="342"/>
      <c r="Z692" s="342"/>
      <c r="AA692" s="342"/>
      <c r="AB692" s="342"/>
      <c r="AC692" s="342"/>
      <c r="AD692" s="342"/>
      <c r="AE692" s="342"/>
      <c r="AF692" s="342"/>
      <c r="AG692" s="342"/>
      <c r="AH692" s="342"/>
      <c r="AI692" s="342"/>
    </row>
    <row r="693">
      <c r="A693" s="342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P693" s="342"/>
      <c r="Q693" s="342"/>
      <c r="R693" s="342"/>
      <c r="S693" s="342"/>
      <c r="T693" s="342"/>
      <c r="U693" s="342"/>
      <c r="V693" s="342"/>
      <c r="W693" s="342"/>
      <c r="X693" s="342"/>
      <c r="Y693" s="342"/>
      <c r="Z693" s="342"/>
      <c r="AA693" s="342"/>
      <c r="AB693" s="342"/>
      <c r="AC693" s="342"/>
      <c r="AD693" s="342"/>
      <c r="AE693" s="342"/>
      <c r="AF693" s="342"/>
      <c r="AG693" s="342"/>
      <c r="AH693" s="342"/>
      <c r="AI693" s="342"/>
    </row>
    <row r="694">
      <c r="A694" s="342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P694" s="342"/>
      <c r="Q694" s="342"/>
      <c r="R694" s="342"/>
      <c r="S694" s="342"/>
      <c r="T694" s="342"/>
      <c r="U694" s="342"/>
      <c r="V694" s="342"/>
      <c r="W694" s="342"/>
      <c r="X694" s="342"/>
      <c r="Y694" s="342"/>
      <c r="Z694" s="342"/>
      <c r="AA694" s="342"/>
      <c r="AB694" s="342"/>
      <c r="AC694" s="342"/>
      <c r="AD694" s="342"/>
      <c r="AE694" s="342"/>
      <c r="AF694" s="342"/>
      <c r="AG694" s="342"/>
      <c r="AH694" s="342"/>
      <c r="AI694" s="342"/>
    </row>
    <row r="695">
      <c r="A695" s="342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P695" s="342"/>
      <c r="Q695" s="342"/>
      <c r="R695" s="342"/>
      <c r="S695" s="342"/>
      <c r="T695" s="342"/>
      <c r="U695" s="342"/>
      <c r="V695" s="342"/>
      <c r="W695" s="342"/>
      <c r="X695" s="342"/>
      <c r="Y695" s="342"/>
      <c r="Z695" s="342"/>
      <c r="AA695" s="342"/>
      <c r="AB695" s="342"/>
      <c r="AC695" s="342"/>
      <c r="AD695" s="342"/>
      <c r="AE695" s="342"/>
      <c r="AF695" s="342"/>
      <c r="AG695" s="342"/>
      <c r="AH695" s="342"/>
      <c r="AI695" s="342"/>
    </row>
    <row r="696">
      <c r="A696" s="342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P696" s="342"/>
      <c r="Q696" s="342"/>
      <c r="R696" s="342"/>
      <c r="S696" s="342"/>
      <c r="T696" s="342"/>
      <c r="U696" s="342"/>
      <c r="V696" s="342"/>
      <c r="W696" s="342"/>
      <c r="X696" s="342"/>
      <c r="Y696" s="342"/>
      <c r="Z696" s="342"/>
      <c r="AA696" s="342"/>
      <c r="AB696" s="342"/>
      <c r="AC696" s="342"/>
      <c r="AD696" s="342"/>
      <c r="AE696" s="342"/>
      <c r="AF696" s="342"/>
      <c r="AG696" s="342"/>
      <c r="AH696" s="342"/>
      <c r="AI696" s="342"/>
    </row>
    <row r="697">
      <c r="A697" s="342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P697" s="342"/>
      <c r="Q697" s="342"/>
      <c r="R697" s="342"/>
      <c r="S697" s="342"/>
      <c r="T697" s="342"/>
      <c r="U697" s="342"/>
      <c r="V697" s="342"/>
      <c r="W697" s="342"/>
      <c r="X697" s="342"/>
      <c r="Y697" s="342"/>
      <c r="Z697" s="342"/>
      <c r="AA697" s="342"/>
      <c r="AB697" s="342"/>
      <c r="AC697" s="342"/>
      <c r="AD697" s="342"/>
      <c r="AE697" s="342"/>
      <c r="AF697" s="342"/>
      <c r="AG697" s="342"/>
      <c r="AH697" s="342"/>
      <c r="AI697" s="342"/>
    </row>
    <row r="698">
      <c r="A698" s="342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P698" s="342"/>
      <c r="Q698" s="342"/>
      <c r="R698" s="342"/>
      <c r="S698" s="342"/>
      <c r="T698" s="342"/>
      <c r="U698" s="342"/>
      <c r="V698" s="342"/>
      <c r="W698" s="342"/>
      <c r="X698" s="342"/>
      <c r="Y698" s="342"/>
      <c r="Z698" s="342"/>
      <c r="AA698" s="342"/>
      <c r="AB698" s="342"/>
      <c r="AC698" s="342"/>
      <c r="AD698" s="342"/>
      <c r="AE698" s="342"/>
      <c r="AF698" s="342"/>
      <c r="AG698" s="342"/>
      <c r="AH698" s="342"/>
      <c r="AI698" s="342"/>
    </row>
    <row r="699">
      <c r="A699" s="342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P699" s="342"/>
      <c r="Q699" s="342"/>
      <c r="R699" s="342"/>
      <c r="S699" s="342"/>
      <c r="T699" s="342"/>
      <c r="U699" s="342"/>
      <c r="V699" s="342"/>
      <c r="W699" s="342"/>
      <c r="X699" s="342"/>
      <c r="Y699" s="342"/>
      <c r="Z699" s="342"/>
      <c r="AA699" s="342"/>
      <c r="AB699" s="342"/>
      <c r="AC699" s="342"/>
      <c r="AD699" s="342"/>
      <c r="AE699" s="342"/>
      <c r="AF699" s="342"/>
      <c r="AG699" s="342"/>
      <c r="AH699" s="342"/>
      <c r="AI699" s="342"/>
    </row>
    <row r="700">
      <c r="A700" s="342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P700" s="342"/>
      <c r="Q700" s="342"/>
      <c r="R700" s="342"/>
      <c r="S700" s="342"/>
      <c r="T700" s="342"/>
      <c r="U700" s="342"/>
      <c r="V700" s="342"/>
      <c r="W700" s="342"/>
      <c r="X700" s="342"/>
      <c r="Y700" s="342"/>
      <c r="Z700" s="342"/>
      <c r="AA700" s="342"/>
      <c r="AB700" s="342"/>
      <c r="AC700" s="342"/>
      <c r="AD700" s="342"/>
      <c r="AE700" s="342"/>
      <c r="AF700" s="342"/>
      <c r="AG700" s="342"/>
      <c r="AH700" s="342"/>
      <c r="AI700" s="342"/>
    </row>
    <row r="701">
      <c r="A701" s="342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P701" s="342"/>
      <c r="Q701" s="342"/>
      <c r="R701" s="342"/>
      <c r="S701" s="342"/>
      <c r="T701" s="342"/>
      <c r="U701" s="342"/>
      <c r="V701" s="342"/>
      <c r="W701" s="342"/>
      <c r="X701" s="342"/>
      <c r="Y701" s="342"/>
      <c r="Z701" s="342"/>
      <c r="AA701" s="342"/>
      <c r="AB701" s="342"/>
      <c r="AC701" s="342"/>
      <c r="AD701" s="342"/>
      <c r="AE701" s="342"/>
      <c r="AF701" s="342"/>
      <c r="AG701" s="342"/>
      <c r="AH701" s="342"/>
      <c r="AI701" s="342"/>
    </row>
    <row r="702">
      <c r="A702" s="342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P702" s="342"/>
      <c r="Q702" s="342"/>
      <c r="R702" s="342"/>
      <c r="S702" s="342"/>
      <c r="T702" s="342"/>
      <c r="U702" s="342"/>
      <c r="V702" s="342"/>
      <c r="W702" s="342"/>
      <c r="X702" s="342"/>
      <c r="Y702" s="342"/>
      <c r="Z702" s="342"/>
      <c r="AA702" s="342"/>
      <c r="AB702" s="342"/>
      <c r="AC702" s="342"/>
      <c r="AD702" s="342"/>
      <c r="AE702" s="342"/>
      <c r="AF702" s="342"/>
      <c r="AG702" s="342"/>
      <c r="AH702" s="342"/>
      <c r="AI702" s="342"/>
    </row>
    <row r="703">
      <c r="A703" s="342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P703" s="342"/>
      <c r="Q703" s="342"/>
      <c r="R703" s="342"/>
      <c r="S703" s="342"/>
      <c r="T703" s="342"/>
      <c r="U703" s="342"/>
      <c r="V703" s="342"/>
      <c r="W703" s="342"/>
      <c r="X703" s="342"/>
      <c r="Y703" s="342"/>
      <c r="Z703" s="342"/>
      <c r="AA703" s="342"/>
      <c r="AB703" s="342"/>
      <c r="AC703" s="342"/>
      <c r="AD703" s="342"/>
      <c r="AE703" s="342"/>
      <c r="AF703" s="342"/>
      <c r="AG703" s="342"/>
      <c r="AH703" s="342"/>
      <c r="AI703" s="342"/>
    </row>
    <row r="704">
      <c r="A704" s="342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P704" s="342"/>
      <c r="Q704" s="342"/>
      <c r="R704" s="342"/>
      <c r="S704" s="342"/>
      <c r="T704" s="342"/>
      <c r="U704" s="342"/>
      <c r="V704" s="342"/>
      <c r="W704" s="342"/>
      <c r="X704" s="342"/>
      <c r="Y704" s="342"/>
      <c r="Z704" s="342"/>
      <c r="AA704" s="342"/>
      <c r="AB704" s="342"/>
      <c r="AC704" s="342"/>
      <c r="AD704" s="342"/>
      <c r="AE704" s="342"/>
      <c r="AF704" s="342"/>
      <c r="AG704" s="342"/>
      <c r="AH704" s="342"/>
      <c r="AI704" s="342"/>
    </row>
    <row r="705">
      <c r="A705" s="342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P705" s="342"/>
      <c r="Q705" s="342"/>
      <c r="R705" s="342"/>
      <c r="S705" s="342"/>
      <c r="T705" s="342"/>
      <c r="U705" s="342"/>
      <c r="V705" s="342"/>
      <c r="W705" s="342"/>
      <c r="X705" s="342"/>
      <c r="Y705" s="342"/>
      <c r="Z705" s="342"/>
      <c r="AA705" s="342"/>
      <c r="AB705" s="342"/>
      <c r="AC705" s="342"/>
      <c r="AD705" s="342"/>
      <c r="AE705" s="342"/>
      <c r="AF705" s="342"/>
      <c r="AG705" s="342"/>
      <c r="AH705" s="342"/>
      <c r="AI705" s="342"/>
    </row>
    <row r="706">
      <c r="A706" s="342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P706" s="342"/>
      <c r="Q706" s="342"/>
      <c r="R706" s="342"/>
      <c r="S706" s="342"/>
      <c r="T706" s="342"/>
      <c r="U706" s="342"/>
      <c r="V706" s="342"/>
      <c r="W706" s="342"/>
      <c r="X706" s="342"/>
      <c r="Y706" s="342"/>
      <c r="Z706" s="342"/>
      <c r="AA706" s="342"/>
      <c r="AB706" s="342"/>
      <c r="AC706" s="342"/>
      <c r="AD706" s="342"/>
      <c r="AE706" s="342"/>
      <c r="AF706" s="342"/>
      <c r="AG706" s="342"/>
      <c r="AH706" s="342"/>
      <c r="AI706" s="342"/>
    </row>
    <row r="707">
      <c r="A707" s="342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P707" s="342"/>
      <c r="Q707" s="342"/>
      <c r="R707" s="342"/>
      <c r="S707" s="342"/>
      <c r="T707" s="342"/>
      <c r="U707" s="342"/>
      <c r="V707" s="342"/>
      <c r="W707" s="342"/>
      <c r="X707" s="342"/>
      <c r="Y707" s="342"/>
      <c r="Z707" s="342"/>
      <c r="AA707" s="342"/>
      <c r="AB707" s="342"/>
      <c r="AC707" s="342"/>
      <c r="AD707" s="342"/>
      <c r="AE707" s="342"/>
      <c r="AF707" s="342"/>
      <c r="AG707" s="342"/>
      <c r="AH707" s="342"/>
      <c r="AI707" s="342"/>
    </row>
    <row r="708">
      <c r="A708" s="342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P708" s="342"/>
      <c r="Q708" s="342"/>
      <c r="R708" s="342"/>
      <c r="S708" s="342"/>
      <c r="T708" s="342"/>
      <c r="U708" s="342"/>
      <c r="V708" s="342"/>
      <c r="W708" s="342"/>
      <c r="X708" s="342"/>
      <c r="Y708" s="342"/>
      <c r="Z708" s="342"/>
      <c r="AA708" s="342"/>
      <c r="AB708" s="342"/>
      <c r="AC708" s="342"/>
      <c r="AD708" s="342"/>
      <c r="AE708" s="342"/>
      <c r="AF708" s="342"/>
      <c r="AG708" s="342"/>
      <c r="AH708" s="342"/>
      <c r="AI708" s="342"/>
    </row>
    <row r="709">
      <c r="A709" s="342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P709" s="342"/>
      <c r="Q709" s="342"/>
      <c r="R709" s="342"/>
      <c r="S709" s="342"/>
      <c r="T709" s="342"/>
      <c r="U709" s="342"/>
      <c r="V709" s="342"/>
      <c r="W709" s="342"/>
      <c r="X709" s="342"/>
      <c r="Y709" s="342"/>
      <c r="Z709" s="342"/>
      <c r="AA709" s="342"/>
      <c r="AB709" s="342"/>
      <c r="AC709" s="342"/>
      <c r="AD709" s="342"/>
      <c r="AE709" s="342"/>
      <c r="AF709" s="342"/>
      <c r="AG709" s="342"/>
      <c r="AH709" s="342"/>
      <c r="AI709" s="342"/>
    </row>
    <row r="710">
      <c r="A710" s="342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P710" s="342"/>
      <c r="Q710" s="342"/>
      <c r="R710" s="342"/>
      <c r="S710" s="342"/>
      <c r="T710" s="342"/>
      <c r="U710" s="342"/>
      <c r="V710" s="342"/>
      <c r="W710" s="342"/>
      <c r="X710" s="342"/>
      <c r="Y710" s="342"/>
      <c r="Z710" s="342"/>
      <c r="AA710" s="342"/>
      <c r="AB710" s="342"/>
      <c r="AC710" s="342"/>
      <c r="AD710" s="342"/>
      <c r="AE710" s="342"/>
      <c r="AF710" s="342"/>
      <c r="AG710" s="342"/>
      <c r="AH710" s="342"/>
      <c r="AI710" s="342"/>
    </row>
    <row r="711">
      <c r="A711" s="342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P711" s="342"/>
      <c r="Q711" s="342"/>
      <c r="R711" s="342"/>
      <c r="S711" s="342"/>
      <c r="T711" s="342"/>
      <c r="U711" s="342"/>
      <c r="V711" s="342"/>
      <c r="W711" s="342"/>
      <c r="X711" s="342"/>
      <c r="Y711" s="342"/>
      <c r="Z711" s="342"/>
      <c r="AA711" s="342"/>
      <c r="AB711" s="342"/>
      <c r="AC711" s="342"/>
      <c r="AD711" s="342"/>
      <c r="AE711" s="342"/>
      <c r="AF711" s="342"/>
      <c r="AG711" s="342"/>
      <c r="AH711" s="342"/>
      <c r="AI711" s="342"/>
    </row>
    <row r="712">
      <c r="A712" s="342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P712" s="342"/>
      <c r="Q712" s="342"/>
      <c r="R712" s="342"/>
      <c r="S712" s="342"/>
      <c r="T712" s="342"/>
      <c r="U712" s="342"/>
      <c r="V712" s="342"/>
      <c r="W712" s="342"/>
      <c r="X712" s="342"/>
      <c r="Y712" s="342"/>
      <c r="Z712" s="342"/>
      <c r="AA712" s="342"/>
      <c r="AB712" s="342"/>
      <c r="AC712" s="342"/>
      <c r="AD712" s="342"/>
      <c r="AE712" s="342"/>
      <c r="AF712" s="342"/>
      <c r="AG712" s="342"/>
      <c r="AH712" s="342"/>
      <c r="AI712" s="342"/>
    </row>
    <row r="713">
      <c r="A713" s="342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P713" s="342"/>
      <c r="Q713" s="342"/>
      <c r="R713" s="342"/>
      <c r="S713" s="342"/>
      <c r="T713" s="342"/>
      <c r="U713" s="342"/>
      <c r="V713" s="342"/>
      <c r="W713" s="342"/>
      <c r="X713" s="342"/>
      <c r="Y713" s="342"/>
      <c r="Z713" s="342"/>
      <c r="AA713" s="342"/>
      <c r="AB713" s="342"/>
      <c r="AC713" s="342"/>
      <c r="AD713" s="342"/>
      <c r="AE713" s="342"/>
      <c r="AF713" s="342"/>
      <c r="AG713" s="342"/>
      <c r="AH713" s="342"/>
      <c r="AI713" s="342"/>
    </row>
    <row r="714">
      <c r="A714" s="342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P714" s="342"/>
      <c r="Q714" s="342"/>
      <c r="R714" s="342"/>
      <c r="S714" s="342"/>
      <c r="T714" s="342"/>
      <c r="U714" s="342"/>
      <c r="V714" s="342"/>
      <c r="W714" s="342"/>
      <c r="X714" s="342"/>
      <c r="Y714" s="342"/>
      <c r="Z714" s="342"/>
      <c r="AA714" s="342"/>
      <c r="AB714" s="342"/>
      <c r="AC714" s="342"/>
      <c r="AD714" s="342"/>
      <c r="AE714" s="342"/>
      <c r="AF714" s="342"/>
      <c r="AG714" s="342"/>
      <c r="AH714" s="342"/>
      <c r="AI714" s="342"/>
    </row>
    <row r="715">
      <c r="A715" s="342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P715" s="342"/>
      <c r="Q715" s="342"/>
      <c r="R715" s="342"/>
      <c r="S715" s="342"/>
      <c r="T715" s="342"/>
      <c r="U715" s="342"/>
      <c r="V715" s="342"/>
      <c r="W715" s="342"/>
      <c r="X715" s="342"/>
      <c r="Y715" s="342"/>
      <c r="Z715" s="342"/>
      <c r="AA715" s="342"/>
      <c r="AB715" s="342"/>
      <c r="AC715" s="342"/>
      <c r="AD715" s="342"/>
      <c r="AE715" s="342"/>
      <c r="AF715" s="342"/>
      <c r="AG715" s="342"/>
      <c r="AH715" s="342"/>
      <c r="AI715" s="342"/>
    </row>
    <row r="716">
      <c r="A716" s="342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P716" s="342"/>
      <c r="Q716" s="342"/>
      <c r="R716" s="342"/>
      <c r="S716" s="342"/>
      <c r="T716" s="342"/>
      <c r="U716" s="342"/>
      <c r="V716" s="342"/>
      <c r="W716" s="342"/>
      <c r="X716" s="342"/>
      <c r="Y716" s="342"/>
      <c r="Z716" s="342"/>
      <c r="AA716" s="342"/>
      <c r="AB716" s="342"/>
      <c r="AC716" s="342"/>
      <c r="AD716" s="342"/>
      <c r="AE716" s="342"/>
      <c r="AF716" s="342"/>
      <c r="AG716" s="342"/>
      <c r="AH716" s="342"/>
      <c r="AI716" s="342"/>
    </row>
    <row r="717">
      <c r="A717" s="342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P717" s="342"/>
      <c r="Q717" s="342"/>
      <c r="R717" s="342"/>
      <c r="S717" s="342"/>
      <c r="T717" s="342"/>
      <c r="U717" s="342"/>
      <c r="V717" s="342"/>
      <c r="W717" s="342"/>
      <c r="X717" s="342"/>
      <c r="Y717" s="342"/>
      <c r="Z717" s="342"/>
      <c r="AA717" s="342"/>
      <c r="AB717" s="342"/>
      <c r="AC717" s="342"/>
      <c r="AD717" s="342"/>
      <c r="AE717" s="342"/>
      <c r="AF717" s="342"/>
      <c r="AG717" s="342"/>
      <c r="AH717" s="342"/>
      <c r="AI717" s="342"/>
    </row>
    <row r="718">
      <c r="A718" s="342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342"/>
      <c r="T718" s="342"/>
      <c r="U718" s="342"/>
      <c r="V718" s="342"/>
      <c r="W718" s="342"/>
      <c r="X718" s="342"/>
      <c r="Y718" s="342"/>
      <c r="Z718" s="342"/>
      <c r="AA718" s="342"/>
      <c r="AB718" s="342"/>
      <c r="AC718" s="342"/>
      <c r="AD718" s="342"/>
      <c r="AE718" s="342"/>
      <c r="AF718" s="342"/>
      <c r="AG718" s="342"/>
      <c r="AH718" s="342"/>
      <c r="AI718" s="342"/>
    </row>
    <row r="719">
      <c r="A719" s="342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342"/>
      <c r="T719" s="342"/>
      <c r="U719" s="342"/>
      <c r="V719" s="342"/>
      <c r="W719" s="342"/>
      <c r="X719" s="342"/>
      <c r="Y719" s="342"/>
      <c r="Z719" s="342"/>
      <c r="AA719" s="342"/>
      <c r="AB719" s="342"/>
      <c r="AC719" s="342"/>
      <c r="AD719" s="342"/>
      <c r="AE719" s="342"/>
      <c r="AF719" s="342"/>
      <c r="AG719" s="342"/>
      <c r="AH719" s="342"/>
      <c r="AI719" s="342"/>
    </row>
    <row r="720">
      <c r="A720" s="342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342"/>
      <c r="T720" s="342"/>
      <c r="U720" s="342"/>
      <c r="V720" s="342"/>
      <c r="W720" s="342"/>
      <c r="X720" s="342"/>
      <c r="Y720" s="342"/>
      <c r="Z720" s="342"/>
      <c r="AA720" s="342"/>
      <c r="AB720" s="342"/>
      <c r="AC720" s="342"/>
      <c r="AD720" s="342"/>
      <c r="AE720" s="342"/>
      <c r="AF720" s="342"/>
      <c r="AG720" s="342"/>
      <c r="AH720" s="342"/>
      <c r="AI720" s="342"/>
    </row>
    <row r="721">
      <c r="A721" s="342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342"/>
      <c r="T721" s="342"/>
      <c r="U721" s="342"/>
      <c r="V721" s="342"/>
      <c r="W721" s="342"/>
      <c r="X721" s="342"/>
      <c r="Y721" s="342"/>
      <c r="Z721" s="342"/>
      <c r="AA721" s="342"/>
      <c r="AB721" s="342"/>
      <c r="AC721" s="342"/>
      <c r="AD721" s="342"/>
      <c r="AE721" s="342"/>
      <c r="AF721" s="342"/>
      <c r="AG721" s="342"/>
      <c r="AH721" s="342"/>
      <c r="AI721" s="342"/>
    </row>
    <row r="722">
      <c r="A722" s="342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P722" s="342"/>
      <c r="Q722" s="342"/>
      <c r="R722" s="342"/>
      <c r="S722" s="342"/>
      <c r="T722" s="342"/>
      <c r="U722" s="342"/>
      <c r="V722" s="342"/>
      <c r="W722" s="342"/>
      <c r="X722" s="342"/>
      <c r="Y722" s="342"/>
      <c r="Z722" s="342"/>
      <c r="AA722" s="342"/>
      <c r="AB722" s="342"/>
      <c r="AC722" s="342"/>
      <c r="AD722" s="342"/>
      <c r="AE722" s="342"/>
      <c r="AF722" s="342"/>
      <c r="AG722" s="342"/>
      <c r="AH722" s="342"/>
      <c r="AI722" s="342"/>
    </row>
    <row r="723">
      <c r="A723" s="342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42"/>
      <c r="T723" s="342"/>
      <c r="U723" s="342"/>
      <c r="V723" s="342"/>
      <c r="W723" s="342"/>
      <c r="X723" s="342"/>
      <c r="Y723" s="342"/>
      <c r="Z723" s="342"/>
      <c r="AA723" s="342"/>
      <c r="AB723" s="342"/>
      <c r="AC723" s="342"/>
      <c r="AD723" s="342"/>
      <c r="AE723" s="342"/>
      <c r="AF723" s="342"/>
      <c r="AG723" s="342"/>
      <c r="AH723" s="342"/>
      <c r="AI723" s="342"/>
    </row>
    <row r="724">
      <c r="A724" s="342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42"/>
      <c r="T724" s="342"/>
      <c r="U724" s="342"/>
      <c r="V724" s="342"/>
      <c r="W724" s="342"/>
      <c r="X724" s="342"/>
      <c r="Y724" s="342"/>
      <c r="Z724" s="342"/>
      <c r="AA724" s="342"/>
      <c r="AB724" s="342"/>
      <c r="AC724" s="342"/>
      <c r="AD724" s="342"/>
      <c r="AE724" s="342"/>
      <c r="AF724" s="342"/>
      <c r="AG724" s="342"/>
      <c r="AH724" s="342"/>
      <c r="AI724" s="342"/>
    </row>
    <row r="725">
      <c r="A725" s="342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42"/>
      <c r="T725" s="342"/>
      <c r="U725" s="342"/>
      <c r="V725" s="342"/>
      <c r="W725" s="342"/>
      <c r="X725" s="342"/>
      <c r="Y725" s="342"/>
      <c r="Z725" s="342"/>
      <c r="AA725" s="342"/>
      <c r="AB725" s="342"/>
      <c r="AC725" s="342"/>
      <c r="AD725" s="342"/>
      <c r="AE725" s="342"/>
      <c r="AF725" s="342"/>
      <c r="AG725" s="342"/>
      <c r="AH725" s="342"/>
      <c r="AI725" s="342"/>
    </row>
    <row r="726">
      <c r="A726" s="342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42"/>
      <c r="T726" s="342"/>
      <c r="U726" s="342"/>
      <c r="V726" s="342"/>
      <c r="W726" s="342"/>
      <c r="X726" s="342"/>
      <c r="Y726" s="342"/>
      <c r="Z726" s="342"/>
      <c r="AA726" s="342"/>
      <c r="AB726" s="342"/>
      <c r="AC726" s="342"/>
      <c r="AD726" s="342"/>
      <c r="AE726" s="342"/>
      <c r="AF726" s="342"/>
      <c r="AG726" s="342"/>
      <c r="AH726" s="342"/>
      <c r="AI726" s="342"/>
    </row>
    <row r="727">
      <c r="A727" s="342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342"/>
      <c r="T727" s="342"/>
      <c r="U727" s="342"/>
      <c r="V727" s="342"/>
      <c r="W727" s="342"/>
      <c r="X727" s="342"/>
      <c r="Y727" s="342"/>
      <c r="Z727" s="342"/>
      <c r="AA727" s="342"/>
      <c r="AB727" s="342"/>
      <c r="AC727" s="342"/>
      <c r="AD727" s="342"/>
      <c r="AE727" s="342"/>
      <c r="AF727" s="342"/>
      <c r="AG727" s="342"/>
      <c r="AH727" s="342"/>
      <c r="AI727" s="342"/>
    </row>
    <row r="728">
      <c r="A728" s="342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342"/>
      <c r="T728" s="342"/>
      <c r="U728" s="342"/>
      <c r="V728" s="342"/>
      <c r="W728" s="342"/>
      <c r="X728" s="342"/>
      <c r="Y728" s="342"/>
      <c r="Z728" s="342"/>
      <c r="AA728" s="342"/>
      <c r="AB728" s="342"/>
      <c r="AC728" s="342"/>
      <c r="AD728" s="342"/>
      <c r="AE728" s="342"/>
      <c r="AF728" s="342"/>
      <c r="AG728" s="342"/>
      <c r="AH728" s="342"/>
      <c r="AI728" s="342"/>
    </row>
    <row r="729">
      <c r="A729" s="342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342"/>
      <c r="T729" s="342"/>
      <c r="U729" s="342"/>
      <c r="V729" s="342"/>
      <c r="W729" s="342"/>
      <c r="X729" s="342"/>
      <c r="Y729" s="342"/>
      <c r="Z729" s="342"/>
      <c r="AA729" s="342"/>
      <c r="AB729" s="342"/>
      <c r="AC729" s="342"/>
      <c r="AD729" s="342"/>
      <c r="AE729" s="342"/>
      <c r="AF729" s="342"/>
      <c r="AG729" s="342"/>
      <c r="AH729" s="342"/>
      <c r="AI729" s="342"/>
    </row>
    <row r="730">
      <c r="A730" s="342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P730" s="342"/>
      <c r="Q730" s="342"/>
      <c r="R730" s="342"/>
      <c r="S730" s="342"/>
      <c r="T730" s="342"/>
      <c r="U730" s="342"/>
      <c r="V730" s="342"/>
      <c r="W730" s="342"/>
      <c r="X730" s="342"/>
      <c r="Y730" s="342"/>
      <c r="Z730" s="342"/>
      <c r="AA730" s="342"/>
      <c r="AB730" s="342"/>
      <c r="AC730" s="342"/>
      <c r="AD730" s="342"/>
      <c r="AE730" s="342"/>
      <c r="AF730" s="342"/>
      <c r="AG730" s="342"/>
      <c r="AH730" s="342"/>
      <c r="AI730" s="342"/>
    </row>
    <row r="731">
      <c r="A731" s="342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P731" s="342"/>
      <c r="Q731" s="342"/>
      <c r="R731" s="342"/>
      <c r="S731" s="342"/>
      <c r="T731" s="342"/>
      <c r="U731" s="342"/>
      <c r="V731" s="342"/>
      <c r="W731" s="342"/>
      <c r="X731" s="342"/>
      <c r="Y731" s="342"/>
      <c r="Z731" s="342"/>
      <c r="AA731" s="342"/>
      <c r="AB731" s="342"/>
      <c r="AC731" s="342"/>
      <c r="AD731" s="342"/>
      <c r="AE731" s="342"/>
      <c r="AF731" s="342"/>
      <c r="AG731" s="342"/>
      <c r="AH731" s="342"/>
      <c r="AI731" s="342"/>
    </row>
    <row r="732">
      <c r="A732" s="342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  <c r="AA732" s="342"/>
      <c r="AB732" s="342"/>
      <c r="AC732" s="342"/>
      <c r="AD732" s="342"/>
      <c r="AE732" s="342"/>
      <c r="AF732" s="342"/>
      <c r="AG732" s="342"/>
      <c r="AH732" s="342"/>
      <c r="AI732" s="342"/>
    </row>
    <row r="733">
      <c r="A733" s="342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P733" s="342"/>
      <c r="Q733" s="342"/>
      <c r="R733" s="342"/>
      <c r="S733" s="342"/>
      <c r="T733" s="342"/>
      <c r="U733" s="342"/>
      <c r="V733" s="342"/>
      <c r="W733" s="342"/>
      <c r="X733" s="342"/>
      <c r="Y733" s="342"/>
      <c r="Z733" s="342"/>
      <c r="AA733" s="342"/>
      <c r="AB733" s="342"/>
      <c r="AC733" s="342"/>
      <c r="AD733" s="342"/>
      <c r="AE733" s="342"/>
      <c r="AF733" s="342"/>
      <c r="AG733" s="342"/>
      <c r="AH733" s="342"/>
      <c r="AI733" s="342"/>
    </row>
    <row r="734">
      <c r="A734" s="342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P734" s="342"/>
      <c r="Q734" s="342"/>
      <c r="R734" s="342"/>
      <c r="S734" s="342"/>
      <c r="T734" s="342"/>
      <c r="U734" s="342"/>
      <c r="V734" s="342"/>
      <c r="W734" s="342"/>
      <c r="X734" s="342"/>
      <c r="Y734" s="342"/>
      <c r="Z734" s="342"/>
      <c r="AA734" s="342"/>
      <c r="AB734" s="342"/>
      <c r="AC734" s="342"/>
      <c r="AD734" s="342"/>
      <c r="AE734" s="342"/>
      <c r="AF734" s="342"/>
      <c r="AG734" s="342"/>
      <c r="AH734" s="342"/>
      <c r="AI734" s="342"/>
    </row>
    <row r="735">
      <c r="A735" s="342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P735" s="342"/>
      <c r="Q735" s="342"/>
      <c r="R735" s="342"/>
      <c r="S735" s="342"/>
      <c r="T735" s="342"/>
      <c r="U735" s="342"/>
      <c r="V735" s="342"/>
      <c r="W735" s="342"/>
      <c r="X735" s="342"/>
      <c r="Y735" s="342"/>
      <c r="Z735" s="342"/>
      <c r="AA735" s="342"/>
      <c r="AB735" s="342"/>
      <c r="AC735" s="342"/>
      <c r="AD735" s="342"/>
      <c r="AE735" s="342"/>
      <c r="AF735" s="342"/>
      <c r="AG735" s="342"/>
      <c r="AH735" s="342"/>
      <c r="AI735" s="342"/>
    </row>
    <row r="736">
      <c r="A736" s="342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P736" s="342"/>
      <c r="Q736" s="342"/>
      <c r="R736" s="342"/>
      <c r="S736" s="342"/>
      <c r="T736" s="342"/>
      <c r="U736" s="342"/>
      <c r="V736" s="342"/>
      <c r="W736" s="342"/>
      <c r="X736" s="342"/>
      <c r="Y736" s="342"/>
      <c r="Z736" s="342"/>
      <c r="AA736" s="342"/>
      <c r="AB736" s="342"/>
      <c r="AC736" s="342"/>
      <c r="AD736" s="342"/>
      <c r="AE736" s="342"/>
      <c r="AF736" s="342"/>
      <c r="AG736" s="342"/>
      <c r="AH736" s="342"/>
      <c r="AI736" s="342"/>
    </row>
    <row r="737">
      <c r="A737" s="342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P737" s="342"/>
      <c r="Q737" s="342"/>
      <c r="R737" s="342"/>
      <c r="S737" s="342"/>
      <c r="T737" s="342"/>
      <c r="U737" s="342"/>
      <c r="V737" s="342"/>
      <c r="W737" s="342"/>
      <c r="X737" s="342"/>
      <c r="Y737" s="342"/>
      <c r="Z737" s="342"/>
      <c r="AA737" s="342"/>
      <c r="AB737" s="342"/>
      <c r="AC737" s="342"/>
      <c r="AD737" s="342"/>
      <c r="AE737" s="342"/>
      <c r="AF737" s="342"/>
      <c r="AG737" s="342"/>
      <c r="AH737" s="342"/>
      <c r="AI737" s="342"/>
    </row>
    <row r="738">
      <c r="A738" s="342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P738" s="342"/>
      <c r="Q738" s="342"/>
      <c r="R738" s="342"/>
      <c r="S738" s="342"/>
      <c r="T738" s="342"/>
      <c r="U738" s="342"/>
      <c r="V738" s="342"/>
      <c r="W738" s="342"/>
      <c r="X738" s="342"/>
      <c r="Y738" s="342"/>
      <c r="Z738" s="342"/>
      <c r="AA738" s="342"/>
      <c r="AB738" s="342"/>
      <c r="AC738" s="342"/>
      <c r="AD738" s="342"/>
      <c r="AE738" s="342"/>
      <c r="AF738" s="342"/>
      <c r="AG738" s="342"/>
      <c r="AH738" s="342"/>
      <c r="AI738" s="342"/>
    </row>
    <row r="739">
      <c r="A739" s="342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P739" s="342"/>
      <c r="Q739" s="342"/>
      <c r="R739" s="342"/>
      <c r="S739" s="342"/>
      <c r="T739" s="342"/>
      <c r="U739" s="342"/>
      <c r="V739" s="342"/>
      <c r="W739" s="342"/>
      <c r="X739" s="342"/>
      <c r="Y739" s="342"/>
      <c r="Z739" s="342"/>
      <c r="AA739" s="342"/>
      <c r="AB739" s="342"/>
      <c r="AC739" s="342"/>
      <c r="AD739" s="342"/>
      <c r="AE739" s="342"/>
      <c r="AF739" s="342"/>
      <c r="AG739" s="342"/>
      <c r="AH739" s="342"/>
      <c r="AI739" s="342"/>
    </row>
    <row r="740">
      <c r="A740" s="342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P740" s="342"/>
      <c r="Q740" s="342"/>
      <c r="R740" s="342"/>
      <c r="S740" s="342"/>
      <c r="T740" s="342"/>
      <c r="U740" s="342"/>
      <c r="V740" s="342"/>
      <c r="W740" s="342"/>
      <c r="X740" s="342"/>
      <c r="Y740" s="342"/>
      <c r="Z740" s="342"/>
      <c r="AA740" s="342"/>
      <c r="AB740" s="342"/>
      <c r="AC740" s="342"/>
      <c r="AD740" s="342"/>
      <c r="AE740" s="342"/>
      <c r="AF740" s="342"/>
      <c r="AG740" s="342"/>
      <c r="AH740" s="342"/>
      <c r="AI740" s="342"/>
    </row>
    <row r="741">
      <c r="A741" s="342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P741" s="342"/>
      <c r="Q741" s="342"/>
      <c r="R741" s="342"/>
      <c r="S741" s="342"/>
      <c r="T741" s="342"/>
      <c r="U741" s="342"/>
      <c r="V741" s="342"/>
      <c r="W741" s="342"/>
      <c r="X741" s="342"/>
      <c r="Y741" s="342"/>
      <c r="Z741" s="342"/>
      <c r="AA741" s="342"/>
      <c r="AB741" s="342"/>
      <c r="AC741" s="342"/>
      <c r="AD741" s="342"/>
      <c r="AE741" s="342"/>
      <c r="AF741" s="342"/>
      <c r="AG741" s="342"/>
      <c r="AH741" s="342"/>
      <c r="AI741" s="342"/>
    </row>
    <row r="742">
      <c r="A742" s="342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P742" s="342"/>
      <c r="Q742" s="342"/>
      <c r="R742" s="342"/>
      <c r="S742" s="342"/>
      <c r="T742" s="342"/>
      <c r="U742" s="342"/>
      <c r="V742" s="342"/>
      <c r="W742" s="342"/>
      <c r="X742" s="342"/>
      <c r="Y742" s="342"/>
      <c r="Z742" s="342"/>
      <c r="AA742" s="342"/>
      <c r="AB742" s="342"/>
      <c r="AC742" s="342"/>
      <c r="AD742" s="342"/>
      <c r="AE742" s="342"/>
      <c r="AF742" s="342"/>
      <c r="AG742" s="342"/>
      <c r="AH742" s="342"/>
      <c r="AI742" s="342"/>
    </row>
    <row r="743">
      <c r="A743" s="342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P743" s="342"/>
      <c r="Q743" s="342"/>
      <c r="R743" s="342"/>
      <c r="S743" s="342"/>
      <c r="T743" s="342"/>
      <c r="U743" s="342"/>
      <c r="V743" s="342"/>
      <c r="W743" s="342"/>
      <c r="X743" s="342"/>
      <c r="Y743" s="342"/>
      <c r="Z743" s="342"/>
      <c r="AA743" s="342"/>
      <c r="AB743" s="342"/>
      <c r="AC743" s="342"/>
      <c r="AD743" s="342"/>
      <c r="AE743" s="342"/>
      <c r="AF743" s="342"/>
      <c r="AG743" s="342"/>
      <c r="AH743" s="342"/>
      <c r="AI743" s="342"/>
    </row>
    <row r="744">
      <c r="A744" s="342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P744" s="342"/>
      <c r="Q744" s="342"/>
      <c r="R744" s="342"/>
      <c r="S744" s="342"/>
      <c r="T744" s="342"/>
      <c r="U744" s="342"/>
      <c r="V744" s="342"/>
      <c r="W744" s="342"/>
      <c r="X744" s="342"/>
      <c r="Y744" s="342"/>
      <c r="Z744" s="342"/>
      <c r="AA744" s="342"/>
      <c r="AB744" s="342"/>
      <c r="AC744" s="342"/>
      <c r="AD744" s="342"/>
      <c r="AE744" s="342"/>
      <c r="AF744" s="342"/>
      <c r="AG744" s="342"/>
      <c r="AH744" s="342"/>
      <c r="AI744" s="342"/>
    </row>
    <row r="745">
      <c r="A745" s="342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P745" s="342"/>
      <c r="Q745" s="342"/>
      <c r="R745" s="342"/>
      <c r="S745" s="342"/>
      <c r="T745" s="342"/>
      <c r="U745" s="342"/>
      <c r="V745" s="342"/>
      <c r="W745" s="342"/>
      <c r="X745" s="342"/>
      <c r="Y745" s="342"/>
      <c r="Z745" s="342"/>
      <c r="AA745" s="342"/>
      <c r="AB745" s="342"/>
      <c r="AC745" s="342"/>
      <c r="AD745" s="342"/>
      <c r="AE745" s="342"/>
      <c r="AF745" s="342"/>
      <c r="AG745" s="342"/>
      <c r="AH745" s="342"/>
      <c r="AI745" s="342"/>
    </row>
    <row r="746">
      <c r="A746" s="342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P746" s="342"/>
      <c r="Q746" s="342"/>
      <c r="R746" s="342"/>
      <c r="S746" s="342"/>
      <c r="T746" s="342"/>
      <c r="U746" s="342"/>
      <c r="V746" s="342"/>
      <c r="W746" s="342"/>
      <c r="X746" s="342"/>
      <c r="Y746" s="342"/>
      <c r="Z746" s="342"/>
      <c r="AA746" s="342"/>
      <c r="AB746" s="342"/>
      <c r="AC746" s="342"/>
      <c r="AD746" s="342"/>
      <c r="AE746" s="342"/>
      <c r="AF746" s="342"/>
      <c r="AG746" s="342"/>
      <c r="AH746" s="342"/>
      <c r="AI746" s="342"/>
    </row>
    <row r="747">
      <c r="A747" s="342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P747" s="342"/>
      <c r="Q747" s="342"/>
      <c r="R747" s="342"/>
      <c r="S747" s="342"/>
      <c r="T747" s="342"/>
      <c r="U747" s="342"/>
      <c r="V747" s="342"/>
      <c r="W747" s="342"/>
      <c r="X747" s="342"/>
      <c r="Y747" s="342"/>
      <c r="Z747" s="342"/>
      <c r="AA747" s="342"/>
      <c r="AB747" s="342"/>
      <c r="AC747" s="342"/>
      <c r="AD747" s="342"/>
      <c r="AE747" s="342"/>
      <c r="AF747" s="342"/>
      <c r="AG747" s="342"/>
      <c r="AH747" s="342"/>
      <c r="AI747" s="342"/>
    </row>
    <row r="748">
      <c r="A748" s="342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P748" s="342"/>
      <c r="Q748" s="342"/>
      <c r="R748" s="342"/>
      <c r="S748" s="342"/>
      <c r="T748" s="342"/>
      <c r="U748" s="342"/>
      <c r="V748" s="342"/>
      <c r="W748" s="342"/>
      <c r="X748" s="342"/>
      <c r="Y748" s="342"/>
      <c r="Z748" s="342"/>
      <c r="AA748" s="342"/>
      <c r="AB748" s="342"/>
      <c r="AC748" s="342"/>
      <c r="AD748" s="342"/>
      <c r="AE748" s="342"/>
      <c r="AF748" s="342"/>
      <c r="AG748" s="342"/>
      <c r="AH748" s="342"/>
      <c r="AI748" s="342"/>
    </row>
    <row r="749">
      <c r="A749" s="342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P749" s="342"/>
      <c r="Q749" s="342"/>
      <c r="R749" s="342"/>
      <c r="S749" s="342"/>
      <c r="T749" s="342"/>
      <c r="U749" s="342"/>
      <c r="V749" s="342"/>
      <c r="W749" s="342"/>
      <c r="X749" s="342"/>
      <c r="Y749" s="342"/>
      <c r="Z749" s="342"/>
      <c r="AA749" s="342"/>
      <c r="AB749" s="342"/>
      <c r="AC749" s="342"/>
      <c r="AD749" s="342"/>
      <c r="AE749" s="342"/>
      <c r="AF749" s="342"/>
      <c r="AG749" s="342"/>
      <c r="AH749" s="342"/>
      <c r="AI749" s="342"/>
    </row>
    <row r="750">
      <c r="A750" s="342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P750" s="342"/>
      <c r="Q750" s="342"/>
      <c r="R750" s="342"/>
      <c r="S750" s="342"/>
      <c r="T750" s="342"/>
      <c r="U750" s="342"/>
      <c r="V750" s="342"/>
      <c r="W750" s="342"/>
      <c r="X750" s="342"/>
      <c r="Y750" s="342"/>
      <c r="Z750" s="342"/>
      <c r="AA750" s="342"/>
      <c r="AB750" s="342"/>
      <c r="AC750" s="342"/>
      <c r="AD750" s="342"/>
      <c r="AE750" s="342"/>
      <c r="AF750" s="342"/>
      <c r="AG750" s="342"/>
      <c r="AH750" s="342"/>
      <c r="AI750" s="342"/>
    </row>
    <row r="751">
      <c r="A751" s="342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P751" s="342"/>
      <c r="Q751" s="342"/>
      <c r="R751" s="342"/>
      <c r="S751" s="342"/>
      <c r="T751" s="342"/>
      <c r="U751" s="342"/>
      <c r="V751" s="342"/>
      <c r="W751" s="342"/>
      <c r="X751" s="342"/>
      <c r="Y751" s="342"/>
      <c r="Z751" s="342"/>
      <c r="AA751" s="342"/>
      <c r="AB751" s="342"/>
      <c r="AC751" s="342"/>
      <c r="AD751" s="342"/>
      <c r="AE751" s="342"/>
      <c r="AF751" s="342"/>
      <c r="AG751" s="342"/>
      <c r="AH751" s="342"/>
      <c r="AI751" s="342"/>
    </row>
    <row r="752">
      <c r="A752" s="342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P752" s="342"/>
      <c r="Q752" s="342"/>
      <c r="R752" s="342"/>
      <c r="S752" s="342"/>
      <c r="T752" s="342"/>
      <c r="U752" s="342"/>
      <c r="V752" s="342"/>
      <c r="W752" s="342"/>
      <c r="X752" s="342"/>
      <c r="Y752" s="342"/>
      <c r="Z752" s="342"/>
      <c r="AA752" s="342"/>
      <c r="AB752" s="342"/>
      <c r="AC752" s="342"/>
      <c r="AD752" s="342"/>
      <c r="AE752" s="342"/>
      <c r="AF752" s="342"/>
      <c r="AG752" s="342"/>
      <c r="AH752" s="342"/>
      <c r="AI752" s="342"/>
    </row>
    <row r="753">
      <c r="A753" s="342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P753" s="342"/>
      <c r="Q753" s="342"/>
      <c r="R753" s="342"/>
      <c r="S753" s="342"/>
      <c r="T753" s="342"/>
      <c r="U753" s="342"/>
      <c r="V753" s="342"/>
      <c r="W753" s="342"/>
      <c r="X753" s="342"/>
      <c r="Y753" s="342"/>
      <c r="Z753" s="342"/>
      <c r="AA753" s="342"/>
      <c r="AB753" s="342"/>
      <c r="AC753" s="342"/>
      <c r="AD753" s="342"/>
      <c r="AE753" s="342"/>
      <c r="AF753" s="342"/>
      <c r="AG753" s="342"/>
      <c r="AH753" s="342"/>
      <c r="AI753" s="342"/>
    </row>
    <row r="754">
      <c r="A754" s="342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P754" s="342"/>
      <c r="Q754" s="342"/>
      <c r="R754" s="342"/>
      <c r="S754" s="342"/>
      <c r="T754" s="342"/>
      <c r="U754" s="342"/>
      <c r="V754" s="342"/>
      <c r="W754" s="342"/>
      <c r="X754" s="342"/>
      <c r="Y754" s="342"/>
      <c r="Z754" s="342"/>
      <c r="AA754" s="342"/>
      <c r="AB754" s="342"/>
      <c r="AC754" s="342"/>
      <c r="AD754" s="342"/>
      <c r="AE754" s="342"/>
      <c r="AF754" s="342"/>
      <c r="AG754" s="342"/>
      <c r="AH754" s="342"/>
      <c r="AI754" s="342"/>
    </row>
    <row r="755">
      <c r="A755" s="342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P755" s="342"/>
      <c r="Q755" s="342"/>
      <c r="R755" s="342"/>
      <c r="S755" s="342"/>
      <c r="T755" s="342"/>
      <c r="U755" s="342"/>
      <c r="V755" s="342"/>
      <c r="W755" s="342"/>
      <c r="X755" s="342"/>
      <c r="Y755" s="342"/>
      <c r="Z755" s="342"/>
      <c r="AA755" s="342"/>
      <c r="AB755" s="342"/>
      <c r="AC755" s="342"/>
      <c r="AD755" s="342"/>
      <c r="AE755" s="342"/>
      <c r="AF755" s="342"/>
      <c r="AG755" s="342"/>
      <c r="AH755" s="342"/>
      <c r="AI755" s="342"/>
    </row>
    <row r="756">
      <c r="A756" s="342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P756" s="342"/>
      <c r="Q756" s="342"/>
      <c r="R756" s="342"/>
      <c r="S756" s="342"/>
      <c r="T756" s="342"/>
      <c r="U756" s="342"/>
      <c r="V756" s="342"/>
      <c r="W756" s="342"/>
      <c r="X756" s="342"/>
      <c r="Y756" s="342"/>
      <c r="Z756" s="342"/>
      <c r="AA756" s="342"/>
      <c r="AB756" s="342"/>
      <c r="AC756" s="342"/>
      <c r="AD756" s="342"/>
      <c r="AE756" s="342"/>
      <c r="AF756" s="342"/>
      <c r="AG756" s="342"/>
      <c r="AH756" s="342"/>
      <c r="AI756" s="342"/>
    </row>
    <row r="757">
      <c r="A757" s="342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P757" s="342"/>
      <c r="Q757" s="342"/>
      <c r="R757" s="342"/>
      <c r="S757" s="342"/>
      <c r="T757" s="342"/>
      <c r="U757" s="342"/>
      <c r="V757" s="342"/>
      <c r="W757" s="342"/>
      <c r="X757" s="342"/>
      <c r="Y757" s="342"/>
      <c r="Z757" s="342"/>
      <c r="AA757" s="342"/>
      <c r="AB757" s="342"/>
      <c r="AC757" s="342"/>
      <c r="AD757" s="342"/>
      <c r="AE757" s="342"/>
      <c r="AF757" s="342"/>
      <c r="AG757" s="342"/>
      <c r="AH757" s="342"/>
      <c r="AI757" s="342"/>
    </row>
    <row r="758">
      <c r="A758" s="342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P758" s="342"/>
      <c r="Q758" s="342"/>
      <c r="R758" s="342"/>
      <c r="S758" s="342"/>
      <c r="T758" s="342"/>
      <c r="U758" s="342"/>
      <c r="V758" s="342"/>
      <c r="W758" s="342"/>
      <c r="X758" s="342"/>
      <c r="Y758" s="342"/>
      <c r="Z758" s="342"/>
      <c r="AA758" s="342"/>
      <c r="AB758" s="342"/>
      <c r="AC758" s="342"/>
      <c r="AD758" s="342"/>
      <c r="AE758" s="342"/>
      <c r="AF758" s="342"/>
      <c r="AG758" s="342"/>
      <c r="AH758" s="342"/>
      <c r="AI758" s="342"/>
    </row>
    <row r="759">
      <c r="A759" s="342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P759" s="342"/>
      <c r="Q759" s="342"/>
      <c r="R759" s="342"/>
      <c r="S759" s="342"/>
      <c r="T759" s="342"/>
      <c r="U759" s="342"/>
      <c r="V759" s="342"/>
      <c r="W759" s="342"/>
      <c r="X759" s="342"/>
      <c r="Y759" s="342"/>
      <c r="Z759" s="342"/>
      <c r="AA759" s="342"/>
      <c r="AB759" s="342"/>
      <c r="AC759" s="342"/>
      <c r="AD759" s="342"/>
      <c r="AE759" s="342"/>
      <c r="AF759" s="342"/>
      <c r="AG759" s="342"/>
      <c r="AH759" s="342"/>
      <c r="AI759" s="342"/>
    </row>
    <row r="760">
      <c r="A760" s="342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P760" s="342"/>
      <c r="Q760" s="342"/>
      <c r="R760" s="342"/>
      <c r="S760" s="342"/>
      <c r="T760" s="342"/>
      <c r="U760" s="342"/>
      <c r="V760" s="342"/>
      <c r="W760" s="342"/>
      <c r="X760" s="342"/>
      <c r="Y760" s="342"/>
      <c r="Z760" s="342"/>
      <c r="AA760" s="342"/>
      <c r="AB760" s="342"/>
      <c r="AC760" s="342"/>
      <c r="AD760" s="342"/>
      <c r="AE760" s="342"/>
      <c r="AF760" s="342"/>
      <c r="AG760" s="342"/>
      <c r="AH760" s="342"/>
      <c r="AI760" s="342"/>
    </row>
    <row r="761">
      <c r="A761" s="342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P761" s="342"/>
      <c r="Q761" s="342"/>
      <c r="R761" s="342"/>
      <c r="S761" s="342"/>
      <c r="T761" s="342"/>
      <c r="U761" s="342"/>
      <c r="V761" s="342"/>
      <c r="W761" s="342"/>
      <c r="X761" s="342"/>
      <c r="Y761" s="342"/>
      <c r="Z761" s="342"/>
      <c r="AA761" s="342"/>
      <c r="AB761" s="342"/>
      <c r="AC761" s="342"/>
      <c r="AD761" s="342"/>
      <c r="AE761" s="342"/>
      <c r="AF761" s="342"/>
      <c r="AG761" s="342"/>
      <c r="AH761" s="342"/>
      <c r="AI761" s="342"/>
    </row>
    <row r="762">
      <c r="A762" s="342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P762" s="342"/>
      <c r="Q762" s="342"/>
      <c r="R762" s="342"/>
      <c r="S762" s="342"/>
      <c r="T762" s="342"/>
      <c r="U762" s="342"/>
      <c r="V762" s="342"/>
      <c r="W762" s="342"/>
      <c r="X762" s="342"/>
      <c r="Y762" s="342"/>
      <c r="Z762" s="342"/>
      <c r="AA762" s="342"/>
      <c r="AB762" s="342"/>
      <c r="AC762" s="342"/>
      <c r="AD762" s="342"/>
      <c r="AE762" s="342"/>
      <c r="AF762" s="342"/>
      <c r="AG762" s="342"/>
      <c r="AH762" s="342"/>
      <c r="AI762" s="342"/>
    </row>
    <row r="763">
      <c r="A763" s="342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P763" s="342"/>
      <c r="Q763" s="342"/>
      <c r="R763" s="342"/>
      <c r="S763" s="342"/>
      <c r="T763" s="342"/>
      <c r="U763" s="342"/>
      <c r="V763" s="342"/>
      <c r="W763" s="342"/>
      <c r="X763" s="342"/>
      <c r="Y763" s="342"/>
      <c r="Z763" s="342"/>
      <c r="AA763" s="342"/>
      <c r="AB763" s="342"/>
      <c r="AC763" s="342"/>
      <c r="AD763" s="342"/>
      <c r="AE763" s="342"/>
      <c r="AF763" s="342"/>
      <c r="AG763" s="342"/>
      <c r="AH763" s="342"/>
      <c r="AI763" s="342"/>
    </row>
    <row r="764">
      <c r="A764" s="342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P764" s="342"/>
      <c r="Q764" s="342"/>
      <c r="R764" s="342"/>
      <c r="S764" s="342"/>
      <c r="T764" s="342"/>
      <c r="U764" s="342"/>
      <c r="V764" s="342"/>
      <c r="W764" s="342"/>
      <c r="X764" s="342"/>
      <c r="Y764" s="342"/>
      <c r="Z764" s="342"/>
      <c r="AA764" s="342"/>
      <c r="AB764" s="342"/>
      <c r="AC764" s="342"/>
      <c r="AD764" s="342"/>
      <c r="AE764" s="342"/>
      <c r="AF764" s="342"/>
      <c r="AG764" s="342"/>
      <c r="AH764" s="342"/>
      <c r="AI764" s="342"/>
    </row>
    <row r="765">
      <c r="A765" s="342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P765" s="342"/>
      <c r="Q765" s="342"/>
      <c r="R765" s="342"/>
      <c r="S765" s="342"/>
      <c r="T765" s="342"/>
      <c r="U765" s="342"/>
      <c r="V765" s="342"/>
      <c r="W765" s="342"/>
      <c r="X765" s="342"/>
      <c r="Y765" s="342"/>
      <c r="Z765" s="342"/>
      <c r="AA765" s="342"/>
      <c r="AB765" s="342"/>
      <c r="AC765" s="342"/>
      <c r="AD765" s="342"/>
      <c r="AE765" s="342"/>
      <c r="AF765" s="342"/>
      <c r="AG765" s="342"/>
      <c r="AH765" s="342"/>
      <c r="AI765" s="342"/>
    </row>
    <row r="766">
      <c r="A766" s="342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P766" s="342"/>
      <c r="Q766" s="342"/>
      <c r="R766" s="342"/>
      <c r="S766" s="342"/>
      <c r="T766" s="342"/>
      <c r="U766" s="342"/>
      <c r="V766" s="342"/>
      <c r="W766" s="342"/>
      <c r="X766" s="342"/>
      <c r="Y766" s="342"/>
      <c r="Z766" s="342"/>
      <c r="AA766" s="342"/>
      <c r="AB766" s="342"/>
      <c r="AC766" s="342"/>
      <c r="AD766" s="342"/>
      <c r="AE766" s="342"/>
      <c r="AF766" s="342"/>
      <c r="AG766" s="342"/>
      <c r="AH766" s="342"/>
      <c r="AI766" s="342"/>
    </row>
    <row r="767">
      <c r="A767" s="342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P767" s="342"/>
      <c r="Q767" s="342"/>
      <c r="R767" s="342"/>
      <c r="S767" s="342"/>
      <c r="T767" s="342"/>
      <c r="U767" s="342"/>
      <c r="V767" s="342"/>
      <c r="W767" s="342"/>
      <c r="X767" s="342"/>
      <c r="Y767" s="342"/>
      <c r="Z767" s="342"/>
      <c r="AA767" s="342"/>
      <c r="AB767" s="342"/>
      <c r="AC767" s="342"/>
      <c r="AD767" s="342"/>
      <c r="AE767" s="342"/>
      <c r="AF767" s="342"/>
      <c r="AG767" s="342"/>
      <c r="AH767" s="342"/>
      <c r="AI767" s="342"/>
    </row>
    <row r="768">
      <c r="A768" s="342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P768" s="342"/>
      <c r="Q768" s="342"/>
      <c r="R768" s="342"/>
      <c r="S768" s="342"/>
      <c r="T768" s="342"/>
      <c r="U768" s="342"/>
      <c r="V768" s="342"/>
      <c r="W768" s="342"/>
      <c r="X768" s="342"/>
      <c r="Y768" s="342"/>
      <c r="Z768" s="342"/>
      <c r="AA768" s="342"/>
      <c r="AB768" s="342"/>
      <c r="AC768" s="342"/>
      <c r="AD768" s="342"/>
      <c r="AE768" s="342"/>
      <c r="AF768" s="342"/>
      <c r="AG768" s="342"/>
      <c r="AH768" s="342"/>
      <c r="AI768" s="342"/>
    </row>
    <row r="769">
      <c r="A769" s="342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P769" s="342"/>
      <c r="Q769" s="342"/>
      <c r="R769" s="342"/>
      <c r="S769" s="342"/>
      <c r="T769" s="342"/>
      <c r="U769" s="342"/>
      <c r="V769" s="342"/>
      <c r="W769" s="342"/>
      <c r="X769" s="342"/>
      <c r="Y769" s="342"/>
      <c r="Z769" s="342"/>
      <c r="AA769" s="342"/>
      <c r="AB769" s="342"/>
      <c r="AC769" s="342"/>
      <c r="AD769" s="342"/>
      <c r="AE769" s="342"/>
      <c r="AF769" s="342"/>
      <c r="AG769" s="342"/>
      <c r="AH769" s="342"/>
      <c r="AI769" s="342"/>
    </row>
    <row r="770">
      <c r="A770" s="342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P770" s="342"/>
      <c r="Q770" s="342"/>
      <c r="R770" s="342"/>
      <c r="S770" s="342"/>
      <c r="T770" s="342"/>
      <c r="U770" s="342"/>
      <c r="V770" s="342"/>
      <c r="W770" s="342"/>
      <c r="X770" s="342"/>
      <c r="Y770" s="342"/>
      <c r="Z770" s="342"/>
      <c r="AA770" s="342"/>
      <c r="AB770" s="342"/>
      <c r="AC770" s="342"/>
      <c r="AD770" s="342"/>
      <c r="AE770" s="342"/>
      <c r="AF770" s="342"/>
      <c r="AG770" s="342"/>
      <c r="AH770" s="342"/>
      <c r="AI770" s="342"/>
    </row>
    <row r="771">
      <c r="A771" s="342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P771" s="342"/>
      <c r="Q771" s="342"/>
      <c r="R771" s="342"/>
      <c r="S771" s="342"/>
      <c r="T771" s="342"/>
      <c r="U771" s="342"/>
      <c r="V771" s="342"/>
      <c r="W771" s="342"/>
      <c r="X771" s="342"/>
      <c r="Y771" s="342"/>
      <c r="Z771" s="342"/>
      <c r="AA771" s="342"/>
      <c r="AB771" s="342"/>
      <c r="AC771" s="342"/>
      <c r="AD771" s="342"/>
      <c r="AE771" s="342"/>
      <c r="AF771" s="342"/>
      <c r="AG771" s="342"/>
      <c r="AH771" s="342"/>
      <c r="AI771" s="342"/>
    </row>
    <row r="772">
      <c r="A772" s="342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P772" s="342"/>
      <c r="Q772" s="342"/>
      <c r="R772" s="342"/>
      <c r="S772" s="342"/>
      <c r="T772" s="342"/>
      <c r="U772" s="342"/>
      <c r="V772" s="342"/>
      <c r="W772" s="342"/>
      <c r="X772" s="342"/>
      <c r="Y772" s="342"/>
      <c r="Z772" s="342"/>
      <c r="AA772" s="342"/>
      <c r="AB772" s="342"/>
      <c r="AC772" s="342"/>
      <c r="AD772" s="342"/>
      <c r="AE772" s="342"/>
      <c r="AF772" s="342"/>
      <c r="AG772" s="342"/>
      <c r="AH772" s="342"/>
      <c r="AI772" s="342"/>
    </row>
    <row r="773">
      <c r="A773" s="342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P773" s="342"/>
      <c r="Q773" s="342"/>
      <c r="R773" s="342"/>
      <c r="S773" s="342"/>
      <c r="T773" s="342"/>
      <c r="U773" s="342"/>
      <c r="V773" s="342"/>
      <c r="W773" s="342"/>
      <c r="X773" s="342"/>
      <c r="Y773" s="342"/>
      <c r="Z773" s="342"/>
      <c r="AA773" s="342"/>
      <c r="AB773" s="342"/>
      <c r="AC773" s="342"/>
      <c r="AD773" s="342"/>
      <c r="AE773" s="342"/>
      <c r="AF773" s="342"/>
      <c r="AG773" s="342"/>
      <c r="AH773" s="342"/>
      <c r="AI773" s="342"/>
    </row>
    <row r="774">
      <c r="A774" s="342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P774" s="342"/>
      <c r="Q774" s="342"/>
      <c r="R774" s="342"/>
      <c r="S774" s="342"/>
      <c r="T774" s="342"/>
      <c r="U774" s="342"/>
      <c r="V774" s="342"/>
      <c r="W774" s="342"/>
      <c r="X774" s="342"/>
      <c r="Y774" s="342"/>
      <c r="Z774" s="342"/>
      <c r="AA774" s="342"/>
      <c r="AB774" s="342"/>
      <c r="AC774" s="342"/>
      <c r="AD774" s="342"/>
      <c r="AE774" s="342"/>
      <c r="AF774" s="342"/>
      <c r="AG774" s="342"/>
      <c r="AH774" s="342"/>
      <c r="AI774" s="342"/>
    </row>
    <row r="775">
      <c r="A775" s="342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P775" s="342"/>
      <c r="Q775" s="342"/>
      <c r="R775" s="342"/>
      <c r="S775" s="342"/>
      <c r="T775" s="342"/>
      <c r="U775" s="342"/>
      <c r="V775" s="342"/>
      <c r="W775" s="342"/>
      <c r="X775" s="342"/>
      <c r="Y775" s="342"/>
      <c r="Z775" s="342"/>
      <c r="AA775" s="342"/>
      <c r="AB775" s="342"/>
      <c r="AC775" s="342"/>
      <c r="AD775" s="342"/>
      <c r="AE775" s="342"/>
      <c r="AF775" s="342"/>
      <c r="AG775" s="342"/>
      <c r="AH775" s="342"/>
      <c r="AI775" s="342"/>
    </row>
    <row r="776">
      <c r="A776" s="342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P776" s="342"/>
      <c r="Q776" s="342"/>
      <c r="R776" s="342"/>
      <c r="S776" s="342"/>
      <c r="T776" s="342"/>
      <c r="U776" s="342"/>
      <c r="V776" s="342"/>
      <c r="W776" s="342"/>
      <c r="X776" s="342"/>
      <c r="Y776" s="342"/>
      <c r="Z776" s="342"/>
      <c r="AA776" s="342"/>
      <c r="AB776" s="342"/>
      <c r="AC776" s="342"/>
      <c r="AD776" s="342"/>
      <c r="AE776" s="342"/>
      <c r="AF776" s="342"/>
      <c r="AG776" s="342"/>
      <c r="AH776" s="342"/>
      <c r="AI776" s="342"/>
    </row>
    <row r="777">
      <c r="A777" s="342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P777" s="342"/>
      <c r="Q777" s="342"/>
      <c r="R777" s="342"/>
      <c r="S777" s="342"/>
      <c r="T777" s="342"/>
      <c r="U777" s="342"/>
      <c r="V777" s="342"/>
      <c r="W777" s="342"/>
      <c r="X777" s="342"/>
      <c r="Y777" s="342"/>
      <c r="Z777" s="342"/>
      <c r="AA777" s="342"/>
      <c r="AB777" s="342"/>
      <c r="AC777" s="342"/>
      <c r="AD777" s="342"/>
      <c r="AE777" s="342"/>
      <c r="AF777" s="342"/>
      <c r="AG777" s="342"/>
      <c r="AH777" s="342"/>
      <c r="AI777" s="342"/>
    </row>
    <row r="778">
      <c r="A778" s="342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342"/>
      <c r="T778" s="342"/>
      <c r="U778" s="342"/>
      <c r="V778" s="342"/>
      <c r="W778" s="342"/>
      <c r="X778" s="342"/>
      <c r="Y778" s="342"/>
      <c r="Z778" s="342"/>
      <c r="AA778" s="342"/>
      <c r="AB778" s="342"/>
      <c r="AC778" s="342"/>
      <c r="AD778" s="342"/>
      <c r="AE778" s="342"/>
      <c r="AF778" s="342"/>
      <c r="AG778" s="342"/>
      <c r="AH778" s="342"/>
      <c r="AI778" s="342"/>
    </row>
    <row r="779">
      <c r="A779" s="342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342"/>
      <c r="T779" s="342"/>
      <c r="U779" s="342"/>
      <c r="V779" s="342"/>
      <c r="W779" s="342"/>
      <c r="X779" s="342"/>
      <c r="Y779" s="342"/>
      <c r="Z779" s="342"/>
      <c r="AA779" s="342"/>
      <c r="AB779" s="342"/>
      <c r="AC779" s="342"/>
      <c r="AD779" s="342"/>
      <c r="AE779" s="342"/>
      <c r="AF779" s="342"/>
      <c r="AG779" s="342"/>
      <c r="AH779" s="342"/>
      <c r="AI779" s="342"/>
    </row>
    <row r="780">
      <c r="A780" s="342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342"/>
      <c r="T780" s="342"/>
      <c r="U780" s="342"/>
      <c r="V780" s="342"/>
      <c r="W780" s="342"/>
      <c r="X780" s="342"/>
      <c r="Y780" s="342"/>
      <c r="Z780" s="342"/>
      <c r="AA780" s="342"/>
      <c r="AB780" s="342"/>
      <c r="AC780" s="342"/>
      <c r="AD780" s="342"/>
      <c r="AE780" s="342"/>
      <c r="AF780" s="342"/>
      <c r="AG780" s="342"/>
      <c r="AH780" s="342"/>
      <c r="AI780" s="342"/>
    </row>
    <row r="781">
      <c r="A781" s="342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P781" s="342"/>
      <c r="Q781" s="342"/>
      <c r="R781" s="342"/>
      <c r="S781" s="342"/>
      <c r="T781" s="342"/>
      <c r="U781" s="342"/>
      <c r="V781" s="342"/>
      <c r="W781" s="342"/>
      <c r="X781" s="342"/>
      <c r="Y781" s="342"/>
      <c r="Z781" s="342"/>
      <c r="AA781" s="342"/>
      <c r="AB781" s="342"/>
      <c r="AC781" s="342"/>
      <c r="AD781" s="342"/>
      <c r="AE781" s="342"/>
      <c r="AF781" s="342"/>
      <c r="AG781" s="342"/>
      <c r="AH781" s="342"/>
      <c r="AI781" s="342"/>
    </row>
    <row r="782">
      <c r="A782" s="342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P782" s="342"/>
      <c r="Q782" s="342"/>
      <c r="R782" s="342"/>
      <c r="S782" s="342"/>
      <c r="T782" s="342"/>
      <c r="U782" s="342"/>
      <c r="V782" s="342"/>
      <c r="W782" s="342"/>
      <c r="X782" s="342"/>
      <c r="Y782" s="342"/>
      <c r="Z782" s="342"/>
      <c r="AA782" s="342"/>
      <c r="AB782" s="342"/>
      <c r="AC782" s="342"/>
      <c r="AD782" s="342"/>
      <c r="AE782" s="342"/>
      <c r="AF782" s="342"/>
      <c r="AG782" s="342"/>
      <c r="AH782" s="342"/>
      <c r="AI782" s="342"/>
    </row>
    <row r="783">
      <c r="A783" s="342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P783" s="342"/>
      <c r="Q783" s="342"/>
      <c r="R783" s="342"/>
      <c r="S783" s="342"/>
      <c r="T783" s="342"/>
      <c r="U783" s="342"/>
      <c r="V783" s="342"/>
      <c r="W783" s="342"/>
      <c r="X783" s="342"/>
      <c r="Y783" s="342"/>
      <c r="Z783" s="342"/>
      <c r="AA783" s="342"/>
      <c r="AB783" s="342"/>
      <c r="AC783" s="342"/>
      <c r="AD783" s="342"/>
      <c r="AE783" s="342"/>
      <c r="AF783" s="342"/>
      <c r="AG783" s="342"/>
      <c r="AH783" s="342"/>
      <c r="AI783" s="342"/>
    </row>
    <row r="784">
      <c r="A784" s="342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P784" s="342"/>
      <c r="Q784" s="342"/>
      <c r="R784" s="342"/>
      <c r="S784" s="342"/>
      <c r="T784" s="342"/>
      <c r="U784" s="342"/>
      <c r="V784" s="342"/>
      <c r="W784" s="342"/>
      <c r="X784" s="342"/>
      <c r="Y784" s="342"/>
      <c r="Z784" s="342"/>
      <c r="AA784" s="342"/>
      <c r="AB784" s="342"/>
      <c r="AC784" s="342"/>
      <c r="AD784" s="342"/>
      <c r="AE784" s="342"/>
      <c r="AF784" s="342"/>
      <c r="AG784" s="342"/>
      <c r="AH784" s="342"/>
      <c r="AI784" s="342"/>
    </row>
    <row r="785">
      <c r="A785" s="342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P785" s="342"/>
      <c r="Q785" s="342"/>
      <c r="R785" s="342"/>
      <c r="S785" s="342"/>
      <c r="T785" s="342"/>
      <c r="U785" s="342"/>
      <c r="V785" s="342"/>
      <c r="W785" s="342"/>
      <c r="X785" s="342"/>
      <c r="Y785" s="342"/>
      <c r="Z785" s="342"/>
      <c r="AA785" s="342"/>
      <c r="AB785" s="342"/>
      <c r="AC785" s="342"/>
      <c r="AD785" s="342"/>
      <c r="AE785" s="342"/>
      <c r="AF785" s="342"/>
      <c r="AG785" s="342"/>
      <c r="AH785" s="342"/>
      <c r="AI785" s="342"/>
    </row>
    <row r="786">
      <c r="A786" s="342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P786" s="342"/>
      <c r="Q786" s="342"/>
      <c r="R786" s="342"/>
      <c r="S786" s="342"/>
      <c r="T786" s="342"/>
      <c r="U786" s="342"/>
      <c r="V786" s="342"/>
      <c r="W786" s="342"/>
      <c r="X786" s="342"/>
      <c r="Y786" s="342"/>
      <c r="Z786" s="342"/>
      <c r="AA786" s="342"/>
      <c r="AB786" s="342"/>
      <c r="AC786" s="342"/>
      <c r="AD786" s="342"/>
      <c r="AE786" s="342"/>
      <c r="AF786" s="342"/>
      <c r="AG786" s="342"/>
      <c r="AH786" s="342"/>
      <c r="AI786" s="342"/>
    </row>
    <row r="787">
      <c r="A787" s="342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P787" s="342"/>
      <c r="Q787" s="342"/>
      <c r="R787" s="342"/>
      <c r="S787" s="342"/>
      <c r="T787" s="342"/>
      <c r="U787" s="342"/>
      <c r="V787" s="342"/>
      <c r="W787" s="342"/>
      <c r="X787" s="342"/>
      <c r="Y787" s="342"/>
      <c r="Z787" s="342"/>
      <c r="AA787" s="342"/>
      <c r="AB787" s="342"/>
      <c r="AC787" s="342"/>
      <c r="AD787" s="342"/>
      <c r="AE787" s="342"/>
      <c r="AF787" s="342"/>
      <c r="AG787" s="342"/>
      <c r="AH787" s="342"/>
      <c r="AI787" s="342"/>
    </row>
    <row r="788">
      <c r="A788" s="342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P788" s="342"/>
      <c r="Q788" s="342"/>
      <c r="R788" s="342"/>
      <c r="S788" s="342"/>
      <c r="T788" s="342"/>
      <c r="U788" s="342"/>
      <c r="V788" s="342"/>
      <c r="W788" s="342"/>
      <c r="X788" s="342"/>
      <c r="Y788" s="342"/>
      <c r="Z788" s="342"/>
      <c r="AA788" s="342"/>
      <c r="AB788" s="342"/>
      <c r="AC788" s="342"/>
      <c r="AD788" s="342"/>
      <c r="AE788" s="342"/>
      <c r="AF788" s="342"/>
      <c r="AG788" s="342"/>
      <c r="AH788" s="342"/>
      <c r="AI788" s="342"/>
    </row>
    <row r="789">
      <c r="A789" s="342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P789" s="342"/>
      <c r="Q789" s="342"/>
      <c r="R789" s="342"/>
      <c r="S789" s="342"/>
      <c r="T789" s="342"/>
      <c r="U789" s="342"/>
      <c r="V789" s="342"/>
      <c r="W789" s="342"/>
      <c r="X789" s="342"/>
      <c r="Y789" s="342"/>
      <c r="Z789" s="342"/>
      <c r="AA789" s="342"/>
      <c r="AB789" s="342"/>
      <c r="AC789" s="342"/>
      <c r="AD789" s="342"/>
      <c r="AE789" s="342"/>
      <c r="AF789" s="342"/>
      <c r="AG789" s="342"/>
      <c r="AH789" s="342"/>
      <c r="AI789" s="342"/>
    </row>
    <row r="790">
      <c r="A790" s="342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P790" s="342"/>
      <c r="Q790" s="342"/>
      <c r="R790" s="342"/>
      <c r="S790" s="342"/>
      <c r="T790" s="342"/>
      <c r="U790" s="342"/>
      <c r="V790" s="342"/>
      <c r="W790" s="342"/>
      <c r="X790" s="342"/>
      <c r="Y790" s="342"/>
      <c r="Z790" s="342"/>
      <c r="AA790" s="342"/>
      <c r="AB790" s="342"/>
      <c r="AC790" s="342"/>
      <c r="AD790" s="342"/>
      <c r="AE790" s="342"/>
      <c r="AF790" s="342"/>
      <c r="AG790" s="342"/>
      <c r="AH790" s="342"/>
      <c r="AI790" s="342"/>
    </row>
    <row r="791">
      <c r="A791" s="342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P791" s="342"/>
      <c r="Q791" s="342"/>
      <c r="R791" s="342"/>
      <c r="S791" s="342"/>
      <c r="T791" s="342"/>
      <c r="U791" s="342"/>
      <c r="V791" s="342"/>
      <c r="W791" s="342"/>
      <c r="X791" s="342"/>
      <c r="Y791" s="342"/>
      <c r="Z791" s="342"/>
      <c r="AA791" s="342"/>
      <c r="AB791" s="342"/>
      <c r="AC791" s="342"/>
      <c r="AD791" s="342"/>
      <c r="AE791" s="342"/>
      <c r="AF791" s="342"/>
      <c r="AG791" s="342"/>
      <c r="AH791" s="342"/>
      <c r="AI791" s="342"/>
    </row>
    <row r="792">
      <c r="A792" s="342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P792" s="342"/>
      <c r="Q792" s="342"/>
      <c r="R792" s="342"/>
      <c r="S792" s="342"/>
      <c r="T792" s="342"/>
      <c r="U792" s="342"/>
      <c r="V792" s="342"/>
      <c r="W792" s="342"/>
      <c r="X792" s="342"/>
      <c r="Y792" s="342"/>
      <c r="Z792" s="342"/>
      <c r="AA792" s="342"/>
      <c r="AB792" s="342"/>
      <c r="AC792" s="342"/>
      <c r="AD792" s="342"/>
      <c r="AE792" s="342"/>
      <c r="AF792" s="342"/>
      <c r="AG792" s="342"/>
      <c r="AH792" s="342"/>
      <c r="AI792" s="342"/>
    </row>
    <row r="793">
      <c r="A793" s="342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P793" s="342"/>
      <c r="Q793" s="342"/>
      <c r="R793" s="342"/>
      <c r="S793" s="342"/>
      <c r="T793" s="342"/>
      <c r="U793" s="342"/>
      <c r="V793" s="342"/>
      <c r="W793" s="342"/>
      <c r="X793" s="342"/>
      <c r="Y793" s="342"/>
      <c r="Z793" s="342"/>
      <c r="AA793" s="342"/>
      <c r="AB793" s="342"/>
      <c r="AC793" s="342"/>
      <c r="AD793" s="342"/>
      <c r="AE793" s="342"/>
      <c r="AF793" s="342"/>
      <c r="AG793" s="342"/>
      <c r="AH793" s="342"/>
      <c r="AI793" s="342"/>
    </row>
    <row r="794">
      <c r="A794" s="342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P794" s="342"/>
      <c r="Q794" s="342"/>
      <c r="R794" s="342"/>
      <c r="S794" s="342"/>
      <c r="T794" s="342"/>
      <c r="U794" s="342"/>
      <c r="V794" s="342"/>
      <c r="W794" s="342"/>
      <c r="X794" s="342"/>
      <c r="Y794" s="342"/>
      <c r="Z794" s="342"/>
      <c r="AA794" s="342"/>
      <c r="AB794" s="342"/>
      <c r="AC794" s="342"/>
      <c r="AD794" s="342"/>
      <c r="AE794" s="342"/>
      <c r="AF794" s="342"/>
      <c r="AG794" s="342"/>
      <c r="AH794" s="342"/>
      <c r="AI794" s="342"/>
    </row>
    <row r="795">
      <c r="A795" s="342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P795" s="342"/>
      <c r="Q795" s="342"/>
      <c r="R795" s="342"/>
      <c r="S795" s="342"/>
      <c r="T795" s="342"/>
      <c r="U795" s="342"/>
      <c r="V795" s="342"/>
      <c r="W795" s="342"/>
      <c r="X795" s="342"/>
      <c r="Y795" s="342"/>
      <c r="Z795" s="342"/>
      <c r="AA795" s="342"/>
      <c r="AB795" s="342"/>
      <c r="AC795" s="342"/>
      <c r="AD795" s="342"/>
      <c r="AE795" s="342"/>
      <c r="AF795" s="342"/>
      <c r="AG795" s="342"/>
      <c r="AH795" s="342"/>
      <c r="AI795" s="342"/>
    </row>
    <row r="796">
      <c r="A796" s="342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P796" s="342"/>
      <c r="Q796" s="342"/>
      <c r="R796" s="342"/>
      <c r="S796" s="342"/>
      <c r="T796" s="342"/>
      <c r="U796" s="342"/>
      <c r="V796" s="342"/>
      <c r="W796" s="342"/>
      <c r="X796" s="342"/>
      <c r="Y796" s="342"/>
      <c r="Z796" s="342"/>
      <c r="AA796" s="342"/>
      <c r="AB796" s="342"/>
      <c r="AC796" s="342"/>
      <c r="AD796" s="342"/>
      <c r="AE796" s="342"/>
      <c r="AF796" s="342"/>
      <c r="AG796" s="342"/>
      <c r="AH796" s="342"/>
      <c r="AI796" s="342"/>
    </row>
    <row r="797">
      <c r="A797" s="342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P797" s="342"/>
      <c r="Q797" s="342"/>
      <c r="R797" s="342"/>
      <c r="S797" s="342"/>
      <c r="T797" s="342"/>
      <c r="U797" s="342"/>
      <c r="V797" s="342"/>
      <c r="W797" s="342"/>
      <c r="X797" s="342"/>
      <c r="Y797" s="342"/>
      <c r="Z797" s="342"/>
      <c r="AA797" s="342"/>
      <c r="AB797" s="342"/>
      <c r="AC797" s="342"/>
      <c r="AD797" s="342"/>
      <c r="AE797" s="342"/>
      <c r="AF797" s="342"/>
      <c r="AG797" s="342"/>
      <c r="AH797" s="342"/>
      <c r="AI797" s="342"/>
    </row>
    <row r="798">
      <c r="A798" s="342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  <c r="AA798" s="342"/>
      <c r="AB798" s="342"/>
      <c r="AC798" s="342"/>
      <c r="AD798" s="342"/>
      <c r="AE798" s="342"/>
      <c r="AF798" s="342"/>
      <c r="AG798" s="342"/>
      <c r="AH798" s="342"/>
      <c r="AI798" s="342"/>
    </row>
    <row r="799">
      <c r="A799" s="342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P799" s="342"/>
      <c r="Q799" s="342"/>
      <c r="R799" s="342"/>
      <c r="S799" s="342"/>
      <c r="T799" s="342"/>
      <c r="U799" s="342"/>
      <c r="V799" s="342"/>
      <c r="W799" s="342"/>
      <c r="X799" s="342"/>
      <c r="Y799" s="342"/>
      <c r="Z799" s="342"/>
      <c r="AA799" s="342"/>
      <c r="AB799" s="342"/>
      <c r="AC799" s="342"/>
      <c r="AD799" s="342"/>
      <c r="AE799" s="342"/>
      <c r="AF799" s="342"/>
      <c r="AG799" s="342"/>
      <c r="AH799" s="342"/>
      <c r="AI799" s="342"/>
    </row>
    <row r="800">
      <c r="A800" s="342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342"/>
      <c r="T800" s="342"/>
      <c r="U800" s="342"/>
      <c r="V800" s="342"/>
      <c r="W800" s="342"/>
      <c r="X800" s="342"/>
      <c r="Y800" s="342"/>
      <c r="Z800" s="342"/>
      <c r="AA800" s="342"/>
      <c r="AB800" s="342"/>
      <c r="AC800" s="342"/>
      <c r="AD800" s="342"/>
      <c r="AE800" s="342"/>
      <c r="AF800" s="342"/>
      <c r="AG800" s="342"/>
      <c r="AH800" s="342"/>
      <c r="AI800" s="342"/>
    </row>
    <row r="801">
      <c r="A801" s="342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P801" s="342"/>
      <c r="Q801" s="342"/>
      <c r="R801" s="342"/>
      <c r="S801" s="342"/>
      <c r="T801" s="342"/>
      <c r="U801" s="342"/>
      <c r="V801" s="342"/>
      <c r="W801" s="342"/>
      <c r="X801" s="342"/>
      <c r="Y801" s="342"/>
      <c r="Z801" s="342"/>
      <c r="AA801" s="342"/>
      <c r="AB801" s="342"/>
      <c r="AC801" s="342"/>
      <c r="AD801" s="342"/>
      <c r="AE801" s="342"/>
      <c r="AF801" s="342"/>
      <c r="AG801" s="342"/>
      <c r="AH801" s="342"/>
      <c r="AI801" s="342"/>
    </row>
    <row r="802">
      <c r="A802" s="342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P802" s="342"/>
      <c r="Q802" s="342"/>
      <c r="R802" s="342"/>
      <c r="S802" s="342"/>
      <c r="T802" s="342"/>
      <c r="U802" s="342"/>
      <c r="V802" s="342"/>
      <c r="W802" s="342"/>
      <c r="X802" s="342"/>
      <c r="Y802" s="342"/>
      <c r="Z802" s="342"/>
      <c r="AA802" s="342"/>
      <c r="AB802" s="342"/>
      <c r="AC802" s="342"/>
      <c r="AD802" s="342"/>
      <c r="AE802" s="342"/>
      <c r="AF802" s="342"/>
      <c r="AG802" s="342"/>
      <c r="AH802" s="342"/>
      <c r="AI802" s="342"/>
    </row>
    <row r="803">
      <c r="A803" s="342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P803" s="342"/>
      <c r="Q803" s="342"/>
      <c r="R803" s="342"/>
      <c r="S803" s="342"/>
      <c r="T803" s="342"/>
      <c r="U803" s="342"/>
      <c r="V803" s="342"/>
      <c r="W803" s="342"/>
      <c r="X803" s="342"/>
      <c r="Y803" s="342"/>
      <c r="Z803" s="342"/>
      <c r="AA803" s="342"/>
      <c r="AB803" s="342"/>
      <c r="AC803" s="342"/>
      <c r="AD803" s="342"/>
      <c r="AE803" s="342"/>
      <c r="AF803" s="342"/>
      <c r="AG803" s="342"/>
      <c r="AH803" s="342"/>
      <c r="AI803" s="342"/>
    </row>
    <row r="804">
      <c r="A804" s="342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P804" s="342"/>
      <c r="Q804" s="342"/>
      <c r="R804" s="342"/>
      <c r="S804" s="342"/>
      <c r="T804" s="342"/>
      <c r="U804" s="342"/>
      <c r="V804" s="342"/>
      <c r="W804" s="342"/>
      <c r="X804" s="342"/>
      <c r="Y804" s="342"/>
      <c r="Z804" s="342"/>
      <c r="AA804" s="342"/>
      <c r="AB804" s="342"/>
      <c r="AC804" s="342"/>
      <c r="AD804" s="342"/>
      <c r="AE804" s="342"/>
      <c r="AF804" s="342"/>
      <c r="AG804" s="342"/>
      <c r="AH804" s="342"/>
      <c r="AI804" s="342"/>
    </row>
    <row r="805">
      <c r="A805" s="342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P805" s="342"/>
      <c r="Q805" s="342"/>
      <c r="R805" s="342"/>
      <c r="S805" s="342"/>
      <c r="T805" s="342"/>
      <c r="U805" s="342"/>
      <c r="V805" s="342"/>
      <c r="W805" s="342"/>
      <c r="X805" s="342"/>
      <c r="Y805" s="342"/>
      <c r="Z805" s="342"/>
      <c r="AA805" s="342"/>
      <c r="AB805" s="342"/>
      <c r="AC805" s="342"/>
      <c r="AD805" s="342"/>
      <c r="AE805" s="342"/>
      <c r="AF805" s="342"/>
      <c r="AG805" s="342"/>
      <c r="AH805" s="342"/>
      <c r="AI805" s="342"/>
    </row>
    <row r="806">
      <c r="A806" s="342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P806" s="342"/>
      <c r="Q806" s="342"/>
      <c r="R806" s="342"/>
      <c r="S806" s="342"/>
      <c r="T806" s="342"/>
      <c r="U806" s="342"/>
      <c r="V806" s="342"/>
      <c r="W806" s="342"/>
      <c r="X806" s="342"/>
      <c r="Y806" s="342"/>
      <c r="Z806" s="342"/>
      <c r="AA806" s="342"/>
      <c r="AB806" s="342"/>
      <c r="AC806" s="342"/>
      <c r="AD806" s="342"/>
      <c r="AE806" s="342"/>
      <c r="AF806" s="342"/>
      <c r="AG806" s="342"/>
      <c r="AH806" s="342"/>
      <c r="AI806" s="342"/>
    </row>
    <row r="807">
      <c r="A807" s="342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P807" s="342"/>
      <c r="Q807" s="342"/>
      <c r="R807" s="342"/>
      <c r="S807" s="342"/>
      <c r="T807" s="342"/>
      <c r="U807" s="342"/>
      <c r="V807" s="342"/>
      <c r="W807" s="342"/>
      <c r="X807" s="342"/>
      <c r="Y807" s="342"/>
      <c r="Z807" s="342"/>
      <c r="AA807" s="342"/>
      <c r="AB807" s="342"/>
      <c r="AC807" s="342"/>
      <c r="AD807" s="342"/>
      <c r="AE807" s="342"/>
      <c r="AF807" s="342"/>
      <c r="AG807" s="342"/>
      <c r="AH807" s="342"/>
      <c r="AI807" s="342"/>
    </row>
    <row r="808">
      <c r="A808" s="342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P808" s="342"/>
      <c r="Q808" s="342"/>
      <c r="R808" s="342"/>
      <c r="S808" s="342"/>
      <c r="T808" s="342"/>
      <c r="U808" s="342"/>
      <c r="V808" s="342"/>
      <c r="W808" s="342"/>
      <c r="X808" s="342"/>
      <c r="Y808" s="342"/>
      <c r="Z808" s="342"/>
      <c r="AA808" s="342"/>
      <c r="AB808" s="342"/>
      <c r="AC808" s="342"/>
      <c r="AD808" s="342"/>
      <c r="AE808" s="342"/>
      <c r="AF808" s="342"/>
      <c r="AG808" s="342"/>
      <c r="AH808" s="342"/>
      <c r="AI808" s="342"/>
    </row>
    <row r="809">
      <c r="A809" s="342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P809" s="342"/>
      <c r="Q809" s="342"/>
      <c r="R809" s="342"/>
      <c r="S809" s="342"/>
      <c r="T809" s="342"/>
      <c r="U809" s="342"/>
      <c r="V809" s="342"/>
      <c r="W809" s="342"/>
      <c r="X809" s="342"/>
      <c r="Y809" s="342"/>
      <c r="Z809" s="342"/>
      <c r="AA809" s="342"/>
      <c r="AB809" s="342"/>
      <c r="AC809" s="342"/>
      <c r="AD809" s="342"/>
      <c r="AE809" s="342"/>
      <c r="AF809" s="342"/>
      <c r="AG809" s="342"/>
      <c r="AH809" s="342"/>
      <c r="AI809" s="342"/>
    </row>
    <row r="810">
      <c r="A810" s="342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P810" s="342"/>
      <c r="Q810" s="342"/>
      <c r="R810" s="342"/>
      <c r="S810" s="342"/>
      <c r="T810" s="342"/>
      <c r="U810" s="342"/>
      <c r="V810" s="342"/>
      <c r="W810" s="342"/>
      <c r="X810" s="342"/>
      <c r="Y810" s="342"/>
      <c r="Z810" s="342"/>
      <c r="AA810" s="342"/>
      <c r="AB810" s="342"/>
      <c r="AC810" s="342"/>
      <c r="AD810" s="342"/>
      <c r="AE810" s="342"/>
      <c r="AF810" s="342"/>
      <c r="AG810" s="342"/>
      <c r="AH810" s="342"/>
      <c r="AI810" s="342"/>
    </row>
    <row r="811">
      <c r="A811" s="342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P811" s="342"/>
      <c r="Q811" s="342"/>
      <c r="R811" s="342"/>
      <c r="S811" s="342"/>
      <c r="T811" s="342"/>
      <c r="U811" s="342"/>
      <c r="V811" s="342"/>
      <c r="W811" s="342"/>
      <c r="X811" s="342"/>
      <c r="Y811" s="342"/>
      <c r="Z811" s="342"/>
      <c r="AA811" s="342"/>
      <c r="AB811" s="342"/>
      <c r="AC811" s="342"/>
      <c r="AD811" s="342"/>
      <c r="AE811" s="342"/>
      <c r="AF811" s="342"/>
      <c r="AG811" s="342"/>
      <c r="AH811" s="342"/>
      <c r="AI811" s="342"/>
    </row>
    <row r="812">
      <c r="A812" s="342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P812" s="342"/>
      <c r="Q812" s="342"/>
      <c r="R812" s="342"/>
      <c r="S812" s="342"/>
      <c r="T812" s="342"/>
      <c r="U812" s="342"/>
      <c r="V812" s="342"/>
      <c r="W812" s="342"/>
      <c r="X812" s="342"/>
      <c r="Y812" s="342"/>
      <c r="Z812" s="342"/>
      <c r="AA812" s="342"/>
      <c r="AB812" s="342"/>
      <c r="AC812" s="342"/>
      <c r="AD812" s="342"/>
      <c r="AE812" s="342"/>
      <c r="AF812" s="342"/>
      <c r="AG812" s="342"/>
      <c r="AH812" s="342"/>
      <c r="AI812" s="342"/>
    </row>
    <row r="813">
      <c r="A813" s="342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P813" s="342"/>
      <c r="Q813" s="342"/>
      <c r="R813" s="342"/>
      <c r="S813" s="342"/>
      <c r="T813" s="342"/>
      <c r="U813" s="342"/>
      <c r="V813" s="342"/>
      <c r="W813" s="342"/>
      <c r="X813" s="342"/>
      <c r="Y813" s="342"/>
      <c r="Z813" s="342"/>
      <c r="AA813" s="342"/>
      <c r="AB813" s="342"/>
      <c r="AC813" s="342"/>
      <c r="AD813" s="342"/>
      <c r="AE813" s="342"/>
      <c r="AF813" s="342"/>
      <c r="AG813" s="342"/>
      <c r="AH813" s="342"/>
      <c r="AI813" s="342"/>
    </row>
    <row r="814">
      <c r="A814" s="342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P814" s="342"/>
      <c r="Q814" s="342"/>
      <c r="R814" s="342"/>
      <c r="S814" s="342"/>
      <c r="T814" s="342"/>
      <c r="U814" s="342"/>
      <c r="V814" s="342"/>
      <c r="W814" s="342"/>
      <c r="X814" s="342"/>
      <c r="Y814" s="342"/>
      <c r="Z814" s="342"/>
      <c r="AA814" s="342"/>
      <c r="AB814" s="342"/>
      <c r="AC814" s="342"/>
      <c r="AD814" s="342"/>
      <c r="AE814" s="342"/>
      <c r="AF814" s="342"/>
      <c r="AG814" s="342"/>
      <c r="AH814" s="342"/>
      <c r="AI814" s="342"/>
    </row>
    <row r="815">
      <c r="A815" s="342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P815" s="342"/>
      <c r="Q815" s="342"/>
      <c r="R815" s="342"/>
      <c r="S815" s="342"/>
      <c r="T815" s="342"/>
      <c r="U815" s="342"/>
      <c r="V815" s="342"/>
      <c r="W815" s="342"/>
      <c r="X815" s="342"/>
      <c r="Y815" s="342"/>
      <c r="Z815" s="342"/>
      <c r="AA815" s="342"/>
      <c r="AB815" s="342"/>
      <c r="AC815" s="342"/>
      <c r="AD815" s="342"/>
      <c r="AE815" s="342"/>
      <c r="AF815" s="342"/>
      <c r="AG815" s="342"/>
      <c r="AH815" s="342"/>
      <c r="AI815" s="342"/>
    </row>
    <row r="816">
      <c r="A816" s="342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P816" s="342"/>
      <c r="Q816" s="342"/>
      <c r="R816" s="342"/>
      <c r="S816" s="342"/>
      <c r="T816" s="342"/>
      <c r="U816" s="342"/>
      <c r="V816" s="342"/>
      <c r="W816" s="342"/>
      <c r="X816" s="342"/>
      <c r="Y816" s="342"/>
      <c r="Z816" s="342"/>
      <c r="AA816" s="342"/>
      <c r="AB816" s="342"/>
      <c r="AC816" s="342"/>
      <c r="AD816" s="342"/>
      <c r="AE816" s="342"/>
      <c r="AF816" s="342"/>
      <c r="AG816" s="342"/>
      <c r="AH816" s="342"/>
      <c r="AI816" s="342"/>
    </row>
    <row r="817">
      <c r="A817" s="342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P817" s="342"/>
      <c r="Q817" s="342"/>
      <c r="R817" s="342"/>
      <c r="S817" s="342"/>
      <c r="T817" s="342"/>
      <c r="U817" s="342"/>
      <c r="V817" s="342"/>
      <c r="W817" s="342"/>
      <c r="X817" s="342"/>
      <c r="Y817" s="342"/>
      <c r="Z817" s="342"/>
      <c r="AA817" s="342"/>
      <c r="AB817" s="342"/>
      <c r="AC817" s="342"/>
      <c r="AD817" s="342"/>
      <c r="AE817" s="342"/>
      <c r="AF817" s="342"/>
      <c r="AG817" s="342"/>
      <c r="AH817" s="342"/>
      <c r="AI817" s="342"/>
    </row>
    <row r="818">
      <c r="A818" s="342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P818" s="342"/>
      <c r="Q818" s="342"/>
      <c r="R818" s="342"/>
      <c r="S818" s="342"/>
      <c r="T818" s="342"/>
      <c r="U818" s="342"/>
      <c r="V818" s="342"/>
      <c r="W818" s="342"/>
      <c r="X818" s="342"/>
      <c r="Y818" s="342"/>
      <c r="Z818" s="342"/>
      <c r="AA818" s="342"/>
      <c r="AB818" s="342"/>
      <c r="AC818" s="342"/>
      <c r="AD818" s="342"/>
      <c r="AE818" s="342"/>
      <c r="AF818" s="342"/>
      <c r="AG818" s="342"/>
      <c r="AH818" s="342"/>
      <c r="AI818" s="342"/>
    </row>
    <row r="819">
      <c r="A819" s="342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P819" s="342"/>
      <c r="Q819" s="342"/>
      <c r="R819" s="342"/>
      <c r="S819" s="342"/>
      <c r="T819" s="342"/>
      <c r="U819" s="342"/>
      <c r="V819" s="342"/>
      <c r="W819" s="342"/>
      <c r="X819" s="342"/>
      <c r="Y819" s="342"/>
      <c r="Z819" s="342"/>
      <c r="AA819" s="342"/>
      <c r="AB819" s="342"/>
      <c r="AC819" s="342"/>
      <c r="AD819" s="342"/>
      <c r="AE819" s="342"/>
      <c r="AF819" s="342"/>
      <c r="AG819" s="342"/>
      <c r="AH819" s="342"/>
      <c r="AI819" s="342"/>
    </row>
    <row r="820">
      <c r="A820" s="342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P820" s="342"/>
      <c r="Q820" s="342"/>
      <c r="R820" s="342"/>
      <c r="S820" s="342"/>
      <c r="T820" s="342"/>
      <c r="U820" s="342"/>
      <c r="V820" s="342"/>
      <c r="W820" s="342"/>
      <c r="X820" s="342"/>
      <c r="Y820" s="342"/>
      <c r="Z820" s="342"/>
      <c r="AA820" s="342"/>
      <c r="AB820" s="342"/>
      <c r="AC820" s="342"/>
      <c r="AD820" s="342"/>
      <c r="AE820" s="342"/>
      <c r="AF820" s="342"/>
      <c r="AG820" s="342"/>
      <c r="AH820" s="342"/>
      <c r="AI820" s="342"/>
    </row>
    <row r="821">
      <c r="A821" s="342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P821" s="342"/>
      <c r="Q821" s="342"/>
      <c r="R821" s="342"/>
      <c r="S821" s="342"/>
      <c r="T821" s="342"/>
      <c r="U821" s="342"/>
      <c r="V821" s="342"/>
      <c r="W821" s="342"/>
      <c r="X821" s="342"/>
      <c r="Y821" s="342"/>
      <c r="Z821" s="342"/>
      <c r="AA821" s="342"/>
      <c r="AB821" s="342"/>
      <c r="AC821" s="342"/>
      <c r="AD821" s="342"/>
      <c r="AE821" s="342"/>
      <c r="AF821" s="342"/>
      <c r="AG821" s="342"/>
      <c r="AH821" s="342"/>
      <c r="AI821" s="342"/>
    </row>
    <row r="822">
      <c r="A822" s="342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P822" s="342"/>
      <c r="Q822" s="342"/>
      <c r="R822" s="342"/>
      <c r="S822" s="342"/>
      <c r="T822" s="342"/>
      <c r="U822" s="342"/>
      <c r="V822" s="342"/>
      <c r="W822" s="342"/>
      <c r="X822" s="342"/>
      <c r="Y822" s="342"/>
      <c r="Z822" s="342"/>
      <c r="AA822" s="342"/>
      <c r="AB822" s="342"/>
      <c r="AC822" s="342"/>
      <c r="AD822" s="342"/>
      <c r="AE822" s="342"/>
      <c r="AF822" s="342"/>
      <c r="AG822" s="342"/>
      <c r="AH822" s="342"/>
      <c r="AI822" s="342"/>
    </row>
    <row r="823">
      <c r="A823" s="342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P823" s="342"/>
      <c r="Q823" s="342"/>
      <c r="R823" s="342"/>
      <c r="S823" s="342"/>
      <c r="T823" s="342"/>
      <c r="U823" s="342"/>
      <c r="V823" s="342"/>
      <c r="W823" s="342"/>
      <c r="X823" s="342"/>
      <c r="Y823" s="342"/>
      <c r="Z823" s="342"/>
      <c r="AA823" s="342"/>
      <c r="AB823" s="342"/>
      <c r="AC823" s="342"/>
      <c r="AD823" s="342"/>
      <c r="AE823" s="342"/>
      <c r="AF823" s="342"/>
      <c r="AG823" s="342"/>
      <c r="AH823" s="342"/>
      <c r="AI823" s="342"/>
    </row>
    <row r="824">
      <c r="A824" s="342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P824" s="342"/>
      <c r="Q824" s="342"/>
      <c r="R824" s="342"/>
      <c r="S824" s="342"/>
      <c r="T824" s="342"/>
      <c r="U824" s="342"/>
      <c r="V824" s="342"/>
      <c r="W824" s="342"/>
      <c r="X824" s="342"/>
      <c r="Y824" s="342"/>
      <c r="Z824" s="342"/>
      <c r="AA824" s="342"/>
      <c r="AB824" s="342"/>
      <c r="AC824" s="342"/>
      <c r="AD824" s="342"/>
      <c r="AE824" s="342"/>
      <c r="AF824" s="342"/>
      <c r="AG824" s="342"/>
      <c r="AH824" s="342"/>
      <c r="AI824" s="342"/>
    </row>
    <row r="825">
      <c r="A825" s="342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P825" s="342"/>
      <c r="Q825" s="342"/>
      <c r="R825" s="342"/>
      <c r="S825" s="342"/>
      <c r="T825" s="342"/>
      <c r="U825" s="342"/>
      <c r="V825" s="342"/>
      <c r="W825" s="342"/>
      <c r="X825" s="342"/>
      <c r="Y825" s="342"/>
      <c r="Z825" s="342"/>
      <c r="AA825" s="342"/>
      <c r="AB825" s="342"/>
      <c r="AC825" s="342"/>
      <c r="AD825" s="342"/>
      <c r="AE825" s="342"/>
      <c r="AF825" s="342"/>
      <c r="AG825" s="342"/>
      <c r="AH825" s="342"/>
      <c r="AI825" s="342"/>
    </row>
    <row r="826">
      <c r="A826" s="342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P826" s="342"/>
      <c r="Q826" s="342"/>
      <c r="R826" s="342"/>
      <c r="S826" s="342"/>
      <c r="T826" s="342"/>
      <c r="U826" s="342"/>
      <c r="V826" s="342"/>
      <c r="W826" s="342"/>
      <c r="X826" s="342"/>
      <c r="Y826" s="342"/>
      <c r="Z826" s="342"/>
      <c r="AA826" s="342"/>
      <c r="AB826" s="342"/>
      <c r="AC826" s="342"/>
      <c r="AD826" s="342"/>
      <c r="AE826" s="342"/>
      <c r="AF826" s="342"/>
      <c r="AG826" s="342"/>
      <c r="AH826" s="342"/>
      <c r="AI826" s="342"/>
    </row>
    <row r="827">
      <c r="A827" s="342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P827" s="342"/>
      <c r="Q827" s="342"/>
      <c r="R827" s="342"/>
      <c r="S827" s="342"/>
      <c r="T827" s="342"/>
      <c r="U827" s="342"/>
      <c r="V827" s="342"/>
      <c r="W827" s="342"/>
      <c r="X827" s="342"/>
      <c r="Y827" s="342"/>
      <c r="Z827" s="342"/>
      <c r="AA827" s="342"/>
      <c r="AB827" s="342"/>
      <c r="AC827" s="342"/>
      <c r="AD827" s="342"/>
      <c r="AE827" s="342"/>
      <c r="AF827" s="342"/>
      <c r="AG827" s="342"/>
      <c r="AH827" s="342"/>
      <c r="AI827" s="342"/>
    </row>
    <row r="828">
      <c r="A828" s="342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P828" s="342"/>
      <c r="Q828" s="342"/>
      <c r="R828" s="342"/>
      <c r="S828" s="342"/>
      <c r="T828" s="342"/>
      <c r="U828" s="342"/>
      <c r="V828" s="342"/>
      <c r="W828" s="342"/>
      <c r="X828" s="342"/>
      <c r="Y828" s="342"/>
      <c r="Z828" s="342"/>
      <c r="AA828" s="342"/>
      <c r="AB828" s="342"/>
      <c r="AC828" s="342"/>
      <c r="AD828" s="342"/>
      <c r="AE828" s="342"/>
      <c r="AF828" s="342"/>
      <c r="AG828" s="342"/>
      <c r="AH828" s="342"/>
      <c r="AI828" s="342"/>
    </row>
    <row r="829">
      <c r="A829" s="342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P829" s="342"/>
      <c r="Q829" s="342"/>
      <c r="R829" s="342"/>
      <c r="S829" s="342"/>
      <c r="T829" s="342"/>
      <c r="U829" s="342"/>
      <c r="V829" s="342"/>
      <c r="W829" s="342"/>
      <c r="X829" s="342"/>
      <c r="Y829" s="342"/>
      <c r="Z829" s="342"/>
      <c r="AA829" s="342"/>
      <c r="AB829" s="342"/>
      <c r="AC829" s="342"/>
      <c r="AD829" s="342"/>
      <c r="AE829" s="342"/>
      <c r="AF829" s="342"/>
      <c r="AG829" s="342"/>
      <c r="AH829" s="342"/>
      <c r="AI829" s="342"/>
    </row>
    <row r="830">
      <c r="A830" s="342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P830" s="342"/>
      <c r="Q830" s="342"/>
      <c r="R830" s="342"/>
      <c r="S830" s="342"/>
      <c r="T830" s="342"/>
      <c r="U830" s="342"/>
      <c r="V830" s="342"/>
      <c r="W830" s="342"/>
      <c r="X830" s="342"/>
      <c r="Y830" s="342"/>
      <c r="Z830" s="342"/>
      <c r="AA830" s="342"/>
      <c r="AB830" s="342"/>
      <c r="AC830" s="342"/>
      <c r="AD830" s="342"/>
      <c r="AE830" s="342"/>
      <c r="AF830" s="342"/>
      <c r="AG830" s="342"/>
      <c r="AH830" s="342"/>
      <c r="AI830" s="342"/>
    </row>
    <row r="831">
      <c r="A831" s="342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P831" s="342"/>
      <c r="Q831" s="342"/>
      <c r="R831" s="342"/>
      <c r="S831" s="342"/>
      <c r="T831" s="342"/>
      <c r="U831" s="342"/>
      <c r="V831" s="342"/>
      <c r="W831" s="342"/>
      <c r="X831" s="342"/>
      <c r="Y831" s="342"/>
      <c r="Z831" s="342"/>
      <c r="AA831" s="342"/>
      <c r="AB831" s="342"/>
      <c r="AC831" s="342"/>
      <c r="AD831" s="342"/>
      <c r="AE831" s="342"/>
      <c r="AF831" s="342"/>
      <c r="AG831" s="342"/>
      <c r="AH831" s="342"/>
      <c r="AI831" s="342"/>
    </row>
    <row r="832">
      <c r="A832" s="342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P832" s="342"/>
      <c r="Q832" s="342"/>
      <c r="R832" s="342"/>
      <c r="S832" s="342"/>
      <c r="T832" s="342"/>
      <c r="U832" s="342"/>
      <c r="V832" s="342"/>
      <c r="W832" s="342"/>
      <c r="X832" s="342"/>
      <c r="Y832" s="342"/>
      <c r="Z832" s="342"/>
      <c r="AA832" s="342"/>
      <c r="AB832" s="342"/>
      <c r="AC832" s="342"/>
      <c r="AD832" s="342"/>
      <c r="AE832" s="342"/>
      <c r="AF832" s="342"/>
      <c r="AG832" s="342"/>
      <c r="AH832" s="342"/>
      <c r="AI832" s="342"/>
    </row>
    <row r="833">
      <c r="A833" s="342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  <c r="AA833" s="342"/>
      <c r="AB833" s="342"/>
      <c r="AC833" s="342"/>
      <c r="AD833" s="342"/>
      <c r="AE833" s="342"/>
      <c r="AF833" s="342"/>
      <c r="AG833" s="342"/>
      <c r="AH833" s="342"/>
      <c r="AI833" s="342"/>
    </row>
    <row r="834">
      <c r="A834" s="342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  <c r="AA834" s="342"/>
      <c r="AB834" s="342"/>
      <c r="AC834" s="342"/>
      <c r="AD834" s="342"/>
      <c r="AE834" s="342"/>
      <c r="AF834" s="342"/>
      <c r="AG834" s="342"/>
      <c r="AH834" s="342"/>
      <c r="AI834" s="342"/>
    </row>
    <row r="835">
      <c r="A835" s="342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P835" s="342"/>
      <c r="Q835" s="342"/>
      <c r="R835" s="342"/>
      <c r="S835" s="342"/>
      <c r="T835" s="342"/>
      <c r="U835" s="342"/>
      <c r="V835" s="342"/>
      <c r="W835" s="342"/>
      <c r="X835" s="342"/>
      <c r="Y835" s="342"/>
      <c r="Z835" s="342"/>
      <c r="AA835" s="342"/>
      <c r="AB835" s="342"/>
      <c r="AC835" s="342"/>
      <c r="AD835" s="342"/>
      <c r="AE835" s="342"/>
      <c r="AF835" s="342"/>
      <c r="AG835" s="342"/>
      <c r="AH835" s="342"/>
      <c r="AI835" s="342"/>
    </row>
    <row r="836">
      <c r="A836" s="342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P836" s="342"/>
      <c r="Q836" s="342"/>
      <c r="R836" s="342"/>
      <c r="S836" s="342"/>
      <c r="T836" s="342"/>
      <c r="U836" s="342"/>
      <c r="V836" s="342"/>
      <c r="W836" s="342"/>
      <c r="X836" s="342"/>
      <c r="Y836" s="342"/>
      <c r="Z836" s="342"/>
      <c r="AA836" s="342"/>
      <c r="AB836" s="342"/>
      <c r="AC836" s="342"/>
      <c r="AD836" s="342"/>
      <c r="AE836" s="342"/>
      <c r="AF836" s="342"/>
      <c r="AG836" s="342"/>
      <c r="AH836" s="342"/>
      <c r="AI836" s="342"/>
    </row>
    <row r="837">
      <c r="A837" s="342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P837" s="342"/>
      <c r="Q837" s="342"/>
      <c r="R837" s="342"/>
      <c r="S837" s="342"/>
      <c r="T837" s="342"/>
      <c r="U837" s="342"/>
      <c r="V837" s="342"/>
      <c r="W837" s="342"/>
      <c r="X837" s="342"/>
      <c r="Y837" s="342"/>
      <c r="Z837" s="342"/>
      <c r="AA837" s="342"/>
      <c r="AB837" s="342"/>
      <c r="AC837" s="342"/>
      <c r="AD837" s="342"/>
      <c r="AE837" s="342"/>
      <c r="AF837" s="342"/>
      <c r="AG837" s="342"/>
      <c r="AH837" s="342"/>
      <c r="AI837" s="342"/>
    </row>
    <row r="838">
      <c r="A838" s="342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P838" s="342"/>
      <c r="Q838" s="342"/>
      <c r="R838" s="342"/>
      <c r="S838" s="342"/>
      <c r="T838" s="342"/>
      <c r="U838" s="342"/>
      <c r="V838" s="342"/>
      <c r="W838" s="342"/>
      <c r="X838" s="342"/>
      <c r="Y838" s="342"/>
      <c r="Z838" s="342"/>
      <c r="AA838" s="342"/>
      <c r="AB838" s="342"/>
      <c r="AC838" s="342"/>
      <c r="AD838" s="342"/>
      <c r="AE838" s="342"/>
      <c r="AF838" s="342"/>
      <c r="AG838" s="342"/>
      <c r="AH838" s="342"/>
      <c r="AI838" s="342"/>
    </row>
    <row r="839">
      <c r="A839" s="342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  <c r="AA839" s="342"/>
      <c r="AB839" s="342"/>
      <c r="AC839" s="342"/>
      <c r="AD839" s="342"/>
      <c r="AE839" s="342"/>
      <c r="AF839" s="342"/>
      <c r="AG839" s="342"/>
      <c r="AH839" s="342"/>
      <c r="AI839" s="342"/>
    </row>
    <row r="840">
      <c r="A840" s="342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P840" s="342"/>
      <c r="Q840" s="342"/>
      <c r="R840" s="342"/>
      <c r="S840" s="342"/>
      <c r="T840" s="342"/>
      <c r="U840" s="342"/>
      <c r="V840" s="342"/>
      <c r="W840" s="342"/>
      <c r="X840" s="342"/>
      <c r="Y840" s="342"/>
      <c r="Z840" s="342"/>
      <c r="AA840" s="342"/>
      <c r="AB840" s="342"/>
      <c r="AC840" s="342"/>
      <c r="AD840" s="342"/>
      <c r="AE840" s="342"/>
      <c r="AF840" s="342"/>
      <c r="AG840" s="342"/>
      <c r="AH840" s="342"/>
      <c r="AI840" s="342"/>
    </row>
    <row r="841">
      <c r="A841" s="342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P841" s="342"/>
      <c r="Q841" s="342"/>
      <c r="R841" s="342"/>
      <c r="S841" s="342"/>
      <c r="T841" s="342"/>
      <c r="U841" s="342"/>
      <c r="V841" s="342"/>
      <c r="W841" s="342"/>
      <c r="X841" s="342"/>
      <c r="Y841" s="342"/>
      <c r="Z841" s="342"/>
      <c r="AA841" s="342"/>
      <c r="AB841" s="342"/>
      <c r="AC841" s="342"/>
      <c r="AD841" s="342"/>
      <c r="AE841" s="342"/>
      <c r="AF841" s="342"/>
      <c r="AG841" s="342"/>
      <c r="AH841" s="342"/>
      <c r="AI841" s="342"/>
    </row>
    <row r="842">
      <c r="A842" s="342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  <c r="AA842" s="342"/>
      <c r="AB842" s="342"/>
      <c r="AC842" s="342"/>
      <c r="AD842" s="342"/>
      <c r="AE842" s="342"/>
      <c r="AF842" s="342"/>
      <c r="AG842" s="342"/>
      <c r="AH842" s="342"/>
      <c r="AI842" s="342"/>
    </row>
    <row r="843">
      <c r="A843" s="342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P843" s="342"/>
      <c r="Q843" s="342"/>
      <c r="R843" s="342"/>
      <c r="S843" s="342"/>
      <c r="T843" s="342"/>
      <c r="U843" s="342"/>
      <c r="V843" s="342"/>
      <c r="W843" s="342"/>
      <c r="X843" s="342"/>
      <c r="Y843" s="342"/>
      <c r="Z843" s="342"/>
      <c r="AA843" s="342"/>
      <c r="AB843" s="342"/>
      <c r="AC843" s="342"/>
      <c r="AD843" s="342"/>
      <c r="AE843" s="342"/>
      <c r="AF843" s="342"/>
      <c r="AG843" s="342"/>
      <c r="AH843" s="342"/>
      <c r="AI843" s="342"/>
    </row>
    <row r="844">
      <c r="A844" s="342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P844" s="342"/>
      <c r="Q844" s="342"/>
      <c r="R844" s="342"/>
      <c r="S844" s="342"/>
      <c r="T844" s="342"/>
      <c r="U844" s="342"/>
      <c r="V844" s="342"/>
      <c r="W844" s="342"/>
      <c r="X844" s="342"/>
      <c r="Y844" s="342"/>
      <c r="Z844" s="342"/>
      <c r="AA844" s="342"/>
      <c r="AB844" s="342"/>
      <c r="AC844" s="342"/>
      <c r="AD844" s="342"/>
      <c r="AE844" s="342"/>
      <c r="AF844" s="342"/>
      <c r="AG844" s="342"/>
      <c r="AH844" s="342"/>
      <c r="AI844" s="342"/>
    </row>
    <row r="845">
      <c r="A845" s="342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P845" s="342"/>
      <c r="Q845" s="342"/>
      <c r="R845" s="342"/>
      <c r="S845" s="342"/>
      <c r="T845" s="342"/>
      <c r="U845" s="342"/>
      <c r="V845" s="342"/>
      <c r="W845" s="342"/>
      <c r="X845" s="342"/>
      <c r="Y845" s="342"/>
      <c r="Z845" s="342"/>
      <c r="AA845" s="342"/>
      <c r="AB845" s="342"/>
      <c r="AC845" s="342"/>
      <c r="AD845" s="342"/>
      <c r="AE845" s="342"/>
      <c r="AF845" s="342"/>
      <c r="AG845" s="342"/>
      <c r="AH845" s="342"/>
      <c r="AI845" s="342"/>
    </row>
    <row r="846">
      <c r="A846" s="342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P846" s="342"/>
      <c r="Q846" s="342"/>
      <c r="R846" s="342"/>
      <c r="S846" s="342"/>
      <c r="T846" s="342"/>
      <c r="U846" s="342"/>
      <c r="V846" s="342"/>
      <c r="W846" s="342"/>
      <c r="X846" s="342"/>
      <c r="Y846" s="342"/>
      <c r="Z846" s="342"/>
      <c r="AA846" s="342"/>
      <c r="AB846" s="342"/>
      <c r="AC846" s="342"/>
      <c r="AD846" s="342"/>
      <c r="AE846" s="342"/>
      <c r="AF846" s="342"/>
      <c r="AG846" s="342"/>
      <c r="AH846" s="342"/>
      <c r="AI846" s="342"/>
    </row>
    <row r="847">
      <c r="A847" s="342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P847" s="342"/>
      <c r="Q847" s="342"/>
      <c r="R847" s="342"/>
      <c r="S847" s="342"/>
      <c r="T847" s="342"/>
      <c r="U847" s="342"/>
      <c r="V847" s="342"/>
      <c r="W847" s="342"/>
      <c r="X847" s="342"/>
      <c r="Y847" s="342"/>
      <c r="Z847" s="342"/>
      <c r="AA847" s="342"/>
      <c r="AB847" s="342"/>
      <c r="AC847" s="342"/>
      <c r="AD847" s="342"/>
      <c r="AE847" s="342"/>
      <c r="AF847" s="342"/>
      <c r="AG847" s="342"/>
      <c r="AH847" s="342"/>
      <c r="AI847" s="342"/>
    </row>
    <row r="848">
      <c r="A848" s="342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P848" s="342"/>
      <c r="Q848" s="342"/>
      <c r="R848" s="342"/>
      <c r="S848" s="342"/>
      <c r="T848" s="342"/>
      <c r="U848" s="342"/>
      <c r="V848" s="342"/>
      <c r="W848" s="342"/>
      <c r="X848" s="342"/>
      <c r="Y848" s="342"/>
      <c r="Z848" s="342"/>
      <c r="AA848" s="342"/>
      <c r="AB848" s="342"/>
      <c r="AC848" s="342"/>
      <c r="AD848" s="342"/>
      <c r="AE848" s="342"/>
      <c r="AF848" s="342"/>
      <c r="AG848" s="342"/>
      <c r="AH848" s="342"/>
      <c r="AI848" s="342"/>
    </row>
    <row r="849">
      <c r="A849" s="342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P849" s="342"/>
      <c r="Q849" s="342"/>
      <c r="R849" s="342"/>
      <c r="S849" s="342"/>
      <c r="T849" s="342"/>
      <c r="U849" s="342"/>
      <c r="V849" s="342"/>
      <c r="W849" s="342"/>
      <c r="X849" s="342"/>
      <c r="Y849" s="342"/>
      <c r="Z849" s="342"/>
      <c r="AA849" s="342"/>
      <c r="AB849" s="342"/>
      <c r="AC849" s="342"/>
      <c r="AD849" s="342"/>
      <c r="AE849" s="342"/>
      <c r="AF849" s="342"/>
      <c r="AG849" s="342"/>
      <c r="AH849" s="342"/>
      <c r="AI849" s="342"/>
    </row>
    <row r="850">
      <c r="A850" s="342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P850" s="342"/>
      <c r="Q850" s="342"/>
      <c r="R850" s="342"/>
      <c r="S850" s="342"/>
      <c r="T850" s="342"/>
      <c r="U850" s="342"/>
      <c r="V850" s="342"/>
      <c r="W850" s="342"/>
      <c r="X850" s="342"/>
      <c r="Y850" s="342"/>
      <c r="Z850" s="342"/>
      <c r="AA850" s="342"/>
      <c r="AB850" s="342"/>
      <c r="AC850" s="342"/>
      <c r="AD850" s="342"/>
      <c r="AE850" s="342"/>
      <c r="AF850" s="342"/>
      <c r="AG850" s="342"/>
      <c r="AH850" s="342"/>
      <c r="AI850" s="342"/>
    </row>
    <row r="851">
      <c r="A851" s="342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P851" s="342"/>
      <c r="Q851" s="342"/>
      <c r="R851" s="342"/>
      <c r="S851" s="342"/>
      <c r="T851" s="342"/>
      <c r="U851" s="342"/>
      <c r="V851" s="342"/>
      <c r="W851" s="342"/>
      <c r="X851" s="342"/>
      <c r="Y851" s="342"/>
      <c r="Z851" s="342"/>
      <c r="AA851" s="342"/>
      <c r="AB851" s="342"/>
      <c r="AC851" s="342"/>
      <c r="AD851" s="342"/>
      <c r="AE851" s="342"/>
      <c r="AF851" s="342"/>
      <c r="AG851" s="342"/>
      <c r="AH851" s="342"/>
      <c r="AI851" s="342"/>
    </row>
    <row r="852">
      <c r="A852" s="342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P852" s="342"/>
      <c r="Q852" s="342"/>
      <c r="R852" s="342"/>
      <c r="S852" s="342"/>
      <c r="T852" s="342"/>
      <c r="U852" s="342"/>
      <c r="V852" s="342"/>
      <c r="W852" s="342"/>
      <c r="X852" s="342"/>
      <c r="Y852" s="342"/>
      <c r="Z852" s="342"/>
      <c r="AA852" s="342"/>
      <c r="AB852" s="342"/>
      <c r="AC852" s="342"/>
      <c r="AD852" s="342"/>
      <c r="AE852" s="342"/>
      <c r="AF852" s="342"/>
      <c r="AG852" s="342"/>
      <c r="AH852" s="342"/>
      <c r="AI852" s="342"/>
    </row>
    <row r="853">
      <c r="A853" s="342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P853" s="342"/>
      <c r="Q853" s="342"/>
      <c r="R853" s="342"/>
      <c r="S853" s="342"/>
      <c r="T853" s="342"/>
      <c r="U853" s="342"/>
      <c r="V853" s="342"/>
      <c r="W853" s="342"/>
      <c r="X853" s="342"/>
      <c r="Y853" s="342"/>
      <c r="Z853" s="342"/>
      <c r="AA853" s="342"/>
      <c r="AB853" s="342"/>
      <c r="AC853" s="342"/>
      <c r="AD853" s="342"/>
      <c r="AE853" s="342"/>
      <c r="AF853" s="342"/>
      <c r="AG853" s="342"/>
      <c r="AH853" s="342"/>
      <c r="AI853" s="342"/>
    </row>
    <row r="854">
      <c r="A854" s="342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P854" s="342"/>
      <c r="Q854" s="342"/>
      <c r="R854" s="342"/>
      <c r="S854" s="342"/>
      <c r="T854" s="342"/>
      <c r="U854" s="342"/>
      <c r="V854" s="342"/>
      <c r="W854" s="342"/>
      <c r="X854" s="342"/>
      <c r="Y854" s="342"/>
      <c r="Z854" s="342"/>
      <c r="AA854" s="342"/>
      <c r="AB854" s="342"/>
      <c r="AC854" s="342"/>
      <c r="AD854" s="342"/>
      <c r="AE854" s="342"/>
      <c r="AF854" s="342"/>
      <c r="AG854" s="342"/>
      <c r="AH854" s="342"/>
      <c r="AI854" s="342"/>
    </row>
    <row r="855">
      <c r="A855" s="342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P855" s="342"/>
      <c r="Q855" s="342"/>
      <c r="R855" s="342"/>
      <c r="S855" s="342"/>
      <c r="T855" s="342"/>
      <c r="U855" s="342"/>
      <c r="V855" s="342"/>
      <c r="W855" s="342"/>
      <c r="X855" s="342"/>
      <c r="Y855" s="342"/>
      <c r="Z855" s="342"/>
      <c r="AA855" s="342"/>
      <c r="AB855" s="342"/>
      <c r="AC855" s="342"/>
      <c r="AD855" s="342"/>
      <c r="AE855" s="342"/>
      <c r="AF855" s="342"/>
      <c r="AG855" s="342"/>
      <c r="AH855" s="342"/>
      <c r="AI855" s="342"/>
    </row>
    <row r="856">
      <c r="A856" s="342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P856" s="342"/>
      <c r="Q856" s="342"/>
      <c r="R856" s="342"/>
      <c r="S856" s="342"/>
      <c r="T856" s="342"/>
      <c r="U856" s="342"/>
      <c r="V856" s="342"/>
      <c r="W856" s="342"/>
      <c r="X856" s="342"/>
      <c r="Y856" s="342"/>
      <c r="Z856" s="342"/>
      <c r="AA856" s="342"/>
      <c r="AB856" s="342"/>
      <c r="AC856" s="342"/>
      <c r="AD856" s="342"/>
      <c r="AE856" s="342"/>
      <c r="AF856" s="342"/>
      <c r="AG856" s="342"/>
      <c r="AH856" s="342"/>
      <c r="AI856" s="342"/>
    </row>
    <row r="857">
      <c r="A857" s="342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P857" s="342"/>
      <c r="Q857" s="342"/>
      <c r="R857" s="342"/>
      <c r="S857" s="342"/>
      <c r="T857" s="342"/>
      <c r="U857" s="342"/>
      <c r="V857" s="342"/>
      <c r="W857" s="342"/>
      <c r="X857" s="342"/>
      <c r="Y857" s="342"/>
      <c r="Z857" s="342"/>
      <c r="AA857" s="342"/>
      <c r="AB857" s="342"/>
      <c r="AC857" s="342"/>
      <c r="AD857" s="342"/>
      <c r="AE857" s="342"/>
      <c r="AF857" s="342"/>
      <c r="AG857" s="342"/>
      <c r="AH857" s="342"/>
      <c r="AI857" s="342"/>
    </row>
    <row r="858">
      <c r="A858" s="342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P858" s="342"/>
      <c r="Q858" s="342"/>
      <c r="R858" s="342"/>
      <c r="S858" s="342"/>
      <c r="T858" s="342"/>
      <c r="U858" s="342"/>
      <c r="V858" s="342"/>
      <c r="W858" s="342"/>
      <c r="X858" s="342"/>
      <c r="Y858" s="342"/>
      <c r="Z858" s="342"/>
      <c r="AA858" s="342"/>
      <c r="AB858" s="342"/>
      <c r="AC858" s="342"/>
      <c r="AD858" s="342"/>
      <c r="AE858" s="342"/>
      <c r="AF858" s="342"/>
      <c r="AG858" s="342"/>
      <c r="AH858" s="342"/>
      <c r="AI858" s="342"/>
    </row>
    <row r="859">
      <c r="A859" s="342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P859" s="342"/>
      <c r="Q859" s="342"/>
      <c r="R859" s="342"/>
      <c r="S859" s="342"/>
      <c r="T859" s="342"/>
      <c r="U859" s="342"/>
      <c r="V859" s="342"/>
      <c r="W859" s="342"/>
      <c r="X859" s="342"/>
      <c r="Y859" s="342"/>
      <c r="Z859" s="342"/>
      <c r="AA859" s="342"/>
      <c r="AB859" s="342"/>
      <c r="AC859" s="342"/>
      <c r="AD859" s="342"/>
      <c r="AE859" s="342"/>
      <c r="AF859" s="342"/>
      <c r="AG859" s="342"/>
      <c r="AH859" s="342"/>
      <c r="AI859" s="342"/>
    </row>
    <row r="860">
      <c r="A860" s="342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P860" s="342"/>
      <c r="Q860" s="342"/>
      <c r="R860" s="342"/>
      <c r="S860" s="342"/>
      <c r="T860" s="342"/>
      <c r="U860" s="342"/>
      <c r="V860" s="342"/>
      <c r="W860" s="342"/>
      <c r="X860" s="342"/>
      <c r="Y860" s="342"/>
      <c r="Z860" s="342"/>
      <c r="AA860" s="342"/>
      <c r="AB860" s="342"/>
      <c r="AC860" s="342"/>
      <c r="AD860" s="342"/>
      <c r="AE860" s="342"/>
      <c r="AF860" s="342"/>
      <c r="AG860" s="342"/>
      <c r="AH860" s="342"/>
      <c r="AI860" s="342"/>
    </row>
    <row r="861">
      <c r="A861" s="342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P861" s="342"/>
      <c r="Q861" s="342"/>
      <c r="R861" s="342"/>
      <c r="S861" s="342"/>
      <c r="T861" s="342"/>
      <c r="U861" s="342"/>
      <c r="V861" s="342"/>
      <c r="W861" s="342"/>
      <c r="X861" s="342"/>
      <c r="Y861" s="342"/>
      <c r="Z861" s="342"/>
      <c r="AA861" s="342"/>
      <c r="AB861" s="342"/>
      <c r="AC861" s="342"/>
      <c r="AD861" s="342"/>
      <c r="AE861" s="342"/>
      <c r="AF861" s="342"/>
      <c r="AG861" s="342"/>
      <c r="AH861" s="342"/>
      <c r="AI861" s="342"/>
    </row>
    <row r="862">
      <c r="A862" s="342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P862" s="342"/>
      <c r="Q862" s="342"/>
      <c r="R862" s="342"/>
      <c r="S862" s="342"/>
      <c r="T862" s="342"/>
      <c r="U862" s="342"/>
      <c r="V862" s="342"/>
      <c r="W862" s="342"/>
      <c r="X862" s="342"/>
      <c r="Y862" s="342"/>
      <c r="Z862" s="342"/>
      <c r="AA862" s="342"/>
      <c r="AB862" s="342"/>
      <c r="AC862" s="342"/>
      <c r="AD862" s="342"/>
      <c r="AE862" s="342"/>
      <c r="AF862" s="342"/>
      <c r="AG862" s="342"/>
      <c r="AH862" s="342"/>
      <c r="AI862" s="342"/>
    </row>
    <row r="863">
      <c r="A863" s="342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P863" s="342"/>
      <c r="Q863" s="342"/>
      <c r="R863" s="342"/>
      <c r="S863" s="342"/>
      <c r="T863" s="342"/>
      <c r="U863" s="342"/>
      <c r="V863" s="342"/>
      <c r="W863" s="342"/>
      <c r="X863" s="342"/>
      <c r="Y863" s="342"/>
      <c r="Z863" s="342"/>
      <c r="AA863" s="342"/>
      <c r="AB863" s="342"/>
      <c r="AC863" s="342"/>
      <c r="AD863" s="342"/>
      <c r="AE863" s="342"/>
      <c r="AF863" s="342"/>
      <c r="AG863" s="342"/>
      <c r="AH863" s="342"/>
      <c r="AI863" s="342"/>
    </row>
    <row r="864">
      <c r="A864" s="342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  <c r="AA864" s="342"/>
      <c r="AB864" s="342"/>
      <c r="AC864" s="342"/>
      <c r="AD864" s="342"/>
      <c r="AE864" s="342"/>
      <c r="AF864" s="342"/>
      <c r="AG864" s="342"/>
      <c r="AH864" s="342"/>
      <c r="AI864" s="342"/>
    </row>
    <row r="865">
      <c r="A865" s="342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P865" s="342"/>
      <c r="Q865" s="342"/>
      <c r="R865" s="342"/>
      <c r="S865" s="342"/>
      <c r="T865" s="342"/>
      <c r="U865" s="342"/>
      <c r="V865" s="342"/>
      <c r="W865" s="342"/>
      <c r="X865" s="342"/>
      <c r="Y865" s="342"/>
      <c r="Z865" s="342"/>
      <c r="AA865" s="342"/>
      <c r="AB865" s="342"/>
      <c r="AC865" s="342"/>
      <c r="AD865" s="342"/>
      <c r="AE865" s="342"/>
      <c r="AF865" s="342"/>
      <c r="AG865" s="342"/>
      <c r="AH865" s="342"/>
      <c r="AI865" s="342"/>
    </row>
    <row r="866">
      <c r="A866" s="342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P866" s="342"/>
      <c r="Q866" s="342"/>
      <c r="R866" s="342"/>
      <c r="S866" s="342"/>
      <c r="T866" s="342"/>
      <c r="U866" s="342"/>
      <c r="V866" s="342"/>
      <c r="W866" s="342"/>
      <c r="X866" s="342"/>
      <c r="Y866" s="342"/>
      <c r="Z866" s="342"/>
      <c r="AA866" s="342"/>
      <c r="AB866" s="342"/>
      <c r="AC866" s="342"/>
      <c r="AD866" s="342"/>
      <c r="AE866" s="342"/>
      <c r="AF866" s="342"/>
      <c r="AG866" s="342"/>
      <c r="AH866" s="342"/>
      <c r="AI866" s="342"/>
    </row>
    <row r="867">
      <c r="A867" s="342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P867" s="342"/>
      <c r="Q867" s="342"/>
      <c r="R867" s="342"/>
      <c r="S867" s="342"/>
      <c r="T867" s="342"/>
      <c r="U867" s="342"/>
      <c r="V867" s="342"/>
      <c r="W867" s="342"/>
      <c r="X867" s="342"/>
      <c r="Y867" s="342"/>
      <c r="Z867" s="342"/>
      <c r="AA867" s="342"/>
      <c r="AB867" s="342"/>
      <c r="AC867" s="342"/>
      <c r="AD867" s="342"/>
      <c r="AE867" s="342"/>
      <c r="AF867" s="342"/>
      <c r="AG867" s="342"/>
      <c r="AH867" s="342"/>
      <c r="AI867" s="342"/>
    </row>
    <row r="868">
      <c r="A868" s="342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P868" s="342"/>
      <c r="Q868" s="342"/>
      <c r="R868" s="342"/>
      <c r="S868" s="342"/>
      <c r="T868" s="342"/>
      <c r="U868" s="342"/>
      <c r="V868" s="342"/>
      <c r="W868" s="342"/>
      <c r="X868" s="342"/>
      <c r="Y868" s="342"/>
      <c r="Z868" s="342"/>
      <c r="AA868" s="342"/>
      <c r="AB868" s="342"/>
      <c r="AC868" s="342"/>
      <c r="AD868" s="342"/>
      <c r="AE868" s="342"/>
      <c r="AF868" s="342"/>
      <c r="AG868" s="342"/>
      <c r="AH868" s="342"/>
      <c r="AI868" s="342"/>
    </row>
    <row r="869">
      <c r="A869" s="342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P869" s="342"/>
      <c r="Q869" s="342"/>
      <c r="R869" s="342"/>
      <c r="S869" s="342"/>
      <c r="T869" s="342"/>
      <c r="U869" s="342"/>
      <c r="V869" s="342"/>
      <c r="W869" s="342"/>
      <c r="X869" s="342"/>
      <c r="Y869" s="342"/>
      <c r="Z869" s="342"/>
      <c r="AA869" s="342"/>
      <c r="AB869" s="342"/>
      <c r="AC869" s="342"/>
      <c r="AD869" s="342"/>
      <c r="AE869" s="342"/>
      <c r="AF869" s="342"/>
      <c r="AG869" s="342"/>
      <c r="AH869" s="342"/>
      <c r="AI869" s="342"/>
    </row>
    <row r="870">
      <c r="A870" s="342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P870" s="342"/>
      <c r="Q870" s="342"/>
      <c r="R870" s="342"/>
      <c r="S870" s="342"/>
      <c r="T870" s="342"/>
      <c r="U870" s="342"/>
      <c r="V870" s="342"/>
      <c r="W870" s="342"/>
      <c r="X870" s="342"/>
      <c r="Y870" s="342"/>
      <c r="Z870" s="342"/>
      <c r="AA870" s="342"/>
      <c r="AB870" s="342"/>
      <c r="AC870" s="342"/>
      <c r="AD870" s="342"/>
      <c r="AE870" s="342"/>
      <c r="AF870" s="342"/>
      <c r="AG870" s="342"/>
      <c r="AH870" s="342"/>
      <c r="AI870" s="342"/>
    </row>
    <row r="871">
      <c r="A871" s="342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P871" s="342"/>
      <c r="Q871" s="342"/>
      <c r="R871" s="342"/>
      <c r="S871" s="342"/>
      <c r="T871" s="342"/>
      <c r="U871" s="342"/>
      <c r="V871" s="342"/>
      <c r="W871" s="342"/>
      <c r="X871" s="342"/>
      <c r="Y871" s="342"/>
      <c r="Z871" s="342"/>
      <c r="AA871" s="342"/>
      <c r="AB871" s="342"/>
      <c r="AC871" s="342"/>
      <c r="AD871" s="342"/>
      <c r="AE871" s="342"/>
      <c r="AF871" s="342"/>
      <c r="AG871" s="342"/>
      <c r="AH871" s="342"/>
      <c r="AI871" s="342"/>
    </row>
    <row r="872">
      <c r="A872" s="342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P872" s="342"/>
      <c r="Q872" s="342"/>
      <c r="R872" s="342"/>
      <c r="S872" s="342"/>
      <c r="T872" s="342"/>
      <c r="U872" s="342"/>
      <c r="V872" s="342"/>
      <c r="W872" s="342"/>
      <c r="X872" s="342"/>
      <c r="Y872" s="342"/>
      <c r="Z872" s="342"/>
      <c r="AA872" s="342"/>
      <c r="AB872" s="342"/>
      <c r="AC872" s="342"/>
      <c r="AD872" s="342"/>
      <c r="AE872" s="342"/>
      <c r="AF872" s="342"/>
      <c r="AG872" s="342"/>
      <c r="AH872" s="342"/>
      <c r="AI872" s="342"/>
    </row>
    <row r="873">
      <c r="A873" s="342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P873" s="342"/>
      <c r="Q873" s="342"/>
      <c r="R873" s="342"/>
      <c r="S873" s="342"/>
      <c r="T873" s="342"/>
      <c r="U873" s="342"/>
      <c r="V873" s="342"/>
      <c r="W873" s="342"/>
      <c r="X873" s="342"/>
      <c r="Y873" s="342"/>
      <c r="Z873" s="342"/>
      <c r="AA873" s="342"/>
      <c r="AB873" s="342"/>
      <c r="AC873" s="342"/>
      <c r="AD873" s="342"/>
      <c r="AE873" s="342"/>
      <c r="AF873" s="342"/>
      <c r="AG873" s="342"/>
      <c r="AH873" s="342"/>
      <c r="AI873" s="342"/>
    </row>
    <row r="874">
      <c r="A874" s="342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P874" s="342"/>
      <c r="Q874" s="342"/>
      <c r="R874" s="342"/>
      <c r="S874" s="342"/>
      <c r="T874" s="342"/>
      <c r="U874" s="342"/>
      <c r="V874" s="342"/>
      <c r="W874" s="342"/>
      <c r="X874" s="342"/>
      <c r="Y874" s="342"/>
      <c r="Z874" s="342"/>
      <c r="AA874" s="342"/>
      <c r="AB874" s="342"/>
      <c r="AC874" s="342"/>
      <c r="AD874" s="342"/>
      <c r="AE874" s="342"/>
      <c r="AF874" s="342"/>
      <c r="AG874" s="342"/>
      <c r="AH874" s="342"/>
      <c r="AI874" s="342"/>
    </row>
    <row r="875">
      <c r="A875" s="342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P875" s="342"/>
      <c r="Q875" s="342"/>
      <c r="R875" s="342"/>
      <c r="S875" s="342"/>
      <c r="T875" s="342"/>
      <c r="U875" s="342"/>
      <c r="V875" s="342"/>
      <c r="W875" s="342"/>
      <c r="X875" s="342"/>
      <c r="Y875" s="342"/>
      <c r="Z875" s="342"/>
      <c r="AA875" s="342"/>
      <c r="AB875" s="342"/>
      <c r="AC875" s="342"/>
      <c r="AD875" s="342"/>
      <c r="AE875" s="342"/>
      <c r="AF875" s="342"/>
      <c r="AG875" s="342"/>
      <c r="AH875" s="342"/>
      <c r="AI875" s="342"/>
    </row>
    <row r="876">
      <c r="A876" s="342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P876" s="342"/>
      <c r="Q876" s="342"/>
      <c r="R876" s="342"/>
      <c r="S876" s="342"/>
      <c r="T876" s="342"/>
      <c r="U876" s="342"/>
      <c r="V876" s="342"/>
      <c r="W876" s="342"/>
      <c r="X876" s="342"/>
      <c r="Y876" s="342"/>
      <c r="Z876" s="342"/>
      <c r="AA876" s="342"/>
      <c r="AB876" s="342"/>
      <c r="AC876" s="342"/>
      <c r="AD876" s="342"/>
      <c r="AE876" s="342"/>
      <c r="AF876" s="342"/>
      <c r="AG876" s="342"/>
      <c r="AH876" s="342"/>
      <c r="AI876" s="342"/>
    </row>
    <row r="877">
      <c r="A877" s="342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P877" s="342"/>
      <c r="Q877" s="342"/>
      <c r="R877" s="342"/>
      <c r="S877" s="342"/>
      <c r="T877" s="342"/>
      <c r="U877" s="342"/>
      <c r="V877" s="342"/>
      <c r="W877" s="342"/>
      <c r="X877" s="342"/>
      <c r="Y877" s="342"/>
      <c r="Z877" s="342"/>
      <c r="AA877" s="342"/>
      <c r="AB877" s="342"/>
      <c r="AC877" s="342"/>
      <c r="AD877" s="342"/>
      <c r="AE877" s="342"/>
      <c r="AF877" s="342"/>
      <c r="AG877" s="342"/>
      <c r="AH877" s="342"/>
      <c r="AI877" s="342"/>
    </row>
    <row r="878">
      <c r="A878" s="342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P878" s="342"/>
      <c r="Q878" s="342"/>
      <c r="R878" s="342"/>
      <c r="S878" s="342"/>
      <c r="T878" s="342"/>
      <c r="U878" s="342"/>
      <c r="V878" s="342"/>
      <c r="W878" s="342"/>
      <c r="X878" s="342"/>
      <c r="Y878" s="342"/>
      <c r="Z878" s="342"/>
      <c r="AA878" s="342"/>
      <c r="AB878" s="342"/>
      <c r="AC878" s="342"/>
      <c r="AD878" s="342"/>
      <c r="AE878" s="342"/>
      <c r="AF878" s="342"/>
      <c r="AG878" s="342"/>
      <c r="AH878" s="342"/>
      <c r="AI878" s="342"/>
    </row>
    <row r="879">
      <c r="A879" s="342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P879" s="342"/>
      <c r="Q879" s="342"/>
      <c r="R879" s="342"/>
      <c r="S879" s="342"/>
      <c r="T879" s="342"/>
      <c r="U879" s="342"/>
      <c r="V879" s="342"/>
      <c r="W879" s="342"/>
      <c r="X879" s="342"/>
      <c r="Y879" s="342"/>
      <c r="Z879" s="342"/>
      <c r="AA879" s="342"/>
      <c r="AB879" s="342"/>
      <c r="AC879" s="342"/>
      <c r="AD879" s="342"/>
      <c r="AE879" s="342"/>
      <c r="AF879" s="342"/>
      <c r="AG879" s="342"/>
      <c r="AH879" s="342"/>
      <c r="AI879" s="342"/>
    </row>
    <row r="880">
      <c r="A880" s="342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P880" s="342"/>
      <c r="Q880" s="342"/>
      <c r="R880" s="342"/>
      <c r="S880" s="342"/>
      <c r="T880" s="342"/>
      <c r="U880" s="342"/>
      <c r="V880" s="342"/>
      <c r="W880" s="342"/>
      <c r="X880" s="342"/>
      <c r="Y880" s="342"/>
      <c r="Z880" s="342"/>
      <c r="AA880" s="342"/>
      <c r="AB880" s="342"/>
      <c r="AC880" s="342"/>
      <c r="AD880" s="342"/>
      <c r="AE880" s="342"/>
      <c r="AF880" s="342"/>
      <c r="AG880" s="342"/>
      <c r="AH880" s="342"/>
      <c r="AI880" s="342"/>
    </row>
    <row r="881">
      <c r="A881" s="342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P881" s="342"/>
      <c r="Q881" s="342"/>
      <c r="R881" s="342"/>
      <c r="S881" s="342"/>
      <c r="T881" s="342"/>
      <c r="U881" s="342"/>
      <c r="V881" s="342"/>
      <c r="W881" s="342"/>
      <c r="X881" s="342"/>
      <c r="Y881" s="342"/>
      <c r="Z881" s="342"/>
      <c r="AA881" s="342"/>
      <c r="AB881" s="342"/>
      <c r="AC881" s="342"/>
      <c r="AD881" s="342"/>
      <c r="AE881" s="342"/>
      <c r="AF881" s="342"/>
      <c r="AG881" s="342"/>
      <c r="AH881" s="342"/>
      <c r="AI881" s="342"/>
    </row>
    <row r="882">
      <c r="A882" s="342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P882" s="342"/>
      <c r="Q882" s="342"/>
      <c r="R882" s="342"/>
      <c r="S882" s="342"/>
      <c r="T882" s="342"/>
      <c r="U882" s="342"/>
      <c r="V882" s="342"/>
      <c r="W882" s="342"/>
      <c r="X882" s="342"/>
      <c r="Y882" s="342"/>
      <c r="Z882" s="342"/>
      <c r="AA882" s="342"/>
      <c r="AB882" s="342"/>
      <c r="AC882" s="342"/>
      <c r="AD882" s="342"/>
      <c r="AE882" s="342"/>
      <c r="AF882" s="342"/>
      <c r="AG882" s="342"/>
      <c r="AH882" s="342"/>
      <c r="AI882" s="342"/>
    </row>
    <row r="883">
      <c r="A883" s="342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P883" s="342"/>
      <c r="Q883" s="342"/>
      <c r="R883" s="342"/>
      <c r="S883" s="342"/>
      <c r="T883" s="342"/>
      <c r="U883" s="342"/>
      <c r="V883" s="342"/>
      <c r="W883" s="342"/>
      <c r="X883" s="342"/>
      <c r="Y883" s="342"/>
      <c r="Z883" s="342"/>
      <c r="AA883" s="342"/>
      <c r="AB883" s="342"/>
      <c r="AC883" s="342"/>
      <c r="AD883" s="342"/>
      <c r="AE883" s="342"/>
      <c r="AF883" s="342"/>
      <c r="AG883" s="342"/>
      <c r="AH883" s="342"/>
      <c r="AI883" s="342"/>
    </row>
    <row r="884">
      <c r="A884" s="342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P884" s="342"/>
      <c r="Q884" s="342"/>
      <c r="R884" s="342"/>
      <c r="S884" s="342"/>
      <c r="T884" s="342"/>
      <c r="U884" s="342"/>
      <c r="V884" s="342"/>
      <c r="W884" s="342"/>
      <c r="X884" s="342"/>
      <c r="Y884" s="342"/>
      <c r="Z884" s="342"/>
      <c r="AA884" s="342"/>
      <c r="AB884" s="342"/>
      <c r="AC884" s="342"/>
      <c r="AD884" s="342"/>
      <c r="AE884" s="342"/>
      <c r="AF884" s="342"/>
      <c r="AG884" s="342"/>
      <c r="AH884" s="342"/>
      <c r="AI884" s="342"/>
    </row>
    <row r="885">
      <c r="A885" s="342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P885" s="342"/>
      <c r="Q885" s="342"/>
      <c r="R885" s="342"/>
      <c r="S885" s="342"/>
      <c r="T885" s="342"/>
      <c r="U885" s="342"/>
      <c r="V885" s="342"/>
      <c r="W885" s="342"/>
      <c r="X885" s="342"/>
      <c r="Y885" s="342"/>
      <c r="Z885" s="342"/>
      <c r="AA885" s="342"/>
      <c r="AB885" s="342"/>
      <c r="AC885" s="342"/>
      <c r="AD885" s="342"/>
      <c r="AE885" s="342"/>
      <c r="AF885" s="342"/>
      <c r="AG885" s="342"/>
      <c r="AH885" s="342"/>
      <c r="AI885" s="342"/>
    </row>
    <row r="886">
      <c r="A886" s="342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P886" s="342"/>
      <c r="Q886" s="342"/>
      <c r="R886" s="342"/>
      <c r="S886" s="342"/>
      <c r="T886" s="342"/>
      <c r="U886" s="342"/>
      <c r="V886" s="342"/>
      <c r="W886" s="342"/>
      <c r="X886" s="342"/>
      <c r="Y886" s="342"/>
      <c r="Z886" s="342"/>
      <c r="AA886" s="342"/>
      <c r="AB886" s="342"/>
      <c r="AC886" s="342"/>
      <c r="AD886" s="342"/>
      <c r="AE886" s="342"/>
      <c r="AF886" s="342"/>
      <c r="AG886" s="342"/>
      <c r="AH886" s="342"/>
      <c r="AI886" s="342"/>
    </row>
    <row r="887">
      <c r="A887" s="342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P887" s="342"/>
      <c r="Q887" s="342"/>
      <c r="R887" s="342"/>
      <c r="S887" s="342"/>
      <c r="T887" s="342"/>
      <c r="U887" s="342"/>
      <c r="V887" s="342"/>
      <c r="W887" s="342"/>
      <c r="X887" s="342"/>
      <c r="Y887" s="342"/>
      <c r="Z887" s="342"/>
      <c r="AA887" s="342"/>
      <c r="AB887" s="342"/>
      <c r="AC887" s="342"/>
      <c r="AD887" s="342"/>
      <c r="AE887" s="342"/>
      <c r="AF887" s="342"/>
      <c r="AG887" s="342"/>
      <c r="AH887" s="342"/>
      <c r="AI887" s="342"/>
    </row>
    <row r="888">
      <c r="A888" s="342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P888" s="342"/>
      <c r="Q888" s="342"/>
      <c r="R888" s="342"/>
      <c r="S888" s="342"/>
      <c r="T888" s="342"/>
      <c r="U888" s="342"/>
      <c r="V888" s="342"/>
      <c r="W888" s="342"/>
      <c r="X888" s="342"/>
      <c r="Y888" s="342"/>
      <c r="Z888" s="342"/>
      <c r="AA888" s="342"/>
      <c r="AB888" s="342"/>
      <c r="AC888" s="342"/>
      <c r="AD888" s="342"/>
      <c r="AE888" s="342"/>
      <c r="AF888" s="342"/>
      <c r="AG888" s="342"/>
      <c r="AH888" s="342"/>
      <c r="AI888" s="342"/>
    </row>
    <row r="889">
      <c r="A889" s="342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P889" s="342"/>
      <c r="Q889" s="342"/>
      <c r="R889" s="342"/>
      <c r="S889" s="342"/>
      <c r="T889" s="342"/>
      <c r="U889" s="342"/>
      <c r="V889" s="342"/>
      <c r="W889" s="342"/>
      <c r="X889" s="342"/>
      <c r="Y889" s="342"/>
      <c r="Z889" s="342"/>
      <c r="AA889" s="342"/>
      <c r="AB889" s="342"/>
      <c r="AC889" s="342"/>
      <c r="AD889" s="342"/>
      <c r="AE889" s="342"/>
      <c r="AF889" s="342"/>
      <c r="AG889" s="342"/>
      <c r="AH889" s="342"/>
      <c r="AI889" s="342"/>
    </row>
    <row r="890">
      <c r="A890" s="342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P890" s="342"/>
      <c r="Q890" s="342"/>
      <c r="R890" s="342"/>
      <c r="S890" s="342"/>
      <c r="T890" s="342"/>
      <c r="U890" s="342"/>
      <c r="V890" s="342"/>
      <c r="W890" s="342"/>
      <c r="X890" s="342"/>
      <c r="Y890" s="342"/>
      <c r="Z890" s="342"/>
      <c r="AA890" s="342"/>
      <c r="AB890" s="342"/>
      <c r="AC890" s="342"/>
      <c r="AD890" s="342"/>
      <c r="AE890" s="342"/>
      <c r="AF890" s="342"/>
      <c r="AG890" s="342"/>
      <c r="AH890" s="342"/>
      <c r="AI890" s="342"/>
    </row>
    <row r="891">
      <c r="A891" s="342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2"/>
      <c r="X891" s="342"/>
      <c r="Y891" s="342"/>
      <c r="Z891" s="342"/>
      <c r="AA891" s="342"/>
      <c r="AB891" s="342"/>
      <c r="AC891" s="342"/>
      <c r="AD891" s="342"/>
      <c r="AE891" s="342"/>
      <c r="AF891" s="342"/>
      <c r="AG891" s="342"/>
      <c r="AH891" s="342"/>
      <c r="AI891" s="342"/>
    </row>
    <row r="892">
      <c r="A892" s="342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P892" s="342"/>
      <c r="Q892" s="342"/>
      <c r="R892" s="342"/>
      <c r="S892" s="342"/>
      <c r="T892" s="342"/>
      <c r="U892" s="342"/>
      <c r="V892" s="342"/>
      <c r="W892" s="342"/>
      <c r="X892" s="342"/>
      <c r="Y892" s="342"/>
      <c r="Z892" s="342"/>
      <c r="AA892" s="342"/>
      <c r="AB892" s="342"/>
      <c r="AC892" s="342"/>
      <c r="AD892" s="342"/>
      <c r="AE892" s="342"/>
      <c r="AF892" s="342"/>
      <c r="AG892" s="342"/>
      <c r="AH892" s="342"/>
      <c r="AI892" s="342"/>
    </row>
    <row r="893">
      <c r="A893" s="342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P893" s="342"/>
      <c r="Q893" s="342"/>
      <c r="R893" s="342"/>
      <c r="S893" s="342"/>
      <c r="T893" s="342"/>
      <c r="U893" s="342"/>
      <c r="V893" s="342"/>
      <c r="W893" s="342"/>
      <c r="X893" s="342"/>
      <c r="Y893" s="342"/>
      <c r="Z893" s="342"/>
      <c r="AA893" s="342"/>
      <c r="AB893" s="342"/>
      <c r="AC893" s="342"/>
      <c r="AD893" s="342"/>
      <c r="AE893" s="342"/>
      <c r="AF893" s="342"/>
      <c r="AG893" s="342"/>
      <c r="AH893" s="342"/>
      <c r="AI893" s="342"/>
    </row>
    <row r="894">
      <c r="A894" s="342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P894" s="342"/>
      <c r="Q894" s="342"/>
      <c r="R894" s="342"/>
      <c r="S894" s="342"/>
      <c r="T894" s="342"/>
      <c r="U894" s="342"/>
      <c r="V894" s="342"/>
      <c r="W894" s="342"/>
      <c r="X894" s="342"/>
      <c r="Y894" s="342"/>
      <c r="Z894" s="342"/>
      <c r="AA894" s="342"/>
      <c r="AB894" s="342"/>
      <c r="AC894" s="342"/>
      <c r="AD894" s="342"/>
      <c r="AE894" s="342"/>
      <c r="AF894" s="342"/>
      <c r="AG894" s="342"/>
      <c r="AH894" s="342"/>
      <c r="AI894" s="342"/>
    </row>
    <row r="895">
      <c r="A895" s="342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P895" s="342"/>
      <c r="Q895" s="342"/>
      <c r="R895" s="342"/>
      <c r="S895" s="342"/>
      <c r="T895" s="342"/>
      <c r="U895" s="342"/>
      <c r="V895" s="342"/>
      <c r="W895" s="342"/>
      <c r="X895" s="342"/>
      <c r="Y895" s="342"/>
      <c r="Z895" s="342"/>
      <c r="AA895" s="342"/>
      <c r="AB895" s="342"/>
      <c r="AC895" s="342"/>
      <c r="AD895" s="342"/>
      <c r="AE895" s="342"/>
      <c r="AF895" s="342"/>
      <c r="AG895" s="342"/>
      <c r="AH895" s="342"/>
      <c r="AI895" s="342"/>
    </row>
    <row r="896">
      <c r="A896" s="342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P896" s="342"/>
      <c r="Q896" s="342"/>
      <c r="R896" s="342"/>
      <c r="S896" s="342"/>
      <c r="T896" s="342"/>
      <c r="U896" s="342"/>
      <c r="V896" s="342"/>
      <c r="W896" s="342"/>
      <c r="X896" s="342"/>
      <c r="Y896" s="342"/>
      <c r="Z896" s="342"/>
      <c r="AA896" s="342"/>
      <c r="AB896" s="342"/>
      <c r="AC896" s="342"/>
      <c r="AD896" s="342"/>
      <c r="AE896" s="342"/>
      <c r="AF896" s="342"/>
      <c r="AG896" s="342"/>
      <c r="AH896" s="342"/>
      <c r="AI896" s="342"/>
    </row>
    <row r="897">
      <c r="A897" s="342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P897" s="342"/>
      <c r="Q897" s="342"/>
      <c r="R897" s="342"/>
      <c r="S897" s="342"/>
      <c r="T897" s="342"/>
      <c r="U897" s="342"/>
      <c r="V897" s="342"/>
      <c r="W897" s="342"/>
      <c r="X897" s="342"/>
      <c r="Y897" s="342"/>
      <c r="Z897" s="342"/>
      <c r="AA897" s="342"/>
      <c r="AB897" s="342"/>
      <c r="AC897" s="342"/>
      <c r="AD897" s="342"/>
      <c r="AE897" s="342"/>
      <c r="AF897" s="342"/>
      <c r="AG897" s="342"/>
      <c r="AH897" s="342"/>
      <c r="AI897" s="342"/>
    </row>
    <row r="898">
      <c r="A898" s="342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P898" s="342"/>
      <c r="Q898" s="342"/>
      <c r="R898" s="342"/>
      <c r="S898" s="342"/>
      <c r="T898" s="342"/>
      <c r="U898" s="342"/>
      <c r="V898" s="342"/>
      <c r="W898" s="342"/>
      <c r="X898" s="342"/>
      <c r="Y898" s="342"/>
      <c r="Z898" s="342"/>
      <c r="AA898" s="342"/>
      <c r="AB898" s="342"/>
      <c r="AC898" s="342"/>
      <c r="AD898" s="342"/>
      <c r="AE898" s="342"/>
      <c r="AF898" s="342"/>
      <c r="AG898" s="342"/>
      <c r="AH898" s="342"/>
      <c r="AI898" s="342"/>
    </row>
    <row r="899">
      <c r="A899" s="342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P899" s="342"/>
      <c r="Q899" s="342"/>
      <c r="R899" s="342"/>
      <c r="S899" s="342"/>
      <c r="T899" s="342"/>
      <c r="U899" s="342"/>
      <c r="V899" s="342"/>
      <c r="W899" s="342"/>
      <c r="X899" s="342"/>
      <c r="Y899" s="342"/>
      <c r="Z899" s="342"/>
      <c r="AA899" s="342"/>
      <c r="AB899" s="342"/>
      <c r="AC899" s="342"/>
      <c r="AD899" s="342"/>
      <c r="AE899" s="342"/>
      <c r="AF899" s="342"/>
      <c r="AG899" s="342"/>
      <c r="AH899" s="342"/>
      <c r="AI899" s="342"/>
    </row>
    <row r="900">
      <c r="A900" s="342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P900" s="342"/>
      <c r="Q900" s="342"/>
      <c r="R900" s="342"/>
      <c r="S900" s="342"/>
      <c r="T900" s="342"/>
      <c r="U900" s="342"/>
      <c r="V900" s="342"/>
      <c r="W900" s="342"/>
      <c r="X900" s="342"/>
      <c r="Y900" s="342"/>
      <c r="Z900" s="342"/>
      <c r="AA900" s="342"/>
      <c r="AB900" s="342"/>
      <c r="AC900" s="342"/>
      <c r="AD900" s="342"/>
      <c r="AE900" s="342"/>
      <c r="AF900" s="342"/>
      <c r="AG900" s="342"/>
      <c r="AH900" s="342"/>
      <c r="AI900" s="342"/>
    </row>
    <row r="901">
      <c r="A901" s="342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P901" s="342"/>
      <c r="Q901" s="342"/>
      <c r="R901" s="342"/>
      <c r="S901" s="342"/>
      <c r="T901" s="342"/>
      <c r="U901" s="342"/>
      <c r="V901" s="342"/>
      <c r="W901" s="342"/>
      <c r="X901" s="342"/>
      <c r="Y901" s="342"/>
      <c r="Z901" s="342"/>
      <c r="AA901" s="342"/>
      <c r="AB901" s="342"/>
      <c r="AC901" s="342"/>
      <c r="AD901" s="342"/>
      <c r="AE901" s="342"/>
      <c r="AF901" s="342"/>
      <c r="AG901" s="342"/>
      <c r="AH901" s="342"/>
      <c r="AI901" s="342"/>
    </row>
    <row r="902">
      <c r="A902" s="342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P902" s="342"/>
      <c r="Q902" s="342"/>
      <c r="R902" s="342"/>
      <c r="S902" s="342"/>
      <c r="T902" s="342"/>
      <c r="U902" s="342"/>
      <c r="V902" s="342"/>
      <c r="W902" s="342"/>
      <c r="X902" s="342"/>
      <c r="Y902" s="342"/>
      <c r="Z902" s="342"/>
      <c r="AA902" s="342"/>
      <c r="AB902" s="342"/>
      <c r="AC902" s="342"/>
      <c r="AD902" s="342"/>
      <c r="AE902" s="342"/>
      <c r="AF902" s="342"/>
      <c r="AG902" s="342"/>
      <c r="AH902" s="342"/>
      <c r="AI902" s="342"/>
    </row>
    <row r="903">
      <c r="A903" s="342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P903" s="342"/>
      <c r="Q903" s="342"/>
      <c r="R903" s="342"/>
      <c r="S903" s="342"/>
      <c r="T903" s="342"/>
      <c r="U903" s="342"/>
      <c r="V903" s="342"/>
      <c r="W903" s="342"/>
      <c r="X903" s="342"/>
      <c r="Y903" s="342"/>
      <c r="Z903" s="342"/>
      <c r="AA903" s="342"/>
      <c r="AB903" s="342"/>
      <c r="AC903" s="342"/>
      <c r="AD903" s="342"/>
      <c r="AE903" s="342"/>
      <c r="AF903" s="342"/>
      <c r="AG903" s="342"/>
      <c r="AH903" s="342"/>
      <c r="AI903" s="342"/>
    </row>
    <row r="904">
      <c r="A904" s="342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P904" s="342"/>
      <c r="Q904" s="342"/>
      <c r="R904" s="342"/>
      <c r="S904" s="342"/>
      <c r="T904" s="342"/>
      <c r="U904" s="342"/>
      <c r="V904" s="342"/>
      <c r="W904" s="342"/>
      <c r="X904" s="342"/>
      <c r="Y904" s="342"/>
      <c r="Z904" s="342"/>
      <c r="AA904" s="342"/>
      <c r="AB904" s="342"/>
      <c r="AC904" s="342"/>
      <c r="AD904" s="342"/>
      <c r="AE904" s="342"/>
      <c r="AF904" s="342"/>
      <c r="AG904" s="342"/>
      <c r="AH904" s="342"/>
      <c r="AI904" s="342"/>
    </row>
    <row r="905">
      <c r="A905" s="342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P905" s="342"/>
      <c r="Q905" s="342"/>
      <c r="R905" s="342"/>
      <c r="S905" s="342"/>
      <c r="T905" s="342"/>
      <c r="U905" s="342"/>
      <c r="V905" s="342"/>
      <c r="W905" s="342"/>
      <c r="X905" s="342"/>
      <c r="Y905" s="342"/>
      <c r="Z905" s="342"/>
      <c r="AA905" s="342"/>
      <c r="AB905" s="342"/>
      <c r="AC905" s="342"/>
      <c r="AD905" s="342"/>
      <c r="AE905" s="342"/>
      <c r="AF905" s="342"/>
      <c r="AG905" s="342"/>
      <c r="AH905" s="342"/>
      <c r="AI905" s="342"/>
    </row>
    <row r="906">
      <c r="A906" s="342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P906" s="342"/>
      <c r="Q906" s="342"/>
      <c r="R906" s="342"/>
      <c r="S906" s="342"/>
      <c r="T906" s="342"/>
      <c r="U906" s="342"/>
      <c r="V906" s="342"/>
      <c r="W906" s="342"/>
      <c r="X906" s="342"/>
      <c r="Y906" s="342"/>
      <c r="Z906" s="342"/>
      <c r="AA906" s="342"/>
      <c r="AB906" s="342"/>
      <c r="AC906" s="342"/>
      <c r="AD906" s="342"/>
      <c r="AE906" s="342"/>
      <c r="AF906" s="342"/>
      <c r="AG906" s="342"/>
      <c r="AH906" s="342"/>
      <c r="AI906" s="342"/>
    </row>
    <row r="907">
      <c r="A907" s="342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P907" s="342"/>
      <c r="Q907" s="342"/>
      <c r="R907" s="342"/>
      <c r="S907" s="342"/>
      <c r="T907" s="342"/>
      <c r="U907" s="342"/>
      <c r="V907" s="342"/>
      <c r="W907" s="342"/>
      <c r="X907" s="342"/>
      <c r="Y907" s="342"/>
      <c r="Z907" s="342"/>
      <c r="AA907" s="342"/>
      <c r="AB907" s="342"/>
      <c r="AC907" s="342"/>
      <c r="AD907" s="342"/>
      <c r="AE907" s="342"/>
      <c r="AF907" s="342"/>
      <c r="AG907" s="342"/>
      <c r="AH907" s="342"/>
      <c r="AI907" s="342"/>
    </row>
    <row r="908">
      <c r="A908" s="342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P908" s="342"/>
      <c r="Q908" s="342"/>
      <c r="R908" s="342"/>
      <c r="S908" s="342"/>
      <c r="T908" s="342"/>
      <c r="U908" s="342"/>
      <c r="V908" s="342"/>
      <c r="W908" s="342"/>
      <c r="X908" s="342"/>
      <c r="Y908" s="342"/>
      <c r="Z908" s="342"/>
      <c r="AA908" s="342"/>
      <c r="AB908" s="342"/>
      <c r="AC908" s="342"/>
      <c r="AD908" s="342"/>
      <c r="AE908" s="342"/>
      <c r="AF908" s="342"/>
      <c r="AG908" s="342"/>
      <c r="AH908" s="342"/>
      <c r="AI908" s="342"/>
    </row>
    <row r="909">
      <c r="A909" s="342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P909" s="342"/>
      <c r="Q909" s="342"/>
      <c r="R909" s="342"/>
      <c r="S909" s="342"/>
      <c r="T909" s="342"/>
      <c r="U909" s="342"/>
      <c r="V909" s="342"/>
      <c r="W909" s="342"/>
      <c r="X909" s="342"/>
      <c r="Y909" s="342"/>
      <c r="Z909" s="342"/>
      <c r="AA909" s="342"/>
      <c r="AB909" s="342"/>
      <c r="AC909" s="342"/>
      <c r="AD909" s="342"/>
      <c r="AE909" s="342"/>
      <c r="AF909" s="342"/>
      <c r="AG909" s="342"/>
      <c r="AH909" s="342"/>
      <c r="AI909" s="342"/>
    </row>
    <row r="910">
      <c r="A910" s="342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P910" s="342"/>
      <c r="Q910" s="342"/>
      <c r="R910" s="342"/>
      <c r="S910" s="342"/>
      <c r="T910" s="342"/>
      <c r="U910" s="342"/>
      <c r="V910" s="342"/>
      <c r="W910" s="342"/>
      <c r="X910" s="342"/>
      <c r="Y910" s="342"/>
      <c r="Z910" s="342"/>
      <c r="AA910" s="342"/>
      <c r="AB910" s="342"/>
      <c r="AC910" s="342"/>
      <c r="AD910" s="342"/>
      <c r="AE910" s="342"/>
      <c r="AF910" s="342"/>
      <c r="AG910" s="342"/>
      <c r="AH910" s="342"/>
      <c r="AI910" s="342"/>
    </row>
    <row r="911">
      <c r="A911" s="342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P911" s="342"/>
      <c r="Q911" s="342"/>
      <c r="R911" s="342"/>
      <c r="S911" s="342"/>
      <c r="T911" s="342"/>
      <c r="U911" s="342"/>
      <c r="V911" s="342"/>
      <c r="W911" s="342"/>
      <c r="X911" s="342"/>
      <c r="Y911" s="342"/>
      <c r="Z911" s="342"/>
      <c r="AA911" s="342"/>
      <c r="AB911" s="342"/>
      <c r="AC911" s="342"/>
      <c r="AD911" s="342"/>
      <c r="AE911" s="342"/>
      <c r="AF911" s="342"/>
      <c r="AG911" s="342"/>
      <c r="AH911" s="342"/>
      <c r="AI911" s="342"/>
    </row>
    <row r="912">
      <c r="A912" s="342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P912" s="342"/>
      <c r="Q912" s="342"/>
      <c r="R912" s="342"/>
      <c r="S912" s="342"/>
      <c r="T912" s="342"/>
      <c r="U912" s="342"/>
      <c r="V912" s="342"/>
      <c r="W912" s="342"/>
      <c r="X912" s="342"/>
      <c r="Y912" s="342"/>
      <c r="Z912" s="342"/>
      <c r="AA912" s="342"/>
      <c r="AB912" s="342"/>
      <c r="AC912" s="342"/>
      <c r="AD912" s="342"/>
      <c r="AE912" s="342"/>
      <c r="AF912" s="342"/>
      <c r="AG912" s="342"/>
      <c r="AH912" s="342"/>
      <c r="AI912" s="342"/>
    </row>
    <row r="913">
      <c r="A913" s="342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P913" s="342"/>
      <c r="Q913" s="342"/>
      <c r="R913" s="342"/>
      <c r="S913" s="342"/>
      <c r="T913" s="342"/>
      <c r="U913" s="342"/>
      <c r="V913" s="342"/>
      <c r="W913" s="342"/>
      <c r="X913" s="342"/>
      <c r="Y913" s="342"/>
      <c r="Z913" s="342"/>
      <c r="AA913" s="342"/>
      <c r="AB913" s="342"/>
      <c r="AC913" s="342"/>
      <c r="AD913" s="342"/>
      <c r="AE913" s="342"/>
      <c r="AF913" s="342"/>
      <c r="AG913" s="342"/>
      <c r="AH913" s="342"/>
      <c r="AI913" s="342"/>
    </row>
    <row r="914">
      <c r="A914" s="342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P914" s="342"/>
      <c r="Q914" s="342"/>
      <c r="R914" s="342"/>
      <c r="S914" s="342"/>
      <c r="T914" s="342"/>
      <c r="U914" s="342"/>
      <c r="V914" s="342"/>
      <c r="W914" s="342"/>
      <c r="X914" s="342"/>
      <c r="Y914" s="342"/>
      <c r="Z914" s="342"/>
      <c r="AA914" s="342"/>
      <c r="AB914" s="342"/>
      <c r="AC914" s="342"/>
      <c r="AD914" s="342"/>
      <c r="AE914" s="342"/>
      <c r="AF914" s="342"/>
      <c r="AG914" s="342"/>
      <c r="AH914" s="342"/>
      <c r="AI914" s="342"/>
    </row>
    <row r="915">
      <c r="A915" s="342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P915" s="342"/>
      <c r="Q915" s="342"/>
      <c r="R915" s="342"/>
      <c r="S915" s="342"/>
      <c r="T915" s="342"/>
      <c r="U915" s="342"/>
      <c r="V915" s="342"/>
      <c r="W915" s="342"/>
      <c r="X915" s="342"/>
      <c r="Y915" s="342"/>
      <c r="Z915" s="342"/>
      <c r="AA915" s="342"/>
      <c r="AB915" s="342"/>
      <c r="AC915" s="342"/>
      <c r="AD915" s="342"/>
      <c r="AE915" s="342"/>
      <c r="AF915" s="342"/>
      <c r="AG915" s="342"/>
      <c r="AH915" s="342"/>
      <c r="AI915" s="342"/>
    </row>
    <row r="916">
      <c r="A916" s="342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P916" s="342"/>
      <c r="Q916" s="342"/>
      <c r="R916" s="342"/>
      <c r="S916" s="342"/>
      <c r="T916" s="342"/>
      <c r="U916" s="342"/>
      <c r="V916" s="342"/>
      <c r="W916" s="342"/>
      <c r="X916" s="342"/>
      <c r="Y916" s="342"/>
      <c r="Z916" s="342"/>
      <c r="AA916" s="342"/>
      <c r="AB916" s="342"/>
      <c r="AC916" s="342"/>
      <c r="AD916" s="342"/>
      <c r="AE916" s="342"/>
      <c r="AF916" s="342"/>
      <c r="AG916" s="342"/>
      <c r="AH916" s="342"/>
      <c r="AI916" s="342"/>
    </row>
    <row r="917">
      <c r="A917" s="342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P917" s="342"/>
      <c r="Q917" s="342"/>
      <c r="R917" s="342"/>
      <c r="S917" s="342"/>
      <c r="T917" s="342"/>
      <c r="U917" s="342"/>
      <c r="V917" s="342"/>
      <c r="W917" s="342"/>
      <c r="X917" s="342"/>
      <c r="Y917" s="342"/>
      <c r="Z917" s="342"/>
      <c r="AA917" s="342"/>
      <c r="AB917" s="342"/>
      <c r="AC917" s="342"/>
      <c r="AD917" s="342"/>
      <c r="AE917" s="342"/>
      <c r="AF917" s="342"/>
      <c r="AG917" s="342"/>
      <c r="AH917" s="342"/>
      <c r="AI917" s="342"/>
    </row>
    <row r="918">
      <c r="A918" s="342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P918" s="342"/>
      <c r="Q918" s="342"/>
      <c r="R918" s="342"/>
      <c r="S918" s="342"/>
      <c r="T918" s="342"/>
      <c r="U918" s="342"/>
      <c r="V918" s="342"/>
      <c r="W918" s="342"/>
      <c r="X918" s="342"/>
      <c r="Y918" s="342"/>
      <c r="Z918" s="342"/>
      <c r="AA918" s="342"/>
      <c r="AB918" s="342"/>
      <c r="AC918" s="342"/>
      <c r="AD918" s="342"/>
      <c r="AE918" s="342"/>
      <c r="AF918" s="342"/>
      <c r="AG918" s="342"/>
      <c r="AH918" s="342"/>
      <c r="AI918" s="342"/>
    </row>
    <row r="919">
      <c r="A919" s="342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P919" s="342"/>
      <c r="Q919" s="342"/>
      <c r="R919" s="342"/>
      <c r="S919" s="342"/>
      <c r="T919" s="342"/>
      <c r="U919" s="342"/>
      <c r="V919" s="342"/>
      <c r="W919" s="342"/>
      <c r="X919" s="342"/>
      <c r="Y919" s="342"/>
      <c r="Z919" s="342"/>
      <c r="AA919" s="342"/>
      <c r="AB919" s="342"/>
      <c r="AC919" s="342"/>
      <c r="AD919" s="342"/>
      <c r="AE919" s="342"/>
      <c r="AF919" s="342"/>
      <c r="AG919" s="342"/>
      <c r="AH919" s="342"/>
      <c r="AI919" s="342"/>
    </row>
    <row r="920">
      <c r="A920" s="342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P920" s="342"/>
      <c r="Q920" s="342"/>
      <c r="R920" s="342"/>
      <c r="S920" s="342"/>
      <c r="T920" s="342"/>
      <c r="U920" s="342"/>
      <c r="V920" s="342"/>
      <c r="W920" s="342"/>
      <c r="X920" s="342"/>
      <c r="Y920" s="342"/>
      <c r="Z920" s="342"/>
      <c r="AA920" s="342"/>
      <c r="AB920" s="342"/>
      <c r="AC920" s="342"/>
      <c r="AD920" s="342"/>
      <c r="AE920" s="342"/>
      <c r="AF920" s="342"/>
      <c r="AG920" s="342"/>
      <c r="AH920" s="342"/>
      <c r="AI920" s="342"/>
    </row>
    <row r="921">
      <c r="A921" s="342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P921" s="342"/>
      <c r="Q921" s="342"/>
      <c r="R921" s="342"/>
      <c r="S921" s="342"/>
      <c r="T921" s="342"/>
      <c r="U921" s="342"/>
      <c r="V921" s="342"/>
      <c r="W921" s="342"/>
      <c r="X921" s="342"/>
      <c r="Y921" s="342"/>
      <c r="Z921" s="342"/>
      <c r="AA921" s="342"/>
      <c r="AB921" s="342"/>
      <c r="AC921" s="342"/>
      <c r="AD921" s="342"/>
      <c r="AE921" s="342"/>
      <c r="AF921" s="342"/>
      <c r="AG921" s="342"/>
      <c r="AH921" s="342"/>
      <c r="AI921" s="342"/>
    </row>
    <row r="922">
      <c r="A922" s="342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P922" s="342"/>
      <c r="Q922" s="342"/>
      <c r="R922" s="342"/>
      <c r="S922" s="342"/>
      <c r="T922" s="342"/>
      <c r="U922" s="342"/>
      <c r="V922" s="342"/>
      <c r="W922" s="342"/>
      <c r="X922" s="342"/>
      <c r="Y922" s="342"/>
      <c r="Z922" s="342"/>
      <c r="AA922" s="342"/>
      <c r="AB922" s="342"/>
      <c r="AC922" s="342"/>
      <c r="AD922" s="342"/>
      <c r="AE922" s="342"/>
      <c r="AF922" s="342"/>
      <c r="AG922" s="342"/>
      <c r="AH922" s="342"/>
      <c r="AI922" s="342"/>
    </row>
    <row r="923">
      <c r="A923" s="342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P923" s="342"/>
      <c r="Q923" s="342"/>
      <c r="R923" s="342"/>
      <c r="S923" s="342"/>
      <c r="T923" s="342"/>
      <c r="U923" s="342"/>
      <c r="V923" s="342"/>
      <c r="W923" s="342"/>
      <c r="X923" s="342"/>
      <c r="Y923" s="342"/>
      <c r="Z923" s="342"/>
      <c r="AA923" s="342"/>
      <c r="AB923" s="342"/>
      <c r="AC923" s="342"/>
      <c r="AD923" s="342"/>
      <c r="AE923" s="342"/>
      <c r="AF923" s="342"/>
      <c r="AG923" s="342"/>
      <c r="AH923" s="342"/>
      <c r="AI923" s="342"/>
    </row>
    <row r="924">
      <c r="A924" s="342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P924" s="342"/>
      <c r="Q924" s="342"/>
      <c r="R924" s="342"/>
      <c r="S924" s="342"/>
      <c r="T924" s="342"/>
      <c r="U924" s="342"/>
      <c r="V924" s="342"/>
      <c r="W924" s="342"/>
      <c r="X924" s="342"/>
      <c r="Y924" s="342"/>
      <c r="Z924" s="342"/>
      <c r="AA924" s="342"/>
      <c r="AB924" s="342"/>
      <c r="AC924" s="342"/>
      <c r="AD924" s="342"/>
      <c r="AE924" s="342"/>
      <c r="AF924" s="342"/>
      <c r="AG924" s="342"/>
      <c r="AH924" s="342"/>
      <c r="AI924" s="342"/>
    </row>
    <row r="925">
      <c r="A925" s="342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P925" s="342"/>
      <c r="Q925" s="342"/>
      <c r="R925" s="342"/>
      <c r="S925" s="342"/>
      <c r="T925" s="342"/>
      <c r="U925" s="342"/>
      <c r="V925" s="342"/>
      <c r="W925" s="342"/>
      <c r="X925" s="342"/>
      <c r="Y925" s="342"/>
      <c r="Z925" s="342"/>
      <c r="AA925" s="342"/>
      <c r="AB925" s="342"/>
      <c r="AC925" s="342"/>
      <c r="AD925" s="342"/>
      <c r="AE925" s="342"/>
      <c r="AF925" s="342"/>
      <c r="AG925" s="342"/>
      <c r="AH925" s="342"/>
      <c r="AI925" s="342"/>
    </row>
    <row r="926">
      <c r="A926" s="342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P926" s="342"/>
      <c r="Q926" s="342"/>
      <c r="R926" s="342"/>
      <c r="S926" s="342"/>
      <c r="T926" s="342"/>
      <c r="U926" s="342"/>
      <c r="V926" s="342"/>
      <c r="W926" s="342"/>
      <c r="X926" s="342"/>
      <c r="Y926" s="342"/>
      <c r="Z926" s="342"/>
      <c r="AA926" s="342"/>
      <c r="AB926" s="342"/>
      <c r="AC926" s="342"/>
      <c r="AD926" s="342"/>
      <c r="AE926" s="342"/>
      <c r="AF926" s="342"/>
      <c r="AG926" s="342"/>
      <c r="AH926" s="342"/>
      <c r="AI926" s="342"/>
    </row>
    <row r="927">
      <c r="A927" s="342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P927" s="342"/>
      <c r="Q927" s="342"/>
      <c r="R927" s="342"/>
      <c r="S927" s="342"/>
      <c r="T927" s="342"/>
      <c r="U927" s="342"/>
      <c r="V927" s="342"/>
      <c r="W927" s="342"/>
      <c r="X927" s="342"/>
      <c r="Y927" s="342"/>
      <c r="Z927" s="342"/>
      <c r="AA927" s="342"/>
      <c r="AB927" s="342"/>
      <c r="AC927" s="342"/>
      <c r="AD927" s="342"/>
      <c r="AE927" s="342"/>
      <c r="AF927" s="342"/>
      <c r="AG927" s="342"/>
      <c r="AH927" s="342"/>
      <c r="AI927" s="342"/>
    </row>
    <row r="928">
      <c r="A928" s="342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P928" s="342"/>
      <c r="Q928" s="342"/>
      <c r="R928" s="342"/>
      <c r="S928" s="342"/>
      <c r="T928" s="342"/>
      <c r="U928" s="342"/>
      <c r="V928" s="342"/>
      <c r="W928" s="342"/>
      <c r="X928" s="342"/>
      <c r="Y928" s="342"/>
      <c r="Z928" s="342"/>
      <c r="AA928" s="342"/>
      <c r="AB928" s="342"/>
      <c r="AC928" s="342"/>
      <c r="AD928" s="342"/>
      <c r="AE928" s="342"/>
      <c r="AF928" s="342"/>
      <c r="AG928" s="342"/>
      <c r="AH928" s="342"/>
      <c r="AI928" s="342"/>
    </row>
    <row r="929">
      <c r="A929" s="342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P929" s="342"/>
      <c r="Q929" s="342"/>
      <c r="R929" s="342"/>
      <c r="S929" s="342"/>
      <c r="T929" s="342"/>
      <c r="U929" s="342"/>
      <c r="V929" s="342"/>
      <c r="W929" s="342"/>
      <c r="X929" s="342"/>
      <c r="Y929" s="342"/>
      <c r="Z929" s="342"/>
      <c r="AA929" s="342"/>
      <c r="AB929" s="342"/>
      <c r="AC929" s="342"/>
      <c r="AD929" s="342"/>
      <c r="AE929" s="342"/>
      <c r="AF929" s="342"/>
      <c r="AG929" s="342"/>
      <c r="AH929" s="342"/>
      <c r="AI929" s="342"/>
    </row>
    <row r="930">
      <c r="A930" s="342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  <c r="AA930" s="342"/>
      <c r="AB930" s="342"/>
      <c r="AC930" s="342"/>
      <c r="AD930" s="342"/>
      <c r="AE930" s="342"/>
      <c r="AF930" s="342"/>
      <c r="AG930" s="342"/>
      <c r="AH930" s="342"/>
      <c r="AI930" s="342"/>
    </row>
    <row r="931">
      <c r="A931" s="342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P931" s="342"/>
      <c r="Q931" s="342"/>
      <c r="R931" s="342"/>
      <c r="S931" s="342"/>
      <c r="T931" s="342"/>
      <c r="U931" s="342"/>
      <c r="V931" s="342"/>
      <c r="W931" s="342"/>
      <c r="X931" s="342"/>
      <c r="Y931" s="342"/>
      <c r="Z931" s="342"/>
      <c r="AA931" s="342"/>
      <c r="AB931" s="342"/>
      <c r="AC931" s="342"/>
      <c r="AD931" s="342"/>
      <c r="AE931" s="342"/>
      <c r="AF931" s="342"/>
      <c r="AG931" s="342"/>
      <c r="AH931" s="342"/>
      <c r="AI931" s="342"/>
    </row>
    <row r="932">
      <c r="A932" s="342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P932" s="342"/>
      <c r="Q932" s="342"/>
      <c r="R932" s="342"/>
      <c r="S932" s="342"/>
      <c r="T932" s="342"/>
      <c r="U932" s="342"/>
      <c r="V932" s="342"/>
      <c r="W932" s="342"/>
      <c r="X932" s="342"/>
      <c r="Y932" s="342"/>
      <c r="Z932" s="342"/>
      <c r="AA932" s="342"/>
      <c r="AB932" s="342"/>
      <c r="AC932" s="342"/>
      <c r="AD932" s="342"/>
      <c r="AE932" s="342"/>
      <c r="AF932" s="342"/>
      <c r="AG932" s="342"/>
      <c r="AH932" s="342"/>
      <c r="AI932" s="342"/>
    </row>
    <row r="933">
      <c r="A933" s="342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P933" s="342"/>
      <c r="Q933" s="342"/>
      <c r="R933" s="342"/>
      <c r="S933" s="342"/>
      <c r="T933" s="342"/>
      <c r="U933" s="342"/>
      <c r="V933" s="342"/>
      <c r="W933" s="342"/>
      <c r="X933" s="342"/>
      <c r="Y933" s="342"/>
      <c r="Z933" s="342"/>
      <c r="AA933" s="342"/>
      <c r="AB933" s="342"/>
      <c r="AC933" s="342"/>
      <c r="AD933" s="342"/>
      <c r="AE933" s="342"/>
      <c r="AF933" s="342"/>
      <c r="AG933" s="342"/>
      <c r="AH933" s="342"/>
      <c r="AI933" s="342"/>
    </row>
    <row r="934">
      <c r="A934" s="342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P934" s="342"/>
      <c r="Q934" s="342"/>
      <c r="R934" s="342"/>
      <c r="S934" s="342"/>
      <c r="T934" s="342"/>
      <c r="U934" s="342"/>
      <c r="V934" s="342"/>
      <c r="W934" s="342"/>
      <c r="X934" s="342"/>
      <c r="Y934" s="342"/>
      <c r="Z934" s="342"/>
      <c r="AA934" s="342"/>
      <c r="AB934" s="342"/>
      <c r="AC934" s="342"/>
      <c r="AD934" s="342"/>
      <c r="AE934" s="342"/>
      <c r="AF934" s="342"/>
      <c r="AG934" s="342"/>
      <c r="AH934" s="342"/>
      <c r="AI934" s="342"/>
    </row>
    <row r="935">
      <c r="A935" s="342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  <c r="AA935" s="342"/>
      <c r="AB935" s="342"/>
      <c r="AC935" s="342"/>
      <c r="AD935" s="342"/>
      <c r="AE935" s="342"/>
      <c r="AF935" s="342"/>
      <c r="AG935" s="342"/>
      <c r="AH935" s="342"/>
      <c r="AI935" s="342"/>
    </row>
    <row r="936">
      <c r="A936" s="342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P936" s="342"/>
      <c r="Q936" s="342"/>
      <c r="R936" s="342"/>
      <c r="S936" s="342"/>
      <c r="T936" s="342"/>
      <c r="U936" s="342"/>
      <c r="V936" s="342"/>
      <c r="W936" s="342"/>
      <c r="X936" s="342"/>
      <c r="Y936" s="342"/>
      <c r="Z936" s="342"/>
      <c r="AA936" s="342"/>
      <c r="AB936" s="342"/>
      <c r="AC936" s="342"/>
      <c r="AD936" s="342"/>
      <c r="AE936" s="342"/>
      <c r="AF936" s="342"/>
      <c r="AG936" s="342"/>
      <c r="AH936" s="342"/>
      <c r="AI936" s="342"/>
    </row>
    <row r="937">
      <c r="A937" s="342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P937" s="342"/>
      <c r="Q937" s="342"/>
      <c r="R937" s="342"/>
      <c r="S937" s="342"/>
      <c r="T937" s="342"/>
      <c r="U937" s="342"/>
      <c r="V937" s="342"/>
      <c r="W937" s="342"/>
      <c r="X937" s="342"/>
      <c r="Y937" s="342"/>
      <c r="Z937" s="342"/>
      <c r="AA937" s="342"/>
      <c r="AB937" s="342"/>
      <c r="AC937" s="342"/>
      <c r="AD937" s="342"/>
      <c r="AE937" s="342"/>
      <c r="AF937" s="342"/>
      <c r="AG937" s="342"/>
      <c r="AH937" s="342"/>
      <c r="AI937" s="342"/>
    </row>
    <row r="938">
      <c r="A938" s="342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P938" s="342"/>
      <c r="Q938" s="342"/>
      <c r="R938" s="342"/>
      <c r="S938" s="342"/>
      <c r="T938" s="342"/>
      <c r="U938" s="342"/>
      <c r="V938" s="342"/>
      <c r="W938" s="342"/>
      <c r="X938" s="342"/>
      <c r="Y938" s="342"/>
      <c r="Z938" s="342"/>
      <c r="AA938" s="342"/>
      <c r="AB938" s="342"/>
      <c r="AC938" s="342"/>
      <c r="AD938" s="342"/>
      <c r="AE938" s="342"/>
      <c r="AF938" s="342"/>
      <c r="AG938" s="342"/>
      <c r="AH938" s="342"/>
      <c r="AI938" s="342"/>
    </row>
    <row r="939">
      <c r="A939" s="342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P939" s="342"/>
      <c r="Q939" s="342"/>
      <c r="R939" s="342"/>
      <c r="S939" s="342"/>
      <c r="T939" s="342"/>
      <c r="U939" s="342"/>
      <c r="V939" s="342"/>
      <c r="W939" s="342"/>
      <c r="X939" s="342"/>
      <c r="Y939" s="342"/>
      <c r="Z939" s="342"/>
      <c r="AA939" s="342"/>
      <c r="AB939" s="342"/>
      <c r="AC939" s="342"/>
      <c r="AD939" s="342"/>
      <c r="AE939" s="342"/>
      <c r="AF939" s="342"/>
      <c r="AG939" s="342"/>
      <c r="AH939" s="342"/>
      <c r="AI939" s="342"/>
    </row>
    <row r="940">
      <c r="A940" s="342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P940" s="342"/>
      <c r="Q940" s="342"/>
      <c r="R940" s="342"/>
      <c r="S940" s="342"/>
      <c r="T940" s="342"/>
      <c r="U940" s="342"/>
      <c r="V940" s="342"/>
      <c r="W940" s="342"/>
      <c r="X940" s="342"/>
      <c r="Y940" s="342"/>
      <c r="Z940" s="342"/>
      <c r="AA940" s="342"/>
      <c r="AB940" s="342"/>
      <c r="AC940" s="342"/>
      <c r="AD940" s="342"/>
      <c r="AE940" s="342"/>
      <c r="AF940" s="342"/>
      <c r="AG940" s="342"/>
      <c r="AH940" s="342"/>
      <c r="AI940" s="342"/>
    </row>
    <row r="941">
      <c r="A941" s="342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P941" s="342"/>
      <c r="Q941" s="342"/>
      <c r="R941" s="342"/>
      <c r="S941" s="342"/>
      <c r="T941" s="342"/>
      <c r="U941" s="342"/>
      <c r="V941" s="342"/>
      <c r="W941" s="342"/>
      <c r="X941" s="342"/>
      <c r="Y941" s="342"/>
      <c r="Z941" s="342"/>
      <c r="AA941" s="342"/>
      <c r="AB941" s="342"/>
      <c r="AC941" s="342"/>
      <c r="AD941" s="342"/>
      <c r="AE941" s="342"/>
      <c r="AF941" s="342"/>
      <c r="AG941" s="342"/>
      <c r="AH941" s="342"/>
      <c r="AI941" s="342"/>
    </row>
    <row r="942">
      <c r="A942" s="342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P942" s="342"/>
      <c r="Q942" s="342"/>
      <c r="R942" s="342"/>
      <c r="S942" s="342"/>
      <c r="T942" s="342"/>
      <c r="U942" s="342"/>
      <c r="V942" s="342"/>
      <c r="W942" s="342"/>
      <c r="X942" s="342"/>
      <c r="Y942" s="342"/>
      <c r="Z942" s="342"/>
      <c r="AA942" s="342"/>
      <c r="AB942" s="342"/>
      <c r="AC942" s="342"/>
      <c r="AD942" s="342"/>
      <c r="AE942" s="342"/>
      <c r="AF942" s="342"/>
      <c r="AG942" s="342"/>
      <c r="AH942" s="342"/>
      <c r="AI942" s="342"/>
    </row>
    <row r="943">
      <c r="A943" s="342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P943" s="342"/>
      <c r="Q943" s="342"/>
      <c r="R943" s="342"/>
      <c r="S943" s="342"/>
      <c r="T943" s="342"/>
      <c r="U943" s="342"/>
      <c r="V943" s="342"/>
      <c r="W943" s="342"/>
      <c r="X943" s="342"/>
      <c r="Y943" s="342"/>
      <c r="Z943" s="342"/>
      <c r="AA943" s="342"/>
      <c r="AB943" s="342"/>
      <c r="AC943" s="342"/>
      <c r="AD943" s="342"/>
      <c r="AE943" s="342"/>
      <c r="AF943" s="342"/>
      <c r="AG943" s="342"/>
      <c r="AH943" s="342"/>
      <c r="AI943" s="342"/>
    </row>
    <row r="944">
      <c r="A944" s="342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P944" s="342"/>
      <c r="Q944" s="342"/>
      <c r="R944" s="342"/>
      <c r="S944" s="342"/>
      <c r="T944" s="342"/>
      <c r="U944" s="342"/>
      <c r="V944" s="342"/>
      <c r="W944" s="342"/>
      <c r="X944" s="342"/>
      <c r="Y944" s="342"/>
      <c r="Z944" s="342"/>
      <c r="AA944" s="342"/>
      <c r="AB944" s="342"/>
      <c r="AC944" s="342"/>
      <c r="AD944" s="342"/>
      <c r="AE944" s="342"/>
      <c r="AF944" s="342"/>
      <c r="AG944" s="342"/>
      <c r="AH944" s="342"/>
      <c r="AI944" s="342"/>
    </row>
    <row r="945">
      <c r="A945" s="342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P945" s="342"/>
      <c r="Q945" s="342"/>
      <c r="R945" s="342"/>
      <c r="S945" s="342"/>
      <c r="T945" s="342"/>
      <c r="U945" s="342"/>
      <c r="V945" s="342"/>
      <c r="W945" s="342"/>
      <c r="X945" s="342"/>
      <c r="Y945" s="342"/>
      <c r="Z945" s="342"/>
      <c r="AA945" s="342"/>
      <c r="AB945" s="342"/>
      <c r="AC945" s="342"/>
      <c r="AD945" s="342"/>
      <c r="AE945" s="342"/>
      <c r="AF945" s="342"/>
      <c r="AG945" s="342"/>
      <c r="AH945" s="342"/>
      <c r="AI945" s="342"/>
    </row>
    <row r="946">
      <c r="A946" s="342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P946" s="342"/>
      <c r="Q946" s="342"/>
      <c r="R946" s="342"/>
      <c r="S946" s="342"/>
      <c r="T946" s="342"/>
      <c r="U946" s="342"/>
      <c r="V946" s="342"/>
      <c r="W946" s="342"/>
      <c r="X946" s="342"/>
      <c r="Y946" s="342"/>
      <c r="Z946" s="342"/>
      <c r="AA946" s="342"/>
      <c r="AB946" s="342"/>
      <c r="AC946" s="342"/>
      <c r="AD946" s="342"/>
      <c r="AE946" s="342"/>
      <c r="AF946" s="342"/>
      <c r="AG946" s="342"/>
      <c r="AH946" s="342"/>
      <c r="AI946" s="342"/>
    </row>
    <row r="947">
      <c r="A947" s="342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P947" s="342"/>
      <c r="Q947" s="342"/>
      <c r="R947" s="342"/>
      <c r="S947" s="342"/>
      <c r="T947" s="342"/>
      <c r="U947" s="342"/>
      <c r="V947" s="342"/>
      <c r="W947" s="342"/>
      <c r="X947" s="342"/>
      <c r="Y947" s="342"/>
      <c r="Z947" s="342"/>
      <c r="AA947" s="342"/>
      <c r="AB947" s="342"/>
      <c r="AC947" s="342"/>
      <c r="AD947" s="342"/>
      <c r="AE947" s="342"/>
      <c r="AF947" s="342"/>
      <c r="AG947" s="342"/>
      <c r="AH947" s="342"/>
      <c r="AI947" s="342"/>
    </row>
    <row r="948">
      <c r="A948" s="342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P948" s="342"/>
      <c r="Q948" s="342"/>
      <c r="R948" s="342"/>
      <c r="S948" s="342"/>
      <c r="T948" s="342"/>
      <c r="U948" s="342"/>
      <c r="V948" s="342"/>
      <c r="W948" s="342"/>
      <c r="X948" s="342"/>
      <c r="Y948" s="342"/>
      <c r="Z948" s="342"/>
      <c r="AA948" s="342"/>
      <c r="AB948" s="342"/>
      <c r="AC948" s="342"/>
      <c r="AD948" s="342"/>
      <c r="AE948" s="342"/>
      <c r="AF948" s="342"/>
      <c r="AG948" s="342"/>
      <c r="AH948" s="342"/>
      <c r="AI948" s="342"/>
    </row>
    <row r="949">
      <c r="A949" s="342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P949" s="342"/>
      <c r="Q949" s="342"/>
      <c r="R949" s="342"/>
      <c r="S949" s="342"/>
      <c r="T949" s="342"/>
      <c r="U949" s="342"/>
      <c r="V949" s="342"/>
      <c r="W949" s="342"/>
      <c r="X949" s="342"/>
      <c r="Y949" s="342"/>
      <c r="Z949" s="342"/>
      <c r="AA949" s="342"/>
      <c r="AB949" s="342"/>
      <c r="AC949" s="342"/>
      <c r="AD949" s="342"/>
      <c r="AE949" s="342"/>
      <c r="AF949" s="342"/>
      <c r="AG949" s="342"/>
      <c r="AH949" s="342"/>
      <c r="AI949" s="342"/>
    </row>
    <row r="950">
      <c r="A950" s="342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P950" s="342"/>
      <c r="Q950" s="342"/>
      <c r="R950" s="342"/>
      <c r="S950" s="342"/>
      <c r="T950" s="342"/>
      <c r="U950" s="342"/>
      <c r="V950" s="342"/>
      <c r="W950" s="342"/>
      <c r="X950" s="342"/>
      <c r="Y950" s="342"/>
      <c r="Z950" s="342"/>
      <c r="AA950" s="342"/>
      <c r="AB950" s="342"/>
      <c r="AC950" s="342"/>
      <c r="AD950" s="342"/>
      <c r="AE950" s="342"/>
      <c r="AF950" s="342"/>
      <c r="AG950" s="342"/>
      <c r="AH950" s="342"/>
      <c r="AI950" s="342"/>
    </row>
    <row r="951">
      <c r="A951" s="342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P951" s="342"/>
      <c r="Q951" s="342"/>
      <c r="R951" s="342"/>
      <c r="S951" s="342"/>
      <c r="T951" s="342"/>
      <c r="U951" s="342"/>
      <c r="V951" s="342"/>
      <c r="W951" s="342"/>
      <c r="X951" s="342"/>
      <c r="Y951" s="342"/>
      <c r="Z951" s="342"/>
      <c r="AA951" s="342"/>
      <c r="AB951" s="342"/>
      <c r="AC951" s="342"/>
      <c r="AD951" s="342"/>
      <c r="AE951" s="342"/>
      <c r="AF951" s="342"/>
      <c r="AG951" s="342"/>
      <c r="AH951" s="342"/>
      <c r="AI951" s="342"/>
    </row>
    <row r="952">
      <c r="A952" s="342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P952" s="342"/>
      <c r="Q952" s="342"/>
      <c r="R952" s="342"/>
      <c r="S952" s="342"/>
      <c r="T952" s="342"/>
      <c r="U952" s="342"/>
      <c r="V952" s="342"/>
      <c r="W952" s="342"/>
      <c r="X952" s="342"/>
      <c r="Y952" s="342"/>
      <c r="Z952" s="342"/>
      <c r="AA952" s="342"/>
      <c r="AB952" s="342"/>
      <c r="AC952" s="342"/>
      <c r="AD952" s="342"/>
      <c r="AE952" s="342"/>
      <c r="AF952" s="342"/>
      <c r="AG952" s="342"/>
      <c r="AH952" s="342"/>
      <c r="AI952" s="342"/>
    </row>
    <row r="953">
      <c r="A953" s="342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P953" s="342"/>
      <c r="Q953" s="342"/>
      <c r="R953" s="342"/>
      <c r="S953" s="342"/>
      <c r="T953" s="342"/>
      <c r="U953" s="342"/>
      <c r="V953" s="342"/>
      <c r="W953" s="342"/>
      <c r="X953" s="342"/>
      <c r="Y953" s="342"/>
      <c r="Z953" s="342"/>
      <c r="AA953" s="342"/>
      <c r="AB953" s="342"/>
      <c r="AC953" s="342"/>
      <c r="AD953" s="342"/>
      <c r="AE953" s="342"/>
      <c r="AF953" s="342"/>
      <c r="AG953" s="342"/>
      <c r="AH953" s="342"/>
      <c r="AI953" s="342"/>
    </row>
    <row r="954">
      <c r="A954" s="342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P954" s="342"/>
      <c r="Q954" s="342"/>
      <c r="R954" s="342"/>
      <c r="S954" s="342"/>
      <c r="T954" s="342"/>
      <c r="U954" s="342"/>
      <c r="V954" s="342"/>
      <c r="W954" s="342"/>
      <c r="X954" s="342"/>
      <c r="Y954" s="342"/>
      <c r="Z954" s="342"/>
      <c r="AA954" s="342"/>
      <c r="AB954" s="342"/>
      <c r="AC954" s="342"/>
      <c r="AD954" s="342"/>
      <c r="AE954" s="342"/>
      <c r="AF954" s="342"/>
      <c r="AG954" s="342"/>
      <c r="AH954" s="342"/>
      <c r="AI954" s="342"/>
    </row>
    <row r="955">
      <c r="A955" s="342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P955" s="342"/>
      <c r="Q955" s="342"/>
      <c r="R955" s="342"/>
      <c r="S955" s="342"/>
      <c r="T955" s="342"/>
      <c r="U955" s="342"/>
      <c r="V955" s="342"/>
      <c r="W955" s="342"/>
      <c r="X955" s="342"/>
      <c r="Y955" s="342"/>
      <c r="Z955" s="342"/>
      <c r="AA955" s="342"/>
      <c r="AB955" s="342"/>
      <c r="AC955" s="342"/>
      <c r="AD955" s="342"/>
      <c r="AE955" s="342"/>
      <c r="AF955" s="342"/>
      <c r="AG955" s="342"/>
      <c r="AH955" s="342"/>
      <c r="AI955" s="342"/>
    </row>
    <row r="956">
      <c r="A956" s="342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P956" s="342"/>
      <c r="Q956" s="342"/>
      <c r="R956" s="342"/>
      <c r="S956" s="342"/>
      <c r="T956" s="342"/>
      <c r="U956" s="342"/>
      <c r="V956" s="342"/>
      <c r="W956" s="342"/>
      <c r="X956" s="342"/>
      <c r="Y956" s="342"/>
      <c r="Z956" s="342"/>
      <c r="AA956" s="342"/>
      <c r="AB956" s="342"/>
      <c r="AC956" s="342"/>
      <c r="AD956" s="342"/>
      <c r="AE956" s="342"/>
      <c r="AF956" s="342"/>
      <c r="AG956" s="342"/>
      <c r="AH956" s="342"/>
      <c r="AI956" s="342"/>
    </row>
    <row r="957">
      <c r="A957" s="342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P957" s="342"/>
      <c r="Q957" s="342"/>
      <c r="R957" s="342"/>
      <c r="S957" s="342"/>
      <c r="T957" s="342"/>
      <c r="U957" s="342"/>
      <c r="V957" s="342"/>
      <c r="W957" s="342"/>
      <c r="X957" s="342"/>
      <c r="Y957" s="342"/>
      <c r="Z957" s="342"/>
      <c r="AA957" s="342"/>
      <c r="AB957" s="342"/>
      <c r="AC957" s="342"/>
      <c r="AD957" s="342"/>
      <c r="AE957" s="342"/>
      <c r="AF957" s="342"/>
      <c r="AG957" s="342"/>
      <c r="AH957" s="342"/>
      <c r="AI957" s="342"/>
    </row>
    <row r="958">
      <c r="A958" s="342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P958" s="342"/>
      <c r="Q958" s="342"/>
      <c r="R958" s="342"/>
      <c r="S958" s="342"/>
      <c r="T958" s="342"/>
      <c r="U958" s="342"/>
      <c r="V958" s="342"/>
      <c r="W958" s="342"/>
      <c r="X958" s="342"/>
      <c r="Y958" s="342"/>
      <c r="Z958" s="342"/>
      <c r="AA958" s="342"/>
      <c r="AB958" s="342"/>
      <c r="AC958" s="342"/>
      <c r="AD958" s="342"/>
      <c r="AE958" s="342"/>
      <c r="AF958" s="342"/>
      <c r="AG958" s="342"/>
      <c r="AH958" s="342"/>
      <c r="AI958" s="342"/>
    </row>
    <row r="959">
      <c r="A959" s="342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P959" s="342"/>
      <c r="Q959" s="342"/>
      <c r="R959" s="342"/>
      <c r="S959" s="342"/>
      <c r="T959" s="342"/>
      <c r="U959" s="342"/>
      <c r="V959" s="342"/>
      <c r="W959" s="342"/>
      <c r="X959" s="342"/>
      <c r="Y959" s="342"/>
      <c r="Z959" s="342"/>
      <c r="AA959" s="342"/>
      <c r="AB959" s="342"/>
      <c r="AC959" s="342"/>
      <c r="AD959" s="342"/>
      <c r="AE959" s="342"/>
      <c r="AF959" s="342"/>
      <c r="AG959" s="342"/>
      <c r="AH959" s="342"/>
      <c r="AI959" s="342"/>
    </row>
    <row r="960">
      <c r="A960" s="342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P960" s="342"/>
      <c r="Q960" s="342"/>
      <c r="R960" s="342"/>
      <c r="S960" s="342"/>
      <c r="T960" s="342"/>
      <c r="U960" s="342"/>
      <c r="V960" s="342"/>
      <c r="W960" s="342"/>
      <c r="X960" s="342"/>
      <c r="Y960" s="342"/>
      <c r="Z960" s="342"/>
      <c r="AA960" s="342"/>
      <c r="AB960" s="342"/>
      <c r="AC960" s="342"/>
      <c r="AD960" s="342"/>
      <c r="AE960" s="342"/>
      <c r="AF960" s="342"/>
      <c r="AG960" s="342"/>
      <c r="AH960" s="342"/>
      <c r="AI960" s="342"/>
    </row>
    <row r="961">
      <c r="A961" s="342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P961" s="342"/>
      <c r="Q961" s="342"/>
      <c r="R961" s="342"/>
      <c r="S961" s="342"/>
      <c r="T961" s="342"/>
      <c r="U961" s="342"/>
      <c r="V961" s="342"/>
      <c r="W961" s="342"/>
      <c r="X961" s="342"/>
      <c r="Y961" s="342"/>
      <c r="Z961" s="342"/>
      <c r="AA961" s="342"/>
      <c r="AB961" s="342"/>
      <c r="AC961" s="342"/>
      <c r="AD961" s="342"/>
      <c r="AE961" s="342"/>
      <c r="AF961" s="342"/>
      <c r="AG961" s="342"/>
      <c r="AH961" s="342"/>
      <c r="AI961" s="342"/>
    </row>
    <row r="962">
      <c r="A962" s="342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P962" s="342"/>
      <c r="Q962" s="342"/>
      <c r="R962" s="342"/>
      <c r="S962" s="342"/>
      <c r="T962" s="342"/>
      <c r="U962" s="342"/>
      <c r="V962" s="342"/>
      <c r="W962" s="342"/>
      <c r="X962" s="342"/>
      <c r="Y962" s="342"/>
      <c r="Z962" s="342"/>
      <c r="AA962" s="342"/>
      <c r="AB962" s="342"/>
      <c r="AC962" s="342"/>
      <c r="AD962" s="342"/>
      <c r="AE962" s="342"/>
      <c r="AF962" s="342"/>
      <c r="AG962" s="342"/>
      <c r="AH962" s="342"/>
      <c r="AI962" s="342"/>
    </row>
    <row r="963">
      <c r="A963" s="342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P963" s="342"/>
      <c r="Q963" s="342"/>
      <c r="R963" s="342"/>
      <c r="S963" s="342"/>
      <c r="T963" s="342"/>
      <c r="U963" s="342"/>
      <c r="V963" s="342"/>
      <c r="W963" s="342"/>
      <c r="X963" s="342"/>
      <c r="Y963" s="342"/>
      <c r="Z963" s="342"/>
      <c r="AA963" s="342"/>
      <c r="AB963" s="342"/>
      <c r="AC963" s="342"/>
      <c r="AD963" s="342"/>
      <c r="AE963" s="342"/>
      <c r="AF963" s="342"/>
      <c r="AG963" s="342"/>
      <c r="AH963" s="342"/>
      <c r="AI963" s="342"/>
    </row>
    <row r="964">
      <c r="A964" s="342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P964" s="342"/>
      <c r="Q964" s="342"/>
      <c r="R964" s="342"/>
      <c r="S964" s="342"/>
      <c r="T964" s="342"/>
      <c r="U964" s="342"/>
      <c r="V964" s="342"/>
      <c r="W964" s="342"/>
      <c r="X964" s="342"/>
      <c r="Y964" s="342"/>
      <c r="Z964" s="342"/>
      <c r="AA964" s="342"/>
      <c r="AB964" s="342"/>
      <c r="AC964" s="342"/>
      <c r="AD964" s="342"/>
      <c r="AE964" s="342"/>
      <c r="AF964" s="342"/>
      <c r="AG964" s="342"/>
      <c r="AH964" s="342"/>
      <c r="AI964" s="342"/>
    </row>
    <row r="965">
      <c r="A965" s="342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P965" s="342"/>
      <c r="Q965" s="342"/>
      <c r="R965" s="342"/>
      <c r="S965" s="342"/>
      <c r="T965" s="342"/>
      <c r="U965" s="342"/>
      <c r="V965" s="342"/>
      <c r="W965" s="342"/>
      <c r="X965" s="342"/>
      <c r="Y965" s="342"/>
      <c r="Z965" s="342"/>
      <c r="AA965" s="342"/>
      <c r="AB965" s="342"/>
      <c r="AC965" s="342"/>
      <c r="AD965" s="342"/>
      <c r="AE965" s="342"/>
      <c r="AF965" s="342"/>
      <c r="AG965" s="342"/>
      <c r="AH965" s="342"/>
      <c r="AI965" s="342"/>
    </row>
    <row r="966">
      <c r="A966" s="342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P966" s="342"/>
      <c r="Q966" s="342"/>
      <c r="R966" s="342"/>
      <c r="S966" s="342"/>
      <c r="T966" s="342"/>
      <c r="U966" s="342"/>
      <c r="V966" s="342"/>
      <c r="W966" s="342"/>
      <c r="X966" s="342"/>
      <c r="Y966" s="342"/>
      <c r="Z966" s="342"/>
      <c r="AA966" s="342"/>
      <c r="AB966" s="342"/>
      <c r="AC966" s="342"/>
      <c r="AD966" s="342"/>
      <c r="AE966" s="342"/>
      <c r="AF966" s="342"/>
      <c r="AG966" s="342"/>
      <c r="AH966" s="342"/>
      <c r="AI966" s="342"/>
    </row>
    <row r="967">
      <c r="A967" s="342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P967" s="342"/>
      <c r="Q967" s="342"/>
      <c r="R967" s="342"/>
      <c r="S967" s="342"/>
      <c r="T967" s="342"/>
      <c r="U967" s="342"/>
      <c r="V967" s="342"/>
      <c r="W967" s="342"/>
      <c r="X967" s="342"/>
      <c r="Y967" s="342"/>
      <c r="Z967" s="342"/>
      <c r="AA967" s="342"/>
      <c r="AB967" s="342"/>
      <c r="AC967" s="342"/>
      <c r="AD967" s="342"/>
      <c r="AE967" s="342"/>
      <c r="AF967" s="342"/>
      <c r="AG967" s="342"/>
      <c r="AH967" s="342"/>
      <c r="AI967" s="342"/>
    </row>
    <row r="968">
      <c r="A968" s="342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P968" s="342"/>
      <c r="Q968" s="342"/>
      <c r="R968" s="342"/>
      <c r="S968" s="342"/>
      <c r="T968" s="342"/>
      <c r="U968" s="342"/>
      <c r="V968" s="342"/>
      <c r="W968" s="342"/>
      <c r="X968" s="342"/>
      <c r="Y968" s="342"/>
      <c r="Z968" s="342"/>
      <c r="AA968" s="342"/>
      <c r="AB968" s="342"/>
      <c r="AC968" s="342"/>
      <c r="AD968" s="342"/>
      <c r="AE968" s="342"/>
      <c r="AF968" s="342"/>
      <c r="AG968" s="342"/>
      <c r="AH968" s="342"/>
      <c r="AI968" s="342"/>
    </row>
    <row r="969">
      <c r="A969" s="342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P969" s="342"/>
      <c r="Q969" s="342"/>
      <c r="R969" s="342"/>
      <c r="S969" s="342"/>
      <c r="T969" s="342"/>
      <c r="U969" s="342"/>
      <c r="V969" s="342"/>
      <c r="W969" s="342"/>
      <c r="X969" s="342"/>
      <c r="Y969" s="342"/>
      <c r="Z969" s="342"/>
      <c r="AA969" s="342"/>
      <c r="AB969" s="342"/>
      <c r="AC969" s="342"/>
      <c r="AD969" s="342"/>
      <c r="AE969" s="342"/>
      <c r="AF969" s="342"/>
      <c r="AG969" s="342"/>
      <c r="AH969" s="342"/>
      <c r="AI969" s="342"/>
    </row>
    <row r="970">
      <c r="A970" s="342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P970" s="342"/>
      <c r="Q970" s="342"/>
      <c r="R970" s="342"/>
      <c r="S970" s="342"/>
      <c r="T970" s="342"/>
      <c r="U970" s="342"/>
      <c r="V970" s="342"/>
      <c r="W970" s="342"/>
      <c r="X970" s="342"/>
      <c r="Y970" s="342"/>
      <c r="Z970" s="342"/>
      <c r="AA970" s="342"/>
      <c r="AB970" s="342"/>
      <c r="AC970" s="342"/>
      <c r="AD970" s="342"/>
      <c r="AE970" s="342"/>
      <c r="AF970" s="342"/>
      <c r="AG970" s="342"/>
      <c r="AH970" s="342"/>
      <c r="AI970" s="342"/>
    </row>
    <row r="971">
      <c r="A971" s="342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P971" s="342"/>
      <c r="Q971" s="342"/>
      <c r="R971" s="342"/>
      <c r="S971" s="342"/>
      <c r="T971" s="342"/>
      <c r="U971" s="342"/>
      <c r="V971" s="342"/>
      <c r="W971" s="342"/>
      <c r="X971" s="342"/>
      <c r="Y971" s="342"/>
      <c r="Z971" s="342"/>
      <c r="AA971" s="342"/>
      <c r="AB971" s="342"/>
      <c r="AC971" s="342"/>
      <c r="AD971" s="342"/>
      <c r="AE971" s="342"/>
      <c r="AF971" s="342"/>
      <c r="AG971" s="342"/>
      <c r="AH971" s="342"/>
      <c r="AI971" s="342"/>
    </row>
    <row r="972">
      <c r="A972" s="342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P972" s="342"/>
      <c r="Q972" s="342"/>
      <c r="R972" s="342"/>
      <c r="S972" s="342"/>
      <c r="T972" s="342"/>
      <c r="U972" s="342"/>
      <c r="V972" s="342"/>
      <c r="W972" s="342"/>
      <c r="X972" s="342"/>
      <c r="Y972" s="342"/>
      <c r="Z972" s="342"/>
      <c r="AA972" s="342"/>
      <c r="AB972" s="342"/>
      <c r="AC972" s="342"/>
      <c r="AD972" s="342"/>
      <c r="AE972" s="342"/>
      <c r="AF972" s="342"/>
      <c r="AG972" s="342"/>
      <c r="AH972" s="342"/>
      <c r="AI972" s="342"/>
    </row>
    <row r="973">
      <c r="A973" s="342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P973" s="342"/>
      <c r="Q973" s="342"/>
      <c r="R973" s="342"/>
      <c r="S973" s="342"/>
      <c r="T973" s="342"/>
      <c r="U973" s="342"/>
      <c r="V973" s="342"/>
      <c r="W973" s="342"/>
      <c r="X973" s="342"/>
      <c r="Y973" s="342"/>
      <c r="Z973" s="342"/>
      <c r="AA973" s="342"/>
      <c r="AB973" s="342"/>
      <c r="AC973" s="342"/>
      <c r="AD973" s="342"/>
      <c r="AE973" s="342"/>
      <c r="AF973" s="342"/>
      <c r="AG973" s="342"/>
      <c r="AH973" s="342"/>
      <c r="AI973" s="342"/>
    </row>
    <row r="974">
      <c r="A974" s="342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P974" s="342"/>
      <c r="Q974" s="342"/>
      <c r="R974" s="342"/>
      <c r="S974" s="342"/>
      <c r="T974" s="342"/>
      <c r="U974" s="342"/>
      <c r="V974" s="342"/>
      <c r="W974" s="342"/>
      <c r="X974" s="342"/>
      <c r="Y974" s="342"/>
      <c r="Z974" s="342"/>
      <c r="AA974" s="342"/>
      <c r="AB974" s="342"/>
      <c r="AC974" s="342"/>
      <c r="AD974" s="342"/>
      <c r="AE974" s="342"/>
      <c r="AF974" s="342"/>
      <c r="AG974" s="342"/>
      <c r="AH974" s="342"/>
      <c r="AI974" s="342"/>
    </row>
    <row r="975">
      <c r="A975" s="342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P975" s="342"/>
      <c r="Q975" s="342"/>
      <c r="R975" s="342"/>
      <c r="S975" s="342"/>
      <c r="T975" s="342"/>
      <c r="U975" s="342"/>
      <c r="V975" s="342"/>
      <c r="W975" s="342"/>
      <c r="X975" s="342"/>
      <c r="Y975" s="342"/>
      <c r="Z975" s="342"/>
      <c r="AA975" s="342"/>
      <c r="AB975" s="342"/>
      <c r="AC975" s="342"/>
      <c r="AD975" s="342"/>
      <c r="AE975" s="342"/>
      <c r="AF975" s="342"/>
      <c r="AG975" s="342"/>
      <c r="AH975" s="342"/>
      <c r="AI975" s="342"/>
    </row>
    <row r="976">
      <c r="A976" s="342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P976" s="342"/>
      <c r="Q976" s="342"/>
      <c r="R976" s="342"/>
      <c r="S976" s="342"/>
      <c r="T976" s="342"/>
      <c r="U976" s="342"/>
      <c r="V976" s="342"/>
      <c r="W976" s="342"/>
      <c r="X976" s="342"/>
      <c r="Y976" s="342"/>
      <c r="Z976" s="342"/>
      <c r="AA976" s="342"/>
      <c r="AB976" s="342"/>
      <c r="AC976" s="342"/>
      <c r="AD976" s="342"/>
      <c r="AE976" s="342"/>
      <c r="AF976" s="342"/>
      <c r="AG976" s="342"/>
      <c r="AH976" s="342"/>
      <c r="AI976" s="342"/>
    </row>
    <row r="977">
      <c r="A977" s="342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P977" s="342"/>
      <c r="Q977" s="342"/>
      <c r="R977" s="342"/>
      <c r="S977" s="342"/>
      <c r="T977" s="342"/>
      <c r="U977" s="342"/>
      <c r="V977" s="342"/>
      <c r="W977" s="342"/>
      <c r="X977" s="342"/>
      <c r="Y977" s="342"/>
      <c r="Z977" s="342"/>
      <c r="AA977" s="342"/>
      <c r="AB977" s="342"/>
      <c r="AC977" s="342"/>
      <c r="AD977" s="342"/>
      <c r="AE977" s="342"/>
      <c r="AF977" s="342"/>
      <c r="AG977" s="342"/>
      <c r="AH977" s="342"/>
      <c r="AI977" s="342"/>
    </row>
    <row r="978">
      <c r="A978" s="342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P978" s="342"/>
      <c r="Q978" s="342"/>
      <c r="R978" s="342"/>
      <c r="S978" s="342"/>
      <c r="T978" s="342"/>
      <c r="U978" s="342"/>
      <c r="V978" s="342"/>
      <c r="W978" s="342"/>
      <c r="X978" s="342"/>
      <c r="Y978" s="342"/>
      <c r="Z978" s="342"/>
      <c r="AA978" s="342"/>
      <c r="AB978" s="342"/>
      <c r="AC978" s="342"/>
      <c r="AD978" s="342"/>
      <c r="AE978" s="342"/>
      <c r="AF978" s="342"/>
      <c r="AG978" s="342"/>
      <c r="AH978" s="342"/>
      <c r="AI978" s="342"/>
    </row>
    <row r="979">
      <c r="A979" s="342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P979" s="342"/>
      <c r="Q979" s="342"/>
      <c r="R979" s="342"/>
      <c r="S979" s="342"/>
      <c r="T979" s="342"/>
      <c r="U979" s="342"/>
      <c r="V979" s="342"/>
      <c r="W979" s="342"/>
      <c r="X979" s="342"/>
      <c r="Y979" s="342"/>
      <c r="Z979" s="342"/>
      <c r="AA979" s="342"/>
      <c r="AB979" s="342"/>
      <c r="AC979" s="342"/>
      <c r="AD979" s="342"/>
      <c r="AE979" s="342"/>
      <c r="AF979" s="342"/>
      <c r="AG979" s="342"/>
      <c r="AH979" s="342"/>
      <c r="AI979" s="342"/>
    </row>
    <row r="980">
      <c r="A980" s="342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P980" s="342"/>
      <c r="Q980" s="342"/>
      <c r="R980" s="342"/>
      <c r="S980" s="342"/>
      <c r="T980" s="342"/>
      <c r="U980" s="342"/>
      <c r="V980" s="342"/>
      <c r="W980" s="342"/>
      <c r="X980" s="342"/>
      <c r="Y980" s="342"/>
      <c r="Z980" s="342"/>
      <c r="AA980" s="342"/>
      <c r="AB980" s="342"/>
      <c r="AC980" s="342"/>
      <c r="AD980" s="342"/>
      <c r="AE980" s="342"/>
      <c r="AF980" s="342"/>
      <c r="AG980" s="342"/>
      <c r="AH980" s="342"/>
      <c r="AI980" s="342"/>
    </row>
    <row r="981">
      <c r="A981" s="342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P981" s="342"/>
      <c r="Q981" s="342"/>
      <c r="R981" s="342"/>
      <c r="S981" s="342"/>
      <c r="T981" s="342"/>
      <c r="U981" s="342"/>
      <c r="V981" s="342"/>
      <c r="W981" s="342"/>
      <c r="X981" s="342"/>
      <c r="Y981" s="342"/>
      <c r="Z981" s="342"/>
      <c r="AA981" s="342"/>
      <c r="AB981" s="342"/>
      <c r="AC981" s="342"/>
      <c r="AD981" s="342"/>
      <c r="AE981" s="342"/>
      <c r="AF981" s="342"/>
      <c r="AG981" s="342"/>
      <c r="AH981" s="342"/>
      <c r="AI981" s="342"/>
    </row>
    <row r="982">
      <c r="A982" s="342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P982" s="342"/>
      <c r="Q982" s="342"/>
      <c r="R982" s="342"/>
      <c r="S982" s="342"/>
      <c r="T982" s="342"/>
      <c r="U982" s="342"/>
      <c r="V982" s="342"/>
      <c r="W982" s="342"/>
      <c r="X982" s="342"/>
      <c r="Y982" s="342"/>
      <c r="Z982" s="342"/>
      <c r="AA982" s="342"/>
      <c r="AB982" s="342"/>
      <c r="AC982" s="342"/>
      <c r="AD982" s="342"/>
      <c r="AE982" s="342"/>
      <c r="AF982" s="342"/>
      <c r="AG982" s="342"/>
      <c r="AH982" s="342"/>
      <c r="AI982" s="342"/>
    </row>
    <row r="983">
      <c r="A983" s="342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P983" s="342"/>
      <c r="Q983" s="342"/>
      <c r="R983" s="342"/>
      <c r="S983" s="342"/>
      <c r="T983" s="342"/>
      <c r="U983" s="342"/>
      <c r="V983" s="342"/>
      <c r="W983" s="342"/>
      <c r="X983" s="342"/>
      <c r="Y983" s="342"/>
      <c r="Z983" s="342"/>
      <c r="AA983" s="342"/>
      <c r="AB983" s="342"/>
      <c r="AC983" s="342"/>
      <c r="AD983" s="342"/>
      <c r="AE983" s="342"/>
      <c r="AF983" s="342"/>
      <c r="AG983" s="342"/>
      <c r="AH983" s="342"/>
      <c r="AI983" s="342"/>
    </row>
    <row r="984">
      <c r="A984" s="342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P984" s="342"/>
      <c r="Q984" s="342"/>
      <c r="R984" s="342"/>
      <c r="S984" s="342"/>
      <c r="T984" s="342"/>
      <c r="U984" s="342"/>
      <c r="V984" s="342"/>
      <c r="W984" s="342"/>
      <c r="X984" s="342"/>
      <c r="Y984" s="342"/>
      <c r="Z984" s="342"/>
      <c r="AA984" s="342"/>
      <c r="AB984" s="342"/>
      <c r="AC984" s="342"/>
      <c r="AD984" s="342"/>
      <c r="AE984" s="342"/>
      <c r="AF984" s="342"/>
      <c r="AG984" s="342"/>
      <c r="AH984" s="342"/>
      <c r="AI984" s="342"/>
    </row>
    <row r="985">
      <c r="A985" s="342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P985" s="342"/>
      <c r="Q985" s="342"/>
      <c r="R985" s="342"/>
      <c r="S985" s="342"/>
      <c r="T985" s="342"/>
      <c r="U985" s="342"/>
      <c r="V985" s="342"/>
      <c r="W985" s="342"/>
      <c r="X985" s="342"/>
      <c r="Y985" s="342"/>
      <c r="Z985" s="342"/>
      <c r="AA985" s="342"/>
      <c r="AB985" s="342"/>
      <c r="AC985" s="342"/>
      <c r="AD985" s="342"/>
      <c r="AE985" s="342"/>
      <c r="AF985" s="342"/>
      <c r="AG985" s="342"/>
      <c r="AH985" s="342"/>
      <c r="AI985" s="342"/>
    </row>
    <row r="986">
      <c r="A986" s="342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P986" s="342"/>
      <c r="Q986" s="342"/>
      <c r="R986" s="342"/>
      <c r="S986" s="342"/>
      <c r="T986" s="342"/>
      <c r="U986" s="342"/>
      <c r="V986" s="342"/>
      <c r="W986" s="342"/>
      <c r="X986" s="342"/>
      <c r="Y986" s="342"/>
      <c r="Z986" s="342"/>
      <c r="AA986" s="342"/>
      <c r="AB986" s="342"/>
      <c r="AC986" s="342"/>
      <c r="AD986" s="342"/>
      <c r="AE986" s="342"/>
      <c r="AF986" s="342"/>
      <c r="AG986" s="342"/>
      <c r="AH986" s="342"/>
      <c r="AI986" s="342"/>
    </row>
    <row r="987">
      <c r="A987" s="342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P987" s="342"/>
      <c r="Q987" s="342"/>
      <c r="R987" s="342"/>
      <c r="S987" s="342"/>
      <c r="T987" s="342"/>
      <c r="U987" s="342"/>
      <c r="V987" s="342"/>
      <c r="W987" s="342"/>
      <c r="X987" s="342"/>
      <c r="Y987" s="342"/>
      <c r="Z987" s="342"/>
      <c r="AA987" s="342"/>
      <c r="AB987" s="342"/>
      <c r="AC987" s="342"/>
      <c r="AD987" s="342"/>
      <c r="AE987" s="342"/>
      <c r="AF987" s="342"/>
      <c r="AG987" s="342"/>
      <c r="AH987" s="342"/>
      <c r="AI987" s="342"/>
    </row>
    <row r="988">
      <c r="A988" s="342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P988" s="342"/>
      <c r="Q988" s="342"/>
      <c r="R988" s="342"/>
      <c r="S988" s="342"/>
      <c r="T988" s="342"/>
      <c r="U988" s="342"/>
      <c r="V988" s="342"/>
      <c r="W988" s="342"/>
      <c r="X988" s="342"/>
      <c r="Y988" s="342"/>
      <c r="Z988" s="342"/>
      <c r="AA988" s="342"/>
      <c r="AB988" s="342"/>
      <c r="AC988" s="342"/>
      <c r="AD988" s="342"/>
      <c r="AE988" s="342"/>
      <c r="AF988" s="342"/>
      <c r="AG988" s="342"/>
      <c r="AH988" s="342"/>
      <c r="AI988" s="342"/>
    </row>
    <row r="989">
      <c r="A989" s="342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P989" s="342"/>
      <c r="Q989" s="342"/>
      <c r="R989" s="342"/>
      <c r="S989" s="342"/>
      <c r="T989" s="342"/>
      <c r="U989" s="342"/>
      <c r="V989" s="342"/>
      <c r="W989" s="342"/>
      <c r="X989" s="342"/>
      <c r="Y989" s="342"/>
      <c r="Z989" s="342"/>
      <c r="AA989" s="342"/>
      <c r="AB989" s="342"/>
      <c r="AC989" s="342"/>
      <c r="AD989" s="342"/>
      <c r="AE989" s="342"/>
      <c r="AF989" s="342"/>
      <c r="AG989" s="342"/>
      <c r="AH989" s="342"/>
      <c r="AI989" s="342"/>
    </row>
    <row r="990">
      <c r="A990" s="342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P990" s="342"/>
      <c r="Q990" s="342"/>
      <c r="R990" s="342"/>
      <c r="S990" s="342"/>
      <c r="T990" s="342"/>
      <c r="U990" s="342"/>
      <c r="V990" s="342"/>
      <c r="W990" s="342"/>
      <c r="X990" s="342"/>
      <c r="Y990" s="342"/>
      <c r="Z990" s="342"/>
      <c r="AA990" s="342"/>
      <c r="AB990" s="342"/>
      <c r="AC990" s="342"/>
      <c r="AD990" s="342"/>
      <c r="AE990" s="342"/>
      <c r="AF990" s="342"/>
      <c r="AG990" s="342"/>
      <c r="AH990" s="342"/>
      <c r="AI990" s="342"/>
    </row>
    <row r="991">
      <c r="A991" s="342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P991" s="342"/>
      <c r="Q991" s="342"/>
      <c r="R991" s="342"/>
      <c r="S991" s="342"/>
      <c r="T991" s="342"/>
      <c r="U991" s="342"/>
      <c r="V991" s="342"/>
      <c r="W991" s="342"/>
      <c r="X991" s="342"/>
      <c r="Y991" s="342"/>
      <c r="Z991" s="342"/>
      <c r="AA991" s="342"/>
      <c r="AB991" s="342"/>
      <c r="AC991" s="342"/>
      <c r="AD991" s="342"/>
      <c r="AE991" s="342"/>
      <c r="AF991" s="342"/>
      <c r="AG991" s="342"/>
      <c r="AH991" s="342"/>
      <c r="AI991" s="342"/>
    </row>
    <row r="992">
      <c r="A992" s="342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P992" s="342"/>
      <c r="Q992" s="342"/>
      <c r="R992" s="342"/>
      <c r="S992" s="342"/>
      <c r="T992" s="342"/>
      <c r="U992" s="342"/>
      <c r="V992" s="342"/>
      <c r="W992" s="342"/>
      <c r="X992" s="342"/>
      <c r="Y992" s="342"/>
      <c r="Z992" s="342"/>
      <c r="AA992" s="342"/>
      <c r="AB992" s="342"/>
      <c r="AC992" s="342"/>
      <c r="AD992" s="342"/>
      <c r="AE992" s="342"/>
      <c r="AF992" s="342"/>
      <c r="AG992" s="342"/>
      <c r="AH992" s="342"/>
      <c r="AI992" s="342"/>
    </row>
    <row r="993">
      <c r="A993" s="342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P993" s="342"/>
      <c r="Q993" s="342"/>
      <c r="R993" s="342"/>
      <c r="S993" s="342"/>
      <c r="T993" s="342"/>
      <c r="U993" s="342"/>
      <c r="V993" s="342"/>
      <c r="W993" s="342"/>
      <c r="X993" s="342"/>
      <c r="Y993" s="342"/>
      <c r="Z993" s="342"/>
      <c r="AA993" s="342"/>
      <c r="AB993" s="342"/>
      <c r="AC993" s="342"/>
      <c r="AD993" s="342"/>
      <c r="AE993" s="342"/>
      <c r="AF993" s="342"/>
      <c r="AG993" s="342"/>
      <c r="AH993" s="342"/>
      <c r="AI993" s="342"/>
    </row>
    <row r="994">
      <c r="A994" s="342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P994" s="342"/>
      <c r="Q994" s="342"/>
      <c r="R994" s="342"/>
      <c r="S994" s="342"/>
      <c r="T994" s="342"/>
      <c r="U994" s="342"/>
      <c r="V994" s="342"/>
      <c r="W994" s="342"/>
      <c r="X994" s="342"/>
      <c r="Y994" s="342"/>
      <c r="Z994" s="342"/>
      <c r="AA994" s="342"/>
      <c r="AB994" s="342"/>
      <c r="AC994" s="342"/>
      <c r="AD994" s="342"/>
      <c r="AE994" s="342"/>
      <c r="AF994" s="342"/>
      <c r="AG994" s="342"/>
      <c r="AH994" s="342"/>
      <c r="AI994" s="342"/>
    </row>
    <row r="995">
      <c r="A995" s="342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P995" s="342"/>
      <c r="Q995" s="342"/>
      <c r="R995" s="342"/>
      <c r="S995" s="342"/>
      <c r="T995" s="342"/>
      <c r="U995" s="342"/>
      <c r="V995" s="342"/>
      <c r="W995" s="342"/>
      <c r="X995" s="342"/>
      <c r="Y995" s="342"/>
      <c r="Z995" s="342"/>
      <c r="AA995" s="342"/>
      <c r="AB995" s="342"/>
      <c r="AC995" s="342"/>
      <c r="AD995" s="342"/>
      <c r="AE995" s="342"/>
      <c r="AF995" s="342"/>
      <c r="AG995" s="342"/>
      <c r="AH995" s="342"/>
      <c r="AI995" s="342"/>
    </row>
    <row r="996">
      <c r="A996" s="342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  <c r="AA996" s="342"/>
      <c r="AB996" s="342"/>
      <c r="AC996" s="342"/>
      <c r="AD996" s="342"/>
      <c r="AE996" s="342"/>
      <c r="AF996" s="342"/>
      <c r="AG996" s="342"/>
      <c r="AH996" s="342"/>
      <c r="AI996" s="342"/>
    </row>
    <row r="997">
      <c r="A997" s="342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P997" s="342"/>
      <c r="Q997" s="342"/>
      <c r="R997" s="342"/>
      <c r="S997" s="342"/>
      <c r="T997" s="342"/>
      <c r="U997" s="342"/>
      <c r="V997" s="342"/>
      <c r="W997" s="342"/>
      <c r="X997" s="342"/>
      <c r="Y997" s="342"/>
      <c r="Z997" s="342"/>
      <c r="AA997" s="342"/>
      <c r="AB997" s="342"/>
      <c r="AC997" s="342"/>
      <c r="AD997" s="342"/>
      <c r="AE997" s="342"/>
      <c r="AF997" s="342"/>
      <c r="AG997" s="342"/>
      <c r="AH997" s="342"/>
      <c r="AI997" s="342"/>
    </row>
    <row r="998">
      <c r="A998" s="342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P998" s="342"/>
      <c r="Q998" s="342"/>
      <c r="R998" s="342"/>
      <c r="S998" s="342"/>
      <c r="T998" s="342"/>
      <c r="U998" s="342"/>
      <c r="V998" s="342"/>
      <c r="W998" s="342"/>
      <c r="X998" s="342"/>
      <c r="Y998" s="342"/>
      <c r="Z998" s="342"/>
      <c r="AA998" s="342"/>
      <c r="AB998" s="342"/>
      <c r="AC998" s="342"/>
      <c r="AD998" s="342"/>
      <c r="AE998" s="342"/>
      <c r="AF998" s="342"/>
      <c r="AG998" s="342"/>
      <c r="AH998" s="342"/>
      <c r="AI998" s="342"/>
    </row>
    <row r="999">
      <c r="A999" s="342"/>
      <c r="B999" s="342"/>
      <c r="C999" s="342"/>
      <c r="D999" s="342"/>
      <c r="E999" s="342"/>
      <c r="F999" s="342"/>
      <c r="G999" s="342"/>
      <c r="H999" s="342"/>
      <c r="I999" s="342"/>
      <c r="J999" s="342"/>
      <c r="K999" s="342"/>
      <c r="L999" s="342"/>
      <c r="M999" s="342"/>
      <c r="N999" s="342"/>
      <c r="O999" s="342"/>
      <c r="P999" s="342"/>
      <c r="Q999" s="342"/>
      <c r="R999" s="342"/>
      <c r="S999" s="342"/>
      <c r="T999" s="342"/>
      <c r="U999" s="342"/>
      <c r="V999" s="342"/>
      <c r="W999" s="342"/>
      <c r="X999" s="342"/>
      <c r="Y999" s="342"/>
      <c r="Z999" s="342"/>
      <c r="AA999" s="342"/>
      <c r="AB999" s="342"/>
      <c r="AC999" s="342"/>
      <c r="AD999" s="342"/>
      <c r="AE999" s="342"/>
      <c r="AF999" s="342"/>
      <c r="AG999" s="342"/>
      <c r="AH999" s="342"/>
      <c r="AI999" s="342"/>
    </row>
    <row r="1000">
      <c r="A1000" s="342"/>
      <c r="B1000" s="342"/>
      <c r="C1000" s="342"/>
      <c r="D1000" s="342"/>
      <c r="E1000" s="342"/>
      <c r="F1000" s="342"/>
      <c r="G1000" s="342"/>
      <c r="H1000" s="342"/>
      <c r="I1000" s="342"/>
      <c r="J1000" s="342"/>
      <c r="K1000" s="342"/>
      <c r="L1000" s="342"/>
      <c r="M1000" s="342"/>
      <c r="N1000" s="342"/>
      <c r="O1000" s="342"/>
      <c r="P1000" s="342"/>
      <c r="Q1000" s="342"/>
      <c r="R1000" s="342"/>
      <c r="S1000" s="342"/>
      <c r="T1000" s="342"/>
      <c r="U1000" s="342"/>
      <c r="V1000" s="342"/>
      <c r="W1000" s="342"/>
      <c r="X1000" s="342"/>
      <c r="Y1000" s="342"/>
      <c r="Z1000" s="342"/>
      <c r="AA1000" s="342"/>
      <c r="AB1000" s="342"/>
      <c r="AC1000" s="342"/>
      <c r="AD1000" s="342"/>
      <c r="AE1000" s="342"/>
      <c r="AF1000" s="342"/>
      <c r="AG1000" s="342"/>
      <c r="AH1000" s="342"/>
      <c r="AI1000" s="342"/>
    </row>
  </sheetData>
  <mergeCells count="38">
    <mergeCell ref="Q28:T30"/>
    <mergeCell ref="U28:X30"/>
    <mergeCell ref="Y28:AB30"/>
    <mergeCell ref="B3:AF3"/>
    <mergeCell ref="A7:AH7"/>
    <mergeCell ref="A8:A9"/>
    <mergeCell ref="B8:B9"/>
    <mergeCell ref="C27:P27"/>
    <mergeCell ref="Q27:AB27"/>
    <mergeCell ref="C28:P28"/>
    <mergeCell ref="C29:P29"/>
    <mergeCell ref="C30:P30"/>
    <mergeCell ref="C31:P31"/>
    <mergeCell ref="B32:Y32"/>
    <mergeCell ref="B33:T33"/>
    <mergeCell ref="A36:F36"/>
    <mergeCell ref="G36:AD36"/>
    <mergeCell ref="C38:F38"/>
    <mergeCell ref="C39:F39"/>
    <mergeCell ref="C40:F40"/>
    <mergeCell ref="A41:F41"/>
    <mergeCell ref="C45:F45"/>
    <mergeCell ref="C37:F37"/>
    <mergeCell ref="G37:N37"/>
    <mergeCell ref="O37:V37"/>
    <mergeCell ref="W37:AD37"/>
    <mergeCell ref="G38:N43"/>
    <mergeCell ref="O38:V43"/>
    <mergeCell ref="W38:AD43"/>
    <mergeCell ref="O45:V45"/>
    <mergeCell ref="W45:AD45"/>
    <mergeCell ref="C42:F42"/>
    <mergeCell ref="C43:F43"/>
    <mergeCell ref="C44:F44"/>
    <mergeCell ref="G44:N44"/>
    <mergeCell ref="O44:V44"/>
    <mergeCell ref="W44:AD44"/>
    <mergeCell ref="G45:N4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2021-03-25T16:44:31Z</dcterms:created>
  <dc:creator>compaq</dc:creator>
</cp:coreProperties>
</file>