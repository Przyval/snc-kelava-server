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ALMAS " sheetId="4" r:id="rId7"/>
    <sheet state="visible" name="ADAM" sheetId="5" r:id="rId8"/>
    <sheet state="visible" name="MAHRUS" sheetId="6" r:id="rId9"/>
    <sheet state="visible" name="ANDIK" sheetId="7" r:id="rId10"/>
    <sheet state="visible" name="LUCKY" sheetId="8" r:id="rId11"/>
    <sheet state="visible" name="MAULANA" sheetId="9" r:id="rId12"/>
    <sheet state="visible" name="RANGGA" sheetId="10" r:id="rId13"/>
    <sheet state="visible" name="FATHUR" sheetId="11" r:id="rId14"/>
    <sheet state="visible" name="IMAM" sheetId="12" r:id="rId15"/>
    <sheet state="visible" name="ARGA" sheetId="13" r:id="rId16"/>
    <sheet state="hidden" name="RENDY" sheetId="14" r:id="rId17"/>
    <sheet state="visible" name="IRUL" sheetId="15" r:id="rId18"/>
    <sheet state="visible" name="MULYASARI" sheetId="16" r:id="rId19"/>
    <sheet state="visible" name="PM Jogja " sheetId="17" r:id="rId20"/>
    <sheet state="visible" name="PM SOLO" sheetId="18" r:id="rId21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2" name="_xlnm._FilterDatabase">'ABU S'!$W$5:$Y$35</definedName>
    <definedName hidden="1" localSheetId="3" name="_xlnm._FilterDatabase">'ALMAS '!$W$6:$Y$34</definedName>
    <definedName hidden="1" localSheetId="4" name="_xlnm._FilterDatabase">ADAM!$W$9:$Y$39</definedName>
    <definedName hidden="1" localSheetId="5" name="_xlnm._FilterDatabase">MAHRUS!$W$9:$Y$35</definedName>
    <definedName hidden="1" localSheetId="6" name="_xlnm._FilterDatabase">ANDIK!$W$13:$Y$41</definedName>
    <definedName hidden="1" localSheetId="7" name="_xlnm._FilterDatabase">LUCKY!$W$13:$Z$42</definedName>
  </definedNames>
  <calcPr/>
  <extLst>
    <ext uri="GoogleSheetsCustomDataVersion2">
      <go:sheetsCustomData xmlns:go="http://customooxmlschemas.google.com/" r:id="rId22" roundtripDataChecksum="p2zWdCGDoiV2GHnFthMEEMRvRXbPwH9rxdCBpmTPfm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5">
      <text>
        <t xml:space="preserve">======
ID#AAAB69uz3kQ
Quality Control    (2026-05-15 06:46:04)
Instal dengan gilang</t>
      </text>
    </comment>
  </commentList>
  <extLst>
    <ext uri="GoogleSheetsCustomDataVersion2">
      <go:sheetsCustomData xmlns:go="http://customooxmlschemas.google.com/" r:id="rId1" roundtripDataSignature="AMtx7mjBw6oFeN9eCBBD5RpNQTP6f5YG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0">
      <text>
        <t xml:space="preserve">======
ID#AAAB6EF7X5M
Team Leader    (2026-05-11 08:02:25)
Di kerjakan supot</t>
      </text>
    </comment>
  </commentList>
  <extLst>
    <ext uri="GoogleSheetsCustomDataVersion2">
      <go:sheetsCustomData xmlns:go="http://customooxmlschemas.google.com/" r:id="rId1" roundtripDataSignature="AMtx7miR6swu0g3fauGzkvpYImwCzFo9J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2">
      <text>
        <t xml:space="preserve">======
ID#AAAB60TJIYQ
Team Leader    (2026-05-21 06:16:28)
S-OUT</t>
      </text>
    </comment>
    <comment authorId="0" ref="R26">
      <text>
        <t xml:space="preserve">======
ID#AAAB4wZCRk4
Team Leader    (2026-04-27 05:11:45)
S-OUT</t>
      </text>
    </comment>
  </commentList>
  <extLst>
    <ext uri="GoogleSheetsCustomDataVersion2">
      <go:sheetsCustomData xmlns:go="http://customooxmlschemas.google.com/" r:id="rId1" roundtripDataSignature="AMtx7mjuu8H5OtMUMT+OMnqUGd7GbmQOK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2">
      <text>
        <t xml:space="preserve">======
ID#AAAB6iqKNhU
Team Leader    (2026-05-18 02:42:43)
S-OUT</t>
      </text>
    </comment>
    <comment authorId="0" ref="O42">
      <text>
        <t xml:space="preserve">======
ID#AAAB69uz3lU
Quality Control    (2026-05-15 07:53:26)
jadinya GT atau tidak</t>
      </text>
    </comment>
  </commentList>
  <extLst>
    <ext uri="GoogleSheetsCustomDataVersion2">
      <go:sheetsCustomData xmlns:go="http://customooxmlschemas.google.com/" r:id="rId1" roundtripDataSignature="AMtx7mi4sl2MpXYDYesyJiDMci4Syvi/x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======
ID#AAAB6mbKbiQ
Admin Operasional    (2026-05-18 06:41:05)
Di jadwal station TP Sore, kata mbak imel ikut TP saja</t>
      </text>
    </comment>
    <comment authorId="0" ref="A42">
      <text>
        <t xml:space="preserve">======
ID#AAAB6X6j5ek
Admin Operasional    (2026-05-13 03:59:11)
Tambahan gilang kalau kang mul masuk, atau imam kalau gaada TC</t>
      </text>
    </comment>
  </commentList>
  <extLst>
    <ext uri="GoogleSheetsCustomDataVersion2">
      <go:sheetsCustomData xmlns:go="http://customooxmlschemas.google.com/" r:id="rId1" roundtripDataSignature="AMtx7mibpFvI5MZYo9c1RMcrMZyWeVxWxQ=="/>
    </ext>
  </extLst>
</comments>
</file>

<file path=xl/sharedStrings.xml><?xml version="1.0" encoding="utf-8"?>
<sst xmlns="http://schemas.openxmlformats.org/spreadsheetml/2006/main" count="3515" uniqueCount="467">
  <si>
    <t xml:space="preserve">   </t>
  </si>
  <si>
    <t>: ALI AKBAR</t>
  </si>
  <si>
    <t>JADWAL TEKNISI BULAN MEI 2026</t>
  </si>
  <si>
    <t>SUPERVISOR</t>
  </si>
  <si>
    <t>: FAHMI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</si>
  <si>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</si>
  <si>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</si>
  <si>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</si>
  <si>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</si>
  <si>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</si>
  <si>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</si>
  <si>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</si>
  <si>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</si>
  <si>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</si>
  <si>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OFF</t>
  </si>
  <si>
    <t>No</t>
  </si>
  <si>
    <t>Client</t>
  </si>
  <si>
    <t>Kunjungan</t>
  </si>
  <si>
    <t>AADK ARH</t>
  </si>
  <si>
    <t>AADK WIY</t>
  </si>
  <si>
    <t>ASIA CROFFLE</t>
  </si>
  <si>
    <t>ASINAN PTC</t>
  </si>
  <si>
    <t>BENHILL</t>
  </si>
  <si>
    <t>LAMORA</t>
  </si>
  <si>
    <t>13.00-15.00</t>
  </si>
  <si>
    <t>PRC</t>
  </si>
  <si>
    <t>BRAVO M</t>
  </si>
  <si>
    <t>IMPERIAL CHEF</t>
  </si>
  <si>
    <t>21.00-22.00</t>
  </si>
  <si>
    <t>PC</t>
  </si>
  <si>
    <t>BU ASTRID</t>
  </si>
  <si>
    <t>14.00-15.00</t>
  </si>
  <si>
    <t>G.LOGISTIK YPK</t>
  </si>
  <si>
    <t>16.00-17.00</t>
  </si>
  <si>
    <t>09.00-10.00</t>
  </si>
  <si>
    <t>RC</t>
  </si>
  <si>
    <t>SHELL MAST</t>
  </si>
  <si>
    <t>23.00-24.00</t>
  </si>
  <si>
    <t>GF. SUKO</t>
  </si>
  <si>
    <t>TANG KITCHEN</t>
  </si>
  <si>
    <t>12.00-13.00</t>
  </si>
  <si>
    <t>01.30-03.00</t>
  </si>
  <si>
    <t>23.00-00.30</t>
  </si>
  <si>
    <t>SAGA DAR</t>
  </si>
  <si>
    <t>BU.MARIA</t>
  </si>
  <si>
    <t>CV.DESEMBER</t>
  </si>
  <si>
    <t>CV.DMM</t>
  </si>
  <si>
    <t>DAPUR RT</t>
  </si>
  <si>
    <t>G.KUPANG</t>
  </si>
  <si>
    <t>11.00-12.00</t>
  </si>
  <si>
    <t>P. DANIEL</t>
  </si>
  <si>
    <t>G.PACAR</t>
  </si>
  <si>
    <t>08.00-09.00</t>
  </si>
  <si>
    <t>08.00-10.00</t>
  </si>
  <si>
    <t>PAK.YANS</t>
  </si>
  <si>
    <t>GLORIA GP</t>
  </si>
  <si>
    <t>HAVANA M</t>
  </si>
  <si>
    <t>22.30-23.30</t>
  </si>
  <si>
    <t>G.SUKO</t>
  </si>
  <si>
    <t>19.30-20.30</t>
  </si>
  <si>
    <t>22.00-24.00</t>
  </si>
  <si>
    <t>S-OUT</t>
  </si>
  <si>
    <t>10.00-13.00</t>
  </si>
  <si>
    <t>10.00-12.00</t>
  </si>
  <si>
    <t>Keterangan:</t>
  </si>
  <si>
    <t>: END</t>
  </si>
  <si>
    <t>: HOLD</t>
  </si>
  <si>
    <t>: NEW</t>
  </si>
  <si>
    <t>: RENEWAL</t>
  </si>
  <si>
    <t>TEKNISI</t>
  </si>
  <si>
    <t>: CHOIRUL ANAM</t>
  </si>
  <si>
    <t>:FAHMI</t>
  </si>
  <si>
    <t xml:space="preserve">: </t>
  </si>
  <si>
    <t>CEK JADWAL</t>
  </si>
  <si>
    <t xml:space="preserve">JUMAT </t>
  </si>
  <si>
    <t xml:space="preserve">SABTU </t>
  </si>
  <si>
    <t>A. PLASTIK 27</t>
  </si>
  <si>
    <t>PT.HCI</t>
  </si>
  <si>
    <t>CV.MANNA SDA</t>
  </si>
  <si>
    <t>P.HENDRIK</t>
  </si>
  <si>
    <t>CG KALIASIN</t>
  </si>
  <si>
    <t>DOSIDO</t>
  </si>
  <si>
    <t>A. PLASTIK 52</t>
  </si>
  <si>
    <t>PT.CASA UTAMA</t>
  </si>
  <si>
    <t>16.30-18.00</t>
  </si>
  <si>
    <t xml:space="preserve">SPBU </t>
  </si>
  <si>
    <t>AADK</t>
  </si>
  <si>
    <t>24.00-01.00</t>
  </si>
  <si>
    <t>CENTIMETER</t>
  </si>
  <si>
    <t>DAYS SBY</t>
  </si>
  <si>
    <t>21.30-22.30</t>
  </si>
  <si>
    <t>BENHIL SDA</t>
  </si>
  <si>
    <t>13.00-14.00</t>
  </si>
  <si>
    <t>ANEKA JASUMA</t>
  </si>
  <si>
    <t xml:space="preserve">INDO REMPAH </t>
  </si>
  <si>
    <t>15.00-16.00</t>
  </si>
  <si>
    <t>SAISHO GWLAK</t>
  </si>
  <si>
    <t>21:30-22:30</t>
  </si>
  <si>
    <t xml:space="preserve">SENIN </t>
  </si>
  <si>
    <t xml:space="preserve">RABU </t>
  </si>
  <si>
    <t xml:space="preserve">MINGGU </t>
  </si>
  <si>
    <t>CENTRAL AUTO P</t>
  </si>
  <si>
    <t>CV.KASABA</t>
  </si>
  <si>
    <t>08.30-10.30</t>
  </si>
  <si>
    <t xml:space="preserve">ICHIKAWA </t>
  </si>
  <si>
    <t>10.00-11.00</t>
  </si>
  <si>
    <t>06.30-07.30</t>
  </si>
  <si>
    <t>11.00-12.30</t>
  </si>
  <si>
    <t>HAVANA SDA</t>
  </si>
  <si>
    <t>PRAMITA</t>
  </si>
  <si>
    <t>SHUYI GM</t>
  </si>
  <si>
    <t>22.00-23.00</t>
  </si>
  <si>
    <t>GKI</t>
  </si>
  <si>
    <t xml:space="preserve">OFFICE SNC </t>
  </si>
  <si>
    <t>17.00-18.00</t>
  </si>
  <si>
    <t>DEMAND JS</t>
  </si>
  <si>
    <t>P.STEVEN G</t>
  </si>
  <si>
    <t>HONEY POK C</t>
  </si>
  <si>
    <t>SHUYI CWS</t>
  </si>
  <si>
    <t>ISTANA D</t>
  </si>
  <si>
    <t>CUTI</t>
  </si>
  <si>
    <t>SHELL WS</t>
  </si>
  <si>
    <t>15.00-16.30</t>
  </si>
  <si>
    <t xml:space="preserve"> </t>
  </si>
  <si>
    <t>21.00-22.30</t>
  </si>
  <si>
    <t>WIENA CATERING</t>
  </si>
  <si>
    <t>:ABU SAMSUDIN</t>
  </si>
  <si>
    <t xml:space="preserve"> ING</t>
  </si>
  <si>
    <t>Mr.LEE</t>
  </si>
  <si>
    <t>DRAGON HP TP</t>
  </si>
  <si>
    <t>TANA TI</t>
  </si>
  <si>
    <t>AYAM RAJWANI</t>
  </si>
  <si>
    <t>FEEL MATCHA TP</t>
  </si>
  <si>
    <t>PAK.ALEX</t>
  </si>
  <si>
    <t>PLATINUM PADEL</t>
  </si>
  <si>
    <t>PAK.MARIO</t>
  </si>
  <si>
    <t>ACAII TP</t>
  </si>
  <si>
    <t>SOGO RC</t>
  </si>
  <si>
    <t>19.00-20.00</t>
  </si>
  <si>
    <t>JOY LEARNING</t>
  </si>
  <si>
    <t>05.00-06.00</t>
  </si>
  <si>
    <t>KOKKILI CAFE</t>
  </si>
  <si>
    <t>KAYAROMA PTC</t>
  </si>
  <si>
    <t>21.00-23.00</t>
  </si>
  <si>
    <t xml:space="preserve">PELABUHAN </t>
  </si>
  <si>
    <t>EURO CHAIR</t>
  </si>
  <si>
    <t>SOGO</t>
  </si>
  <si>
    <t>STEAK WITH U</t>
  </si>
  <si>
    <t>AYAM BERKAT</t>
  </si>
  <si>
    <t>17.00-19.30</t>
  </si>
  <si>
    <t xml:space="preserve">ASIONG MEDAN </t>
  </si>
  <si>
    <t>NICi PM 2 G</t>
  </si>
  <si>
    <t>21.00-21.30</t>
  </si>
  <si>
    <t>23.00-00.00</t>
  </si>
  <si>
    <t>GUILIN R</t>
  </si>
  <si>
    <t xml:space="preserve">NASI TEMPONG BU INDAH </t>
  </si>
  <si>
    <t>NICI PTC OP</t>
  </si>
  <si>
    <t>22.00.23.00</t>
  </si>
  <si>
    <t>TONG TJI MJK</t>
  </si>
  <si>
    <t>MST</t>
  </si>
  <si>
    <t>Bu Elly N BDG</t>
  </si>
  <si>
    <t>Bu Elly N DI</t>
  </si>
  <si>
    <t xml:space="preserve">11.30-12.30 </t>
  </si>
  <si>
    <t>16.30-19.00</t>
  </si>
  <si>
    <t>SAISHO TIER</t>
  </si>
  <si>
    <t>20.00-21.00</t>
  </si>
  <si>
    <t>TM GRAHA</t>
  </si>
  <si>
    <t>03.30-05.00</t>
  </si>
  <si>
    <t>21.00-24.00</t>
  </si>
  <si>
    <t xml:space="preserve">  </t>
  </si>
  <si>
    <t>Teknisi</t>
  </si>
  <si>
    <t>: ANANDA AS</t>
  </si>
  <si>
    <t xml:space="preserve">FAHMI </t>
  </si>
  <si>
    <t xml:space="preserve"> JAM</t>
  </si>
  <si>
    <t>AADK BANDUNGAN</t>
  </si>
  <si>
    <t>AADK MUL</t>
  </si>
  <si>
    <t>AADK TELOGOMAS</t>
  </si>
  <si>
    <t>ACAII</t>
  </si>
  <si>
    <t>ASINAN TP</t>
  </si>
  <si>
    <t>BEATUS</t>
  </si>
  <si>
    <t>BU AMELIA</t>
  </si>
  <si>
    <t>CKP MEER</t>
  </si>
  <si>
    <t>GF KALUTA</t>
  </si>
  <si>
    <t>GF SUHAT</t>
  </si>
  <si>
    <t>GRAHA CBA</t>
  </si>
  <si>
    <t>BU ADELINE H</t>
  </si>
  <si>
    <t>PASAR KITA</t>
  </si>
  <si>
    <t>RJS</t>
  </si>
  <si>
    <t>PT SEGAR</t>
  </si>
  <si>
    <t>12.30-14.00</t>
  </si>
  <si>
    <t>HACHIYA</t>
  </si>
  <si>
    <t>KEDAI BUBU</t>
  </si>
  <si>
    <t>BU GLADYS</t>
  </si>
  <si>
    <t>KYUKA R</t>
  </si>
  <si>
    <t>22.00-23.30</t>
  </si>
  <si>
    <t>STEPHANIE DH</t>
  </si>
  <si>
    <t>SHELL MARG</t>
  </si>
  <si>
    <t>00.00-01.00</t>
  </si>
  <si>
    <t>HAVANNA JS</t>
  </si>
  <si>
    <t xml:space="preserve">KAMI GOHAN </t>
  </si>
  <si>
    <t>KAMI GOHAN</t>
  </si>
  <si>
    <t>KEDAI BUBU H</t>
  </si>
  <si>
    <t>PT.SMB</t>
  </si>
  <si>
    <t>08.00-12.00</t>
  </si>
  <si>
    <t>BU SASA WK</t>
  </si>
  <si>
    <t>14.30-15.30</t>
  </si>
  <si>
    <t>09.00-11.00</t>
  </si>
  <si>
    <t>TONG TJIE R</t>
  </si>
  <si>
    <t>: ADAM</t>
  </si>
  <si>
    <t>PAK RONNY</t>
  </si>
  <si>
    <t>AHYAT</t>
  </si>
  <si>
    <t>AIO</t>
  </si>
  <si>
    <t>ASINAN GM</t>
  </si>
  <si>
    <t>BU LIE ING</t>
  </si>
  <si>
    <t>BU.LILY</t>
  </si>
  <si>
    <t>MOOS CAFE</t>
  </si>
  <si>
    <t>07.00-08.00</t>
  </si>
  <si>
    <t>DAYS DH</t>
  </si>
  <si>
    <t>18.00-20.00</t>
  </si>
  <si>
    <t>PAK REGGY</t>
  </si>
  <si>
    <t>GOODFELLAS K</t>
  </si>
  <si>
    <t>CIKAL</t>
  </si>
  <si>
    <t>PAK DANIEL</t>
  </si>
  <si>
    <t>TONG JI SILOAM</t>
  </si>
  <si>
    <t>COMMOND G</t>
  </si>
  <si>
    <t>TONG TJIE PTC</t>
  </si>
  <si>
    <t>15.00-18.00</t>
  </si>
  <si>
    <t>PHOBABA GM</t>
  </si>
  <si>
    <t>DERM BEAUTY</t>
  </si>
  <si>
    <t>DRAGON H P</t>
  </si>
  <si>
    <t>KAWAN SEDUH</t>
  </si>
  <si>
    <t>OFFICE HCI</t>
  </si>
  <si>
    <t>06.30-08.00</t>
  </si>
  <si>
    <t>OKINAWA PM</t>
  </si>
  <si>
    <t>16.00-18.00</t>
  </si>
  <si>
    <t>TAEYUNGSUNG</t>
  </si>
  <si>
    <t>PAK PETER</t>
  </si>
  <si>
    <t>21.30-23.00</t>
  </si>
  <si>
    <t>INST</t>
  </si>
  <si>
    <t>23.00-24.30</t>
  </si>
  <si>
    <t>SHELL VET</t>
  </si>
  <si>
    <t>: MAHRUS</t>
  </si>
  <si>
    <t xml:space="preserve">:FAHMI </t>
  </si>
  <si>
    <t>JAM</t>
  </si>
  <si>
    <t>AMARIS EM</t>
  </si>
  <si>
    <t>B.GRACE</t>
  </si>
  <si>
    <t>BU.DIANA</t>
  </si>
  <si>
    <t>BU.LYLA</t>
  </si>
  <si>
    <t>BU.PUSPA</t>
  </si>
  <si>
    <t>HIGA BOX</t>
  </si>
  <si>
    <t>KOPI 3 AWANG</t>
  </si>
  <si>
    <t>14.00-18.00</t>
  </si>
  <si>
    <t>G. PAKUWON</t>
  </si>
  <si>
    <t>09.00-13.00</t>
  </si>
  <si>
    <t>CV KARINA</t>
  </si>
  <si>
    <t>SHELL MER</t>
  </si>
  <si>
    <t>TOKO KOPI</t>
  </si>
  <si>
    <t>KOPI 3 SAWAH</t>
  </si>
  <si>
    <t>MEDICELLE</t>
  </si>
  <si>
    <t>19.00-22.00</t>
  </si>
  <si>
    <t>DHDC</t>
  </si>
  <si>
    <t>WARE.H TM</t>
  </si>
  <si>
    <t>GYOPO PIZZA</t>
  </si>
  <si>
    <t>HAVANA</t>
  </si>
  <si>
    <t>KUWEH</t>
  </si>
  <si>
    <t>SAISHO PEM</t>
  </si>
  <si>
    <t>KWANG T WAS</t>
  </si>
  <si>
    <t>PT.SURYA T.L</t>
  </si>
  <si>
    <t>17.00-19.00</t>
  </si>
  <si>
    <t>PT.MING</t>
  </si>
  <si>
    <t>20.00-22.00</t>
  </si>
  <si>
    <t>20.30-21.30</t>
  </si>
  <si>
    <t>WALLET</t>
  </si>
  <si>
    <t>24.00-02.00</t>
  </si>
  <si>
    <t>PAK NIXON</t>
  </si>
  <si>
    <t>PT.PAKAL</t>
  </si>
  <si>
    <t>R M P</t>
  </si>
  <si>
    <t>22.30-24.30</t>
  </si>
  <si>
    <t>XL MEDIA</t>
  </si>
  <si>
    <t>: ANDIK</t>
  </si>
  <si>
    <t>FAHMI</t>
  </si>
  <si>
    <t>88 EM</t>
  </si>
  <si>
    <t>ALURA</t>
  </si>
  <si>
    <t>PT.BISI</t>
  </si>
  <si>
    <t>SUTRACO. B</t>
  </si>
  <si>
    <t>BU FRANS</t>
  </si>
  <si>
    <t>BU ELLY</t>
  </si>
  <si>
    <t>P.HENGKY</t>
  </si>
  <si>
    <t>PT.BISI MOJO</t>
  </si>
  <si>
    <t>13.00-16.00</t>
  </si>
  <si>
    <t>SUTRACO M-P</t>
  </si>
  <si>
    <t>CV.MANNA</t>
  </si>
  <si>
    <t>VOILA21</t>
  </si>
  <si>
    <t>BU RINI</t>
  </si>
  <si>
    <t>SUJI PM</t>
  </si>
  <si>
    <t>VOILA.ID</t>
  </si>
  <si>
    <t>TOKO KOPI JS</t>
  </si>
  <si>
    <t>22.30-24.00</t>
  </si>
  <si>
    <t>VERT</t>
  </si>
  <si>
    <t>23.30-24.30</t>
  </si>
  <si>
    <t>HIGA AE</t>
  </si>
  <si>
    <t>HONEY POK</t>
  </si>
  <si>
    <t>P.VICTOR</t>
  </si>
  <si>
    <t>07.30-09.00</t>
  </si>
  <si>
    <t>SUTRACO. L</t>
  </si>
  <si>
    <t xml:space="preserve">PT HASKARA </t>
  </si>
  <si>
    <t>S-IN</t>
  </si>
  <si>
    <t>PAK WINANDA</t>
  </si>
  <si>
    <t>TANAMERA TRUN</t>
  </si>
  <si>
    <t>23.30-01.00</t>
  </si>
  <si>
    <t>11.30-12.30</t>
  </si>
  <si>
    <t>S. HANDOYO</t>
  </si>
  <si>
    <t>PT HASKARA</t>
  </si>
  <si>
    <t>PAK HENDRA</t>
  </si>
  <si>
    <t>PAK FERNANDO</t>
  </si>
  <si>
    <t>13.30-14.30</t>
  </si>
  <si>
    <t>LUCKY</t>
  </si>
  <si>
    <t>7 DERMAGA S</t>
  </si>
  <si>
    <t>B. YENY</t>
  </si>
  <si>
    <t>TRISTAR</t>
  </si>
  <si>
    <t>BDG</t>
  </si>
  <si>
    <t>SAISHO PTC</t>
  </si>
  <si>
    <t>PAK DANNY</t>
  </si>
  <si>
    <t>PAK MECHAEL</t>
  </si>
  <si>
    <t>BU EDDY</t>
  </si>
  <si>
    <t>23.30-02.30</t>
  </si>
  <si>
    <t>23.00-01.00</t>
  </si>
  <si>
    <t>15.00-19.00</t>
  </si>
  <si>
    <t>DUTA BAYU</t>
  </si>
  <si>
    <t>SON GA</t>
  </si>
  <si>
    <t>CV. ANDALAN SK</t>
  </si>
  <si>
    <t>FEEL MATCHA WH</t>
  </si>
  <si>
    <t>HAVANA CIT</t>
  </si>
  <si>
    <t>P. STEVEN</t>
  </si>
  <si>
    <t>PAK AWI</t>
  </si>
  <si>
    <t>XIO XIANG PTC</t>
  </si>
  <si>
    <t>21,00-22,00</t>
  </si>
  <si>
    <t xml:space="preserve">RAHUL </t>
  </si>
  <si>
    <t xml:space="preserve">PRC </t>
  </si>
  <si>
    <t>22.00-01.00</t>
  </si>
  <si>
    <t>PHOBABA PM</t>
  </si>
  <si>
    <t>22.15-23.15</t>
  </si>
  <si>
    <t>PAK GEORGE</t>
  </si>
  <si>
    <t>PAK EVAN</t>
  </si>
  <si>
    <t>PAK.WISNU</t>
  </si>
  <si>
    <t>SANTIKA</t>
  </si>
  <si>
    <t>MAULANA</t>
  </si>
  <si>
    <t>BU VICA</t>
  </si>
  <si>
    <t xml:space="preserve">PAK HERI </t>
  </si>
  <si>
    <t>SPPG</t>
  </si>
  <si>
    <t>TONG JIE PCM</t>
  </si>
  <si>
    <t>BOBBIE BURGER</t>
  </si>
  <si>
    <t xml:space="preserve">TRISTAR </t>
  </si>
  <si>
    <t>HONEY P TMR</t>
  </si>
  <si>
    <t>14.00-16.00</t>
  </si>
  <si>
    <t>KAWAI</t>
  </si>
  <si>
    <t>17.30-18.30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</si>
  <si>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</si>
  <si>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t>KOPI 3 CIT</t>
  </si>
  <si>
    <t>BU INGGRIT</t>
  </si>
  <si>
    <t>NAUNG GROUP</t>
  </si>
  <si>
    <t>HONEY POK  PN</t>
  </si>
  <si>
    <t>BAGI KOPI</t>
  </si>
  <si>
    <t>PHOBABA PCM</t>
  </si>
  <si>
    <t>HONEY POK CWS</t>
  </si>
  <si>
    <t>TONGJIE TP OP</t>
  </si>
  <si>
    <t>MIST</t>
  </si>
  <si>
    <t>STEP KIDS</t>
  </si>
  <si>
    <t>15.30-16.00</t>
  </si>
  <si>
    <r>
      <rPr>
        <rFont val="Times New Roman"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</si>
  <si>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</si>
  <si>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</si>
  <si>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t>DELIMA BAKERY</t>
  </si>
  <si>
    <t>16.30-17.30</t>
  </si>
  <si>
    <r>
      <rPr>
        <rFont val="Times New Roman"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</si>
  <si>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OP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</si>
  <si>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OT</t>
    </r>
  </si>
  <si>
    <t>TOFFIN SBY</t>
  </si>
  <si>
    <t>ALBA</t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</si>
  <si>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</si>
  <si>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</si>
  <si>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</si>
  <si>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G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</si>
  <si>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OP</t>
    </r>
  </si>
  <si>
    <r>
      <rPr>
        <rFont val="Times New Roman"/>
        <b/>
        <color theme="1"/>
        <sz val="11.0"/>
      </rPr>
      <t xml:space="preserve">TONGJIE TP </t>
    </r>
    <r>
      <rPr>
        <rFont val="Times New Roman"/>
        <b/>
        <color theme="1"/>
        <sz val="11.0"/>
      </rPr>
      <t>OT</t>
    </r>
  </si>
  <si>
    <r>
      <rPr>
        <rFont val="Times New Roman"/>
        <b/>
        <color theme="1"/>
        <sz val="11.0"/>
      </rPr>
      <t xml:space="preserve">BUTTERMAN </t>
    </r>
    <r>
      <rPr>
        <rFont val="Times New Roman"/>
        <b/>
        <color theme="1"/>
        <sz val="11.0"/>
      </rPr>
      <t>OT</t>
    </r>
  </si>
  <si>
    <t>FATHUR</t>
  </si>
  <si>
    <t xml:space="preserve">TP </t>
  </si>
  <si>
    <t>07.00-15.00</t>
  </si>
  <si>
    <t>15.00-23.00</t>
  </si>
  <si>
    <t>PCM</t>
  </si>
  <si>
    <t>PTC</t>
  </si>
  <si>
    <t>GT</t>
  </si>
  <si>
    <t>PM</t>
  </si>
  <si>
    <t>TP</t>
  </si>
  <si>
    <t xml:space="preserve">PCM </t>
  </si>
  <si>
    <t>SUPP</t>
  </si>
  <si>
    <t>IMAM</t>
  </si>
  <si>
    <t>ARGA</t>
  </si>
  <si>
    <t>RENDY</t>
  </si>
  <si>
    <t>JADWAL TEKNISI BULAN APRIL 2026</t>
  </si>
  <si>
    <t>07.00-10.00</t>
  </si>
  <si>
    <t>HOME GROUND PADEL</t>
  </si>
  <si>
    <t>23.30-01.30</t>
  </si>
  <si>
    <t>20.00-23.00</t>
  </si>
  <si>
    <t>JP</t>
  </si>
  <si>
    <t>22.00-02.00</t>
  </si>
  <si>
    <t>EL GRANDE</t>
  </si>
  <si>
    <t>ALMA</t>
  </si>
  <si>
    <t>02.00-03.00</t>
  </si>
  <si>
    <t>GRAHA PADEL</t>
  </si>
  <si>
    <t>SUPRAMA</t>
  </si>
  <si>
    <t>TUBAN I</t>
  </si>
  <si>
    <t>BRAVO BJN</t>
  </si>
  <si>
    <t>BRAVO CEPU</t>
  </si>
  <si>
    <t>TUBAN II</t>
  </si>
  <si>
    <t>GILANG</t>
  </si>
  <si>
    <t xml:space="preserve">RUMDIS JEPANG </t>
  </si>
  <si>
    <t>JADWAL TEKNISI STAY
AREA PAKUWON JOGJA &amp; SOLO</t>
  </si>
  <si>
    <t>NOTE</t>
  </si>
  <si>
    <t>NO</t>
  </si>
  <si>
    <t>NAMA</t>
  </si>
  <si>
    <t>S</t>
  </si>
  <si>
    <t>R</t>
  </si>
  <si>
    <t>K</t>
  </si>
  <si>
    <t>J</t>
  </si>
  <si>
    <t>M</t>
  </si>
  <si>
    <t>DANI J</t>
  </si>
  <si>
    <t>P</t>
  </si>
  <si>
    <t>X</t>
  </si>
  <si>
    <t>FG</t>
  </si>
  <si>
    <t>REZA</t>
  </si>
  <si>
    <t>ADAM</t>
  </si>
  <si>
    <t>DANI S</t>
  </si>
  <si>
    <t>PAGI</t>
  </si>
  <si>
    <t>SIANG</t>
  </si>
  <si>
    <t>KETERANGAN</t>
  </si>
  <si>
    <t>Service Tecnician</t>
  </si>
  <si>
    <t>: PAGI ( 05.30-14.00 )</t>
  </si>
  <si>
    <t xml:space="preserve">RISKI </t>
  </si>
  <si>
    <t>DANI</t>
  </si>
  <si>
    <t>: SORE ( 14.30-23.00 )</t>
  </si>
  <si>
    <t>: JADWAL SEWAKTU-WAKTU DAPAT BERUBAH JIKA ADA TREATMENT TAMBAHAN DAN DALAM KEADAAN URGENT</t>
  </si>
  <si>
    <t>: UNTUK PELAKSANAAN GENERAL TREATMENT TETAP ADA PERBANTUAN SELAIN TEKNISI STAY</t>
  </si>
  <si>
    <t>SNC TEAM</t>
  </si>
  <si>
    <t>Surabaya, 22 Februari 2026</t>
  </si>
  <si>
    <t>Di buat</t>
  </si>
  <si>
    <t>Mengetahui</t>
  </si>
  <si>
    <t>Menyetujui</t>
  </si>
  <si>
    <t>Penanggung Jawab</t>
  </si>
  <si>
    <t xml:space="preserve">Fahmi Idris M.A </t>
  </si>
  <si>
    <t>Alexander Laurenzy</t>
  </si>
  <si>
    <t>081334227988</t>
  </si>
  <si>
    <t xml:space="preserve">Awita </t>
  </si>
  <si>
    <t xml:space="preserve">Regional Supervisor </t>
  </si>
  <si>
    <t>Area Manager</t>
  </si>
  <si>
    <t>Housekeeping</t>
  </si>
  <si>
    <t>JADWAL TEKNISI STAY
AREA PAKUWON  SOLO</t>
  </si>
  <si>
    <t>PS</t>
  </si>
  <si>
    <t>RISKY</t>
  </si>
  <si>
    <t>: PAGI ( 06.30-15.00 )</t>
  </si>
  <si>
    <t xml:space="preserve">DANI.S </t>
  </si>
  <si>
    <t>ST</t>
  </si>
  <si>
    <t xml:space="preserve">: SPLIT </t>
  </si>
  <si>
    <t>: SPLIT (06.30-11.00-21.00-24.00) (GT)</t>
  </si>
  <si>
    <t>Surabaya, 01 Mei 2026</t>
  </si>
  <si>
    <t xml:space="preserve"> Supervisor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</si>
</sst>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_([$IDR]\ * #,##0.00_);_([$IDR]\ * \(#,##0.00\);_([$IDR]\ * &quot;-&quot;??_);_(@_)"/>
    <numFmt numFmtId="166" formatCode="_-[$IDR]\ * #,##0.00_-;\-[$IDR]\ * #,##0.00_-;_-[$IDR]\ * &quot;-&quot;??_-;_-@"/>
    <numFmt numFmtId="167" formatCode="mmmm\ yyyy"/>
  </numFmts>
  <fonts count="47">
    <font>
      <sz val="11.0"/>
      <color theme="1"/>
      <name val="Calibri"/>
      <scheme val="minor"/>
    </font>
    <font>
      <b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rgb="FFFF0000"/>
      <name val="Times New Roman"/>
    </font>
    <font>
      <b/>
      <sz val="11.0"/>
      <color rgb="FFFFFF00"/>
      <name val="Times New Roman"/>
    </font>
    <font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color theme="1"/>
      <name val="Calibri"/>
      <scheme val="minor"/>
    </font>
    <font>
      <b/>
      <sz val="18.0"/>
      <color rgb="FF000000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color theme="1"/>
      <name val="Calibri"/>
    </font>
    <font>
      <color theme="1"/>
      <name val="Times New Roman"/>
    </font>
    <font>
      <sz val="11.0"/>
      <color rgb="FF000000"/>
      <name val="Times New Roman"/>
    </font>
    <font>
      <sz val="12.0"/>
      <color rgb="FF000000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Times New Roman"/>
    </font>
    <font>
      <b/>
      <sz val="11.0"/>
      <color theme="1"/>
      <name val="Calibri"/>
    </font>
    <font>
      <b/>
      <sz val="8.0"/>
      <color theme="1"/>
      <name val="Times New Roman"/>
    </font>
    <font>
      <sz val="11.0"/>
      <color theme="1"/>
      <name val="Arial"/>
    </font>
    <font>
      <sz val="18.0"/>
      <color rgb="FF000000"/>
      <name val="Times New Roman"/>
    </font>
    <font>
      <sz val="18.0"/>
      <color rgb="FF000000"/>
      <name val="Tahoma"/>
    </font>
    <font>
      <sz val="8.0"/>
      <color theme="1"/>
      <name val="Tahoma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sz val="11.0"/>
      <color rgb="FF000000"/>
      <name val="Calibri"/>
    </font>
    <font>
      <sz val="12.0"/>
      <color rgb="FF000000"/>
      <name val="Times New Roman"/>
    </font>
    <font>
      <sz val="11.0"/>
      <color rgb="FFFF0000"/>
      <name val="Times New Roman"/>
    </font>
    <font>
      <b/>
      <sz val="12.0"/>
      <color rgb="FF000000"/>
      <name val="Times New Roman"/>
    </font>
    <font>
      <b/>
      <u/>
      <sz val="11.0"/>
      <color rgb="FF000000"/>
      <name val="Times New Roman"/>
    </font>
    <font>
      <b/>
      <sz val="11.0"/>
      <color rgb="FF0000FF"/>
      <name val="Times New Roman"/>
    </font>
    <font>
      <color rgb="FF000000"/>
      <name val="Times New Roman"/>
    </font>
    <font>
      <sz val="11.0"/>
      <color rgb="FFFF0000"/>
      <name val="Calibri"/>
    </font>
    <font>
      <color theme="1"/>
      <name val="Arial"/>
    </font>
    <font>
      <b/>
      <sz val="14.0"/>
      <color theme="1"/>
      <name val="Times New Roman"/>
    </font>
    <font>
      <b/>
      <sz val="13.0"/>
      <color theme="1"/>
      <name val="Times New Roman"/>
    </font>
    <font>
      <b/>
      <sz val="12.0"/>
      <color rgb="FFFF0000"/>
      <name val="Times New Roman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F4AE83"/>
        <bgColor rgb="FFF4AE83"/>
      </patternFill>
    </fill>
    <fill>
      <patternFill patternType="solid">
        <fgColor rgb="FFFFC000"/>
        <bgColor rgb="FFFFC0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EA9DB"/>
      </left>
      <top style="thin">
        <color rgb="FF8EA9DB"/>
      </top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bottom style="medium">
        <color rgb="FF000000"/>
      </bottom>
    </border>
    <border>
      <left style="thin">
        <color rgb="FF8EA9DB"/>
      </left>
      <bottom style="thin">
        <color rgb="FF8EA9D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/>
    </border>
    <border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bottom"/>
    </xf>
    <xf borderId="1" fillId="2" fontId="9" numFmtId="164" xfId="0" applyAlignment="1" applyBorder="1" applyFont="1" applyNumberFormat="1">
      <alignment horizontal="center" vertical="bottom"/>
    </xf>
    <xf borderId="1" fillId="2" fontId="5" numFmtId="164" xfId="0" applyAlignment="1" applyBorder="1" applyFont="1" applyNumberFormat="1">
      <alignment horizontal="center" vertical="bottom"/>
    </xf>
    <xf borderId="1" fillId="2" fontId="8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vertical="bottom"/>
    </xf>
    <xf borderId="4" fillId="3" fontId="10" numFmtId="0" xfId="0" applyAlignment="1" applyBorder="1" applyFill="1" applyFont="1">
      <alignment vertical="bottom"/>
    </xf>
    <xf borderId="4" fillId="0" fontId="5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0" fontId="5" numFmtId="0" xfId="0" applyBorder="1" applyFont="1"/>
    <xf borderId="4" fillId="0" fontId="4" numFmtId="0" xfId="0" applyBorder="1" applyFont="1"/>
    <xf borderId="1" fillId="4" fontId="5" numFmtId="0" xfId="0" applyAlignment="1" applyBorder="1" applyFill="1" applyFont="1">
      <alignment horizontal="center" vertical="center"/>
    </xf>
    <xf borderId="5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4" fillId="0" fontId="12" numFmtId="0" xfId="0" applyAlignment="1" applyBorder="1" applyFont="1">
      <alignment vertical="bottom"/>
    </xf>
    <xf borderId="7" fillId="0" fontId="10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1" fillId="5" fontId="8" numFmtId="0" xfId="0" applyAlignment="1" applyBorder="1" applyFill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5" fontId="8" numFmtId="164" xfId="0" applyAlignment="1" applyBorder="1" applyFont="1" applyNumberFormat="1">
      <alignment horizontal="center" readingOrder="0" vertical="bottom"/>
    </xf>
    <xf borderId="1" fillId="5" fontId="5" numFmtId="164" xfId="0" applyAlignment="1" applyBorder="1" applyFont="1" applyNumberFormat="1">
      <alignment horizontal="center" vertical="bottom"/>
    </xf>
    <xf borderId="1" fillId="5" fontId="8" numFmtId="164" xfId="0" applyAlignment="1" applyBorder="1" applyFont="1" applyNumberFormat="1">
      <alignment horizontal="center" vertical="bottom"/>
    </xf>
    <xf borderId="4" fillId="0" fontId="14" numFmtId="0" xfId="0" applyBorder="1" applyFont="1"/>
    <xf borderId="4" fillId="0" fontId="5" numFmtId="0" xfId="0" applyAlignment="1" applyBorder="1" applyFont="1">
      <alignment vertical="center"/>
    </xf>
    <xf borderId="4" fillId="0" fontId="10" numFmtId="164" xfId="0" applyAlignment="1" applyBorder="1" applyFont="1" applyNumberFormat="1">
      <alignment vertical="bottom"/>
    </xf>
    <xf borderId="4" fillId="3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bottom"/>
    </xf>
    <xf borderId="4" fillId="6" fontId="5" numFmtId="164" xfId="0" applyAlignment="1" applyBorder="1" applyFill="1" applyFont="1" applyNumberFormat="1">
      <alignment vertical="bottom"/>
    </xf>
    <xf borderId="4" fillId="6" fontId="5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8" fillId="0" fontId="5" numFmtId="0" xfId="0" applyAlignment="1" applyBorder="1" applyFont="1">
      <alignment vertical="center"/>
    </xf>
    <xf borderId="4" fillId="3" fontId="5" numFmtId="164" xfId="0" applyAlignment="1" applyBorder="1" applyFont="1" applyNumberFormat="1">
      <alignment vertical="bottom"/>
    </xf>
    <xf borderId="9" fillId="0" fontId="7" numFmtId="0" xfId="0" applyBorder="1" applyFont="1"/>
    <xf borderId="10" fillId="0" fontId="7" numFmtId="0" xfId="0" applyBorder="1" applyFont="1"/>
    <xf borderId="1" fillId="7" fontId="5" numFmtId="164" xfId="0" applyAlignment="1" applyBorder="1" applyFill="1" applyFont="1" applyNumberFormat="1">
      <alignment horizontal="center" vertical="bottom"/>
    </xf>
    <xf borderId="1" fillId="7" fontId="8" numFmtId="164" xfId="0" applyAlignment="1" applyBorder="1" applyFont="1" applyNumberFormat="1">
      <alignment horizontal="center" vertical="bottom"/>
    </xf>
    <xf borderId="6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shrinkToFit="0" wrapText="0"/>
    </xf>
    <xf borderId="6" fillId="0" fontId="5" numFmtId="0" xfId="0" applyAlignment="1" applyBorder="1" applyFont="1">
      <alignment vertical="bottom"/>
    </xf>
    <xf borderId="0" fillId="0" fontId="12" numFmtId="0" xfId="0" applyAlignment="1" applyFont="1">
      <alignment horizontal="left" vertical="top"/>
    </xf>
    <xf borderId="0" fillId="0" fontId="6" numFmtId="165" xfId="0" applyAlignment="1" applyFont="1" applyNumberFormat="1">
      <alignment horizontal="center"/>
    </xf>
    <xf borderId="11" fillId="4" fontId="4" numFmtId="0" xfId="0" applyBorder="1" applyFont="1"/>
    <xf borderId="11" fillId="0" fontId="5" numFmtId="0" xfId="0" applyAlignment="1" applyBorder="1" applyFont="1">
      <alignment vertical="bottom"/>
    </xf>
    <xf borderId="11" fillId="0" fontId="4" numFmtId="0" xfId="0" applyBorder="1" applyFont="1"/>
    <xf borderId="0" fillId="6" fontId="4" numFmtId="0" xfId="0" applyFont="1"/>
    <xf borderId="11" fillId="2" fontId="4" numFmtId="0" xfId="0" applyBorder="1" applyFont="1"/>
    <xf borderId="11" fillId="8" fontId="4" numFmtId="0" xfId="0" applyBorder="1" applyFill="1" applyFont="1"/>
    <xf borderId="11" fillId="9" fontId="4" numFmtId="0" xfId="0" applyBorder="1" applyFill="1" applyFon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vertical="center"/>
    </xf>
    <xf borderId="0" fillId="0" fontId="18" numFmtId="0" xfId="0" applyFont="1"/>
    <xf borderId="4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center" shrinkToFit="0" vertical="center" wrapText="1"/>
    </xf>
    <xf borderId="1" fillId="5" fontId="8" numFmtId="16" xfId="0" applyAlignment="1" applyBorder="1" applyFont="1" applyNumberFormat="1">
      <alignment horizontal="center" shrinkToFit="0" vertical="center" wrapText="1"/>
    </xf>
    <xf borderId="1" fillId="5" fontId="13" numFmtId="164" xfId="0" applyAlignment="1" applyBorder="1" applyFont="1" applyNumberFormat="1">
      <alignment horizontal="center" readingOrder="0" shrinkToFit="1" vertical="center" wrapText="0"/>
    </xf>
    <xf borderId="1" fillId="5" fontId="13" numFmtId="164" xfId="0" applyAlignment="1" applyBorder="1" applyFont="1" applyNumberFormat="1">
      <alignment horizontal="center" shrinkToFit="1" vertical="center" wrapText="0"/>
    </xf>
    <xf borderId="1" fillId="5" fontId="5" numFmtId="164" xfId="0" applyAlignment="1" applyBorder="1" applyFont="1" applyNumberFormat="1">
      <alignment horizontal="center" shrinkToFit="1" vertical="center" wrapText="0"/>
    </xf>
    <xf borderId="1" fillId="5" fontId="8" numFmtId="164" xfId="0" applyAlignment="1" applyBorder="1" applyFont="1" applyNumberFormat="1">
      <alignment horizontal="center" shrinkToFit="1" vertical="center" wrapText="0"/>
    </xf>
    <xf borderId="4" fillId="0" fontId="19" numFmtId="0" xfId="0" applyBorder="1" applyFont="1"/>
    <xf borderId="4" fillId="0" fontId="13" numFmtId="0" xfId="0" applyAlignment="1" applyBorder="1" applyFont="1">
      <alignment horizontal="left" shrinkToFit="0" vertical="center" wrapText="1"/>
    </xf>
    <xf borderId="4" fillId="0" fontId="19" numFmtId="0" xfId="0" applyAlignment="1" applyBorder="1" applyFont="1">
      <alignment horizontal="center"/>
    </xf>
    <xf borderId="10" fillId="3" fontId="20" numFmtId="0" xfId="0" applyBorder="1" applyFont="1"/>
    <xf borderId="4" fillId="6" fontId="13" numFmtId="0" xfId="0" applyAlignment="1" applyBorder="1" applyFont="1">
      <alignment horizontal="left" vertical="center"/>
    </xf>
    <xf borderId="4" fillId="3" fontId="13" numFmtId="0" xfId="0" applyBorder="1" applyFont="1"/>
    <xf borderId="4" fillId="0" fontId="13" numFmtId="0" xfId="0" applyBorder="1" applyFont="1"/>
    <xf borderId="4" fillId="6" fontId="13" numFmtId="0" xfId="0" applyBorder="1" applyFont="1"/>
    <xf borderId="10" fillId="0" fontId="20" numFmtId="0" xfId="0" applyBorder="1" applyFont="1"/>
    <xf borderId="4" fillId="6" fontId="13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shrinkToFit="0" vertical="bottom" wrapText="0"/>
    </xf>
    <xf borderId="1" fillId="2" fontId="5" numFmtId="164" xfId="0" applyAlignment="1" applyBorder="1" applyFont="1" applyNumberFormat="1">
      <alignment horizontal="center" shrinkToFit="1" vertical="center" wrapText="0"/>
    </xf>
    <xf borderId="1" fillId="2" fontId="8" numFmtId="164" xfId="0" applyAlignment="1" applyBorder="1" applyFont="1" applyNumberFormat="1">
      <alignment horizontal="center" shrinkToFit="1" vertical="center" wrapText="0"/>
    </xf>
    <xf borderId="10" fillId="2" fontId="20" numFmtId="0" xfId="0" applyBorder="1" applyFont="1"/>
    <xf borderId="4" fillId="2" fontId="19" numFmtId="0" xfId="0" applyAlignment="1" applyBorder="1" applyFont="1">
      <alignment horizontal="center"/>
    </xf>
    <xf borderId="4" fillId="6" fontId="5" numFmtId="0" xfId="0" applyAlignment="1" applyBorder="1" applyFont="1">
      <alignment vertical="center"/>
    </xf>
    <xf borderId="4" fillId="0" fontId="5" numFmtId="0" xfId="0" applyAlignment="1" applyBorder="1" applyFont="1">
      <alignment shrinkToFit="0" wrapText="1"/>
    </xf>
    <xf borderId="10" fillId="4" fontId="20" numFmtId="0" xfId="0" applyBorder="1" applyFont="1"/>
    <xf borderId="4" fillId="8" fontId="5" numFmtId="0" xfId="0" applyAlignment="1" applyBorder="1" applyFont="1">
      <alignment shrinkToFit="0" wrapText="1"/>
    </xf>
    <xf borderId="4" fillId="8" fontId="5" numFmtId="0" xfId="0" applyAlignment="1" applyBorder="1" applyFont="1">
      <alignment shrinkToFit="0" wrapText="1"/>
    </xf>
    <xf borderId="10" fillId="8" fontId="20" numFmtId="0" xfId="0" applyAlignment="1" applyBorder="1" applyFont="1">
      <alignment vertical="bottom"/>
    </xf>
    <xf borderId="1" fillId="5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shrinkToFit="0" wrapText="1"/>
    </xf>
    <xf borderId="4" fillId="3" fontId="5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0" fillId="8" fontId="20" numFmtId="0" xfId="0" applyBorder="1" applyFont="1"/>
    <xf borderId="0" fillId="0" fontId="12" numFmtId="0" xfId="0" applyAlignment="1" applyFont="1">
      <alignment shrinkToFit="0" wrapText="1"/>
    </xf>
    <xf borderId="4" fillId="3" fontId="13" numFmtId="0" xfId="0" applyAlignment="1" applyBorder="1" applyFont="1">
      <alignment horizontal="left" vertical="center"/>
    </xf>
    <xf borderId="4" fillId="2" fontId="20" numFmtId="0" xfId="0" applyBorder="1" applyFont="1"/>
    <xf borderId="11" fillId="8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shrinkToFit="0" wrapText="1"/>
    </xf>
    <xf borderId="4" fillId="0" fontId="20" numFmtId="0" xfId="0" applyAlignment="1" applyBorder="1" applyFont="1">
      <alignment vertical="bottom"/>
    </xf>
    <xf borderId="4" fillId="0" fontId="20" numFmtId="0" xfId="0" applyBorder="1" applyFont="1"/>
    <xf borderId="4" fillId="6" fontId="2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3" fontId="5" numFmtId="0" xfId="0" applyAlignment="1" applyBorder="1" applyFont="1">
      <alignment shrinkToFit="0" wrapText="1"/>
    </xf>
    <xf borderId="4" fillId="3" fontId="5" numFmtId="0" xfId="0" applyAlignment="1" applyBorder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12" fillId="0" fontId="22" numFmtId="0" xfId="0" applyAlignment="1" applyBorder="1" applyFont="1">
      <alignment horizontal="center" vertical="bottom"/>
    </xf>
    <xf borderId="13" fillId="0" fontId="22" numFmtId="0" xfId="0" applyAlignment="1" applyBorder="1" applyFont="1">
      <alignment horizontal="center" vertical="bottom"/>
    </xf>
    <xf borderId="14" fillId="0" fontId="22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center" vertical="bottom"/>
    </xf>
    <xf borderId="4" fillId="0" fontId="23" numFmtId="0" xfId="0" applyAlignment="1" applyBorder="1" applyFont="1">
      <alignment vertical="bottom"/>
    </xf>
    <xf borderId="4" fillId="0" fontId="23" numFmtId="0" xfId="0" applyAlignment="1" applyBorder="1" applyFont="1">
      <alignment horizontal="center" vertical="bottom"/>
    </xf>
    <xf borderId="4" fillId="6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left"/>
    </xf>
    <xf borderId="4" fillId="3" fontId="5" numFmtId="0" xfId="0" applyBorder="1" applyFont="1"/>
    <xf borderId="1" fillId="4" fontId="13" numFmtId="0" xfId="0" applyAlignment="1" applyBorder="1" applyFont="1">
      <alignment horizontal="center" shrinkToFit="0" vertical="center" wrapText="1"/>
    </xf>
    <xf borderId="4" fillId="8" fontId="5" numFmtId="0" xfId="0" applyAlignment="1" applyBorder="1" applyFont="1">
      <alignment horizontal="left" vertical="center"/>
    </xf>
    <xf borderId="4" fillId="0" fontId="12" numFmtId="0" xfId="0" applyBorder="1" applyFont="1"/>
    <xf borderId="4" fillId="0" fontId="19" numFmtId="0" xfId="0" applyAlignment="1" applyBorder="1" applyFont="1">
      <alignment vertical="bottom"/>
    </xf>
    <xf borderId="1" fillId="5" fontId="8" numFmtId="164" xfId="0" applyAlignment="1" applyBorder="1" applyFont="1" applyNumberFormat="1">
      <alignment horizontal="center" readingOrder="0" shrinkToFit="1" vertical="center" wrapText="0"/>
    </xf>
    <xf borderId="4" fillId="0" fontId="24" numFmtId="0" xfId="0" applyAlignment="1" applyBorder="1" applyFont="1">
      <alignment vertical="bottom"/>
    </xf>
    <xf borderId="4" fillId="8" fontId="12" numFmtId="0" xfId="0" applyAlignment="1" applyBorder="1" applyFont="1">
      <alignment vertical="bottom"/>
    </xf>
    <xf borderId="4" fillId="3" fontId="5" numFmtId="164" xfId="0" applyAlignment="1" applyBorder="1" applyFont="1" applyNumberFormat="1">
      <alignment shrinkToFit="0" vertical="bottom" wrapText="1"/>
    </xf>
    <xf borderId="4" fillId="3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left" readingOrder="0" vertical="center"/>
    </xf>
    <xf borderId="4" fillId="8" fontId="19" numFmtId="0" xfId="0" applyAlignment="1" applyBorder="1" applyFont="1">
      <alignment vertical="bottom"/>
    </xf>
    <xf borderId="4" fillId="8" fontId="5" numFmtId="0" xfId="0" applyAlignment="1" applyBorder="1" applyFont="1">
      <alignment vertical="bottom"/>
    </xf>
    <xf borderId="4" fillId="0" fontId="13" numFmtId="0" xfId="0" applyAlignment="1" applyBorder="1" applyFont="1">
      <alignment shrinkToFit="0" vertical="center" wrapText="1"/>
    </xf>
    <xf borderId="4" fillId="0" fontId="25" numFmtId="0" xfId="0" applyAlignment="1" applyBorder="1" applyFont="1">
      <alignment vertical="bottom"/>
    </xf>
    <xf borderId="4" fillId="8" fontId="13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8" fontId="13" numFmtId="0" xfId="0" applyBorder="1" applyFont="1"/>
    <xf borderId="4" fillId="6" fontId="12" numFmtId="0" xfId="0" applyAlignment="1" applyBorder="1" applyFont="1">
      <alignment horizontal="left" vertical="center"/>
    </xf>
    <xf borderId="4" fillId="0" fontId="5" numFmtId="164" xfId="0" applyAlignment="1" applyBorder="1" applyFont="1" applyNumberFormat="1">
      <alignment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/>
    </xf>
    <xf borderId="4" fillId="3" fontId="10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left" shrinkToFit="0" vertical="center" wrapText="1"/>
    </xf>
    <xf borderId="4" fillId="6" fontId="26" numFmtId="0" xfId="0" applyAlignment="1" applyBorder="1" applyFont="1">
      <alignment horizontal="left" shrinkToFit="0" vertical="center" wrapText="1"/>
    </xf>
    <xf borderId="0" fillId="0" fontId="6" numFmtId="166" xfId="0" applyAlignment="1" applyFont="1" applyNumberFormat="1">
      <alignment horizontal="left" shrinkToFit="0" vertical="center" wrapText="1"/>
    </xf>
    <xf borderId="15" fillId="0" fontId="1" numFmtId="0" xfId="0" applyAlignment="1" applyBorder="1" applyFont="1">
      <alignment horizontal="left"/>
    </xf>
    <xf borderId="15" fillId="0" fontId="7" numFmtId="0" xfId="0" applyBorder="1" applyFont="1"/>
    <xf borderId="15" fillId="0" fontId="6" numFmtId="0" xfId="0" applyAlignment="1" applyBorder="1" applyFont="1">
      <alignment horizontal="left" shrinkToFit="0" vertical="center" wrapText="1"/>
    </xf>
    <xf borderId="4" fillId="8" fontId="20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vertical="center" wrapText="1"/>
    </xf>
    <xf borderId="4" fillId="3" fontId="27" numFmtId="0" xfId="0" applyAlignment="1" applyBorder="1" applyFont="1">
      <alignment vertical="bottom"/>
    </xf>
    <xf borderId="4" fillId="8" fontId="13" numFmtId="0" xfId="0" applyAlignment="1" applyBorder="1" applyFont="1">
      <alignment horizontal="left"/>
    </xf>
    <xf borderId="4" fillId="8" fontId="5" numFmtId="0" xfId="0" applyAlignment="1" applyBorder="1" applyFont="1">
      <alignment shrinkToFit="0" vertical="bottom" wrapText="1"/>
    </xf>
    <xf borderId="4" fillId="4" fontId="13" numFmtId="0" xfId="0" applyAlignment="1" applyBorder="1" applyFont="1">
      <alignment horizontal="left" shrinkToFit="0" vertical="center" wrapText="1"/>
    </xf>
    <xf borderId="4" fillId="0" fontId="20" numFmtId="0" xfId="0" applyAlignment="1" applyBorder="1" applyFont="1">
      <alignment horizontal="left" vertical="center"/>
    </xf>
    <xf borderId="4" fillId="8" fontId="5" numFmtId="0" xfId="0" applyAlignment="1" applyBorder="1" applyFont="1">
      <alignment readingOrder="0" shrinkToFit="0" wrapText="1"/>
    </xf>
    <xf borderId="4" fillId="4" fontId="13" numFmtId="0" xfId="0" applyAlignment="1" applyBorder="1" applyFont="1">
      <alignment horizontal="left"/>
    </xf>
    <xf borderId="4" fillId="8" fontId="5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left"/>
    </xf>
    <xf borderId="4" fillId="3" fontId="12" numFmtId="0" xfId="0" applyBorder="1" applyFont="1"/>
    <xf borderId="4" fillId="0" fontId="12" numFmtId="0" xfId="0" applyAlignment="1" applyBorder="1" applyFont="1">
      <alignment horizontal="left" shrinkToFit="0" vertical="center" wrapText="1"/>
    </xf>
    <xf borderId="16" fillId="0" fontId="22" numFmtId="0" xfId="0" applyAlignment="1" applyBorder="1" applyFont="1">
      <alignment horizontal="center" vertical="bottom"/>
    </xf>
    <xf borderId="4" fillId="0" fontId="22" numFmtId="0" xfId="0" applyAlignment="1" applyBorder="1" applyFont="1">
      <alignment vertical="bottom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vertical="top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shrinkToFit="0" vertical="center" wrapText="1"/>
    </xf>
    <xf borderId="17" fillId="2" fontId="5" numFmtId="0" xfId="0" applyAlignment="1" applyBorder="1" applyFont="1">
      <alignment horizontal="center" vertical="bottom"/>
    </xf>
    <xf borderId="18" fillId="0" fontId="7" numFmtId="0" xfId="0" applyBorder="1" applyFont="1"/>
    <xf borderId="19" fillId="0" fontId="7" numFmtId="0" xfId="0" applyBorder="1" applyFont="1"/>
    <xf borderId="17" fillId="2" fontId="8" numFmtId="0" xfId="0" applyAlignment="1" applyBorder="1" applyFon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1" fillId="0" fontId="7" numFmtId="0" xfId="0" applyBorder="1" applyFont="1"/>
    <xf borderId="22" fillId="0" fontId="7" numFmtId="0" xfId="0" applyBorder="1" applyFont="1"/>
    <xf borderId="0" fillId="2" fontId="9" numFmtId="164" xfId="0" applyAlignment="1" applyFont="1" applyNumberFormat="1">
      <alignment horizontal="center" vertical="bottom"/>
    </xf>
    <xf borderId="23" fillId="0" fontId="7" numFmtId="0" xfId="0" applyBorder="1" applyFont="1"/>
    <xf borderId="20" fillId="2" fontId="5" numFmtId="164" xfId="0" applyAlignment="1" applyBorder="1" applyFont="1" applyNumberFormat="1">
      <alignment horizontal="center" vertical="bottom"/>
    </xf>
    <xf borderId="20" fillId="2" fontId="8" numFmtId="164" xfId="0" applyAlignment="1" applyBorder="1" applyFont="1" applyNumberFormat="1">
      <alignment horizontal="center" vertical="bottom"/>
    </xf>
    <xf borderId="0" fillId="2" fontId="5" numFmtId="164" xfId="0" applyAlignment="1" applyFont="1" applyNumberFormat="1">
      <alignment horizontal="center" vertical="bottom"/>
    </xf>
    <xf borderId="0" fillId="2" fontId="8" numFmtId="164" xfId="0" applyAlignment="1" applyFont="1" applyNumberFormat="1">
      <alignment horizontal="center" vertical="bottom"/>
    </xf>
    <xf borderId="4" fillId="3" fontId="31" numFmtId="0" xfId="0" applyAlignment="1" applyBorder="1" applyFont="1">
      <alignment vertical="bottom"/>
    </xf>
    <xf borderId="4" fillId="6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4" fillId="0" fontId="23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vertical="center"/>
    </xf>
    <xf borderId="4" fillId="0" fontId="1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center"/>
    </xf>
    <xf borderId="4" fillId="3" fontId="32" numFmtId="0" xfId="0" applyAlignment="1" applyBorder="1" applyFont="1">
      <alignment vertical="bottom"/>
    </xf>
    <xf borderId="4" fillId="3" fontId="24" numFmtId="0" xfId="0" applyAlignment="1" applyBorder="1" applyFont="1">
      <alignment shrinkToFit="0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164" xfId="0" applyAlignment="1" applyBorder="1" applyFont="1" applyNumberFormat="1">
      <alignment horizontal="center" shrinkToFit="1" vertical="center" wrapText="0"/>
    </xf>
    <xf borderId="4" fillId="0" fontId="31" numFmtId="0" xfId="0" applyAlignment="1" applyBorder="1" applyFont="1">
      <alignment vertical="bottom"/>
    </xf>
    <xf borderId="4" fillId="0" fontId="2" numFmtId="0" xfId="0" applyAlignment="1" applyBorder="1" applyFont="1">
      <alignment shrinkToFit="0" vertical="center" wrapText="1"/>
    </xf>
    <xf borderId="0" fillId="0" fontId="14" numFmtId="0" xfId="0" applyFont="1"/>
    <xf borderId="1" fillId="0" fontId="2" numFmtId="0" xfId="0" applyAlignment="1" applyBorder="1" applyFont="1">
      <alignment horizontal="center" shrinkToFit="0" vertical="center" wrapText="1"/>
    </xf>
    <xf borderId="4" fillId="3" fontId="2" numFmtId="0" xfId="0" applyBorder="1" applyFont="1"/>
    <xf borderId="4" fillId="6" fontId="33" numFmtId="0" xfId="0" applyAlignment="1" applyBorder="1" applyFont="1">
      <alignment horizontal="left" vertical="center"/>
    </xf>
    <xf borderId="4" fillId="3" fontId="34" numFmtId="0" xfId="0" applyBorder="1" applyFont="1"/>
    <xf borderId="4" fillId="0" fontId="34" numFmtId="0" xfId="0" applyBorder="1" applyFont="1"/>
    <xf borderId="4" fillId="3" fontId="13" numFmtId="0" xfId="0" applyAlignment="1" applyBorder="1" applyFont="1">
      <alignment horizontal="center"/>
    </xf>
    <xf borderId="1" fillId="4" fontId="13" numFmtId="0" xfId="0" applyAlignment="1" applyBorder="1" applyFont="1">
      <alignment horizontal="center"/>
    </xf>
    <xf borderId="4" fillId="0" fontId="23" numFmtId="0" xfId="0" applyBorder="1" applyFont="1"/>
    <xf borderId="4" fillId="0" fontId="23" numFmtId="0" xfId="0" applyAlignment="1" applyBorder="1" applyFont="1">
      <alignment horizontal="center"/>
    </xf>
    <xf borderId="4" fillId="0" fontId="23" numFmtId="0" xfId="0" applyAlignment="1" applyBorder="1" applyFont="1">
      <alignment horizontal="center" readingOrder="0"/>
    </xf>
    <xf borderId="4" fillId="0" fontId="35" numFmtId="0" xfId="0" applyBorder="1" applyFont="1"/>
    <xf borderId="0" fillId="0" fontId="23" numFmtId="0" xfId="0" applyAlignment="1" applyFont="1">
      <alignment vertical="bottom"/>
    </xf>
    <xf borderId="4" fillId="10" fontId="35" numFmtId="0" xfId="0" applyBorder="1" applyFill="1" applyFont="1"/>
    <xf borderId="4" fillId="3" fontId="34" numFmtId="0" xfId="0" applyAlignment="1" applyBorder="1" applyFont="1">
      <alignment horizontal="center"/>
    </xf>
    <xf borderId="4" fillId="3" fontId="35" numFmtId="0" xfId="0" applyBorder="1" applyFont="1"/>
    <xf borderId="4" fillId="0" fontId="23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shrinkToFit="0" wrapText="1"/>
    </xf>
    <xf borderId="8" fillId="0" fontId="13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bottom"/>
    </xf>
    <xf borderId="4" fillId="0" fontId="13" numFmtId="0" xfId="0" applyAlignment="1" applyBorder="1" applyFont="1">
      <alignment readingOrder="0"/>
    </xf>
    <xf borderId="4" fillId="4" fontId="23" numFmtId="0" xfId="0" applyAlignment="1" applyBorder="1" applyFont="1">
      <alignment horizontal="left" shrinkToFit="0" vertical="center" wrapText="1"/>
    </xf>
    <xf borderId="4" fillId="4" fontId="12" numFmtId="0" xfId="0" applyBorder="1" applyFont="1"/>
    <xf borderId="0" fillId="0" fontId="12" numFmtId="0" xfId="0" applyAlignment="1" applyFont="1">
      <alignment vertical="bottom"/>
    </xf>
    <xf borderId="4" fillId="4" fontId="23" numFmtId="0" xfId="0" applyBorder="1" applyFont="1"/>
    <xf borderId="0" fillId="0" fontId="10" numFmtId="0" xfId="0" applyAlignment="1" applyFont="1">
      <alignment vertical="bottom"/>
    </xf>
    <xf borderId="4" fillId="0" fontId="20" numFmtId="0" xfId="0" applyAlignment="1" applyBorder="1" applyFont="1">
      <alignment horizontal="left"/>
    </xf>
    <xf borderId="4" fillId="0" fontId="13" numFmtId="0" xfId="0" applyAlignment="1" applyBorder="1" applyFont="1">
      <alignment horizontal="center"/>
    </xf>
    <xf borderId="4" fillId="0" fontId="23" numFmtId="0" xfId="0" applyAlignment="1" applyBorder="1" applyFont="1">
      <alignment shrinkToFit="0" wrapText="1"/>
    </xf>
    <xf borderId="4" fillId="3" fontId="20" numFmtId="0" xfId="0" applyBorder="1" applyFont="1"/>
    <xf borderId="4" fillId="0" fontId="22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4" fillId="0" fontId="8" numFmtId="0" xfId="0" applyBorder="1" applyFont="1"/>
    <xf borderId="0" fillId="0" fontId="2" numFmtId="0" xfId="0" applyAlignment="1" applyFont="1">
      <alignment horizontal="left" shrinkToFit="0" vertical="top" wrapText="1"/>
    </xf>
    <xf borderId="0" fillId="0" fontId="6" numFmtId="165" xfId="0" applyAlignment="1" applyFont="1" applyNumberFormat="1">
      <alignment horizontal="left" shrinkToFit="0" vertical="top" wrapText="1"/>
    </xf>
    <xf borderId="4" fillId="3" fontId="13" numFmtId="0" xfId="0" applyAlignment="1" applyBorder="1" applyFont="1">
      <alignment vertical="bottom"/>
    </xf>
    <xf borderId="4" fillId="0" fontId="22" numFmtId="0" xfId="0" applyBorder="1" applyFont="1"/>
    <xf borderId="1" fillId="5" fontId="36" numFmtId="164" xfId="0" applyAlignment="1" applyBorder="1" applyFont="1" applyNumberFormat="1">
      <alignment horizontal="center" readingOrder="0" shrinkToFit="1" vertical="center" wrapText="0"/>
    </xf>
    <xf borderId="4" fillId="0" fontId="22" numFmtId="0" xfId="0" applyAlignment="1" applyBorder="1" applyFont="1">
      <alignment horizontal="center" readingOrder="0"/>
    </xf>
    <xf borderId="4" fillId="4" fontId="37" numFmtId="0" xfId="0" applyBorder="1" applyFont="1"/>
    <xf borderId="4" fillId="0" fontId="37" numFmtId="0" xfId="0" applyAlignment="1" applyBorder="1" applyFont="1">
      <alignment vertical="bottom"/>
    </xf>
    <xf borderId="4" fillId="0" fontId="37" numFmtId="0" xfId="0" applyBorder="1" applyFont="1"/>
    <xf borderId="4" fillId="3" fontId="13" numFmtId="0" xfId="0" applyAlignment="1" applyBorder="1" applyFont="1">
      <alignment horizontal="left" shrinkToFit="0" vertical="center" wrapText="1"/>
    </xf>
    <xf borderId="4" fillId="3" fontId="38" numFmtId="0" xfId="0" applyBorder="1" applyFont="1"/>
    <xf borderId="4" fillId="4" fontId="22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4" fillId="0" fontId="37" numFmtId="0" xfId="0" applyAlignment="1" applyBorder="1" applyFont="1">
      <alignment horizontal="left" shrinkToFit="0" vertical="center" wrapText="1"/>
    </xf>
    <xf borderId="4" fillId="3" fontId="39" numFmtId="0" xfId="0" applyBorder="1" applyFont="1"/>
    <xf borderId="4" fillId="4" fontId="13" numFmtId="0" xfId="0" applyBorder="1" applyFont="1"/>
    <xf borderId="4" fillId="3" fontId="37" numFmtId="0" xfId="0" applyBorder="1" applyFont="1"/>
    <xf borderId="0" fillId="0" fontId="22" numFmtId="0" xfId="0" applyAlignment="1" applyFont="1">
      <alignment horizontal="center"/>
    </xf>
    <xf borderId="0" fillId="0" fontId="30" numFmtId="0" xfId="0" applyAlignment="1" applyFont="1">
      <alignment horizontal="center" shrinkToFit="0" vertical="center" wrapText="1"/>
    </xf>
    <xf borderId="1" fillId="2" fontId="10" numFmtId="164" xfId="0" applyAlignment="1" applyBorder="1" applyFont="1" applyNumberFormat="1">
      <alignment vertical="bottom"/>
    </xf>
    <xf borderId="4" fillId="6" fontId="5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4" fillId="3" fontId="1" numFmtId="0" xfId="0" applyBorder="1" applyFont="1"/>
    <xf borderId="4" fillId="0" fontId="40" numFmtId="0" xfId="0" applyBorder="1" applyFont="1"/>
    <xf borderId="10" fillId="0" fontId="20" numFmtId="0" xfId="0" applyAlignment="1" applyBorder="1" applyFont="1">
      <alignment vertical="bottom"/>
    </xf>
    <xf borderId="4" fillId="3" fontId="13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3" fontId="41" numFmtId="0" xfId="0" applyBorder="1" applyFont="1"/>
    <xf borderId="4" fillId="0" fontId="14" numFmtId="0" xfId="0" applyAlignment="1" applyBorder="1" applyFont="1">
      <alignment readingOrder="0"/>
    </xf>
    <xf borderId="4" fillId="4" fontId="40" numFmtId="0" xfId="0" applyBorder="1" applyFont="1"/>
    <xf borderId="10" fillId="3" fontId="1" numFmtId="0" xfId="0" applyBorder="1" applyFont="1"/>
    <xf borderId="1" fillId="0" fontId="13" numFmtId="0" xfId="0" applyAlignment="1" applyBorder="1" applyFont="1">
      <alignment horizontal="center"/>
    </xf>
    <xf borderId="10" fillId="4" fontId="20" numFmtId="0" xfId="0" applyAlignment="1" applyBorder="1" applyFont="1">
      <alignment vertical="bottom"/>
    </xf>
    <xf borderId="0" fillId="0" fontId="4" numFmtId="0" xfId="0" applyAlignment="1" applyFont="1">
      <alignment horizontal="center" vertical="center"/>
    </xf>
    <xf borderId="5" fillId="0" fontId="22" numFmtId="0" xfId="0" applyAlignment="1" applyBorder="1" applyFont="1">
      <alignment horizontal="center" vertical="bottom"/>
    </xf>
    <xf borderId="4" fillId="4" fontId="27" numFmtId="0" xfId="0" applyAlignment="1" applyBorder="1" applyFont="1">
      <alignment vertical="bottom"/>
    </xf>
    <xf borderId="4" fillId="0" fontId="27" numFmtId="0" xfId="0" applyAlignment="1" applyBorder="1" applyFont="1">
      <alignment vertical="bottom"/>
    </xf>
    <xf borderId="1" fillId="5" fontId="8" numFmtId="16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4" fillId="8" fontId="5" numFmtId="0" xfId="0" applyAlignment="1" applyBorder="1" applyFont="1">
      <alignment vertical="bottom"/>
    </xf>
    <xf borderId="4" fillId="8" fontId="5" numFmtId="0" xfId="0" applyAlignment="1" applyBorder="1" applyFont="1">
      <alignment readingOrder="0" vertical="bottom"/>
    </xf>
    <xf borderId="4" fillId="8" fontId="5" numFmtId="164" xfId="0" applyAlignment="1" applyBorder="1" applyFont="1" applyNumberFormat="1">
      <alignment vertical="bottom"/>
    </xf>
    <xf borderId="4" fillId="0" fontId="5" numFmtId="0" xfId="0" applyAlignment="1" applyBorder="1" applyFont="1">
      <alignment readingOrder="0" vertical="bottom"/>
    </xf>
    <xf borderId="4" fillId="0" fontId="5" numFmtId="164" xfId="0" applyBorder="1" applyFont="1" applyNumberFormat="1"/>
    <xf borderId="4" fillId="2" fontId="5" numFmtId="0" xfId="0" applyAlignment="1" applyBorder="1" applyFont="1">
      <alignment vertical="bottom"/>
    </xf>
    <xf borderId="4" fillId="4" fontId="12" numFmtId="0" xfId="0" applyAlignment="1" applyBorder="1" applyFont="1">
      <alignment vertical="bottom"/>
    </xf>
    <xf borderId="0" fillId="0" fontId="10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4" numFmtId="0" xfId="0" applyAlignment="1" applyFont="1">
      <alignment shrinkToFit="0" vertical="bottom" wrapText="1"/>
    </xf>
    <xf borderId="0" fillId="0" fontId="42" numFmtId="0" xfId="0" applyAlignment="1" applyFont="1">
      <alignment vertical="bottom"/>
    </xf>
    <xf borderId="0" fillId="0" fontId="42" numFmtId="165" xfId="0" applyAlignment="1" applyFont="1" applyNumberFormat="1">
      <alignment vertical="bottom"/>
    </xf>
    <xf borderId="15" fillId="0" fontId="5" numFmtId="0" xfId="0" applyAlignment="1" applyBorder="1" applyFont="1">
      <alignment vertical="bottom"/>
    </xf>
    <xf borderId="15" fillId="0" fontId="42" numFmtId="0" xfId="0" applyAlignment="1" applyBorder="1" applyFont="1">
      <alignment vertical="top"/>
    </xf>
    <xf borderId="15" fillId="0" fontId="42" numFmtId="0" xfId="0" applyAlignment="1" applyBorder="1" applyFont="1">
      <alignment vertical="bottom"/>
    </xf>
    <xf borderId="17" fillId="2" fontId="10" numFmtId="164" xfId="0" applyAlignment="1" applyBorder="1" applyFont="1" applyNumberFormat="1">
      <alignment vertical="bottom"/>
    </xf>
    <xf borderId="15" fillId="2" fontId="10" numFmtId="164" xfId="0" applyAlignment="1" applyBorder="1" applyFont="1" applyNumberFormat="1">
      <alignment vertical="bottom"/>
    </xf>
    <xf borderId="24" fillId="0" fontId="7" numFmtId="0" xfId="0" applyBorder="1" applyFont="1"/>
    <xf borderId="17" fillId="2" fontId="8" numFmtId="164" xfId="0" applyAlignment="1" applyBorder="1" applyFont="1" applyNumberFormat="1">
      <alignment horizontal="center" vertical="bottom"/>
    </xf>
    <xf borderId="15" fillId="2" fontId="5" numFmtId="164" xfId="0" applyAlignment="1" applyBorder="1" applyFont="1" applyNumberFormat="1">
      <alignment horizontal="center" vertical="bottom"/>
    </xf>
    <xf borderId="15" fillId="2" fontId="8" numFmtId="164" xfId="0" applyAlignment="1" applyBorder="1" applyFont="1" applyNumberFormat="1">
      <alignment horizontal="center" vertical="bottom"/>
    </xf>
    <xf borderId="25" fillId="0" fontId="24" numFmtId="0" xfId="0" applyAlignment="1" applyBorder="1" applyFont="1">
      <alignment vertical="bottom"/>
    </xf>
    <xf borderId="24" fillId="0" fontId="24" numFmtId="0" xfId="0" applyAlignment="1" applyBorder="1" applyFont="1">
      <alignment vertical="bottom"/>
    </xf>
    <xf borderId="25" fillId="3" fontId="24" numFmtId="0" xfId="0" applyAlignment="1" applyBorder="1" applyFont="1">
      <alignment vertical="bottom"/>
    </xf>
    <xf borderId="24" fillId="3" fontId="24" numFmtId="0" xfId="0" applyAlignment="1" applyBorder="1" applyFont="1">
      <alignment vertical="bottom"/>
    </xf>
    <xf borderId="26" fillId="5" fontId="5" numFmtId="0" xfId="0" applyAlignment="1" applyBorder="1" applyFont="1">
      <alignment horizontal="center" vertical="bottom"/>
    </xf>
    <xf borderId="15" fillId="5" fontId="5" numFmtId="0" xfId="0" applyAlignment="1" applyBorder="1" applyFont="1">
      <alignment horizontal="center" vertical="bottom"/>
    </xf>
    <xf borderId="15" fillId="5" fontId="8" numFmtId="0" xfId="0" applyAlignment="1" applyBorder="1" applyFont="1">
      <alignment horizontal="center" vertical="bottom"/>
    </xf>
    <xf borderId="26" fillId="5" fontId="5" numFmtId="164" xfId="0" applyAlignment="1" applyBorder="1" applyFont="1" applyNumberFormat="1">
      <alignment horizontal="center" vertical="bottom"/>
    </xf>
    <xf borderId="15" fillId="5" fontId="5" numFmtId="164" xfId="0" applyAlignment="1" applyBorder="1" applyFont="1" applyNumberFormat="1">
      <alignment horizontal="center" vertical="bottom"/>
    </xf>
    <xf borderId="15" fillId="5" fontId="8" numFmtId="164" xfId="0" applyAlignment="1" applyBorder="1" applyFont="1" applyNumberFormat="1">
      <alignment horizontal="center" vertical="bottom"/>
    </xf>
    <xf borderId="17" fillId="4" fontId="5" numFmtId="0" xfId="0" applyAlignment="1" applyBorder="1" applyFont="1">
      <alignment horizontal="center" vertical="bottom"/>
    </xf>
    <xf borderId="11" fillId="3" fontId="5" numFmtId="164" xfId="0" applyAlignment="1" applyBorder="1" applyFont="1" applyNumberFormat="1">
      <alignment shrinkToFit="0" vertical="bottom" wrapText="1"/>
    </xf>
    <xf borderId="11" fillId="3" fontId="5" numFmtId="0" xfId="0" applyAlignment="1" applyBorder="1" applyFont="1">
      <alignment shrinkToFit="0" vertical="bottom" wrapText="1"/>
    </xf>
    <xf borderId="11" fillId="3" fontId="5" numFmtId="164" xfId="0" applyAlignment="1" applyBorder="1" applyFont="1" applyNumberFormat="1">
      <alignment vertical="bottom"/>
    </xf>
    <xf borderId="26" fillId="2" fontId="5" numFmtId="0" xfId="0" applyAlignment="1" applyBorder="1" applyFont="1">
      <alignment horizontal="center" vertical="bottom"/>
    </xf>
    <xf borderId="15" fillId="2" fontId="5" numFmtId="0" xfId="0" applyAlignment="1" applyBorder="1" applyFont="1">
      <alignment horizontal="center" vertical="bottom"/>
    </xf>
    <xf borderId="15" fillId="2" fontId="8" numFmtId="0" xfId="0" applyAlignment="1" applyBorder="1" applyFont="1">
      <alignment horizontal="center" vertical="bottom"/>
    </xf>
    <xf borderId="26" fillId="2" fontId="5" numFmtId="164" xfId="0" applyAlignment="1" applyBorder="1" applyFont="1" applyNumberFormat="1">
      <alignment horizontal="center" vertical="bottom"/>
    </xf>
    <xf borderId="26" fillId="7" fontId="5" numFmtId="164" xfId="0" applyAlignment="1" applyBorder="1" applyFont="1" applyNumberFormat="1">
      <alignment horizontal="center" vertical="bottom"/>
    </xf>
    <xf borderId="15" fillId="7" fontId="5" numFmtId="164" xfId="0" applyAlignment="1" applyBorder="1" applyFont="1" applyNumberFormat="1">
      <alignment horizontal="center" vertical="bottom"/>
    </xf>
    <xf borderId="15" fillId="7" fontId="8" numFmtId="164" xfId="0" applyAlignment="1" applyBorder="1" applyFont="1" applyNumberFormat="1">
      <alignment horizontal="center" vertical="bottom"/>
    </xf>
    <xf borderId="15" fillId="5" fontId="42" numFmtId="0" xfId="0" applyAlignment="1" applyBorder="1" applyFont="1">
      <alignment vertical="bottom"/>
    </xf>
    <xf borderId="15" fillId="5" fontId="42" numFmtId="164" xfId="0" applyAlignment="1" applyBorder="1" applyFont="1" applyNumberFormat="1">
      <alignment vertical="bottom"/>
    </xf>
    <xf borderId="11" fillId="3" fontId="13" numFmtId="0" xfId="0" applyBorder="1" applyFont="1"/>
    <xf borderId="11" fillId="3" fontId="5" numFmtId="0" xfId="0" applyBorder="1" applyFont="1"/>
    <xf borderId="24" fillId="0" fontId="24" numFmtId="0" xfId="0" applyAlignment="1" applyBorder="1" applyFont="1">
      <alignment shrinkToFit="0" vertical="bottom" wrapText="1"/>
    </xf>
    <xf borderId="24" fillId="3" fontId="42" numFmtId="0" xfId="0" applyAlignment="1" applyBorder="1" applyFont="1">
      <alignment vertical="bottom"/>
    </xf>
    <xf borderId="24" fillId="0" fontId="42" numFmtId="0" xfId="0" applyAlignment="1" applyBorder="1" applyFont="1">
      <alignment vertical="bottom"/>
    </xf>
    <xf borderId="11" fillId="0" fontId="13" numFmtId="0" xfId="0" applyBorder="1" applyFont="1"/>
    <xf borderId="24" fillId="0" fontId="42" numFmtId="164" xfId="0" applyAlignment="1" applyBorder="1" applyFont="1" applyNumberFormat="1">
      <alignment vertical="bottom"/>
    </xf>
    <xf borderId="11" fillId="6" fontId="2" numFmtId="0" xfId="0" applyAlignment="1" applyBorder="1" applyFont="1">
      <alignment horizontal="left" shrinkToFit="0" vertical="center" wrapText="1"/>
    </xf>
    <xf borderId="25" fillId="3" fontId="42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4" fillId="0" fontId="5" numFmtId="0" xfId="0" applyAlignment="1" applyBorder="1" applyFont="1">
      <alignment vertical="bottom"/>
    </xf>
    <xf borderId="11" fillId="0" fontId="5" numFmtId="164" xfId="0" applyAlignment="1" applyBorder="1" applyFont="1" applyNumberFormat="1">
      <alignment vertical="bottom"/>
    </xf>
    <xf borderId="17" fillId="2" fontId="5" numFmtId="164" xfId="0" applyAlignment="1" applyBorder="1" applyFont="1" applyNumberFormat="1">
      <alignment horizontal="center" vertical="bottom"/>
    </xf>
    <xf borderId="11" fillId="0" fontId="24" numFmtId="0" xfId="0" applyAlignment="1" applyBorder="1" applyFont="1">
      <alignment vertical="bottom"/>
    </xf>
    <xf borderId="11" fillId="3" fontId="24" numFmtId="0" xfId="0" applyAlignment="1" applyBorder="1" applyFont="1">
      <alignment vertical="bottom"/>
    </xf>
    <xf borderId="17" fillId="5" fontId="8" numFmtId="0" xfId="0" applyAlignment="1" applyBorder="1" applyFont="1">
      <alignment horizontal="center" vertical="bottom"/>
    </xf>
    <xf borderId="17" fillId="5" fontId="5" numFmtId="0" xfId="0" applyAlignment="1" applyBorder="1" applyFont="1">
      <alignment horizontal="center" vertical="bottom"/>
    </xf>
    <xf borderId="17" fillId="5" fontId="8" numFmtId="164" xfId="0" applyAlignment="1" applyBorder="1" applyFont="1" applyNumberFormat="1">
      <alignment horizontal="center" readingOrder="0" vertical="bottom"/>
    </xf>
    <xf borderId="17" fillId="5" fontId="5" numFmtId="164" xfId="0" applyAlignment="1" applyBorder="1" applyFont="1" applyNumberFormat="1">
      <alignment horizontal="center" vertical="bottom"/>
    </xf>
    <xf borderId="17" fillId="5" fontId="8" numFmtId="164" xfId="0" applyAlignment="1" applyBorder="1" applyFont="1" applyNumberFormat="1">
      <alignment horizontal="center" vertical="bottom"/>
    </xf>
    <xf borderId="11" fillId="0" fontId="5" numFmtId="0" xfId="0" applyAlignment="1" applyBorder="1" applyFont="1">
      <alignment shrinkToFit="0" vertical="bottom" wrapText="1"/>
    </xf>
    <xf borderId="11" fillId="3" fontId="5" numFmtId="0" xfId="0" applyAlignment="1" applyBorder="1" applyFont="1">
      <alignment vertical="bottom"/>
    </xf>
    <xf borderId="17" fillId="7" fontId="5" numFmtId="164" xfId="0" applyAlignment="1" applyBorder="1" applyFont="1" applyNumberFormat="1">
      <alignment horizontal="center" vertical="bottom"/>
    </xf>
    <xf borderId="17" fillId="7" fontId="8" numFmtId="164" xfId="0" applyAlignment="1" applyBorder="1" applyFont="1" applyNumberFormat="1">
      <alignment horizontal="center" vertical="bottom"/>
    </xf>
    <xf borderId="11" fillId="6" fontId="5" numFmtId="0" xfId="0" applyAlignment="1" applyBorder="1" applyFont="1">
      <alignment horizontal="left" shrinkToFit="0" vertical="center" wrapText="1"/>
    </xf>
    <xf borderId="11" fillId="3" fontId="32" numFmtId="0" xfId="0" applyAlignment="1" applyBorder="1" applyFont="1">
      <alignment vertical="bottom"/>
    </xf>
    <xf borderId="11" fillId="3" fontId="31" numFmtId="0" xfId="0" applyAlignment="1" applyBorder="1" applyFont="1">
      <alignment vertical="bottom"/>
    </xf>
    <xf borderId="11" fillId="0" fontId="24" numFmtId="0" xfId="0" applyAlignment="1" applyBorder="1" applyFont="1">
      <alignment shrinkToFit="0" vertical="bottom" wrapText="1"/>
    </xf>
    <xf borderId="11" fillId="3" fontId="42" numFmtId="0" xfId="0" applyAlignment="1" applyBorder="1" applyFont="1">
      <alignment vertical="bottom"/>
    </xf>
    <xf borderId="11" fillId="0" fontId="42" numFmtId="0" xfId="0" applyAlignment="1" applyBorder="1" applyFont="1">
      <alignment vertical="bottom"/>
    </xf>
    <xf borderId="11" fillId="0" fontId="42" numFmtId="164" xfId="0" applyAlignment="1" applyBorder="1" applyFont="1" applyNumberFormat="1">
      <alignment vertical="bottom"/>
    </xf>
    <xf borderId="17" fillId="4" fontId="13" numFmtId="0" xfId="0" applyAlignment="1" applyBorder="1" applyFont="1">
      <alignment horizontal="center"/>
    </xf>
    <xf borderId="24" fillId="3" fontId="5" numFmtId="0" xfId="0" applyAlignment="1" applyBorder="1" applyFont="1">
      <alignment vertical="bottom"/>
    </xf>
    <xf borderId="11" fillId="6" fontId="13" numFmtId="0" xfId="0" applyAlignment="1" applyBorder="1" applyFont="1">
      <alignment horizontal="left" shrinkToFit="0" vertical="center" wrapText="1"/>
    </xf>
    <xf borderId="26" fillId="5" fontId="8" numFmtId="0" xfId="0" applyAlignment="1" applyBorder="1" applyFont="1">
      <alignment horizontal="center" vertical="bottom"/>
    </xf>
    <xf borderId="26" fillId="5" fontId="8" numFmtId="164" xfId="0" applyAlignment="1" applyBorder="1" applyFont="1" applyNumberFormat="1">
      <alignment horizontal="center" readingOrder="0" vertical="bottom"/>
    </xf>
    <xf borderId="24" fillId="0" fontId="24" numFmtId="0" xfId="0" applyAlignment="1" applyBorder="1" applyFont="1">
      <alignment horizontal="left" vertical="bottom"/>
    </xf>
    <xf borderId="0" fillId="0" fontId="10" numFmtId="0" xfId="0" applyAlignment="1" applyFont="1">
      <alignment vertical="top"/>
    </xf>
    <xf borderId="0" fillId="0" fontId="43" numFmtId="0" xfId="0" applyAlignment="1" applyFont="1">
      <alignment horizontal="center" vertical="bottom"/>
    </xf>
    <xf borderId="4" fillId="3" fontId="44" numFmtId="0" xfId="0" applyAlignment="1" applyBorder="1" applyFont="1">
      <alignment vertical="bottom"/>
    </xf>
    <xf borderId="27" fillId="11" fontId="22" numFmtId="167" xfId="0" applyAlignment="1" applyBorder="1" applyFill="1" applyFont="1" applyNumberFormat="1">
      <alignment horizontal="center" vertical="top"/>
    </xf>
    <xf borderId="28" fillId="0" fontId="7" numFmtId="0" xfId="0" applyBorder="1" applyFont="1"/>
    <xf borderId="0" fillId="3" fontId="10" numFmtId="167" xfId="0" applyAlignment="1" applyFont="1" applyNumberFormat="1">
      <alignment vertical="top"/>
    </xf>
    <xf borderId="8" fillId="12" fontId="22" numFmtId="0" xfId="0" applyAlignment="1" applyBorder="1" applyFill="1" applyFont="1">
      <alignment horizontal="center" vertical="bottom"/>
    </xf>
    <xf borderId="4" fillId="12" fontId="10" numFmtId="0" xfId="0" applyAlignment="1" applyBorder="1" applyFont="1">
      <alignment vertical="top"/>
    </xf>
    <xf borderId="4" fillId="12" fontId="22" numFmtId="0" xfId="0" applyAlignment="1" applyBorder="1" applyFont="1">
      <alignment horizontal="center" vertical="top"/>
    </xf>
    <xf borderId="29" fillId="12" fontId="45" numFmtId="0" xfId="0" applyAlignment="1" applyBorder="1" applyFont="1">
      <alignment horizontal="center" vertical="top"/>
    </xf>
    <xf borderId="4" fillId="0" fontId="10" numFmtId="0" xfId="0" applyAlignment="1" applyBorder="1" applyFont="1">
      <alignment vertical="top"/>
    </xf>
    <xf borderId="4" fillId="12" fontId="45" numFmtId="0" xfId="0" applyAlignment="1" applyBorder="1" applyFont="1">
      <alignment horizontal="center" vertical="top"/>
    </xf>
    <xf borderId="0" fillId="3" fontId="10" numFmtId="0" xfId="0" applyAlignment="1" applyFont="1">
      <alignment vertical="top"/>
    </xf>
    <xf borderId="4" fillId="13" fontId="22" numFmtId="0" xfId="0" applyAlignment="1" applyBorder="1" applyFill="1" applyFont="1">
      <alignment horizontal="center" vertical="bottom"/>
    </xf>
    <xf borderId="4" fillId="13" fontId="22" numFmtId="0" xfId="0" applyAlignment="1" applyBorder="1" applyFont="1">
      <alignment vertical="bottom"/>
    </xf>
    <xf borderId="4" fillId="13" fontId="10" numFmtId="0" xfId="0" applyAlignment="1" applyBorder="1" applyFont="1">
      <alignment vertical="bottom"/>
    </xf>
    <xf borderId="4" fillId="0" fontId="45" numFmtId="0" xfId="0" applyAlignment="1" applyBorder="1" applyFont="1">
      <alignment horizontal="center" vertical="bottom"/>
    </xf>
    <xf borderId="4" fillId="13" fontId="46" numFmtId="0" xfId="0" applyAlignment="1" applyBorder="1" applyFont="1">
      <alignment horizontal="center" vertical="bottom"/>
    </xf>
    <xf borderId="4" fillId="4" fontId="22" numFmtId="0" xfId="0" applyAlignment="1" applyBorder="1" applyFont="1">
      <alignment horizontal="center" vertical="bottom"/>
    </xf>
    <xf borderId="4" fillId="14" fontId="22" numFmtId="0" xfId="0" applyAlignment="1" applyBorder="1" applyFill="1" applyFont="1">
      <alignment vertical="bottom"/>
    </xf>
    <xf borderId="4" fillId="14" fontId="10" numFmtId="0" xfId="0" applyAlignment="1" applyBorder="1" applyFont="1">
      <alignment vertical="bottom"/>
    </xf>
    <xf borderId="4" fillId="14" fontId="22" numFmtId="0" xfId="0" applyAlignment="1" applyBorder="1" applyFont="1">
      <alignment horizontal="center" vertical="bottom"/>
    </xf>
    <xf borderId="4" fillId="2" fontId="22" numFmtId="0" xfId="0" applyAlignment="1" applyBorder="1" applyFont="1">
      <alignment horizontal="center" readingOrder="0" vertical="bottom"/>
    </xf>
    <xf borderId="4" fillId="14" fontId="44" numFmtId="0" xfId="0" applyAlignment="1" applyBorder="1" applyFont="1">
      <alignment vertical="bottom"/>
    </xf>
    <xf borderId="4" fillId="0" fontId="44" numFmtId="0" xfId="0" applyAlignment="1" applyBorder="1" applyFont="1">
      <alignment vertical="bottom"/>
    </xf>
    <xf borderId="4" fillId="0" fontId="22" numFmtId="0" xfId="0" applyAlignment="1" applyBorder="1" applyFont="1">
      <alignment horizontal="center" readingOrder="0" vertical="bottom"/>
    </xf>
    <xf borderId="4" fillId="0" fontId="46" numFmtId="0" xfId="0" applyAlignment="1" applyBorder="1" applyFont="1">
      <alignment horizontal="center" vertical="bottom"/>
    </xf>
    <xf borderId="0" fillId="0" fontId="23" numFmtId="0" xfId="0" applyAlignment="1" applyFont="1">
      <alignment horizontal="right" vertical="bottom"/>
    </xf>
    <xf borderId="30" fillId="0" fontId="22" numFmtId="0" xfId="0" applyAlignment="1" applyBorder="1" applyFont="1">
      <alignment vertical="top"/>
    </xf>
    <xf borderId="31" fillId="0" fontId="10" numFmtId="0" xfId="0" applyAlignment="1" applyBorder="1" applyFont="1">
      <alignment vertical="top"/>
    </xf>
    <xf borderId="1" fillId="0" fontId="10" numFmtId="0" xfId="0" applyAlignment="1" applyBorder="1" applyFont="1">
      <alignment vertical="bottom"/>
    </xf>
    <xf borderId="31" fillId="0" fontId="22" numFmtId="0" xfId="0" applyAlignment="1" applyBorder="1" applyFont="1">
      <alignment horizontal="center" vertical="bottom"/>
    </xf>
    <xf borderId="31" fillId="0" fontId="7" numFmtId="0" xfId="0" applyBorder="1" applyFont="1"/>
    <xf borderId="32" fillId="0" fontId="7" numFmtId="0" xfId="0" applyBorder="1" applyFont="1"/>
    <xf borderId="33" fillId="0" fontId="22" numFmtId="0" xfId="0" applyAlignment="1" applyBorder="1" applyFont="1">
      <alignment horizontal="center" vertical="top"/>
    </xf>
    <xf borderId="34" fillId="0" fontId="22" numFmtId="0" xfId="0" applyAlignment="1" applyBorder="1" applyFont="1">
      <alignment vertical="top"/>
    </xf>
    <xf borderId="35" fillId="0" fontId="10" numFmtId="0" xfId="0" applyAlignment="1" applyBorder="1" applyFont="1">
      <alignment vertical="bottom"/>
    </xf>
    <xf borderId="35" fillId="0" fontId="7" numFmtId="0" xfId="0" applyBorder="1" applyFont="1"/>
    <xf borderId="34" fillId="0" fontId="7" numFmtId="0" xfId="0" applyBorder="1" applyFont="1"/>
    <xf borderId="36" fillId="0" fontId="22" numFmtId="0" xfId="0" applyAlignment="1" applyBorder="1" applyFont="1">
      <alignment horizontal="center" vertical="top"/>
    </xf>
    <xf borderId="37" fillId="0" fontId="7" numFmtId="0" xfId="0" applyBorder="1" applyFont="1"/>
    <xf borderId="38" fillId="0" fontId="7" numFmtId="0" xfId="0" applyBorder="1" applyFont="1"/>
    <xf borderId="33" fillId="0" fontId="45" numFmtId="0" xfId="0" applyAlignment="1" applyBorder="1" applyFont="1">
      <alignment horizontal="center" vertical="bottom"/>
    </xf>
    <xf borderId="34" fillId="0" fontId="45" numFmtId="0" xfId="0" applyAlignment="1" applyBorder="1" applyFont="1">
      <alignment vertical="bottom"/>
    </xf>
    <xf borderId="39" fillId="0" fontId="7" numFmtId="0" xfId="0" applyBorder="1" applyFont="1"/>
    <xf borderId="40" fillId="0" fontId="7" numFmtId="0" xfId="0" applyBorder="1" applyFont="1"/>
    <xf borderId="33" fillId="0" fontId="22" numFmtId="0" xfId="0" applyAlignment="1" applyBorder="1" applyFont="1">
      <alignment horizontal="center" vertical="bottom"/>
    </xf>
    <xf borderId="41" fillId="0" fontId="7" numFmtId="0" xfId="0" applyBorder="1" applyFont="1"/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42" fillId="12" fontId="22" numFmtId="0" xfId="0" applyAlignment="1" applyBorder="1" applyFont="1">
      <alignment horizontal="center" vertical="bottom"/>
    </xf>
    <xf borderId="43" fillId="0" fontId="23" numFmtId="0" xfId="0" applyAlignment="1" applyBorder="1" applyFont="1">
      <alignment horizontal="center" vertical="bottom"/>
    </xf>
    <xf borderId="43" fillId="0" fontId="7" numFmtId="0" xfId="0" applyBorder="1" applyFont="1"/>
    <xf borderId="44" fillId="0" fontId="7" numFmtId="0" xfId="0" applyBorder="1" applyFont="1"/>
    <xf borderId="33" fillId="0" fontId="23" numFmtId="0" xfId="0" applyAlignment="1" applyBorder="1" applyFont="1">
      <alignment horizontal="right" vertical="bottom"/>
    </xf>
    <xf borderId="34" fillId="0" fontId="23" numFmtId="0" xfId="0" applyAlignment="1" applyBorder="1" applyFont="1">
      <alignment vertical="bottom"/>
    </xf>
    <xf borderId="31" fillId="0" fontId="23" numFmtId="0" xfId="0" applyAlignment="1" applyBorder="1" applyFont="1">
      <alignment horizontal="center" vertical="bottom"/>
    </xf>
    <xf borderId="17" fillId="0" fontId="23" numFmtId="0" xfId="0" applyAlignment="1" applyBorder="1" applyFont="1">
      <alignment horizontal="center" vertical="bottom"/>
    </xf>
    <xf borderId="20" fillId="0" fontId="10" numFmtId="0" xfId="0" applyAlignment="1" applyBorder="1" applyFont="1">
      <alignment vertical="bottom"/>
    </xf>
    <xf borderId="45" fillId="0" fontId="7" numFmtId="0" xfId="0" applyBorder="1" applyFont="1"/>
    <xf borderId="33" fillId="0" fontId="10" numFmtId="0" xfId="0" applyAlignment="1" applyBorder="1" applyFont="1">
      <alignment vertical="bottom"/>
    </xf>
    <xf borderId="34" fillId="0" fontId="10" numFmtId="0" xfId="0" applyAlignment="1" applyBorder="1" applyFont="1">
      <alignment vertical="bottom"/>
    </xf>
    <xf borderId="37" fillId="0" fontId="23" numFmtId="0" xfId="0" applyAlignment="1" applyBorder="1" applyFont="1">
      <alignment horizontal="center" vertical="bottom"/>
    </xf>
    <xf borderId="46" fillId="0" fontId="7" numFmtId="0" xfId="0" applyBorder="1" applyFont="1"/>
    <xf borderId="35" fillId="0" fontId="23" numFmtId="0" xfId="0" applyAlignment="1" applyBorder="1" applyFont="1">
      <alignment vertical="bottom"/>
    </xf>
    <xf quotePrefix="1" borderId="47" fillId="0" fontId="23" numFmtId="0" xfId="0" applyAlignment="1" applyBorder="1" applyFont="1">
      <alignment horizontal="center" vertical="bottom"/>
    </xf>
    <xf borderId="48" fillId="0" fontId="7" numFmtId="0" xfId="0" applyBorder="1" applyFont="1"/>
    <xf borderId="49" fillId="0" fontId="7" numFmtId="0" xfId="0" applyBorder="1" applyFont="1"/>
    <xf borderId="26" fillId="0" fontId="7" numFmtId="0" xfId="0" applyBorder="1" applyFont="1"/>
    <xf borderId="31" fillId="0" fontId="10" numFmtId="0" xfId="0" applyAlignment="1" applyBorder="1" applyFont="1">
      <alignment vertical="bottom"/>
    </xf>
    <xf borderId="35" fillId="0" fontId="23" numFmtId="0" xfId="0" applyAlignment="1" applyBorder="1" applyFont="1">
      <alignment horizontal="center" vertical="bottom"/>
    </xf>
    <xf borderId="4" fillId="14" fontId="45" numFmtId="0" xfId="0" applyAlignment="1" applyBorder="1" applyFont="1">
      <alignment horizontal="center" vertical="bottom"/>
    </xf>
    <xf borderId="4" fillId="15" fontId="22" numFmtId="0" xfId="0" applyAlignment="1" applyBorder="1" applyFill="1" applyFont="1">
      <alignment horizontal="center" vertical="bottom"/>
    </xf>
    <xf borderId="4" fillId="3" fontId="22" numFmtId="0" xfId="0" applyAlignment="1" applyBorder="1" applyFont="1">
      <alignment horizontal="center" vertical="bottom"/>
    </xf>
    <xf borderId="35" fillId="0" fontId="22" numFmtId="0" xfId="0" applyAlignment="1" applyBorder="1" applyFont="1">
      <alignment vertical="top"/>
    </xf>
    <xf borderId="17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voila.id" TargetMode="External"/><Relationship Id="rId2" Type="http://schemas.openxmlformats.org/officeDocument/2006/relationships/hyperlink" Target="http://voila.id" TargetMode="External"/><Relationship Id="rId3" Type="http://schemas.openxmlformats.org/officeDocument/2006/relationships/hyperlink" Target="http://voila.id" TargetMode="External"/><Relationship Id="rId4" Type="http://schemas.openxmlformats.org/officeDocument/2006/relationships/hyperlink" Target="http://voila.id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8.71"/>
  </cols>
  <sheetData>
    <row r="1" ht="15.0" customHeight="1">
      <c r="A1" s="1" t="s">
        <v>0</v>
      </c>
      <c r="C1" s="2" t="s">
        <v>1</v>
      </c>
      <c r="F1" s="3"/>
      <c r="G1" s="4" t="s">
        <v>2</v>
      </c>
      <c r="Q1" s="3"/>
      <c r="W1" s="5"/>
      <c r="Y1" s="5"/>
    </row>
    <row r="2" ht="15.0" customHeight="1">
      <c r="A2" s="6" t="s">
        <v>3</v>
      </c>
      <c r="C2" s="7" t="s">
        <v>4</v>
      </c>
      <c r="F2" s="3"/>
      <c r="Q2" s="3"/>
      <c r="W2" s="5"/>
      <c r="Y2" s="5"/>
    </row>
    <row r="3" ht="15.0" customHeight="1">
      <c r="A3" s="6" t="s">
        <v>5</v>
      </c>
      <c r="F3" s="3"/>
      <c r="Q3" s="3"/>
      <c r="W3" s="5"/>
      <c r="Y3" s="5"/>
    </row>
    <row r="4" ht="15.0" customHeight="1">
      <c r="A4" s="6" t="s">
        <v>6</v>
      </c>
      <c r="C4" s="8"/>
      <c r="F4" s="3"/>
      <c r="G4" s="4"/>
      <c r="H4" s="4"/>
      <c r="I4" s="4"/>
      <c r="J4" s="4"/>
      <c r="K4" s="4"/>
      <c r="L4" s="4"/>
      <c r="M4" s="9"/>
      <c r="N4" s="4"/>
      <c r="O4" s="4"/>
      <c r="P4" s="4"/>
      <c r="Q4" s="3"/>
      <c r="W4" s="5"/>
      <c r="Y4" s="5"/>
    </row>
    <row r="5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  <c r="W5" s="5"/>
      <c r="Y5" s="5"/>
    </row>
    <row r="6">
      <c r="A6" s="14"/>
      <c r="B6" s="11"/>
      <c r="C6" s="12"/>
      <c r="D6" s="14"/>
      <c r="E6" s="11"/>
      <c r="F6" s="12"/>
      <c r="G6" s="15"/>
      <c r="H6" s="11"/>
      <c r="I6" s="12"/>
      <c r="J6" s="15"/>
      <c r="K6" s="11"/>
      <c r="L6" s="12"/>
      <c r="M6" s="16"/>
      <c r="N6" s="11"/>
      <c r="O6" s="12"/>
      <c r="P6" s="15"/>
      <c r="Q6" s="11"/>
      <c r="R6" s="12"/>
      <c r="S6" s="16"/>
      <c r="T6" s="11"/>
      <c r="U6" s="12"/>
      <c r="W6" s="5"/>
      <c r="Y6" s="5"/>
    </row>
    <row r="7">
      <c r="A7" s="17"/>
      <c r="B7" s="17"/>
      <c r="C7" s="17"/>
      <c r="D7" s="17"/>
      <c r="E7" s="17"/>
      <c r="F7" s="17"/>
      <c r="G7" s="18"/>
      <c r="H7" s="18"/>
      <c r="I7" s="18"/>
      <c r="J7" s="19"/>
      <c r="K7" s="19"/>
      <c r="L7" s="19"/>
      <c r="M7" s="17"/>
      <c r="N7" s="17"/>
      <c r="O7" s="17"/>
      <c r="P7" s="17"/>
      <c r="Q7" s="19"/>
      <c r="R7" s="17"/>
      <c r="S7" s="20"/>
      <c r="T7" s="20"/>
      <c r="U7" s="20"/>
      <c r="W7" s="5"/>
      <c r="Y7" s="5"/>
    </row>
    <row r="8">
      <c r="A8" s="21"/>
      <c r="B8" s="21"/>
      <c r="C8" s="21"/>
      <c r="D8" s="21"/>
      <c r="E8" s="21"/>
      <c r="F8" s="21"/>
      <c r="G8" s="18"/>
      <c r="H8" s="18"/>
      <c r="I8" s="18"/>
      <c r="J8" s="19"/>
      <c r="K8" s="19"/>
      <c r="L8" s="19"/>
      <c r="M8" s="19"/>
      <c r="N8" s="19"/>
      <c r="O8" s="19"/>
      <c r="P8" s="22"/>
      <c r="Q8" s="22"/>
      <c r="R8" s="22"/>
      <c r="S8" s="20"/>
      <c r="T8" s="20"/>
      <c r="U8" s="20"/>
      <c r="W8" s="5"/>
      <c r="Y8" s="5"/>
    </row>
    <row r="9" ht="15.75" customHeight="1">
      <c r="A9" s="21"/>
      <c r="B9" s="21"/>
      <c r="C9" s="21"/>
      <c r="D9" s="21"/>
      <c r="E9" s="21"/>
      <c r="F9" s="21"/>
      <c r="G9" s="18"/>
      <c r="H9" s="18"/>
      <c r="I9" s="18"/>
      <c r="J9" s="19"/>
      <c r="K9" s="19"/>
      <c r="L9" s="19"/>
      <c r="M9" s="19"/>
      <c r="N9" s="19"/>
      <c r="O9" s="19"/>
      <c r="P9" s="22"/>
      <c r="Q9" s="22"/>
      <c r="R9" s="22"/>
      <c r="S9" s="23" t="s">
        <v>14</v>
      </c>
      <c r="T9" s="11"/>
      <c r="U9" s="12"/>
      <c r="W9" s="24" t="s">
        <v>15</v>
      </c>
      <c r="X9" s="25" t="s">
        <v>16</v>
      </c>
      <c r="Y9" s="26" t="s">
        <v>17</v>
      </c>
    </row>
    <row r="10">
      <c r="A10" s="17"/>
      <c r="B10" s="19"/>
      <c r="C10" s="17"/>
      <c r="D10" s="17"/>
      <c r="E10" s="19"/>
      <c r="F10" s="17"/>
      <c r="G10" s="22"/>
      <c r="H10" s="22"/>
      <c r="I10" s="22"/>
      <c r="J10" s="19"/>
      <c r="K10" s="19"/>
      <c r="L10" s="19"/>
      <c r="M10" s="19"/>
      <c r="N10" s="19"/>
      <c r="O10" s="19"/>
      <c r="P10" s="22"/>
      <c r="Q10" s="22"/>
      <c r="R10" s="22"/>
      <c r="S10" s="20"/>
      <c r="T10" s="20"/>
      <c r="U10" s="20"/>
      <c r="W10" s="27">
        <v>1.0</v>
      </c>
      <c r="X10" s="28"/>
      <c r="Y10" s="29">
        <f t="shared" ref="Y10:Y38" si="1">COUNTIF($A$5:$U$52,X10)</f>
        <v>0</v>
      </c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30"/>
      <c r="L11" s="30"/>
      <c r="M11" s="19"/>
      <c r="N11" s="19"/>
      <c r="O11" s="19"/>
      <c r="P11" s="22"/>
      <c r="Q11" s="22"/>
      <c r="R11" s="22"/>
      <c r="S11" s="20"/>
      <c r="T11" s="20"/>
      <c r="U11" s="20"/>
      <c r="W11" s="27">
        <v>2.0</v>
      </c>
      <c r="X11" s="28" t="s">
        <v>18</v>
      </c>
      <c r="Y11" s="29">
        <f t="shared" si="1"/>
        <v>2</v>
      </c>
    </row>
    <row r="12" ht="15.0" customHeight="1">
      <c r="A12" s="19"/>
      <c r="B12" s="19"/>
      <c r="C12" s="19"/>
      <c r="D12" s="19"/>
      <c r="E12" s="19"/>
      <c r="F12" s="19"/>
      <c r="G12" s="22"/>
      <c r="H12" s="22"/>
      <c r="I12" s="22"/>
      <c r="J12" s="17"/>
      <c r="K12" s="17"/>
      <c r="L12" s="17"/>
      <c r="M12" s="19"/>
      <c r="N12" s="19"/>
      <c r="O12" s="19"/>
      <c r="P12" s="30"/>
      <c r="Q12" s="30"/>
      <c r="R12" s="30"/>
      <c r="S12" s="20"/>
      <c r="T12" s="20"/>
      <c r="U12" s="20"/>
      <c r="W12" s="27">
        <v>3.0</v>
      </c>
      <c r="X12" s="28" t="s">
        <v>19</v>
      </c>
      <c r="Y12" s="29">
        <f t="shared" si="1"/>
        <v>2</v>
      </c>
    </row>
    <row r="13" ht="15.75" customHeight="1">
      <c r="A13" s="31" t="s">
        <v>7</v>
      </c>
      <c r="B13" s="11"/>
      <c r="C13" s="12"/>
      <c r="D13" s="32" t="s">
        <v>8</v>
      </c>
      <c r="E13" s="11"/>
      <c r="F13" s="12"/>
      <c r="G13" s="32" t="s">
        <v>9</v>
      </c>
      <c r="H13" s="11"/>
      <c r="I13" s="12"/>
      <c r="J13" s="33" t="s">
        <v>10</v>
      </c>
      <c r="K13" s="11"/>
      <c r="L13" s="12"/>
      <c r="M13" s="32" t="s">
        <v>11</v>
      </c>
      <c r="N13" s="11"/>
      <c r="O13" s="12"/>
      <c r="P13" s="32" t="s">
        <v>12</v>
      </c>
      <c r="Q13" s="11"/>
      <c r="R13" s="12"/>
      <c r="S13" s="31" t="s">
        <v>13</v>
      </c>
      <c r="T13" s="11"/>
      <c r="U13" s="12"/>
      <c r="W13" s="27">
        <v>4.0</v>
      </c>
      <c r="X13" s="28" t="s">
        <v>20</v>
      </c>
      <c r="Y13" s="29">
        <f t="shared" si="1"/>
        <v>2</v>
      </c>
    </row>
    <row r="14">
      <c r="A14" s="34">
        <v>46174.0</v>
      </c>
      <c r="B14" s="11"/>
      <c r="C14" s="12"/>
      <c r="D14" s="35">
        <f>A14+1</f>
        <v>46175</v>
      </c>
      <c r="E14" s="11"/>
      <c r="F14" s="12"/>
      <c r="G14" s="35">
        <f>D14+1</f>
        <v>46176</v>
      </c>
      <c r="H14" s="11"/>
      <c r="I14" s="12"/>
      <c r="J14" s="35">
        <f>G14+1</f>
        <v>46177</v>
      </c>
      <c r="K14" s="11"/>
      <c r="L14" s="12"/>
      <c r="M14" s="35">
        <f>J14+1</f>
        <v>46178</v>
      </c>
      <c r="N14" s="11"/>
      <c r="O14" s="12"/>
      <c r="P14" s="35">
        <f>M14+1</f>
        <v>46179</v>
      </c>
      <c r="Q14" s="11"/>
      <c r="R14" s="12"/>
      <c r="S14" s="36">
        <f>P14+1</f>
        <v>46180</v>
      </c>
      <c r="T14" s="11"/>
      <c r="U14" s="12"/>
      <c r="W14" s="27">
        <v>5.0</v>
      </c>
      <c r="X14" s="28" t="s">
        <v>21</v>
      </c>
      <c r="Y14" s="29">
        <f t="shared" si="1"/>
        <v>2</v>
      </c>
    </row>
    <row r="15" ht="15.75" customHeight="1">
      <c r="A15" s="17"/>
      <c r="B15" s="17"/>
      <c r="C15" s="17"/>
      <c r="D15" s="17"/>
      <c r="E15" s="17"/>
      <c r="F15" s="17"/>
      <c r="G15" s="20"/>
      <c r="H15" s="20"/>
      <c r="I15" s="20"/>
      <c r="J15" s="22"/>
      <c r="K15" s="22"/>
      <c r="L15" s="22"/>
      <c r="M15" s="19"/>
      <c r="N15" s="19"/>
      <c r="O15" s="19"/>
      <c r="P15" s="30"/>
      <c r="Q15" s="30"/>
      <c r="R15" s="30"/>
      <c r="S15" s="20"/>
      <c r="T15" s="20"/>
      <c r="U15" s="20"/>
      <c r="W15" s="27">
        <v>6.0</v>
      </c>
      <c r="X15" s="28" t="s">
        <v>22</v>
      </c>
      <c r="Y15" s="29">
        <f t="shared" si="1"/>
        <v>2</v>
      </c>
    </row>
    <row r="16">
      <c r="A16" s="19"/>
      <c r="B16" s="17"/>
      <c r="C16" s="17"/>
      <c r="D16" s="37"/>
      <c r="E16" s="37"/>
      <c r="F16" s="37"/>
      <c r="G16" s="19" t="s">
        <v>23</v>
      </c>
      <c r="H16" s="17" t="s">
        <v>24</v>
      </c>
      <c r="I16" s="17" t="s">
        <v>25</v>
      </c>
      <c r="J16" s="22"/>
      <c r="K16" s="22"/>
      <c r="L16" s="22"/>
      <c r="M16" s="19"/>
      <c r="N16" s="38"/>
      <c r="O16" s="19"/>
      <c r="P16" s="30"/>
      <c r="Q16" s="30"/>
      <c r="R16" s="30"/>
      <c r="S16" s="39"/>
      <c r="T16" s="39"/>
      <c r="U16" s="39"/>
      <c r="W16" s="27">
        <v>7.0</v>
      </c>
      <c r="X16" s="28" t="s">
        <v>26</v>
      </c>
      <c r="Y16" s="29">
        <f t="shared" si="1"/>
        <v>2</v>
      </c>
    </row>
    <row r="17" ht="15.75" customHeight="1">
      <c r="A17" s="19" t="s">
        <v>27</v>
      </c>
      <c r="B17" s="19" t="s">
        <v>28</v>
      </c>
      <c r="C17" s="19" t="s">
        <v>25</v>
      </c>
      <c r="D17" s="37"/>
      <c r="E17" s="37"/>
      <c r="F17" s="37"/>
      <c r="G17" s="19" t="s">
        <v>21</v>
      </c>
      <c r="H17" s="19" t="s">
        <v>28</v>
      </c>
      <c r="I17" s="19" t="s">
        <v>29</v>
      </c>
      <c r="J17" s="19" t="s">
        <v>30</v>
      </c>
      <c r="K17" s="19" t="s">
        <v>31</v>
      </c>
      <c r="L17" s="19" t="s">
        <v>25</v>
      </c>
      <c r="M17" s="19" t="s">
        <v>32</v>
      </c>
      <c r="N17" s="19" t="s">
        <v>33</v>
      </c>
      <c r="O17" s="19" t="s">
        <v>25</v>
      </c>
      <c r="P17" s="19" t="s">
        <v>26</v>
      </c>
      <c r="Q17" s="40" t="s">
        <v>34</v>
      </c>
      <c r="R17" s="19" t="s">
        <v>35</v>
      </c>
      <c r="S17" s="41" t="s">
        <v>14</v>
      </c>
      <c r="T17" s="11"/>
      <c r="U17" s="12"/>
      <c r="W17" s="27">
        <v>8.0</v>
      </c>
      <c r="X17" s="28" t="s">
        <v>30</v>
      </c>
      <c r="Y17" s="29">
        <f t="shared" si="1"/>
        <v>2</v>
      </c>
    </row>
    <row r="18" ht="15.75" customHeight="1">
      <c r="A18" s="41" t="s">
        <v>14</v>
      </c>
      <c r="B18" s="11"/>
      <c r="C18" s="12"/>
      <c r="D18" s="41" t="s">
        <v>14</v>
      </c>
      <c r="E18" s="11"/>
      <c r="F18" s="12"/>
      <c r="G18" s="19" t="s">
        <v>36</v>
      </c>
      <c r="H18" s="19" t="s">
        <v>37</v>
      </c>
      <c r="I18" s="19" t="s">
        <v>29</v>
      </c>
      <c r="J18" s="42" t="s">
        <v>20</v>
      </c>
      <c r="K18" s="43" t="s">
        <v>28</v>
      </c>
      <c r="L18" s="42" t="s">
        <v>29</v>
      </c>
      <c r="M18" s="19" t="s">
        <v>38</v>
      </c>
      <c r="N18" s="19" t="s">
        <v>28</v>
      </c>
      <c r="O18" s="30" t="s">
        <v>25</v>
      </c>
      <c r="P18" s="19" t="s">
        <v>39</v>
      </c>
      <c r="Q18" s="19" t="s">
        <v>40</v>
      </c>
      <c r="R18" s="19" t="s">
        <v>35</v>
      </c>
      <c r="S18" s="20"/>
      <c r="T18" s="20"/>
      <c r="U18" s="20"/>
      <c r="W18" s="27">
        <v>9.0</v>
      </c>
      <c r="X18" s="28"/>
      <c r="Y18" s="29">
        <f t="shared" si="1"/>
        <v>0</v>
      </c>
    </row>
    <row r="19" ht="15.75" customHeight="1">
      <c r="A19" s="22"/>
      <c r="B19" s="22"/>
      <c r="C19" s="22"/>
      <c r="D19" s="22"/>
      <c r="E19" s="22"/>
      <c r="F19" s="22"/>
      <c r="G19" s="19" t="s">
        <v>19</v>
      </c>
      <c r="H19" s="19" t="s">
        <v>41</v>
      </c>
      <c r="I19" s="19" t="s">
        <v>25</v>
      </c>
      <c r="J19" s="19" t="s">
        <v>18</v>
      </c>
      <c r="K19" s="19" t="s">
        <v>42</v>
      </c>
      <c r="L19" s="19" t="s">
        <v>25</v>
      </c>
      <c r="M19" s="22"/>
      <c r="N19" s="22"/>
      <c r="O19" s="22"/>
      <c r="P19" s="19" t="s">
        <v>43</v>
      </c>
      <c r="Q19" s="19" t="s">
        <v>28</v>
      </c>
      <c r="R19" s="19" t="s">
        <v>25</v>
      </c>
      <c r="S19" s="20"/>
      <c r="T19" s="20"/>
      <c r="U19" s="20"/>
      <c r="W19" s="27">
        <v>10.0</v>
      </c>
      <c r="X19" s="28" t="s">
        <v>44</v>
      </c>
      <c r="Y19" s="29">
        <f t="shared" si="1"/>
        <v>2</v>
      </c>
    </row>
    <row r="20" ht="15.75" customHeight="1">
      <c r="A20" s="19"/>
      <c r="B20" s="19"/>
      <c r="C20" s="19"/>
      <c r="D20" s="19"/>
      <c r="E20" s="19"/>
      <c r="F20" s="19"/>
      <c r="G20" s="30"/>
      <c r="H20" s="30"/>
      <c r="I20" s="30"/>
      <c r="J20" s="19"/>
      <c r="K20" s="19"/>
      <c r="L20" s="19"/>
      <c r="M20" s="19"/>
      <c r="N20" s="19"/>
      <c r="O20" s="19"/>
      <c r="P20" s="19"/>
      <c r="Q20" s="19"/>
      <c r="R20" s="19"/>
      <c r="S20" s="20"/>
      <c r="T20" s="20"/>
      <c r="U20" s="20"/>
      <c r="W20" s="27">
        <v>11.0</v>
      </c>
      <c r="X20" s="28" t="s">
        <v>45</v>
      </c>
      <c r="Y20" s="29">
        <f t="shared" si="1"/>
        <v>2</v>
      </c>
    </row>
    <row r="21" ht="16.5" customHeight="1">
      <c r="A21" s="10" t="s">
        <v>7</v>
      </c>
      <c r="B21" s="11"/>
      <c r="C21" s="12"/>
      <c r="D21" s="10" t="s">
        <v>8</v>
      </c>
      <c r="E21" s="11"/>
      <c r="F21" s="12"/>
      <c r="G21" s="10" t="s">
        <v>9</v>
      </c>
      <c r="H21" s="11"/>
      <c r="I21" s="12"/>
      <c r="J21" s="10" t="s">
        <v>10</v>
      </c>
      <c r="K21" s="11"/>
      <c r="L21" s="12"/>
      <c r="M21" s="10" t="s">
        <v>11</v>
      </c>
      <c r="N21" s="11"/>
      <c r="O21" s="12"/>
      <c r="P21" s="10" t="s">
        <v>12</v>
      </c>
      <c r="Q21" s="11"/>
      <c r="R21" s="12"/>
      <c r="S21" s="13" t="s">
        <v>13</v>
      </c>
      <c r="T21" s="11"/>
      <c r="U21" s="12"/>
      <c r="W21" s="27">
        <v>12.0</v>
      </c>
      <c r="X21" s="28" t="s">
        <v>46</v>
      </c>
      <c r="Y21" s="29">
        <f t="shared" si="1"/>
        <v>2</v>
      </c>
    </row>
    <row r="22" ht="15.75" customHeight="1">
      <c r="A22" s="15">
        <f>S14+1</f>
        <v>46181</v>
      </c>
      <c r="B22" s="11"/>
      <c r="C22" s="12"/>
      <c r="D22" s="15">
        <f>A22+1</f>
        <v>46182</v>
      </c>
      <c r="E22" s="11"/>
      <c r="F22" s="12"/>
      <c r="G22" s="15">
        <f>D22+1</f>
        <v>46183</v>
      </c>
      <c r="H22" s="11"/>
      <c r="I22" s="12"/>
      <c r="J22" s="15">
        <f>G22+1</f>
        <v>46184</v>
      </c>
      <c r="K22" s="11"/>
      <c r="L22" s="12"/>
      <c r="M22" s="15">
        <f>J22+1</f>
        <v>46185</v>
      </c>
      <c r="N22" s="11"/>
      <c r="O22" s="12"/>
      <c r="P22" s="15">
        <f>M22+1</f>
        <v>46186</v>
      </c>
      <c r="Q22" s="11"/>
      <c r="R22" s="12"/>
      <c r="S22" s="16">
        <f>P22+1</f>
        <v>46187</v>
      </c>
      <c r="T22" s="11"/>
      <c r="U22" s="12"/>
      <c r="W22" s="27">
        <v>13.0</v>
      </c>
      <c r="X22" s="44" t="s">
        <v>47</v>
      </c>
      <c r="Y22" s="29">
        <f t="shared" si="1"/>
        <v>2</v>
      </c>
    </row>
    <row r="23" ht="15.75" customHeight="1">
      <c r="A23" s="19"/>
      <c r="B23" s="19"/>
      <c r="C23" s="19"/>
      <c r="D23" s="20"/>
      <c r="E23" s="20"/>
      <c r="F23" s="20"/>
      <c r="G23" s="19"/>
      <c r="H23" s="19"/>
      <c r="I23" s="19"/>
      <c r="J23" s="19"/>
      <c r="K23" s="19"/>
      <c r="L23" s="19"/>
      <c r="M23" s="22"/>
      <c r="N23" s="22"/>
      <c r="O23" s="22"/>
      <c r="P23" s="22"/>
      <c r="Q23" s="22"/>
      <c r="R23" s="22"/>
      <c r="S23" s="20"/>
      <c r="T23" s="20"/>
      <c r="U23" s="20"/>
      <c r="W23" s="27">
        <v>14.0</v>
      </c>
      <c r="X23" s="28" t="s">
        <v>48</v>
      </c>
      <c r="Y23" s="29">
        <f t="shared" si="1"/>
        <v>2</v>
      </c>
    </row>
    <row r="24">
      <c r="A24" s="19"/>
      <c r="B24" s="19"/>
      <c r="C24" s="19"/>
      <c r="D24" s="20"/>
      <c r="E24" s="20"/>
      <c r="F24" s="20"/>
      <c r="G24" s="22"/>
      <c r="H24" s="22"/>
      <c r="I24" s="22"/>
      <c r="J24" s="22"/>
      <c r="K24" s="22"/>
      <c r="L24" s="22"/>
      <c r="M24" s="19" t="s">
        <v>45</v>
      </c>
      <c r="N24" s="45"/>
      <c r="O24" s="19" t="s">
        <v>25</v>
      </c>
      <c r="P24" s="30" t="s">
        <v>47</v>
      </c>
      <c r="Q24" s="30" t="s">
        <v>49</v>
      </c>
      <c r="R24" s="30" t="s">
        <v>35</v>
      </c>
      <c r="S24" s="39"/>
      <c r="T24" s="39"/>
      <c r="U24" s="39"/>
      <c r="W24" s="27">
        <v>15.0</v>
      </c>
      <c r="X24" s="28" t="s">
        <v>32</v>
      </c>
      <c r="Y24" s="29">
        <f t="shared" si="1"/>
        <v>2</v>
      </c>
    </row>
    <row r="25" ht="15.75" customHeight="1">
      <c r="A25" s="46" t="s">
        <v>50</v>
      </c>
      <c r="B25" s="30" t="s">
        <v>49</v>
      </c>
      <c r="C25" s="46" t="s">
        <v>25</v>
      </c>
      <c r="D25" s="19" t="s">
        <v>51</v>
      </c>
      <c r="E25" s="19" t="s">
        <v>52</v>
      </c>
      <c r="F25" s="19" t="s">
        <v>35</v>
      </c>
      <c r="G25" s="19" t="s">
        <v>48</v>
      </c>
      <c r="H25" s="19" t="s">
        <v>53</v>
      </c>
      <c r="I25" s="19" t="s">
        <v>35</v>
      </c>
      <c r="J25" s="19" t="s">
        <v>54</v>
      </c>
      <c r="K25" s="19" t="s">
        <v>31</v>
      </c>
      <c r="L25" s="19" t="s">
        <v>25</v>
      </c>
      <c r="M25" s="19" t="s">
        <v>44</v>
      </c>
      <c r="N25" s="47"/>
      <c r="O25" s="19" t="s">
        <v>35</v>
      </c>
      <c r="P25" s="19" t="s">
        <v>55</v>
      </c>
      <c r="Q25" s="19" t="s">
        <v>24</v>
      </c>
      <c r="R25" s="19" t="s">
        <v>35</v>
      </c>
      <c r="S25" s="41" t="s">
        <v>14</v>
      </c>
      <c r="T25" s="11"/>
      <c r="U25" s="12"/>
      <c r="W25" s="27">
        <v>16.0</v>
      </c>
      <c r="X25" s="28" t="s">
        <v>51</v>
      </c>
      <c r="Y25" s="29">
        <f t="shared" si="1"/>
        <v>2</v>
      </c>
    </row>
    <row r="26" ht="15.75" customHeight="1">
      <c r="A26" s="19" t="s">
        <v>23</v>
      </c>
      <c r="B26" s="19" t="s">
        <v>24</v>
      </c>
      <c r="C26" s="19" t="s">
        <v>25</v>
      </c>
      <c r="D26" s="30" t="s">
        <v>56</v>
      </c>
      <c r="E26" s="30" t="s">
        <v>57</v>
      </c>
      <c r="F26" s="30" t="s">
        <v>25</v>
      </c>
      <c r="G26" s="17" t="s">
        <v>58</v>
      </c>
      <c r="H26" s="17" t="s">
        <v>49</v>
      </c>
      <c r="I26" s="17" t="s">
        <v>35</v>
      </c>
      <c r="J26" s="19" t="s">
        <v>22</v>
      </c>
      <c r="K26" s="19" t="s">
        <v>59</v>
      </c>
      <c r="L26" s="19" t="s">
        <v>25</v>
      </c>
      <c r="M26" s="19" t="s">
        <v>46</v>
      </c>
      <c r="N26" s="48"/>
      <c r="O26" s="19" t="s">
        <v>25</v>
      </c>
      <c r="P26" s="22"/>
      <c r="Q26" s="22"/>
      <c r="R26" s="22"/>
      <c r="S26" s="20"/>
      <c r="T26" s="20"/>
      <c r="U26" s="20"/>
      <c r="W26" s="27">
        <v>17.0</v>
      </c>
      <c r="X26" s="28" t="s">
        <v>58</v>
      </c>
      <c r="Y26" s="29">
        <f t="shared" si="1"/>
        <v>2</v>
      </c>
    </row>
    <row r="27" ht="15.75" customHeight="1">
      <c r="A27" s="22"/>
      <c r="B27" s="22"/>
      <c r="C27" s="22"/>
      <c r="D27" s="22"/>
      <c r="E27" s="22"/>
      <c r="F27" s="22"/>
      <c r="G27" s="19" t="s">
        <v>23</v>
      </c>
      <c r="H27" s="19" t="s">
        <v>60</v>
      </c>
      <c r="I27" s="19" t="s">
        <v>25</v>
      </c>
      <c r="J27" s="19"/>
      <c r="K27" s="19"/>
      <c r="L27" s="19"/>
      <c r="M27" s="19"/>
      <c r="N27" s="19"/>
      <c r="O27" s="19"/>
      <c r="P27" s="30"/>
      <c r="Q27" s="30"/>
      <c r="R27" s="30"/>
      <c r="S27" s="20"/>
      <c r="T27" s="20"/>
      <c r="U27" s="20"/>
      <c r="W27" s="27">
        <v>18.0</v>
      </c>
      <c r="X27" s="28" t="s">
        <v>38</v>
      </c>
      <c r="Y27" s="29">
        <f t="shared" si="1"/>
        <v>2</v>
      </c>
    </row>
    <row r="28" ht="15.75" customHeight="1">
      <c r="A28" s="30"/>
      <c r="B28" s="30"/>
      <c r="C28" s="30"/>
      <c r="D28" s="20"/>
      <c r="E28" s="20"/>
      <c r="F28" s="20"/>
      <c r="G28" s="19"/>
      <c r="H28" s="19"/>
      <c r="I28" s="30"/>
      <c r="J28" s="19"/>
      <c r="K28" s="19"/>
      <c r="L28" s="19"/>
      <c r="M28" s="19"/>
      <c r="N28" s="19"/>
      <c r="O28" s="19"/>
      <c r="P28" s="30"/>
      <c r="Q28" s="30"/>
      <c r="R28" s="30"/>
      <c r="S28" s="20"/>
      <c r="T28" s="20"/>
      <c r="U28" s="20"/>
      <c r="W28" s="27">
        <v>19.0</v>
      </c>
      <c r="X28" s="28" t="s">
        <v>55</v>
      </c>
      <c r="Y28" s="29">
        <f t="shared" si="1"/>
        <v>2</v>
      </c>
    </row>
    <row r="29" ht="15.75" customHeight="1">
      <c r="A29" s="32" t="s">
        <v>7</v>
      </c>
      <c r="B29" s="11"/>
      <c r="C29" s="12"/>
      <c r="D29" s="31" t="s">
        <v>8</v>
      </c>
      <c r="E29" s="11"/>
      <c r="F29" s="12"/>
      <c r="G29" s="32" t="s">
        <v>9</v>
      </c>
      <c r="H29" s="11"/>
      <c r="I29" s="12"/>
      <c r="J29" s="32" t="s">
        <v>10</v>
      </c>
      <c r="K29" s="11"/>
      <c r="L29" s="12"/>
      <c r="M29" s="32" t="s">
        <v>11</v>
      </c>
      <c r="N29" s="11"/>
      <c r="O29" s="12"/>
      <c r="P29" s="32" t="s">
        <v>12</v>
      </c>
      <c r="Q29" s="11"/>
      <c r="R29" s="12"/>
      <c r="S29" s="31" t="s">
        <v>13</v>
      </c>
      <c r="T29" s="11"/>
      <c r="U29" s="12"/>
      <c r="W29" s="27">
        <v>20.0</v>
      </c>
      <c r="X29" s="28" t="s">
        <v>56</v>
      </c>
      <c r="Y29" s="29">
        <f t="shared" si="1"/>
        <v>2</v>
      </c>
    </row>
    <row r="30" ht="15.75" customHeight="1">
      <c r="A30" s="49">
        <f>S22+1</f>
        <v>46188</v>
      </c>
      <c r="B30" s="11"/>
      <c r="C30" s="12"/>
      <c r="D30" s="50">
        <f>A30+1</f>
        <v>46189</v>
      </c>
      <c r="E30" s="11"/>
      <c r="F30" s="12"/>
      <c r="G30" s="49">
        <f>D30+1</f>
        <v>46190</v>
      </c>
      <c r="H30" s="11"/>
      <c r="I30" s="12"/>
      <c r="J30" s="49">
        <f>G30+1</f>
        <v>46191</v>
      </c>
      <c r="K30" s="11"/>
      <c r="L30" s="12"/>
      <c r="M30" s="49">
        <f>J30+1</f>
        <v>46192</v>
      </c>
      <c r="N30" s="11"/>
      <c r="O30" s="12"/>
      <c r="P30" s="49">
        <f>M30+1</f>
        <v>46193</v>
      </c>
      <c r="Q30" s="11"/>
      <c r="R30" s="12"/>
      <c r="S30" s="50">
        <f>P30+1</f>
        <v>46194</v>
      </c>
      <c r="T30" s="11"/>
      <c r="U30" s="12"/>
      <c r="W30" s="27">
        <v>21.0</v>
      </c>
      <c r="X30" s="28" t="s">
        <v>27</v>
      </c>
      <c r="Y30" s="29">
        <f t="shared" si="1"/>
        <v>2</v>
      </c>
    </row>
    <row r="31" ht="15.75" customHeight="1">
      <c r="A31" s="17"/>
      <c r="B31" s="17"/>
      <c r="C31" s="17"/>
      <c r="D31" s="19"/>
      <c r="E31" s="38"/>
      <c r="F31" s="19"/>
      <c r="G31" s="17"/>
      <c r="H31" s="17"/>
      <c r="I31" s="17"/>
      <c r="J31" s="22"/>
      <c r="K31" s="22"/>
      <c r="L31" s="22"/>
      <c r="M31" s="19"/>
      <c r="N31" s="19"/>
      <c r="O31" s="19"/>
      <c r="P31" s="30"/>
      <c r="Q31" s="30"/>
      <c r="R31" s="30"/>
      <c r="S31" s="20"/>
      <c r="T31" s="20"/>
      <c r="U31" s="20"/>
      <c r="W31" s="27">
        <v>22.0</v>
      </c>
      <c r="X31" s="28" t="s">
        <v>23</v>
      </c>
      <c r="Y31" s="29">
        <f t="shared" si="1"/>
        <v>5</v>
      </c>
    </row>
    <row r="32">
      <c r="A32" s="19" t="s">
        <v>23</v>
      </c>
      <c r="B32" s="19" t="s">
        <v>24</v>
      </c>
      <c r="C32" s="17" t="s">
        <v>25</v>
      </c>
      <c r="D32" s="19" t="s">
        <v>21</v>
      </c>
      <c r="E32" s="19" t="s">
        <v>28</v>
      </c>
      <c r="F32" s="19" t="s">
        <v>29</v>
      </c>
      <c r="G32" s="19" t="s">
        <v>39</v>
      </c>
      <c r="H32" s="19" t="s">
        <v>40</v>
      </c>
      <c r="I32" s="19" t="s">
        <v>35</v>
      </c>
      <c r="J32" s="19" t="s">
        <v>30</v>
      </c>
      <c r="K32" s="19" t="s">
        <v>31</v>
      </c>
      <c r="L32" s="19" t="s">
        <v>25</v>
      </c>
      <c r="M32" s="19" t="s">
        <v>32</v>
      </c>
      <c r="N32" s="19" t="s">
        <v>33</v>
      </c>
      <c r="O32" s="19" t="s">
        <v>25</v>
      </c>
      <c r="P32" s="19" t="s">
        <v>26</v>
      </c>
      <c r="Q32" s="40" t="s">
        <v>34</v>
      </c>
      <c r="R32" s="19" t="s">
        <v>35</v>
      </c>
      <c r="S32" s="39"/>
      <c r="T32" s="39"/>
      <c r="U32" s="39"/>
      <c r="W32" s="27">
        <v>23.0</v>
      </c>
      <c r="X32" s="28"/>
      <c r="Y32" s="29">
        <f t="shared" si="1"/>
        <v>0</v>
      </c>
    </row>
    <row r="33" ht="15.75" customHeight="1">
      <c r="A33" s="19" t="s">
        <v>27</v>
      </c>
      <c r="B33" s="19" t="s">
        <v>28</v>
      </c>
      <c r="C33" s="19" t="s">
        <v>25</v>
      </c>
      <c r="D33" s="19" t="s">
        <v>36</v>
      </c>
      <c r="E33" s="19" t="s">
        <v>37</v>
      </c>
      <c r="F33" s="30" t="s">
        <v>29</v>
      </c>
      <c r="G33" s="19" t="s">
        <v>43</v>
      </c>
      <c r="H33" s="19" t="s">
        <v>28</v>
      </c>
      <c r="I33" s="19" t="s">
        <v>25</v>
      </c>
      <c r="J33" s="42" t="s">
        <v>20</v>
      </c>
      <c r="K33" s="43" t="s">
        <v>28</v>
      </c>
      <c r="L33" s="42" t="s">
        <v>29</v>
      </c>
      <c r="M33" s="19" t="s">
        <v>38</v>
      </c>
      <c r="N33" s="19" t="s">
        <v>28</v>
      </c>
      <c r="O33" s="30" t="s">
        <v>25</v>
      </c>
      <c r="P33" s="19"/>
      <c r="Q33" s="19"/>
      <c r="R33" s="19"/>
      <c r="S33" s="41" t="s">
        <v>14</v>
      </c>
      <c r="T33" s="11"/>
      <c r="U33" s="12"/>
      <c r="W33" s="27">
        <v>24.0</v>
      </c>
      <c r="X33" s="28" t="s">
        <v>50</v>
      </c>
      <c r="Y33" s="29">
        <f t="shared" si="1"/>
        <v>2</v>
      </c>
    </row>
    <row r="34" ht="15.75" customHeight="1">
      <c r="A34" s="19" t="s">
        <v>18</v>
      </c>
      <c r="B34" s="19" t="s">
        <v>42</v>
      </c>
      <c r="C34" s="19" t="s">
        <v>61</v>
      </c>
      <c r="D34" s="19" t="s">
        <v>19</v>
      </c>
      <c r="E34" s="19" t="s">
        <v>41</v>
      </c>
      <c r="F34" s="30" t="s">
        <v>61</v>
      </c>
      <c r="G34" s="22"/>
      <c r="H34" s="22"/>
      <c r="I34" s="22"/>
      <c r="J34" s="22"/>
      <c r="K34" s="22"/>
      <c r="L34" s="22"/>
      <c r="M34" s="19"/>
      <c r="N34" s="19"/>
      <c r="O34" s="19"/>
      <c r="P34" s="30"/>
      <c r="Q34" s="30"/>
      <c r="R34" s="30"/>
      <c r="S34" s="20"/>
      <c r="T34" s="20"/>
      <c r="U34" s="20"/>
      <c r="W34" s="27">
        <v>25.0</v>
      </c>
      <c r="X34" s="28" t="s">
        <v>54</v>
      </c>
      <c r="Y34" s="29">
        <f t="shared" si="1"/>
        <v>2</v>
      </c>
    </row>
    <row r="35" ht="15.75" customHeight="1">
      <c r="A35" s="22"/>
      <c r="B35" s="22"/>
      <c r="C35" s="22"/>
      <c r="D35" s="22"/>
      <c r="E35" s="22"/>
      <c r="F35" s="22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  <c r="T35" s="20"/>
      <c r="U35" s="20"/>
      <c r="W35" s="27">
        <v>26.0</v>
      </c>
      <c r="X35" s="28" t="s">
        <v>43</v>
      </c>
      <c r="Y35" s="29">
        <f t="shared" si="1"/>
        <v>2</v>
      </c>
    </row>
    <row r="36" ht="15.75" customHeight="1">
      <c r="A36" s="22"/>
      <c r="B36" s="22"/>
      <c r="C36" s="22"/>
      <c r="D36" s="19"/>
      <c r="E36" s="19"/>
      <c r="F36" s="19"/>
      <c r="G36" s="19"/>
      <c r="H36" s="19"/>
      <c r="I36" s="19"/>
      <c r="J36" s="19"/>
      <c r="K36" s="19"/>
      <c r="L36" s="30"/>
      <c r="M36" s="20"/>
      <c r="N36" s="20"/>
      <c r="O36" s="20"/>
      <c r="P36" s="30"/>
      <c r="Q36" s="30"/>
      <c r="R36" s="30"/>
      <c r="S36" s="18"/>
      <c r="T36" s="18"/>
      <c r="U36" s="18"/>
      <c r="W36" s="27">
        <v>27.0</v>
      </c>
      <c r="X36" s="28" t="s">
        <v>36</v>
      </c>
      <c r="Y36" s="29">
        <f t="shared" si="1"/>
        <v>2</v>
      </c>
    </row>
    <row r="37" ht="16.5" customHeight="1">
      <c r="A37" s="10" t="s">
        <v>7</v>
      </c>
      <c r="B37" s="11"/>
      <c r="C37" s="12"/>
      <c r="D37" s="10" t="s">
        <v>8</v>
      </c>
      <c r="E37" s="11"/>
      <c r="F37" s="12"/>
      <c r="G37" s="10" t="s">
        <v>9</v>
      </c>
      <c r="H37" s="11"/>
      <c r="I37" s="12"/>
      <c r="J37" s="10" t="s">
        <v>10</v>
      </c>
      <c r="K37" s="11"/>
      <c r="L37" s="12"/>
      <c r="M37" s="10" t="s">
        <v>11</v>
      </c>
      <c r="N37" s="11"/>
      <c r="O37" s="12"/>
      <c r="P37" s="10" t="s">
        <v>12</v>
      </c>
      <c r="Q37" s="11"/>
      <c r="R37" s="12"/>
      <c r="S37" s="13" t="s">
        <v>13</v>
      </c>
      <c r="T37" s="11"/>
      <c r="U37" s="12"/>
      <c r="W37" s="27">
        <v>28.0</v>
      </c>
      <c r="X37" s="28"/>
      <c r="Y37" s="29">
        <f t="shared" si="1"/>
        <v>0</v>
      </c>
    </row>
    <row r="38" ht="15.75" customHeight="1">
      <c r="A38" s="15">
        <f>S30+1</f>
        <v>46195</v>
      </c>
      <c r="B38" s="11"/>
      <c r="C38" s="12"/>
      <c r="D38" s="15">
        <f>A38+1</f>
        <v>46196</v>
      </c>
      <c r="E38" s="11"/>
      <c r="F38" s="12"/>
      <c r="G38" s="15">
        <f>D38+1</f>
        <v>46197</v>
      </c>
      <c r="H38" s="11"/>
      <c r="I38" s="12"/>
      <c r="J38" s="15">
        <f>G38+1</f>
        <v>46198</v>
      </c>
      <c r="K38" s="11"/>
      <c r="L38" s="12"/>
      <c r="M38" s="15">
        <f>J38+1</f>
        <v>46199</v>
      </c>
      <c r="N38" s="11"/>
      <c r="O38" s="12"/>
      <c r="P38" s="15">
        <f>M38+1</f>
        <v>46200</v>
      </c>
      <c r="Q38" s="11"/>
      <c r="R38" s="12"/>
      <c r="S38" s="16">
        <f>P38+1</f>
        <v>46201</v>
      </c>
      <c r="T38" s="11"/>
      <c r="U38" s="12"/>
      <c r="V38" s="51">
        <v>29.0</v>
      </c>
      <c r="W38" s="27">
        <v>29.0</v>
      </c>
      <c r="X38" s="28" t="s">
        <v>39</v>
      </c>
      <c r="Y38" s="29">
        <f t="shared" si="1"/>
        <v>2</v>
      </c>
    </row>
    <row r="39" ht="15.75" customHeight="1">
      <c r="A39" s="19"/>
      <c r="B39" s="19"/>
      <c r="C39" s="19"/>
      <c r="D39" s="17"/>
      <c r="E39" s="17"/>
      <c r="F39" s="17"/>
      <c r="G39" s="17"/>
      <c r="H39" s="17"/>
      <c r="I39" s="17"/>
      <c r="J39" s="22"/>
      <c r="K39" s="22"/>
      <c r="L39" s="22"/>
      <c r="M39" s="17"/>
      <c r="N39" s="17"/>
      <c r="O39" s="17"/>
      <c r="P39" s="17"/>
      <c r="Q39" s="17"/>
      <c r="R39" s="17"/>
      <c r="S39" s="20"/>
      <c r="T39" s="20"/>
      <c r="U39" s="20"/>
      <c r="W39" s="27">
        <v>30.0</v>
      </c>
      <c r="X39" s="52"/>
      <c r="Y39" s="29"/>
    </row>
    <row r="40">
      <c r="A40" s="19"/>
      <c r="B40" s="19"/>
      <c r="C40" s="19"/>
      <c r="D40" s="19"/>
      <c r="E40" s="19"/>
      <c r="F40" s="19"/>
      <c r="G40" s="22"/>
      <c r="H40" s="22"/>
      <c r="I40" s="22"/>
      <c r="J40" s="22"/>
      <c r="K40" s="22"/>
      <c r="L40" s="22"/>
      <c r="M40" s="19" t="s">
        <v>45</v>
      </c>
      <c r="N40" s="45" t="s">
        <v>62</v>
      </c>
      <c r="O40" s="19" t="s">
        <v>25</v>
      </c>
      <c r="P40" s="17"/>
      <c r="Q40" s="17"/>
      <c r="R40" s="17"/>
      <c r="S40" s="39"/>
      <c r="T40" s="39"/>
      <c r="U40" s="39"/>
      <c r="W40" s="27">
        <v>31.0</v>
      </c>
      <c r="X40" s="52"/>
      <c r="Y40" s="29"/>
    </row>
    <row r="41" ht="15.75" customHeight="1">
      <c r="A41" s="46" t="s">
        <v>50</v>
      </c>
      <c r="B41" s="30" t="s">
        <v>49</v>
      </c>
      <c r="C41" s="46" t="s">
        <v>25</v>
      </c>
      <c r="D41" s="19" t="s">
        <v>51</v>
      </c>
      <c r="E41" s="19" t="s">
        <v>52</v>
      </c>
      <c r="F41" s="19" t="s">
        <v>35</v>
      </c>
      <c r="G41" s="19" t="s">
        <v>48</v>
      </c>
      <c r="H41" s="19" t="s">
        <v>63</v>
      </c>
      <c r="I41" s="19" t="s">
        <v>35</v>
      </c>
      <c r="J41" s="19" t="s">
        <v>54</v>
      </c>
      <c r="K41" s="19" t="s">
        <v>31</v>
      </c>
      <c r="L41" s="19" t="s">
        <v>25</v>
      </c>
      <c r="M41" s="19" t="s">
        <v>44</v>
      </c>
      <c r="N41" s="47"/>
      <c r="O41" s="19" t="s">
        <v>35</v>
      </c>
      <c r="P41" s="30" t="s">
        <v>47</v>
      </c>
      <c r="Q41" s="30" t="s">
        <v>49</v>
      </c>
      <c r="R41" s="30" t="s">
        <v>35</v>
      </c>
      <c r="S41" s="41" t="s">
        <v>14</v>
      </c>
      <c r="T41" s="11"/>
      <c r="U41" s="12"/>
      <c r="W41" s="27"/>
      <c r="X41" s="53"/>
      <c r="Y41" s="29"/>
    </row>
    <row r="42" ht="15.75" customHeight="1">
      <c r="A42" s="19" t="s">
        <v>23</v>
      </c>
      <c r="B42" s="19" t="s">
        <v>24</v>
      </c>
      <c r="C42" s="19" t="s">
        <v>25</v>
      </c>
      <c r="D42" s="30" t="s">
        <v>56</v>
      </c>
      <c r="E42" s="30" t="s">
        <v>57</v>
      </c>
      <c r="F42" s="30" t="s">
        <v>25</v>
      </c>
      <c r="G42" s="17" t="s">
        <v>58</v>
      </c>
      <c r="H42" s="17" t="s">
        <v>49</v>
      </c>
      <c r="I42" s="17" t="s">
        <v>35</v>
      </c>
      <c r="J42" s="19" t="s">
        <v>22</v>
      </c>
      <c r="K42" s="19" t="s">
        <v>59</v>
      </c>
      <c r="L42" s="19" t="s">
        <v>25</v>
      </c>
      <c r="M42" s="19" t="s">
        <v>46</v>
      </c>
      <c r="N42" s="48"/>
      <c r="O42" s="19" t="s">
        <v>25</v>
      </c>
      <c r="P42" s="19" t="s">
        <v>55</v>
      </c>
      <c r="Q42" s="19" t="s">
        <v>24</v>
      </c>
      <c r="R42" s="19" t="s">
        <v>35</v>
      </c>
      <c r="S42" s="39"/>
      <c r="T42" s="39"/>
      <c r="U42" s="39"/>
      <c r="W42" s="27"/>
      <c r="X42" s="52"/>
      <c r="Y42" s="29"/>
    </row>
    <row r="43" ht="15.75" customHeight="1">
      <c r="A43" s="19"/>
      <c r="B43" s="19"/>
      <c r="C43" s="19"/>
      <c r="D43" s="22"/>
      <c r="E43" s="22"/>
      <c r="F43" s="22"/>
      <c r="G43" s="17"/>
      <c r="H43" s="17"/>
      <c r="I43" s="17"/>
      <c r="J43" s="22"/>
      <c r="K43" s="22"/>
      <c r="L43" s="22"/>
      <c r="M43" s="22"/>
      <c r="N43" s="22"/>
      <c r="O43" s="22"/>
      <c r="P43" s="17"/>
      <c r="Q43" s="17"/>
      <c r="R43" s="17"/>
      <c r="S43" s="20"/>
      <c r="T43" s="20"/>
      <c r="U43" s="20"/>
      <c r="W43" s="27"/>
      <c r="X43" s="52"/>
      <c r="Y43" s="29"/>
    </row>
    <row r="44" ht="15.75" customHeight="1">
      <c r="A44" s="19"/>
      <c r="B44" s="19"/>
      <c r="C44" s="19"/>
      <c r="D44" s="30"/>
      <c r="E44" s="30"/>
      <c r="F44" s="30"/>
      <c r="G44" s="17"/>
      <c r="H44" s="17"/>
      <c r="I44" s="17"/>
      <c r="J44" s="22"/>
      <c r="K44" s="22"/>
      <c r="L44" s="22"/>
      <c r="M44" s="22"/>
      <c r="N44" s="22"/>
      <c r="O44" s="22"/>
      <c r="P44" s="17"/>
      <c r="Q44" s="17"/>
      <c r="R44" s="17"/>
      <c r="S44" s="18"/>
      <c r="T44" s="18"/>
      <c r="U44" s="18"/>
      <c r="W44" s="27"/>
      <c r="Y44" s="5">
        <f>SUM(Y10:Y43)</f>
        <v>53</v>
      </c>
    </row>
    <row r="45" ht="15.75" customHeight="1">
      <c r="A45" s="32" t="s">
        <v>7</v>
      </c>
      <c r="B45" s="11"/>
      <c r="C45" s="12"/>
      <c r="D45" s="32" t="s">
        <v>8</v>
      </c>
      <c r="E45" s="11"/>
      <c r="F45" s="12"/>
      <c r="G45" s="32" t="s">
        <v>9</v>
      </c>
      <c r="H45" s="11"/>
      <c r="I45" s="12"/>
      <c r="J45" s="32" t="s">
        <v>10</v>
      </c>
      <c r="K45" s="11"/>
      <c r="L45" s="12"/>
      <c r="M45" s="32" t="s">
        <v>11</v>
      </c>
      <c r="N45" s="11"/>
      <c r="O45" s="12"/>
      <c r="P45" s="32" t="s">
        <v>12</v>
      </c>
      <c r="Q45" s="11"/>
      <c r="R45" s="12"/>
      <c r="S45" s="31" t="s">
        <v>13</v>
      </c>
      <c r="T45" s="11"/>
      <c r="U45" s="12"/>
      <c r="W45" s="5"/>
      <c r="Y45" s="5"/>
    </row>
    <row r="46" ht="15.75" customHeight="1">
      <c r="A46" s="49">
        <f>S38+1</f>
        <v>46202</v>
      </c>
      <c r="B46" s="11"/>
      <c r="C46" s="12"/>
      <c r="D46" s="49">
        <f>A46+1</f>
        <v>46203</v>
      </c>
      <c r="E46" s="11"/>
      <c r="F46" s="12"/>
      <c r="G46" s="49"/>
      <c r="H46" s="11"/>
      <c r="I46" s="12"/>
      <c r="J46" s="49"/>
      <c r="K46" s="11"/>
      <c r="L46" s="12"/>
      <c r="M46" s="49"/>
      <c r="N46" s="11"/>
      <c r="O46" s="12"/>
      <c r="P46" s="49"/>
      <c r="Q46" s="11"/>
      <c r="R46" s="12"/>
      <c r="S46" s="50"/>
      <c r="T46" s="11"/>
      <c r="U46" s="12"/>
      <c r="W46" s="5"/>
      <c r="Y46" s="5"/>
    </row>
    <row r="47" ht="15.75" customHeight="1">
      <c r="A47" s="17"/>
      <c r="B47" s="17"/>
      <c r="C47" s="17"/>
      <c r="D47" s="19"/>
      <c r="E47" s="19"/>
      <c r="F47" s="19"/>
      <c r="G47" s="19"/>
      <c r="H47" s="19"/>
      <c r="I47" s="19"/>
      <c r="J47" s="30"/>
      <c r="K47" s="30"/>
      <c r="L47" s="30"/>
      <c r="M47" s="30"/>
      <c r="N47" s="30"/>
      <c r="O47" s="30"/>
      <c r="P47" s="20"/>
      <c r="Q47" s="20"/>
      <c r="R47" s="20"/>
      <c r="S47" s="18"/>
      <c r="T47" s="18"/>
      <c r="U47" s="18"/>
      <c r="W47" s="5"/>
      <c r="Y47" s="5"/>
    </row>
    <row r="48" ht="15.75" customHeight="1">
      <c r="A48" s="46"/>
      <c r="B48" s="30"/>
      <c r="C48" s="46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20"/>
      <c r="W48" s="5"/>
      <c r="Y48" s="5"/>
    </row>
    <row r="49" ht="15.75" customHeight="1">
      <c r="A49" s="19"/>
      <c r="B49" s="19"/>
      <c r="C49" s="19"/>
      <c r="D49" s="19"/>
      <c r="E49" s="19"/>
      <c r="F49" s="19"/>
      <c r="G49" s="17"/>
      <c r="H49" s="17"/>
      <c r="I49" s="17"/>
      <c r="J49" s="19"/>
      <c r="K49" s="19"/>
      <c r="L49" s="19"/>
      <c r="M49" s="19"/>
      <c r="N49" s="19"/>
      <c r="O49" s="19"/>
      <c r="P49" s="19"/>
      <c r="Q49" s="20"/>
      <c r="R49" s="19"/>
      <c r="S49" s="20"/>
      <c r="T49" s="20"/>
      <c r="U49" s="20"/>
      <c r="W49" s="5"/>
      <c r="Y49" s="5"/>
    </row>
    <row r="50" ht="15.75" customHeight="1">
      <c r="A50" s="19"/>
      <c r="B50" s="19"/>
      <c r="C50" s="19"/>
      <c r="D50" s="30"/>
      <c r="E50" s="30"/>
      <c r="F50" s="30"/>
      <c r="G50" s="19"/>
      <c r="H50" s="19"/>
      <c r="I50" s="19"/>
      <c r="J50" s="19"/>
      <c r="K50" s="19"/>
      <c r="L50" s="19"/>
      <c r="M50" s="19"/>
      <c r="N50" s="19"/>
      <c r="O50" s="19"/>
      <c r="P50" s="21"/>
      <c r="Q50" s="21"/>
      <c r="R50" s="21"/>
      <c r="S50" s="18"/>
      <c r="T50" s="18"/>
      <c r="U50" s="18"/>
      <c r="W50" s="5"/>
      <c r="Y50" s="5"/>
    </row>
    <row r="51" ht="15.75" customHeight="1">
      <c r="A51" s="19"/>
      <c r="B51" s="19"/>
      <c r="C51" s="19"/>
      <c r="D51" s="19"/>
      <c r="E51" s="19"/>
      <c r="F51" s="19"/>
      <c r="G51" s="18"/>
      <c r="H51" s="18"/>
      <c r="I51" s="18"/>
      <c r="J51" s="19"/>
      <c r="K51" s="19"/>
      <c r="L51" s="19"/>
      <c r="M51" s="19"/>
      <c r="N51" s="19"/>
      <c r="O51" s="30"/>
      <c r="P51" s="19"/>
      <c r="Q51" s="19"/>
      <c r="R51" s="30"/>
      <c r="S51" s="20"/>
      <c r="T51" s="20"/>
      <c r="U51" s="20"/>
      <c r="W51" s="5"/>
      <c r="Y51" s="5"/>
    </row>
    <row r="52" ht="15.75" customHeight="1">
      <c r="A52" s="19"/>
      <c r="B52" s="38"/>
      <c r="C52" s="19"/>
      <c r="D52" s="30"/>
      <c r="E52" s="30"/>
      <c r="F52" s="30"/>
      <c r="G52" s="19"/>
      <c r="H52" s="19"/>
      <c r="I52" s="30"/>
      <c r="J52" s="30"/>
      <c r="K52" s="30"/>
      <c r="L52" s="30"/>
      <c r="M52" s="19"/>
      <c r="N52" s="19"/>
      <c r="O52" s="19"/>
      <c r="P52" s="20"/>
      <c r="Q52" s="20"/>
      <c r="R52" s="20"/>
      <c r="S52" s="18"/>
      <c r="T52" s="18"/>
      <c r="U52" s="18"/>
      <c r="W52" s="5"/>
      <c r="Y52" s="5"/>
    </row>
    <row r="53" ht="15.75" customHeight="1">
      <c r="W53" s="5"/>
      <c r="Y53" s="5"/>
    </row>
    <row r="54" ht="15.75" customHeight="1">
      <c r="A54" s="54" t="s">
        <v>64</v>
      </c>
      <c r="B54" s="55"/>
      <c r="W54" s="5"/>
      <c r="Y54" s="5"/>
    </row>
    <row r="55" ht="15.75" customHeight="1">
      <c r="A55" s="56"/>
      <c r="B55" s="57" t="s">
        <v>65</v>
      </c>
      <c r="C55" s="58"/>
      <c r="D55" s="59"/>
      <c r="W55" s="5"/>
      <c r="Y55" s="5"/>
    </row>
    <row r="56" ht="15.75" customHeight="1">
      <c r="A56" s="60"/>
      <c r="B56" s="57" t="s">
        <v>66</v>
      </c>
      <c r="C56" s="58"/>
      <c r="W56" s="5"/>
      <c r="Y56" s="5"/>
    </row>
    <row r="57" ht="15.75" customHeight="1">
      <c r="A57" s="61"/>
      <c r="B57" s="57" t="s">
        <v>67</v>
      </c>
      <c r="C57" s="58"/>
      <c r="W57" s="5"/>
      <c r="Y57" s="5"/>
    </row>
    <row r="58" ht="15.75" customHeight="1">
      <c r="A58" s="62"/>
      <c r="B58" s="57" t="s">
        <v>68</v>
      </c>
      <c r="C58" s="58"/>
      <c r="W58" s="5"/>
      <c r="Y58" s="5"/>
    </row>
    <row r="59" ht="15.75" customHeight="1">
      <c r="W59" s="5"/>
      <c r="Y59" s="5"/>
    </row>
    <row r="60" ht="15.75" customHeight="1"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>
      <c r="W259" s="5"/>
      <c r="Y259" s="5"/>
    </row>
    <row r="260" ht="15.75" customHeight="1">
      <c r="W260" s="5"/>
      <c r="Y260" s="5"/>
    </row>
    <row r="261" ht="15.75" customHeight="1">
      <c r="W261" s="5"/>
      <c r="Y261" s="5"/>
    </row>
    <row r="262" ht="15.75" customHeight="1">
      <c r="W262" s="5"/>
      <c r="Y262" s="5"/>
    </row>
    <row r="263" ht="15.75" customHeight="1">
      <c r="W263" s="5"/>
      <c r="Y263" s="5"/>
    </row>
    <row r="264" ht="15.75" customHeight="1">
      <c r="W264" s="5"/>
      <c r="Y264" s="5"/>
    </row>
    <row r="265" ht="15.75" customHeight="1">
      <c r="W265" s="5"/>
      <c r="Y265" s="5"/>
    </row>
    <row r="266" ht="15.75" customHeight="1">
      <c r="W266" s="5"/>
      <c r="Y266" s="5"/>
    </row>
    <row r="267" ht="15.75" customHeight="1">
      <c r="W267" s="5"/>
      <c r="Y267" s="5"/>
    </row>
    <row r="268" ht="15.75" customHeight="1">
      <c r="W268" s="5"/>
      <c r="Y268" s="5"/>
    </row>
    <row r="269" ht="15.75" customHeight="1">
      <c r="W269" s="5"/>
      <c r="Y269" s="5"/>
    </row>
    <row r="270" ht="15.75" customHeight="1">
      <c r="W270" s="5"/>
      <c r="Y270" s="5"/>
    </row>
    <row r="271" ht="15.75" customHeight="1">
      <c r="W271" s="5"/>
      <c r="Y271" s="5"/>
    </row>
    <row r="272" ht="15.75" customHeight="1">
      <c r="W272" s="5"/>
      <c r="Y272" s="5"/>
    </row>
    <row r="273" ht="15.75" customHeight="1">
      <c r="W273" s="5"/>
      <c r="Y273" s="5"/>
    </row>
    <row r="274" ht="15.75" customHeight="1">
      <c r="W274" s="5"/>
      <c r="Y274" s="5"/>
    </row>
    <row r="275" ht="15.75" customHeight="1">
      <c r="W275" s="5"/>
      <c r="Y275" s="5"/>
    </row>
    <row r="276" ht="15.75" customHeight="1">
      <c r="W276" s="5"/>
      <c r="Y276" s="5"/>
    </row>
    <row r="277" ht="15.75" customHeight="1">
      <c r="W277" s="5"/>
      <c r="Y277" s="5"/>
    </row>
    <row r="278" ht="15.75" customHeight="1">
      <c r="W278" s="5"/>
      <c r="Y278" s="5"/>
    </row>
    <row r="279" ht="15.75" customHeight="1">
      <c r="W279" s="5"/>
      <c r="Y279" s="5"/>
    </row>
    <row r="280" ht="15.75" customHeight="1">
      <c r="W280" s="5"/>
      <c r="Y280" s="5"/>
    </row>
    <row r="281" ht="15.75" customHeight="1">
      <c r="W281" s="5"/>
      <c r="Y281" s="5"/>
    </row>
    <row r="282" ht="15.75" customHeight="1">
      <c r="W282" s="5"/>
      <c r="Y282" s="5"/>
    </row>
    <row r="283" ht="15.75" customHeight="1">
      <c r="W283" s="5"/>
      <c r="Y283" s="5"/>
    </row>
    <row r="284" ht="15.75" customHeight="1">
      <c r="W284" s="5"/>
      <c r="Y284" s="5"/>
    </row>
    <row r="285" ht="15.75" customHeight="1">
      <c r="W285" s="5"/>
      <c r="Y285" s="5"/>
    </row>
    <row r="286" ht="15.75" customHeight="1">
      <c r="W286" s="5"/>
      <c r="Y286" s="5"/>
    </row>
    <row r="287" ht="15.75" customHeight="1">
      <c r="W287" s="5"/>
      <c r="Y287" s="5"/>
    </row>
    <row r="288" ht="15.75" customHeight="1">
      <c r="W288" s="5"/>
      <c r="Y288" s="5"/>
    </row>
    <row r="289" ht="15.75" customHeight="1">
      <c r="W289" s="5"/>
      <c r="Y289" s="5"/>
    </row>
    <row r="290" ht="15.75" customHeight="1">
      <c r="W290" s="5"/>
      <c r="Y290" s="5"/>
    </row>
    <row r="291" ht="15.75" customHeight="1">
      <c r="W291" s="5"/>
      <c r="Y291" s="5"/>
    </row>
    <row r="292" ht="15.75" customHeight="1">
      <c r="W292" s="5"/>
      <c r="Y292" s="5"/>
    </row>
    <row r="293" ht="15.75" customHeight="1">
      <c r="W293" s="5"/>
      <c r="Y293" s="5"/>
    </row>
    <row r="294" ht="15.75" customHeight="1">
      <c r="W294" s="5"/>
      <c r="Y294" s="5"/>
    </row>
    <row r="295" ht="15.75" customHeight="1">
      <c r="W295" s="5"/>
      <c r="Y295" s="5"/>
    </row>
    <row r="296" ht="15.75" customHeight="1">
      <c r="W296" s="5"/>
      <c r="Y296" s="5"/>
    </row>
    <row r="297" ht="15.75" customHeight="1">
      <c r="W297" s="5"/>
      <c r="Y297" s="5"/>
    </row>
    <row r="298" ht="15.75" customHeight="1">
      <c r="W298" s="5"/>
      <c r="Y298" s="5"/>
    </row>
    <row r="299" ht="15.75" customHeight="1">
      <c r="W299" s="5"/>
      <c r="Y299" s="5"/>
    </row>
    <row r="300" ht="15.75" customHeight="1">
      <c r="W300" s="5"/>
      <c r="Y300" s="5"/>
    </row>
    <row r="301" ht="15.75" customHeight="1">
      <c r="W301" s="5"/>
      <c r="Y301" s="5"/>
    </row>
    <row r="302" ht="15.75" customHeight="1">
      <c r="W302" s="5"/>
      <c r="Y302" s="5"/>
    </row>
    <row r="303" ht="15.75" customHeight="1">
      <c r="W303" s="5"/>
      <c r="Y303" s="5"/>
    </row>
    <row r="304" ht="15.75" customHeight="1">
      <c r="W304" s="5"/>
      <c r="Y304" s="5"/>
    </row>
    <row r="305" ht="15.75" customHeight="1">
      <c r="W305" s="5"/>
      <c r="Y305" s="5"/>
    </row>
    <row r="306" ht="15.75" customHeight="1">
      <c r="W306" s="5"/>
      <c r="Y306" s="5"/>
    </row>
    <row r="307" ht="15.75" customHeight="1">
      <c r="W307" s="5"/>
      <c r="Y307" s="5"/>
    </row>
    <row r="308" ht="15.75" customHeight="1">
      <c r="W308" s="5"/>
      <c r="Y308" s="5"/>
    </row>
    <row r="309" ht="15.75" customHeight="1">
      <c r="W309" s="5"/>
      <c r="Y309" s="5"/>
    </row>
    <row r="310" ht="15.75" customHeight="1">
      <c r="W310" s="5"/>
      <c r="Y310" s="5"/>
    </row>
    <row r="311" ht="15.75" customHeight="1">
      <c r="W311" s="5"/>
      <c r="Y311" s="5"/>
    </row>
    <row r="312" ht="15.75" customHeight="1">
      <c r="W312" s="5"/>
      <c r="Y312" s="5"/>
    </row>
    <row r="313" ht="15.75" customHeight="1">
      <c r="W313" s="5"/>
      <c r="Y313" s="5"/>
    </row>
    <row r="314" ht="15.75" customHeight="1">
      <c r="W314" s="5"/>
      <c r="Y314" s="5"/>
    </row>
    <row r="315" ht="15.75" customHeight="1">
      <c r="W315" s="5"/>
      <c r="Y315" s="5"/>
    </row>
    <row r="316" ht="15.75" customHeight="1">
      <c r="W316" s="5"/>
      <c r="Y316" s="5"/>
    </row>
    <row r="317" ht="15.75" customHeight="1">
      <c r="W317" s="5"/>
      <c r="Y317" s="5"/>
    </row>
    <row r="318" ht="15.75" customHeight="1">
      <c r="W318" s="5"/>
      <c r="Y318" s="5"/>
    </row>
    <row r="319" ht="15.75" customHeight="1">
      <c r="W319" s="5"/>
      <c r="Y319" s="5"/>
    </row>
    <row r="320" ht="15.75" customHeight="1">
      <c r="W320" s="5"/>
      <c r="Y320" s="5"/>
    </row>
    <row r="321" ht="15.75" customHeight="1">
      <c r="W321" s="5"/>
      <c r="Y321" s="5"/>
    </row>
    <row r="322" ht="15.75" customHeight="1">
      <c r="W322" s="5"/>
      <c r="Y322" s="5"/>
    </row>
    <row r="323" ht="15.75" customHeight="1">
      <c r="W323" s="5"/>
      <c r="Y323" s="5"/>
    </row>
    <row r="324" ht="15.75" customHeight="1">
      <c r="W324" s="5"/>
      <c r="Y324" s="5"/>
    </row>
    <row r="325" ht="15.75" customHeight="1">
      <c r="W325" s="5"/>
      <c r="Y325" s="5"/>
    </row>
    <row r="326" ht="15.75" customHeight="1">
      <c r="W326" s="5"/>
      <c r="Y326" s="5"/>
    </row>
    <row r="327" ht="15.75" customHeight="1">
      <c r="W327" s="5"/>
      <c r="Y327" s="5"/>
    </row>
    <row r="328" ht="15.75" customHeight="1">
      <c r="W328" s="5"/>
      <c r="Y328" s="5"/>
    </row>
    <row r="329" ht="15.75" customHeight="1">
      <c r="W329" s="5"/>
      <c r="Y329" s="5"/>
    </row>
    <row r="330" ht="15.75" customHeight="1">
      <c r="W330" s="5"/>
      <c r="Y330" s="5"/>
    </row>
    <row r="331" ht="15.75" customHeight="1">
      <c r="W331" s="5"/>
      <c r="Y331" s="5"/>
    </row>
    <row r="332" ht="15.75" customHeight="1">
      <c r="W332" s="5"/>
      <c r="Y332" s="5"/>
    </row>
    <row r="333" ht="15.75" customHeight="1">
      <c r="W333" s="5"/>
      <c r="Y333" s="5"/>
    </row>
    <row r="334" ht="15.75" customHeight="1">
      <c r="W334" s="5"/>
      <c r="Y334" s="5"/>
    </row>
    <row r="335" ht="15.75" customHeight="1">
      <c r="W335" s="5"/>
      <c r="Y335" s="5"/>
    </row>
    <row r="336" ht="15.75" customHeight="1">
      <c r="W336" s="5"/>
      <c r="Y336" s="5"/>
    </row>
    <row r="337" ht="15.75" customHeight="1">
      <c r="W337" s="5"/>
      <c r="Y337" s="5"/>
    </row>
    <row r="338" ht="15.75" customHeight="1">
      <c r="W338" s="5"/>
      <c r="Y338" s="5"/>
    </row>
    <row r="339" ht="15.75" customHeight="1">
      <c r="W339" s="5"/>
      <c r="Y339" s="5"/>
    </row>
    <row r="340" ht="15.75" customHeight="1">
      <c r="W340" s="5"/>
      <c r="Y340" s="5"/>
    </row>
    <row r="341" ht="15.75" customHeight="1">
      <c r="W341" s="5"/>
      <c r="Y341" s="5"/>
    </row>
    <row r="342" ht="15.75" customHeight="1">
      <c r="W342" s="5"/>
      <c r="Y342" s="5"/>
    </row>
    <row r="343" ht="15.75" customHeight="1">
      <c r="W343" s="5"/>
      <c r="Y343" s="5"/>
    </row>
    <row r="344" ht="15.75" customHeight="1">
      <c r="W344" s="5"/>
      <c r="Y344" s="5"/>
    </row>
    <row r="345" ht="15.75" customHeight="1">
      <c r="W345" s="5"/>
      <c r="Y345" s="5"/>
    </row>
    <row r="346" ht="15.75" customHeight="1">
      <c r="W346" s="5"/>
      <c r="Y346" s="5"/>
    </row>
    <row r="347" ht="15.75" customHeight="1">
      <c r="W347" s="5"/>
      <c r="Y347" s="5"/>
    </row>
    <row r="348" ht="15.75" customHeight="1">
      <c r="W348" s="5"/>
      <c r="Y348" s="5"/>
    </row>
    <row r="349" ht="15.75" customHeight="1">
      <c r="W349" s="5"/>
      <c r="Y349" s="5"/>
    </row>
    <row r="350" ht="15.75" customHeight="1">
      <c r="W350" s="5"/>
      <c r="Y350" s="5"/>
    </row>
    <row r="351" ht="15.75" customHeight="1">
      <c r="W351" s="5"/>
      <c r="Y351" s="5"/>
    </row>
    <row r="352" ht="15.75" customHeight="1">
      <c r="W352" s="5"/>
      <c r="Y352" s="5"/>
    </row>
    <row r="353" ht="15.75" customHeight="1">
      <c r="W353" s="5"/>
      <c r="Y353" s="5"/>
    </row>
    <row r="354" ht="15.75" customHeight="1">
      <c r="W354" s="5"/>
      <c r="Y354" s="5"/>
    </row>
    <row r="355" ht="15.75" customHeight="1">
      <c r="W355" s="5"/>
      <c r="Y355" s="5"/>
    </row>
    <row r="356" ht="15.75" customHeight="1">
      <c r="W356" s="5"/>
      <c r="Y356" s="5"/>
    </row>
    <row r="357" ht="15.75" customHeight="1">
      <c r="W357" s="5"/>
      <c r="Y357" s="5"/>
    </row>
    <row r="358" ht="15.75" customHeight="1">
      <c r="W358" s="5"/>
      <c r="Y358" s="5"/>
    </row>
    <row r="359" ht="15.75" customHeight="1">
      <c r="W359" s="5"/>
      <c r="Y359" s="5"/>
    </row>
    <row r="360" ht="15.75" customHeight="1">
      <c r="W360" s="5"/>
      <c r="Y360" s="5"/>
    </row>
    <row r="361" ht="15.75" customHeight="1">
      <c r="W361" s="5"/>
      <c r="Y361" s="5"/>
    </row>
    <row r="362" ht="15.75" customHeight="1">
      <c r="W362" s="5"/>
      <c r="Y362" s="5"/>
    </row>
    <row r="363" ht="15.75" customHeight="1">
      <c r="W363" s="5"/>
      <c r="Y363" s="5"/>
    </row>
    <row r="364" ht="15.75" customHeight="1">
      <c r="W364" s="5"/>
      <c r="Y364" s="5"/>
    </row>
    <row r="365" ht="15.75" customHeight="1">
      <c r="W365" s="5"/>
      <c r="Y365" s="5"/>
    </row>
    <row r="366" ht="15.75" customHeight="1">
      <c r="W366" s="5"/>
      <c r="Y366" s="5"/>
    </row>
    <row r="367" ht="15.75" customHeight="1">
      <c r="W367" s="5"/>
      <c r="Y367" s="5"/>
    </row>
    <row r="368" ht="15.75" customHeight="1">
      <c r="W368" s="5"/>
      <c r="Y368" s="5"/>
    </row>
    <row r="369" ht="15.75" customHeight="1">
      <c r="W369" s="5"/>
      <c r="Y369" s="5"/>
    </row>
    <row r="370" ht="15.75" customHeight="1">
      <c r="W370" s="5"/>
      <c r="Y370" s="5"/>
    </row>
    <row r="371" ht="15.75" customHeight="1">
      <c r="W371" s="5"/>
      <c r="Y371" s="5"/>
    </row>
    <row r="372" ht="15.75" customHeight="1">
      <c r="W372" s="5"/>
      <c r="Y372" s="5"/>
    </row>
    <row r="373" ht="15.75" customHeight="1">
      <c r="W373" s="5"/>
      <c r="Y373" s="5"/>
    </row>
    <row r="374" ht="15.75" customHeight="1">
      <c r="W374" s="5"/>
      <c r="Y374" s="5"/>
    </row>
    <row r="375" ht="15.75" customHeight="1">
      <c r="W375" s="5"/>
      <c r="Y375" s="5"/>
    </row>
    <row r="376" ht="15.75" customHeight="1">
      <c r="W376" s="5"/>
      <c r="Y376" s="5"/>
    </row>
    <row r="377" ht="15.75" customHeight="1">
      <c r="W377" s="5"/>
      <c r="Y377" s="5"/>
    </row>
    <row r="378" ht="15.75" customHeight="1">
      <c r="W378" s="5"/>
      <c r="Y378" s="5"/>
    </row>
    <row r="379" ht="15.75" customHeight="1">
      <c r="W379" s="5"/>
      <c r="Y379" s="5"/>
    </row>
    <row r="380" ht="15.75" customHeight="1">
      <c r="W380" s="5"/>
      <c r="Y380" s="5"/>
    </row>
    <row r="381" ht="15.75" customHeight="1">
      <c r="W381" s="5"/>
      <c r="Y381" s="5"/>
    </row>
    <row r="382" ht="15.75" customHeight="1">
      <c r="W382" s="5"/>
      <c r="Y382" s="5"/>
    </row>
    <row r="383" ht="15.75" customHeight="1">
      <c r="W383" s="5"/>
      <c r="Y383" s="5"/>
    </row>
    <row r="384" ht="15.75" customHeight="1">
      <c r="W384" s="5"/>
      <c r="Y384" s="5"/>
    </row>
    <row r="385" ht="15.75" customHeight="1">
      <c r="W385" s="5"/>
      <c r="Y385" s="5"/>
    </row>
    <row r="386" ht="15.75" customHeight="1">
      <c r="W386" s="5"/>
      <c r="Y386" s="5"/>
    </row>
    <row r="387" ht="15.75" customHeight="1">
      <c r="W387" s="5"/>
      <c r="Y387" s="5"/>
    </row>
    <row r="388" ht="15.75" customHeight="1">
      <c r="W388" s="5"/>
      <c r="Y388" s="5"/>
    </row>
    <row r="389" ht="15.75" customHeight="1">
      <c r="W389" s="5"/>
      <c r="Y389" s="5"/>
    </row>
    <row r="390" ht="15.75" customHeight="1">
      <c r="W390" s="5"/>
      <c r="Y390" s="5"/>
    </row>
    <row r="391" ht="15.75" customHeight="1">
      <c r="W391" s="5"/>
      <c r="Y391" s="5"/>
    </row>
    <row r="392" ht="15.75" customHeight="1">
      <c r="W392" s="5"/>
      <c r="Y392" s="5"/>
    </row>
    <row r="393" ht="15.75" customHeight="1">
      <c r="W393" s="5"/>
      <c r="Y393" s="5"/>
    </row>
    <row r="394" ht="15.75" customHeight="1">
      <c r="W394" s="5"/>
      <c r="Y394" s="5"/>
    </row>
    <row r="395" ht="15.75" customHeight="1">
      <c r="W395" s="5"/>
      <c r="Y395" s="5"/>
    </row>
    <row r="396" ht="15.75" customHeight="1">
      <c r="W396" s="5"/>
      <c r="Y396" s="5"/>
    </row>
    <row r="397" ht="15.75" customHeight="1">
      <c r="W397" s="5"/>
      <c r="Y397" s="5"/>
    </row>
    <row r="398" ht="15.75" customHeight="1">
      <c r="W398" s="5"/>
      <c r="Y398" s="5"/>
    </row>
    <row r="399" ht="15.75" customHeight="1">
      <c r="W399" s="5"/>
      <c r="Y399" s="5"/>
    </row>
    <row r="400" ht="15.75" customHeight="1">
      <c r="W400" s="5"/>
      <c r="Y400" s="5"/>
    </row>
    <row r="401" ht="15.75" customHeight="1">
      <c r="W401" s="5"/>
      <c r="Y401" s="5"/>
    </row>
    <row r="402" ht="15.75" customHeight="1">
      <c r="W402" s="5"/>
      <c r="Y402" s="5"/>
    </row>
    <row r="403" ht="15.75" customHeight="1">
      <c r="W403" s="5"/>
      <c r="Y403" s="5"/>
    </row>
    <row r="404" ht="15.75" customHeight="1">
      <c r="W404" s="5"/>
      <c r="Y404" s="5"/>
    </row>
    <row r="405" ht="15.75" customHeight="1">
      <c r="W405" s="5"/>
      <c r="Y405" s="5"/>
    </row>
    <row r="406" ht="15.75" customHeight="1">
      <c r="W406" s="5"/>
      <c r="Y406" s="5"/>
    </row>
    <row r="407" ht="15.75" customHeight="1">
      <c r="W407" s="5"/>
      <c r="Y407" s="5"/>
    </row>
    <row r="408" ht="15.75" customHeight="1">
      <c r="W408" s="5"/>
      <c r="Y408" s="5"/>
    </row>
    <row r="409" ht="15.75" customHeight="1">
      <c r="W409" s="5"/>
      <c r="Y409" s="5"/>
    </row>
    <row r="410" ht="15.75" customHeight="1">
      <c r="W410" s="5"/>
      <c r="Y410" s="5"/>
    </row>
    <row r="411" ht="15.75" customHeight="1">
      <c r="W411" s="5"/>
      <c r="Y411" s="5"/>
    </row>
    <row r="412" ht="15.75" customHeight="1">
      <c r="W412" s="5"/>
      <c r="Y412" s="5"/>
    </row>
    <row r="413" ht="15.75" customHeight="1">
      <c r="W413" s="5"/>
      <c r="Y413" s="5"/>
    </row>
    <row r="414" ht="15.75" customHeight="1">
      <c r="W414" s="5"/>
      <c r="Y414" s="5"/>
    </row>
    <row r="415" ht="15.75" customHeight="1">
      <c r="W415" s="5"/>
      <c r="Y415" s="5"/>
    </row>
    <row r="416" ht="15.75" customHeight="1">
      <c r="W416" s="5"/>
      <c r="Y416" s="5"/>
    </row>
    <row r="417" ht="15.75" customHeight="1">
      <c r="W417" s="5"/>
      <c r="Y417" s="5"/>
    </row>
    <row r="418" ht="15.75" customHeight="1">
      <c r="W418" s="5"/>
      <c r="Y418" s="5"/>
    </row>
    <row r="419" ht="15.75" customHeight="1">
      <c r="W419" s="5"/>
      <c r="Y419" s="5"/>
    </row>
    <row r="420" ht="15.75" customHeight="1">
      <c r="W420" s="5"/>
      <c r="Y420" s="5"/>
    </row>
    <row r="421" ht="15.75" customHeight="1">
      <c r="W421" s="5"/>
      <c r="Y421" s="5"/>
    </row>
    <row r="422" ht="15.75" customHeight="1">
      <c r="W422" s="5"/>
      <c r="Y422" s="5"/>
    </row>
    <row r="423" ht="15.75" customHeight="1">
      <c r="W423" s="5"/>
      <c r="Y423" s="5"/>
    </row>
    <row r="424" ht="15.75" customHeight="1">
      <c r="W424" s="5"/>
      <c r="Y424" s="5"/>
    </row>
    <row r="425" ht="15.75" customHeight="1">
      <c r="W425" s="5"/>
      <c r="Y425" s="5"/>
    </row>
    <row r="426" ht="15.75" customHeight="1">
      <c r="W426" s="5"/>
      <c r="Y426" s="5"/>
    </row>
    <row r="427" ht="15.75" customHeight="1">
      <c r="W427" s="5"/>
      <c r="Y427" s="5"/>
    </row>
    <row r="428" ht="15.75" customHeight="1">
      <c r="W428" s="5"/>
      <c r="Y428" s="5"/>
    </row>
    <row r="429" ht="15.75" customHeight="1">
      <c r="W429" s="5"/>
      <c r="Y429" s="5"/>
    </row>
    <row r="430" ht="15.75" customHeight="1">
      <c r="W430" s="5"/>
      <c r="Y430" s="5"/>
    </row>
    <row r="431" ht="15.75" customHeight="1">
      <c r="W431" s="5"/>
      <c r="Y431" s="5"/>
    </row>
    <row r="432" ht="15.75" customHeight="1">
      <c r="W432" s="5"/>
      <c r="Y432" s="5"/>
    </row>
    <row r="433" ht="15.75" customHeight="1">
      <c r="W433" s="5"/>
      <c r="Y433" s="5"/>
    </row>
    <row r="434" ht="15.75" customHeight="1">
      <c r="W434" s="5"/>
      <c r="Y434" s="5"/>
    </row>
    <row r="435" ht="15.75" customHeight="1">
      <c r="W435" s="5"/>
      <c r="Y435" s="5"/>
    </row>
    <row r="436" ht="15.75" customHeight="1">
      <c r="W436" s="5"/>
      <c r="Y436" s="5"/>
    </row>
    <row r="437" ht="15.75" customHeight="1">
      <c r="W437" s="5"/>
      <c r="Y437" s="5"/>
    </row>
    <row r="438" ht="15.75" customHeight="1">
      <c r="W438" s="5"/>
      <c r="Y438" s="5"/>
    </row>
    <row r="439" ht="15.75" customHeight="1">
      <c r="W439" s="5"/>
      <c r="Y439" s="5"/>
    </row>
    <row r="440" ht="15.75" customHeight="1">
      <c r="W440" s="5"/>
      <c r="Y440" s="5"/>
    </row>
    <row r="441" ht="15.75" customHeight="1">
      <c r="W441" s="5"/>
      <c r="Y441" s="5"/>
    </row>
    <row r="442" ht="15.75" customHeight="1">
      <c r="W442" s="5"/>
      <c r="Y442" s="5"/>
    </row>
    <row r="443" ht="15.75" customHeight="1">
      <c r="W443" s="5"/>
      <c r="Y443" s="5"/>
    </row>
    <row r="444" ht="15.75" customHeight="1">
      <c r="W444" s="5"/>
      <c r="Y444" s="5"/>
    </row>
    <row r="445" ht="15.75" customHeight="1">
      <c r="W445" s="5"/>
      <c r="Y445" s="5"/>
    </row>
    <row r="446" ht="15.75" customHeight="1">
      <c r="W446" s="5"/>
      <c r="Y446" s="5"/>
    </row>
    <row r="447" ht="15.75" customHeight="1">
      <c r="W447" s="5"/>
      <c r="Y447" s="5"/>
    </row>
    <row r="448" ht="15.75" customHeight="1">
      <c r="W448" s="5"/>
      <c r="Y448" s="5"/>
    </row>
    <row r="449" ht="15.75" customHeight="1">
      <c r="W449" s="5"/>
      <c r="Y449" s="5"/>
    </row>
    <row r="450" ht="15.75" customHeight="1">
      <c r="W450" s="5"/>
      <c r="Y450" s="5"/>
    </row>
    <row r="451" ht="15.75" customHeight="1">
      <c r="W451" s="5"/>
      <c r="Y451" s="5"/>
    </row>
    <row r="452" ht="15.75" customHeight="1">
      <c r="W452" s="5"/>
      <c r="Y452" s="5"/>
    </row>
    <row r="453" ht="15.75" customHeight="1">
      <c r="W453" s="5"/>
      <c r="Y453" s="5"/>
    </row>
    <row r="454" ht="15.75" customHeight="1">
      <c r="W454" s="5"/>
      <c r="Y454" s="5"/>
    </row>
    <row r="455" ht="15.75" customHeight="1">
      <c r="W455" s="5"/>
      <c r="Y455" s="5"/>
    </row>
    <row r="456" ht="15.75" customHeight="1">
      <c r="W456" s="5"/>
      <c r="Y456" s="5"/>
    </row>
    <row r="457" ht="15.75" customHeight="1">
      <c r="W457" s="5"/>
      <c r="Y457" s="5"/>
    </row>
    <row r="458" ht="15.75" customHeight="1">
      <c r="W458" s="5"/>
      <c r="Y458" s="5"/>
    </row>
    <row r="459" ht="15.75" customHeight="1">
      <c r="W459" s="5"/>
      <c r="Y459" s="5"/>
    </row>
    <row r="460" ht="15.75" customHeight="1">
      <c r="W460" s="5"/>
      <c r="Y460" s="5"/>
    </row>
    <row r="461" ht="15.75" customHeight="1">
      <c r="W461" s="5"/>
      <c r="Y461" s="5"/>
    </row>
    <row r="462" ht="15.75" customHeight="1">
      <c r="W462" s="5"/>
      <c r="Y462" s="5"/>
    </row>
    <row r="463" ht="15.75" customHeight="1">
      <c r="W463" s="5"/>
      <c r="Y463" s="5"/>
    </row>
    <row r="464" ht="15.75" customHeight="1">
      <c r="W464" s="5"/>
      <c r="Y464" s="5"/>
    </row>
    <row r="465" ht="15.75" customHeight="1">
      <c r="W465" s="5"/>
      <c r="Y465" s="5"/>
    </row>
    <row r="466" ht="15.75" customHeight="1">
      <c r="W466" s="5"/>
      <c r="Y466" s="5"/>
    </row>
    <row r="467" ht="15.75" customHeight="1">
      <c r="W467" s="5"/>
      <c r="Y467" s="5"/>
    </row>
    <row r="468" ht="15.75" customHeight="1">
      <c r="W468" s="5"/>
      <c r="Y468" s="5"/>
    </row>
    <row r="469" ht="15.75" customHeight="1">
      <c r="W469" s="5"/>
      <c r="Y469" s="5"/>
    </row>
    <row r="470" ht="15.75" customHeight="1">
      <c r="W470" s="5"/>
      <c r="Y470" s="5"/>
    </row>
    <row r="471" ht="15.75" customHeight="1">
      <c r="W471" s="5"/>
      <c r="Y471" s="5"/>
    </row>
    <row r="472" ht="15.75" customHeight="1">
      <c r="W472" s="5"/>
      <c r="Y472" s="5"/>
    </row>
    <row r="473" ht="15.75" customHeight="1">
      <c r="W473" s="5"/>
      <c r="Y473" s="5"/>
    </row>
    <row r="474" ht="15.75" customHeight="1">
      <c r="W474" s="5"/>
      <c r="Y474" s="5"/>
    </row>
    <row r="475" ht="15.75" customHeight="1">
      <c r="W475" s="5"/>
      <c r="Y475" s="5"/>
    </row>
    <row r="476" ht="15.75" customHeight="1">
      <c r="W476" s="5"/>
      <c r="Y476" s="5"/>
    </row>
    <row r="477" ht="15.75" customHeight="1">
      <c r="W477" s="5"/>
      <c r="Y477" s="5"/>
    </row>
    <row r="478" ht="15.75" customHeight="1">
      <c r="W478" s="5"/>
      <c r="Y478" s="5"/>
    </row>
    <row r="479" ht="15.75" customHeight="1">
      <c r="W479" s="5"/>
      <c r="Y479" s="5"/>
    </row>
    <row r="480" ht="15.75" customHeight="1">
      <c r="W480" s="5"/>
      <c r="Y480" s="5"/>
    </row>
    <row r="481" ht="15.75" customHeight="1">
      <c r="W481" s="5"/>
      <c r="Y481" s="5"/>
    </row>
    <row r="482" ht="15.75" customHeight="1">
      <c r="W482" s="5"/>
      <c r="Y482" s="5"/>
    </row>
    <row r="483" ht="15.75" customHeight="1">
      <c r="W483" s="5"/>
      <c r="Y483" s="5"/>
    </row>
    <row r="484" ht="15.75" customHeight="1">
      <c r="W484" s="5"/>
      <c r="Y484" s="5"/>
    </row>
    <row r="485" ht="15.75" customHeight="1">
      <c r="W485" s="5"/>
      <c r="Y485" s="5"/>
    </row>
    <row r="486" ht="15.75" customHeight="1">
      <c r="W486" s="5"/>
      <c r="Y486" s="5"/>
    </row>
    <row r="487" ht="15.75" customHeight="1">
      <c r="W487" s="5"/>
      <c r="Y487" s="5"/>
    </row>
    <row r="488" ht="15.75" customHeight="1">
      <c r="W488" s="5"/>
      <c r="Y488" s="5"/>
    </row>
    <row r="489" ht="15.75" customHeight="1">
      <c r="W489" s="5"/>
      <c r="Y489" s="5"/>
    </row>
    <row r="490" ht="15.75" customHeight="1">
      <c r="W490" s="5"/>
      <c r="Y490" s="5"/>
    </row>
    <row r="491" ht="15.75" customHeight="1">
      <c r="W491" s="5"/>
      <c r="Y491" s="5"/>
    </row>
    <row r="492" ht="15.75" customHeight="1">
      <c r="W492" s="5"/>
      <c r="Y492" s="5"/>
    </row>
    <row r="493" ht="15.75" customHeight="1">
      <c r="W493" s="5"/>
      <c r="Y493" s="5"/>
    </row>
    <row r="494" ht="15.75" customHeight="1">
      <c r="W494" s="5"/>
      <c r="Y494" s="5"/>
    </row>
    <row r="495" ht="15.75" customHeight="1">
      <c r="W495" s="5"/>
      <c r="Y495" s="5"/>
    </row>
    <row r="496" ht="15.75" customHeight="1">
      <c r="W496" s="5"/>
      <c r="Y496" s="5"/>
    </row>
    <row r="497" ht="15.75" customHeight="1">
      <c r="W497" s="5"/>
      <c r="Y497" s="5"/>
    </row>
    <row r="498" ht="15.75" customHeight="1">
      <c r="W498" s="5"/>
      <c r="Y498" s="5"/>
    </row>
    <row r="499" ht="15.75" customHeight="1">
      <c r="W499" s="5"/>
      <c r="Y499" s="5"/>
    </row>
    <row r="500" ht="15.75" customHeight="1">
      <c r="W500" s="5"/>
      <c r="Y500" s="5"/>
    </row>
    <row r="501" ht="15.75" customHeight="1">
      <c r="W501" s="5"/>
      <c r="Y501" s="5"/>
    </row>
    <row r="502" ht="15.75" customHeight="1">
      <c r="W502" s="5"/>
      <c r="Y502" s="5"/>
    </row>
    <row r="503" ht="15.75" customHeight="1">
      <c r="W503" s="5"/>
      <c r="Y503" s="5"/>
    </row>
    <row r="504" ht="15.75" customHeight="1">
      <c r="W504" s="5"/>
      <c r="Y504" s="5"/>
    </row>
    <row r="505" ht="15.75" customHeight="1">
      <c r="W505" s="5"/>
      <c r="Y505" s="5"/>
    </row>
    <row r="506" ht="15.75" customHeight="1">
      <c r="W506" s="5"/>
      <c r="Y506" s="5"/>
    </row>
    <row r="507" ht="15.75" customHeight="1">
      <c r="W507" s="5"/>
      <c r="Y507" s="5"/>
    </row>
    <row r="508" ht="15.75" customHeight="1">
      <c r="W508" s="5"/>
      <c r="Y508" s="5"/>
    </row>
    <row r="509" ht="15.75" customHeight="1">
      <c r="W509" s="5"/>
      <c r="Y509" s="5"/>
    </row>
    <row r="510" ht="15.75" customHeight="1">
      <c r="W510" s="5"/>
      <c r="Y510" s="5"/>
    </row>
    <row r="511" ht="15.75" customHeight="1">
      <c r="W511" s="5"/>
      <c r="Y511" s="5"/>
    </row>
    <row r="512" ht="15.75" customHeight="1">
      <c r="W512" s="5"/>
      <c r="Y512" s="5"/>
    </row>
    <row r="513" ht="15.75" customHeight="1">
      <c r="W513" s="5"/>
      <c r="Y513" s="5"/>
    </row>
    <row r="514" ht="15.75" customHeight="1">
      <c r="W514" s="5"/>
      <c r="Y514" s="5"/>
    </row>
    <row r="515" ht="15.75" customHeight="1">
      <c r="W515" s="5"/>
      <c r="Y515" s="5"/>
    </row>
    <row r="516" ht="15.75" customHeight="1">
      <c r="W516" s="5"/>
      <c r="Y516" s="5"/>
    </row>
    <row r="517" ht="15.75" customHeight="1">
      <c r="W517" s="5"/>
      <c r="Y517" s="5"/>
    </row>
    <row r="518" ht="15.75" customHeight="1">
      <c r="W518" s="5"/>
      <c r="Y518" s="5"/>
    </row>
    <row r="519" ht="15.75" customHeight="1">
      <c r="W519" s="5"/>
      <c r="Y519" s="5"/>
    </row>
    <row r="520" ht="15.75" customHeight="1">
      <c r="W520" s="5"/>
      <c r="Y520" s="5"/>
    </row>
    <row r="521" ht="15.75" customHeight="1">
      <c r="W521" s="5"/>
      <c r="Y521" s="5"/>
    </row>
    <row r="522" ht="15.75" customHeight="1">
      <c r="W522" s="5"/>
      <c r="Y522" s="5"/>
    </row>
    <row r="523" ht="15.75" customHeight="1">
      <c r="W523" s="5"/>
      <c r="Y523" s="5"/>
    </row>
    <row r="524" ht="15.75" customHeight="1">
      <c r="W524" s="5"/>
      <c r="Y524" s="5"/>
    </row>
    <row r="525" ht="15.75" customHeight="1">
      <c r="W525" s="5"/>
      <c r="Y525" s="5"/>
    </row>
    <row r="526" ht="15.75" customHeight="1">
      <c r="W526" s="5"/>
      <c r="Y526" s="5"/>
    </row>
    <row r="527" ht="15.75" customHeight="1">
      <c r="W527" s="5"/>
      <c r="Y527" s="5"/>
    </row>
    <row r="528" ht="15.75" customHeight="1">
      <c r="W528" s="5"/>
      <c r="Y528" s="5"/>
    </row>
    <row r="529" ht="15.75" customHeight="1">
      <c r="W529" s="5"/>
      <c r="Y529" s="5"/>
    </row>
    <row r="530" ht="15.75" customHeight="1">
      <c r="W530" s="5"/>
      <c r="Y530" s="5"/>
    </row>
    <row r="531" ht="15.75" customHeight="1">
      <c r="W531" s="5"/>
      <c r="Y531" s="5"/>
    </row>
    <row r="532" ht="15.75" customHeight="1">
      <c r="W532" s="5"/>
      <c r="Y532" s="5"/>
    </row>
    <row r="533" ht="15.75" customHeight="1">
      <c r="W533" s="5"/>
      <c r="Y533" s="5"/>
    </row>
    <row r="534" ht="15.75" customHeight="1">
      <c r="W534" s="5"/>
      <c r="Y534" s="5"/>
    </row>
    <row r="535" ht="15.75" customHeight="1">
      <c r="W535" s="5"/>
      <c r="Y535" s="5"/>
    </row>
    <row r="536" ht="15.75" customHeight="1">
      <c r="W536" s="5"/>
      <c r="Y536" s="5"/>
    </row>
    <row r="537" ht="15.75" customHeight="1">
      <c r="W537" s="5"/>
      <c r="Y537" s="5"/>
    </row>
    <row r="538" ht="15.75" customHeight="1">
      <c r="W538" s="5"/>
      <c r="Y538" s="5"/>
    </row>
    <row r="539" ht="15.75" customHeight="1">
      <c r="W539" s="5"/>
      <c r="Y539" s="5"/>
    </row>
    <row r="540" ht="15.75" customHeight="1">
      <c r="W540" s="5"/>
      <c r="Y540" s="5"/>
    </row>
    <row r="541" ht="15.75" customHeight="1">
      <c r="W541" s="5"/>
      <c r="Y541" s="5"/>
    </row>
    <row r="542" ht="15.75" customHeight="1">
      <c r="W542" s="5"/>
      <c r="Y542" s="5"/>
    </row>
    <row r="543" ht="15.75" customHeight="1">
      <c r="W543" s="5"/>
      <c r="Y543" s="5"/>
    </row>
    <row r="544" ht="15.75" customHeight="1">
      <c r="W544" s="5"/>
      <c r="Y544" s="5"/>
    </row>
    <row r="545" ht="15.75" customHeight="1">
      <c r="W545" s="5"/>
      <c r="Y545" s="5"/>
    </row>
    <row r="546" ht="15.75" customHeight="1">
      <c r="W546" s="5"/>
      <c r="Y546" s="5"/>
    </row>
    <row r="547" ht="15.75" customHeight="1">
      <c r="W547" s="5"/>
      <c r="Y547" s="5"/>
    </row>
    <row r="548" ht="15.75" customHeight="1">
      <c r="W548" s="5"/>
      <c r="Y548" s="5"/>
    </row>
    <row r="549" ht="15.75" customHeight="1">
      <c r="W549" s="5"/>
      <c r="Y549" s="5"/>
    </row>
    <row r="550" ht="15.75" customHeight="1">
      <c r="W550" s="5"/>
      <c r="Y550" s="5"/>
    </row>
    <row r="551" ht="15.75" customHeight="1">
      <c r="W551" s="5"/>
      <c r="Y551" s="5"/>
    </row>
    <row r="552" ht="15.75" customHeight="1">
      <c r="W552" s="5"/>
      <c r="Y552" s="5"/>
    </row>
    <row r="553" ht="15.75" customHeight="1">
      <c r="W553" s="5"/>
      <c r="Y553" s="5"/>
    </row>
    <row r="554" ht="15.75" customHeight="1">
      <c r="W554" s="5"/>
      <c r="Y554" s="5"/>
    </row>
    <row r="555" ht="15.75" customHeight="1">
      <c r="W555" s="5"/>
      <c r="Y555" s="5"/>
    </row>
    <row r="556" ht="15.75" customHeight="1">
      <c r="W556" s="5"/>
      <c r="Y556" s="5"/>
    </row>
    <row r="557" ht="15.75" customHeight="1">
      <c r="W557" s="5"/>
      <c r="Y557" s="5"/>
    </row>
    <row r="558" ht="15.75" customHeight="1">
      <c r="W558" s="5"/>
      <c r="Y558" s="5"/>
    </row>
    <row r="559" ht="15.75" customHeight="1">
      <c r="W559" s="5"/>
      <c r="Y559" s="5"/>
    </row>
    <row r="560" ht="15.75" customHeight="1">
      <c r="W560" s="5"/>
      <c r="Y560" s="5"/>
    </row>
    <row r="561" ht="15.75" customHeight="1">
      <c r="W561" s="5"/>
      <c r="Y561" s="5"/>
    </row>
    <row r="562" ht="15.75" customHeight="1">
      <c r="W562" s="5"/>
      <c r="Y562" s="5"/>
    </row>
    <row r="563" ht="15.75" customHeight="1">
      <c r="W563" s="5"/>
      <c r="Y563" s="5"/>
    </row>
    <row r="564" ht="15.75" customHeight="1">
      <c r="W564" s="5"/>
      <c r="Y564" s="5"/>
    </row>
    <row r="565" ht="15.75" customHeight="1">
      <c r="W565" s="5"/>
      <c r="Y565" s="5"/>
    </row>
    <row r="566" ht="15.75" customHeight="1">
      <c r="W566" s="5"/>
      <c r="Y566" s="5"/>
    </row>
    <row r="567" ht="15.75" customHeight="1">
      <c r="W567" s="5"/>
      <c r="Y567" s="5"/>
    </row>
    <row r="568" ht="15.75" customHeight="1">
      <c r="W568" s="5"/>
      <c r="Y568" s="5"/>
    </row>
    <row r="569" ht="15.75" customHeight="1">
      <c r="W569" s="5"/>
      <c r="Y569" s="5"/>
    </row>
    <row r="570" ht="15.75" customHeight="1">
      <c r="W570" s="5"/>
      <c r="Y570" s="5"/>
    </row>
    <row r="571" ht="15.75" customHeight="1">
      <c r="W571" s="5"/>
      <c r="Y571" s="5"/>
    </row>
    <row r="572" ht="15.75" customHeight="1">
      <c r="W572" s="5"/>
      <c r="Y572" s="5"/>
    </row>
    <row r="573" ht="15.75" customHeight="1">
      <c r="W573" s="5"/>
      <c r="Y573" s="5"/>
    </row>
    <row r="574" ht="15.75" customHeight="1">
      <c r="W574" s="5"/>
      <c r="Y574" s="5"/>
    </row>
    <row r="575" ht="15.75" customHeight="1">
      <c r="W575" s="5"/>
      <c r="Y575" s="5"/>
    </row>
    <row r="576" ht="15.75" customHeight="1">
      <c r="W576" s="5"/>
      <c r="Y576" s="5"/>
    </row>
    <row r="577" ht="15.75" customHeight="1">
      <c r="W577" s="5"/>
      <c r="Y577" s="5"/>
    </row>
    <row r="578" ht="15.75" customHeight="1">
      <c r="W578" s="5"/>
      <c r="Y578" s="5"/>
    </row>
    <row r="579" ht="15.75" customHeight="1">
      <c r="W579" s="5"/>
      <c r="Y579" s="5"/>
    </row>
    <row r="580" ht="15.75" customHeight="1">
      <c r="W580" s="5"/>
      <c r="Y580" s="5"/>
    </row>
    <row r="581" ht="15.75" customHeight="1">
      <c r="W581" s="5"/>
      <c r="Y581" s="5"/>
    </row>
    <row r="582" ht="15.75" customHeight="1">
      <c r="W582" s="5"/>
      <c r="Y582" s="5"/>
    </row>
    <row r="583" ht="15.75" customHeight="1">
      <c r="W583" s="5"/>
      <c r="Y583" s="5"/>
    </row>
    <row r="584" ht="15.75" customHeight="1">
      <c r="W584" s="5"/>
      <c r="Y584" s="5"/>
    </row>
    <row r="585" ht="15.75" customHeight="1">
      <c r="W585" s="5"/>
      <c r="Y585" s="5"/>
    </row>
    <row r="586" ht="15.75" customHeight="1">
      <c r="W586" s="5"/>
      <c r="Y586" s="5"/>
    </row>
    <row r="587" ht="15.75" customHeight="1">
      <c r="W587" s="5"/>
      <c r="Y587" s="5"/>
    </row>
    <row r="588" ht="15.75" customHeight="1">
      <c r="W588" s="5"/>
      <c r="Y588" s="5"/>
    </row>
    <row r="589" ht="15.75" customHeight="1">
      <c r="W589" s="5"/>
      <c r="Y589" s="5"/>
    </row>
    <row r="590" ht="15.75" customHeight="1">
      <c r="W590" s="5"/>
      <c r="Y590" s="5"/>
    </row>
    <row r="591" ht="15.75" customHeight="1">
      <c r="W591" s="5"/>
      <c r="Y591" s="5"/>
    </row>
    <row r="592" ht="15.75" customHeight="1">
      <c r="W592" s="5"/>
      <c r="Y592" s="5"/>
    </row>
    <row r="593" ht="15.75" customHeight="1">
      <c r="W593" s="5"/>
      <c r="Y593" s="5"/>
    </row>
    <row r="594" ht="15.75" customHeight="1">
      <c r="W594" s="5"/>
      <c r="Y594" s="5"/>
    </row>
    <row r="595" ht="15.75" customHeight="1">
      <c r="W595" s="5"/>
      <c r="Y595" s="5"/>
    </row>
    <row r="596" ht="15.75" customHeight="1">
      <c r="W596" s="5"/>
      <c r="Y596" s="5"/>
    </row>
    <row r="597" ht="15.75" customHeight="1">
      <c r="W597" s="5"/>
      <c r="Y597" s="5"/>
    </row>
    <row r="598" ht="15.75" customHeight="1">
      <c r="W598" s="5"/>
      <c r="Y598" s="5"/>
    </row>
    <row r="599" ht="15.75" customHeight="1">
      <c r="W599" s="5"/>
      <c r="Y599" s="5"/>
    </row>
    <row r="600" ht="15.75" customHeight="1">
      <c r="W600" s="5"/>
      <c r="Y600" s="5"/>
    </row>
    <row r="601" ht="15.75" customHeight="1">
      <c r="W601" s="5"/>
      <c r="Y601" s="5"/>
    </row>
    <row r="602" ht="15.75" customHeight="1">
      <c r="W602" s="5"/>
      <c r="Y602" s="5"/>
    </row>
    <row r="603" ht="15.75" customHeight="1">
      <c r="W603" s="5"/>
      <c r="Y603" s="5"/>
    </row>
    <row r="604" ht="15.75" customHeight="1">
      <c r="W604" s="5"/>
      <c r="Y604" s="5"/>
    </row>
    <row r="605" ht="15.75" customHeight="1">
      <c r="W605" s="5"/>
      <c r="Y605" s="5"/>
    </row>
    <row r="606" ht="15.75" customHeight="1">
      <c r="W606" s="5"/>
      <c r="Y606" s="5"/>
    </row>
    <row r="607" ht="15.75" customHeight="1">
      <c r="W607" s="5"/>
      <c r="Y607" s="5"/>
    </row>
    <row r="608" ht="15.75" customHeight="1">
      <c r="W608" s="5"/>
      <c r="Y608" s="5"/>
    </row>
    <row r="609" ht="15.75" customHeight="1">
      <c r="W609" s="5"/>
      <c r="Y609" s="5"/>
    </row>
    <row r="610" ht="15.75" customHeight="1">
      <c r="W610" s="5"/>
      <c r="Y610" s="5"/>
    </row>
    <row r="611" ht="15.75" customHeight="1">
      <c r="W611" s="5"/>
      <c r="Y611" s="5"/>
    </row>
    <row r="612" ht="15.75" customHeight="1">
      <c r="W612" s="5"/>
      <c r="Y612" s="5"/>
    </row>
    <row r="613" ht="15.75" customHeight="1">
      <c r="W613" s="5"/>
      <c r="Y613" s="5"/>
    </row>
    <row r="614" ht="15.75" customHeight="1">
      <c r="W614" s="5"/>
      <c r="Y614" s="5"/>
    </row>
    <row r="615" ht="15.75" customHeight="1">
      <c r="W615" s="5"/>
      <c r="Y615" s="5"/>
    </row>
    <row r="616" ht="15.75" customHeight="1">
      <c r="W616" s="5"/>
      <c r="Y616" s="5"/>
    </row>
    <row r="617" ht="15.75" customHeight="1">
      <c r="W617" s="5"/>
      <c r="Y617" s="5"/>
    </row>
    <row r="618" ht="15.75" customHeight="1">
      <c r="W618" s="5"/>
      <c r="Y618" s="5"/>
    </row>
    <row r="619" ht="15.75" customHeight="1">
      <c r="W619" s="5"/>
      <c r="Y619" s="5"/>
    </row>
    <row r="620" ht="15.75" customHeight="1">
      <c r="W620" s="5"/>
      <c r="Y620" s="5"/>
    </row>
    <row r="621" ht="15.75" customHeight="1">
      <c r="W621" s="5"/>
      <c r="Y621" s="5"/>
    </row>
    <row r="622" ht="15.75" customHeight="1">
      <c r="W622" s="5"/>
      <c r="Y622" s="5"/>
    </row>
    <row r="623" ht="15.75" customHeight="1">
      <c r="W623" s="5"/>
      <c r="Y623" s="5"/>
    </row>
    <row r="624" ht="15.75" customHeight="1">
      <c r="W624" s="5"/>
      <c r="Y624" s="5"/>
    </row>
    <row r="625" ht="15.75" customHeight="1">
      <c r="W625" s="5"/>
      <c r="Y625" s="5"/>
    </row>
    <row r="626" ht="15.75" customHeight="1">
      <c r="W626" s="5"/>
      <c r="Y626" s="5"/>
    </row>
    <row r="627" ht="15.75" customHeight="1">
      <c r="W627" s="5"/>
      <c r="Y627" s="5"/>
    </row>
    <row r="628" ht="15.75" customHeight="1">
      <c r="W628" s="5"/>
      <c r="Y628" s="5"/>
    </row>
    <row r="629" ht="15.75" customHeight="1">
      <c r="W629" s="5"/>
      <c r="Y629" s="5"/>
    </row>
    <row r="630" ht="15.75" customHeight="1">
      <c r="W630" s="5"/>
      <c r="Y630" s="5"/>
    </row>
    <row r="631" ht="15.75" customHeight="1">
      <c r="W631" s="5"/>
      <c r="Y631" s="5"/>
    </row>
    <row r="632" ht="15.75" customHeight="1">
      <c r="W632" s="5"/>
      <c r="Y632" s="5"/>
    </row>
    <row r="633" ht="15.75" customHeight="1">
      <c r="W633" s="5"/>
      <c r="Y633" s="5"/>
    </row>
    <row r="634" ht="15.75" customHeight="1">
      <c r="W634" s="5"/>
      <c r="Y634" s="5"/>
    </row>
    <row r="635" ht="15.75" customHeight="1">
      <c r="W635" s="5"/>
      <c r="Y635" s="5"/>
    </row>
    <row r="636" ht="15.75" customHeight="1">
      <c r="W636" s="5"/>
      <c r="Y636" s="5"/>
    </row>
    <row r="637" ht="15.75" customHeight="1">
      <c r="W637" s="5"/>
      <c r="Y637" s="5"/>
    </row>
    <row r="638" ht="15.75" customHeight="1">
      <c r="W638" s="5"/>
      <c r="Y638" s="5"/>
    </row>
    <row r="639" ht="15.75" customHeight="1">
      <c r="W639" s="5"/>
      <c r="Y639" s="5"/>
    </row>
    <row r="640" ht="15.75" customHeight="1">
      <c r="W640" s="5"/>
      <c r="Y640" s="5"/>
    </row>
    <row r="641" ht="15.75" customHeight="1">
      <c r="W641" s="5"/>
      <c r="Y641" s="5"/>
    </row>
    <row r="642" ht="15.75" customHeight="1">
      <c r="W642" s="5"/>
      <c r="Y642" s="5"/>
    </row>
    <row r="643" ht="15.75" customHeight="1">
      <c r="W643" s="5"/>
      <c r="Y643" s="5"/>
    </row>
    <row r="644" ht="15.75" customHeight="1">
      <c r="W644" s="5"/>
      <c r="Y644" s="5"/>
    </row>
    <row r="645" ht="15.75" customHeight="1">
      <c r="W645" s="5"/>
      <c r="Y645" s="5"/>
    </row>
    <row r="646" ht="15.75" customHeight="1">
      <c r="W646" s="5"/>
      <c r="Y646" s="5"/>
    </row>
    <row r="647" ht="15.75" customHeight="1">
      <c r="W647" s="5"/>
      <c r="Y647" s="5"/>
    </row>
    <row r="648" ht="15.75" customHeight="1">
      <c r="W648" s="5"/>
      <c r="Y648" s="5"/>
    </row>
    <row r="649" ht="15.75" customHeight="1">
      <c r="W649" s="5"/>
      <c r="Y649" s="5"/>
    </row>
    <row r="650" ht="15.75" customHeight="1">
      <c r="W650" s="5"/>
      <c r="Y650" s="5"/>
    </row>
    <row r="651" ht="15.75" customHeight="1">
      <c r="W651" s="5"/>
      <c r="Y651" s="5"/>
    </row>
    <row r="652" ht="15.75" customHeight="1">
      <c r="W652" s="5"/>
      <c r="Y652" s="5"/>
    </row>
    <row r="653" ht="15.75" customHeight="1">
      <c r="W653" s="5"/>
      <c r="Y653" s="5"/>
    </row>
    <row r="654" ht="15.75" customHeight="1">
      <c r="W654" s="5"/>
      <c r="Y654" s="5"/>
    </row>
    <row r="655" ht="15.75" customHeight="1">
      <c r="W655" s="5"/>
      <c r="Y655" s="5"/>
    </row>
    <row r="656" ht="15.75" customHeight="1">
      <c r="W656" s="5"/>
      <c r="Y656" s="5"/>
    </row>
    <row r="657" ht="15.75" customHeight="1">
      <c r="W657" s="5"/>
      <c r="Y657" s="5"/>
    </row>
    <row r="658" ht="15.75" customHeight="1">
      <c r="W658" s="5"/>
      <c r="Y658" s="5"/>
    </row>
    <row r="659" ht="15.75" customHeight="1">
      <c r="W659" s="5"/>
      <c r="Y659" s="5"/>
    </row>
    <row r="660" ht="15.75" customHeight="1">
      <c r="W660" s="5"/>
      <c r="Y660" s="5"/>
    </row>
    <row r="661" ht="15.75" customHeight="1">
      <c r="W661" s="5"/>
      <c r="Y661" s="5"/>
    </row>
    <row r="662" ht="15.75" customHeight="1">
      <c r="W662" s="5"/>
      <c r="Y662" s="5"/>
    </row>
    <row r="663" ht="15.75" customHeight="1">
      <c r="W663" s="5"/>
      <c r="Y663" s="5"/>
    </row>
    <row r="664" ht="15.75" customHeight="1">
      <c r="W664" s="5"/>
      <c r="Y664" s="5"/>
    </row>
    <row r="665" ht="15.75" customHeight="1">
      <c r="W665" s="5"/>
      <c r="Y665" s="5"/>
    </row>
    <row r="666" ht="15.75" customHeight="1">
      <c r="W666" s="5"/>
      <c r="Y666" s="5"/>
    </row>
    <row r="667" ht="15.75" customHeight="1">
      <c r="W667" s="5"/>
      <c r="Y667" s="5"/>
    </row>
    <row r="668" ht="15.75" customHeight="1">
      <c r="W668" s="5"/>
      <c r="Y668" s="5"/>
    </row>
    <row r="669" ht="15.75" customHeight="1">
      <c r="W669" s="5"/>
      <c r="Y669" s="5"/>
    </row>
    <row r="670" ht="15.75" customHeight="1">
      <c r="W670" s="5"/>
      <c r="Y670" s="5"/>
    </row>
    <row r="671" ht="15.75" customHeight="1">
      <c r="W671" s="5"/>
      <c r="Y671" s="5"/>
    </row>
    <row r="672" ht="15.75" customHeight="1">
      <c r="W672" s="5"/>
      <c r="Y672" s="5"/>
    </row>
    <row r="673" ht="15.75" customHeight="1">
      <c r="W673" s="5"/>
      <c r="Y673" s="5"/>
    </row>
    <row r="674" ht="15.75" customHeight="1">
      <c r="W674" s="5"/>
      <c r="Y674" s="5"/>
    </row>
    <row r="675" ht="15.75" customHeight="1">
      <c r="W675" s="5"/>
      <c r="Y675" s="5"/>
    </row>
    <row r="676" ht="15.75" customHeight="1">
      <c r="W676" s="5"/>
      <c r="Y676" s="5"/>
    </row>
    <row r="677" ht="15.75" customHeight="1">
      <c r="W677" s="5"/>
      <c r="Y677" s="5"/>
    </row>
    <row r="678" ht="15.75" customHeight="1">
      <c r="W678" s="5"/>
      <c r="Y678" s="5"/>
    </row>
    <row r="679" ht="15.75" customHeight="1">
      <c r="W679" s="5"/>
      <c r="Y679" s="5"/>
    </row>
    <row r="680" ht="15.75" customHeight="1">
      <c r="W680" s="5"/>
      <c r="Y680" s="5"/>
    </row>
    <row r="681" ht="15.75" customHeight="1">
      <c r="W681" s="5"/>
      <c r="Y681" s="5"/>
    </row>
    <row r="682" ht="15.75" customHeight="1">
      <c r="W682" s="5"/>
      <c r="Y682" s="5"/>
    </row>
    <row r="683" ht="15.75" customHeight="1">
      <c r="W683" s="5"/>
      <c r="Y683" s="5"/>
    </row>
    <row r="684" ht="15.75" customHeight="1">
      <c r="W684" s="5"/>
      <c r="Y684" s="5"/>
    </row>
    <row r="685" ht="15.75" customHeight="1">
      <c r="W685" s="5"/>
      <c r="Y685" s="5"/>
    </row>
    <row r="686" ht="15.75" customHeight="1">
      <c r="W686" s="5"/>
      <c r="Y686" s="5"/>
    </row>
    <row r="687" ht="15.75" customHeight="1">
      <c r="W687" s="5"/>
      <c r="Y687" s="5"/>
    </row>
    <row r="688" ht="15.75" customHeight="1">
      <c r="W688" s="5"/>
      <c r="Y688" s="5"/>
    </row>
    <row r="689" ht="15.75" customHeight="1">
      <c r="W689" s="5"/>
      <c r="Y689" s="5"/>
    </row>
    <row r="690" ht="15.75" customHeight="1">
      <c r="W690" s="5"/>
      <c r="Y690" s="5"/>
    </row>
    <row r="691" ht="15.75" customHeight="1">
      <c r="W691" s="5"/>
      <c r="Y691" s="5"/>
    </row>
    <row r="692" ht="15.75" customHeight="1">
      <c r="W692" s="5"/>
      <c r="Y692" s="5"/>
    </row>
    <row r="693" ht="15.75" customHeight="1">
      <c r="W693" s="5"/>
      <c r="Y693" s="5"/>
    </row>
    <row r="694" ht="15.75" customHeight="1">
      <c r="W694" s="5"/>
      <c r="Y694" s="5"/>
    </row>
    <row r="695" ht="15.75" customHeight="1">
      <c r="W695" s="5"/>
      <c r="Y695" s="5"/>
    </row>
    <row r="696" ht="15.75" customHeight="1">
      <c r="W696" s="5"/>
      <c r="Y696" s="5"/>
    </row>
    <row r="697" ht="15.75" customHeight="1">
      <c r="W697" s="5"/>
      <c r="Y697" s="5"/>
    </row>
    <row r="698" ht="15.75" customHeight="1">
      <c r="W698" s="5"/>
      <c r="Y698" s="5"/>
    </row>
    <row r="699" ht="15.75" customHeight="1">
      <c r="W699" s="5"/>
      <c r="Y699" s="5"/>
    </row>
    <row r="700" ht="15.75" customHeight="1">
      <c r="W700" s="5"/>
      <c r="Y700" s="5"/>
    </row>
    <row r="701" ht="15.75" customHeight="1">
      <c r="W701" s="5"/>
      <c r="Y701" s="5"/>
    </row>
    <row r="702" ht="15.75" customHeight="1">
      <c r="W702" s="5"/>
      <c r="Y702" s="5"/>
    </row>
    <row r="703" ht="15.75" customHeight="1">
      <c r="W703" s="5"/>
      <c r="Y703" s="5"/>
    </row>
    <row r="704" ht="15.75" customHeight="1">
      <c r="W704" s="5"/>
      <c r="Y704" s="5"/>
    </row>
    <row r="705" ht="15.75" customHeight="1">
      <c r="W705" s="5"/>
      <c r="Y705" s="5"/>
    </row>
    <row r="706" ht="15.75" customHeight="1">
      <c r="W706" s="5"/>
      <c r="Y706" s="5"/>
    </row>
    <row r="707" ht="15.75" customHeight="1">
      <c r="W707" s="5"/>
      <c r="Y707" s="5"/>
    </row>
    <row r="708" ht="15.75" customHeight="1">
      <c r="W708" s="5"/>
      <c r="Y708" s="5"/>
    </row>
    <row r="709" ht="15.75" customHeight="1">
      <c r="W709" s="5"/>
      <c r="Y709" s="5"/>
    </row>
    <row r="710" ht="15.75" customHeight="1">
      <c r="W710" s="5"/>
      <c r="Y710" s="5"/>
    </row>
    <row r="711" ht="15.75" customHeight="1">
      <c r="W711" s="5"/>
      <c r="Y711" s="5"/>
    </row>
    <row r="712" ht="15.75" customHeight="1">
      <c r="W712" s="5"/>
      <c r="Y712" s="5"/>
    </row>
    <row r="713" ht="15.75" customHeight="1">
      <c r="W713" s="5"/>
      <c r="Y713" s="5"/>
    </row>
    <row r="714" ht="15.75" customHeight="1">
      <c r="W714" s="5"/>
      <c r="Y714" s="5"/>
    </row>
    <row r="715" ht="15.75" customHeight="1">
      <c r="W715" s="5"/>
      <c r="Y715" s="5"/>
    </row>
    <row r="716" ht="15.75" customHeight="1">
      <c r="W716" s="5"/>
      <c r="Y716" s="5"/>
    </row>
    <row r="717" ht="15.75" customHeight="1">
      <c r="W717" s="5"/>
      <c r="Y717" s="5"/>
    </row>
    <row r="718" ht="15.75" customHeight="1">
      <c r="W718" s="5"/>
      <c r="Y718" s="5"/>
    </row>
    <row r="719" ht="15.75" customHeight="1">
      <c r="W719" s="5"/>
      <c r="Y719" s="5"/>
    </row>
    <row r="720" ht="15.75" customHeight="1">
      <c r="W720" s="5"/>
      <c r="Y720" s="5"/>
    </row>
    <row r="721" ht="15.75" customHeight="1">
      <c r="W721" s="5"/>
      <c r="Y721" s="5"/>
    </row>
    <row r="722" ht="15.75" customHeight="1">
      <c r="W722" s="5"/>
      <c r="Y722" s="5"/>
    </row>
    <row r="723" ht="15.75" customHeight="1">
      <c r="W723" s="5"/>
      <c r="Y723" s="5"/>
    </row>
    <row r="724" ht="15.75" customHeight="1">
      <c r="W724" s="5"/>
      <c r="Y724" s="5"/>
    </row>
    <row r="725" ht="15.75" customHeight="1">
      <c r="W725" s="5"/>
      <c r="Y725" s="5"/>
    </row>
    <row r="726" ht="15.75" customHeight="1">
      <c r="W726" s="5"/>
      <c r="Y726" s="5"/>
    </row>
    <row r="727" ht="15.75" customHeight="1">
      <c r="W727" s="5"/>
      <c r="Y727" s="5"/>
    </row>
    <row r="728" ht="15.75" customHeight="1">
      <c r="W728" s="5"/>
      <c r="Y728" s="5"/>
    </row>
    <row r="729" ht="15.75" customHeight="1">
      <c r="W729" s="5"/>
      <c r="Y729" s="5"/>
    </row>
    <row r="730" ht="15.75" customHeight="1">
      <c r="W730" s="5"/>
      <c r="Y730" s="5"/>
    </row>
    <row r="731" ht="15.75" customHeight="1">
      <c r="W731" s="5"/>
      <c r="Y731" s="5"/>
    </row>
    <row r="732" ht="15.75" customHeight="1">
      <c r="W732" s="5"/>
      <c r="Y732" s="5"/>
    </row>
    <row r="733" ht="15.75" customHeight="1">
      <c r="W733" s="5"/>
      <c r="Y733" s="5"/>
    </row>
    <row r="734" ht="15.75" customHeight="1">
      <c r="W734" s="5"/>
      <c r="Y734" s="5"/>
    </row>
    <row r="735" ht="15.75" customHeight="1">
      <c r="W735" s="5"/>
      <c r="Y735" s="5"/>
    </row>
    <row r="736" ht="15.75" customHeight="1">
      <c r="W736" s="5"/>
      <c r="Y736" s="5"/>
    </row>
    <row r="737" ht="15.75" customHeight="1">
      <c r="W737" s="5"/>
      <c r="Y737" s="5"/>
    </row>
    <row r="738" ht="15.75" customHeight="1">
      <c r="W738" s="5"/>
      <c r="Y738" s="5"/>
    </row>
    <row r="739" ht="15.75" customHeight="1">
      <c r="W739" s="5"/>
      <c r="Y739" s="5"/>
    </row>
    <row r="740" ht="15.75" customHeight="1">
      <c r="W740" s="5"/>
      <c r="Y740" s="5"/>
    </row>
    <row r="741" ht="15.75" customHeight="1">
      <c r="W741" s="5"/>
      <c r="Y741" s="5"/>
    </row>
    <row r="742" ht="15.75" customHeight="1">
      <c r="W742" s="5"/>
      <c r="Y742" s="5"/>
    </row>
    <row r="743" ht="15.75" customHeight="1">
      <c r="W743" s="5"/>
      <c r="Y743" s="5"/>
    </row>
    <row r="744" ht="15.75" customHeight="1">
      <c r="W744" s="5"/>
      <c r="Y744" s="5"/>
    </row>
    <row r="745" ht="15.75" customHeight="1">
      <c r="W745" s="5"/>
      <c r="Y745" s="5"/>
    </row>
    <row r="746" ht="15.75" customHeight="1">
      <c r="W746" s="5"/>
      <c r="Y746" s="5"/>
    </row>
    <row r="747" ht="15.75" customHeight="1">
      <c r="W747" s="5"/>
      <c r="Y747" s="5"/>
    </row>
    <row r="748" ht="15.75" customHeight="1">
      <c r="W748" s="5"/>
      <c r="Y748" s="5"/>
    </row>
    <row r="749" ht="15.75" customHeight="1">
      <c r="W749" s="5"/>
      <c r="Y749" s="5"/>
    </row>
    <row r="750" ht="15.75" customHeight="1">
      <c r="W750" s="5"/>
      <c r="Y750" s="5"/>
    </row>
    <row r="751" ht="15.75" customHeight="1">
      <c r="W751" s="5"/>
      <c r="Y751" s="5"/>
    </row>
    <row r="752" ht="15.75" customHeight="1">
      <c r="W752" s="5"/>
      <c r="Y752" s="5"/>
    </row>
    <row r="753" ht="15.75" customHeight="1">
      <c r="W753" s="5"/>
      <c r="Y753" s="5"/>
    </row>
    <row r="754" ht="15.75" customHeight="1">
      <c r="W754" s="5"/>
      <c r="Y754" s="5"/>
    </row>
    <row r="755" ht="15.75" customHeight="1">
      <c r="W755" s="5"/>
      <c r="Y755" s="5"/>
    </row>
    <row r="756" ht="15.75" customHeight="1">
      <c r="W756" s="5"/>
      <c r="Y756" s="5"/>
    </row>
    <row r="757" ht="15.75" customHeight="1">
      <c r="W757" s="5"/>
      <c r="Y757" s="5"/>
    </row>
    <row r="758" ht="15.75" customHeight="1">
      <c r="W758" s="5"/>
      <c r="Y758" s="5"/>
    </row>
    <row r="759" ht="15.75" customHeight="1">
      <c r="W759" s="5"/>
      <c r="Y759" s="5"/>
    </row>
    <row r="760" ht="15.75" customHeight="1">
      <c r="W760" s="5"/>
      <c r="Y760" s="5"/>
    </row>
    <row r="761" ht="15.75" customHeight="1">
      <c r="W761" s="5"/>
      <c r="Y761" s="5"/>
    </row>
    <row r="762" ht="15.75" customHeight="1">
      <c r="W762" s="5"/>
      <c r="Y762" s="5"/>
    </row>
    <row r="763" ht="15.75" customHeight="1">
      <c r="W763" s="5"/>
      <c r="Y763" s="5"/>
    </row>
    <row r="764" ht="15.75" customHeight="1">
      <c r="W764" s="5"/>
      <c r="Y764" s="5"/>
    </row>
    <row r="765" ht="15.75" customHeight="1">
      <c r="W765" s="5"/>
      <c r="Y765" s="5"/>
    </row>
    <row r="766" ht="15.75" customHeight="1">
      <c r="W766" s="5"/>
      <c r="Y766" s="5"/>
    </row>
    <row r="767" ht="15.75" customHeight="1">
      <c r="W767" s="5"/>
      <c r="Y767" s="5"/>
    </row>
    <row r="768" ht="15.75" customHeight="1">
      <c r="W768" s="5"/>
      <c r="Y768" s="5"/>
    </row>
    <row r="769" ht="15.75" customHeight="1">
      <c r="W769" s="5"/>
      <c r="Y769" s="5"/>
    </row>
    <row r="770" ht="15.75" customHeight="1">
      <c r="W770" s="5"/>
      <c r="Y770" s="5"/>
    </row>
    <row r="771" ht="15.75" customHeight="1">
      <c r="W771" s="5"/>
      <c r="Y771" s="5"/>
    </row>
    <row r="772" ht="15.75" customHeight="1">
      <c r="W772" s="5"/>
      <c r="Y772" s="5"/>
    </row>
    <row r="773" ht="15.75" customHeight="1">
      <c r="W773" s="5"/>
      <c r="Y773" s="5"/>
    </row>
    <row r="774" ht="15.75" customHeight="1">
      <c r="W774" s="5"/>
      <c r="Y774" s="5"/>
    </row>
    <row r="775" ht="15.75" customHeight="1">
      <c r="W775" s="5"/>
      <c r="Y775" s="5"/>
    </row>
    <row r="776" ht="15.75" customHeight="1">
      <c r="W776" s="5"/>
      <c r="Y776" s="5"/>
    </row>
    <row r="777" ht="15.75" customHeight="1">
      <c r="W777" s="5"/>
      <c r="Y777" s="5"/>
    </row>
    <row r="778" ht="15.75" customHeight="1">
      <c r="W778" s="5"/>
      <c r="Y778" s="5"/>
    </row>
    <row r="779" ht="15.75" customHeight="1">
      <c r="W779" s="5"/>
      <c r="Y779" s="5"/>
    </row>
    <row r="780" ht="15.75" customHeight="1">
      <c r="W780" s="5"/>
      <c r="Y780" s="5"/>
    </row>
    <row r="781" ht="15.75" customHeight="1">
      <c r="W781" s="5"/>
      <c r="Y781" s="5"/>
    </row>
    <row r="782" ht="15.75" customHeight="1">
      <c r="W782" s="5"/>
      <c r="Y782" s="5"/>
    </row>
    <row r="783" ht="15.75" customHeight="1">
      <c r="W783" s="5"/>
      <c r="Y783" s="5"/>
    </row>
    <row r="784" ht="15.75" customHeight="1">
      <c r="W784" s="5"/>
      <c r="Y784" s="5"/>
    </row>
    <row r="785" ht="15.75" customHeight="1">
      <c r="W785" s="5"/>
      <c r="Y785" s="5"/>
    </row>
    <row r="786" ht="15.75" customHeight="1">
      <c r="W786" s="5"/>
      <c r="Y786" s="5"/>
    </row>
    <row r="787" ht="15.75" customHeight="1">
      <c r="W787" s="5"/>
      <c r="Y787" s="5"/>
    </row>
    <row r="788" ht="15.75" customHeight="1">
      <c r="W788" s="5"/>
      <c r="Y788" s="5"/>
    </row>
    <row r="789" ht="15.75" customHeight="1">
      <c r="W789" s="5"/>
      <c r="Y789" s="5"/>
    </row>
    <row r="790" ht="15.75" customHeight="1">
      <c r="W790" s="5"/>
      <c r="Y790" s="5"/>
    </row>
    <row r="791" ht="15.75" customHeight="1">
      <c r="W791" s="5"/>
      <c r="Y791" s="5"/>
    </row>
    <row r="792" ht="15.75" customHeight="1">
      <c r="W792" s="5"/>
      <c r="Y792" s="5"/>
    </row>
    <row r="793" ht="15.75" customHeight="1">
      <c r="W793" s="5"/>
      <c r="Y793" s="5"/>
    </row>
    <row r="794" ht="15.75" customHeight="1">
      <c r="W794" s="5"/>
      <c r="Y794" s="5"/>
    </row>
    <row r="795" ht="15.75" customHeight="1">
      <c r="W795" s="5"/>
      <c r="Y795" s="5"/>
    </row>
    <row r="796" ht="15.75" customHeight="1">
      <c r="W796" s="5"/>
      <c r="Y796" s="5"/>
    </row>
    <row r="797" ht="15.75" customHeight="1">
      <c r="W797" s="5"/>
      <c r="Y797" s="5"/>
    </row>
    <row r="798" ht="15.75" customHeight="1">
      <c r="W798" s="5"/>
      <c r="Y798" s="5"/>
    </row>
    <row r="799" ht="15.75" customHeight="1">
      <c r="W799" s="5"/>
      <c r="Y799" s="5"/>
    </row>
    <row r="800" ht="15.75" customHeight="1">
      <c r="W800" s="5"/>
      <c r="Y800" s="5"/>
    </row>
    <row r="801" ht="15.75" customHeight="1">
      <c r="W801" s="5"/>
      <c r="Y801" s="5"/>
    </row>
    <row r="802" ht="15.75" customHeight="1">
      <c r="W802" s="5"/>
      <c r="Y802" s="5"/>
    </row>
    <row r="803" ht="15.75" customHeight="1">
      <c r="W803" s="5"/>
      <c r="Y803" s="5"/>
    </row>
    <row r="804" ht="15.75" customHeight="1">
      <c r="W804" s="5"/>
      <c r="Y804" s="5"/>
    </row>
    <row r="805" ht="15.75" customHeight="1">
      <c r="W805" s="5"/>
      <c r="Y805" s="5"/>
    </row>
    <row r="806" ht="15.75" customHeight="1">
      <c r="W806" s="5"/>
      <c r="Y806" s="5"/>
    </row>
    <row r="807" ht="15.75" customHeight="1">
      <c r="W807" s="5"/>
      <c r="Y807" s="5"/>
    </row>
    <row r="808" ht="15.75" customHeight="1">
      <c r="W808" s="5"/>
      <c r="Y808" s="5"/>
    </row>
    <row r="809" ht="15.75" customHeight="1">
      <c r="W809" s="5"/>
      <c r="Y809" s="5"/>
    </row>
    <row r="810" ht="15.75" customHeight="1">
      <c r="W810" s="5"/>
      <c r="Y810" s="5"/>
    </row>
    <row r="811" ht="15.75" customHeight="1">
      <c r="W811" s="5"/>
      <c r="Y811" s="5"/>
    </row>
    <row r="812" ht="15.75" customHeight="1">
      <c r="W812" s="5"/>
      <c r="Y812" s="5"/>
    </row>
    <row r="813" ht="15.75" customHeight="1">
      <c r="W813" s="5"/>
      <c r="Y813" s="5"/>
    </row>
    <row r="814" ht="15.75" customHeight="1">
      <c r="W814" s="5"/>
      <c r="Y814" s="5"/>
    </row>
    <row r="815" ht="15.75" customHeight="1">
      <c r="W815" s="5"/>
      <c r="Y815" s="5"/>
    </row>
    <row r="816" ht="15.75" customHeight="1">
      <c r="W816" s="5"/>
      <c r="Y816" s="5"/>
    </row>
    <row r="817" ht="15.75" customHeight="1">
      <c r="W817" s="5"/>
      <c r="Y817" s="5"/>
    </row>
    <row r="818" ht="15.75" customHeight="1">
      <c r="W818" s="5"/>
      <c r="Y818" s="5"/>
    </row>
    <row r="819" ht="15.75" customHeight="1">
      <c r="W819" s="5"/>
      <c r="Y819" s="5"/>
    </row>
    <row r="820" ht="15.75" customHeight="1">
      <c r="W820" s="5"/>
      <c r="Y820" s="5"/>
    </row>
    <row r="821" ht="15.75" customHeight="1">
      <c r="W821" s="5"/>
      <c r="Y821" s="5"/>
    </row>
    <row r="822" ht="15.75" customHeight="1">
      <c r="W822" s="5"/>
      <c r="Y822" s="5"/>
    </row>
    <row r="823" ht="15.75" customHeight="1">
      <c r="W823" s="5"/>
      <c r="Y823" s="5"/>
    </row>
    <row r="824" ht="15.75" customHeight="1">
      <c r="W824" s="5"/>
      <c r="Y824" s="5"/>
    </row>
    <row r="825" ht="15.75" customHeight="1">
      <c r="W825" s="5"/>
      <c r="Y825" s="5"/>
    </row>
    <row r="826" ht="15.75" customHeight="1">
      <c r="W826" s="5"/>
      <c r="Y826" s="5"/>
    </row>
    <row r="827" ht="15.75" customHeight="1">
      <c r="W827" s="5"/>
      <c r="Y827" s="5"/>
    </row>
    <row r="828" ht="15.75" customHeight="1">
      <c r="W828" s="5"/>
      <c r="Y828" s="5"/>
    </row>
    <row r="829" ht="15.75" customHeight="1">
      <c r="W829" s="5"/>
      <c r="Y829" s="5"/>
    </row>
    <row r="830" ht="15.75" customHeight="1">
      <c r="W830" s="5"/>
      <c r="Y830" s="5"/>
    </row>
    <row r="831" ht="15.75" customHeight="1">
      <c r="W831" s="5"/>
      <c r="Y831" s="5"/>
    </row>
    <row r="832" ht="15.75" customHeight="1">
      <c r="W832" s="5"/>
      <c r="Y832" s="5"/>
    </row>
    <row r="833" ht="15.75" customHeight="1">
      <c r="W833" s="5"/>
      <c r="Y833" s="5"/>
    </row>
    <row r="834" ht="15.75" customHeight="1">
      <c r="W834" s="5"/>
      <c r="Y834" s="5"/>
    </row>
    <row r="835" ht="15.75" customHeight="1">
      <c r="W835" s="5"/>
      <c r="Y835" s="5"/>
    </row>
    <row r="836" ht="15.75" customHeight="1">
      <c r="W836" s="5"/>
      <c r="Y836" s="5"/>
    </row>
    <row r="837" ht="15.75" customHeight="1">
      <c r="W837" s="5"/>
      <c r="Y837" s="5"/>
    </row>
    <row r="838" ht="15.75" customHeight="1">
      <c r="W838" s="5"/>
      <c r="Y838" s="5"/>
    </row>
    <row r="839" ht="15.75" customHeight="1">
      <c r="W839" s="5"/>
      <c r="Y839" s="5"/>
    </row>
    <row r="840" ht="15.75" customHeight="1">
      <c r="W840" s="5"/>
      <c r="Y840" s="5"/>
    </row>
    <row r="841" ht="15.75" customHeight="1">
      <c r="W841" s="5"/>
      <c r="Y841" s="5"/>
    </row>
    <row r="842" ht="15.75" customHeight="1">
      <c r="W842" s="5"/>
      <c r="Y842" s="5"/>
    </row>
    <row r="843" ht="15.75" customHeight="1">
      <c r="W843" s="5"/>
      <c r="Y843" s="5"/>
    </row>
    <row r="844" ht="15.75" customHeight="1">
      <c r="W844" s="5"/>
      <c r="Y844" s="5"/>
    </row>
    <row r="845" ht="15.75" customHeight="1">
      <c r="W845" s="5"/>
      <c r="Y845" s="5"/>
    </row>
    <row r="846" ht="15.75" customHeight="1">
      <c r="W846" s="5"/>
      <c r="Y846" s="5"/>
    </row>
    <row r="847" ht="15.75" customHeight="1">
      <c r="W847" s="5"/>
      <c r="Y847" s="5"/>
    </row>
    <row r="848" ht="15.75" customHeight="1">
      <c r="W848" s="5"/>
      <c r="Y848" s="5"/>
    </row>
    <row r="849" ht="15.75" customHeight="1">
      <c r="W849" s="5"/>
      <c r="Y849" s="5"/>
    </row>
    <row r="850" ht="15.75" customHeight="1">
      <c r="W850" s="5"/>
      <c r="Y850" s="5"/>
    </row>
    <row r="851" ht="15.75" customHeight="1">
      <c r="W851" s="5"/>
      <c r="Y851" s="5"/>
    </row>
    <row r="852" ht="15.75" customHeight="1">
      <c r="W852" s="5"/>
      <c r="Y852" s="5"/>
    </row>
    <row r="853" ht="15.75" customHeight="1">
      <c r="W853" s="5"/>
      <c r="Y853" s="5"/>
    </row>
    <row r="854" ht="15.75" customHeight="1">
      <c r="W854" s="5"/>
      <c r="Y854" s="5"/>
    </row>
    <row r="855" ht="15.75" customHeight="1">
      <c r="W855" s="5"/>
      <c r="Y855" s="5"/>
    </row>
    <row r="856" ht="15.75" customHeight="1">
      <c r="W856" s="5"/>
      <c r="Y856" s="5"/>
    </row>
    <row r="857" ht="15.75" customHeight="1">
      <c r="W857" s="5"/>
      <c r="Y857" s="5"/>
    </row>
    <row r="858" ht="15.75" customHeight="1">
      <c r="W858" s="5"/>
      <c r="Y858" s="5"/>
    </row>
    <row r="859" ht="15.75" customHeight="1">
      <c r="W859" s="5"/>
      <c r="Y859" s="5"/>
    </row>
    <row r="860" ht="15.75" customHeight="1">
      <c r="W860" s="5"/>
      <c r="Y860" s="5"/>
    </row>
    <row r="861" ht="15.75" customHeight="1">
      <c r="W861" s="5"/>
      <c r="Y861" s="5"/>
    </row>
    <row r="862" ht="15.75" customHeight="1">
      <c r="W862" s="5"/>
      <c r="Y862" s="5"/>
    </row>
    <row r="863" ht="15.75" customHeight="1">
      <c r="W863" s="5"/>
      <c r="Y863" s="5"/>
    </row>
    <row r="864" ht="15.75" customHeight="1">
      <c r="W864" s="5"/>
      <c r="Y864" s="5"/>
    </row>
    <row r="865" ht="15.75" customHeight="1">
      <c r="W865" s="5"/>
      <c r="Y865" s="5"/>
    </row>
    <row r="866" ht="15.75" customHeight="1">
      <c r="W866" s="5"/>
      <c r="Y866" s="5"/>
    </row>
    <row r="867" ht="15.75" customHeight="1">
      <c r="W867" s="5"/>
      <c r="Y867" s="5"/>
    </row>
    <row r="868" ht="15.75" customHeight="1">
      <c r="W868" s="5"/>
      <c r="Y868" s="5"/>
    </row>
    <row r="869" ht="15.75" customHeight="1">
      <c r="W869" s="5"/>
      <c r="Y869" s="5"/>
    </row>
    <row r="870" ht="15.75" customHeight="1">
      <c r="W870" s="5"/>
      <c r="Y870" s="5"/>
    </row>
    <row r="871" ht="15.75" customHeight="1">
      <c r="W871" s="5"/>
      <c r="Y871" s="5"/>
    </row>
    <row r="872" ht="15.75" customHeight="1">
      <c r="W872" s="5"/>
      <c r="Y872" s="5"/>
    </row>
    <row r="873" ht="15.75" customHeight="1">
      <c r="W873" s="5"/>
      <c r="Y873" s="5"/>
    </row>
    <row r="874" ht="15.75" customHeight="1">
      <c r="W874" s="5"/>
      <c r="Y874" s="5"/>
    </row>
    <row r="875" ht="15.75" customHeight="1">
      <c r="W875" s="5"/>
      <c r="Y875" s="5"/>
    </row>
    <row r="876" ht="15.75" customHeight="1">
      <c r="W876" s="5"/>
      <c r="Y876" s="5"/>
    </row>
    <row r="877" ht="15.75" customHeight="1">
      <c r="W877" s="5"/>
      <c r="Y877" s="5"/>
    </row>
    <row r="878" ht="15.75" customHeight="1">
      <c r="W878" s="5"/>
      <c r="Y878" s="5"/>
    </row>
    <row r="879" ht="15.75" customHeight="1">
      <c r="W879" s="5"/>
      <c r="Y879" s="5"/>
    </row>
    <row r="880" ht="15.75" customHeight="1">
      <c r="W880" s="5"/>
      <c r="Y880" s="5"/>
    </row>
    <row r="881" ht="15.75" customHeight="1">
      <c r="W881" s="5"/>
      <c r="Y881" s="5"/>
    </row>
    <row r="882" ht="15.75" customHeight="1">
      <c r="W882" s="5"/>
      <c r="Y882" s="5"/>
    </row>
    <row r="883" ht="15.75" customHeight="1">
      <c r="W883" s="5"/>
      <c r="Y883" s="5"/>
    </row>
    <row r="884" ht="15.75" customHeight="1">
      <c r="W884" s="5"/>
      <c r="Y884" s="5"/>
    </row>
    <row r="885" ht="15.75" customHeight="1">
      <c r="W885" s="5"/>
      <c r="Y885" s="5"/>
    </row>
    <row r="886" ht="15.75" customHeight="1">
      <c r="W886" s="5"/>
      <c r="Y886" s="5"/>
    </row>
    <row r="887" ht="15.75" customHeight="1">
      <c r="W887" s="5"/>
      <c r="Y887" s="5"/>
    </row>
    <row r="888" ht="15.75" customHeight="1">
      <c r="W888" s="5"/>
      <c r="Y888" s="5"/>
    </row>
    <row r="889" ht="15.75" customHeight="1">
      <c r="W889" s="5"/>
      <c r="Y889" s="5"/>
    </row>
    <row r="890" ht="15.75" customHeight="1">
      <c r="W890" s="5"/>
      <c r="Y890" s="5"/>
    </row>
    <row r="891" ht="15.75" customHeight="1">
      <c r="W891" s="5"/>
      <c r="Y891" s="5"/>
    </row>
    <row r="892" ht="15.75" customHeight="1">
      <c r="W892" s="5"/>
      <c r="Y892" s="5"/>
    </row>
    <row r="893" ht="15.75" customHeight="1">
      <c r="W893" s="5"/>
      <c r="Y893" s="5"/>
    </row>
    <row r="894" ht="15.75" customHeight="1">
      <c r="W894" s="5"/>
      <c r="Y894" s="5"/>
    </row>
    <row r="895" ht="15.75" customHeight="1">
      <c r="W895" s="5"/>
      <c r="Y895" s="5"/>
    </row>
    <row r="896" ht="15.75" customHeight="1">
      <c r="W896" s="5"/>
      <c r="Y896" s="5"/>
    </row>
    <row r="897" ht="15.75" customHeight="1">
      <c r="W897" s="5"/>
      <c r="Y897" s="5"/>
    </row>
    <row r="898" ht="15.75" customHeight="1">
      <c r="W898" s="5"/>
      <c r="Y898" s="5"/>
    </row>
    <row r="899" ht="15.75" customHeight="1">
      <c r="W899" s="5"/>
      <c r="Y899" s="5"/>
    </row>
    <row r="900" ht="15.75" customHeight="1">
      <c r="W900" s="5"/>
      <c r="Y900" s="5"/>
    </row>
    <row r="901" ht="15.75" customHeight="1">
      <c r="W901" s="5"/>
      <c r="Y901" s="5"/>
    </row>
    <row r="902" ht="15.75" customHeight="1">
      <c r="W902" s="5"/>
      <c r="Y902" s="5"/>
    </row>
    <row r="903" ht="15.75" customHeight="1">
      <c r="W903" s="5"/>
      <c r="Y903" s="5"/>
    </row>
    <row r="904" ht="15.75" customHeight="1">
      <c r="W904" s="5"/>
      <c r="Y904" s="5"/>
    </row>
    <row r="905" ht="15.75" customHeight="1">
      <c r="W905" s="5"/>
      <c r="Y905" s="5"/>
    </row>
    <row r="906" ht="15.75" customHeight="1">
      <c r="W906" s="5"/>
      <c r="Y906" s="5"/>
    </row>
    <row r="907" ht="15.75" customHeight="1">
      <c r="W907" s="5"/>
      <c r="Y907" s="5"/>
    </row>
    <row r="908" ht="15.75" customHeight="1">
      <c r="W908" s="5"/>
      <c r="Y908" s="5"/>
    </row>
    <row r="909" ht="15.75" customHeight="1">
      <c r="W909" s="5"/>
      <c r="Y909" s="5"/>
    </row>
    <row r="910" ht="15.75" customHeight="1">
      <c r="W910" s="5"/>
      <c r="Y910" s="5"/>
    </row>
    <row r="911" ht="15.75" customHeight="1">
      <c r="W911" s="5"/>
      <c r="Y911" s="5"/>
    </row>
    <row r="912" ht="15.75" customHeight="1">
      <c r="W912" s="5"/>
      <c r="Y912" s="5"/>
    </row>
    <row r="913" ht="15.75" customHeight="1">
      <c r="W913" s="5"/>
      <c r="Y913" s="5"/>
    </row>
    <row r="914" ht="15.75" customHeight="1">
      <c r="W914" s="5"/>
      <c r="Y914" s="5"/>
    </row>
    <row r="915" ht="15.75" customHeight="1">
      <c r="W915" s="5"/>
      <c r="Y915" s="5"/>
    </row>
    <row r="916" ht="15.75" customHeight="1">
      <c r="W916" s="5"/>
      <c r="Y916" s="5"/>
    </row>
    <row r="917" ht="15.75" customHeight="1">
      <c r="W917" s="5"/>
      <c r="Y917" s="5"/>
    </row>
    <row r="918" ht="15.75" customHeight="1">
      <c r="W918" s="5"/>
      <c r="Y918" s="5"/>
    </row>
    <row r="919" ht="15.75" customHeight="1">
      <c r="W919" s="5"/>
      <c r="Y919" s="5"/>
    </row>
    <row r="920" ht="15.75" customHeight="1">
      <c r="W920" s="5"/>
      <c r="Y920" s="5"/>
    </row>
    <row r="921" ht="15.75" customHeight="1">
      <c r="W921" s="5"/>
      <c r="Y921" s="5"/>
    </row>
    <row r="922" ht="15.75" customHeight="1">
      <c r="W922" s="5"/>
      <c r="Y922" s="5"/>
    </row>
    <row r="923" ht="15.75" customHeight="1">
      <c r="W923" s="5"/>
      <c r="Y923" s="5"/>
    </row>
    <row r="924" ht="15.75" customHeight="1">
      <c r="W924" s="5"/>
      <c r="Y924" s="5"/>
    </row>
    <row r="925" ht="15.75" customHeight="1">
      <c r="W925" s="5"/>
      <c r="Y925" s="5"/>
    </row>
    <row r="926" ht="15.75" customHeight="1">
      <c r="W926" s="5"/>
      <c r="Y926" s="5"/>
    </row>
    <row r="927" ht="15.75" customHeight="1">
      <c r="W927" s="5"/>
      <c r="Y927" s="5"/>
    </row>
    <row r="928" ht="15.75" customHeight="1">
      <c r="W928" s="5"/>
      <c r="Y928" s="5"/>
    </row>
    <row r="929" ht="15.75" customHeight="1">
      <c r="W929" s="5"/>
      <c r="Y929" s="5"/>
    </row>
    <row r="930" ht="15.75" customHeight="1">
      <c r="W930" s="5"/>
      <c r="Y930" s="5"/>
    </row>
    <row r="931" ht="15.75" customHeight="1">
      <c r="W931" s="5"/>
      <c r="Y931" s="5"/>
    </row>
    <row r="932" ht="15.75" customHeight="1">
      <c r="W932" s="5"/>
      <c r="Y932" s="5"/>
    </row>
    <row r="933" ht="15.75" customHeight="1">
      <c r="W933" s="5"/>
      <c r="Y933" s="5"/>
    </row>
    <row r="934" ht="15.75" customHeight="1">
      <c r="W934" s="5"/>
      <c r="Y934" s="5"/>
    </row>
    <row r="935" ht="15.75" customHeight="1">
      <c r="W935" s="5"/>
      <c r="Y935" s="5"/>
    </row>
    <row r="936" ht="15.75" customHeight="1">
      <c r="W936" s="5"/>
      <c r="Y936" s="5"/>
    </row>
    <row r="937" ht="15.75" customHeight="1">
      <c r="W937" s="5"/>
      <c r="Y937" s="5"/>
    </row>
    <row r="938" ht="15.75" customHeight="1">
      <c r="W938" s="5"/>
      <c r="Y938" s="5"/>
    </row>
    <row r="939" ht="15.75" customHeight="1">
      <c r="W939" s="5"/>
      <c r="Y939" s="5"/>
    </row>
    <row r="940" ht="15.75" customHeight="1">
      <c r="W940" s="5"/>
      <c r="Y940" s="5"/>
    </row>
    <row r="941" ht="15.75" customHeight="1">
      <c r="W941" s="5"/>
      <c r="Y941" s="5"/>
    </row>
    <row r="942" ht="15.75" customHeight="1">
      <c r="W942" s="5"/>
      <c r="Y942" s="5"/>
    </row>
    <row r="943" ht="15.75" customHeight="1">
      <c r="W943" s="5"/>
      <c r="Y943" s="5"/>
    </row>
    <row r="944" ht="15.75" customHeight="1">
      <c r="W944" s="5"/>
      <c r="Y944" s="5"/>
    </row>
    <row r="945" ht="15.75" customHeight="1">
      <c r="W945" s="5"/>
      <c r="Y945" s="5"/>
    </row>
    <row r="946" ht="15.75" customHeight="1">
      <c r="W946" s="5"/>
      <c r="Y946" s="5"/>
    </row>
    <row r="947" ht="15.75" customHeight="1">
      <c r="W947" s="5"/>
      <c r="Y947" s="5"/>
    </row>
    <row r="948" ht="15.75" customHeight="1">
      <c r="W948" s="5"/>
      <c r="Y948" s="5"/>
    </row>
    <row r="949" ht="15.75" customHeight="1">
      <c r="W949" s="5"/>
      <c r="Y949" s="5"/>
    </row>
    <row r="950" ht="15.75" customHeight="1">
      <c r="W950" s="5"/>
      <c r="Y950" s="5"/>
    </row>
    <row r="951" ht="15.75" customHeight="1">
      <c r="W951" s="5"/>
      <c r="Y951" s="5"/>
    </row>
    <row r="952" ht="15.75" customHeight="1">
      <c r="W952" s="5"/>
      <c r="Y952" s="5"/>
    </row>
    <row r="953" ht="15.75" customHeight="1">
      <c r="W953" s="5"/>
      <c r="Y953" s="5"/>
    </row>
    <row r="954" ht="15.75" customHeight="1">
      <c r="W954" s="5"/>
      <c r="Y954" s="5"/>
    </row>
    <row r="955" ht="15.75" customHeight="1">
      <c r="W955" s="5"/>
      <c r="Y955" s="5"/>
    </row>
    <row r="956" ht="15.75" customHeight="1">
      <c r="W956" s="5"/>
      <c r="Y956" s="5"/>
    </row>
    <row r="957" ht="15.75" customHeight="1">
      <c r="W957" s="5"/>
      <c r="Y957" s="5"/>
    </row>
    <row r="958" ht="15.75" customHeight="1">
      <c r="W958" s="5"/>
      <c r="Y958" s="5"/>
    </row>
    <row r="959" ht="15.75" customHeight="1">
      <c r="W959" s="5"/>
      <c r="Y959" s="5"/>
    </row>
    <row r="960" ht="15.75" customHeight="1">
      <c r="W960" s="5"/>
      <c r="Y960" s="5"/>
    </row>
    <row r="961" ht="15.75" customHeight="1">
      <c r="W961" s="5"/>
      <c r="Y961" s="5"/>
    </row>
    <row r="962" ht="15.75" customHeight="1">
      <c r="W962" s="5"/>
      <c r="Y962" s="5"/>
    </row>
    <row r="963" ht="15.75" customHeight="1">
      <c r="W963" s="5"/>
      <c r="Y963" s="5"/>
    </row>
    <row r="964" ht="15.75" customHeight="1">
      <c r="W964" s="5"/>
      <c r="Y964" s="5"/>
    </row>
    <row r="965" ht="15.75" customHeight="1">
      <c r="W965" s="5"/>
      <c r="Y965" s="5"/>
    </row>
    <row r="966" ht="15.75" customHeight="1">
      <c r="W966" s="5"/>
      <c r="Y966" s="5"/>
    </row>
    <row r="967" ht="15.75" customHeight="1">
      <c r="W967" s="5"/>
      <c r="Y967" s="5"/>
    </row>
    <row r="968" ht="15.75" customHeight="1">
      <c r="W968" s="5"/>
      <c r="Y968" s="5"/>
    </row>
    <row r="969" ht="15.75" customHeight="1">
      <c r="W969" s="5"/>
      <c r="Y969" s="5"/>
    </row>
    <row r="970" ht="15.75" customHeight="1">
      <c r="W970" s="5"/>
      <c r="Y970" s="5"/>
    </row>
    <row r="971" ht="15.75" customHeight="1">
      <c r="W971" s="5"/>
      <c r="Y971" s="5"/>
    </row>
  </sheetData>
  <autoFilter ref="$W$9:$Y$44">
    <sortState ref="W9:Y44">
      <sortCondition ref="X9:X44"/>
    </sortState>
  </autoFilter>
  <mergeCells count="103">
    <mergeCell ref="D14:F14"/>
    <mergeCell ref="G14:I14"/>
    <mergeCell ref="J14:L14"/>
    <mergeCell ref="M14:O14"/>
    <mergeCell ref="P14:R14"/>
    <mergeCell ref="S14:U14"/>
    <mergeCell ref="S17:U17"/>
    <mergeCell ref="A14:C14"/>
    <mergeCell ref="A18:C18"/>
    <mergeCell ref="D18:F18"/>
    <mergeCell ref="A21:C21"/>
    <mergeCell ref="D21:F21"/>
    <mergeCell ref="G21:I21"/>
    <mergeCell ref="J21:L21"/>
    <mergeCell ref="A1:B1"/>
    <mergeCell ref="C1:E1"/>
    <mergeCell ref="G1:P3"/>
    <mergeCell ref="A2:B2"/>
    <mergeCell ref="C2:E2"/>
    <mergeCell ref="A3:B3"/>
    <mergeCell ref="C4:E4"/>
    <mergeCell ref="A4:B4"/>
    <mergeCell ref="D5:F5"/>
    <mergeCell ref="G5:I5"/>
    <mergeCell ref="J5:L5"/>
    <mergeCell ref="M5:O5"/>
    <mergeCell ref="P5:R5"/>
    <mergeCell ref="S5:U5"/>
    <mergeCell ref="S6:U6"/>
    <mergeCell ref="Y6:Z6"/>
    <mergeCell ref="S9:U9"/>
    <mergeCell ref="A5:C5"/>
    <mergeCell ref="A6:C6"/>
    <mergeCell ref="D6:F6"/>
    <mergeCell ref="G6:I6"/>
    <mergeCell ref="J6:L6"/>
    <mergeCell ref="M6:O6"/>
    <mergeCell ref="P6:R6"/>
    <mergeCell ref="A13:C13"/>
    <mergeCell ref="D13:F13"/>
    <mergeCell ref="G13:I13"/>
    <mergeCell ref="J13:L13"/>
    <mergeCell ref="M13:O13"/>
    <mergeCell ref="P13:R13"/>
    <mergeCell ref="S13:U13"/>
    <mergeCell ref="G29:I29"/>
    <mergeCell ref="J29:L29"/>
    <mergeCell ref="M29:O29"/>
    <mergeCell ref="P29:R29"/>
    <mergeCell ref="A46:C46"/>
    <mergeCell ref="D46:F46"/>
    <mergeCell ref="G46:I46"/>
    <mergeCell ref="J46:L46"/>
    <mergeCell ref="M46:O46"/>
    <mergeCell ref="P46:R46"/>
    <mergeCell ref="S46:U46"/>
    <mergeCell ref="B54:D54"/>
    <mergeCell ref="A45:C45"/>
    <mergeCell ref="D45:F45"/>
    <mergeCell ref="G45:I45"/>
    <mergeCell ref="J45:L45"/>
    <mergeCell ref="M45:O45"/>
    <mergeCell ref="P45:R45"/>
    <mergeCell ref="S45:U45"/>
    <mergeCell ref="A22:C22"/>
    <mergeCell ref="D22:F22"/>
    <mergeCell ref="G22:I22"/>
    <mergeCell ref="J22:L22"/>
    <mergeCell ref="M22:O22"/>
    <mergeCell ref="P22:R22"/>
    <mergeCell ref="S22:U22"/>
    <mergeCell ref="M21:O21"/>
    <mergeCell ref="P21:R21"/>
    <mergeCell ref="S21:U21"/>
    <mergeCell ref="N24:N26"/>
    <mergeCell ref="S25:U25"/>
    <mergeCell ref="D29:F29"/>
    <mergeCell ref="S29:U29"/>
    <mergeCell ref="S30:U30"/>
    <mergeCell ref="S33:U33"/>
    <mergeCell ref="A29:C29"/>
    <mergeCell ref="A30:C30"/>
    <mergeCell ref="D30:F30"/>
    <mergeCell ref="G30:I30"/>
    <mergeCell ref="J30:L30"/>
    <mergeCell ref="M30:O30"/>
    <mergeCell ref="P30:R30"/>
    <mergeCell ref="A37:C37"/>
    <mergeCell ref="D37:F37"/>
    <mergeCell ref="G37:I37"/>
    <mergeCell ref="J37:L37"/>
    <mergeCell ref="M37:O37"/>
    <mergeCell ref="P37:R37"/>
    <mergeCell ref="S37:U37"/>
    <mergeCell ref="S38:U38"/>
    <mergeCell ref="S41:U41"/>
    <mergeCell ref="A38:C38"/>
    <mergeCell ref="D38:F38"/>
    <mergeCell ref="G38:I38"/>
    <mergeCell ref="J38:L38"/>
    <mergeCell ref="M38:O38"/>
    <mergeCell ref="P38:R38"/>
    <mergeCell ref="N40:N42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20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6" t="s">
        <v>69</v>
      </c>
      <c r="C1" s="2" t="s">
        <v>70</v>
      </c>
      <c r="F1" s="3"/>
      <c r="G1" s="4" t="s">
        <v>2</v>
      </c>
      <c r="Q1" s="3"/>
    </row>
    <row r="2" ht="15.0" customHeight="1">
      <c r="A2" s="6" t="s">
        <v>3</v>
      </c>
      <c r="C2" s="7" t="s">
        <v>71</v>
      </c>
      <c r="F2" s="3"/>
      <c r="Q2" s="3"/>
    </row>
    <row r="3" ht="15.0" customHeight="1">
      <c r="A3" s="6" t="s">
        <v>5</v>
      </c>
      <c r="C3" s="2" t="s">
        <v>72</v>
      </c>
      <c r="F3" s="3"/>
      <c r="Q3" s="3"/>
    </row>
    <row r="4" ht="15.0" customHeight="1">
      <c r="A4" s="63" t="s">
        <v>6</v>
      </c>
      <c r="B4" s="12"/>
      <c r="C4" s="64" t="s">
        <v>72</v>
      </c>
      <c r="D4" s="11"/>
      <c r="E4" s="12"/>
      <c r="F4" s="65"/>
      <c r="G4" s="65"/>
      <c r="H4" s="65"/>
      <c r="I4" s="65"/>
      <c r="J4" s="65"/>
      <c r="K4" s="65"/>
      <c r="L4" s="65"/>
      <c r="M4" s="65"/>
      <c r="N4" s="65"/>
      <c r="O4" s="66"/>
      <c r="P4" s="67"/>
      <c r="Q4" s="68"/>
      <c r="R4" s="22"/>
      <c r="S4" s="22"/>
      <c r="T4" s="22"/>
      <c r="U4" s="22"/>
    </row>
    <row r="5" ht="15.75" customHeight="1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</row>
    <row r="6">
      <c r="A6" s="14"/>
      <c r="B6" s="11"/>
      <c r="C6" s="12"/>
      <c r="D6" s="14"/>
      <c r="E6" s="11"/>
      <c r="F6" s="12"/>
      <c r="G6" s="15"/>
      <c r="H6" s="11"/>
      <c r="I6" s="12"/>
      <c r="J6" s="15"/>
      <c r="K6" s="11"/>
      <c r="L6" s="12"/>
      <c r="M6" s="16"/>
      <c r="N6" s="11"/>
      <c r="O6" s="12"/>
      <c r="P6" s="15"/>
      <c r="Q6" s="11"/>
      <c r="R6" s="12"/>
      <c r="S6" s="16"/>
      <c r="T6" s="11"/>
      <c r="U6" s="12"/>
      <c r="W6" s="69">
        <f>COUNTA(#REF!,#REF!,M13:M25,#REF!,G7:G12,#REF!,#REF!,#REF!,#REF!,P13:P14,S15:S20,#REF!,M7:M12,#REF!,J7:J12,#REF!,D23:D28,A17:A20,D31:D34,#REF!,J15:J18,P13:P14,#REF!,D39:D44,G16:G36,J31:J34,M29:M38)</f>
        <v>56</v>
      </c>
    </row>
    <row r="7">
      <c r="A7" s="70"/>
      <c r="B7" s="70"/>
      <c r="C7" s="70"/>
      <c r="D7" s="70"/>
      <c r="E7" s="70"/>
      <c r="F7" s="70"/>
      <c r="G7" s="71"/>
      <c r="H7" s="71"/>
      <c r="I7" s="70"/>
      <c r="J7" s="22"/>
      <c r="K7" s="22"/>
      <c r="L7" s="22"/>
      <c r="M7" s="70"/>
      <c r="N7" s="70"/>
      <c r="O7" s="70"/>
      <c r="P7" s="70"/>
      <c r="Q7" s="70"/>
      <c r="R7" s="70"/>
      <c r="S7" s="72"/>
      <c r="T7" s="73"/>
      <c r="U7" s="73"/>
    </row>
    <row r="8">
      <c r="A8" s="71"/>
      <c r="B8" s="71"/>
      <c r="C8" s="71"/>
      <c r="D8" s="71"/>
      <c r="E8" s="71"/>
      <c r="F8" s="71"/>
      <c r="G8" s="71"/>
      <c r="H8" s="71"/>
      <c r="I8" s="70"/>
      <c r="J8" s="74"/>
      <c r="K8" s="21"/>
      <c r="L8" s="38"/>
      <c r="M8" s="71"/>
      <c r="N8" s="71"/>
      <c r="O8" s="71"/>
      <c r="P8" s="70"/>
      <c r="Q8" s="70"/>
      <c r="R8" s="70"/>
      <c r="S8" s="72"/>
      <c r="T8" s="73"/>
      <c r="U8" s="73"/>
    </row>
    <row r="9">
      <c r="A9" s="71"/>
      <c r="B9" s="71"/>
      <c r="C9" s="71"/>
      <c r="D9" s="71"/>
      <c r="E9" s="71"/>
      <c r="F9" s="71"/>
      <c r="G9" s="71"/>
      <c r="H9" s="71"/>
      <c r="I9" s="70"/>
      <c r="J9" s="71"/>
      <c r="K9" s="71"/>
      <c r="L9" s="71"/>
      <c r="M9" s="71"/>
      <c r="N9" s="71"/>
      <c r="O9" s="71"/>
      <c r="P9" s="71"/>
      <c r="Q9" s="71"/>
      <c r="R9" s="70"/>
      <c r="S9" s="23" t="s">
        <v>14</v>
      </c>
      <c r="T9" s="11"/>
      <c r="U9" s="12"/>
    </row>
    <row r="10">
      <c r="A10" s="70"/>
      <c r="B10" s="70"/>
      <c r="C10" s="70"/>
      <c r="D10" s="70"/>
      <c r="E10" s="70"/>
      <c r="F10" s="70"/>
      <c r="G10" s="71"/>
      <c r="H10" s="71"/>
      <c r="I10" s="70"/>
      <c r="J10" s="22"/>
      <c r="K10" s="22"/>
      <c r="L10" s="22"/>
      <c r="M10" s="70"/>
      <c r="N10" s="70"/>
      <c r="O10" s="70"/>
      <c r="P10" s="71"/>
      <c r="Q10" s="71"/>
      <c r="R10" s="70"/>
      <c r="S10" s="72"/>
      <c r="T10" s="73"/>
      <c r="U10" s="73"/>
      <c r="W10" s="75" t="s">
        <v>73</v>
      </c>
    </row>
    <row r="11">
      <c r="A11" s="70"/>
      <c r="B11" s="70"/>
      <c r="C11" s="70"/>
      <c r="D11" s="70"/>
      <c r="E11" s="70"/>
      <c r="F11" s="70"/>
      <c r="G11" s="22"/>
      <c r="H11" s="22"/>
      <c r="I11" s="22"/>
      <c r="J11" s="70"/>
      <c r="K11" s="70"/>
      <c r="L11" s="70"/>
      <c r="M11" s="70"/>
      <c r="N11" s="70"/>
      <c r="O11" s="70"/>
      <c r="P11" s="71"/>
      <c r="Q11" s="71"/>
      <c r="R11" s="70"/>
      <c r="S11" s="72"/>
      <c r="T11" s="73"/>
      <c r="U11" s="73"/>
    </row>
    <row r="12">
      <c r="A12" s="71"/>
      <c r="B12" s="71"/>
      <c r="C12" s="71"/>
      <c r="D12" s="71"/>
      <c r="E12" s="71"/>
      <c r="F12" s="71"/>
      <c r="G12" s="70"/>
      <c r="H12" s="70"/>
      <c r="I12" s="70"/>
      <c r="J12" s="71"/>
      <c r="K12" s="71"/>
      <c r="L12" s="71"/>
      <c r="M12" s="71"/>
      <c r="N12" s="71"/>
      <c r="O12" s="71"/>
      <c r="P12" s="76"/>
      <c r="Q12" s="76"/>
      <c r="R12" s="77"/>
      <c r="S12" s="72"/>
      <c r="T12" s="73"/>
      <c r="U12" s="73"/>
    </row>
    <row r="13" ht="15.75" customHeight="1">
      <c r="A13" s="78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</row>
    <row r="14">
      <c r="A14" s="80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84" t="s">
        <v>15</v>
      </c>
      <c r="X14" s="84" t="s">
        <v>16</v>
      </c>
      <c r="Y14" s="84" t="s">
        <v>17</v>
      </c>
    </row>
    <row r="15">
      <c r="A15" s="70"/>
      <c r="B15" s="70"/>
      <c r="C15" s="70"/>
      <c r="D15" s="71"/>
      <c r="E15" s="71"/>
      <c r="F15" s="70"/>
      <c r="G15" s="85"/>
      <c r="H15" s="85"/>
      <c r="I15" s="70"/>
      <c r="J15" s="71"/>
      <c r="K15" s="71"/>
      <c r="L15" s="71"/>
      <c r="M15" s="70"/>
      <c r="N15" s="70"/>
      <c r="O15" s="38"/>
      <c r="P15" s="85"/>
      <c r="Q15" s="85"/>
      <c r="R15" s="70"/>
      <c r="S15" s="70"/>
      <c r="T15" s="70"/>
      <c r="U15" s="70"/>
      <c r="W15" s="86">
        <v>1.0</v>
      </c>
      <c r="X15" s="87" t="s">
        <v>76</v>
      </c>
      <c r="Y15" s="86">
        <f t="shared" ref="Y15:Y43" si="1">COUNTIF($A$5:$U$52,X15)</f>
        <v>4</v>
      </c>
    </row>
    <row r="16">
      <c r="A16" s="88"/>
      <c r="B16" s="88"/>
      <c r="C16" s="88"/>
      <c r="D16" s="89" t="s">
        <v>77</v>
      </c>
      <c r="E16" s="89" t="s">
        <v>24</v>
      </c>
      <c r="F16" s="70" t="s">
        <v>35</v>
      </c>
      <c r="G16" s="85" t="s">
        <v>78</v>
      </c>
      <c r="H16" s="85" t="s">
        <v>49</v>
      </c>
      <c r="I16" s="70" t="s">
        <v>35</v>
      </c>
      <c r="J16" s="70" t="s">
        <v>79</v>
      </c>
      <c r="K16" s="70" t="s">
        <v>49</v>
      </c>
      <c r="L16" s="71" t="s">
        <v>35</v>
      </c>
      <c r="M16" s="71" t="s">
        <v>80</v>
      </c>
      <c r="N16" s="71" t="s">
        <v>57</v>
      </c>
      <c r="O16" s="70" t="s">
        <v>25</v>
      </c>
      <c r="P16" s="71" t="s">
        <v>81</v>
      </c>
      <c r="Q16" s="70" t="s">
        <v>52</v>
      </c>
      <c r="R16" s="70" t="s">
        <v>29</v>
      </c>
      <c r="S16" s="71"/>
      <c r="T16" s="71"/>
      <c r="U16" s="71"/>
      <c r="W16" s="86">
        <v>2.0</v>
      </c>
      <c r="X16" s="87" t="s">
        <v>82</v>
      </c>
      <c r="Y16" s="86">
        <f t="shared" si="1"/>
        <v>4</v>
      </c>
    </row>
    <row r="17">
      <c r="A17" s="23" t="s">
        <v>14</v>
      </c>
      <c r="B17" s="11"/>
      <c r="C17" s="12"/>
      <c r="D17" s="70" t="s">
        <v>83</v>
      </c>
      <c r="E17" s="70" t="s">
        <v>84</v>
      </c>
      <c r="F17" s="70" t="s">
        <v>25</v>
      </c>
      <c r="G17" s="85"/>
      <c r="H17" s="22"/>
      <c r="I17" s="90"/>
      <c r="J17" s="85" t="s">
        <v>85</v>
      </c>
      <c r="K17" s="70" t="s">
        <v>33</v>
      </c>
      <c r="L17" s="85" t="s">
        <v>25</v>
      </c>
      <c r="M17" s="71" t="s">
        <v>86</v>
      </c>
      <c r="N17" s="71" t="s">
        <v>87</v>
      </c>
      <c r="O17" s="38" t="s">
        <v>29</v>
      </c>
      <c r="P17" s="74" t="s">
        <v>88</v>
      </c>
      <c r="Q17" s="21" t="s">
        <v>49</v>
      </c>
      <c r="R17" s="38" t="s">
        <v>35</v>
      </c>
      <c r="S17" s="23" t="s">
        <v>14</v>
      </c>
      <c r="T17" s="11"/>
      <c r="U17" s="12"/>
      <c r="W17" s="86">
        <v>3.0</v>
      </c>
      <c r="X17" s="87" t="s">
        <v>86</v>
      </c>
      <c r="Y17" s="86">
        <f t="shared" si="1"/>
        <v>2</v>
      </c>
    </row>
    <row r="18">
      <c r="A18" s="70"/>
      <c r="B18" s="70"/>
      <c r="C18" s="70"/>
      <c r="D18" s="77" t="s">
        <v>89</v>
      </c>
      <c r="E18" s="77" t="s">
        <v>90</v>
      </c>
      <c r="F18" s="77" t="s">
        <v>25</v>
      </c>
      <c r="G18" s="91" t="s">
        <v>91</v>
      </c>
      <c r="H18" s="90" t="s">
        <v>92</v>
      </c>
      <c r="I18" s="90" t="s">
        <v>35</v>
      </c>
      <c r="J18" s="70"/>
      <c r="K18" s="70"/>
      <c r="L18" s="70"/>
      <c r="M18" s="85"/>
      <c r="N18" s="85"/>
      <c r="O18" s="85"/>
      <c r="P18" s="70"/>
      <c r="Q18" s="74"/>
      <c r="R18" s="71"/>
      <c r="S18" s="70"/>
      <c r="T18" s="70"/>
      <c r="U18" s="70"/>
      <c r="W18" s="86">
        <v>4.0</v>
      </c>
      <c r="X18" s="92" t="s">
        <v>93</v>
      </c>
      <c r="Y18" s="86">
        <f t="shared" si="1"/>
        <v>2</v>
      </c>
    </row>
    <row r="19">
      <c r="G19" s="70" t="s">
        <v>94</v>
      </c>
      <c r="H19" s="70" t="s">
        <v>95</v>
      </c>
      <c r="I19" s="38" t="s">
        <v>35</v>
      </c>
      <c r="J19" s="70" t="s">
        <v>96</v>
      </c>
      <c r="K19" s="70" t="s">
        <v>97</v>
      </c>
      <c r="L19" s="70" t="s">
        <v>29</v>
      </c>
      <c r="M19" s="93"/>
      <c r="N19" s="93"/>
      <c r="O19" s="93"/>
      <c r="P19" s="85"/>
      <c r="Q19" s="85"/>
      <c r="R19" s="85"/>
      <c r="S19" s="70"/>
      <c r="T19" s="70"/>
      <c r="U19" s="70"/>
      <c r="W19" s="86">
        <v>5.0</v>
      </c>
      <c r="X19" s="92" t="s">
        <v>91</v>
      </c>
      <c r="Y19" s="86">
        <f t="shared" si="1"/>
        <v>2</v>
      </c>
      <c r="Z19" s="69"/>
    </row>
    <row r="20">
      <c r="A20" s="71"/>
      <c r="B20" s="71"/>
      <c r="C20" s="71"/>
      <c r="D20" s="77"/>
      <c r="E20" s="77"/>
      <c r="F20" s="77"/>
      <c r="G20" s="77"/>
      <c r="H20" s="77"/>
      <c r="I20" s="77"/>
      <c r="J20" s="93"/>
      <c r="K20" s="93"/>
      <c r="L20" s="93"/>
      <c r="M20" s="71"/>
      <c r="N20" s="71"/>
      <c r="O20" s="70"/>
      <c r="P20" s="93"/>
      <c r="Q20" s="93"/>
      <c r="R20" s="93"/>
      <c r="S20" s="71"/>
      <c r="T20" s="71"/>
      <c r="U20" s="71"/>
      <c r="W20" s="86">
        <v>6.0</v>
      </c>
      <c r="X20" s="92" t="s">
        <v>88</v>
      </c>
      <c r="Y20" s="86">
        <f t="shared" si="1"/>
        <v>4</v>
      </c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11</v>
      </c>
      <c r="N21" s="11"/>
      <c r="O21" s="12"/>
      <c r="P21" s="94" t="s">
        <v>75</v>
      </c>
      <c r="Q21" s="11"/>
      <c r="R21" s="12"/>
      <c r="S21" s="95" t="s">
        <v>100</v>
      </c>
      <c r="T21" s="11"/>
      <c r="U21" s="12"/>
      <c r="W21" s="86">
        <v>7.0</v>
      </c>
      <c r="X21" s="96" t="s">
        <v>101</v>
      </c>
      <c r="Y21" s="86">
        <f t="shared" si="1"/>
        <v>2</v>
      </c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86">
        <v>8.0</v>
      </c>
      <c r="X22" s="99" t="s">
        <v>102</v>
      </c>
      <c r="Y22" s="100">
        <f t="shared" si="1"/>
        <v>0</v>
      </c>
    </row>
    <row r="23" ht="15.75" customHeight="1">
      <c r="A23" s="22"/>
      <c r="B23" s="22"/>
      <c r="C23" s="22"/>
      <c r="D23" s="76"/>
      <c r="E23" s="76"/>
      <c r="F23" s="76"/>
      <c r="G23" s="70"/>
      <c r="H23" s="70"/>
      <c r="I23" s="70"/>
      <c r="J23" s="71"/>
      <c r="K23" s="77"/>
      <c r="L23" s="101"/>
      <c r="M23" s="85"/>
      <c r="N23" s="85"/>
      <c r="O23" s="70"/>
      <c r="P23" s="22"/>
      <c r="Q23" s="22"/>
      <c r="R23" s="22"/>
      <c r="S23" s="72"/>
      <c r="T23" s="73"/>
      <c r="U23" s="73"/>
      <c r="W23" s="86">
        <v>9.0</v>
      </c>
      <c r="X23" s="92" t="s">
        <v>78</v>
      </c>
      <c r="Y23" s="86">
        <f t="shared" si="1"/>
        <v>2</v>
      </c>
    </row>
    <row r="24" ht="15.75" customHeight="1">
      <c r="A24" s="88" t="s">
        <v>82</v>
      </c>
      <c r="B24" s="88" t="s">
        <v>103</v>
      </c>
      <c r="C24" s="88" t="s">
        <v>25</v>
      </c>
      <c r="D24" s="102" t="s">
        <v>101</v>
      </c>
      <c r="E24" s="102" t="s">
        <v>31</v>
      </c>
      <c r="F24" s="102" t="s">
        <v>35</v>
      </c>
      <c r="G24" s="102" t="s">
        <v>104</v>
      </c>
      <c r="H24" s="102" t="s">
        <v>105</v>
      </c>
      <c r="I24" s="102" t="s">
        <v>29</v>
      </c>
      <c r="J24" s="71" t="s">
        <v>93</v>
      </c>
      <c r="K24" s="70" t="s">
        <v>63</v>
      </c>
      <c r="L24" s="70" t="s">
        <v>35</v>
      </c>
      <c r="M24" s="71" t="s">
        <v>80</v>
      </c>
      <c r="N24" s="71" t="s">
        <v>106</v>
      </c>
      <c r="O24" s="70" t="s">
        <v>25</v>
      </c>
      <c r="P24" s="74" t="s">
        <v>88</v>
      </c>
      <c r="Q24" s="21" t="s">
        <v>40</v>
      </c>
      <c r="R24" s="38" t="s">
        <v>35</v>
      </c>
      <c r="S24" s="72"/>
      <c r="T24" s="73"/>
      <c r="U24" s="73"/>
      <c r="W24" s="86">
        <v>10.0</v>
      </c>
      <c r="X24" s="87" t="s">
        <v>89</v>
      </c>
      <c r="Y24" s="86">
        <f t="shared" si="1"/>
        <v>2</v>
      </c>
    </row>
    <row r="25">
      <c r="A25" s="77" t="s">
        <v>76</v>
      </c>
      <c r="B25" s="77" t="s">
        <v>107</v>
      </c>
      <c r="C25" s="77" t="s">
        <v>25</v>
      </c>
      <c r="D25" s="88" t="s">
        <v>108</v>
      </c>
      <c r="E25" s="88" t="s">
        <v>57</v>
      </c>
      <c r="F25" s="88" t="s">
        <v>29</v>
      </c>
      <c r="G25" s="77" t="s">
        <v>109</v>
      </c>
      <c r="H25" s="77" t="s">
        <v>31</v>
      </c>
      <c r="I25" s="101" t="s">
        <v>35</v>
      </c>
      <c r="J25" s="70" t="s">
        <v>110</v>
      </c>
      <c r="K25" s="70" t="s">
        <v>111</v>
      </c>
      <c r="L25" s="70" t="s">
        <v>25</v>
      </c>
      <c r="M25" s="71" t="s">
        <v>112</v>
      </c>
      <c r="N25" s="71" t="s">
        <v>24</v>
      </c>
      <c r="O25" s="38" t="s">
        <v>35</v>
      </c>
      <c r="P25" s="71" t="s">
        <v>113</v>
      </c>
      <c r="Q25" s="70" t="s">
        <v>114</v>
      </c>
      <c r="R25" s="70" t="s">
        <v>29</v>
      </c>
      <c r="S25" s="23" t="s">
        <v>14</v>
      </c>
      <c r="T25" s="11"/>
      <c r="U25" s="12"/>
      <c r="W25" s="86">
        <v>11.0</v>
      </c>
      <c r="X25" s="103" t="s">
        <v>115</v>
      </c>
      <c r="Y25" s="86">
        <f t="shared" si="1"/>
        <v>0</v>
      </c>
    </row>
    <row r="26">
      <c r="A26" s="70" t="s">
        <v>116</v>
      </c>
      <c r="B26" s="70" t="s">
        <v>31</v>
      </c>
      <c r="C26" s="70" t="s">
        <v>35</v>
      </c>
      <c r="D26" s="22"/>
      <c r="E26" s="22"/>
      <c r="F26" s="22"/>
      <c r="G26" s="85"/>
      <c r="H26" s="85"/>
      <c r="I26" s="85"/>
      <c r="J26" s="71"/>
      <c r="K26" s="71"/>
      <c r="L26" s="71"/>
      <c r="M26" s="104" t="s">
        <v>117</v>
      </c>
      <c r="N26" s="104" t="s">
        <v>28</v>
      </c>
      <c r="O26" s="105" t="s">
        <v>29</v>
      </c>
      <c r="P26" s="71" t="s">
        <v>118</v>
      </c>
      <c r="Q26" s="70" t="s">
        <v>28</v>
      </c>
      <c r="R26" s="70" t="s">
        <v>29</v>
      </c>
      <c r="S26" s="72"/>
      <c r="T26" s="73"/>
      <c r="U26" s="73"/>
      <c r="W26" s="86">
        <v>13.0</v>
      </c>
      <c r="X26" s="106" t="s">
        <v>81</v>
      </c>
      <c r="Y26" s="86">
        <f t="shared" si="1"/>
        <v>2</v>
      </c>
    </row>
    <row r="27" ht="15.75" customHeight="1">
      <c r="A27" s="85"/>
      <c r="B27" s="85"/>
      <c r="C27" s="85"/>
      <c r="D27" s="22"/>
      <c r="E27" s="22"/>
      <c r="F27" s="22"/>
      <c r="G27" s="93"/>
      <c r="H27" s="93"/>
      <c r="I27" s="93"/>
      <c r="J27" s="22"/>
      <c r="K27" s="22"/>
      <c r="L27" s="22"/>
      <c r="M27" s="22"/>
      <c r="N27" s="22"/>
      <c r="O27" s="22"/>
      <c r="P27" s="22"/>
      <c r="Q27" s="22"/>
      <c r="R27" s="22"/>
      <c r="S27" s="72"/>
      <c r="T27" s="73"/>
      <c r="U27" s="73"/>
      <c r="W27" s="86">
        <v>14.0</v>
      </c>
      <c r="X27" s="92" t="s">
        <v>112</v>
      </c>
      <c r="Y27" s="86">
        <f t="shared" si="1"/>
        <v>2</v>
      </c>
    </row>
    <row r="28" ht="15.75" customHeight="1">
      <c r="A28" s="70"/>
      <c r="B28" s="70"/>
      <c r="C28" s="70"/>
      <c r="D28" s="70"/>
      <c r="E28" s="70"/>
      <c r="F28" s="70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72"/>
      <c r="T28" s="73"/>
      <c r="U28" s="73"/>
      <c r="W28" s="86">
        <v>15.0</v>
      </c>
      <c r="X28" s="92" t="s">
        <v>108</v>
      </c>
      <c r="Y28" s="86">
        <f t="shared" si="1"/>
        <v>2</v>
      </c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11</v>
      </c>
      <c r="N29" s="11"/>
      <c r="O29" s="12"/>
      <c r="P29" s="78" t="s">
        <v>75</v>
      </c>
      <c r="Q29" s="11"/>
      <c r="R29" s="12"/>
      <c r="S29" s="79" t="s">
        <v>100</v>
      </c>
      <c r="T29" s="11"/>
      <c r="U29" s="12"/>
      <c r="W29" s="86">
        <v>16.0</v>
      </c>
      <c r="X29" s="108" t="s">
        <v>104</v>
      </c>
      <c r="Y29" s="86">
        <f t="shared" si="1"/>
        <v>2</v>
      </c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82">
        <f>M30+1</f>
        <v>46193</v>
      </c>
      <c r="Q30" s="11"/>
      <c r="R30" s="12"/>
      <c r="S30" s="83">
        <f>P30+1</f>
        <v>46194</v>
      </c>
      <c r="T30" s="11"/>
      <c r="U30" s="12"/>
      <c r="W30" s="86">
        <v>17.0</v>
      </c>
      <c r="X30" s="87" t="s">
        <v>119</v>
      </c>
      <c r="Y30" s="86">
        <f t="shared" si="1"/>
        <v>1</v>
      </c>
    </row>
    <row r="31" ht="15.75" customHeight="1">
      <c r="A31" s="22"/>
      <c r="B31" s="22"/>
      <c r="C31" s="22"/>
      <c r="D31" s="71"/>
      <c r="E31" s="71"/>
      <c r="F31" s="71"/>
      <c r="G31" s="85"/>
      <c r="H31" s="85"/>
      <c r="I31" s="70"/>
      <c r="J31" s="90"/>
      <c r="K31" s="90"/>
      <c r="L31" s="90"/>
      <c r="O31" s="90"/>
      <c r="P31" s="22"/>
      <c r="Q31" s="22"/>
      <c r="R31" s="22"/>
      <c r="S31" s="109"/>
      <c r="T31" s="109"/>
      <c r="U31" s="109"/>
      <c r="W31" s="86">
        <v>18.0</v>
      </c>
      <c r="X31" s="92" t="s">
        <v>79</v>
      </c>
      <c r="Y31" s="86">
        <f t="shared" si="1"/>
        <v>2</v>
      </c>
    </row>
    <row r="32" ht="15.75" customHeight="1">
      <c r="A32" s="110" t="s">
        <v>120</v>
      </c>
      <c r="B32" s="11"/>
      <c r="C32" s="12"/>
      <c r="D32" s="71"/>
      <c r="E32" s="71"/>
      <c r="F32" s="71"/>
      <c r="G32" s="85" t="s">
        <v>78</v>
      </c>
      <c r="H32" s="85" t="s">
        <v>49</v>
      </c>
      <c r="I32" s="70" t="s">
        <v>35</v>
      </c>
      <c r="J32" s="70" t="s">
        <v>79</v>
      </c>
      <c r="K32" s="70" t="s">
        <v>105</v>
      </c>
      <c r="L32" s="71" t="s">
        <v>35</v>
      </c>
      <c r="M32" s="91" t="s">
        <v>91</v>
      </c>
      <c r="N32" s="90" t="s">
        <v>92</v>
      </c>
      <c r="O32" s="38" t="s">
        <v>35</v>
      </c>
      <c r="S32" s="109"/>
      <c r="T32" s="109"/>
      <c r="U32" s="109"/>
      <c r="W32" s="86">
        <v>19.0</v>
      </c>
      <c r="X32" s="92" t="s">
        <v>116</v>
      </c>
      <c r="Y32" s="86">
        <f t="shared" si="1"/>
        <v>2</v>
      </c>
    </row>
    <row r="33" ht="15.75" customHeight="1">
      <c r="A33" s="21" t="s">
        <v>82</v>
      </c>
      <c r="B33" s="21" t="s">
        <v>103</v>
      </c>
      <c r="C33" s="21" t="s">
        <v>25</v>
      </c>
      <c r="D33" s="23" t="s">
        <v>14</v>
      </c>
      <c r="E33" s="11"/>
      <c r="F33" s="12"/>
      <c r="G33" s="85"/>
      <c r="H33" s="22"/>
      <c r="I33" s="90"/>
      <c r="J33" s="85" t="s">
        <v>85</v>
      </c>
      <c r="K33" s="70" t="s">
        <v>33</v>
      </c>
      <c r="L33" s="85" t="s">
        <v>25</v>
      </c>
      <c r="M33" s="70" t="s">
        <v>94</v>
      </c>
      <c r="N33" s="70" t="s">
        <v>95</v>
      </c>
      <c r="O33" s="70" t="s">
        <v>25</v>
      </c>
      <c r="P33" s="71" t="s">
        <v>81</v>
      </c>
      <c r="Q33" s="70" t="s">
        <v>52</v>
      </c>
      <c r="R33" s="70" t="s">
        <v>29</v>
      </c>
      <c r="S33" s="23" t="s">
        <v>14</v>
      </c>
      <c r="T33" s="11"/>
      <c r="U33" s="12"/>
      <c r="W33" s="86">
        <v>20.0</v>
      </c>
      <c r="X33" s="87" t="s">
        <v>109</v>
      </c>
      <c r="Y33" s="86">
        <f t="shared" si="1"/>
        <v>2</v>
      </c>
    </row>
    <row r="34" ht="15.75" customHeight="1">
      <c r="A34" s="21" t="s">
        <v>76</v>
      </c>
      <c r="B34" s="21" t="s">
        <v>107</v>
      </c>
      <c r="C34" s="21" t="s">
        <v>25</v>
      </c>
      <c r="D34" s="71"/>
      <c r="E34" s="71"/>
      <c r="F34" s="71"/>
      <c r="G34" s="89" t="s">
        <v>77</v>
      </c>
      <c r="H34" s="89" t="s">
        <v>24</v>
      </c>
      <c r="I34" s="70" t="s">
        <v>35</v>
      </c>
      <c r="J34" s="70"/>
      <c r="K34" s="70"/>
      <c r="L34" s="70"/>
      <c r="M34" s="71" t="s">
        <v>80</v>
      </c>
      <c r="N34" s="71" t="s">
        <v>57</v>
      </c>
      <c r="O34" s="38" t="s">
        <v>29</v>
      </c>
      <c r="P34" s="74" t="s">
        <v>88</v>
      </c>
      <c r="Q34" s="21" t="s">
        <v>49</v>
      </c>
      <c r="R34" s="38" t="s">
        <v>35</v>
      </c>
      <c r="S34" s="85"/>
      <c r="T34" s="85"/>
      <c r="U34" s="85"/>
      <c r="W34" s="86">
        <v>21.0</v>
      </c>
      <c r="X34" s="92" t="s">
        <v>83</v>
      </c>
      <c r="Y34" s="86">
        <f t="shared" si="1"/>
        <v>2</v>
      </c>
    </row>
    <row r="35" ht="15.75" customHeight="1">
      <c r="A35" s="21" t="s">
        <v>121</v>
      </c>
      <c r="B35" s="21" t="s">
        <v>111</v>
      </c>
      <c r="C35" s="21" t="s">
        <v>25</v>
      </c>
      <c r="D35" s="22"/>
      <c r="E35" s="22"/>
      <c r="F35" s="22"/>
      <c r="G35" s="70" t="s">
        <v>83</v>
      </c>
      <c r="H35" s="70" t="s">
        <v>84</v>
      </c>
      <c r="I35" s="70" t="s">
        <v>25</v>
      </c>
      <c r="J35" s="70" t="s">
        <v>96</v>
      </c>
      <c r="K35" s="70" t="s">
        <v>97</v>
      </c>
      <c r="L35" s="70" t="s">
        <v>29</v>
      </c>
      <c r="M35" s="71" t="s">
        <v>86</v>
      </c>
      <c r="N35" s="71" t="s">
        <v>87</v>
      </c>
      <c r="P35" s="70" t="s">
        <v>119</v>
      </c>
      <c r="Q35" s="74" t="s">
        <v>122</v>
      </c>
      <c r="R35" s="71" t="s">
        <v>29</v>
      </c>
      <c r="S35" s="77"/>
      <c r="T35" s="77"/>
      <c r="U35" s="77"/>
      <c r="W35" s="86">
        <v>22.0</v>
      </c>
      <c r="X35" s="92" t="s">
        <v>77</v>
      </c>
      <c r="Y35" s="86">
        <f t="shared" si="1"/>
        <v>2</v>
      </c>
      <c r="Z35" s="69">
        <v>0.0</v>
      </c>
    </row>
    <row r="36" ht="15.75" customHeight="1">
      <c r="A36" s="77"/>
      <c r="B36" s="77"/>
      <c r="C36" s="101"/>
      <c r="D36" s="22"/>
      <c r="E36" s="22"/>
      <c r="F36" s="22"/>
      <c r="G36" s="77" t="s">
        <v>89</v>
      </c>
      <c r="H36" s="77" t="s">
        <v>90</v>
      </c>
      <c r="I36" s="77" t="s">
        <v>25</v>
      </c>
      <c r="M36" s="71"/>
      <c r="N36" s="71"/>
      <c r="O36" s="70"/>
      <c r="S36" s="74"/>
      <c r="T36" s="74"/>
      <c r="U36" s="74"/>
      <c r="W36" s="86">
        <v>23.0</v>
      </c>
      <c r="X36" s="92" t="s">
        <v>96</v>
      </c>
      <c r="Y36" s="86">
        <f t="shared" si="1"/>
        <v>2</v>
      </c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4" t="s">
        <v>99</v>
      </c>
      <c r="H37" s="11"/>
      <c r="I37" s="12"/>
      <c r="J37" s="94" t="s">
        <v>10</v>
      </c>
      <c r="K37" s="11"/>
      <c r="L37" s="12"/>
      <c r="M37" s="10" t="s">
        <v>11</v>
      </c>
      <c r="N37" s="11"/>
      <c r="O37" s="12"/>
      <c r="P37" s="10" t="s">
        <v>12</v>
      </c>
      <c r="Q37" s="11"/>
      <c r="R37" s="12"/>
      <c r="S37" s="13" t="s">
        <v>13</v>
      </c>
      <c r="T37" s="11"/>
      <c r="U37" s="12"/>
      <c r="W37" s="86">
        <v>24.0</v>
      </c>
      <c r="X37" s="92" t="s">
        <v>121</v>
      </c>
      <c r="Y37" s="86">
        <f t="shared" si="1"/>
        <v>2</v>
      </c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7">
        <f>D38+1</f>
        <v>46197</v>
      </c>
      <c r="H38" s="11"/>
      <c r="I38" s="12"/>
      <c r="J38" s="97">
        <f>G38+1</f>
        <v>46198</v>
      </c>
      <c r="K38" s="11"/>
      <c r="L38" s="12"/>
      <c r="M38" s="15">
        <f>J38+1</f>
        <v>46199</v>
      </c>
      <c r="N38" s="11"/>
      <c r="O38" s="12"/>
      <c r="P38" s="15">
        <f>M38+1</f>
        <v>46200</v>
      </c>
      <c r="Q38" s="11"/>
      <c r="R38" s="12"/>
      <c r="S38" s="15">
        <f>P38+1</f>
        <v>46201</v>
      </c>
      <c r="T38" s="11"/>
      <c r="U38" s="12"/>
      <c r="W38" s="86">
        <v>25.0</v>
      </c>
      <c r="X38" s="106" t="s">
        <v>118</v>
      </c>
      <c r="Y38" s="86">
        <f t="shared" si="1"/>
        <v>2</v>
      </c>
    </row>
    <row r="39" ht="15.75" customHeight="1">
      <c r="A39" s="74"/>
      <c r="B39" s="74"/>
      <c r="C39" s="74"/>
      <c r="D39" s="76"/>
      <c r="E39" s="76"/>
      <c r="F39" s="76"/>
      <c r="G39" s="22"/>
      <c r="H39" s="22"/>
      <c r="I39" s="22"/>
      <c r="J39" s="77"/>
      <c r="K39" s="77"/>
      <c r="L39" s="77"/>
      <c r="M39" s="21"/>
      <c r="N39" s="21"/>
      <c r="O39" s="21"/>
      <c r="P39" s="76"/>
      <c r="Q39" s="76"/>
      <c r="R39" s="76"/>
      <c r="S39" s="70"/>
      <c r="T39" s="70"/>
      <c r="U39" s="70"/>
      <c r="W39" s="86">
        <v>26.0</v>
      </c>
      <c r="X39" s="111" t="s">
        <v>110</v>
      </c>
      <c r="Y39" s="86">
        <f t="shared" si="1"/>
        <v>2</v>
      </c>
    </row>
    <row r="40" ht="15.75" customHeight="1">
      <c r="A40" s="88" t="s">
        <v>82</v>
      </c>
      <c r="B40" s="88" t="s">
        <v>103</v>
      </c>
      <c r="C40" s="88" t="s">
        <v>25</v>
      </c>
      <c r="D40" s="102" t="s">
        <v>101</v>
      </c>
      <c r="E40" s="102" t="s">
        <v>31</v>
      </c>
      <c r="F40" s="102" t="s">
        <v>35</v>
      </c>
      <c r="G40" s="85" t="s">
        <v>104</v>
      </c>
      <c r="H40" s="85" t="s">
        <v>105</v>
      </c>
      <c r="I40" s="85" t="s">
        <v>29</v>
      </c>
      <c r="J40" s="71" t="s">
        <v>93</v>
      </c>
      <c r="K40" s="70" t="s">
        <v>63</v>
      </c>
      <c r="L40" s="70" t="s">
        <v>35</v>
      </c>
      <c r="M40" s="71" t="s">
        <v>80</v>
      </c>
      <c r="N40" s="71" t="s">
        <v>106</v>
      </c>
      <c r="O40" s="70" t="s">
        <v>25</v>
      </c>
      <c r="P40" s="74" t="s">
        <v>88</v>
      </c>
      <c r="Q40" s="21" t="s">
        <v>40</v>
      </c>
      <c r="R40" s="38" t="s">
        <v>35</v>
      </c>
      <c r="S40" s="71"/>
      <c r="T40" s="71"/>
      <c r="U40" s="71"/>
      <c r="W40" s="86">
        <v>29.0</v>
      </c>
      <c r="X40" s="112" t="s">
        <v>85</v>
      </c>
      <c r="Y40" s="86">
        <f t="shared" si="1"/>
        <v>2</v>
      </c>
    </row>
    <row r="41" ht="15.75" customHeight="1">
      <c r="A41" s="77" t="s">
        <v>76</v>
      </c>
      <c r="B41" s="77" t="s">
        <v>107</v>
      </c>
      <c r="C41" s="77" t="s">
        <v>25</v>
      </c>
      <c r="D41" s="113" t="s">
        <v>108</v>
      </c>
      <c r="E41" s="113" t="s">
        <v>57</v>
      </c>
      <c r="F41" s="113" t="s">
        <v>123</v>
      </c>
      <c r="G41" s="71" t="s">
        <v>109</v>
      </c>
      <c r="H41" s="71" t="s">
        <v>124</v>
      </c>
      <c r="I41" s="70" t="s">
        <v>25</v>
      </c>
      <c r="J41" s="70" t="s">
        <v>110</v>
      </c>
      <c r="K41" s="70" t="s">
        <v>111</v>
      </c>
      <c r="L41" s="70" t="s">
        <v>25</v>
      </c>
      <c r="M41" s="71" t="s">
        <v>112</v>
      </c>
      <c r="N41" s="71" t="s">
        <v>24</v>
      </c>
      <c r="O41" s="38" t="s">
        <v>35</v>
      </c>
      <c r="P41" s="71" t="s">
        <v>118</v>
      </c>
      <c r="Q41" s="70" t="s">
        <v>28</v>
      </c>
      <c r="R41" s="70" t="s">
        <v>29</v>
      </c>
      <c r="S41" s="23" t="s">
        <v>14</v>
      </c>
      <c r="T41" s="11"/>
      <c r="U41" s="12"/>
      <c r="W41" s="86">
        <v>27.0</v>
      </c>
      <c r="X41" s="114" t="s">
        <v>125</v>
      </c>
      <c r="Y41" s="100">
        <f t="shared" si="1"/>
        <v>0</v>
      </c>
    </row>
    <row r="42" ht="15.75" customHeight="1">
      <c r="A42" s="70" t="s">
        <v>116</v>
      </c>
      <c r="B42" s="70" t="s">
        <v>31</v>
      </c>
      <c r="C42" s="70" t="s">
        <v>35</v>
      </c>
      <c r="D42" s="70"/>
      <c r="E42" s="70"/>
      <c r="F42" s="70"/>
      <c r="G42" s="71"/>
      <c r="H42" s="71"/>
      <c r="I42" s="71"/>
      <c r="J42" s="85"/>
      <c r="K42" s="85"/>
      <c r="L42" s="85"/>
      <c r="M42" s="104" t="s">
        <v>117</v>
      </c>
      <c r="N42" s="104" t="s">
        <v>28</v>
      </c>
      <c r="O42" s="104" t="s">
        <v>29</v>
      </c>
      <c r="S42" s="70"/>
      <c r="T42" s="70"/>
      <c r="U42" s="70"/>
      <c r="W42" s="86">
        <v>30.0</v>
      </c>
      <c r="X42" s="115" t="s">
        <v>80</v>
      </c>
      <c r="Y42" s="86">
        <f t="shared" si="1"/>
        <v>4</v>
      </c>
    </row>
    <row r="43" ht="15.75" customHeight="1">
      <c r="D43" s="70"/>
      <c r="E43" s="70"/>
      <c r="F43" s="70"/>
      <c r="G43" s="71"/>
      <c r="H43" s="71"/>
      <c r="I43" s="71"/>
      <c r="J43" s="85"/>
      <c r="K43" s="85"/>
      <c r="L43" s="85"/>
      <c r="M43" s="93"/>
      <c r="N43" s="93"/>
      <c r="O43" s="93"/>
      <c r="P43" s="22"/>
      <c r="Q43" s="22"/>
      <c r="R43" s="22"/>
      <c r="S43" s="70"/>
      <c r="T43" s="70"/>
      <c r="U43" s="70"/>
      <c r="W43" s="86">
        <v>28.0</v>
      </c>
      <c r="X43" s="104" t="s">
        <v>117</v>
      </c>
      <c r="Y43" s="86">
        <f t="shared" si="1"/>
        <v>2</v>
      </c>
    </row>
    <row r="44" ht="15.75" customHeight="1">
      <c r="A44" s="22"/>
      <c r="B44" s="22"/>
      <c r="C44" s="22"/>
      <c r="D44" s="70"/>
      <c r="E44" s="70"/>
      <c r="F44" s="70"/>
      <c r="G44" s="74"/>
      <c r="H44" s="74"/>
      <c r="I44" s="116"/>
      <c r="J44" s="93"/>
      <c r="K44" s="93"/>
      <c r="L44" s="93"/>
      <c r="M44" s="73"/>
      <c r="N44" s="73"/>
      <c r="O44" s="73"/>
      <c r="P44" s="77"/>
      <c r="Q44" s="77"/>
      <c r="R44" s="77"/>
      <c r="S44" s="71"/>
      <c r="T44" s="71"/>
      <c r="U44" s="71"/>
      <c r="W44" s="86">
        <v>31.0</v>
      </c>
      <c r="X44" s="117"/>
      <c r="Y44" s="86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11</v>
      </c>
      <c r="N45" s="11"/>
      <c r="O45" s="12"/>
      <c r="P45" s="78" t="s">
        <v>75</v>
      </c>
      <c r="Q45" s="11"/>
      <c r="R45" s="12"/>
      <c r="S45" s="79" t="s">
        <v>100</v>
      </c>
      <c r="T45" s="11"/>
      <c r="U45" s="12"/>
      <c r="W45" s="86">
        <v>12.0</v>
      </c>
      <c r="X45" s="118"/>
      <c r="Y45" s="86"/>
    </row>
    <row r="46" ht="15.75" customHeight="1">
      <c r="A46" s="82">
        <f>S38+1</f>
        <v>46202</v>
      </c>
      <c r="B46" s="11"/>
      <c r="C46" s="12"/>
      <c r="D46" s="81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82"/>
      <c r="Q46" s="11"/>
      <c r="R46" s="12"/>
      <c r="S46" s="83"/>
      <c r="T46" s="11"/>
      <c r="U46" s="12"/>
      <c r="W46" s="86">
        <v>32.0</v>
      </c>
      <c r="X46" s="119"/>
      <c r="Y46" s="86"/>
    </row>
    <row r="47" ht="15.75" customHeight="1">
      <c r="A47" s="21" t="s">
        <v>82</v>
      </c>
      <c r="B47" s="21" t="s">
        <v>103</v>
      </c>
      <c r="C47" s="21" t="s">
        <v>25</v>
      </c>
      <c r="D47" s="70"/>
      <c r="E47" s="70"/>
      <c r="F47" s="71"/>
      <c r="G47" s="70"/>
      <c r="H47" s="70"/>
      <c r="I47" s="70"/>
      <c r="J47" s="76"/>
      <c r="K47" s="76"/>
      <c r="L47" s="76"/>
      <c r="M47" s="70"/>
      <c r="N47" s="70"/>
      <c r="O47" s="70"/>
      <c r="P47" s="70"/>
      <c r="Q47" s="70"/>
      <c r="R47" s="70"/>
      <c r="S47" s="120"/>
      <c r="T47" s="120"/>
      <c r="U47" s="120"/>
      <c r="W47" s="86">
        <v>33.0</v>
      </c>
      <c r="X47" s="121"/>
      <c r="Y47" s="86"/>
    </row>
    <row r="48" ht="15.75" customHeight="1">
      <c r="A48" s="21" t="s">
        <v>76</v>
      </c>
      <c r="B48" s="21" t="s">
        <v>107</v>
      </c>
      <c r="C48" s="21" t="s">
        <v>25</v>
      </c>
      <c r="D48" s="19"/>
      <c r="E48" s="19"/>
      <c r="F48" s="19"/>
      <c r="G48" s="71"/>
      <c r="H48" s="71"/>
      <c r="I48" s="70"/>
      <c r="J48" s="19"/>
      <c r="K48" s="19"/>
      <c r="L48" s="19"/>
      <c r="M48" s="70"/>
      <c r="N48" s="70"/>
      <c r="O48" s="70"/>
      <c r="P48" s="71"/>
      <c r="Q48" s="71"/>
      <c r="R48" s="70"/>
      <c r="S48" s="122"/>
      <c r="T48" s="122"/>
      <c r="U48" s="122"/>
    </row>
    <row r="49" ht="15.75" customHeight="1">
      <c r="A49" s="21" t="s">
        <v>121</v>
      </c>
      <c r="B49" s="21" t="s">
        <v>111</v>
      </c>
      <c r="C49" s="21" t="s">
        <v>25</v>
      </c>
      <c r="D49" s="89"/>
      <c r="E49" s="89"/>
      <c r="F49" s="89"/>
      <c r="G49" s="77"/>
      <c r="H49" s="77"/>
      <c r="I49" s="101"/>
      <c r="J49" s="85"/>
      <c r="K49" s="85"/>
      <c r="L49" s="85"/>
      <c r="M49" s="19"/>
      <c r="N49" s="19"/>
      <c r="O49" s="19"/>
      <c r="P49" s="71"/>
      <c r="Q49" s="71"/>
      <c r="R49" s="38"/>
      <c r="S49" s="72"/>
      <c r="T49" s="72"/>
      <c r="U49" s="72"/>
      <c r="Y49" s="69">
        <f>SUM(Y15:Y48)</f>
        <v>59</v>
      </c>
    </row>
    <row r="50" ht="15.75" customHeight="1">
      <c r="A50" s="70"/>
      <c r="B50" s="70"/>
      <c r="C50" s="70"/>
      <c r="D50" s="19"/>
      <c r="E50" s="19"/>
      <c r="F50" s="19"/>
      <c r="G50" s="70"/>
      <c r="H50" s="70"/>
      <c r="I50" s="70"/>
      <c r="J50" s="70"/>
      <c r="K50" s="70"/>
      <c r="L50" s="70"/>
      <c r="M50" s="123"/>
      <c r="N50" s="123"/>
      <c r="O50" s="123"/>
      <c r="P50" s="71"/>
      <c r="Q50" s="71"/>
      <c r="R50" s="38"/>
      <c r="S50" s="122"/>
      <c r="T50" s="122"/>
      <c r="U50" s="122"/>
    </row>
    <row r="51" ht="15.75" customHeight="1">
      <c r="A51" s="70"/>
      <c r="B51" s="70"/>
      <c r="C51" s="70"/>
      <c r="D51" s="124"/>
      <c r="E51" s="124"/>
      <c r="F51" s="124"/>
      <c r="G51" s="77"/>
      <c r="H51" s="77"/>
      <c r="I51" s="101"/>
      <c r="J51" s="77"/>
      <c r="K51" s="77"/>
      <c r="L51" s="77"/>
      <c r="M51" s="70"/>
      <c r="N51" s="70"/>
      <c r="O51" s="70"/>
      <c r="P51" s="71"/>
      <c r="Q51" s="71"/>
      <c r="R51" s="38"/>
      <c r="S51" s="72"/>
      <c r="T51" s="72"/>
      <c r="U51" s="72"/>
    </row>
    <row r="52" ht="15.75" customHeight="1">
      <c r="A52" s="71"/>
      <c r="B52" s="71"/>
      <c r="C52" s="71"/>
      <c r="D52" s="74"/>
      <c r="E52" s="74"/>
      <c r="F52" s="116"/>
      <c r="G52" s="77"/>
      <c r="H52" s="77"/>
      <c r="I52" s="101"/>
      <c r="J52" s="77"/>
      <c r="K52" s="77"/>
      <c r="L52" s="77"/>
      <c r="M52" s="70"/>
      <c r="N52" s="70"/>
      <c r="O52" s="70"/>
      <c r="P52" s="85"/>
      <c r="Q52" s="71"/>
      <c r="R52" s="70"/>
      <c r="S52" s="122"/>
      <c r="T52" s="122"/>
      <c r="U52" s="122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>
      <c r="A59" s="62"/>
      <c r="B59" s="57" t="s">
        <v>68</v>
      </c>
      <c r="C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>
    <sortState ref="W14:Y45">
      <sortCondition ref="X14:X45"/>
    </sortState>
  </autoFilter>
  <mergeCells count="102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S14:U14"/>
    <mergeCell ref="S17:U17"/>
    <mergeCell ref="A14:C14"/>
    <mergeCell ref="D14:F14"/>
    <mergeCell ref="G14:I14"/>
    <mergeCell ref="J14:L14"/>
    <mergeCell ref="M14:O14"/>
    <mergeCell ref="P14:R14"/>
    <mergeCell ref="A17:C17"/>
    <mergeCell ref="P37:R37"/>
    <mergeCell ref="S37:U37"/>
    <mergeCell ref="S41:U41"/>
    <mergeCell ref="P45:R45"/>
    <mergeCell ref="S45:U45"/>
    <mergeCell ref="J37:L37"/>
    <mergeCell ref="M37:O37"/>
    <mergeCell ref="A45:C45"/>
    <mergeCell ref="D45:F45"/>
    <mergeCell ref="G45:I45"/>
    <mergeCell ref="J45:L45"/>
    <mergeCell ref="M45:O45"/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A29:C29"/>
    <mergeCell ref="D30:F30"/>
    <mergeCell ref="G30:I30"/>
    <mergeCell ref="J30:L30"/>
    <mergeCell ref="M30:O30"/>
    <mergeCell ref="P30:R30"/>
    <mergeCell ref="S30:U30"/>
    <mergeCell ref="A38:C38"/>
    <mergeCell ref="D38:F38"/>
    <mergeCell ref="G38:I38"/>
    <mergeCell ref="J38:L38"/>
    <mergeCell ref="M38:O38"/>
    <mergeCell ref="P38:R38"/>
    <mergeCell ref="S38:U38"/>
    <mergeCell ref="A30:C30"/>
    <mergeCell ref="A32:C32"/>
    <mergeCell ref="D33:F33"/>
    <mergeCell ref="S33:U33"/>
    <mergeCell ref="A37:C37"/>
    <mergeCell ref="D37:F37"/>
    <mergeCell ref="G37:I37"/>
    <mergeCell ref="A46:C46"/>
    <mergeCell ref="D46:F46"/>
    <mergeCell ref="G46:I46"/>
    <mergeCell ref="J46:L46"/>
    <mergeCell ref="M46:O46"/>
    <mergeCell ref="P46:R46"/>
    <mergeCell ref="S46:U46"/>
    <mergeCell ref="B55:D55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6.14"/>
    <col customWidth="1" min="4" max="4" width="19.86"/>
    <col customWidth="1" min="5" max="5" width="11.57"/>
    <col customWidth="1" min="6" max="6" width="7.71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7.43"/>
    <col customWidth="1" min="17" max="17" width="12.86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8.71"/>
  </cols>
  <sheetData>
    <row r="1" ht="22.5" customHeight="1">
      <c r="A1" s="6" t="s">
        <v>69</v>
      </c>
      <c r="C1" s="125" t="s">
        <v>126</v>
      </c>
      <c r="F1" s="3"/>
      <c r="G1" s="4" t="s">
        <v>2</v>
      </c>
      <c r="Q1" s="3"/>
    </row>
    <row r="2">
      <c r="A2" s="6" t="s">
        <v>3</v>
      </c>
      <c r="C2" s="7" t="s">
        <v>71</v>
      </c>
      <c r="F2" s="3"/>
      <c r="Q2" s="3"/>
    </row>
    <row r="3">
      <c r="A3" s="6" t="s">
        <v>5</v>
      </c>
      <c r="C3" s="126" t="s">
        <v>72</v>
      </c>
      <c r="F3" s="3"/>
      <c r="Q3" s="3"/>
    </row>
    <row r="4">
      <c r="A4" s="6" t="s">
        <v>6</v>
      </c>
      <c r="C4" s="126" t="s">
        <v>72</v>
      </c>
      <c r="F4" s="3"/>
      <c r="G4" s="3"/>
      <c r="H4" s="3"/>
      <c r="I4" s="3"/>
      <c r="J4" s="3"/>
      <c r="K4" s="3"/>
      <c r="L4" s="3"/>
      <c r="M4" s="3"/>
      <c r="N4" s="3"/>
      <c r="O4" s="127"/>
      <c r="P4" s="128"/>
      <c r="Q4" s="129"/>
    </row>
    <row r="5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  <c r="W5" s="130" t="s">
        <v>15</v>
      </c>
      <c r="X5" s="131" t="s">
        <v>127</v>
      </c>
      <c r="Y5" s="132" t="s">
        <v>17</v>
      </c>
    </row>
    <row r="6">
      <c r="A6" s="14"/>
      <c r="B6" s="11"/>
      <c r="C6" s="12"/>
      <c r="D6" s="14"/>
      <c r="E6" s="11"/>
      <c r="F6" s="12"/>
      <c r="G6" s="15"/>
      <c r="H6" s="11"/>
      <c r="I6" s="12"/>
      <c r="J6" s="15"/>
      <c r="K6" s="11"/>
      <c r="L6" s="12"/>
      <c r="M6" s="16"/>
      <c r="N6" s="11"/>
      <c r="O6" s="12"/>
      <c r="P6" s="15"/>
      <c r="Q6" s="11"/>
      <c r="R6" s="12"/>
      <c r="S6" s="16"/>
      <c r="T6" s="11"/>
      <c r="U6" s="12"/>
      <c r="W6" s="133">
        <v>1.0</v>
      </c>
      <c r="X6" s="134" t="s">
        <v>128</v>
      </c>
      <c r="Y6" s="135">
        <f t="shared" ref="Y6:Y34" si="1">COUNTIF($A$5:$U$51,X6)</f>
        <v>1</v>
      </c>
    </row>
    <row r="7">
      <c r="A7" s="136"/>
      <c r="B7" s="136"/>
      <c r="C7" s="136"/>
      <c r="D7" s="136"/>
      <c r="E7" s="136"/>
      <c r="F7" s="136"/>
      <c r="G7" s="93"/>
      <c r="H7" s="93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W7" s="133">
        <v>2.0</v>
      </c>
      <c r="X7" s="20"/>
      <c r="Y7" s="135">
        <f t="shared" si="1"/>
        <v>0</v>
      </c>
    </row>
    <row r="8">
      <c r="A8" s="76"/>
      <c r="B8" s="76"/>
      <c r="C8" s="76"/>
      <c r="D8" s="137"/>
      <c r="E8" s="137"/>
      <c r="F8" s="137"/>
      <c r="G8" s="93"/>
      <c r="H8" s="93"/>
      <c r="I8" s="93"/>
      <c r="J8" s="136"/>
      <c r="K8" s="136"/>
      <c r="L8" s="136"/>
      <c r="M8" s="76"/>
      <c r="N8" s="76"/>
      <c r="O8" s="76"/>
      <c r="P8" s="136"/>
      <c r="Q8" s="136"/>
      <c r="R8" s="136"/>
      <c r="S8" s="136"/>
      <c r="T8" s="136"/>
      <c r="U8" s="136"/>
      <c r="W8" s="133">
        <v>3.0</v>
      </c>
      <c r="X8" s="134" t="s">
        <v>129</v>
      </c>
      <c r="Y8" s="135">
        <f t="shared" si="1"/>
        <v>2</v>
      </c>
    </row>
    <row r="9">
      <c r="A9" s="19"/>
      <c r="B9" s="76"/>
      <c r="C9" s="76"/>
      <c r="D9" s="93"/>
      <c r="E9" s="93"/>
      <c r="F9" s="93"/>
      <c r="G9" s="138"/>
      <c r="H9" s="138"/>
      <c r="I9" s="138"/>
      <c r="J9" s="93"/>
      <c r="K9" s="93"/>
      <c r="L9" s="93"/>
      <c r="M9" s="76"/>
      <c r="N9" s="76"/>
      <c r="O9" s="76"/>
      <c r="P9" s="136"/>
      <c r="Q9" s="136"/>
      <c r="R9" s="136"/>
      <c r="S9" s="139" t="s">
        <v>14</v>
      </c>
      <c r="T9" s="11"/>
      <c r="U9" s="12"/>
      <c r="W9" s="133">
        <v>4.0</v>
      </c>
      <c r="X9" s="134" t="s">
        <v>130</v>
      </c>
      <c r="Y9" s="135">
        <f t="shared" si="1"/>
        <v>2</v>
      </c>
    </row>
    <row r="10">
      <c r="A10" s="19"/>
      <c r="B10" s="76"/>
      <c r="C10" s="76"/>
      <c r="D10" s="138"/>
      <c r="E10" s="138"/>
      <c r="F10" s="138"/>
      <c r="G10" s="138"/>
      <c r="H10" s="138"/>
      <c r="I10" s="138"/>
      <c r="J10" s="136"/>
      <c r="K10" s="136"/>
      <c r="L10" s="136"/>
      <c r="M10" s="19"/>
      <c r="N10" s="76"/>
      <c r="O10" s="76"/>
      <c r="P10" s="136"/>
      <c r="Q10" s="136"/>
      <c r="R10" s="136"/>
      <c r="S10" s="76"/>
      <c r="T10" s="76"/>
      <c r="U10" s="76"/>
      <c r="W10" s="133">
        <v>5.0</v>
      </c>
      <c r="X10" s="140" t="s">
        <v>131</v>
      </c>
      <c r="Y10" s="135">
        <f t="shared" si="1"/>
        <v>4</v>
      </c>
    </row>
    <row r="11">
      <c r="A11" s="85"/>
      <c r="B11" s="85"/>
      <c r="C11" s="85"/>
      <c r="D11" s="89"/>
      <c r="E11" s="89"/>
      <c r="F11" s="89"/>
      <c r="G11" s="22"/>
      <c r="H11" s="22"/>
      <c r="I11" s="22"/>
      <c r="J11" s="136"/>
      <c r="K11" s="136"/>
      <c r="L11" s="136"/>
      <c r="M11" s="85"/>
      <c r="N11" s="85"/>
      <c r="O11" s="85"/>
      <c r="P11" s="76"/>
      <c r="Q11" s="76"/>
      <c r="R11" s="76"/>
      <c r="S11" s="76"/>
      <c r="T11" s="76"/>
      <c r="U11" s="76"/>
      <c r="W11" s="133">
        <v>6.0</v>
      </c>
      <c r="X11" s="141" t="s">
        <v>132</v>
      </c>
      <c r="Y11" s="135">
        <f t="shared" si="1"/>
        <v>0</v>
      </c>
    </row>
    <row r="12">
      <c r="A12" s="76"/>
      <c r="B12" s="76"/>
      <c r="C12" s="76"/>
      <c r="D12" s="76"/>
      <c r="E12" s="76"/>
      <c r="F12" s="76"/>
      <c r="G12" s="138"/>
      <c r="H12" s="138"/>
      <c r="I12" s="138"/>
      <c r="J12" s="138"/>
      <c r="K12" s="138"/>
      <c r="L12" s="138"/>
      <c r="M12" s="76"/>
      <c r="N12" s="76"/>
      <c r="O12" s="76"/>
      <c r="P12" s="76"/>
      <c r="Q12" s="76"/>
      <c r="R12" s="76"/>
      <c r="S12" s="76"/>
      <c r="T12" s="76"/>
      <c r="U12" s="136"/>
      <c r="W12" s="133">
        <v>7.0</v>
      </c>
      <c r="X12" s="134" t="s">
        <v>133</v>
      </c>
      <c r="Y12" s="135">
        <f t="shared" si="1"/>
        <v>2</v>
      </c>
    </row>
    <row r="13">
      <c r="A13" s="107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  <c r="W13" s="133">
        <v>8.0</v>
      </c>
      <c r="X13" s="142" t="s">
        <v>134</v>
      </c>
      <c r="Y13" s="135">
        <f t="shared" si="1"/>
        <v>4</v>
      </c>
    </row>
    <row r="14">
      <c r="A14" s="143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133">
        <v>9.0</v>
      </c>
      <c r="X14" s="134" t="s">
        <v>135</v>
      </c>
      <c r="Y14" s="135">
        <f t="shared" si="1"/>
        <v>2</v>
      </c>
    </row>
    <row r="15">
      <c r="A15" s="22"/>
      <c r="B15" s="22"/>
      <c r="C15" s="22"/>
      <c r="D15" s="93"/>
      <c r="E15" s="93"/>
      <c r="F15" s="76"/>
      <c r="G15" s="76"/>
      <c r="H15" s="76"/>
      <c r="I15" s="123"/>
      <c r="J15" s="76"/>
      <c r="K15" s="76"/>
      <c r="L15" s="123"/>
      <c r="M15" s="76"/>
      <c r="N15" s="76"/>
      <c r="O15" s="123"/>
      <c r="P15" s="136"/>
      <c r="Q15" s="136"/>
      <c r="R15" s="136"/>
      <c r="S15" s="22"/>
      <c r="T15" s="22"/>
      <c r="U15" s="22"/>
      <c r="W15" s="133">
        <v>10.0</v>
      </c>
      <c r="X15" s="134" t="s">
        <v>136</v>
      </c>
      <c r="Y15" s="135">
        <f t="shared" si="1"/>
        <v>2</v>
      </c>
    </row>
    <row r="16">
      <c r="A16" s="22"/>
      <c r="B16" s="22"/>
      <c r="C16" s="22"/>
      <c r="J16" s="144" t="s">
        <v>137</v>
      </c>
      <c r="K16" s="19" t="s">
        <v>138</v>
      </c>
      <c r="L16" s="19" t="s">
        <v>35</v>
      </c>
      <c r="M16" s="76"/>
      <c r="N16" s="76"/>
      <c r="O16" s="123"/>
      <c r="P16" s="136"/>
      <c r="Q16" s="136"/>
      <c r="R16" s="136"/>
      <c r="S16" s="22"/>
      <c r="T16" s="22"/>
      <c r="U16" s="22"/>
      <c r="W16" s="133">
        <v>11.0</v>
      </c>
      <c r="X16" s="145" t="s">
        <v>139</v>
      </c>
      <c r="Y16" s="135">
        <f t="shared" si="1"/>
        <v>2</v>
      </c>
    </row>
    <row r="17">
      <c r="A17" s="139" t="s">
        <v>14</v>
      </c>
      <c r="B17" s="11"/>
      <c r="C17" s="12"/>
      <c r="D17" s="144" t="s">
        <v>134</v>
      </c>
      <c r="E17" s="144" t="s">
        <v>140</v>
      </c>
      <c r="F17" s="144" t="s">
        <v>61</v>
      </c>
      <c r="G17" s="19" t="s">
        <v>141</v>
      </c>
      <c r="H17" s="19" t="s">
        <v>105</v>
      </c>
      <c r="I17" s="102" t="s">
        <v>35</v>
      </c>
      <c r="J17" s="19" t="s">
        <v>142</v>
      </c>
      <c r="K17" s="45" t="s">
        <v>143</v>
      </c>
      <c r="L17" s="19" t="s">
        <v>25</v>
      </c>
      <c r="M17" s="19" t="s">
        <v>144</v>
      </c>
      <c r="N17" s="19" t="s">
        <v>105</v>
      </c>
      <c r="O17" s="19" t="s">
        <v>25</v>
      </c>
      <c r="P17" s="146" t="s">
        <v>145</v>
      </c>
      <c r="Q17" s="147" t="s">
        <v>63</v>
      </c>
      <c r="R17" s="46" t="s">
        <v>29</v>
      </c>
      <c r="S17" s="139" t="s">
        <v>14</v>
      </c>
      <c r="T17" s="11"/>
      <c r="U17" s="12"/>
      <c r="W17" s="133">
        <v>12.0</v>
      </c>
      <c r="X17" s="142" t="s">
        <v>146</v>
      </c>
      <c r="Y17" s="135">
        <f t="shared" si="1"/>
        <v>3</v>
      </c>
    </row>
    <row r="18">
      <c r="A18" s="22"/>
      <c r="B18" s="22"/>
      <c r="C18" s="22"/>
      <c r="D18" s="19" t="s">
        <v>147</v>
      </c>
      <c r="E18" s="19" t="s">
        <v>90</v>
      </c>
      <c r="F18" s="85" t="s">
        <v>25</v>
      </c>
      <c r="G18" s="19" t="s">
        <v>148</v>
      </c>
      <c r="H18" s="19" t="s">
        <v>149</v>
      </c>
      <c r="J18" s="19" t="s">
        <v>150</v>
      </c>
      <c r="K18" s="47"/>
      <c r="L18" s="19" t="s">
        <v>25</v>
      </c>
      <c r="M18" s="19" t="s">
        <v>130</v>
      </c>
      <c r="N18" s="90" t="s">
        <v>90</v>
      </c>
      <c r="O18" s="19" t="s">
        <v>25</v>
      </c>
      <c r="P18" s="19" t="s">
        <v>151</v>
      </c>
      <c r="Q18" s="19" t="s">
        <v>152</v>
      </c>
      <c r="R18" s="19" t="s">
        <v>29</v>
      </c>
      <c r="S18" s="22"/>
      <c r="T18" s="22"/>
      <c r="U18" s="22"/>
      <c r="W18" s="133">
        <v>13.0</v>
      </c>
      <c r="X18" s="134" t="s">
        <v>148</v>
      </c>
      <c r="Y18" s="135">
        <f t="shared" si="1"/>
        <v>4</v>
      </c>
    </row>
    <row r="19" ht="15.0" customHeight="1">
      <c r="A19" s="22"/>
      <c r="B19" s="22"/>
      <c r="C19" s="22"/>
      <c r="D19" s="71" t="s">
        <v>131</v>
      </c>
      <c r="E19" s="148" t="s">
        <v>153</v>
      </c>
      <c r="F19" s="70" t="s">
        <v>25</v>
      </c>
      <c r="G19" s="90" t="s">
        <v>154</v>
      </c>
      <c r="H19" s="90" t="s">
        <v>111</v>
      </c>
      <c r="I19" s="90" t="s">
        <v>25</v>
      </c>
      <c r="J19" s="19" t="s">
        <v>155</v>
      </c>
      <c r="K19" s="48"/>
      <c r="L19" s="19" t="s">
        <v>25</v>
      </c>
      <c r="M19" s="93"/>
      <c r="N19" s="93"/>
      <c r="O19" s="123"/>
      <c r="P19" s="144" t="s">
        <v>156</v>
      </c>
      <c r="Q19" s="144" t="s">
        <v>157</v>
      </c>
      <c r="R19" s="144" t="s">
        <v>29</v>
      </c>
      <c r="S19" s="22"/>
      <c r="T19" s="22"/>
      <c r="U19" s="22"/>
      <c r="W19" s="133">
        <v>14.0</v>
      </c>
      <c r="X19" s="28" t="s">
        <v>147</v>
      </c>
      <c r="Y19" s="135">
        <f t="shared" si="1"/>
        <v>2</v>
      </c>
    </row>
    <row r="20" ht="15.0" customHeight="1">
      <c r="A20" s="76"/>
      <c r="B20" s="76"/>
      <c r="C20" s="76"/>
      <c r="G20" s="76"/>
      <c r="H20" s="76"/>
      <c r="I20" s="76"/>
      <c r="J20" s="19"/>
      <c r="K20" s="19"/>
      <c r="L20" s="102"/>
      <c r="M20" s="93"/>
      <c r="N20" s="93"/>
      <c r="O20" s="123"/>
      <c r="P20" s="123"/>
      <c r="Q20" s="123"/>
      <c r="R20" s="123"/>
      <c r="S20" s="93"/>
      <c r="T20" s="93"/>
      <c r="U20" s="93"/>
      <c r="W20" s="133">
        <v>15.0</v>
      </c>
      <c r="X20" s="145" t="s">
        <v>151</v>
      </c>
      <c r="Y20" s="135">
        <f t="shared" si="1"/>
        <v>2</v>
      </c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11</v>
      </c>
      <c r="N21" s="11"/>
      <c r="O21" s="12"/>
      <c r="P21" s="94" t="s">
        <v>75</v>
      </c>
      <c r="Q21" s="11"/>
      <c r="R21" s="12"/>
      <c r="S21" s="95" t="s">
        <v>100</v>
      </c>
      <c r="T21" s="11"/>
      <c r="U21" s="12"/>
      <c r="W21" s="133">
        <v>16.0</v>
      </c>
      <c r="X21" s="149" t="s">
        <v>156</v>
      </c>
      <c r="Y21" s="135">
        <f t="shared" si="1"/>
        <v>2</v>
      </c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133">
        <v>17.0</v>
      </c>
      <c r="X22" s="57" t="s">
        <v>144</v>
      </c>
      <c r="Y22" s="135">
        <f t="shared" si="1"/>
        <v>4</v>
      </c>
    </row>
    <row r="23" ht="15.75" customHeight="1">
      <c r="A23" s="19"/>
      <c r="B23" s="19"/>
      <c r="C23" s="19"/>
      <c r="D23" s="93"/>
      <c r="E23" s="93"/>
      <c r="F23" s="76"/>
      <c r="G23" s="136"/>
      <c r="H23" s="136"/>
      <c r="I23" s="136"/>
      <c r="J23" s="136"/>
      <c r="K23" s="136"/>
      <c r="L23" s="136"/>
      <c r="M23" s="76"/>
      <c r="N23" s="76"/>
      <c r="O23" s="123"/>
      <c r="P23" s="136"/>
      <c r="Q23" s="136"/>
      <c r="R23" s="136"/>
      <c r="S23" s="93"/>
      <c r="T23" s="76"/>
      <c r="U23" s="93"/>
      <c r="W23" s="133">
        <v>18.0</v>
      </c>
      <c r="X23" s="144" t="s">
        <v>158</v>
      </c>
      <c r="Y23" s="135">
        <f t="shared" si="1"/>
        <v>2</v>
      </c>
    </row>
    <row r="24" ht="15.75" customHeight="1">
      <c r="A24" s="76" t="s">
        <v>133</v>
      </c>
      <c r="B24" s="76" t="s">
        <v>105</v>
      </c>
      <c r="C24" s="76" t="s">
        <v>25</v>
      </c>
      <c r="D24" s="144" t="s">
        <v>134</v>
      </c>
      <c r="E24" s="144" t="s">
        <v>140</v>
      </c>
      <c r="F24" s="144" t="s">
        <v>159</v>
      </c>
      <c r="G24" s="19" t="s">
        <v>141</v>
      </c>
      <c r="H24" s="19" t="s">
        <v>105</v>
      </c>
      <c r="I24" s="102" t="s">
        <v>35</v>
      </c>
      <c r="J24" s="150" t="s">
        <v>160</v>
      </c>
      <c r="K24" s="150" t="s">
        <v>105</v>
      </c>
      <c r="L24" s="150" t="s">
        <v>35</v>
      </c>
      <c r="M24" s="150" t="s">
        <v>161</v>
      </c>
      <c r="N24" s="104" t="s">
        <v>162</v>
      </c>
      <c r="O24" s="150" t="s">
        <v>35</v>
      </c>
      <c r="P24" s="136"/>
      <c r="Q24" s="136"/>
      <c r="R24" s="136"/>
      <c r="S24" s="22"/>
      <c r="T24" s="22"/>
      <c r="U24" s="22"/>
      <c r="W24" s="133">
        <v>19.0</v>
      </c>
      <c r="X24" s="150" t="s">
        <v>141</v>
      </c>
      <c r="Y24" s="135">
        <f t="shared" si="1"/>
        <v>4</v>
      </c>
    </row>
    <row r="25" ht="15.75" customHeight="1">
      <c r="A25" s="19" t="s">
        <v>136</v>
      </c>
      <c r="B25" s="19" t="s">
        <v>28</v>
      </c>
      <c r="C25" s="19" t="s">
        <v>29</v>
      </c>
      <c r="D25" s="71" t="s">
        <v>131</v>
      </c>
      <c r="E25" s="71" t="s">
        <v>52</v>
      </c>
      <c r="F25" s="70" t="s">
        <v>25</v>
      </c>
      <c r="G25" s="19" t="s">
        <v>148</v>
      </c>
      <c r="H25" s="19" t="s">
        <v>163</v>
      </c>
      <c r="I25" s="102" t="s">
        <v>29</v>
      </c>
      <c r="J25" s="144" t="s">
        <v>137</v>
      </c>
      <c r="K25" s="19" t="s">
        <v>138</v>
      </c>
      <c r="L25" s="19" t="s">
        <v>35</v>
      </c>
      <c r="M25" s="151" t="s">
        <v>164</v>
      </c>
      <c r="N25" s="151" t="s">
        <v>165</v>
      </c>
      <c r="O25" s="136" t="s">
        <v>29</v>
      </c>
      <c r="P25" s="139" t="s">
        <v>14</v>
      </c>
      <c r="Q25" s="11"/>
      <c r="R25" s="12"/>
      <c r="S25" s="19" t="s">
        <v>139</v>
      </c>
      <c r="T25" s="152" t="s">
        <v>34</v>
      </c>
      <c r="U25" s="152" t="s">
        <v>29</v>
      </c>
      <c r="W25" s="133">
        <v>20.0</v>
      </c>
      <c r="X25" s="153" t="s">
        <v>164</v>
      </c>
      <c r="Y25" s="135">
        <f t="shared" si="1"/>
        <v>2</v>
      </c>
    </row>
    <row r="26" ht="15.75" customHeight="1">
      <c r="A26" s="21" t="s">
        <v>166</v>
      </c>
      <c r="B26" s="21" t="s">
        <v>167</v>
      </c>
      <c r="C26" s="21" t="s">
        <v>25</v>
      </c>
      <c r="D26" s="144" t="s">
        <v>158</v>
      </c>
      <c r="E26" s="144" t="s">
        <v>168</v>
      </c>
      <c r="F26" s="85" t="s">
        <v>25</v>
      </c>
      <c r="G26" s="90"/>
      <c r="H26" s="90"/>
      <c r="I26" s="90"/>
      <c r="J26" s="90" t="s">
        <v>154</v>
      </c>
      <c r="K26" s="90" t="s">
        <v>111</v>
      </c>
      <c r="L26" s="90" t="s">
        <v>25</v>
      </c>
      <c r="M26" s="19" t="s">
        <v>144</v>
      </c>
      <c r="N26" s="19" t="s">
        <v>111</v>
      </c>
      <c r="O26" s="19" t="s">
        <v>25</v>
      </c>
      <c r="S26" s="154" t="s">
        <v>128</v>
      </c>
      <c r="T26" s="154" t="s">
        <v>49</v>
      </c>
      <c r="U26" s="154" t="s">
        <v>35</v>
      </c>
      <c r="W26" s="133">
        <v>21.0</v>
      </c>
      <c r="X26" s="155" t="s">
        <v>154</v>
      </c>
      <c r="Y26" s="135">
        <f t="shared" si="1"/>
        <v>4</v>
      </c>
    </row>
    <row r="27" ht="15.75" customHeight="1">
      <c r="G27" s="144"/>
      <c r="H27" s="19"/>
      <c r="I27" s="19"/>
      <c r="P27" s="76"/>
      <c r="Q27" s="76"/>
      <c r="R27" s="76"/>
      <c r="W27" s="133">
        <v>22.0</v>
      </c>
      <c r="X27" s="150" t="s">
        <v>142</v>
      </c>
      <c r="Y27" s="135">
        <f t="shared" si="1"/>
        <v>2</v>
      </c>
    </row>
    <row r="28" ht="15.75" customHeight="1">
      <c r="A28" s="76"/>
      <c r="B28" s="76"/>
      <c r="C28" s="19"/>
      <c r="D28" s="22"/>
      <c r="E28" s="22"/>
      <c r="F28" s="22"/>
      <c r="G28" s="93"/>
      <c r="H28" s="93"/>
      <c r="I28" s="76"/>
      <c r="J28" s="138"/>
      <c r="K28" s="138"/>
      <c r="L28" s="138"/>
      <c r="M28" s="93"/>
      <c r="N28" s="93"/>
      <c r="O28" s="156"/>
      <c r="P28" s="76"/>
      <c r="Q28" s="76"/>
      <c r="R28" s="76"/>
      <c r="S28" s="76"/>
      <c r="T28" s="76"/>
      <c r="U28" s="76"/>
      <c r="W28" s="133">
        <v>23.0</v>
      </c>
      <c r="X28" s="150" t="s">
        <v>150</v>
      </c>
      <c r="Y28" s="135">
        <f t="shared" si="1"/>
        <v>2</v>
      </c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74</v>
      </c>
      <c r="N29" s="11"/>
      <c r="O29" s="12"/>
      <c r="P29" s="78" t="s">
        <v>75</v>
      </c>
      <c r="Q29" s="11"/>
      <c r="R29" s="12"/>
      <c r="S29" s="79" t="s">
        <v>13</v>
      </c>
      <c r="T29" s="11"/>
      <c r="U29" s="12"/>
      <c r="W29" s="133">
        <v>24.0</v>
      </c>
      <c r="X29" s="150" t="s">
        <v>155</v>
      </c>
      <c r="Y29" s="135">
        <f t="shared" si="1"/>
        <v>2</v>
      </c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82">
        <f>M30+1</f>
        <v>46193</v>
      </c>
      <c r="Q30" s="11"/>
      <c r="R30" s="12"/>
      <c r="S30" s="83">
        <f>P30+1</f>
        <v>46194</v>
      </c>
      <c r="T30" s="11"/>
      <c r="U30" s="12"/>
      <c r="W30" s="133">
        <v>25.0</v>
      </c>
      <c r="X30" s="150" t="s">
        <v>160</v>
      </c>
      <c r="Y30" s="135">
        <f t="shared" si="1"/>
        <v>2</v>
      </c>
    </row>
    <row r="31" ht="15.75" customHeight="1">
      <c r="A31" s="19"/>
      <c r="B31" s="19"/>
      <c r="C31" s="19"/>
      <c r="D31" s="85"/>
      <c r="E31" s="93"/>
      <c r="F31" s="76"/>
      <c r="G31" s="76"/>
      <c r="H31" s="76"/>
      <c r="I31" s="76"/>
      <c r="J31" s="93"/>
      <c r="K31" s="93"/>
      <c r="L31" s="76"/>
      <c r="M31" s="76"/>
      <c r="N31" s="76"/>
      <c r="O31" s="137"/>
      <c r="P31" s="136"/>
      <c r="Q31" s="136"/>
      <c r="R31" s="136"/>
      <c r="S31" s="22"/>
      <c r="T31" s="22"/>
      <c r="U31" s="22"/>
      <c r="W31" s="133">
        <v>26.0</v>
      </c>
      <c r="X31" s="150" t="s">
        <v>161</v>
      </c>
      <c r="Y31" s="135">
        <f t="shared" si="1"/>
        <v>2</v>
      </c>
    </row>
    <row r="32" ht="15.75" customHeight="1">
      <c r="A32" s="70" t="s">
        <v>135</v>
      </c>
      <c r="B32" s="70" t="s">
        <v>95</v>
      </c>
      <c r="C32" s="70" t="s">
        <v>35</v>
      </c>
      <c r="D32" s="22"/>
      <c r="E32" s="22"/>
      <c r="F32" s="22"/>
      <c r="G32" s="19" t="s">
        <v>141</v>
      </c>
      <c r="H32" s="19" t="s">
        <v>105</v>
      </c>
      <c r="I32" s="102" t="s">
        <v>35</v>
      </c>
      <c r="J32" s="144" t="s">
        <v>137</v>
      </c>
      <c r="K32" s="19" t="s">
        <v>138</v>
      </c>
      <c r="L32" s="19" t="s">
        <v>35</v>
      </c>
      <c r="M32" s="19" t="s">
        <v>144</v>
      </c>
      <c r="N32" s="19" t="s">
        <v>105</v>
      </c>
      <c r="O32" s="19" t="s">
        <v>25</v>
      </c>
      <c r="P32" s="151"/>
      <c r="Q32" s="151"/>
      <c r="R32" s="151"/>
      <c r="S32" s="22"/>
      <c r="T32" s="22"/>
      <c r="U32" s="22"/>
      <c r="W32" s="133">
        <v>27.0</v>
      </c>
      <c r="X32" s="144" t="s">
        <v>137</v>
      </c>
      <c r="Y32" s="135">
        <f t="shared" si="1"/>
        <v>3</v>
      </c>
    </row>
    <row r="33" ht="15.75" customHeight="1">
      <c r="A33" s="19" t="s">
        <v>146</v>
      </c>
      <c r="B33" s="19" t="s">
        <v>138</v>
      </c>
      <c r="C33" s="144" t="s">
        <v>29</v>
      </c>
      <c r="D33" s="139" t="s">
        <v>14</v>
      </c>
      <c r="E33" s="11"/>
      <c r="F33" s="12"/>
      <c r="G33" s="19" t="s">
        <v>148</v>
      </c>
      <c r="H33" s="19" t="s">
        <v>149</v>
      </c>
      <c r="I33" s="102" t="s">
        <v>29</v>
      </c>
      <c r="J33" s="19" t="s">
        <v>142</v>
      </c>
      <c r="K33" s="45" t="s">
        <v>143</v>
      </c>
      <c r="L33" s="19" t="s">
        <v>25</v>
      </c>
      <c r="M33" s="19" t="s">
        <v>130</v>
      </c>
      <c r="N33" s="90" t="s">
        <v>90</v>
      </c>
      <c r="O33" s="19" t="s">
        <v>25</v>
      </c>
      <c r="P33" s="157" t="s">
        <v>145</v>
      </c>
      <c r="Q33" s="158" t="s">
        <v>63</v>
      </c>
      <c r="R33" s="17" t="s">
        <v>29</v>
      </c>
      <c r="W33" s="133">
        <v>28.0</v>
      </c>
      <c r="X33" s="134"/>
      <c r="Y33" s="135">
        <f t="shared" si="1"/>
        <v>0</v>
      </c>
    </row>
    <row r="34" ht="15.0" customHeight="1">
      <c r="A34" s="21" t="s">
        <v>129</v>
      </c>
      <c r="B34" s="21" t="s">
        <v>90</v>
      </c>
      <c r="C34" s="21" t="s">
        <v>29</v>
      </c>
      <c r="D34" s="22"/>
      <c r="E34" s="22"/>
      <c r="F34" s="22"/>
      <c r="G34" s="90" t="s">
        <v>154</v>
      </c>
      <c r="H34" s="90" t="s">
        <v>111</v>
      </c>
      <c r="I34" s="90" t="s">
        <v>25</v>
      </c>
      <c r="J34" s="19" t="s">
        <v>150</v>
      </c>
      <c r="K34" s="47"/>
      <c r="L34" s="19" t="s">
        <v>25</v>
      </c>
      <c r="P34" s="19" t="s">
        <v>151</v>
      </c>
      <c r="Q34" s="19" t="s">
        <v>152</v>
      </c>
      <c r="R34" s="19" t="s">
        <v>29</v>
      </c>
      <c r="S34" s="139" t="s">
        <v>14</v>
      </c>
      <c r="T34" s="11"/>
      <c r="U34" s="12"/>
      <c r="W34" s="133">
        <v>29.0</v>
      </c>
      <c r="X34" s="134"/>
      <c r="Y34" s="135">
        <f t="shared" si="1"/>
        <v>0</v>
      </c>
    </row>
    <row r="35" ht="15.75" customHeight="1">
      <c r="D35" s="22"/>
      <c r="E35" s="22"/>
      <c r="F35" s="22"/>
      <c r="J35" s="19" t="s">
        <v>155</v>
      </c>
      <c r="K35" s="48"/>
      <c r="L35" s="19" t="s">
        <v>25</v>
      </c>
      <c r="M35" s="21"/>
      <c r="N35" s="21"/>
      <c r="O35" s="21"/>
      <c r="P35" s="144" t="s">
        <v>156</v>
      </c>
      <c r="Q35" s="144" t="s">
        <v>157</v>
      </c>
      <c r="R35" s="144" t="s">
        <v>29</v>
      </c>
      <c r="S35" s="136"/>
      <c r="T35" s="136"/>
      <c r="U35" s="22"/>
      <c r="W35" s="22"/>
      <c r="X35" s="22"/>
      <c r="Y35" s="159">
        <f>SUM(Y6:Y34)</f>
        <v>63</v>
      </c>
    </row>
    <row r="36" ht="14.25" customHeight="1">
      <c r="D36" s="22"/>
      <c r="E36" s="22"/>
      <c r="F36" s="22"/>
      <c r="J36" s="19"/>
      <c r="K36" s="19"/>
      <c r="L36" s="102"/>
      <c r="M36" s="85"/>
      <c r="N36" s="93"/>
      <c r="O36" s="156"/>
      <c r="P36" s="76"/>
      <c r="Q36" s="76"/>
      <c r="R36" s="76"/>
      <c r="S36" s="76"/>
      <c r="T36" s="76"/>
      <c r="U36" s="76"/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4" t="s">
        <v>99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7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</row>
    <row r="39" ht="15.75" customHeight="1">
      <c r="A39" s="20"/>
      <c r="B39" s="20"/>
      <c r="C39" s="20"/>
      <c r="D39" s="160"/>
      <c r="E39" s="160"/>
      <c r="F39" s="160"/>
      <c r="G39" s="160"/>
      <c r="H39" s="160"/>
      <c r="I39" s="18"/>
      <c r="J39" s="18"/>
      <c r="K39" s="18"/>
      <c r="L39" s="18"/>
      <c r="M39" s="93"/>
      <c r="N39" s="93"/>
      <c r="O39" s="93"/>
      <c r="P39" s="151"/>
      <c r="Q39" s="151"/>
      <c r="R39" s="151"/>
      <c r="S39" s="161"/>
      <c r="T39" s="161"/>
      <c r="U39" s="161"/>
    </row>
    <row r="40" ht="15.75" customHeight="1">
      <c r="A40" s="76" t="s">
        <v>133</v>
      </c>
      <c r="B40" s="76" t="s">
        <v>105</v>
      </c>
      <c r="C40" s="76" t="s">
        <v>25</v>
      </c>
      <c r="D40" s="160"/>
      <c r="E40" s="160"/>
      <c r="F40" s="160"/>
      <c r="G40" s="123"/>
      <c r="H40" s="123"/>
      <c r="I40" s="18"/>
      <c r="J40" s="18"/>
      <c r="K40" s="18"/>
      <c r="L40" s="18"/>
      <c r="M40" s="150" t="s">
        <v>161</v>
      </c>
      <c r="N40" s="104" t="s">
        <v>162</v>
      </c>
      <c r="O40" s="150" t="s">
        <v>35</v>
      </c>
      <c r="P40" s="151"/>
      <c r="Q40" s="151"/>
      <c r="R40" s="151"/>
      <c r="S40" s="19" t="s">
        <v>139</v>
      </c>
      <c r="T40" s="152" t="s">
        <v>34</v>
      </c>
      <c r="U40" s="152" t="s">
        <v>29</v>
      </c>
    </row>
    <row r="41" ht="15.75" customHeight="1">
      <c r="A41" s="144" t="s">
        <v>146</v>
      </c>
      <c r="B41" s="144" t="s">
        <v>37</v>
      </c>
      <c r="C41" s="144" t="s">
        <v>29</v>
      </c>
      <c r="D41" s="144" t="s">
        <v>134</v>
      </c>
      <c r="E41" s="144" t="s">
        <v>140</v>
      </c>
      <c r="F41" s="144" t="s">
        <v>61</v>
      </c>
      <c r="G41" s="19" t="s">
        <v>141</v>
      </c>
      <c r="H41" s="19" t="s">
        <v>105</v>
      </c>
      <c r="I41" s="102" t="s">
        <v>35</v>
      </c>
      <c r="J41" s="150" t="s">
        <v>160</v>
      </c>
      <c r="K41" s="150" t="s">
        <v>105</v>
      </c>
      <c r="L41" s="150" t="s">
        <v>35</v>
      </c>
      <c r="M41" s="151" t="s">
        <v>164</v>
      </c>
      <c r="N41" s="151" t="s">
        <v>165</v>
      </c>
      <c r="O41" s="136" t="s">
        <v>29</v>
      </c>
      <c r="P41" s="139" t="s">
        <v>14</v>
      </c>
      <c r="Q41" s="11"/>
      <c r="R41" s="12"/>
    </row>
    <row r="42" ht="15.75" customHeight="1">
      <c r="A42" s="19" t="s">
        <v>136</v>
      </c>
      <c r="B42" s="19" t="s">
        <v>28</v>
      </c>
      <c r="C42" s="19" t="s">
        <v>29</v>
      </c>
      <c r="D42" s="19" t="s">
        <v>147</v>
      </c>
      <c r="E42" s="19" t="s">
        <v>90</v>
      </c>
      <c r="F42" s="85" t="s">
        <v>25</v>
      </c>
      <c r="G42" s="19" t="s">
        <v>148</v>
      </c>
      <c r="H42" s="19" t="s">
        <v>163</v>
      </c>
      <c r="I42" s="102" t="s">
        <v>29</v>
      </c>
      <c r="J42" s="90" t="s">
        <v>154</v>
      </c>
      <c r="K42" s="90" t="s">
        <v>111</v>
      </c>
      <c r="L42" s="90" t="s">
        <v>25</v>
      </c>
      <c r="M42" s="19" t="s">
        <v>144</v>
      </c>
      <c r="N42" s="19" t="s">
        <v>111</v>
      </c>
      <c r="O42" s="19" t="s">
        <v>25</v>
      </c>
      <c r="P42" s="76" t="s">
        <v>169</v>
      </c>
      <c r="Q42" s="76"/>
      <c r="R42" s="76"/>
      <c r="S42" s="162"/>
      <c r="T42" s="162"/>
      <c r="U42" s="162"/>
      <c r="V42" s="162"/>
    </row>
    <row r="43" ht="15.75" customHeight="1">
      <c r="A43" s="21" t="s">
        <v>166</v>
      </c>
      <c r="B43" s="21" t="s">
        <v>167</v>
      </c>
      <c r="C43" s="21" t="s">
        <v>25</v>
      </c>
      <c r="D43" s="71" t="s">
        <v>131</v>
      </c>
      <c r="E43" s="148" t="s">
        <v>153</v>
      </c>
      <c r="F43" s="70" t="s">
        <v>25</v>
      </c>
      <c r="G43" s="90"/>
      <c r="H43" s="90"/>
      <c r="I43" s="90"/>
      <c r="J43" s="90"/>
      <c r="K43" s="90"/>
      <c r="L43" s="90"/>
      <c r="M43" s="21"/>
      <c r="N43" s="21"/>
      <c r="O43" s="21"/>
      <c r="P43" s="76"/>
      <c r="Q43" s="76"/>
      <c r="R43" s="76"/>
      <c r="S43" s="162"/>
      <c r="T43" s="162"/>
      <c r="U43" s="162"/>
      <c r="V43" s="162"/>
    </row>
    <row r="44" ht="15.75" customHeight="1">
      <c r="G44" s="160"/>
      <c r="H44" s="76"/>
      <c r="I44" s="76"/>
      <c r="J44" s="93"/>
      <c r="K44" s="93"/>
      <c r="L44" s="76"/>
      <c r="M44" s="93"/>
      <c r="N44" s="93"/>
      <c r="O44" s="76"/>
      <c r="P44" s="76"/>
      <c r="Q44" s="76"/>
      <c r="R44" s="76"/>
      <c r="S44" s="163"/>
      <c r="T44" s="163"/>
      <c r="U44" s="163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74</v>
      </c>
      <c r="N45" s="11"/>
      <c r="O45" s="12"/>
      <c r="P45" s="78" t="s">
        <v>75</v>
      </c>
      <c r="Q45" s="11"/>
      <c r="R45" s="12"/>
      <c r="S45" s="79" t="s">
        <v>13</v>
      </c>
      <c r="T45" s="11"/>
      <c r="U45" s="12"/>
    </row>
    <row r="46" ht="15.75" customHeight="1">
      <c r="A46" s="82">
        <f>S38+1</f>
        <v>46202</v>
      </c>
      <c r="B46" s="11"/>
      <c r="C46" s="12"/>
      <c r="D46" s="81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82"/>
      <c r="Q46" s="11"/>
      <c r="R46" s="12"/>
      <c r="S46" s="83"/>
      <c r="T46" s="11"/>
      <c r="U46" s="12"/>
    </row>
    <row r="47" ht="15.75" customHeight="1">
      <c r="A47" s="136"/>
      <c r="B47" s="136"/>
      <c r="C47" s="136"/>
      <c r="D47" s="93"/>
      <c r="E47" s="93"/>
      <c r="F47" s="76"/>
      <c r="G47" s="136"/>
      <c r="H47" s="136"/>
      <c r="I47" s="136"/>
      <c r="J47" s="76"/>
      <c r="K47" s="76"/>
      <c r="L47" s="123"/>
      <c r="M47" s="76"/>
      <c r="N47" s="76"/>
      <c r="O47" s="123"/>
      <c r="P47" s="136"/>
      <c r="Q47" s="136"/>
      <c r="R47" s="136"/>
      <c r="S47" s="163"/>
      <c r="T47" s="163"/>
      <c r="U47" s="163"/>
    </row>
    <row r="48" ht="15.75" customHeight="1">
      <c r="A48" s="102" t="s">
        <v>135</v>
      </c>
      <c r="B48" s="102" t="s">
        <v>95</v>
      </c>
      <c r="C48" s="102" t="s">
        <v>35</v>
      </c>
      <c r="D48" s="19" t="s">
        <v>134</v>
      </c>
      <c r="E48" s="19" t="s">
        <v>140</v>
      </c>
      <c r="F48" s="144" t="s">
        <v>159</v>
      </c>
      <c r="G48" s="137"/>
      <c r="H48" s="137"/>
      <c r="I48" s="137"/>
      <c r="J48" s="76"/>
      <c r="K48" s="76"/>
      <c r="L48" s="76"/>
      <c r="M48" s="93"/>
      <c r="N48" s="93"/>
      <c r="O48" s="93"/>
      <c r="P48" s="136"/>
      <c r="Q48" s="136"/>
      <c r="R48" s="136"/>
      <c r="S48" s="163"/>
      <c r="T48" s="163"/>
      <c r="U48" s="163"/>
    </row>
    <row r="49" ht="15.75" customHeight="1">
      <c r="A49" s="19" t="s">
        <v>146</v>
      </c>
      <c r="B49" s="19" t="s">
        <v>138</v>
      </c>
      <c r="C49" s="144" t="s">
        <v>29</v>
      </c>
      <c r="D49" s="71" t="s">
        <v>131</v>
      </c>
      <c r="E49" s="71" t="s">
        <v>52</v>
      </c>
      <c r="F49" s="70" t="s">
        <v>25</v>
      </c>
      <c r="G49" s="93"/>
      <c r="H49" s="93"/>
      <c r="I49" s="93"/>
      <c r="J49" s="93"/>
      <c r="K49" s="93"/>
      <c r="L49" s="93"/>
      <c r="M49" s="93"/>
      <c r="N49" s="93"/>
      <c r="O49" s="93"/>
      <c r="P49" s="136"/>
      <c r="Q49" s="136"/>
      <c r="R49" s="136"/>
      <c r="S49" s="162"/>
      <c r="T49" s="162"/>
      <c r="U49" s="162"/>
    </row>
    <row r="50" ht="15.75" customHeight="1">
      <c r="A50" s="19" t="s">
        <v>129</v>
      </c>
      <c r="B50" s="19" t="s">
        <v>90</v>
      </c>
      <c r="C50" s="19" t="s">
        <v>29</v>
      </c>
      <c r="D50" s="144" t="s">
        <v>158</v>
      </c>
      <c r="E50" s="144" t="s">
        <v>168</v>
      </c>
      <c r="F50" s="85" t="s">
        <v>25</v>
      </c>
      <c r="G50" s="138"/>
      <c r="H50" s="138"/>
      <c r="I50" s="138"/>
      <c r="J50" s="138"/>
      <c r="K50" s="138"/>
      <c r="L50" s="138"/>
      <c r="M50" s="93"/>
      <c r="N50" s="93"/>
      <c r="O50" s="93"/>
      <c r="P50" s="76"/>
      <c r="Q50" s="76"/>
      <c r="R50" s="76"/>
      <c r="S50" s="163"/>
      <c r="T50" s="163"/>
      <c r="U50" s="163"/>
    </row>
    <row r="51" ht="15.75" customHeight="1">
      <c r="A51" s="85"/>
      <c r="B51" s="85"/>
      <c r="C51" s="85"/>
      <c r="D51" s="19"/>
      <c r="E51" s="19"/>
      <c r="F51" s="19"/>
      <c r="G51" s="89"/>
      <c r="H51" s="89"/>
      <c r="I51" s="89"/>
      <c r="J51" s="70"/>
      <c r="K51" s="70"/>
      <c r="L51" s="70"/>
      <c r="M51" s="76"/>
      <c r="N51" s="76"/>
      <c r="O51" s="76"/>
      <c r="P51" s="76"/>
      <c r="Q51" s="76"/>
      <c r="R51" s="76"/>
      <c r="S51" s="162"/>
      <c r="T51" s="162"/>
      <c r="U51" s="164"/>
    </row>
    <row r="52" ht="15.75" customHeight="1">
      <c r="A52" s="76"/>
      <c r="B52" s="76"/>
      <c r="C52" s="76"/>
      <c r="D52" s="93"/>
      <c r="E52" s="93"/>
      <c r="F52" s="93"/>
      <c r="G52" s="76"/>
      <c r="H52" s="76"/>
      <c r="I52" s="76"/>
      <c r="J52" s="138"/>
      <c r="K52" s="138"/>
      <c r="L52" s="138"/>
      <c r="M52" s="93"/>
      <c r="N52" s="93"/>
      <c r="O52" s="156"/>
      <c r="P52" s="76"/>
      <c r="Q52" s="76"/>
      <c r="R52" s="76"/>
      <c r="S52" s="163"/>
      <c r="T52" s="163"/>
      <c r="U52" s="163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>
      <c r="A59" s="62"/>
      <c r="B59" s="57" t="s">
        <v>68</v>
      </c>
      <c r="C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5:$Y$35">
    <sortState ref="W5:Y35">
      <sortCondition ref="W5:W35"/>
      <sortCondition ref="X5:X35"/>
    </sortState>
  </autoFilter>
  <mergeCells count="103">
    <mergeCell ref="A14:C14"/>
    <mergeCell ref="D14:F14"/>
    <mergeCell ref="G14:I14"/>
    <mergeCell ref="M14:O14"/>
    <mergeCell ref="P14:R14"/>
    <mergeCell ref="S14:U14"/>
    <mergeCell ref="A17:C17"/>
    <mergeCell ref="S17:U17"/>
    <mergeCell ref="J14:L14"/>
    <mergeCell ref="K17:K19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D30:F30"/>
    <mergeCell ref="G30:I30"/>
    <mergeCell ref="M30:O30"/>
    <mergeCell ref="P30:R30"/>
    <mergeCell ref="S30:U30"/>
    <mergeCell ref="D33:F33"/>
    <mergeCell ref="S34:U34"/>
    <mergeCell ref="M38:O38"/>
    <mergeCell ref="P38:R38"/>
    <mergeCell ref="P41:R41"/>
    <mergeCell ref="J30:L30"/>
    <mergeCell ref="K33:K35"/>
    <mergeCell ref="J37:L37"/>
    <mergeCell ref="M37:O37"/>
    <mergeCell ref="P37:R37"/>
    <mergeCell ref="S37:U37"/>
    <mergeCell ref="J38:L38"/>
    <mergeCell ref="S38:U38"/>
    <mergeCell ref="A30:C30"/>
    <mergeCell ref="A37:C37"/>
    <mergeCell ref="D37:F37"/>
    <mergeCell ref="G37:I37"/>
    <mergeCell ref="A38:C38"/>
    <mergeCell ref="D38:F38"/>
    <mergeCell ref="G38:I38"/>
    <mergeCell ref="B55:D55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P25:R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17.43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5.29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2" width="8.71"/>
    <col customWidth="1" min="23" max="23" width="5.71"/>
    <col customWidth="1" min="24" max="24" width="19.0"/>
    <col customWidth="1" min="25" max="25" width="12.29"/>
    <col customWidth="1" min="26" max="26" width="14.86"/>
    <col customWidth="1" min="27" max="27" width="8.71"/>
  </cols>
  <sheetData>
    <row r="1" ht="15.75" customHeight="1">
      <c r="A1" s="6" t="s">
        <v>170</v>
      </c>
      <c r="C1" s="2" t="s">
        <v>171</v>
      </c>
      <c r="F1" s="3"/>
      <c r="G1" s="4" t="s">
        <v>2</v>
      </c>
      <c r="Q1" s="3"/>
    </row>
    <row r="2" ht="15.75" customHeight="1">
      <c r="A2" s="6" t="s">
        <v>3</v>
      </c>
      <c r="C2" s="7" t="s">
        <v>172</v>
      </c>
      <c r="F2" s="3"/>
      <c r="Q2" s="3"/>
    </row>
    <row r="3" ht="15.75" customHeight="1">
      <c r="A3" s="6" t="s">
        <v>5</v>
      </c>
      <c r="C3" s="165"/>
      <c r="F3" s="3"/>
      <c r="Q3" s="3"/>
    </row>
    <row r="4" ht="15.75" customHeight="1">
      <c r="A4" s="166" t="s">
        <v>6</v>
      </c>
      <c r="B4" s="167"/>
      <c r="C4" s="168" t="s">
        <v>173</v>
      </c>
      <c r="D4" s="167"/>
      <c r="E4" s="3"/>
      <c r="F4" s="3"/>
      <c r="Q4" s="3"/>
    </row>
    <row r="5" ht="15.75" customHeight="1">
      <c r="A5" s="126"/>
      <c r="B5" s="126"/>
      <c r="C5" s="126"/>
      <c r="D5" s="126"/>
      <c r="E5" s="126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3"/>
    </row>
    <row r="6" ht="15.75" customHeight="1">
      <c r="A6" s="10" t="s">
        <v>7</v>
      </c>
      <c r="B6" s="11"/>
      <c r="C6" s="12"/>
      <c r="D6" s="10" t="s">
        <v>8</v>
      </c>
      <c r="E6" s="11"/>
      <c r="F6" s="12"/>
      <c r="G6" s="10" t="s">
        <v>9</v>
      </c>
      <c r="H6" s="11"/>
      <c r="I6" s="12"/>
      <c r="J6" s="10" t="s">
        <v>10</v>
      </c>
      <c r="K6" s="11"/>
      <c r="L6" s="12"/>
      <c r="M6" s="13" t="s">
        <v>11</v>
      </c>
      <c r="N6" s="11"/>
      <c r="O6" s="12"/>
      <c r="P6" s="10" t="s">
        <v>12</v>
      </c>
      <c r="Q6" s="11"/>
      <c r="R6" s="12"/>
      <c r="S6" s="13" t="s">
        <v>13</v>
      </c>
      <c r="T6" s="11"/>
      <c r="U6" s="12"/>
      <c r="W6" s="130" t="s">
        <v>15</v>
      </c>
      <c r="X6" s="131" t="s">
        <v>127</v>
      </c>
      <c r="Y6" s="132" t="s">
        <v>17</v>
      </c>
    </row>
    <row r="7" ht="15.75" customHeight="1">
      <c r="A7" s="14"/>
      <c r="B7" s="11"/>
      <c r="C7" s="12"/>
      <c r="D7" s="14"/>
      <c r="E7" s="11"/>
      <c r="F7" s="12"/>
      <c r="G7" s="15"/>
      <c r="H7" s="11"/>
      <c r="I7" s="12"/>
      <c r="J7" s="15"/>
      <c r="K7" s="11"/>
      <c r="L7" s="12"/>
      <c r="M7" s="16">
        <v>46143.0</v>
      </c>
      <c r="N7" s="11"/>
      <c r="O7" s="12"/>
      <c r="P7" s="15">
        <f>M7+1</f>
        <v>46144</v>
      </c>
      <c r="Q7" s="11"/>
      <c r="R7" s="12"/>
      <c r="S7" s="16">
        <f>P7+1</f>
        <v>46145</v>
      </c>
      <c r="T7" s="11"/>
      <c r="U7" s="12"/>
      <c r="W7" s="135"/>
      <c r="X7" s="22" t="s">
        <v>174</v>
      </c>
      <c r="Y7" s="135">
        <f t="shared" ref="Y7:Y34" si="1">COUNTIF($A$5:$U$47,X7)</f>
        <v>2</v>
      </c>
      <c r="Z7" s="69" t="s">
        <v>174</v>
      </c>
      <c r="AA7" s="69">
        <v>2.0</v>
      </c>
    </row>
    <row r="8" ht="15.75" customHeight="1">
      <c r="A8" s="70"/>
      <c r="B8" s="70"/>
      <c r="C8" s="70"/>
      <c r="D8" s="70"/>
      <c r="E8" s="70"/>
      <c r="F8" s="70"/>
      <c r="G8" s="70"/>
      <c r="H8" s="70"/>
      <c r="I8" s="70"/>
      <c r="J8" s="22"/>
      <c r="K8" s="22"/>
      <c r="L8" s="22"/>
      <c r="M8" s="76"/>
      <c r="N8" s="76"/>
      <c r="O8" s="76"/>
      <c r="P8" s="22"/>
      <c r="Q8" s="22"/>
      <c r="R8" s="22"/>
      <c r="S8" s="76"/>
      <c r="T8" s="76"/>
      <c r="U8" s="76"/>
      <c r="W8" s="135"/>
      <c r="X8" s="169" t="s">
        <v>175</v>
      </c>
      <c r="Y8" s="135">
        <f t="shared" si="1"/>
        <v>2</v>
      </c>
      <c r="Z8" s="69" t="s">
        <v>175</v>
      </c>
      <c r="AA8" s="69">
        <v>2.0</v>
      </c>
    </row>
    <row r="9" ht="15.75" customHeight="1">
      <c r="A9" s="85"/>
      <c r="B9" s="85"/>
      <c r="C9" s="85"/>
      <c r="D9" s="85"/>
      <c r="E9" s="85"/>
      <c r="F9" s="85"/>
      <c r="G9" s="85"/>
      <c r="H9" s="85"/>
      <c r="I9" s="85"/>
      <c r="J9" s="22"/>
      <c r="K9" s="22"/>
      <c r="L9" s="22"/>
      <c r="M9" s="158"/>
      <c r="N9" s="158"/>
      <c r="O9" s="158"/>
      <c r="P9" s="43"/>
      <c r="Q9" s="19"/>
      <c r="R9" s="76"/>
      <c r="S9" s="76"/>
      <c r="T9" s="76"/>
      <c r="U9" s="76"/>
      <c r="W9" s="135"/>
      <c r="X9" s="22" t="s">
        <v>176</v>
      </c>
      <c r="Y9" s="135">
        <f t="shared" si="1"/>
        <v>2</v>
      </c>
      <c r="Z9" s="69" t="s">
        <v>176</v>
      </c>
      <c r="AA9" s="69">
        <v>2.0</v>
      </c>
    </row>
    <row r="10" ht="15.75" customHeight="1">
      <c r="A10" s="93"/>
      <c r="B10" s="93"/>
      <c r="C10" s="93"/>
      <c r="D10" s="93"/>
      <c r="E10" s="93"/>
      <c r="F10" s="93"/>
      <c r="G10" s="22"/>
      <c r="H10" s="22"/>
      <c r="I10" s="22"/>
      <c r="J10" s="22"/>
      <c r="K10" s="22"/>
      <c r="L10" s="22"/>
      <c r="M10" s="30"/>
      <c r="N10" s="158"/>
      <c r="O10" s="158"/>
      <c r="P10" s="170" t="s">
        <v>14</v>
      </c>
      <c r="Q10" s="11"/>
      <c r="R10" s="12"/>
      <c r="S10" s="171" t="s">
        <v>14</v>
      </c>
      <c r="T10" s="11"/>
      <c r="U10" s="12"/>
      <c r="W10" s="135"/>
      <c r="X10" s="134" t="s">
        <v>177</v>
      </c>
      <c r="Y10" s="135">
        <f t="shared" si="1"/>
        <v>2</v>
      </c>
      <c r="Z10" s="69" t="s">
        <v>177</v>
      </c>
      <c r="AA10" s="69">
        <v>2.0</v>
      </c>
    </row>
    <row r="11" ht="15.75" customHeight="1">
      <c r="A11" s="93"/>
      <c r="B11" s="93"/>
      <c r="C11" s="93"/>
      <c r="D11" s="93"/>
      <c r="E11" s="93"/>
      <c r="F11" s="93"/>
      <c r="G11" s="22"/>
      <c r="H11" s="22"/>
      <c r="I11" s="22"/>
      <c r="J11" s="22"/>
      <c r="K11" s="22"/>
      <c r="L11" s="22"/>
      <c r="M11" s="158"/>
      <c r="N11" s="158"/>
      <c r="O11" s="158"/>
      <c r="P11" s="22"/>
      <c r="Q11" s="22"/>
      <c r="R11" s="22"/>
      <c r="S11" s="76"/>
      <c r="T11" s="76"/>
      <c r="U11" s="76"/>
      <c r="W11" s="135"/>
      <c r="X11" s="134" t="s">
        <v>178</v>
      </c>
      <c r="Y11" s="135">
        <f t="shared" si="1"/>
        <v>2</v>
      </c>
      <c r="Z11" s="69" t="s">
        <v>178</v>
      </c>
      <c r="AA11" s="69">
        <v>3.0</v>
      </c>
    </row>
    <row r="12" ht="15.75" customHeight="1">
      <c r="A12" s="93"/>
      <c r="B12" s="93"/>
      <c r="C12" s="93"/>
      <c r="D12" s="93"/>
      <c r="E12" s="93"/>
      <c r="F12" s="93"/>
      <c r="G12" s="93"/>
      <c r="H12" s="93"/>
      <c r="I12" s="93"/>
      <c r="J12" s="22"/>
      <c r="K12" s="22"/>
      <c r="L12" s="22"/>
      <c r="M12" s="19"/>
      <c r="N12" s="158"/>
      <c r="O12" s="158"/>
      <c r="P12" s="22"/>
      <c r="Q12" s="22"/>
      <c r="R12" s="22"/>
      <c r="S12" s="76"/>
      <c r="T12" s="76"/>
      <c r="U12" s="76"/>
      <c r="W12" s="135"/>
      <c r="X12" s="134" t="s">
        <v>179</v>
      </c>
      <c r="Y12" s="135">
        <f t="shared" si="1"/>
        <v>4</v>
      </c>
      <c r="Z12" s="69" t="s">
        <v>179</v>
      </c>
      <c r="AA12" s="69">
        <v>5.0</v>
      </c>
    </row>
    <row r="13" ht="15.7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19"/>
      <c r="N13" s="158"/>
      <c r="O13" s="158"/>
      <c r="P13" s="93"/>
      <c r="Q13" s="93"/>
      <c r="R13" s="93"/>
      <c r="S13" s="76"/>
      <c r="T13" s="76"/>
      <c r="U13" s="76"/>
      <c r="W13" s="135"/>
      <c r="X13" s="22" t="s">
        <v>180</v>
      </c>
      <c r="Y13" s="135">
        <f t="shared" si="1"/>
        <v>2</v>
      </c>
      <c r="Z13" s="69" t="s">
        <v>180</v>
      </c>
      <c r="AA13" s="69">
        <v>2.0</v>
      </c>
    </row>
    <row r="14" ht="15.75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76"/>
      <c r="N14" s="76"/>
      <c r="O14" s="76"/>
      <c r="P14" s="22"/>
      <c r="Q14" s="22"/>
      <c r="R14" s="22"/>
      <c r="S14" s="76"/>
      <c r="T14" s="76"/>
      <c r="U14" s="76"/>
      <c r="W14" s="135"/>
      <c r="X14" s="22" t="s">
        <v>181</v>
      </c>
      <c r="Y14" s="135">
        <f t="shared" si="1"/>
        <v>4</v>
      </c>
      <c r="Z14" s="69" t="s">
        <v>181</v>
      </c>
      <c r="AA14" s="69">
        <v>4.0</v>
      </c>
    </row>
    <row r="15" ht="15.75" customHeight="1">
      <c r="A15" s="107" t="s">
        <v>98</v>
      </c>
      <c r="B15" s="11"/>
      <c r="C15" s="12"/>
      <c r="D15" s="78" t="s">
        <v>8</v>
      </c>
      <c r="E15" s="11"/>
      <c r="F15" s="12"/>
      <c r="G15" s="78" t="s">
        <v>99</v>
      </c>
      <c r="H15" s="11"/>
      <c r="I15" s="12"/>
      <c r="J15" s="78" t="s">
        <v>10</v>
      </c>
      <c r="K15" s="11"/>
      <c r="L15" s="12"/>
      <c r="M15" s="78" t="s">
        <v>74</v>
      </c>
      <c r="N15" s="11"/>
      <c r="O15" s="12"/>
      <c r="P15" s="78" t="s">
        <v>75</v>
      </c>
      <c r="Q15" s="11"/>
      <c r="R15" s="12"/>
      <c r="S15" s="107" t="s">
        <v>13</v>
      </c>
      <c r="T15" s="11"/>
      <c r="U15" s="12"/>
      <c r="W15" s="135"/>
      <c r="X15" s="134" t="s">
        <v>182</v>
      </c>
      <c r="Y15" s="135">
        <f t="shared" si="1"/>
        <v>2</v>
      </c>
      <c r="Z15" s="69" t="s">
        <v>182</v>
      </c>
      <c r="AA15" s="69">
        <v>2.0</v>
      </c>
    </row>
    <row r="16" ht="15.75" customHeight="1">
      <c r="A16" s="143">
        <v>46174.0</v>
      </c>
      <c r="B16" s="11"/>
      <c r="C16" s="12"/>
      <c r="D16" s="81">
        <f>A16+1</f>
        <v>46175</v>
      </c>
      <c r="E16" s="11"/>
      <c r="F16" s="12"/>
      <c r="G16" s="81">
        <f>D16+1</f>
        <v>46176</v>
      </c>
      <c r="H16" s="11"/>
      <c r="I16" s="12"/>
      <c r="J16" s="81">
        <f>G16+1</f>
        <v>46177</v>
      </c>
      <c r="K16" s="11"/>
      <c r="L16" s="12"/>
      <c r="M16" s="82">
        <f>J16+1</f>
        <v>46178</v>
      </c>
      <c r="N16" s="11"/>
      <c r="O16" s="12"/>
      <c r="P16" s="81">
        <f>M16+1</f>
        <v>46179</v>
      </c>
      <c r="Q16" s="11"/>
      <c r="R16" s="12"/>
      <c r="S16" s="83">
        <f>P16+1</f>
        <v>46180</v>
      </c>
      <c r="T16" s="11"/>
      <c r="U16" s="12"/>
      <c r="W16" s="135"/>
      <c r="X16" s="28" t="s">
        <v>183</v>
      </c>
      <c r="Y16" s="135">
        <f t="shared" si="1"/>
        <v>2</v>
      </c>
      <c r="Z16" s="69" t="s">
        <v>183</v>
      </c>
      <c r="AA16" s="69">
        <v>2.0</v>
      </c>
    </row>
    <row r="17" ht="15.75" customHeight="1">
      <c r="A17" s="172"/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70"/>
      <c r="Q17" s="70"/>
      <c r="R17" s="70"/>
      <c r="S17" s="22"/>
      <c r="T17" s="22"/>
      <c r="U17" s="22"/>
      <c r="W17" s="135"/>
      <c r="X17" s="134" t="s">
        <v>184</v>
      </c>
      <c r="Y17" s="135">
        <f t="shared" si="1"/>
        <v>2</v>
      </c>
      <c r="Z17" s="69" t="s">
        <v>184</v>
      </c>
      <c r="AA17" s="69">
        <v>2.0</v>
      </c>
    </row>
    <row r="18" ht="15.75" customHeight="1">
      <c r="A18" s="172"/>
      <c r="B18" s="172"/>
      <c r="C18" s="172"/>
      <c r="G18" s="173" t="s">
        <v>185</v>
      </c>
      <c r="H18" s="173" t="s">
        <v>52</v>
      </c>
      <c r="I18" s="173" t="s">
        <v>35</v>
      </c>
      <c r="J18" s="30" t="s">
        <v>186</v>
      </c>
      <c r="K18" s="158" t="s">
        <v>95</v>
      </c>
      <c r="L18" s="158" t="s">
        <v>35</v>
      </c>
      <c r="M18" s="74" t="s">
        <v>187</v>
      </c>
      <c r="N18" s="21"/>
      <c r="O18" s="74" t="s">
        <v>35</v>
      </c>
      <c r="P18" s="88" t="s">
        <v>188</v>
      </c>
      <c r="Q18" s="138" t="s">
        <v>189</v>
      </c>
      <c r="R18" s="101" t="s">
        <v>25</v>
      </c>
      <c r="S18" s="76"/>
      <c r="T18" s="76"/>
      <c r="U18" s="76"/>
      <c r="W18" s="135"/>
      <c r="X18" s="134" t="s">
        <v>190</v>
      </c>
      <c r="Y18" s="135">
        <f t="shared" si="1"/>
        <v>4</v>
      </c>
      <c r="Z18" s="69" t="s">
        <v>190</v>
      </c>
      <c r="AA18" s="69">
        <v>4.0</v>
      </c>
    </row>
    <row r="19" ht="15.75" customHeight="1">
      <c r="A19" s="172"/>
      <c r="B19" s="172"/>
      <c r="C19" s="172"/>
      <c r="D19" s="74" t="s">
        <v>191</v>
      </c>
      <c r="E19" s="21" t="s">
        <v>138</v>
      </c>
      <c r="F19" s="102" t="s">
        <v>35</v>
      </c>
      <c r="G19" s="150" t="s">
        <v>192</v>
      </c>
      <c r="H19" s="174" t="s">
        <v>105</v>
      </c>
      <c r="I19" s="174" t="s">
        <v>29</v>
      </c>
      <c r="J19" s="30" t="s">
        <v>56</v>
      </c>
      <c r="K19" s="158" t="s">
        <v>57</v>
      </c>
      <c r="L19" s="158" t="s">
        <v>29</v>
      </c>
      <c r="M19" s="74" t="s">
        <v>178</v>
      </c>
      <c r="N19" s="74" t="s">
        <v>165</v>
      </c>
      <c r="O19" s="74" t="s">
        <v>29</v>
      </c>
      <c r="P19" s="93" t="s">
        <v>193</v>
      </c>
      <c r="Q19" s="93" t="s">
        <v>194</v>
      </c>
      <c r="R19" s="93" t="s">
        <v>25</v>
      </c>
      <c r="S19" s="170" t="s">
        <v>14</v>
      </c>
      <c r="T19" s="11"/>
      <c r="U19" s="12"/>
      <c r="W19" s="135"/>
      <c r="X19" s="134" t="s">
        <v>56</v>
      </c>
      <c r="Y19" s="135">
        <f t="shared" si="1"/>
        <v>2</v>
      </c>
      <c r="Z19" s="69" t="s">
        <v>56</v>
      </c>
      <c r="AA19" s="69">
        <v>2.0</v>
      </c>
    </row>
    <row r="20" ht="15.75" customHeight="1">
      <c r="A20" s="172"/>
      <c r="B20" s="172"/>
      <c r="C20" s="172"/>
      <c r="D20" s="137" t="s">
        <v>190</v>
      </c>
      <c r="E20" s="137" t="s">
        <v>124</v>
      </c>
      <c r="F20" s="137" t="s">
        <v>29</v>
      </c>
      <c r="G20" s="175" t="s">
        <v>195</v>
      </c>
      <c r="H20" s="175" t="s">
        <v>40</v>
      </c>
      <c r="I20" s="175" t="s">
        <v>35</v>
      </c>
      <c r="J20" s="20"/>
      <c r="K20" s="20"/>
      <c r="L20" s="20"/>
      <c r="M20" s="70" t="s">
        <v>196</v>
      </c>
      <c r="N20" s="76" t="s">
        <v>153</v>
      </c>
      <c r="O20" s="76" t="s">
        <v>29</v>
      </c>
      <c r="P20" s="85" t="s">
        <v>175</v>
      </c>
      <c r="Q20" s="85" t="s">
        <v>197</v>
      </c>
      <c r="R20" s="85" t="s">
        <v>29</v>
      </c>
      <c r="S20" s="76"/>
      <c r="T20" s="76"/>
      <c r="U20" s="76"/>
      <c r="W20" s="135"/>
      <c r="X20" s="28" t="s">
        <v>198</v>
      </c>
      <c r="Y20" s="135">
        <f t="shared" si="1"/>
        <v>2</v>
      </c>
      <c r="Z20" s="69" t="s">
        <v>198</v>
      </c>
      <c r="AA20" s="69">
        <v>2.0</v>
      </c>
    </row>
    <row r="21" ht="15.75" customHeight="1">
      <c r="A21" s="172"/>
      <c r="B21" s="172"/>
      <c r="C21" s="172"/>
      <c r="J21" s="70"/>
      <c r="K21" s="70"/>
      <c r="L21" s="70"/>
      <c r="P21" s="22"/>
      <c r="Q21" s="22"/>
      <c r="R21" s="22"/>
      <c r="S21" s="93"/>
      <c r="T21" s="93"/>
      <c r="U21" s="93"/>
      <c r="W21" s="135"/>
      <c r="X21" s="28" t="s">
        <v>199</v>
      </c>
      <c r="Y21" s="135">
        <f t="shared" si="1"/>
        <v>3</v>
      </c>
      <c r="Z21" s="69" t="s">
        <v>200</v>
      </c>
      <c r="AA21" s="69">
        <v>5.0</v>
      </c>
    </row>
    <row r="22" ht="15.75" customHeight="1">
      <c r="A22" s="94" t="s">
        <v>98</v>
      </c>
      <c r="B22" s="11"/>
      <c r="C22" s="12"/>
      <c r="D22" s="94" t="s">
        <v>8</v>
      </c>
      <c r="E22" s="11"/>
      <c r="F22" s="12"/>
      <c r="G22" s="94" t="s">
        <v>99</v>
      </c>
      <c r="H22" s="11"/>
      <c r="I22" s="12"/>
      <c r="J22" s="94" t="s">
        <v>10</v>
      </c>
      <c r="K22" s="11"/>
      <c r="L22" s="12"/>
      <c r="M22" s="94" t="s">
        <v>11</v>
      </c>
      <c r="N22" s="11"/>
      <c r="O22" s="12"/>
      <c r="P22" s="94" t="s">
        <v>75</v>
      </c>
      <c r="Q22" s="11"/>
      <c r="R22" s="12"/>
      <c r="S22" s="95" t="s">
        <v>100</v>
      </c>
      <c r="T22" s="11"/>
      <c r="U22" s="12"/>
      <c r="W22" s="135"/>
      <c r="X22" s="176" t="s">
        <v>191</v>
      </c>
      <c r="Y22" s="135">
        <f t="shared" si="1"/>
        <v>2</v>
      </c>
      <c r="Z22" s="69" t="s">
        <v>201</v>
      </c>
      <c r="AA22" s="69">
        <v>3.0</v>
      </c>
    </row>
    <row r="23" ht="15.75" customHeight="1">
      <c r="A23" s="97">
        <f>S16+1</f>
        <v>46181</v>
      </c>
      <c r="B23" s="11"/>
      <c r="C23" s="12"/>
      <c r="D23" s="97">
        <f>A23+1</f>
        <v>46182</v>
      </c>
      <c r="E23" s="11"/>
      <c r="F23" s="12"/>
      <c r="G23" s="97">
        <f>D23+1</f>
        <v>46183</v>
      </c>
      <c r="H23" s="11"/>
      <c r="I23" s="12"/>
      <c r="J23" s="97">
        <f>G23+1</f>
        <v>46184</v>
      </c>
      <c r="K23" s="11"/>
      <c r="L23" s="12"/>
      <c r="M23" s="97">
        <f>J23+1</f>
        <v>46185</v>
      </c>
      <c r="N23" s="11"/>
      <c r="O23" s="12"/>
      <c r="P23" s="97">
        <f>M23+1</f>
        <v>46186</v>
      </c>
      <c r="Q23" s="11"/>
      <c r="R23" s="12"/>
      <c r="S23" s="98">
        <f>P23+1</f>
        <v>46187</v>
      </c>
      <c r="T23" s="11"/>
      <c r="U23" s="12"/>
      <c r="W23" s="135"/>
      <c r="X23" s="28" t="s">
        <v>193</v>
      </c>
      <c r="Y23" s="135">
        <f t="shared" si="1"/>
        <v>2</v>
      </c>
      <c r="Z23" s="69" t="s">
        <v>193</v>
      </c>
      <c r="AA23" s="69">
        <v>2.0</v>
      </c>
    </row>
    <row r="24" ht="15.75" customHeight="1">
      <c r="A24" s="76"/>
      <c r="B24" s="93"/>
      <c r="C24" s="93"/>
      <c r="D24" s="93"/>
      <c r="E24" s="93"/>
      <c r="F24" s="93"/>
      <c r="G24" s="85"/>
      <c r="H24" s="85"/>
      <c r="I24" s="85"/>
      <c r="J24" s="22"/>
      <c r="K24" s="22"/>
      <c r="L24" s="22"/>
      <c r="M24" s="30"/>
      <c r="N24" s="158"/>
      <c r="O24" s="158"/>
      <c r="P24" s="18"/>
      <c r="Q24" s="18"/>
      <c r="R24" s="18"/>
      <c r="S24" s="76"/>
      <c r="T24" s="76"/>
      <c r="U24" s="76"/>
      <c r="W24" s="135"/>
      <c r="X24" s="134" t="s">
        <v>186</v>
      </c>
      <c r="Y24" s="135">
        <f t="shared" si="1"/>
        <v>4</v>
      </c>
      <c r="Z24" s="69" t="s">
        <v>186</v>
      </c>
      <c r="AA24" s="69">
        <v>4.0</v>
      </c>
    </row>
    <row r="25" ht="15.75" customHeight="1">
      <c r="A25" s="19" t="s">
        <v>202</v>
      </c>
      <c r="B25" s="19" t="s">
        <v>203</v>
      </c>
      <c r="C25" s="20"/>
      <c r="D25" s="104" t="s">
        <v>204</v>
      </c>
      <c r="E25" s="104" t="s">
        <v>92</v>
      </c>
      <c r="F25" s="177" t="s">
        <v>35</v>
      </c>
      <c r="G25" s="85"/>
      <c r="H25" s="85"/>
      <c r="I25" s="85"/>
      <c r="J25" s="158" t="s">
        <v>174</v>
      </c>
      <c r="K25" s="158" t="s">
        <v>105</v>
      </c>
      <c r="L25" s="158" t="s">
        <v>35</v>
      </c>
      <c r="M25" s="22"/>
      <c r="N25" s="22"/>
      <c r="O25" s="22"/>
      <c r="P25" s="18"/>
      <c r="Q25" s="18"/>
      <c r="R25" s="18"/>
      <c r="S25" s="76"/>
      <c r="T25" s="76"/>
      <c r="U25" s="76"/>
      <c r="W25" s="135"/>
      <c r="X25" s="134" t="s">
        <v>202</v>
      </c>
      <c r="Y25" s="135">
        <f t="shared" si="1"/>
        <v>3</v>
      </c>
      <c r="Z25" s="69" t="s">
        <v>202</v>
      </c>
      <c r="AA25" s="69">
        <v>4.0</v>
      </c>
    </row>
    <row r="26" ht="15.75" customHeight="1">
      <c r="A26" s="19" t="s">
        <v>199</v>
      </c>
      <c r="B26" s="19" t="s">
        <v>205</v>
      </c>
      <c r="C26" s="19" t="s">
        <v>29</v>
      </c>
      <c r="D26" s="178" t="s">
        <v>180</v>
      </c>
      <c r="E26" s="178" t="s">
        <v>92</v>
      </c>
      <c r="F26" s="178" t="s">
        <v>29</v>
      </c>
      <c r="G26" s="76" t="s">
        <v>179</v>
      </c>
      <c r="H26" s="76" t="s">
        <v>206</v>
      </c>
      <c r="I26" s="76" t="s">
        <v>25</v>
      </c>
      <c r="J26" s="30" t="s">
        <v>186</v>
      </c>
      <c r="K26" s="158" t="s">
        <v>49</v>
      </c>
      <c r="L26" s="158" t="s">
        <v>35</v>
      </c>
      <c r="M26" s="175" t="s">
        <v>195</v>
      </c>
      <c r="N26" s="175" t="s">
        <v>105</v>
      </c>
      <c r="O26" s="175" t="s">
        <v>35</v>
      </c>
      <c r="P26" s="88" t="s">
        <v>188</v>
      </c>
      <c r="Q26" s="138" t="s">
        <v>189</v>
      </c>
      <c r="R26" s="101" t="s">
        <v>25</v>
      </c>
      <c r="S26" s="170" t="s">
        <v>14</v>
      </c>
      <c r="T26" s="11"/>
      <c r="U26" s="12"/>
      <c r="W26" s="135"/>
      <c r="X26" s="134" t="s">
        <v>187</v>
      </c>
      <c r="Y26" s="135">
        <f t="shared" si="1"/>
        <v>4</v>
      </c>
      <c r="Z26" s="69" t="s">
        <v>187</v>
      </c>
      <c r="AA26" s="69">
        <v>4.0</v>
      </c>
    </row>
    <row r="27" ht="15.75" customHeight="1">
      <c r="A27" s="70" t="s">
        <v>177</v>
      </c>
      <c r="B27" s="70" t="s">
        <v>90</v>
      </c>
      <c r="C27" s="70" t="s">
        <v>29</v>
      </c>
      <c r="D27" s="102" t="s">
        <v>181</v>
      </c>
      <c r="E27" s="102" t="s">
        <v>95</v>
      </c>
      <c r="F27" s="102" t="s">
        <v>25</v>
      </c>
      <c r="G27" s="102" t="s">
        <v>181</v>
      </c>
      <c r="H27" s="102" t="s">
        <v>95</v>
      </c>
      <c r="I27" s="158" t="s">
        <v>25</v>
      </c>
      <c r="J27" s="158" t="s">
        <v>176</v>
      </c>
      <c r="K27" s="158" t="s">
        <v>40</v>
      </c>
      <c r="L27" s="158" t="s">
        <v>35</v>
      </c>
      <c r="M27" s="74" t="s">
        <v>187</v>
      </c>
      <c r="N27" s="21" t="s">
        <v>24</v>
      </c>
      <c r="O27" s="74" t="s">
        <v>35</v>
      </c>
      <c r="P27" s="150" t="s">
        <v>184</v>
      </c>
      <c r="Q27" s="150" t="s">
        <v>33</v>
      </c>
      <c r="R27" s="179" t="s">
        <v>35</v>
      </c>
      <c r="S27" s="76"/>
      <c r="T27" s="76"/>
      <c r="U27" s="76"/>
      <c r="W27" s="135"/>
      <c r="X27" s="134" t="s">
        <v>196</v>
      </c>
      <c r="Y27" s="135">
        <f t="shared" si="1"/>
        <v>2</v>
      </c>
      <c r="Z27" s="69" t="s">
        <v>196</v>
      </c>
      <c r="AA27" s="69">
        <v>2.0</v>
      </c>
    </row>
    <row r="28" ht="15.75" customHeight="1">
      <c r="D28" s="180" t="s">
        <v>190</v>
      </c>
      <c r="E28" s="180" t="s">
        <v>124</v>
      </c>
      <c r="F28" s="180" t="s">
        <v>29</v>
      </c>
      <c r="G28" s="22"/>
      <c r="H28" s="22"/>
      <c r="I28" s="22"/>
      <c r="J28" s="19" t="s">
        <v>182</v>
      </c>
      <c r="K28" s="158" t="s">
        <v>92</v>
      </c>
      <c r="L28" s="158" t="s">
        <v>35</v>
      </c>
      <c r="M28" s="93" t="s">
        <v>179</v>
      </c>
      <c r="N28" s="93" t="s">
        <v>143</v>
      </c>
      <c r="O28" s="93" t="s">
        <v>25</v>
      </c>
      <c r="P28" s="180" t="s">
        <v>198</v>
      </c>
      <c r="Q28" s="89" t="s">
        <v>111</v>
      </c>
      <c r="R28" s="89" t="s">
        <v>29</v>
      </c>
      <c r="S28" s="93"/>
      <c r="T28" s="93"/>
      <c r="U28" s="93"/>
      <c r="W28" s="135"/>
      <c r="X28" s="22" t="s">
        <v>195</v>
      </c>
      <c r="Y28" s="135">
        <f t="shared" si="1"/>
        <v>4</v>
      </c>
      <c r="Z28" s="69" t="s">
        <v>195</v>
      </c>
      <c r="AA28" s="69">
        <v>4.0</v>
      </c>
    </row>
    <row r="29" ht="15.75" customHeight="1">
      <c r="A29" s="19"/>
      <c r="B29" s="158"/>
      <c r="C29" s="158"/>
      <c r="G29" s="22"/>
      <c r="H29" s="22"/>
      <c r="I29" s="22"/>
      <c r="J29" s="19" t="s">
        <v>183</v>
      </c>
      <c r="K29" s="158" t="s">
        <v>95</v>
      </c>
      <c r="L29" s="158" t="s">
        <v>35</v>
      </c>
      <c r="M29" s="70"/>
      <c r="N29" s="70"/>
      <c r="O29" s="70"/>
      <c r="P29" s="22"/>
      <c r="Q29" s="22"/>
      <c r="R29" s="22"/>
      <c r="S29" s="76"/>
      <c r="T29" s="76"/>
      <c r="U29" s="76"/>
      <c r="W29" s="135"/>
      <c r="X29" s="181" t="s">
        <v>166</v>
      </c>
      <c r="Y29" s="135">
        <f t="shared" si="1"/>
        <v>0</v>
      </c>
      <c r="Z29" s="69" t="s">
        <v>166</v>
      </c>
      <c r="AA29" s="69">
        <v>2.0</v>
      </c>
    </row>
    <row r="30" ht="15.75" customHeight="1">
      <c r="D30" s="76"/>
      <c r="E30" s="76"/>
      <c r="F30" s="76"/>
      <c r="G30" s="76"/>
      <c r="H30" s="76"/>
      <c r="I30" s="76"/>
      <c r="J30" s="76"/>
      <c r="K30" s="76"/>
      <c r="L30" s="76"/>
      <c r="M30" s="70"/>
      <c r="N30" s="70"/>
      <c r="O30" s="70"/>
      <c r="P30" s="160"/>
      <c r="Q30" s="160"/>
      <c r="R30" s="160"/>
      <c r="S30" s="93"/>
      <c r="T30" s="93"/>
      <c r="U30" s="93"/>
      <c r="W30" s="135"/>
      <c r="X30" s="182" t="s">
        <v>207</v>
      </c>
      <c r="Y30" s="135">
        <f t="shared" si="1"/>
        <v>1</v>
      </c>
      <c r="Z30" s="69" t="s">
        <v>207</v>
      </c>
      <c r="AA30" s="69">
        <v>2.0</v>
      </c>
    </row>
    <row r="31" ht="15.75" customHeight="1">
      <c r="A31" s="78" t="s">
        <v>98</v>
      </c>
      <c r="B31" s="11"/>
      <c r="C31" s="12"/>
      <c r="D31" s="107" t="s">
        <v>8</v>
      </c>
      <c r="E31" s="11"/>
      <c r="F31" s="12"/>
      <c r="G31" s="78" t="s">
        <v>99</v>
      </c>
      <c r="H31" s="11"/>
      <c r="I31" s="12"/>
      <c r="J31" s="78" t="s">
        <v>10</v>
      </c>
      <c r="K31" s="11"/>
      <c r="L31" s="12"/>
      <c r="M31" s="78" t="s">
        <v>11</v>
      </c>
      <c r="N31" s="11"/>
      <c r="O31" s="12"/>
      <c r="P31" s="78" t="s">
        <v>75</v>
      </c>
      <c r="Q31" s="11"/>
      <c r="R31" s="12"/>
      <c r="S31" s="79" t="s">
        <v>100</v>
      </c>
      <c r="T31" s="11"/>
      <c r="U31" s="12"/>
      <c r="W31" s="183"/>
      <c r="X31" s="85" t="s">
        <v>195</v>
      </c>
      <c r="Y31" s="135">
        <f t="shared" si="1"/>
        <v>4</v>
      </c>
    </row>
    <row r="32" ht="15.75" customHeight="1">
      <c r="A32" s="82">
        <f>S23+1</f>
        <v>46188</v>
      </c>
      <c r="B32" s="11"/>
      <c r="C32" s="12"/>
      <c r="D32" s="83">
        <f>A32+1</f>
        <v>46189</v>
      </c>
      <c r="E32" s="11"/>
      <c r="F32" s="12"/>
      <c r="G32" s="81">
        <f>D32+1</f>
        <v>46190</v>
      </c>
      <c r="H32" s="11"/>
      <c r="I32" s="12"/>
      <c r="J32" s="81">
        <f>G32+1</f>
        <v>46191</v>
      </c>
      <c r="K32" s="11"/>
      <c r="L32" s="12"/>
      <c r="M32" s="81">
        <f>J32+1</f>
        <v>46192</v>
      </c>
      <c r="N32" s="11"/>
      <c r="O32" s="12"/>
      <c r="P32" s="81">
        <f>M32+1</f>
        <v>46193</v>
      </c>
      <c r="Q32" s="11"/>
      <c r="R32" s="12"/>
      <c r="S32" s="83">
        <f>P32+1</f>
        <v>46194</v>
      </c>
      <c r="T32" s="11"/>
      <c r="U32" s="12"/>
      <c r="W32" s="183"/>
      <c r="X32" s="137" t="s">
        <v>185</v>
      </c>
      <c r="Y32" s="135">
        <f t="shared" si="1"/>
        <v>2</v>
      </c>
    </row>
    <row r="33" ht="15.75" customHeight="1">
      <c r="G33" s="93"/>
      <c r="H33" s="93"/>
      <c r="I33" s="93"/>
      <c r="M33" s="22"/>
      <c r="N33" s="22"/>
      <c r="O33" s="22"/>
      <c r="P33" s="70"/>
      <c r="Q33" s="70"/>
      <c r="R33" s="70"/>
      <c r="S33" s="76"/>
      <c r="T33" s="76"/>
      <c r="U33" s="76"/>
      <c r="W33" s="183"/>
      <c r="X33" s="182"/>
      <c r="Y33" s="135">
        <f t="shared" si="1"/>
        <v>0</v>
      </c>
    </row>
    <row r="34" ht="15.75" customHeight="1">
      <c r="A34" s="19" t="s">
        <v>202</v>
      </c>
      <c r="B34" s="19" t="s">
        <v>203</v>
      </c>
      <c r="C34" s="20"/>
      <c r="G34" s="173" t="s">
        <v>185</v>
      </c>
      <c r="H34" s="173" t="s">
        <v>52</v>
      </c>
      <c r="I34" s="173" t="s">
        <v>35</v>
      </c>
      <c r="J34" s="30" t="s">
        <v>186</v>
      </c>
      <c r="K34" s="158" t="s">
        <v>95</v>
      </c>
      <c r="L34" s="158" t="s">
        <v>35</v>
      </c>
      <c r="M34" s="74" t="s">
        <v>187</v>
      </c>
      <c r="N34" s="21" t="s">
        <v>24</v>
      </c>
      <c r="O34" s="74" t="s">
        <v>35</v>
      </c>
      <c r="P34" s="88" t="s">
        <v>188</v>
      </c>
      <c r="Q34" s="138" t="s">
        <v>189</v>
      </c>
      <c r="R34" s="101" t="s">
        <v>25</v>
      </c>
      <c r="S34" s="170" t="s">
        <v>14</v>
      </c>
      <c r="T34" s="11"/>
      <c r="U34" s="12"/>
      <c r="W34" s="183"/>
      <c r="X34" s="182"/>
      <c r="Y34" s="135">
        <f t="shared" si="1"/>
        <v>0</v>
      </c>
    </row>
    <row r="35" ht="15.75" customHeight="1">
      <c r="A35" s="19" t="s">
        <v>199</v>
      </c>
      <c r="B35" s="19" t="s">
        <v>31</v>
      </c>
      <c r="C35" s="19" t="s">
        <v>29</v>
      </c>
      <c r="D35" s="137" t="s">
        <v>190</v>
      </c>
      <c r="E35" s="137" t="s">
        <v>124</v>
      </c>
      <c r="F35" s="137" t="s">
        <v>29</v>
      </c>
      <c r="G35" s="150" t="s">
        <v>192</v>
      </c>
      <c r="H35" s="174" t="s">
        <v>105</v>
      </c>
      <c r="I35" s="174" t="s">
        <v>29</v>
      </c>
      <c r="J35" s="30" t="s">
        <v>56</v>
      </c>
      <c r="K35" s="158" t="s">
        <v>57</v>
      </c>
      <c r="L35" s="158" t="s">
        <v>29</v>
      </c>
      <c r="M35" s="74" t="s">
        <v>178</v>
      </c>
      <c r="N35" s="74" t="s">
        <v>165</v>
      </c>
      <c r="O35" s="74" t="s">
        <v>29</v>
      </c>
      <c r="P35" s="93" t="s">
        <v>193</v>
      </c>
      <c r="Q35" s="93" t="s">
        <v>194</v>
      </c>
      <c r="R35" s="93" t="s">
        <v>25</v>
      </c>
      <c r="S35" s="76"/>
      <c r="T35" s="76"/>
      <c r="U35" s="76"/>
      <c r="W35" s="183"/>
      <c r="X35" s="184"/>
      <c r="Y35" s="133"/>
    </row>
    <row r="36" ht="15.75" customHeight="1">
      <c r="A36" s="74" t="s">
        <v>191</v>
      </c>
      <c r="B36" s="21" t="s">
        <v>138</v>
      </c>
      <c r="C36" s="102" t="s">
        <v>35</v>
      </c>
      <c r="D36" s="170" t="s">
        <v>14</v>
      </c>
      <c r="E36" s="11"/>
      <c r="F36" s="12"/>
      <c r="G36" s="175" t="s">
        <v>195</v>
      </c>
      <c r="H36" s="175" t="s">
        <v>40</v>
      </c>
      <c r="I36" s="175" t="s">
        <v>35</v>
      </c>
      <c r="J36" s="85"/>
      <c r="K36" s="85"/>
      <c r="L36" s="85"/>
      <c r="M36" s="70" t="s">
        <v>196</v>
      </c>
      <c r="N36" s="76" t="s">
        <v>153</v>
      </c>
      <c r="O36" s="76" t="s">
        <v>29</v>
      </c>
      <c r="P36" s="85" t="s">
        <v>175</v>
      </c>
      <c r="Q36" s="85" t="s">
        <v>197</v>
      </c>
      <c r="R36" s="85" t="s">
        <v>29</v>
      </c>
      <c r="S36" s="76"/>
      <c r="T36" s="76"/>
      <c r="U36" s="76"/>
      <c r="Y36" s="69">
        <f>SUM(Y7:Y35)</f>
        <v>65</v>
      </c>
    </row>
    <row r="37" ht="15.75" customHeight="1">
      <c r="A37" s="70" t="s">
        <v>207</v>
      </c>
      <c r="B37" s="70" t="s">
        <v>194</v>
      </c>
      <c r="C37" s="70" t="s">
        <v>25</v>
      </c>
      <c r="G37" s="19"/>
      <c r="H37" s="19"/>
      <c r="I37" s="76"/>
      <c r="J37" s="93"/>
      <c r="K37" s="93"/>
      <c r="L37" s="93"/>
      <c r="P37" s="70"/>
      <c r="Q37" s="70"/>
      <c r="R37" s="70"/>
      <c r="S37" s="76"/>
      <c r="T37" s="76"/>
      <c r="U37" s="76"/>
    </row>
    <row r="38" ht="15.75" customHeight="1">
      <c r="A38" s="94" t="s">
        <v>98</v>
      </c>
      <c r="B38" s="11"/>
      <c r="C38" s="12"/>
      <c r="D38" s="94" t="s">
        <v>8</v>
      </c>
      <c r="E38" s="11"/>
      <c r="F38" s="12"/>
      <c r="G38" s="94" t="s">
        <v>99</v>
      </c>
      <c r="H38" s="11"/>
      <c r="I38" s="12"/>
      <c r="J38" s="94" t="s">
        <v>10</v>
      </c>
      <c r="K38" s="11"/>
      <c r="L38" s="12"/>
      <c r="M38" s="94" t="s">
        <v>11</v>
      </c>
      <c r="N38" s="11"/>
      <c r="O38" s="12"/>
      <c r="P38" s="94" t="s">
        <v>75</v>
      </c>
      <c r="Q38" s="11"/>
      <c r="R38" s="12"/>
      <c r="S38" s="95" t="s">
        <v>100</v>
      </c>
      <c r="T38" s="11"/>
      <c r="U38" s="12"/>
    </row>
    <row r="39" ht="15.75" customHeight="1">
      <c r="A39" s="97">
        <f>S32+1</f>
        <v>46195</v>
      </c>
      <c r="B39" s="11"/>
      <c r="C39" s="12"/>
      <c r="D39" s="97">
        <f>A39+1</f>
        <v>46196</v>
      </c>
      <c r="E39" s="11"/>
      <c r="F39" s="12"/>
      <c r="G39" s="97">
        <f>D39+1</f>
        <v>46197</v>
      </c>
      <c r="H39" s="11"/>
      <c r="I39" s="12"/>
      <c r="J39" s="97">
        <f>G39+1</f>
        <v>46198</v>
      </c>
      <c r="K39" s="11"/>
      <c r="L39" s="12"/>
      <c r="M39" s="97">
        <f>J39+1</f>
        <v>46199</v>
      </c>
      <c r="N39" s="11"/>
      <c r="O39" s="12"/>
      <c r="P39" s="97">
        <f>M39+1</f>
        <v>46200</v>
      </c>
      <c r="Q39" s="11"/>
      <c r="R39" s="12"/>
      <c r="S39" s="98">
        <f>P39+1</f>
        <v>46201</v>
      </c>
      <c r="T39" s="11"/>
      <c r="U39" s="12"/>
    </row>
    <row r="40" ht="15.75" customHeight="1">
      <c r="A40" s="70"/>
      <c r="B40" s="70"/>
      <c r="C40" s="70"/>
      <c r="D40" s="70"/>
      <c r="E40" s="70"/>
      <c r="F40" s="70"/>
      <c r="G40" s="85"/>
      <c r="H40" s="85"/>
      <c r="I40" s="85"/>
      <c r="J40" s="85"/>
      <c r="K40" s="85"/>
      <c r="L40" s="85"/>
      <c r="M40" s="172"/>
      <c r="N40" s="172"/>
      <c r="O40" s="172"/>
      <c r="P40" s="172"/>
      <c r="Q40" s="172"/>
      <c r="R40" s="172"/>
      <c r="S40" s="76"/>
      <c r="T40" s="76"/>
      <c r="U40" s="76"/>
    </row>
    <row r="41" ht="15.75" customHeight="1">
      <c r="A41" s="85"/>
      <c r="B41" s="85"/>
      <c r="C41" s="85"/>
      <c r="D41" s="104" t="s">
        <v>204</v>
      </c>
      <c r="E41" s="104" t="s">
        <v>92</v>
      </c>
      <c r="F41" s="177" t="s">
        <v>35</v>
      </c>
      <c r="G41" s="93"/>
      <c r="H41" s="93"/>
      <c r="I41" s="93"/>
      <c r="J41" s="93"/>
      <c r="K41" s="93"/>
      <c r="L41" s="93"/>
      <c r="M41" s="22"/>
      <c r="N41" s="22"/>
      <c r="O41" s="22"/>
      <c r="P41" s="172"/>
      <c r="Q41" s="172"/>
      <c r="R41" s="172"/>
      <c r="S41" s="76"/>
      <c r="T41" s="76"/>
      <c r="U41" s="76"/>
    </row>
    <row r="42" ht="15.75" customHeight="1">
      <c r="A42" s="19" t="s">
        <v>202</v>
      </c>
      <c r="B42" s="19" t="s">
        <v>203</v>
      </c>
      <c r="C42" s="20"/>
      <c r="D42" s="178" t="s">
        <v>180</v>
      </c>
      <c r="E42" s="178" t="s">
        <v>92</v>
      </c>
      <c r="F42" s="178" t="s">
        <v>29</v>
      </c>
      <c r="G42" s="76" t="s">
        <v>179</v>
      </c>
      <c r="H42" s="76" t="s">
        <v>206</v>
      </c>
      <c r="I42" s="76" t="s">
        <v>25</v>
      </c>
      <c r="J42" s="158" t="s">
        <v>174</v>
      </c>
      <c r="K42" s="158" t="s">
        <v>105</v>
      </c>
      <c r="L42" s="158" t="s">
        <v>35</v>
      </c>
      <c r="M42" s="175" t="s">
        <v>195</v>
      </c>
      <c r="N42" s="175" t="s">
        <v>105</v>
      </c>
      <c r="O42" s="175" t="s">
        <v>35</v>
      </c>
      <c r="P42" s="88" t="s">
        <v>188</v>
      </c>
      <c r="Q42" s="138" t="s">
        <v>189</v>
      </c>
      <c r="R42" s="101" t="s">
        <v>25</v>
      </c>
      <c r="S42" s="76"/>
      <c r="T42" s="76"/>
      <c r="U42" s="76"/>
    </row>
    <row r="43" ht="15.75" customHeight="1">
      <c r="A43" s="19" t="s">
        <v>199</v>
      </c>
      <c r="B43" s="19" t="s">
        <v>31</v>
      </c>
      <c r="C43" s="19" t="s">
        <v>29</v>
      </c>
      <c r="D43" s="158" t="s">
        <v>181</v>
      </c>
      <c r="E43" s="102" t="s">
        <v>95</v>
      </c>
      <c r="F43" s="158" t="s">
        <v>25</v>
      </c>
      <c r="G43" s="158" t="s">
        <v>181</v>
      </c>
      <c r="H43" s="102" t="s">
        <v>95</v>
      </c>
      <c r="I43" s="158" t="s">
        <v>25</v>
      </c>
      <c r="J43" s="30" t="s">
        <v>186</v>
      </c>
      <c r="K43" s="158" t="s">
        <v>49</v>
      </c>
      <c r="L43" s="158" t="s">
        <v>35</v>
      </c>
      <c r="M43" s="74" t="s">
        <v>187</v>
      </c>
      <c r="N43" s="21" t="s">
        <v>24</v>
      </c>
      <c r="O43" s="74" t="s">
        <v>35</v>
      </c>
      <c r="P43" s="150" t="s">
        <v>184</v>
      </c>
      <c r="Q43" s="150" t="s">
        <v>33</v>
      </c>
      <c r="R43" s="179" t="s">
        <v>35</v>
      </c>
      <c r="S43" s="170" t="s">
        <v>14</v>
      </c>
      <c r="T43" s="11"/>
      <c r="U43" s="12"/>
    </row>
    <row r="44" ht="15.75" customHeight="1">
      <c r="A44" s="70" t="s">
        <v>177</v>
      </c>
      <c r="B44" s="70" t="s">
        <v>90</v>
      </c>
      <c r="C44" s="70" t="s">
        <v>29</v>
      </c>
      <c r="D44" s="137" t="s">
        <v>190</v>
      </c>
      <c r="E44" s="137" t="s">
        <v>124</v>
      </c>
      <c r="F44" s="137" t="s">
        <v>29</v>
      </c>
      <c r="G44" s="22"/>
      <c r="H44" s="22"/>
      <c r="I44" s="22"/>
      <c r="J44" s="158" t="s">
        <v>176</v>
      </c>
      <c r="K44" s="158" t="s">
        <v>40</v>
      </c>
      <c r="L44" s="158" t="s">
        <v>35</v>
      </c>
      <c r="M44" s="85" t="s">
        <v>179</v>
      </c>
      <c r="N44" s="85" t="s">
        <v>143</v>
      </c>
      <c r="O44" s="85" t="s">
        <v>25</v>
      </c>
      <c r="P44" s="180" t="s">
        <v>198</v>
      </c>
      <c r="Q44" s="89" t="s">
        <v>111</v>
      </c>
      <c r="R44" s="89" t="s">
        <v>29</v>
      </c>
      <c r="S44" s="76"/>
      <c r="T44" s="76"/>
      <c r="U44" s="76"/>
    </row>
    <row r="45" ht="15.75" customHeight="1">
      <c r="A45" s="76"/>
      <c r="B45" s="76"/>
      <c r="C45" s="76"/>
      <c r="G45" s="76"/>
      <c r="H45" s="76"/>
      <c r="I45" s="76"/>
      <c r="J45" s="19" t="s">
        <v>182</v>
      </c>
      <c r="K45" s="158" t="s">
        <v>92</v>
      </c>
      <c r="L45" s="158" t="s">
        <v>35</v>
      </c>
      <c r="M45" s="172"/>
      <c r="N45" s="172"/>
      <c r="O45" s="172"/>
      <c r="P45" s="172"/>
      <c r="Q45" s="172"/>
      <c r="R45" s="172"/>
      <c r="S45" s="76"/>
      <c r="T45" s="76"/>
      <c r="U45" s="76"/>
    </row>
    <row r="46" ht="15.75" customHeight="1">
      <c r="A46" s="76"/>
      <c r="B46" s="76"/>
      <c r="C46" s="76"/>
      <c r="D46" s="76"/>
      <c r="E46" s="76"/>
      <c r="F46" s="76"/>
      <c r="G46" s="76" t="s">
        <v>123</v>
      </c>
      <c r="H46" s="76"/>
      <c r="I46" s="76"/>
      <c r="J46" s="19" t="s">
        <v>183</v>
      </c>
      <c r="K46" s="158" t="s">
        <v>95</v>
      </c>
      <c r="L46" s="158" t="s">
        <v>35</v>
      </c>
      <c r="M46" s="172"/>
      <c r="N46" s="172"/>
      <c r="O46" s="172"/>
      <c r="P46" s="172"/>
      <c r="Q46" s="172"/>
      <c r="R46" s="172"/>
      <c r="S46" s="76"/>
      <c r="T46" s="76"/>
      <c r="U46" s="76"/>
    </row>
    <row r="47" ht="15.75" customHeight="1">
      <c r="A47" s="78" t="s">
        <v>98</v>
      </c>
      <c r="B47" s="11"/>
      <c r="C47" s="12"/>
      <c r="D47" s="78" t="s">
        <v>8</v>
      </c>
      <c r="E47" s="11"/>
      <c r="F47" s="12"/>
      <c r="G47" s="78" t="s">
        <v>99</v>
      </c>
      <c r="H47" s="11"/>
      <c r="I47" s="12"/>
      <c r="J47" s="78" t="s">
        <v>10</v>
      </c>
      <c r="K47" s="11"/>
      <c r="L47" s="12"/>
      <c r="M47" s="78" t="s">
        <v>11</v>
      </c>
      <c r="N47" s="11"/>
      <c r="O47" s="12"/>
      <c r="P47" s="78" t="s">
        <v>75</v>
      </c>
      <c r="Q47" s="11"/>
      <c r="R47" s="12"/>
      <c r="S47" s="79" t="s">
        <v>100</v>
      </c>
      <c r="T47" s="11"/>
      <c r="U47" s="12"/>
    </row>
    <row r="48" ht="15.75" customHeight="1">
      <c r="A48" s="82">
        <f>S39+1</f>
        <v>46202</v>
      </c>
      <c r="B48" s="11"/>
      <c r="C48" s="12"/>
      <c r="D48" s="82">
        <f>A48+1</f>
        <v>46203</v>
      </c>
      <c r="E48" s="11"/>
      <c r="F48" s="12"/>
      <c r="G48" s="81"/>
      <c r="H48" s="11"/>
      <c r="I48" s="12"/>
      <c r="J48" s="81"/>
      <c r="K48" s="11"/>
      <c r="L48" s="12"/>
      <c r="M48" s="81"/>
      <c r="N48" s="11"/>
      <c r="O48" s="12"/>
      <c r="P48" s="81"/>
      <c r="Q48" s="11"/>
      <c r="R48" s="12"/>
      <c r="S48" s="83"/>
      <c r="T48" s="11"/>
      <c r="U48" s="12"/>
    </row>
    <row r="49" ht="15.75" customHeight="1">
      <c r="A49" s="70"/>
      <c r="B49" s="70"/>
      <c r="C49" s="70"/>
      <c r="D49" s="93"/>
      <c r="E49" s="93"/>
      <c r="F49" s="93"/>
      <c r="G49" s="185" t="s">
        <v>123</v>
      </c>
      <c r="H49" s="70"/>
      <c r="I49" s="70"/>
      <c r="J49" s="93"/>
      <c r="K49" s="93"/>
      <c r="L49" s="93"/>
      <c r="M49" s="93"/>
      <c r="N49" s="93"/>
      <c r="O49" s="93"/>
      <c r="P49" s="93"/>
      <c r="Q49" s="70"/>
      <c r="R49" s="70"/>
      <c r="S49" s="93"/>
      <c r="T49" s="70"/>
      <c r="U49" s="70"/>
    </row>
    <row r="50" ht="15.75" customHeight="1">
      <c r="A50" s="19" t="s">
        <v>202</v>
      </c>
      <c r="B50" s="19" t="s">
        <v>203</v>
      </c>
      <c r="C50" s="20"/>
      <c r="D50" s="93"/>
      <c r="E50" s="93"/>
      <c r="F50" s="93"/>
      <c r="G50" s="85"/>
      <c r="H50" s="85"/>
      <c r="I50" s="85"/>
      <c r="J50" s="93"/>
      <c r="K50" s="93"/>
      <c r="L50" s="93"/>
      <c r="M50" s="93"/>
      <c r="N50" s="93"/>
      <c r="O50" s="93"/>
      <c r="P50" s="93"/>
      <c r="Q50" s="85"/>
      <c r="R50" s="116"/>
      <c r="S50" s="93"/>
      <c r="T50" s="85"/>
      <c r="U50" s="116"/>
    </row>
    <row r="51" ht="15.75" customHeight="1">
      <c r="A51" s="19" t="s">
        <v>199</v>
      </c>
      <c r="B51" s="19" t="s">
        <v>31</v>
      </c>
      <c r="C51" s="19" t="s">
        <v>29</v>
      </c>
      <c r="D51" s="76"/>
      <c r="E51" s="76"/>
      <c r="F51" s="76"/>
      <c r="G51" s="70"/>
      <c r="H51" s="70"/>
      <c r="I51" s="70"/>
      <c r="J51" s="76"/>
      <c r="K51" s="76"/>
      <c r="L51" s="76"/>
      <c r="M51" s="76"/>
      <c r="N51" s="76"/>
      <c r="O51" s="76"/>
      <c r="P51" s="76"/>
      <c r="Q51" s="85"/>
      <c r="R51" s="71"/>
      <c r="S51" s="76"/>
      <c r="T51" s="85"/>
      <c r="U51" s="71"/>
    </row>
    <row r="52" ht="15.75" customHeight="1">
      <c r="A52" s="70" t="s">
        <v>207</v>
      </c>
      <c r="B52" s="70" t="s">
        <v>194</v>
      </c>
      <c r="C52" s="70" t="s">
        <v>25</v>
      </c>
      <c r="D52" s="76"/>
      <c r="E52" s="76"/>
      <c r="F52" s="76"/>
      <c r="G52" s="70"/>
      <c r="H52" s="70"/>
      <c r="I52" s="70"/>
      <c r="J52" s="76"/>
      <c r="K52" s="76"/>
      <c r="L52" s="76"/>
      <c r="M52" s="76"/>
      <c r="N52" s="76"/>
      <c r="O52" s="76"/>
      <c r="P52" s="76"/>
      <c r="Q52" s="85"/>
      <c r="R52" s="71"/>
      <c r="S52" s="76"/>
      <c r="T52" s="85"/>
      <c r="U52" s="71"/>
    </row>
    <row r="53" ht="15.75" customHeight="1">
      <c r="A53" s="93"/>
      <c r="B53" s="93"/>
      <c r="C53" s="93"/>
      <c r="D53" s="76"/>
      <c r="E53" s="76"/>
      <c r="F53" s="76"/>
      <c r="G53" s="85"/>
      <c r="H53" s="85"/>
      <c r="I53" s="85"/>
      <c r="J53" s="93"/>
      <c r="K53" s="93"/>
      <c r="L53" s="93"/>
      <c r="M53" s="76"/>
      <c r="N53" s="93"/>
      <c r="O53" s="93"/>
      <c r="P53" s="93"/>
      <c r="Q53" s="85"/>
      <c r="R53" s="116"/>
      <c r="S53" s="93"/>
      <c r="T53" s="85"/>
      <c r="U53" s="116"/>
    </row>
    <row r="54" ht="15.75" customHeight="1">
      <c r="A54" s="76"/>
      <c r="B54" s="76"/>
      <c r="C54" s="76"/>
      <c r="D54" s="76"/>
      <c r="E54" s="76"/>
      <c r="F54" s="76"/>
      <c r="G54" s="85"/>
      <c r="H54" s="85"/>
      <c r="I54" s="85"/>
      <c r="J54" s="76"/>
      <c r="K54" s="76"/>
      <c r="L54" s="76"/>
      <c r="M54" s="76"/>
      <c r="N54" s="76"/>
      <c r="O54" s="76"/>
      <c r="P54" s="76"/>
      <c r="Q54" s="76"/>
      <c r="R54" s="77"/>
      <c r="S54" s="76"/>
      <c r="T54" s="76"/>
      <c r="U54" s="77"/>
    </row>
    <row r="55" ht="15.75" customHeight="1">
      <c r="A55" s="85"/>
      <c r="B55" s="85"/>
      <c r="C55" s="85"/>
      <c r="D55" s="93"/>
      <c r="E55" s="93"/>
      <c r="F55" s="93"/>
      <c r="G55" s="70"/>
      <c r="H55" s="93"/>
      <c r="I55" s="93"/>
      <c r="J55" s="93"/>
      <c r="K55" s="93"/>
      <c r="L55" s="93"/>
      <c r="M55" s="76"/>
      <c r="N55" s="93"/>
      <c r="O55" s="93"/>
      <c r="P55" s="93"/>
      <c r="Q55" s="85"/>
      <c r="R55" s="116"/>
      <c r="S55" s="93"/>
      <c r="T55" s="85"/>
      <c r="U55" s="116"/>
    </row>
    <row r="56" ht="15.75" customHeight="1">
      <c r="A56" s="186"/>
      <c r="B56" s="55"/>
    </row>
    <row r="57" ht="15.75" customHeight="1"/>
    <row r="58" ht="15.75" customHeight="1">
      <c r="A58" s="54" t="s">
        <v>64</v>
      </c>
      <c r="B58" s="55"/>
    </row>
    <row r="59" ht="15.75" customHeight="1">
      <c r="A59" s="56"/>
      <c r="B59" s="57" t="s">
        <v>65</v>
      </c>
      <c r="C59" s="58"/>
      <c r="D59" s="59"/>
    </row>
    <row r="60" ht="15.75" customHeight="1">
      <c r="A60" s="60"/>
      <c r="B60" s="57" t="s">
        <v>66</v>
      </c>
      <c r="C60" s="58"/>
    </row>
    <row r="61" ht="15.75" customHeight="1">
      <c r="A61" s="61"/>
      <c r="B61" s="57" t="s">
        <v>67</v>
      </c>
      <c r="C61" s="58"/>
    </row>
    <row r="62" ht="15.75" customHeight="1">
      <c r="A62" s="62"/>
      <c r="B62" s="57" t="s">
        <v>68</v>
      </c>
      <c r="C62" s="5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6:$Y$34">
    <sortState ref="W6:Y34">
      <sortCondition ref="X6:X34"/>
    </sortState>
  </autoFilter>
  <mergeCells count="102">
    <mergeCell ref="A22:C22"/>
    <mergeCell ref="D22:F22"/>
    <mergeCell ref="G22:I22"/>
    <mergeCell ref="J22:L22"/>
    <mergeCell ref="M22:O22"/>
    <mergeCell ref="P22:R22"/>
    <mergeCell ref="S22:U22"/>
    <mergeCell ref="A23:C23"/>
    <mergeCell ref="D23:F23"/>
    <mergeCell ref="G23:I23"/>
    <mergeCell ref="J23:L23"/>
    <mergeCell ref="M23:O23"/>
    <mergeCell ref="P23:R23"/>
    <mergeCell ref="S23:U23"/>
    <mergeCell ref="A31:C31"/>
    <mergeCell ref="D31:F31"/>
    <mergeCell ref="G31:I31"/>
    <mergeCell ref="J31:L31"/>
    <mergeCell ref="M31:O31"/>
    <mergeCell ref="P31:R31"/>
    <mergeCell ref="S31:U31"/>
    <mergeCell ref="D32:F32"/>
    <mergeCell ref="G32:I32"/>
    <mergeCell ref="J32:L32"/>
    <mergeCell ref="M32:O32"/>
    <mergeCell ref="P32:R32"/>
    <mergeCell ref="S32:U32"/>
    <mergeCell ref="S34:U34"/>
    <mergeCell ref="A32:C32"/>
    <mergeCell ref="D38:F38"/>
    <mergeCell ref="G38:I38"/>
    <mergeCell ref="J38:L38"/>
    <mergeCell ref="M38:O38"/>
    <mergeCell ref="P38:R38"/>
    <mergeCell ref="S38:U38"/>
    <mergeCell ref="D36:F36"/>
    <mergeCell ref="A38:C38"/>
    <mergeCell ref="A39:C39"/>
    <mergeCell ref="D39:F39"/>
    <mergeCell ref="G39:I39"/>
    <mergeCell ref="J39:L39"/>
    <mergeCell ref="M39:O39"/>
    <mergeCell ref="P39:R39"/>
    <mergeCell ref="P47:R47"/>
    <mergeCell ref="S47:U47"/>
    <mergeCell ref="S39:U39"/>
    <mergeCell ref="S43:U43"/>
    <mergeCell ref="A47:C47"/>
    <mergeCell ref="D47:F47"/>
    <mergeCell ref="G47:I47"/>
    <mergeCell ref="J47:L47"/>
    <mergeCell ref="M47:O47"/>
    <mergeCell ref="A1:B1"/>
    <mergeCell ref="C1:E1"/>
    <mergeCell ref="G1:P4"/>
    <mergeCell ref="A2:B2"/>
    <mergeCell ref="C2:E2"/>
    <mergeCell ref="A3:B3"/>
    <mergeCell ref="C3:E3"/>
    <mergeCell ref="P6:R6"/>
    <mergeCell ref="S6:U6"/>
    <mergeCell ref="P10:R10"/>
    <mergeCell ref="S10:U10"/>
    <mergeCell ref="S19:U19"/>
    <mergeCell ref="S26:U26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A16:C16"/>
    <mergeCell ref="D16:F16"/>
    <mergeCell ref="G16:I16"/>
    <mergeCell ref="J16:L16"/>
    <mergeCell ref="M16:O16"/>
    <mergeCell ref="P16:R16"/>
    <mergeCell ref="S16:U16"/>
    <mergeCell ref="B56:D56"/>
    <mergeCell ref="B58:D58"/>
    <mergeCell ref="A48:C48"/>
    <mergeCell ref="D48:F48"/>
    <mergeCell ref="G48:I48"/>
    <mergeCell ref="J48:L48"/>
    <mergeCell ref="M48:O48"/>
    <mergeCell ref="P48:R48"/>
    <mergeCell ref="S48:U48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16.5" customHeight="1">
      <c r="A1" s="6" t="s">
        <v>69</v>
      </c>
      <c r="C1" s="2" t="s">
        <v>208</v>
      </c>
      <c r="F1" s="187"/>
      <c r="G1" s="4" t="s">
        <v>2</v>
      </c>
      <c r="Q1" s="187"/>
    </row>
    <row r="2">
      <c r="A2" s="6" t="s">
        <v>3</v>
      </c>
      <c r="C2" s="7" t="s">
        <v>71</v>
      </c>
      <c r="F2" s="187"/>
      <c r="Q2" s="187"/>
    </row>
    <row r="3">
      <c r="A3" s="6" t="s">
        <v>5</v>
      </c>
      <c r="C3" s="2" t="s">
        <v>72</v>
      </c>
      <c r="F3" s="187"/>
      <c r="Q3" s="187"/>
    </row>
    <row r="4">
      <c r="A4" s="166" t="s">
        <v>6</v>
      </c>
      <c r="B4" s="167"/>
      <c r="C4" s="2" t="s">
        <v>72</v>
      </c>
      <c r="F4" s="187"/>
      <c r="G4" s="187"/>
      <c r="H4" s="187"/>
      <c r="I4" s="187"/>
      <c r="J4" s="187"/>
      <c r="K4" s="187"/>
      <c r="L4" s="187"/>
      <c r="M4" s="187"/>
      <c r="N4" s="187"/>
      <c r="O4" s="188"/>
      <c r="P4" s="189"/>
      <c r="Q4" s="129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194"/>
      <c r="B6" s="195"/>
      <c r="C6" s="196"/>
      <c r="D6" s="197"/>
      <c r="F6" s="198"/>
      <c r="G6" s="199"/>
      <c r="H6" s="195"/>
      <c r="I6" s="196"/>
      <c r="J6" s="199"/>
      <c r="K6" s="195"/>
      <c r="L6" s="196"/>
      <c r="M6" s="200"/>
      <c r="N6" s="195"/>
      <c r="O6" s="196"/>
      <c r="P6" s="201"/>
      <c r="R6" s="198"/>
      <c r="S6" s="202"/>
      <c r="U6" s="198"/>
    </row>
    <row r="7">
      <c r="A7" s="203"/>
      <c r="B7" s="203"/>
      <c r="C7" s="203"/>
      <c r="D7" s="203"/>
      <c r="E7" s="203"/>
      <c r="F7" s="203"/>
      <c r="G7" s="19"/>
      <c r="H7" s="19"/>
      <c r="I7" s="19"/>
      <c r="J7" s="89"/>
      <c r="K7" s="90"/>
      <c r="L7" s="90"/>
      <c r="M7" s="203"/>
      <c r="N7" s="203"/>
      <c r="O7" s="203"/>
      <c r="P7" s="19"/>
      <c r="Q7" s="19"/>
      <c r="R7" s="19"/>
      <c r="S7" s="204"/>
      <c r="T7" s="204"/>
      <c r="U7" s="204"/>
    </row>
    <row r="8">
      <c r="A8" s="203"/>
      <c r="B8" s="203"/>
      <c r="C8" s="203"/>
      <c r="D8" s="203"/>
      <c r="E8" s="203"/>
      <c r="F8" s="203"/>
      <c r="G8" s="19"/>
      <c r="H8" s="19"/>
      <c r="I8" s="19"/>
      <c r="J8" s="89"/>
      <c r="K8" s="90"/>
      <c r="L8" s="90"/>
      <c r="M8" s="203"/>
      <c r="N8" s="203"/>
      <c r="O8" s="203"/>
      <c r="P8" s="22"/>
      <c r="Q8" s="22"/>
      <c r="R8" s="22"/>
      <c r="S8" s="205" t="s">
        <v>14</v>
      </c>
      <c r="T8" s="11"/>
      <c r="U8" s="12"/>
    </row>
    <row r="9">
      <c r="A9" s="203"/>
      <c r="B9" s="203"/>
      <c r="C9" s="203"/>
      <c r="D9" s="203"/>
      <c r="E9" s="203"/>
      <c r="F9" s="203"/>
      <c r="G9" s="22"/>
      <c r="H9" s="22"/>
      <c r="I9" s="22"/>
      <c r="J9" s="89"/>
      <c r="K9" s="90"/>
      <c r="L9" s="90"/>
      <c r="M9" s="203"/>
      <c r="N9" s="203"/>
      <c r="O9" s="203"/>
      <c r="P9" s="203"/>
      <c r="Q9" s="203"/>
      <c r="R9" s="203"/>
      <c r="S9" s="206"/>
      <c r="T9" s="206"/>
      <c r="U9" s="206"/>
      <c r="W9" s="130" t="s">
        <v>15</v>
      </c>
      <c r="X9" s="131" t="s">
        <v>127</v>
      </c>
      <c r="Y9" s="132" t="s">
        <v>17</v>
      </c>
    </row>
    <row r="10">
      <c r="A10" s="203"/>
      <c r="B10" s="203"/>
      <c r="C10" s="203"/>
      <c r="D10" s="203"/>
      <c r="E10" s="203"/>
      <c r="F10" s="203"/>
      <c r="G10" s="22"/>
      <c r="H10" s="22"/>
      <c r="I10" s="22"/>
      <c r="J10" s="22"/>
      <c r="K10" s="22"/>
      <c r="L10" s="22"/>
      <c r="M10" s="203"/>
      <c r="N10" s="203"/>
      <c r="O10" s="203"/>
      <c r="P10" s="203"/>
      <c r="Q10" s="203"/>
      <c r="R10" s="203"/>
      <c r="S10" s="163"/>
      <c r="T10" s="163"/>
      <c r="U10" s="162"/>
      <c r="W10" s="207">
        <v>1.0</v>
      </c>
      <c r="X10" s="90" t="s">
        <v>209</v>
      </c>
      <c r="Y10" s="135">
        <f t="shared" ref="Y10:Y32" si="1">COUNTIF($A$5:$U$51,X10)</f>
        <v>2</v>
      </c>
    </row>
    <row r="11">
      <c r="A11" s="203"/>
      <c r="B11" s="203"/>
      <c r="C11" s="203"/>
      <c r="D11" s="203"/>
      <c r="E11" s="203"/>
      <c r="F11" s="203"/>
      <c r="G11" s="22"/>
      <c r="H11" s="22"/>
      <c r="I11" s="22"/>
      <c r="J11" s="22"/>
      <c r="K11" s="22"/>
      <c r="L11" s="22"/>
      <c r="M11" s="203"/>
      <c r="N11" s="203"/>
      <c r="O11" s="203"/>
      <c r="P11" s="203"/>
      <c r="Q11" s="203"/>
      <c r="R11" s="203"/>
      <c r="S11" s="93"/>
      <c r="T11" s="93"/>
      <c r="U11" s="76"/>
      <c r="W11" s="207">
        <v>2.0</v>
      </c>
      <c r="X11" s="134" t="s">
        <v>210</v>
      </c>
      <c r="Y11" s="135">
        <f t="shared" si="1"/>
        <v>4</v>
      </c>
    </row>
    <row r="12">
      <c r="A12" s="76"/>
      <c r="B12" s="76"/>
      <c r="C12" s="76"/>
      <c r="D12" s="76"/>
      <c r="E12" s="76"/>
      <c r="F12" s="76"/>
      <c r="G12" s="22"/>
      <c r="H12" s="22"/>
      <c r="I12" s="22"/>
      <c r="J12" s="22"/>
      <c r="K12" s="22"/>
      <c r="L12" s="22"/>
      <c r="M12" s="76"/>
      <c r="N12" s="76"/>
      <c r="O12" s="76"/>
      <c r="P12" s="76"/>
      <c r="Q12" s="76"/>
      <c r="R12" s="76"/>
      <c r="S12" s="162"/>
      <c r="T12" s="162"/>
      <c r="U12" s="162"/>
      <c r="W12" s="207">
        <v>3.0</v>
      </c>
      <c r="X12" s="28" t="s">
        <v>211</v>
      </c>
      <c r="Y12" s="135">
        <f t="shared" si="1"/>
        <v>2</v>
      </c>
    </row>
    <row r="13">
      <c r="A13" s="107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  <c r="W13" s="207">
        <v>4.0</v>
      </c>
      <c r="X13" s="134" t="s">
        <v>212</v>
      </c>
      <c r="Y13" s="135">
        <f t="shared" si="1"/>
        <v>2</v>
      </c>
    </row>
    <row r="14">
      <c r="A14" s="143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207">
        <v>5.0</v>
      </c>
      <c r="X14" s="134" t="s">
        <v>213</v>
      </c>
      <c r="Y14" s="135">
        <f t="shared" si="1"/>
        <v>2</v>
      </c>
    </row>
    <row r="15">
      <c r="A15" s="203"/>
      <c r="B15" s="203"/>
      <c r="C15" s="203"/>
      <c r="D15" s="203"/>
      <c r="E15" s="203"/>
      <c r="F15" s="203"/>
      <c r="G15" s="22"/>
      <c r="H15" s="22"/>
      <c r="I15" s="22"/>
      <c r="J15" s="89"/>
      <c r="K15" s="90"/>
      <c r="L15" s="90"/>
      <c r="M15" s="22"/>
      <c r="N15" s="22"/>
      <c r="O15" s="22"/>
      <c r="S15" s="204"/>
      <c r="T15" s="204"/>
      <c r="U15" s="204"/>
      <c r="W15" s="207">
        <v>6.0</v>
      </c>
      <c r="X15" s="208" t="s">
        <v>214</v>
      </c>
      <c r="Y15" s="135">
        <f t="shared" si="1"/>
        <v>2</v>
      </c>
    </row>
    <row r="16">
      <c r="A16" s="203"/>
      <c r="B16" s="203"/>
      <c r="C16" s="203"/>
      <c r="D16" s="158" t="s">
        <v>215</v>
      </c>
      <c r="E16" s="158" t="s">
        <v>216</v>
      </c>
      <c r="F16" s="158" t="s">
        <v>25</v>
      </c>
      <c r="G16" s="19" t="s">
        <v>213</v>
      </c>
      <c r="H16" s="19" t="s">
        <v>31</v>
      </c>
      <c r="I16" s="19" t="s">
        <v>25</v>
      </c>
      <c r="J16" s="90" t="s">
        <v>217</v>
      </c>
      <c r="K16" s="209" t="s">
        <v>218</v>
      </c>
      <c r="L16" s="90" t="s">
        <v>25</v>
      </c>
      <c r="M16" s="19" t="s">
        <v>219</v>
      </c>
      <c r="N16" s="19" t="s">
        <v>49</v>
      </c>
      <c r="O16" s="19" t="s">
        <v>35</v>
      </c>
      <c r="P16" s="90" t="s">
        <v>220</v>
      </c>
      <c r="Q16" s="210" t="s">
        <v>105</v>
      </c>
      <c r="R16" s="137" t="s">
        <v>35</v>
      </c>
      <c r="S16" s="205" t="s">
        <v>14</v>
      </c>
      <c r="T16" s="11"/>
      <c r="U16" s="12"/>
      <c r="W16" s="207">
        <v>7.0</v>
      </c>
      <c r="X16" s="134" t="s">
        <v>221</v>
      </c>
      <c r="Y16" s="135">
        <f t="shared" si="1"/>
        <v>4</v>
      </c>
    </row>
    <row r="17">
      <c r="A17" s="203"/>
      <c r="B17" s="203"/>
      <c r="C17" s="203"/>
      <c r="D17" s="19" t="s">
        <v>222</v>
      </c>
      <c r="E17" s="19" t="s">
        <v>92</v>
      </c>
      <c r="F17" s="19" t="s">
        <v>25</v>
      </c>
      <c r="G17" s="19" t="s">
        <v>223</v>
      </c>
      <c r="H17" s="211" t="s">
        <v>111</v>
      </c>
      <c r="I17" s="19" t="s">
        <v>25</v>
      </c>
      <c r="J17" s="19" t="s">
        <v>224</v>
      </c>
      <c r="K17" s="211" t="s">
        <v>90</v>
      </c>
      <c r="L17" s="19" t="s">
        <v>25</v>
      </c>
      <c r="M17" s="85" t="s">
        <v>225</v>
      </c>
      <c r="N17" s="85" t="s">
        <v>90</v>
      </c>
      <c r="O17" s="85" t="s">
        <v>25</v>
      </c>
      <c r="P17" s="90" t="s">
        <v>221</v>
      </c>
      <c r="Q17" s="90" t="s">
        <v>226</v>
      </c>
      <c r="R17" s="90" t="s">
        <v>25</v>
      </c>
      <c r="S17" s="19"/>
      <c r="T17" s="206"/>
      <c r="U17" s="206"/>
      <c r="W17" s="207">
        <v>8.0</v>
      </c>
      <c r="X17" s="134" t="s">
        <v>224</v>
      </c>
      <c r="Y17" s="135">
        <f t="shared" si="1"/>
        <v>4</v>
      </c>
    </row>
    <row r="18">
      <c r="A18" s="22"/>
      <c r="B18" s="22"/>
      <c r="C18" s="22"/>
      <c r="D18" s="19" t="s">
        <v>227</v>
      </c>
      <c r="E18" s="212" t="s">
        <v>60</v>
      </c>
      <c r="F18" s="19" t="s">
        <v>25</v>
      </c>
      <c r="G18" s="19"/>
      <c r="H18" s="19"/>
      <c r="I18" s="19"/>
      <c r="J18" s="22"/>
      <c r="K18" s="22"/>
      <c r="L18" s="22"/>
      <c r="P18" s="22"/>
      <c r="Q18" s="22"/>
      <c r="R18" s="22"/>
      <c r="S18" s="163"/>
      <c r="T18" s="163"/>
      <c r="U18" s="162"/>
      <c r="W18" s="207">
        <v>9.0</v>
      </c>
      <c r="X18" s="134" t="s">
        <v>217</v>
      </c>
      <c r="Y18" s="135">
        <f t="shared" si="1"/>
        <v>2</v>
      </c>
    </row>
    <row r="19" ht="15.0" customHeight="1">
      <c r="A19" s="22"/>
      <c r="B19" s="22"/>
      <c r="C19" s="22"/>
      <c r="D19" s="19" t="s">
        <v>212</v>
      </c>
      <c r="E19" s="48"/>
      <c r="F19" s="19" t="s">
        <v>29</v>
      </c>
      <c r="G19" s="19"/>
      <c r="H19" s="19"/>
      <c r="I19" s="19"/>
      <c r="J19" s="22"/>
      <c r="K19" s="22"/>
      <c r="L19" s="22"/>
      <c r="M19" s="203"/>
      <c r="N19" s="203"/>
      <c r="O19" s="203"/>
      <c r="P19" s="162"/>
      <c r="Q19" s="162"/>
      <c r="R19" s="162"/>
      <c r="S19" s="93"/>
      <c r="T19" s="93"/>
      <c r="U19" s="76"/>
      <c r="W19" s="207">
        <v>10.0</v>
      </c>
      <c r="X19" s="28" t="s">
        <v>228</v>
      </c>
      <c r="Y19" s="135">
        <f t="shared" si="1"/>
        <v>2</v>
      </c>
    </row>
    <row r="20" ht="15.0" customHeight="1">
      <c r="A20" s="76"/>
      <c r="B20" s="76"/>
      <c r="C20" s="76"/>
      <c r="G20" s="90"/>
      <c r="H20" s="137"/>
      <c r="I20" s="90"/>
      <c r="J20" s="90"/>
      <c r="K20" s="90"/>
      <c r="L20" s="90"/>
      <c r="M20" s="76"/>
      <c r="N20" s="76"/>
      <c r="O20" s="76"/>
      <c r="P20" s="162"/>
      <c r="Q20" s="162"/>
      <c r="R20" s="162"/>
      <c r="S20" s="162"/>
      <c r="T20" s="162"/>
      <c r="U20" s="162"/>
      <c r="W20" s="207">
        <v>11.0</v>
      </c>
      <c r="X20" s="134" t="s">
        <v>229</v>
      </c>
      <c r="Y20" s="135">
        <f t="shared" si="1"/>
        <v>2</v>
      </c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11</v>
      </c>
      <c r="N21" s="11"/>
      <c r="O21" s="12"/>
      <c r="P21" s="94" t="s">
        <v>75</v>
      </c>
      <c r="Q21" s="11"/>
      <c r="R21" s="12"/>
      <c r="S21" s="95" t="s">
        <v>100</v>
      </c>
      <c r="T21" s="11"/>
      <c r="U21" s="12"/>
      <c r="W21" s="207">
        <v>12.0</v>
      </c>
      <c r="X21" s="134" t="s">
        <v>220</v>
      </c>
      <c r="Y21" s="135">
        <f t="shared" si="1"/>
        <v>2</v>
      </c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207">
        <v>13.0</v>
      </c>
      <c r="X22" s="28" t="s">
        <v>230</v>
      </c>
      <c r="Y22" s="135">
        <f t="shared" si="1"/>
        <v>4</v>
      </c>
    </row>
    <row r="23" ht="15.75" customHeight="1">
      <c r="A23" s="203"/>
      <c r="B23" s="203"/>
      <c r="C23" s="203"/>
      <c r="D23" s="203"/>
      <c r="E23" s="203"/>
      <c r="F23" s="203"/>
      <c r="G23" s="19"/>
      <c r="H23" s="19"/>
      <c r="I23" s="19"/>
      <c r="J23" s="89"/>
      <c r="K23" s="90"/>
      <c r="L23" s="90"/>
      <c r="M23" s="203"/>
      <c r="N23" s="203"/>
      <c r="O23" s="203"/>
      <c r="P23" s="19"/>
      <c r="Q23" s="19"/>
      <c r="R23" s="19"/>
      <c r="S23" s="144"/>
      <c r="T23" s="144"/>
      <c r="U23" s="144"/>
      <c r="W23" s="207">
        <v>14.0</v>
      </c>
      <c r="X23" s="134" t="s">
        <v>215</v>
      </c>
      <c r="Y23" s="135">
        <f t="shared" si="1"/>
        <v>4</v>
      </c>
    </row>
    <row r="24" ht="15.75" customHeight="1">
      <c r="A24" s="76" t="s">
        <v>230</v>
      </c>
      <c r="B24" s="76" t="s">
        <v>52</v>
      </c>
      <c r="C24" s="76" t="s">
        <v>35</v>
      </c>
      <c r="D24" s="19" t="s">
        <v>211</v>
      </c>
      <c r="E24" s="211" t="s">
        <v>105</v>
      </c>
      <c r="F24" s="19" t="s">
        <v>29</v>
      </c>
      <c r="G24" s="90" t="s">
        <v>231</v>
      </c>
      <c r="H24" s="137" t="s">
        <v>31</v>
      </c>
      <c r="I24" s="137" t="s">
        <v>35</v>
      </c>
      <c r="J24" s="19" t="s">
        <v>224</v>
      </c>
      <c r="K24" s="211" t="s">
        <v>232</v>
      </c>
      <c r="L24" s="19" t="s">
        <v>25</v>
      </c>
      <c r="M24" s="19" t="s">
        <v>228</v>
      </c>
      <c r="N24" s="19" t="s">
        <v>40</v>
      </c>
      <c r="O24" s="19" t="s">
        <v>35</v>
      </c>
      <c r="P24" s="70"/>
      <c r="Q24" s="70"/>
      <c r="R24" s="70"/>
      <c r="S24" s="144"/>
      <c r="T24" s="144"/>
      <c r="U24" s="144"/>
      <c r="W24" s="207">
        <v>15.0</v>
      </c>
      <c r="X24" s="134" t="s">
        <v>233</v>
      </c>
      <c r="Y24" s="135">
        <f t="shared" si="1"/>
        <v>2</v>
      </c>
    </row>
    <row r="25" ht="15.75" customHeight="1">
      <c r="A25" s="76" t="s">
        <v>210</v>
      </c>
      <c r="B25" s="213" t="s">
        <v>234</v>
      </c>
      <c r="C25" s="203" t="s">
        <v>25</v>
      </c>
      <c r="D25" s="30" t="s">
        <v>214</v>
      </c>
      <c r="E25" s="30" t="s">
        <v>33</v>
      </c>
      <c r="F25" s="30" t="s">
        <v>25</v>
      </c>
      <c r="G25" s="158" t="s">
        <v>235</v>
      </c>
      <c r="H25" s="158" t="s">
        <v>90</v>
      </c>
      <c r="I25" s="158" t="s">
        <v>25</v>
      </c>
      <c r="J25" s="19" t="s">
        <v>236</v>
      </c>
      <c r="K25" s="19" t="s">
        <v>105</v>
      </c>
      <c r="L25" s="19" t="s">
        <v>35</v>
      </c>
      <c r="M25" s="30" t="s">
        <v>233</v>
      </c>
      <c r="N25" s="30" t="s">
        <v>237</v>
      </c>
      <c r="O25" s="30" t="s">
        <v>25</v>
      </c>
      <c r="P25" s="90" t="s">
        <v>209</v>
      </c>
      <c r="Q25" s="210" t="s">
        <v>92</v>
      </c>
      <c r="R25" s="137" t="s">
        <v>238</v>
      </c>
      <c r="S25" s="205" t="s">
        <v>14</v>
      </c>
      <c r="T25" s="11"/>
      <c r="U25" s="12"/>
      <c r="W25" s="207">
        <v>16.0</v>
      </c>
      <c r="X25" s="28" t="s">
        <v>222</v>
      </c>
      <c r="Y25" s="135">
        <f t="shared" si="1"/>
        <v>2</v>
      </c>
    </row>
    <row r="26" ht="15.75" customHeight="1">
      <c r="D26" s="30" t="s">
        <v>215</v>
      </c>
      <c r="E26" s="30" t="s">
        <v>239</v>
      </c>
      <c r="F26" s="30" t="s">
        <v>25</v>
      </c>
      <c r="G26" s="22"/>
      <c r="H26" s="22"/>
      <c r="I26" s="22"/>
      <c r="J26" s="19" t="s">
        <v>240</v>
      </c>
      <c r="K26" s="211" t="s">
        <v>111</v>
      </c>
      <c r="L26" s="19" t="s">
        <v>29</v>
      </c>
      <c r="P26" s="90" t="s">
        <v>221</v>
      </c>
      <c r="Q26" s="90" t="s">
        <v>226</v>
      </c>
      <c r="R26" s="90" t="s">
        <v>25</v>
      </c>
      <c r="S26" s="214"/>
      <c r="T26" s="214"/>
      <c r="U26" s="214"/>
      <c r="W26" s="207">
        <v>17.0</v>
      </c>
      <c r="X26" s="28" t="s">
        <v>236</v>
      </c>
      <c r="Y26" s="135">
        <f t="shared" si="1"/>
        <v>2</v>
      </c>
    </row>
    <row r="27" ht="15.75" customHeight="1">
      <c r="A27" s="22"/>
      <c r="B27" s="22"/>
      <c r="C27" s="22"/>
      <c r="D27" s="203"/>
      <c r="E27" s="203"/>
      <c r="F27" s="203"/>
      <c r="G27" s="22"/>
      <c r="H27" s="22"/>
      <c r="I27" s="22"/>
      <c r="M27" s="22"/>
      <c r="N27" s="22"/>
      <c r="O27" s="22"/>
      <c r="S27" s="162"/>
      <c r="T27" s="162"/>
      <c r="U27" s="162"/>
      <c r="W27" s="207">
        <v>18.0</v>
      </c>
      <c r="X27" s="28" t="s">
        <v>219</v>
      </c>
      <c r="Y27" s="135">
        <f t="shared" si="1"/>
        <v>2</v>
      </c>
    </row>
    <row r="28" ht="15.75" customHeight="1">
      <c r="A28" s="76"/>
      <c r="B28" s="76"/>
      <c r="C28" s="76"/>
      <c r="D28" s="76"/>
      <c r="E28" s="76"/>
      <c r="F28" s="76"/>
      <c r="G28" s="22"/>
      <c r="H28" s="22"/>
      <c r="I28" s="22"/>
      <c r="J28" s="22"/>
      <c r="K28" s="22"/>
      <c r="L28" s="22"/>
      <c r="M28" s="76"/>
      <c r="N28" s="76"/>
      <c r="O28" s="76"/>
      <c r="P28" s="19"/>
      <c r="Q28" s="19"/>
      <c r="R28" s="19"/>
      <c r="S28" s="162"/>
      <c r="T28" s="162"/>
      <c r="U28" s="162"/>
      <c r="W28" s="207">
        <v>19.0</v>
      </c>
      <c r="X28" s="134" t="s">
        <v>227</v>
      </c>
      <c r="Y28" s="135">
        <f t="shared" si="1"/>
        <v>2</v>
      </c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74</v>
      </c>
      <c r="N29" s="11"/>
      <c r="O29" s="12"/>
      <c r="P29" s="215" t="s">
        <v>75</v>
      </c>
      <c r="Q29" s="11"/>
      <c r="R29" s="12"/>
      <c r="S29" s="79" t="s">
        <v>13</v>
      </c>
      <c r="T29" s="11"/>
      <c r="U29" s="12"/>
      <c r="W29" s="207">
        <v>20.0</v>
      </c>
      <c r="X29" s="134" t="s">
        <v>240</v>
      </c>
      <c r="Y29" s="135">
        <f t="shared" si="1"/>
        <v>2</v>
      </c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216">
        <f>M30+1</f>
        <v>46193</v>
      </c>
      <c r="Q30" s="11"/>
      <c r="R30" s="12"/>
      <c r="S30" s="83">
        <f>P30+1</f>
        <v>46194</v>
      </c>
      <c r="T30" s="11"/>
      <c r="U30" s="12"/>
      <c r="W30" s="207">
        <v>21.0</v>
      </c>
      <c r="X30" s="117" t="s">
        <v>235</v>
      </c>
      <c r="Y30" s="135">
        <f t="shared" si="1"/>
        <v>2</v>
      </c>
    </row>
    <row r="31" ht="15.75" customHeight="1">
      <c r="A31" s="203"/>
      <c r="B31" s="203"/>
      <c r="C31" s="203"/>
      <c r="D31" s="22"/>
      <c r="E31" s="22"/>
      <c r="F31" s="22"/>
      <c r="G31" s="22"/>
      <c r="H31" s="22"/>
      <c r="I31" s="22"/>
      <c r="J31" s="22"/>
      <c r="K31" s="22"/>
      <c r="L31" s="22"/>
      <c r="M31" s="203"/>
      <c r="N31" s="203"/>
      <c r="O31" s="203"/>
      <c r="P31" s="90"/>
      <c r="Q31" s="210"/>
      <c r="R31" s="137"/>
      <c r="S31" s="90"/>
      <c r="T31" s="90"/>
      <c r="U31" s="90"/>
      <c r="W31" s="207">
        <v>22.0</v>
      </c>
      <c r="X31" s="28" t="s">
        <v>223</v>
      </c>
      <c r="Y31" s="135">
        <f t="shared" si="1"/>
        <v>2</v>
      </c>
    </row>
    <row r="32" ht="15.75" customHeight="1">
      <c r="A32" s="76" t="s">
        <v>230</v>
      </c>
      <c r="B32" s="76" t="s">
        <v>52</v>
      </c>
      <c r="C32" s="76" t="s">
        <v>35</v>
      </c>
      <c r="D32" s="22"/>
      <c r="E32" s="22"/>
      <c r="F32" s="22"/>
      <c r="G32" s="158" t="s">
        <v>215</v>
      </c>
      <c r="H32" s="158" t="s">
        <v>216</v>
      </c>
      <c r="I32" s="158" t="s">
        <v>25</v>
      </c>
      <c r="J32" s="90" t="s">
        <v>217</v>
      </c>
      <c r="K32" s="209" t="s">
        <v>218</v>
      </c>
      <c r="L32" s="90" t="s">
        <v>25</v>
      </c>
      <c r="M32" s="19" t="s">
        <v>219</v>
      </c>
      <c r="N32" s="19" t="s">
        <v>49</v>
      </c>
      <c r="O32" s="19" t="s">
        <v>35</v>
      </c>
      <c r="P32" s="90" t="s">
        <v>220</v>
      </c>
      <c r="Q32" s="210" t="s">
        <v>105</v>
      </c>
      <c r="R32" s="137" t="s">
        <v>35</v>
      </c>
      <c r="S32" s="205" t="s">
        <v>14</v>
      </c>
      <c r="T32" s="11"/>
      <c r="U32" s="12"/>
      <c r="W32" s="207">
        <v>23.0</v>
      </c>
      <c r="X32" s="117" t="s">
        <v>225</v>
      </c>
      <c r="Y32" s="135">
        <f t="shared" si="1"/>
        <v>2</v>
      </c>
    </row>
    <row r="33" ht="15.75" customHeight="1">
      <c r="A33" s="76" t="s">
        <v>210</v>
      </c>
      <c r="B33" s="213" t="s">
        <v>234</v>
      </c>
      <c r="C33" s="203" t="s">
        <v>25</v>
      </c>
      <c r="D33" s="22"/>
      <c r="E33" s="22"/>
      <c r="F33" s="22"/>
      <c r="G33" s="19" t="s">
        <v>222</v>
      </c>
      <c r="H33" s="19" t="s">
        <v>92</v>
      </c>
      <c r="I33" s="19" t="s">
        <v>25</v>
      </c>
      <c r="J33" s="19" t="s">
        <v>227</v>
      </c>
      <c r="K33" s="212" t="s">
        <v>60</v>
      </c>
      <c r="L33" s="19" t="s">
        <v>25</v>
      </c>
      <c r="M33" s="19" t="s">
        <v>224</v>
      </c>
      <c r="N33" s="211" t="s">
        <v>90</v>
      </c>
      <c r="O33" s="19" t="s">
        <v>25</v>
      </c>
      <c r="P33" s="90" t="s">
        <v>221</v>
      </c>
      <c r="Q33" s="90" t="s">
        <v>226</v>
      </c>
      <c r="R33" s="90" t="s">
        <v>25</v>
      </c>
      <c r="S33" s="206"/>
      <c r="T33" s="206"/>
      <c r="U33" s="206"/>
      <c r="W33" s="207">
        <v>24.0</v>
      </c>
      <c r="X33" s="28"/>
      <c r="Y33" s="135"/>
    </row>
    <row r="34" ht="15.0" customHeight="1">
      <c r="A34" s="19" t="s">
        <v>229</v>
      </c>
      <c r="B34" s="19" t="s">
        <v>111</v>
      </c>
      <c r="C34" s="19" t="s">
        <v>29</v>
      </c>
      <c r="D34" s="22"/>
      <c r="E34" s="22"/>
      <c r="F34" s="22"/>
      <c r="G34" s="19" t="s">
        <v>213</v>
      </c>
      <c r="H34" s="19" t="s">
        <v>31</v>
      </c>
      <c r="I34" s="19" t="s">
        <v>25</v>
      </c>
      <c r="J34" s="19" t="s">
        <v>212</v>
      </c>
      <c r="K34" s="48"/>
      <c r="L34" s="19" t="s">
        <v>29</v>
      </c>
      <c r="P34" s="85" t="s">
        <v>225</v>
      </c>
      <c r="Q34" s="85" t="s">
        <v>90</v>
      </c>
      <c r="R34" s="85" t="s">
        <v>25</v>
      </c>
      <c r="S34" s="163"/>
      <c r="T34" s="163"/>
      <c r="U34" s="163"/>
      <c r="W34" s="207">
        <v>25.0</v>
      </c>
      <c r="X34" s="134"/>
      <c r="Y34" s="135"/>
    </row>
    <row r="35" ht="15.75" customHeight="1">
      <c r="A35" s="76"/>
      <c r="B35" s="76"/>
      <c r="C35" s="76"/>
      <c r="D35" s="22"/>
      <c r="E35" s="22"/>
      <c r="F35" s="22"/>
      <c r="G35" s="19" t="s">
        <v>223</v>
      </c>
      <c r="H35" s="211" t="s">
        <v>111</v>
      </c>
      <c r="I35" s="19" t="s">
        <v>25</v>
      </c>
      <c r="J35" s="30"/>
      <c r="K35" s="30"/>
      <c r="L35" s="30"/>
      <c r="M35" s="203"/>
      <c r="N35" s="203"/>
      <c r="O35" s="203"/>
      <c r="P35" s="22"/>
      <c r="Q35" s="22"/>
      <c r="R35" s="22"/>
      <c r="S35" s="163"/>
      <c r="T35" s="163"/>
      <c r="U35" s="163"/>
      <c r="W35" s="207">
        <v>26.0</v>
      </c>
      <c r="X35" s="28"/>
      <c r="Y35" s="135"/>
    </row>
    <row r="36" ht="14.25" customHeight="1">
      <c r="A36" s="76"/>
      <c r="B36" s="76"/>
      <c r="C36" s="76"/>
      <c r="D36" s="22"/>
      <c r="E36" s="22"/>
      <c r="F36" s="22"/>
      <c r="G36" s="90"/>
      <c r="H36" s="137"/>
      <c r="I36" s="90"/>
      <c r="J36" s="90"/>
      <c r="K36" s="90"/>
      <c r="L36" s="90"/>
      <c r="M36" s="76"/>
      <c r="N36" s="76"/>
      <c r="O36" s="76"/>
      <c r="P36" s="162"/>
      <c r="Q36" s="162"/>
      <c r="R36" s="72"/>
      <c r="S36" s="162"/>
      <c r="T36" s="162"/>
      <c r="U36" s="162"/>
      <c r="W36" s="207">
        <v>27.0</v>
      </c>
      <c r="X36" s="20"/>
      <c r="Y36" s="135"/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4" t="s">
        <v>99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  <c r="W37" s="207">
        <v>28.0</v>
      </c>
      <c r="X37" s="20"/>
      <c r="Y37" s="135"/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7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  <c r="W38" s="207">
        <v>29.0</v>
      </c>
      <c r="X38" s="20"/>
      <c r="Y38" s="135"/>
    </row>
    <row r="39" ht="15.75" customHeight="1">
      <c r="A39" s="203"/>
      <c r="B39" s="203"/>
      <c r="C39" s="203"/>
      <c r="G39" s="90"/>
      <c r="H39" s="137"/>
      <c r="I39" s="90"/>
      <c r="J39" s="89"/>
      <c r="K39" s="90"/>
      <c r="L39" s="90"/>
      <c r="M39" s="217"/>
      <c r="N39" s="217"/>
      <c r="O39" s="217"/>
      <c r="S39" s="218"/>
      <c r="T39" s="218"/>
      <c r="U39" s="218"/>
      <c r="Y39" s="219">
        <f>SUM(Y7:Y35)</f>
        <v>56</v>
      </c>
    </row>
    <row r="40" ht="15.75" customHeight="1">
      <c r="A40" s="76" t="s">
        <v>230</v>
      </c>
      <c r="B40" s="76"/>
      <c r="C40" s="76" t="s">
        <v>35</v>
      </c>
      <c r="D40" s="19" t="s">
        <v>211</v>
      </c>
      <c r="E40" s="211" t="s">
        <v>105</v>
      </c>
      <c r="F40" s="19" t="s">
        <v>29</v>
      </c>
      <c r="G40" s="90"/>
      <c r="H40" s="137"/>
      <c r="I40" s="90"/>
      <c r="J40" s="19" t="s">
        <v>224</v>
      </c>
      <c r="K40" s="211" t="s">
        <v>232</v>
      </c>
      <c r="L40" s="19" t="s">
        <v>25</v>
      </c>
      <c r="M40" s="19" t="s">
        <v>228</v>
      </c>
      <c r="N40" s="19" t="s">
        <v>40</v>
      </c>
      <c r="O40" s="19" t="s">
        <v>35</v>
      </c>
      <c r="P40" s="90" t="s">
        <v>209</v>
      </c>
      <c r="Q40" s="210" t="s">
        <v>92</v>
      </c>
      <c r="R40" s="137" t="s">
        <v>35</v>
      </c>
      <c r="S40" s="220"/>
      <c r="T40" s="11"/>
      <c r="U40" s="12"/>
    </row>
    <row r="41" ht="15.75" customHeight="1">
      <c r="A41" s="76" t="s">
        <v>210</v>
      </c>
      <c r="B41" s="213"/>
      <c r="C41" s="203" t="s">
        <v>25</v>
      </c>
      <c r="D41" s="30" t="s">
        <v>214</v>
      </c>
      <c r="E41" s="30" t="s">
        <v>31</v>
      </c>
      <c r="F41" s="30" t="s">
        <v>25</v>
      </c>
      <c r="G41" s="90" t="s">
        <v>231</v>
      </c>
      <c r="H41" s="137" t="s">
        <v>31</v>
      </c>
      <c r="I41" s="137" t="s">
        <v>35</v>
      </c>
      <c r="J41" s="19" t="s">
        <v>236</v>
      </c>
      <c r="K41" s="19" t="s">
        <v>105</v>
      </c>
      <c r="L41" s="19" t="s">
        <v>35</v>
      </c>
      <c r="M41" s="30" t="s">
        <v>233</v>
      </c>
      <c r="N41" s="30" t="s">
        <v>237</v>
      </c>
      <c r="O41" s="30" t="s">
        <v>25</v>
      </c>
      <c r="P41" s="90" t="s">
        <v>221</v>
      </c>
      <c r="Q41" s="90" t="s">
        <v>226</v>
      </c>
      <c r="R41" s="90" t="s">
        <v>25</v>
      </c>
      <c r="S41" s="205" t="s">
        <v>14</v>
      </c>
      <c r="T41" s="11"/>
      <c r="U41" s="12"/>
    </row>
    <row r="42" ht="15.75" customHeight="1">
      <c r="A42" s="22"/>
      <c r="B42" s="22"/>
      <c r="C42" s="22"/>
      <c r="D42" s="30" t="s">
        <v>215</v>
      </c>
      <c r="E42" s="30" t="s">
        <v>194</v>
      </c>
      <c r="F42" s="30" t="s">
        <v>25</v>
      </c>
      <c r="G42" s="158" t="s">
        <v>235</v>
      </c>
      <c r="H42" s="158" t="s">
        <v>90</v>
      </c>
      <c r="I42" s="158" t="s">
        <v>25</v>
      </c>
      <c r="J42" s="19" t="s">
        <v>240</v>
      </c>
      <c r="K42" s="211" t="s">
        <v>111</v>
      </c>
      <c r="L42" s="19" t="s">
        <v>29</v>
      </c>
      <c r="P42" s="162"/>
      <c r="Q42" s="162"/>
      <c r="R42" s="162"/>
      <c r="S42" s="163"/>
      <c r="T42" s="163"/>
      <c r="U42" s="162"/>
    </row>
    <row r="43" ht="15.75" customHeight="1">
      <c r="A43" s="22"/>
      <c r="B43" s="22"/>
      <c r="C43" s="22"/>
      <c r="D43" s="203"/>
      <c r="E43" s="203"/>
      <c r="F43" s="203"/>
      <c r="G43" s="22"/>
      <c r="H43" s="22"/>
      <c r="I43" s="22"/>
      <c r="M43" s="22"/>
      <c r="N43" s="22"/>
      <c r="O43" s="22"/>
      <c r="P43" s="162"/>
      <c r="Q43" s="162"/>
      <c r="R43" s="162"/>
      <c r="S43" s="93"/>
      <c r="T43" s="93"/>
      <c r="U43" s="76"/>
    </row>
    <row r="44" ht="15.75" customHeight="1">
      <c r="A44" s="22"/>
      <c r="B44" s="22"/>
      <c r="C44" s="22"/>
      <c r="D44" s="76"/>
      <c r="E44" s="76"/>
      <c r="F44" s="76"/>
      <c r="G44" s="90"/>
      <c r="H44" s="137"/>
      <c r="I44" s="90"/>
      <c r="J44" s="89"/>
      <c r="K44" s="90"/>
      <c r="L44" s="90"/>
      <c r="M44" s="76"/>
      <c r="N44" s="76"/>
      <c r="O44" s="76"/>
      <c r="P44" s="162"/>
      <c r="Q44" s="162"/>
      <c r="R44" s="162"/>
      <c r="S44" s="162"/>
      <c r="T44" s="162"/>
      <c r="U44" s="162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74</v>
      </c>
      <c r="N45" s="11"/>
      <c r="O45" s="12"/>
      <c r="P45" s="215" t="s">
        <v>75</v>
      </c>
      <c r="Q45" s="11"/>
      <c r="R45" s="12"/>
      <c r="S45" s="79" t="s">
        <v>13</v>
      </c>
      <c r="T45" s="11"/>
      <c r="U45" s="12"/>
    </row>
    <row r="46" ht="15.75" customHeight="1">
      <c r="A46" s="82">
        <f>S38+1</f>
        <v>46202</v>
      </c>
      <c r="B46" s="11"/>
      <c r="C46" s="12"/>
      <c r="D46" s="81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216"/>
      <c r="Q46" s="11"/>
      <c r="R46" s="12"/>
      <c r="S46" s="83"/>
      <c r="T46" s="11"/>
      <c r="U46" s="12"/>
    </row>
    <row r="47" ht="15.75" customHeight="1">
      <c r="A47" s="76" t="s">
        <v>230</v>
      </c>
      <c r="B47" s="76" t="s">
        <v>52</v>
      </c>
      <c r="C47" s="76" t="s">
        <v>35</v>
      </c>
      <c r="D47" s="163"/>
      <c r="E47" s="163"/>
      <c r="F47" s="163"/>
      <c r="G47" s="163"/>
      <c r="H47" s="163"/>
      <c r="I47" s="162"/>
      <c r="J47" s="163"/>
      <c r="K47" s="163"/>
      <c r="L47" s="163"/>
      <c r="M47" s="163"/>
      <c r="N47" s="163"/>
      <c r="O47" s="163"/>
      <c r="P47" s="204"/>
      <c r="Q47" s="204"/>
      <c r="R47" s="204"/>
      <c r="S47" s="163"/>
      <c r="T47" s="163"/>
      <c r="U47" s="163"/>
    </row>
    <row r="48" ht="15.75" customHeight="1">
      <c r="A48" s="76" t="s">
        <v>210</v>
      </c>
      <c r="B48" s="213" t="s">
        <v>234</v>
      </c>
      <c r="C48" s="203" t="s">
        <v>25</v>
      </c>
      <c r="D48" s="163"/>
      <c r="E48" s="163"/>
      <c r="F48" s="163"/>
      <c r="G48" s="163"/>
      <c r="H48" s="163"/>
      <c r="I48" s="162"/>
      <c r="J48" s="163"/>
      <c r="K48" s="163"/>
      <c r="L48" s="163"/>
      <c r="M48" s="163"/>
      <c r="N48" s="163"/>
      <c r="O48" s="163"/>
      <c r="P48" s="204"/>
      <c r="Q48" s="204"/>
      <c r="R48" s="204"/>
      <c r="S48" s="163"/>
      <c r="T48" s="163"/>
      <c r="U48" s="163"/>
    </row>
    <row r="49" ht="15.75" customHeight="1">
      <c r="A49" s="19" t="s">
        <v>229</v>
      </c>
      <c r="B49" s="19" t="s">
        <v>111</v>
      </c>
      <c r="C49" s="19" t="s">
        <v>29</v>
      </c>
      <c r="D49" s="163"/>
      <c r="E49" s="163"/>
      <c r="F49" s="163"/>
      <c r="G49" s="163"/>
      <c r="H49" s="163"/>
      <c r="I49" s="163"/>
      <c r="J49" s="90"/>
      <c r="K49" s="137"/>
      <c r="L49" s="163"/>
      <c r="M49" s="162"/>
      <c r="N49" s="162"/>
      <c r="O49" s="162"/>
      <c r="P49" s="204"/>
      <c r="Q49" s="204"/>
      <c r="R49" s="204"/>
      <c r="S49" s="162"/>
      <c r="T49" s="162"/>
      <c r="U49" s="162"/>
    </row>
    <row r="50" ht="15.75" customHeight="1">
      <c r="D50" s="138"/>
      <c r="E50" s="138"/>
      <c r="F50" s="138"/>
      <c r="G50" s="221"/>
      <c r="H50" s="221"/>
      <c r="I50" s="221"/>
      <c r="J50" s="163"/>
      <c r="K50" s="163"/>
      <c r="L50" s="163"/>
      <c r="M50" s="163"/>
      <c r="N50" s="163"/>
      <c r="O50" s="163"/>
      <c r="P50" s="221"/>
      <c r="Q50" s="206"/>
      <c r="R50" s="162"/>
      <c r="S50" s="163"/>
      <c r="T50" s="163"/>
      <c r="U50" s="163"/>
    </row>
    <row r="51" ht="15.75" customHeight="1">
      <c r="A51" s="162"/>
      <c r="B51" s="162"/>
      <c r="C51" s="162"/>
      <c r="D51" s="19"/>
      <c r="E51" s="19"/>
      <c r="F51" s="19"/>
      <c r="G51" s="162"/>
      <c r="H51" s="162"/>
      <c r="I51" s="162"/>
      <c r="J51" s="162"/>
      <c r="K51" s="162"/>
      <c r="L51" s="164"/>
      <c r="M51" s="162"/>
      <c r="N51" s="162"/>
      <c r="O51" s="164"/>
      <c r="P51" s="138"/>
      <c r="Q51" s="138"/>
      <c r="R51" s="138"/>
      <c r="S51" s="162"/>
      <c r="T51" s="162"/>
      <c r="U51" s="164"/>
    </row>
    <row r="52" ht="15.75" customHeight="1">
      <c r="A52" s="162"/>
      <c r="B52" s="162"/>
      <c r="C52" s="162"/>
      <c r="D52" s="163"/>
      <c r="E52" s="163"/>
      <c r="F52" s="163"/>
      <c r="G52" s="163"/>
      <c r="H52" s="163"/>
      <c r="I52" s="222"/>
      <c r="J52" s="163"/>
      <c r="K52" s="163"/>
      <c r="L52" s="163"/>
      <c r="M52" s="163"/>
      <c r="N52" s="163"/>
      <c r="O52" s="163"/>
      <c r="P52" s="162"/>
      <c r="Q52" s="162"/>
      <c r="R52" s="162"/>
      <c r="S52" s="163"/>
      <c r="T52" s="163"/>
      <c r="U52" s="163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9">
    <sortState ref="W9:Y39">
      <sortCondition ref="X9:X39"/>
    </sortState>
  </autoFilter>
  <mergeCells count="102">
    <mergeCell ref="A14:C14"/>
    <mergeCell ref="G14:I14"/>
    <mergeCell ref="J14:L14"/>
    <mergeCell ref="M14:O14"/>
    <mergeCell ref="P14:R14"/>
    <mergeCell ref="S14:U14"/>
    <mergeCell ref="S16:U16"/>
    <mergeCell ref="D14:F14"/>
    <mergeCell ref="E18:E19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M30:O30"/>
    <mergeCell ref="P30:R30"/>
    <mergeCell ref="S30:U30"/>
    <mergeCell ref="S32:U32"/>
    <mergeCell ref="P37:R37"/>
    <mergeCell ref="S37:U37"/>
    <mergeCell ref="S40:U40"/>
    <mergeCell ref="S41:U41"/>
    <mergeCell ref="A38:C38"/>
    <mergeCell ref="D38:F38"/>
    <mergeCell ref="G38:I38"/>
    <mergeCell ref="J38:L38"/>
    <mergeCell ref="M38:O38"/>
    <mergeCell ref="P38:R38"/>
    <mergeCell ref="S38:U38"/>
    <mergeCell ref="J30:L30"/>
    <mergeCell ref="K33:K34"/>
    <mergeCell ref="A37:C37"/>
    <mergeCell ref="D37:F37"/>
    <mergeCell ref="G37:I37"/>
    <mergeCell ref="J37:L37"/>
    <mergeCell ref="M37:O37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S25:U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11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2" width="8.71"/>
    <col customWidth="1" min="23" max="23" width="6.43"/>
    <col customWidth="1" min="24" max="24" width="19.0"/>
    <col customWidth="1" min="25" max="25" width="10.43"/>
    <col customWidth="1" min="26" max="29" width="8.71"/>
  </cols>
  <sheetData>
    <row r="1">
      <c r="A1" s="6" t="s">
        <v>170</v>
      </c>
      <c r="C1" s="125" t="s">
        <v>241</v>
      </c>
      <c r="F1" s="3"/>
      <c r="G1" s="4" t="s">
        <v>2</v>
      </c>
      <c r="Q1" s="4"/>
    </row>
    <row r="2">
      <c r="A2" s="6" t="s">
        <v>3</v>
      </c>
      <c r="C2" s="7" t="s">
        <v>242</v>
      </c>
      <c r="F2" s="3"/>
      <c r="Q2" s="4"/>
    </row>
    <row r="3">
      <c r="A3" s="6" t="s">
        <v>5</v>
      </c>
      <c r="C3" s="165"/>
      <c r="F3" s="3"/>
      <c r="Q3" s="4"/>
    </row>
    <row r="4">
      <c r="A4" s="6" t="s">
        <v>6</v>
      </c>
      <c r="C4" s="126"/>
      <c r="E4" s="3"/>
      <c r="F4" s="3"/>
      <c r="G4" s="3"/>
      <c r="H4" s="3"/>
      <c r="I4" s="3"/>
      <c r="J4" s="3"/>
      <c r="K4" s="3"/>
      <c r="L4" s="3"/>
      <c r="M4" s="3"/>
      <c r="N4" s="3"/>
      <c r="O4" s="127"/>
      <c r="P4" s="128"/>
      <c r="Q4" s="128"/>
    </row>
    <row r="5" ht="15.75" customHeight="1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  <c r="W5" s="69" t="s">
        <v>169</v>
      </c>
    </row>
    <row r="6">
      <c r="A6" s="14"/>
      <c r="B6" s="11"/>
      <c r="C6" s="12"/>
      <c r="D6" s="14"/>
      <c r="E6" s="11"/>
      <c r="F6" s="12"/>
      <c r="G6" s="15"/>
      <c r="H6" s="11"/>
      <c r="I6" s="12"/>
      <c r="J6" s="15"/>
      <c r="K6" s="11"/>
      <c r="L6" s="12"/>
      <c r="M6" s="16"/>
      <c r="N6" s="11"/>
      <c r="O6" s="12"/>
      <c r="P6" s="15"/>
      <c r="Q6" s="11"/>
      <c r="R6" s="12"/>
      <c r="S6" s="16"/>
      <c r="T6" s="11"/>
      <c r="U6" s="12"/>
      <c r="W6" s="69">
        <f>COUNTA(#REF!,#REF!,#REF!,#REF!,#REF!,#REF!,#REF!,P27:P28,D16:D20,#REF!,#REF!,#REF!,M16:M20,P31:P36,A15:A19,D23:D25,G24,#REF!,P7:P12,A23:A28,D31:D36,#REF!,J15:J28)</f>
        <v>34</v>
      </c>
    </row>
    <row r="7">
      <c r="A7" s="138"/>
      <c r="B7" s="138"/>
      <c r="C7" s="138"/>
      <c r="D7" s="138"/>
      <c r="E7" s="138"/>
      <c r="F7" s="138"/>
      <c r="G7" s="22"/>
      <c r="H7" s="22"/>
      <c r="I7" s="22"/>
      <c r="J7" s="89"/>
      <c r="K7" s="89"/>
      <c r="L7" s="89"/>
      <c r="M7" s="223"/>
      <c r="N7" s="223"/>
      <c r="O7" s="224"/>
      <c r="P7" s="89"/>
      <c r="Q7" s="225"/>
      <c r="R7" s="89"/>
      <c r="S7" s="223"/>
      <c r="T7" s="223"/>
      <c r="U7" s="224"/>
    </row>
    <row r="8">
      <c r="A8" s="138"/>
      <c r="B8" s="138"/>
      <c r="C8" s="138"/>
      <c r="D8" s="138"/>
      <c r="E8" s="138"/>
      <c r="F8" s="138"/>
      <c r="G8" s="22"/>
      <c r="H8" s="22"/>
      <c r="I8" s="22"/>
      <c r="J8" s="22"/>
      <c r="K8" s="22"/>
      <c r="L8" s="22"/>
      <c r="M8" s="223"/>
      <c r="N8" s="223"/>
      <c r="O8" s="223"/>
      <c r="P8" s="22"/>
      <c r="Q8" s="22"/>
      <c r="R8" s="22"/>
      <c r="S8" s="223"/>
      <c r="T8" s="223"/>
      <c r="U8" s="223"/>
    </row>
    <row r="9">
      <c r="A9" s="138"/>
      <c r="B9" s="138"/>
      <c r="C9" s="138"/>
      <c r="D9" s="138"/>
      <c r="E9" s="138"/>
      <c r="F9" s="138"/>
      <c r="G9" s="22"/>
      <c r="H9" s="22"/>
      <c r="I9" s="22"/>
      <c r="J9" s="22"/>
      <c r="K9" s="22"/>
      <c r="L9" s="22"/>
      <c r="M9" s="223"/>
      <c r="N9" s="223"/>
      <c r="O9" s="223"/>
      <c r="P9" s="22"/>
      <c r="Q9" s="22"/>
      <c r="R9" s="22"/>
      <c r="S9" s="226" t="s">
        <v>14</v>
      </c>
      <c r="T9" s="11"/>
      <c r="U9" s="12"/>
      <c r="W9" s="227" t="s">
        <v>15</v>
      </c>
      <c r="X9" s="227" t="s">
        <v>16</v>
      </c>
      <c r="Y9" s="228" t="s">
        <v>17</v>
      </c>
      <c r="Z9" s="22" t="s">
        <v>243</v>
      </c>
      <c r="AA9" s="69"/>
    </row>
    <row r="10">
      <c r="A10" s="89"/>
      <c r="B10" s="89"/>
      <c r="C10" s="89"/>
      <c r="D10" s="89"/>
      <c r="E10" s="89"/>
      <c r="F10" s="89"/>
      <c r="G10" s="22"/>
      <c r="H10" s="22"/>
      <c r="I10" s="22"/>
      <c r="J10" s="22"/>
      <c r="K10" s="22"/>
      <c r="L10" s="22"/>
      <c r="M10" s="223"/>
      <c r="N10" s="223"/>
      <c r="O10" s="223"/>
      <c r="P10" s="22"/>
      <c r="Q10" s="22"/>
      <c r="R10" s="22"/>
      <c r="S10" s="223"/>
      <c r="T10" s="223"/>
      <c r="U10" s="223"/>
      <c r="W10" s="229">
        <v>1.0</v>
      </c>
      <c r="X10" s="230" t="s">
        <v>210</v>
      </c>
      <c r="Y10" s="228">
        <f t="shared" ref="Y10:Y40" si="1">countif($A$5:$U$52,X10)</f>
        <v>4</v>
      </c>
      <c r="Z10" s="159">
        <f t="shared" ref="Z10:Z40" si="2">COUNTIF($A$5:$U$51,X10)</f>
        <v>4</v>
      </c>
      <c r="AA10" s="231"/>
      <c r="AB10" s="69">
        <v>4.0</v>
      </c>
    </row>
    <row r="11">
      <c r="A11" s="138"/>
      <c r="B11" s="138"/>
      <c r="C11" s="138"/>
      <c r="D11" s="138"/>
      <c r="E11" s="138"/>
      <c r="F11" s="138"/>
      <c r="G11" s="22"/>
      <c r="H11" s="22"/>
      <c r="I11" s="22"/>
      <c r="J11" s="22"/>
      <c r="K11" s="22"/>
      <c r="L11" s="22"/>
      <c r="M11" s="223"/>
      <c r="N11" s="223"/>
      <c r="O11" s="223"/>
      <c r="P11" s="223"/>
      <c r="Q11" s="223"/>
      <c r="R11" s="223"/>
      <c r="S11" s="223"/>
      <c r="T11" s="223"/>
      <c r="U11" s="223"/>
      <c r="W11" s="229">
        <v>2.0</v>
      </c>
      <c r="X11" s="232" t="s">
        <v>244</v>
      </c>
      <c r="Y11" s="228">
        <f t="shared" si="1"/>
        <v>8</v>
      </c>
      <c r="Z11" s="159">
        <f t="shared" si="2"/>
        <v>8</v>
      </c>
      <c r="AA11" s="231"/>
      <c r="AB11" s="69">
        <v>9.0</v>
      </c>
    </row>
    <row r="12">
      <c r="A12" s="89"/>
      <c r="B12" s="89"/>
      <c r="C12" s="89"/>
      <c r="D12" s="89"/>
      <c r="E12" s="89"/>
      <c r="F12" s="89"/>
      <c r="G12" s="89"/>
      <c r="H12" s="89"/>
      <c r="I12" s="89"/>
      <c r="J12" s="70"/>
      <c r="K12" s="70"/>
      <c r="L12" s="70"/>
      <c r="M12" s="223"/>
      <c r="N12" s="223"/>
      <c r="O12" s="223"/>
      <c r="P12" s="223"/>
      <c r="Q12" s="233"/>
      <c r="R12" s="223"/>
      <c r="S12" s="223"/>
      <c r="T12" s="223"/>
      <c r="U12" s="223"/>
      <c r="W12" s="229">
        <v>3.0</v>
      </c>
      <c r="X12" s="234" t="s">
        <v>245</v>
      </c>
      <c r="Y12" s="228">
        <f t="shared" si="1"/>
        <v>2</v>
      </c>
      <c r="Z12" s="159">
        <f t="shared" si="2"/>
        <v>2</v>
      </c>
      <c r="AA12" s="231"/>
      <c r="AB12" s="69">
        <v>2.0</v>
      </c>
    </row>
    <row r="13" ht="15.75" customHeight="1">
      <c r="A13" s="107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  <c r="W13" s="229">
        <v>4.0</v>
      </c>
      <c r="X13" s="230" t="s">
        <v>246</v>
      </c>
      <c r="Y13" s="228">
        <f t="shared" si="1"/>
        <v>2</v>
      </c>
      <c r="Z13" s="159">
        <f t="shared" si="2"/>
        <v>2</v>
      </c>
      <c r="AA13" s="231"/>
      <c r="AB13" s="69">
        <v>3.0</v>
      </c>
    </row>
    <row r="14" ht="20.25" customHeight="1">
      <c r="A14" s="143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229">
        <v>5.0</v>
      </c>
      <c r="X14" s="235" t="s">
        <v>247</v>
      </c>
      <c r="Y14" s="228">
        <f t="shared" si="1"/>
        <v>2</v>
      </c>
      <c r="Z14" s="159">
        <f t="shared" si="2"/>
        <v>2</v>
      </c>
      <c r="AA14" s="236"/>
      <c r="AB14" s="69">
        <v>2.0</v>
      </c>
    </row>
    <row r="15">
      <c r="A15" s="76"/>
      <c r="B15" s="76"/>
      <c r="C15" s="76"/>
      <c r="D15" s="22"/>
      <c r="E15" s="22"/>
      <c r="F15" s="22"/>
      <c r="G15" s="22"/>
      <c r="H15" s="22"/>
      <c r="I15" s="22"/>
      <c r="J15" s="137"/>
      <c r="K15" s="137"/>
      <c r="L15" s="137"/>
      <c r="M15" s="89"/>
      <c r="N15" s="89"/>
      <c r="O15" s="89"/>
      <c r="P15" s="89"/>
      <c r="Q15" s="89"/>
      <c r="R15" s="89"/>
      <c r="S15" s="223"/>
      <c r="T15" s="223"/>
      <c r="U15" s="224"/>
      <c r="W15" s="229">
        <v>6.0</v>
      </c>
      <c r="X15" s="230" t="s">
        <v>248</v>
      </c>
      <c r="Y15" s="228">
        <f t="shared" si="1"/>
        <v>2</v>
      </c>
      <c r="Z15" s="159">
        <f t="shared" si="2"/>
        <v>2</v>
      </c>
      <c r="AA15" s="231"/>
      <c r="AB15" s="69">
        <v>3.0</v>
      </c>
    </row>
    <row r="16">
      <c r="A16" s="76"/>
      <c r="B16" s="76"/>
      <c r="C16" s="76"/>
      <c r="D16" s="90" t="s">
        <v>244</v>
      </c>
      <c r="E16" s="90" t="s">
        <v>62</v>
      </c>
      <c r="F16" s="90" t="s">
        <v>25</v>
      </c>
      <c r="G16" s="90" t="s">
        <v>249</v>
      </c>
      <c r="H16" s="90" t="s">
        <v>49</v>
      </c>
      <c r="I16" s="90" t="s">
        <v>35</v>
      </c>
      <c r="J16" s="90" t="s">
        <v>244</v>
      </c>
      <c r="K16" s="90" t="s">
        <v>62</v>
      </c>
      <c r="L16" s="90" t="s">
        <v>25</v>
      </c>
      <c r="M16" s="89" t="s">
        <v>250</v>
      </c>
      <c r="N16" s="237" t="s">
        <v>251</v>
      </c>
      <c r="O16" s="238" t="s">
        <v>35</v>
      </c>
      <c r="P16" s="30" t="s">
        <v>252</v>
      </c>
      <c r="Q16" s="239" t="s">
        <v>253</v>
      </c>
      <c r="R16" s="30" t="s">
        <v>35</v>
      </c>
      <c r="S16" s="223"/>
      <c r="T16" s="223"/>
      <c r="U16" s="223"/>
      <c r="W16" s="229">
        <v>7.0</v>
      </c>
      <c r="X16" s="134" t="s">
        <v>254</v>
      </c>
      <c r="Y16" s="228">
        <f t="shared" si="1"/>
        <v>2</v>
      </c>
      <c r="Z16" s="159">
        <f t="shared" si="2"/>
        <v>2</v>
      </c>
      <c r="AA16" s="231"/>
      <c r="AB16" s="69">
        <v>2.0</v>
      </c>
    </row>
    <row r="17">
      <c r="A17" s="226" t="s">
        <v>14</v>
      </c>
      <c r="B17" s="11"/>
      <c r="C17" s="12"/>
      <c r="D17" s="90" t="s">
        <v>255</v>
      </c>
      <c r="E17" s="240" t="s">
        <v>111</v>
      </c>
      <c r="F17" s="90" t="s">
        <v>25</v>
      </c>
      <c r="G17" s="90" t="s">
        <v>248</v>
      </c>
      <c r="H17" s="90" t="s">
        <v>31</v>
      </c>
      <c r="I17" s="90" t="s">
        <v>25</v>
      </c>
      <c r="J17" s="90" t="s">
        <v>256</v>
      </c>
      <c r="K17" s="90" t="s">
        <v>37</v>
      </c>
      <c r="L17" s="90" t="s">
        <v>25</v>
      </c>
      <c r="M17" s="89" t="s">
        <v>257</v>
      </c>
      <c r="N17" s="48"/>
      <c r="O17" s="48"/>
      <c r="P17" s="90" t="s">
        <v>258</v>
      </c>
      <c r="Q17" s="211" t="s">
        <v>259</v>
      </c>
      <c r="R17" s="90" t="s">
        <v>25</v>
      </c>
      <c r="S17" s="226" t="s">
        <v>14</v>
      </c>
      <c r="T17" s="11"/>
      <c r="U17" s="12"/>
      <c r="W17" s="229">
        <v>8.0</v>
      </c>
      <c r="X17" s="230" t="s">
        <v>260</v>
      </c>
      <c r="Y17" s="228">
        <f t="shared" si="1"/>
        <v>2</v>
      </c>
      <c r="Z17" s="159">
        <f t="shared" si="2"/>
        <v>2</v>
      </c>
      <c r="AA17" s="231"/>
      <c r="AB17" s="69">
        <v>2.0</v>
      </c>
    </row>
    <row r="18">
      <c r="A18" s="76"/>
      <c r="B18" s="76"/>
      <c r="C18" s="76"/>
      <c r="D18" s="89"/>
      <c r="E18" s="89"/>
      <c r="F18" s="89"/>
      <c r="G18" s="90" t="s">
        <v>261</v>
      </c>
      <c r="H18" s="90" t="s">
        <v>33</v>
      </c>
      <c r="I18" s="90" t="s">
        <v>25</v>
      </c>
      <c r="J18" s="22"/>
      <c r="K18" s="22"/>
      <c r="L18" s="22"/>
      <c r="M18" s="89"/>
      <c r="N18" s="89"/>
      <c r="O18" s="89"/>
      <c r="P18" s="22"/>
      <c r="Q18" s="22"/>
      <c r="R18" s="22"/>
      <c r="S18" s="223"/>
      <c r="T18" s="223"/>
      <c r="U18" s="223"/>
      <c r="W18" s="229">
        <v>9.0</v>
      </c>
      <c r="X18" s="230" t="s">
        <v>252</v>
      </c>
      <c r="Y18" s="228">
        <f t="shared" si="1"/>
        <v>2</v>
      </c>
      <c r="Z18" s="159">
        <f t="shared" si="2"/>
        <v>2</v>
      </c>
      <c r="AA18" s="231"/>
      <c r="AB18" s="69">
        <v>2.0</v>
      </c>
    </row>
    <row r="19" ht="21.0" customHeight="1">
      <c r="A19" s="76"/>
      <c r="B19" s="76"/>
      <c r="C19" s="76"/>
      <c r="D19" s="89"/>
      <c r="E19" s="89"/>
      <c r="F19" s="89"/>
      <c r="G19" s="22"/>
      <c r="H19" s="22"/>
      <c r="I19" s="22"/>
      <c r="J19" s="22"/>
      <c r="K19" s="22"/>
      <c r="L19" s="22"/>
      <c r="M19" s="137"/>
      <c r="N19" s="137"/>
      <c r="O19" s="137"/>
      <c r="P19" s="89"/>
      <c r="Q19" s="89"/>
      <c r="R19" s="89"/>
      <c r="S19" s="223"/>
      <c r="T19" s="223"/>
      <c r="U19" s="223"/>
      <c r="W19" s="229">
        <v>10.0</v>
      </c>
      <c r="X19" s="241" t="s">
        <v>262</v>
      </c>
      <c r="Y19" s="228">
        <f t="shared" si="1"/>
        <v>0</v>
      </c>
      <c r="Z19" s="159">
        <f t="shared" si="2"/>
        <v>0</v>
      </c>
      <c r="AA19" s="236"/>
      <c r="AB19" s="69">
        <v>0.0</v>
      </c>
    </row>
    <row r="20">
      <c r="A20" s="22"/>
      <c r="B20" s="22"/>
      <c r="C20" s="22"/>
      <c r="D20" s="138"/>
      <c r="E20" s="138"/>
      <c r="F20" s="138"/>
      <c r="G20" s="22"/>
      <c r="H20" s="22"/>
      <c r="I20" s="22"/>
      <c r="J20" s="22"/>
      <c r="K20" s="22"/>
      <c r="L20" s="22"/>
      <c r="M20" s="89"/>
      <c r="N20" s="89"/>
      <c r="O20" s="89"/>
      <c r="P20" s="90"/>
      <c r="Q20" s="90"/>
      <c r="R20" s="90"/>
      <c r="S20" s="223"/>
      <c r="T20" s="223"/>
      <c r="U20" s="223"/>
      <c r="W20" s="229">
        <v>11.0</v>
      </c>
      <c r="X20" s="230" t="s">
        <v>263</v>
      </c>
      <c r="Y20" s="228">
        <f t="shared" si="1"/>
        <v>2</v>
      </c>
      <c r="Z20" s="159">
        <f t="shared" si="2"/>
        <v>2</v>
      </c>
      <c r="AA20" s="231"/>
      <c r="AB20" s="69">
        <v>2.0</v>
      </c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74</v>
      </c>
      <c r="N21" s="11"/>
      <c r="O21" s="12"/>
      <c r="P21" s="94" t="s">
        <v>75</v>
      </c>
      <c r="Q21" s="11"/>
      <c r="R21" s="12"/>
      <c r="S21" s="95" t="s">
        <v>13</v>
      </c>
      <c r="T21" s="11"/>
      <c r="U21" s="12"/>
      <c r="W21" s="229">
        <v>12.0</v>
      </c>
      <c r="X21" s="230" t="s">
        <v>250</v>
      </c>
      <c r="Y21" s="228">
        <f t="shared" si="1"/>
        <v>2</v>
      </c>
      <c r="Z21" s="159">
        <f t="shared" si="2"/>
        <v>2</v>
      </c>
      <c r="AA21" s="231"/>
      <c r="AB21" s="69">
        <v>2.0</v>
      </c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229">
        <v>13.0</v>
      </c>
      <c r="X22" s="230" t="s">
        <v>257</v>
      </c>
      <c r="Y22" s="228">
        <f t="shared" si="1"/>
        <v>2</v>
      </c>
      <c r="Z22" s="159">
        <f t="shared" si="2"/>
        <v>2</v>
      </c>
      <c r="AA22" s="231"/>
      <c r="AB22" s="69">
        <v>2.0</v>
      </c>
    </row>
    <row r="23" ht="15.75" customHeight="1">
      <c r="A23" s="138"/>
      <c r="B23" s="138"/>
      <c r="C23" s="138"/>
      <c r="D23" s="89"/>
      <c r="E23" s="89"/>
      <c r="F23" s="89"/>
      <c r="G23" s="19"/>
      <c r="H23" s="21"/>
      <c r="I23" s="19"/>
      <c r="J23" s="22"/>
      <c r="K23" s="22"/>
      <c r="L23" s="22"/>
      <c r="P23" s="30"/>
      <c r="Q23" s="239"/>
      <c r="R23" s="30"/>
      <c r="S23" s="223"/>
      <c r="T23" s="223"/>
      <c r="U23" s="224"/>
      <c r="W23" s="229">
        <v>14.0</v>
      </c>
      <c r="X23" s="230" t="s">
        <v>264</v>
      </c>
      <c r="Y23" s="228">
        <f t="shared" si="1"/>
        <v>2</v>
      </c>
      <c r="Z23" s="159">
        <f t="shared" si="2"/>
        <v>2</v>
      </c>
      <c r="AA23" s="231"/>
      <c r="AB23" s="69">
        <v>2.0</v>
      </c>
    </row>
    <row r="24" ht="15.75" customHeight="1">
      <c r="A24" s="90" t="s">
        <v>254</v>
      </c>
      <c r="B24" s="89" t="s">
        <v>49</v>
      </c>
      <c r="C24" s="89" t="s">
        <v>35</v>
      </c>
      <c r="D24" s="90" t="s">
        <v>244</v>
      </c>
      <c r="E24" s="90" t="s">
        <v>62</v>
      </c>
      <c r="F24" s="90" t="s">
        <v>25</v>
      </c>
      <c r="G24" s="89" t="s">
        <v>249</v>
      </c>
      <c r="H24" s="89" t="s">
        <v>49</v>
      </c>
      <c r="I24" s="89" t="s">
        <v>35</v>
      </c>
      <c r="J24" s="137" t="s">
        <v>265</v>
      </c>
      <c r="K24" s="137" t="s">
        <v>216</v>
      </c>
      <c r="L24" s="137" t="s">
        <v>29</v>
      </c>
      <c r="M24" s="89" t="s">
        <v>245</v>
      </c>
      <c r="N24" s="21" t="s">
        <v>34</v>
      </c>
      <c r="O24" s="89" t="s">
        <v>25</v>
      </c>
      <c r="P24" s="90" t="s">
        <v>246</v>
      </c>
      <c r="Q24" s="21" t="s">
        <v>92</v>
      </c>
      <c r="R24" s="19" t="s">
        <v>29</v>
      </c>
      <c r="S24" s="223"/>
      <c r="T24" s="223"/>
      <c r="U24" s="223"/>
      <c r="W24" s="229">
        <v>15.0</v>
      </c>
      <c r="X24" s="235" t="s">
        <v>266</v>
      </c>
      <c r="Y24" s="228">
        <f t="shared" si="1"/>
        <v>2</v>
      </c>
      <c r="Z24" s="159">
        <f t="shared" si="2"/>
        <v>2</v>
      </c>
      <c r="AA24" s="236"/>
      <c r="AB24" s="69">
        <v>2.0</v>
      </c>
    </row>
    <row r="25" ht="15.75" customHeight="1">
      <c r="A25" s="137" t="s">
        <v>210</v>
      </c>
      <c r="B25" s="137" t="s">
        <v>234</v>
      </c>
      <c r="C25" s="137" t="s">
        <v>25</v>
      </c>
      <c r="D25" s="90" t="s">
        <v>263</v>
      </c>
      <c r="E25" s="90" t="s">
        <v>57</v>
      </c>
      <c r="F25" s="90" t="s">
        <v>29</v>
      </c>
      <c r="G25" s="90" t="s">
        <v>264</v>
      </c>
      <c r="H25" s="90" t="s">
        <v>92</v>
      </c>
      <c r="I25" s="90" t="s">
        <v>35</v>
      </c>
      <c r="J25" s="90" t="s">
        <v>256</v>
      </c>
      <c r="K25" s="209" t="s">
        <v>34</v>
      </c>
      <c r="L25" s="209" t="s">
        <v>25</v>
      </c>
      <c r="M25" s="19" t="s">
        <v>247</v>
      </c>
      <c r="N25" s="89" t="s">
        <v>49</v>
      </c>
      <c r="O25" s="89" t="s">
        <v>29</v>
      </c>
      <c r="P25" s="90" t="s">
        <v>267</v>
      </c>
      <c r="Q25" s="211" t="s">
        <v>268</v>
      </c>
      <c r="R25" s="90" t="s">
        <v>29</v>
      </c>
      <c r="S25" s="226" t="s">
        <v>14</v>
      </c>
      <c r="T25" s="11"/>
      <c r="U25" s="12"/>
      <c r="W25" s="229">
        <v>16.0</v>
      </c>
      <c r="X25" s="230" t="s">
        <v>258</v>
      </c>
      <c r="Y25" s="228">
        <f t="shared" si="1"/>
        <v>4</v>
      </c>
      <c r="Z25" s="159">
        <f t="shared" si="2"/>
        <v>4</v>
      </c>
      <c r="AA25" s="231"/>
      <c r="AB25" s="69">
        <v>4.0</v>
      </c>
    </row>
    <row r="26" ht="15.75" customHeight="1">
      <c r="A26" s="89" t="s">
        <v>269</v>
      </c>
      <c r="B26" s="89" t="s">
        <v>270</v>
      </c>
      <c r="C26" s="89" t="s">
        <v>25</v>
      </c>
      <c r="G26" s="21" t="s">
        <v>266</v>
      </c>
      <c r="H26" s="21" t="s">
        <v>271</v>
      </c>
      <c r="I26" s="21" t="s">
        <v>25</v>
      </c>
      <c r="J26" s="90" t="s">
        <v>272</v>
      </c>
      <c r="K26" s="90" t="s">
        <v>49</v>
      </c>
      <c r="L26" s="90" t="s">
        <v>25</v>
      </c>
      <c r="M26" s="90" t="s">
        <v>244</v>
      </c>
      <c r="N26" s="90" t="s">
        <v>273</v>
      </c>
      <c r="O26" s="90" t="s">
        <v>61</v>
      </c>
      <c r="P26" s="89" t="s">
        <v>258</v>
      </c>
      <c r="Q26" s="239" t="s">
        <v>168</v>
      </c>
      <c r="R26" s="89" t="s">
        <v>25</v>
      </c>
      <c r="S26" s="223"/>
      <c r="T26" s="223"/>
      <c r="U26" s="223"/>
      <c r="W26" s="229">
        <v>17.0</v>
      </c>
      <c r="X26" s="242" t="s">
        <v>274</v>
      </c>
      <c r="Y26" s="228">
        <f t="shared" si="1"/>
        <v>0</v>
      </c>
      <c r="Z26" s="159">
        <f t="shared" si="2"/>
        <v>0</v>
      </c>
      <c r="AA26" s="243"/>
      <c r="AB26" s="69">
        <v>0.0</v>
      </c>
    </row>
    <row r="27" ht="15.75" customHeight="1">
      <c r="A27" s="22"/>
      <c r="B27" s="22"/>
      <c r="C27" s="22"/>
      <c r="D27" s="22"/>
      <c r="E27" s="22"/>
      <c r="F27" s="22"/>
      <c r="J27" s="22"/>
      <c r="K27" s="22"/>
      <c r="L27" s="22"/>
      <c r="M27" s="22"/>
      <c r="N27" s="22"/>
      <c r="O27" s="22"/>
      <c r="P27" s="223"/>
      <c r="Q27" s="233"/>
      <c r="R27" s="223"/>
      <c r="S27" s="223"/>
      <c r="T27" s="223"/>
      <c r="U27" s="223"/>
      <c r="W27" s="229">
        <v>18.0</v>
      </c>
      <c r="X27" s="230" t="s">
        <v>269</v>
      </c>
      <c r="Y27" s="228">
        <f t="shared" si="1"/>
        <v>4</v>
      </c>
      <c r="Z27" s="159">
        <f t="shared" si="2"/>
        <v>4</v>
      </c>
      <c r="AA27" s="231"/>
      <c r="AB27" s="69">
        <v>4.0</v>
      </c>
    </row>
    <row r="28" ht="15.75" customHeight="1">
      <c r="A28" s="76"/>
      <c r="B28" s="76"/>
      <c r="C28" s="76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3"/>
      <c r="Q28" s="233"/>
      <c r="R28" s="223"/>
      <c r="S28" s="223"/>
      <c r="T28" s="223"/>
      <c r="U28" s="223"/>
      <c r="W28" s="229">
        <v>19.0</v>
      </c>
      <c r="X28" s="244" t="s">
        <v>275</v>
      </c>
      <c r="Y28" s="228">
        <f t="shared" si="1"/>
        <v>0</v>
      </c>
      <c r="Z28" s="159">
        <f t="shared" si="2"/>
        <v>0</v>
      </c>
      <c r="AA28" s="245"/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74</v>
      </c>
      <c r="N29" s="11"/>
      <c r="O29" s="12"/>
      <c r="P29" s="78" t="s">
        <v>75</v>
      </c>
      <c r="Q29" s="11"/>
      <c r="R29" s="12"/>
      <c r="S29" s="107" t="s">
        <v>13</v>
      </c>
      <c r="T29" s="11"/>
      <c r="U29" s="12"/>
      <c r="W29" s="229">
        <v>20.0</v>
      </c>
      <c r="X29" s="134" t="s">
        <v>267</v>
      </c>
      <c r="Y29" s="228">
        <f t="shared" si="1"/>
        <v>2</v>
      </c>
      <c r="Z29" s="159">
        <f t="shared" si="2"/>
        <v>2</v>
      </c>
      <c r="AA29" s="231"/>
      <c r="AB29" s="69">
        <v>2.0</v>
      </c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81">
        <f>M30+1</f>
        <v>46193</v>
      </c>
      <c r="Q30" s="11"/>
      <c r="R30" s="12"/>
      <c r="S30" s="83">
        <f>P30+1</f>
        <v>46194</v>
      </c>
      <c r="T30" s="11"/>
      <c r="U30" s="12"/>
      <c r="W30" s="229">
        <v>21.0</v>
      </c>
      <c r="X30" s="227" t="s">
        <v>276</v>
      </c>
      <c r="Y30" s="228">
        <f t="shared" si="1"/>
        <v>0</v>
      </c>
      <c r="Z30" s="159">
        <f t="shared" si="2"/>
        <v>0</v>
      </c>
      <c r="AA30" s="231"/>
      <c r="AB30" s="69">
        <v>4.0</v>
      </c>
    </row>
    <row r="31" ht="15.75" customHeight="1">
      <c r="A31" s="89"/>
      <c r="B31" s="89"/>
      <c r="C31" s="89"/>
      <c r="D31" s="137"/>
      <c r="E31" s="137"/>
      <c r="F31" s="137"/>
      <c r="G31" s="89"/>
      <c r="H31" s="89"/>
      <c r="I31" s="89"/>
      <c r="J31" s="137"/>
      <c r="K31" s="137"/>
      <c r="L31" s="137"/>
      <c r="M31" s="89"/>
      <c r="N31" s="89"/>
      <c r="O31" s="89"/>
      <c r="P31" s="90"/>
      <c r="Q31" s="90"/>
      <c r="R31" s="90"/>
      <c r="S31" s="223"/>
      <c r="T31" s="223"/>
      <c r="U31" s="224"/>
      <c r="W31" s="229">
        <v>22.0</v>
      </c>
      <c r="X31" s="246" t="s">
        <v>265</v>
      </c>
      <c r="Y31" s="228">
        <f t="shared" si="1"/>
        <v>2</v>
      </c>
      <c r="Z31" s="159">
        <f t="shared" si="2"/>
        <v>2</v>
      </c>
      <c r="AA31" s="243"/>
      <c r="AB31" s="69">
        <v>2.0</v>
      </c>
    </row>
    <row r="32" ht="15.75" customHeight="1">
      <c r="A32" s="89" t="s">
        <v>269</v>
      </c>
      <c r="B32" s="89" t="s">
        <v>92</v>
      </c>
      <c r="C32" s="89" t="s">
        <v>25</v>
      </c>
      <c r="D32" s="90" t="s">
        <v>244</v>
      </c>
      <c r="E32" s="90" t="s">
        <v>62</v>
      </c>
      <c r="F32" s="90" t="s">
        <v>25</v>
      </c>
      <c r="G32" s="89" t="s">
        <v>249</v>
      </c>
      <c r="H32" s="89" t="s">
        <v>49</v>
      </c>
      <c r="I32" s="89" t="s">
        <v>35</v>
      </c>
      <c r="J32" s="90" t="s">
        <v>244</v>
      </c>
      <c r="K32" s="90" t="s">
        <v>62</v>
      </c>
      <c r="L32" s="90" t="s">
        <v>25</v>
      </c>
      <c r="M32" s="89" t="s">
        <v>250</v>
      </c>
      <c r="N32" s="237" t="s">
        <v>251</v>
      </c>
      <c r="O32" s="238" t="s">
        <v>35</v>
      </c>
      <c r="P32" s="30" t="s">
        <v>252</v>
      </c>
      <c r="Q32" s="239" t="s">
        <v>253</v>
      </c>
      <c r="R32" s="30" t="s">
        <v>35</v>
      </c>
      <c r="S32" s="223"/>
      <c r="T32" s="223"/>
      <c r="U32" s="223"/>
      <c r="W32" s="229">
        <v>23.0</v>
      </c>
      <c r="X32" s="230" t="s">
        <v>256</v>
      </c>
      <c r="Y32" s="228">
        <f t="shared" si="1"/>
        <v>4</v>
      </c>
      <c r="Z32" s="159">
        <f t="shared" si="2"/>
        <v>4</v>
      </c>
      <c r="AA32" s="231"/>
      <c r="AB32" s="69">
        <v>4.0</v>
      </c>
    </row>
    <row r="33" ht="15.0" customHeight="1">
      <c r="A33" s="137" t="s">
        <v>210</v>
      </c>
      <c r="B33" s="137" t="s">
        <v>234</v>
      </c>
      <c r="C33" s="137" t="s">
        <v>25</v>
      </c>
      <c r="D33" s="22"/>
      <c r="E33" s="22"/>
      <c r="F33" s="22"/>
      <c r="G33" s="90" t="s">
        <v>248</v>
      </c>
      <c r="H33" s="90" t="s">
        <v>31</v>
      </c>
      <c r="I33" s="90" t="s">
        <v>25</v>
      </c>
      <c r="J33" s="90" t="s">
        <v>256</v>
      </c>
      <c r="K33" s="90" t="s">
        <v>37</v>
      </c>
      <c r="L33" s="90" t="s">
        <v>25</v>
      </c>
      <c r="M33" s="89" t="s">
        <v>257</v>
      </c>
      <c r="N33" s="48"/>
      <c r="O33" s="48"/>
      <c r="P33" s="90" t="s">
        <v>258</v>
      </c>
      <c r="Q33" s="211" t="s">
        <v>259</v>
      </c>
      <c r="R33" s="90" t="s">
        <v>25</v>
      </c>
      <c r="S33" s="226" t="s">
        <v>14</v>
      </c>
      <c r="T33" s="11"/>
      <c r="U33" s="12"/>
      <c r="W33" s="229">
        <v>24.0</v>
      </c>
      <c r="X33" s="230" t="s">
        <v>272</v>
      </c>
      <c r="Y33" s="228">
        <f t="shared" si="1"/>
        <v>2</v>
      </c>
      <c r="Z33" s="159">
        <f t="shared" si="2"/>
        <v>2</v>
      </c>
      <c r="AA33" s="231"/>
      <c r="AB33" s="69">
        <v>2.0</v>
      </c>
    </row>
    <row r="34" ht="15.75" customHeight="1">
      <c r="A34" s="90" t="s">
        <v>260</v>
      </c>
      <c r="B34" s="247" t="s">
        <v>277</v>
      </c>
      <c r="C34" s="137" t="s">
        <v>29</v>
      </c>
      <c r="D34" s="226" t="s">
        <v>14</v>
      </c>
      <c r="E34" s="11"/>
      <c r="F34" s="12"/>
      <c r="G34" s="90" t="s">
        <v>261</v>
      </c>
      <c r="H34" s="90" t="s">
        <v>33</v>
      </c>
      <c r="I34" s="90" t="s">
        <v>25</v>
      </c>
      <c r="J34" s="22"/>
      <c r="K34" s="22"/>
      <c r="L34" s="22"/>
      <c r="M34" s="76"/>
      <c r="N34" s="76"/>
      <c r="O34" s="76"/>
      <c r="P34" s="22"/>
      <c r="Q34" s="22"/>
      <c r="R34" s="22"/>
      <c r="S34" s="223"/>
      <c r="T34" s="223"/>
      <c r="U34" s="223"/>
      <c r="W34" s="229">
        <v>25.0</v>
      </c>
      <c r="X34" s="234" t="s">
        <v>261</v>
      </c>
      <c r="Y34" s="228">
        <f t="shared" si="1"/>
        <v>2</v>
      </c>
      <c r="Z34" s="159">
        <f t="shared" si="2"/>
        <v>2</v>
      </c>
      <c r="AA34" s="231"/>
      <c r="AB34" s="69">
        <v>2.0</v>
      </c>
    </row>
    <row r="35" ht="15.75" customHeight="1">
      <c r="A35" s="89"/>
      <c r="B35" s="89"/>
      <c r="C35" s="89"/>
      <c r="G35" s="22"/>
      <c r="H35" s="22"/>
      <c r="I35" s="22"/>
      <c r="J35" s="22"/>
      <c r="K35" s="22"/>
      <c r="L35" s="22"/>
      <c r="M35" s="89"/>
      <c r="N35" s="89"/>
      <c r="O35" s="89"/>
      <c r="P35" s="89"/>
      <c r="Q35" s="89"/>
      <c r="R35" s="89"/>
      <c r="S35" s="223"/>
      <c r="T35" s="223"/>
      <c r="U35" s="223"/>
      <c r="W35" s="229">
        <v>26.0</v>
      </c>
      <c r="X35" s="230" t="s">
        <v>278</v>
      </c>
      <c r="Y35" s="228">
        <f t="shared" si="1"/>
        <v>0</v>
      </c>
      <c r="Z35" s="159">
        <f t="shared" si="2"/>
        <v>0</v>
      </c>
      <c r="AA35" s="231"/>
      <c r="AB35" s="69">
        <v>5.0</v>
      </c>
    </row>
    <row r="36" ht="15.75" customHeight="1">
      <c r="A36" s="89"/>
      <c r="B36" s="89"/>
      <c r="C36" s="89"/>
      <c r="D36" s="89"/>
      <c r="E36" s="89"/>
      <c r="F36" s="89"/>
      <c r="G36" s="22"/>
      <c r="H36" s="22"/>
      <c r="I36" s="22"/>
      <c r="J36" s="137"/>
      <c r="K36" s="137" t="s">
        <v>123</v>
      </c>
      <c r="L36" s="137"/>
      <c r="M36" s="89"/>
      <c r="N36" s="89"/>
      <c r="O36" s="89"/>
      <c r="P36" s="90"/>
      <c r="Q36" s="90"/>
      <c r="R36" s="90"/>
      <c r="S36" s="223"/>
      <c r="T36" s="223"/>
      <c r="U36" s="223"/>
      <c r="W36" s="229">
        <v>27.0</v>
      </c>
      <c r="X36" s="248" t="s">
        <v>249</v>
      </c>
      <c r="Y36" s="228">
        <f t="shared" si="1"/>
        <v>4</v>
      </c>
      <c r="Z36" s="159">
        <f t="shared" si="2"/>
        <v>4</v>
      </c>
      <c r="AA36" s="236"/>
      <c r="AB36" s="69">
        <v>6.0</v>
      </c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4" t="s">
        <v>99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  <c r="W37" s="229">
        <v>28.0</v>
      </c>
      <c r="X37" s="249"/>
      <c r="Y37" s="228">
        <f t="shared" si="1"/>
        <v>0</v>
      </c>
      <c r="Z37" s="159">
        <f t="shared" si="2"/>
        <v>0</v>
      </c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7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  <c r="W38" s="229">
        <v>29.0</v>
      </c>
      <c r="X38" s="235"/>
      <c r="Y38" s="228">
        <f t="shared" si="1"/>
        <v>0</v>
      </c>
      <c r="Z38" s="159">
        <f t="shared" si="2"/>
        <v>0</v>
      </c>
    </row>
    <row r="39" ht="15.75" customHeight="1">
      <c r="A39" s="138"/>
      <c r="B39" s="138"/>
      <c r="C39" s="138"/>
      <c r="D39" s="30"/>
      <c r="E39" s="30"/>
      <c r="F39" s="30"/>
      <c r="G39" s="89"/>
      <c r="H39" s="89"/>
      <c r="I39" s="89"/>
      <c r="J39" s="22"/>
      <c r="K39" s="22"/>
      <c r="L39" s="22"/>
      <c r="M39" s="89"/>
      <c r="N39" s="89"/>
      <c r="O39" s="89"/>
      <c r="P39" s="89"/>
      <c r="Q39" s="89"/>
      <c r="R39" s="89"/>
      <c r="S39" s="162"/>
      <c r="T39" s="162"/>
      <c r="U39" s="163"/>
      <c r="W39" s="229">
        <v>30.0</v>
      </c>
      <c r="X39" s="235"/>
      <c r="Y39" s="228">
        <f t="shared" si="1"/>
        <v>0</v>
      </c>
      <c r="Z39" s="159">
        <f t="shared" si="2"/>
        <v>0</v>
      </c>
    </row>
    <row r="40" ht="15.75" customHeight="1">
      <c r="A40" s="90" t="s">
        <v>254</v>
      </c>
      <c r="B40" s="89" t="s">
        <v>49</v>
      </c>
      <c r="C40" s="89" t="s">
        <v>35</v>
      </c>
      <c r="D40" s="90" t="s">
        <v>244</v>
      </c>
      <c r="E40" s="90" t="s">
        <v>62</v>
      </c>
      <c r="F40" s="90" t="s">
        <v>25</v>
      </c>
      <c r="G40" s="138" t="s">
        <v>249</v>
      </c>
      <c r="H40" s="138" t="s">
        <v>92</v>
      </c>
      <c r="I40" s="138" t="s">
        <v>35</v>
      </c>
      <c r="J40" s="137" t="s">
        <v>265</v>
      </c>
      <c r="K40" s="137" t="s">
        <v>216</v>
      </c>
      <c r="L40" s="137" t="s">
        <v>29</v>
      </c>
      <c r="M40" s="89" t="s">
        <v>245</v>
      </c>
      <c r="N40" s="21" t="s">
        <v>34</v>
      </c>
      <c r="O40" s="89" t="s">
        <v>25</v>
      </c>
      <c r="P40" s="90" t="s">
        <v>246</v>
      </c>
      <c r="Q40" s="21" t="s">
        <v>92</v>
      </c>
      <c r="R40" s="19" t="s">
        <v>29</v>
      </c>
      <c r="S40" s="163"/>
      <c r="T40" s="163"/>
      <c r="U40" s="163"/>
      <c r="W40" s="229">
        <v>31.0</v>
      </c>
      <c r="X40" s="250"/>
      <c r="Y40" s="251">
        <f t="shared" si="1"/>
        <v>0</v>
      </c>
      <c r="Z40" s="252">
        <f t="shared" si="2"/>
        <v>0</v>
      </c>
    </row>
    <row r="41" ht="15.75" customHeight="1">
      <c r="A41" s="137" t="s">
        <v>210</v>
      </c>
      <c r="B41" s="137" t="s">
        <v>234</v>
      </c>
      <c r="C41" s="137" t="s">
        <v>25</v>
      </c>
      <c r="D41" s="90" t="s">
        <v>263</v>
      </c>
      <c r="E41" s="90" t="s">
        <v>57</v>
      </c>
      <c r="F41" s="90" t="s">
        <v>29</v>
      </c>
      <c r="G41" s="90" t="s">
        <v>264</v>
      </c>
      <c r="H41" s="90" t="s">
        <v>92</v>
      </c>
      <c r="I41" s="90" t="s">
        <v>35</v>
      </c>
      <c r="J41" s="90" t="s">
        <v>256</v>
      </c>
      <c r="K41" s="209" t="s">
        <v>34</v>
      </c>
      <c r="L41" s="209" t="s">
        <v>25</v>
      </c>
      <c r="M41" s="19" t="s">
        <v>247</v>
      </c>
      <c r="N41" s="89" t="s">
        <v>49</v>
      </c>
      <c r="O41" s="89" t="s">
        <v>29</v>
      </c>
      <c r="P41" s="90" t="s">
        <v>267</v>
      </c>
      <c r="Q41" s="211" t="s">
        <v>268</v>
      </c>
      <c r="R41" s="90" t="s">
        <v>29</v>
      </c>
      <c r="S41" s="226" t="s">
        <v>14</v>
      </c>
      <c r="T41" s="11"/>
      <c r="U41" s="12"/>
    </row>
    <row r="42" ht="15.75" customHeight="1">
      <c r="A42" s="89" t="s">
        <v>269</v>
      </c>
      <c r="B42" s="89" t="s">
        <v>270</v>
      </c>
      <c r="C42" s="89" t="s">
        <v>25</v>
      </c>
      <c r="G42" s="21" t="s">
        <v>266</v>
      </c>
      <c r="H42" s="21" t="s">
        <v>271</v>
      </c>
      <c r="I42" s="21" t="s">
        <v>25</v>
      </c>
      <c r="J42" s="90" t="s">
        <v>272</v>
      </c>
      <c r="K42" s="90" t="s">
        <v>49</v>
      </c>
      <c r="L42" s="90" t="s">
        <v>25</v>
      </c>
      <c r="M42" s="90" t="s">
        <v>244</v>
      </c>
      <c r="N42" s="90" t="s">
        <v>273</v>
      </c>
      <c r="O42" s="90" t="s">
        <v>61</v>
      </c>
      <c r="P42" s="89" t="s">
        <v>258</v>
      </c>
      <c r="Q42" s="239" t="s">
        <v>168</v>
      </c>
      <c r="R42" s="89" t="s">
        <v>25</v>
      </c>
      <c r="S42" s="162"/>
      <c r="T42" s="162"/>
      <c r="U42" s="163"/>
    </row>
    <row r="43" ht="15.75" customHeight="1">
      <c r="D43" s="90"/>
      <c r="E43" s="90"/>
      <c r="F43" s="90"/>
      <c r="G43" s="253"/>
      <c r="H43" s="253"/>
      <c r="I43" s="22"/>
      <c r="J43" s="22"/>
      <c r="K43" s="22"/>
      <c r="L43" s="22"/>
      <c r="P43" s="89"/>
      <c r="Q43" s="89"/>
      <c r="R43" s="89"/>
      <c r="S43" s="163"/>
      <c r="T43" s="163"/>
      <c r="U43" s="163"/>
      <c r="Y43" s="69">
        <f t="shared" ref="Y43:Z43" si="3">SUM(Y10:Y42)</f>
        <v>60</v>
      </c>
      <c r="Z43" s="69">
        <f t="shared" si="3"/>
        <v>60</v>
      </c>
    </row>
    <row r="44" ht="15.75" customHeight="1">
      <c r="A44" s="89"/>
      <c r="B44" s="89"/>
      <c r="C44" s="89"/>
      <c r="D44" s="22"/>
      <c r="E44" s="22"/>
      <c r="F44" s="22"/>
      <c r="G44" s="22"/>
      <c r="H44" s="22"/>
      <c r="I44" s="22"/>
      <c r="J44" s="22"/>
      <c r="K44" s="22"/>
      <c r="L44" s="22"/>
      <c r="M44" s="89"/>
      <c r="N44" s="89"/>
      <c r="O44" s="89"/>
      <c r="P44" s="89"/>
      <c r="Q44" s="89"/>
      <c r="R44" s="89"/>
      <c r="S44" s="161"/>
      <c r="T44" s="161"/>
      <c r="U44" s="161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74</v>
      </c>
      <c r="N45" s="11"/>
      <c r="O45" s="12"/>
      <c r="P45" s="78" t="s">
        <v>75</v>
      </c>
      <c r="Q45" s="11"/>
      <c r="R45" s="12"/>
      <c r="S45" s="107" t="s">
        <v>13</v>
      </c>
      <c r="T45" s="11"/>
      <c r="U45" s="12"/>
    </row>
    <row r="46" ht="15.75" customHeight="1">
      <c r="A46" s="82">
        <f>S38+1</f>
        <v>46202</v>
      </c>
      <c r="B46" s="11"/>
      <c r="C46" s="12"/>
      <c r="D46" s="81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81"/>
      <c r="Q46" s="11"/>
      <c r="R46" s="12"/>
      <c r="S46" s="83"/>
      <c r="T46" s="11"/>
      <c r="U46" s="12"/>
    </row>
    <row r="47" ht="15.75" customHeight="1">
      <c r="A47" s="89" t="s">
        <v>269</v>
      </c>
      <c r="B47" s="89" t="s">
        <v>92</v>
      </c>
      <c r="C47" s="89" t="s">
        <v>25</v>
      </c>
      <c r="D47" s="138"/>
      <c r="E47" s="138"/>
      <c r="F47" s="138"/>
      <c r="G47" s="138"/>
      <c r="H47" s="138"/>
      <c r="I47" s="138"/>
      <c r="J47" s="89"/>
      <c r="K47" s="89"/>
      <c r="L47" s="89"/>
      <c r="M47" s="89"/>
      <c r="N47" s="89"/>
      <c r="O47" s="89"/>
      <c r="P47" s="89"/>
      <c r="Q47" s="89"/>
      <c r="R47" s="89"/>
      <c r="S47" s="162"/>
      <c r="T47" s="162"/>
      <c r="U47" s="163"/>
    </row>
    <row r="48" ht="15.75" customHeight="1">
      <c r="A48" s="137" t="s">
        <v>210</v>
      </c>
      <c r="B48" s="137" t="s">
        <v>234</v>
      </c>
      <c r="C48" s="137" t="s">
        <v>25</v>
      </c>
      <c r="D48" s="138"/>
      <c r="E48" s="138"/>
      <c r="F48" s="138"/>
      <c r="G48" s="138"/>
      <c r="H48" s="138"/>
      <c r="I48" s="138"/>
      <c r="J48" s="89"/>
      <c r="K48" s="89"/>
      <c r="L48" s="89"/>
      <c r="M48" s="89"/>
      <c r="N48" s="89"/>
      <c r="O48" s="89"/>
      <c r="P48" s="89"/>
      <c r="Q48" s="89"/>
      <c r="R48" s="89"/>
      <c r="S48" s="163"/>
      <c r="T48" s="163"/>
      <c r="U48" s="163"/>
    </row>
    <row r="49" ht="15.75" customHeight="1">
      <c r="A49" s="90" t="s">
        <v>260</v>
      </c>
      <c r="B49" s="247" t="s">
        <v>277</v>
      </c>
      <c r="C49" s="137" t="s">
        <v>29</v>
      </c>
      <c r="D49" s="138"/>
      <c r="E49" s="138"/>
      <c r="F49" s="138"/>
      <c r="G49" s="138"/>
      <c r="H49" s="138"/>
      <c r="I49" s="138"/>
      <c r="J49" s="89"/>
      <c r="K49" s="89"/>
      <c r="L49" s="89"/>
      <c r="M49" s="89"/>
      <c r="N49" s="89"/>
      <c r="O49" s="89"/>
      <c r="P49" s="90"/>
      <c r="Q49" s="90"/>
      <c r="R49" s="137"/>
      <c r="S49" s="163"/>
      <c r="T49" s="163"/>
      <c r="U49" s="163"/>
    </row>
    <row r="50" ht="15.75" customHeight="1">
      <c r="D50" s="138"/>
      <c r="E50" s="138"/>
      <c r="F50" s="138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162"/>
      <c r="T50" s="162"/>
      <c r="U50" s="163"/>
    </row>
    <row r="51" ht="15.75" customHeight="1">
      <c r="A51" s="223"/>
      <c r="B51" s="223"/>
      <c r="C51" s="223"/>
      <c r="D51" s="163"/>
      <c r="E51" s="163"/>
      <c r="F51" s="163"/>
      <c r="G51" s="138"/>
      <c r="H51" s="138"/>
      <c r="I51" s="138"/>
      <c r="J51" s="89"/>
      <c r="K51" s="89"/>
      <c r="L51" s="89"/>
      <c r="M51" s="89"/>
      <c r="N51" s="89"/>
      <c r="O51" s="89"/>
      <c r="P51" s="89"/>
      <c r="Q51" s="89"/>
      <c r="R51" s="89"/>
      <c r="S51" s="163"/>
      <c r="T51" s="163"/>
      <c r="U51" s="163"/>
    </row>
    <row r="52" ht="15.75" customHeight="1">
      <c r="A52" s="223"/>
      <c r="B52" s="223"/>
      <c r="C52" s="223"/>
      <c r="D52" s="161"/>
      <c r="E52" s="161"/>
      <c r="F52" s="161"/>
      <c r="G52" s="89"/>
      <c r="H52" s="89"/>
      <c r="I52" s="89"/>
      <c r="J52" s="223"/>
      <c r="K52" s="223"/>
      <c r="L52" s="223"/>
      <c r="M52" s="89"/>
      <c r="N52" s="89"/>
      <c r="O52" s="89"/>
      <c r="P52" s="223"/>
      <c r="Q52" s="223"/>
      <c r="R52" s="223"/>
      <c r="S52" s="161"/>
      <c r="T52" s="161"/>
      <c r="U52" s="161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  <c r="I56" s="75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>
      <c r="A59" s="62"/>
      <c r="B59" s="57" t="s">
        <v>68</v>
      </c>
      <c r="C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>
    <sortState ref="W9:Y35">
      <sortCondition ref="X9:X35"/>
    </sortState>
  </autoFilter>
  <mergeCells count="105">
    <mergeCell ref="P21:R21"/>
    <mergeCell ref="S21:U21"/>
    <mergeCell ref="N16:N17"/>
    <mergeCell ref="O16:O17"/>
    <mergeCell ref="A17:C17"/>
    <mergeCell ref="S17:U17"/>
    <mergeCell ref="A21:C21"/>
    <mergeCell ref="D21:F21"/>
    <mergeCell ref="G21:I21"/>
    <mergeCell ref="P22:R22"/>
    <mergeCell ref="S22:U22"/>
    <mergeCell ref="S25:U25"/>
    <mergeCell ref="J21:L21"/>
    <mergeCell ref="M21:O21"/>
    <mergeCell ref="A22:C22"/>
    <mergeCell ref="D22:F22"/>
    <mergeCell ref="G22:I22"/>
    <mergeCell ref="J22:L22"/>
    <mergeCell ref="M22:O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P37:R37"/>
    <mergeCell ref="S37:U37"/>
    <mergeCell ref="N32:N33"/>
    <mergeCell ref="O32:O33"/>
    <mergeCell ref="S33:U33"/>
    <mergeCell ref="D34:F34"/>
    <mergeCell ref="A37:C37"/>
    <mergeCell ref="D37:F37"/>
    <mergeCell ref="G37:I37"/>
    <mergeCell ref="P38:R38"/>
    <mergeCell ref="S38:U38"/>
    <mergeCell ref="S41:U41"/>
    <mergeCell ref="J37:L37"/>
    <mergeCell ref="M37:O37"/>
    <mergeCell ref="A38:C38"/>
    <mergeCell ref="D38:F38"/>
    <mergeCell ref="G38:I38"/>
    <mergeCell ref="J38:L38"/>
    <mergeCell ref="M38:O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3167068834137669" footer="0.0" header="0.0" left="0.20002540005080013" right="0.25003175006350015" top="0.2166941833883668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2" width="8.71"/>
    <col customWidth="1" min="23" max="23" width="6.14"/>
    <col customWidth="1" min="24" max="24" width="21.43"/>
    <col customWidth="1" min="25" max="25" width="15.14"/>
    <col customWidth="1" min="26" max="26" width="15.29"/>
    <col customWidth="1" min="27" max="27" width="8.71"/>
  </cols>
  <sheetData>
    <row r="1" ht="15.75" customHeight="1">
      <c r="A1" s="6" t="s">
        <v>170</v>
      </c>
      <c r="C1" s="254" t="s">
        <v>279</v>
      </c>
      <c r="F1" s="3"/>
      <c r="G1" s="4" t="s">
        <v>2</v>
      </c>
      <c r="Q1" s="3"/>
    </row>
    <row r="2" ht="15.75" customHeight="1">
      <c r="A2" s="6" t="s">
        <v>3</v>
      </c>
      <c r="C2" s="7" t="s">
        <v>280</v>
      </c>
      <c r="F2" s="3"/>
      <c r="Q2" s="3"/>
    </row>
    <row r="3" ht="15.75" customHeight="1">
      <c r="A3" s="6" t="s">
        <v>5</v>
      </c>
      <c r="C3" s="255"/>
      <c r="F3" s="3"/>
      <c r="Q3" s="3"/>
    </row>
    <row r="4" ht="15.75" customHeight="1">
      <c r="A4" s="6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127"/>
      <c r="P4" s="128"/>
      <c r="Q4" s="129"/>
    </row>
    <row r="5" ht="15.75" customHeight="1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</row>
    <row r="6" ht="15.75" customHeight="1">
      <c r="A6" s="14"/>
      <c r="B6" s="11"/>
      <c r="C6" s="12"/>
      <c r="D6" s="14"/>
      <c r="E6" s="11"/>
      <c r="F6" s="12"/>
      <c r="G6" s="15"/>
      <c r="H6" s="11"/>
      <c r="I6" s="12"/>
      <c r="J6" s="15"/>
      <c r="K6" s="11"/>
      <c r="L6" s="12"/>
      <c r="M6" s="16">
        <v>46143.0</v>
      </c>
      <c r="N6" s="11"/>
      <c r="O6" s="12"/>
      <c r="P6" s="15">
        <f>M6+1</f>
        <v>46144</v>
      </c>
      <c r="Q6" s="11"/>
      <c r="R6" s="12"/>
      <c r="S6" s="16">
        <f>P6+1</f>
        <v>46145</v>
      </c>
      <c r="T6" s="11"/>
      <c r="U6" s="12"/>
      <c r="W6" s="69">
        <f>COUNTA(#REF!,M7:M16,P31:P42,S13:S14,#REF!,#REF!,M15:M16,P7:P26,#REF!,A15:A20,D15:D20,#REF!,#REF!,P15:P26,S7:S12,S7:S11,D24,D23:D28,M31:M36,#REF!,S15:S26,A31:A36,D39,#REF!)</f>
        <v>60</v>
      </c>
    </row>
    <row r="7" ht="15.75" customHeight="1">
      <c r="A7" s="223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56"/>
      <c r="Q7" s="256"/>
      <c r="R7" s="256"/>
      <c r="S7" s="91"/>
      <c r="T7" s="91"/>
      <c r="U7" s="91"/>
    </row>
    <row r="8" ht="15.75" customHeight="1">
      <c r="A8" s="89"/>
      <c r="B8" s="89"/>
      <c r="C8" s="89"/>
      <c r="D8" s="223"/>
      <c r="E8" s="223"/>
      <c r="F8" s="223"/>
      <c r="G8" s="22"/>
      <c r="H8" s="22"/>
      <c r="I8" s="22"/>
      <c r="J8" s="223"/>
      <c r="K8" s="223"/>
      <c r="L8" s="223"/>
      <c r="M8" s="223"/>
      <c r="N8" s="223"/>
      <c r="O8" s="223"/>
      <c r="P8" s="90"/>
      <c r="Q8" s="90"/>
      <c r="R8" s="90"/>
    </row>
    <row r="9" ht="15.75" customHeight="1">
      <c r="A9" s="89"/>
      <c r="B9" s="89"/>
      <c r="C9" s="89"/>
      <c r="D9" s="89"/>
      <c r="E9" s="89"/>
      <c r="F9" s="89"/>
      <c r="G9" s="22"/>
      <c r="H9" s="22"/>
      <c r="I9" s="22"/>
      <c r="J9" s="223"/>
      <c r="K9" s="223"/>
      <c r="L9" s="223"/>
      <c r="M9" s="223"/>
      <c r="N9" s="223"/>
      <c r="O9" s="223"/>
      <c r="P9" s="89"/>
      <c r="Q9" s="89"/>
      <c r="R9" s="89"/>
      <c r="S9" s="256"/>
      <c r="T9" s="256"/>
      <c r="U9" s="256"/>
    </row>
    <row r="10" ht="15.75" customHeight="1">
      <c r="A10" s="89"/>
      <c r="B10" s="89"/>
      <c r="C10" s="89"/>
      <c r="D10" s="89"/>
      <c r="E10" s="89"/>
      <c r="F10" s="89"/>
      <c r="G10" s="90"/>
      <c r="H10" s="90"/>
      <c r="I10" s="90"/>
      <c r="J10" s="223"/>
      <c r="K10" s="223"/>
      <c r="L10" s="223"/>
      <c r="M10" s="223"/>
      <c r="N10" s="223"/>
      <c r="O10" s="223"/>
      <c r="P10" s="90"/>
      <c r="Q10" s="90"/>
      <c r="R10" s="90"/>
      <c r="S10" s="89"/>
      <c r="T10" s="89"/>
      <c r="U10" s="89"/>
    </row>
    <row r="11" ht="15.75" customHeight="1">
      <c r="A11" s="89"/>
      <c r="B11" s="89"/>
      <c r="C11" s="89"/>
      <c r="D11" s="89"/>
      <c r="E11" s="89"/>
      <c r="F11" s="89"/>
      <c r="G11" s="90"/>
      <c r="H11" s="90"/>
      <c r="I11" s="90"/>
      <c r="J11" s="223"/>
      <c r="K11" s="223"/>
      <c r="L11" s="223"/>
      <c r="M11" s="223"/>
      <c r="N11" s="223"/>
      <c r="O11" s="223"/>
      <c r="P11" s="85"/>
      <c r="Q11" s="85"/>
      <c r="R11" s="70"/>
      <c r="S11" s="89"/>
      <c r="T11" s="225"/>
      <c r="U11" s="225"/>
    </row>
    <row r="12" ht="15.75" customHeight="1">
      <c r="A12" s="89"/>
      <c r="B12" s="89"/>
      <c r="C12" s="89"/>
      <c r="D12" s="89"/>
      <c r="E12" s="89"/>
      <c r="F12" s="89"/>
      <c r="G12" s="223"/>
      <c r="H12" s="223"/>
      <c r="I12" s="223"/>
      <c r="J12" s="223"/>
      <c r="K12" s="223"/>
      <c r="L12" s="223"/>
      <c r="M12" s="223"/>
      <c r="N12" s="223"/>
      <c r="O12" s="223"/>
      <c r="S12" s="90"/>
      <c r="T12" s="247"/>
      <c r="U12" s="90"/>
    </row>
    <row r="13" ht="15.75" customHeight="1">
      <c r="A13" s="107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  <c r="W13" s="257" t="s">
        <v>15</v>
      </c>
      <c r="X13" s="257" t="s">
        <v>16</v>
      </c>
      <c r="Y13" s="251" t="s">
        <v>17</v>
      </c>
      <c r="Z13" s="22"/>
      <c r="AA13" s="22"/>
    </row>
    <row r="14" ht="15.75" customHeight="1">
      <c r="A14" s="258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259">
        <v>1.0</v>
      </c>
      <c r="X14" s="260" t="s">
        <v>281</v>
      </c>
      <c r="Y14" s="251">
        <f t="shared" ref="Y14:Y37" si="1">countif($A$5:$U$52,X14)</f>
        <v>0</v>
      </c>
      <c r="Z14" s="134" t="s">
        <v>281</v>
      </c>
      <c r="AA14" s="135">
        <v>8.0</v>
      </c>
    </row>
    <row r="15" ht="15.75" customHeight="1">
      <c r="A15" s="91"/>
      <c r="B15" s="91"/>
      <c r="C15" s="91"/>
      <c r="D15" s="89"/>
      <c r="E15" s="89"/>
      <c r="F15" s="89"/>
      <c r="G15" s="223"/>
      <c r="H15" s="223"/>
      <c r="I15" s="223"/>
      <c r="J15" s="224"/>
      <c r="K15" s="224"/>
      <c r="L15" s="224"/>
      <c r="M15" s="90"/>
      <c r="N15" s="90"/>
      <c r="O15" s="90"/>
      <c r="P15" s="90"/>
      <c r="Q15" s="90"/>
      <c r="R15" s="90"/>
      <c r="S15" s="89"/>
      <c r="T15" s="89"/>
      <c r="U15" s="89"/>
      <c r="W15" s="259">
        <v>2.0</v>
      </c>
      <c r="X15" s="261" t="s">
        <v>282</v>
      </c>
      <c r="Y15" s="251">
        <f t="shared" si="1"/>
        <v>4</v>
      </c>
      <c r="Z15" s="134" t="s">
        <v>282</v>
      </c>
      <c r="AA15" s="135">
        <v>4.0</v>
      </c>
    </row>
    <row r="16" ht="15.75" customHeight="1">
      <c r="A16" s="91"/>
      <c r="B16" s="91"/>
      <c r="C16" s="91"/>
      <c r="D16" s="89"/>
      <c r="E16" s="89"/>
      <c r="F16" s="89"/>
      <c r="G16" s="223"/>
      <c r="H16" s="223"/>
      <c r="I16" s="223"/>
      <c r="J16" s="90" t="s">
        <v>283</v>
      </c>
      <c r="K16" s="90" t="s">
        <v>206</v>
      </c>
      <c r="L16" s="90" t="s">
        <v>35</v>
      </c>
      <c r="M16" s="90" t="s">
        <v>284</v>
      </c>
      <c r="N16" s="90" t="s">
        <v>49</v>
      </c>
      <c r="O16" s="19" t="s">
        <v>25</v>
      </c>
      <c r="P16" s="90" t="s">
        <v>285</v>
      </c>
      <c r="Q16" s="90" t="s">
        <v>49</v>
      </c>
      <c r="R16" s="90" t="s">
        <v>35</v>
      </c>
      <c r="S16" s="256" t="s">
        <v>282</v>
      </c>
      <c r="T16" s="256" t="s">
        <v>52</v>
      </c>
      <c r="U16" s="256" t="s">
        <v>25</v>
      </c>
      <c r="W16" s="259">
        <v>3.0</v>
      </c>
      <c r="X16" s="28" t="s">
        <v>286</v>
      </c>
      <c r="Y16" s="251">
        <f t="shared" si="1"/>
        <v>1</v>
      </c>
      <c r="Z16" s="28" t="s">
        <v>286</v>
      </c>
      <c r="AA16" s="135">
        <v>1.0</v>
      </c>
    </row>
    <row r="17" ht="15.75" customHeight="1">
      <c r="A17" s="91" t="s">
        <v>287</v>
      </c>
      <c r="B17" s="91" t="s">
        <v>92</v>
      </c>
      <c r="C17" s="91" t="s">
        <v>35</v>
      </c>
      <c r="D17" s="226" t="s">
        <v>14</v>
      </c>
      <c r="E17" s="11"/>
      <c r="F17" s="12"/>
      <c r="G17" s="226" t="s">
        <v>14</v>
      </c>
      <c r="H17" s="11"/>
      <c r="I17" s="12"/>
      <c r="J17" s="90" t="s">
        <v>288</v>
      </c>
      <c r="K17" s="90" t="s">
        <v>289</v>
      </c>
      <c r="L17" s="90" t="s">
        <v>35</v>
      </c>
      <c r="M17" s="155" t="s">
        <v>290</v>
      </c>
      <c r="N17" s="155" t="s">
        <v>92</v>
      </c>
      <c r="O17" s="155" t="s">
        <v>35</v>
      </c>
      <c r="P17" s="89" t="s">
        <v>291</v>
      </c>
      <c r="Q17" s="89" t="s">
        <v>92</v>
      </c>
      <c r="R17" s="89" t="s">
        <v>25</v>
      </c>
      <c r="S17" s="89" t="s">
        <v>292</v>
      </c>
      <c r="T17" s="89" t="s">
        <v>28</v>
      </c>
      <c r="U17" s="89" t="s">
        <v>35</v>
      </c>
      <c r="W17" s="259">
        <v>4.0</v>
      </c>
      <c r="X17" s="262" t="s">
        <v>285</v>
      </c>
      <c r="Y17" s="251">
        <f t="shared" si="1"/>
        <v>4</v>
      </c>
      <c r="Z17" s="134" t="s">
        <v>285</v>
      </c>
      <c r="AA17" s="135">
        <v>4.0</v>
      </c>
    </row>
    <row r="18" ht="15.75" customHeight="1">
      <c r="A18" s="89" t="s">
        <v>293</v>
      </c>
      <c r="B18" s="89" t="s">
        <v>205</v>
      </c>
      <c r="C18" s="89" t="s">
        <v>35</v>
      </c>
      <c r="D18" s="22"/>
      <c r="E18" s="22"/>
      <c r="F18" s="22"/>
      <c r="G18" s="223"/>
      <c r="H18" s="223"/>
      <c r="I18" s="223"/>
      <c r="J18" s="90"/>
      <c r="K18" s="90"/>
      <c r="L18" s="90"/>
      <c r="P18" s="263" t="s">
        <v>294</v>
      </c>
      <c r="Q18" s="263" t="s">
        <v>90</v>
      </c>
      <c r="R18" s="109" t="s">
        <v>29</v>
      </c>
      <c r="S18" s="264" t="s">
        <v>295</v>
      </c>
      <c r="T18" s="225" t="s">
        <v>111</v>
      </c>
      <c r="U18" s="225" t="s">
        <v>25</v>
      </c>
      <c r="W18" s="259">
        <v>5.0</v>
      </c>
      <c r="X18" s="262" t="s">
        <v>293</v>
      </c>
      <c r="Y18" s="251">
        <f t="shared" si="1"/>
        <v>2</v>
      </c>
      <c r="Z18" s="134" t="s">
        <v>293</v>
      </c>
      <c r="AA18" s="135">
        <v>2.0</v>
      </c>
    </row>
    <row r="19" ht="15.75" customHeight="1">
      <c r="A19" s="89" t="s">
        <v>296</v>
      </c>
      <c r="B19" s="89" t="s">
        <v>297</v>
      </c>
      <c r="C19" s="89" t="s">
        <v>25</v>
      </c>
      <c r="D19" s="22"/>
      <c r="E19" s="22"/>
      <c r="F19" s="22"/>
      <c r="G19" s="223"/>
      <c r="H19" s="223"/>
      <c r="I19" s="223"/>
      <c r="J19" s="90"/>
      <c r="K19" s="90"/>
      <c r="L19" s="90"/>
      <c r="S19" s="90" t="s">
        <v>298</v>
      </c>
      <c r="T19" s="247" t="s">
        <v>299</v>
      </c>
      <c r="U19" s="90" t="s">
        <v>25</v>
      </c>
      <c r="W19" s="259">
        <v>6.0</v>
      </c>
      <c r="X19" s="262" t="s">
        <v>291</v>
      </c>
      <c r="Y19" s="251">
        <f t="shared" si="1"/>
        <v>2</v>
      </c>
      <c r="Z19" s="134" t="s">
        <v>291</v>
      </c>
      <c r="AA19" s="135">
        <v>2.0</v>
      </c>
    </row>
    <row r="20" ht="15.75" customHeight="1">
      <c r="A20" s="89"/>
      <c r="B20" s="30"/>
      <c r="C20" s="89"/>
      <c r="D20" s="223"/>
      <c r="E20" s="223"/>
      <c r="F20" s="223"/>
      <c r="G20" s="223"/>
      <c r="H20" s="223"/>
      <c r="I20" s="223"/>
      <c r="J20" s="224"/>
      <c r="K20" s="224"/>
      <c r="L20" s="224"/>
      <c r="M20" s="22"/>
      <c r="N20" s="22"/>
      <c r="O20" s="22"/>
      <c r="W20" s="259">
        <v>7.0</v>
      </c>
      <c r="X20" s="262" t="s">
        <v>300</v>
      </c>
      <c r="Y20" s="251">
        <f t="shared" si="1"/>
        <v>2</v>
      </c>
      <c r="Z20" s="134" t="s">
        <v>300</v>
      </c>
      <c r="AA20" s="135">
        <v>2.0</v>
      </c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74</v>
      </c>
      <c r="N21" s="11"/>
      <c r="O21" s="12"/>
      <c r="P21" s="94" t="s">
        <v>75</v>
      </c>
      <c r="Q21" s="11"/>
      <c r="R21" s="12"/>
      <c r="S21" s="95" t="s">
        <v>13</v>
      </c>
      <c r="T21" s="11"/>
      <c r="U21" s="12"/>
      <c r="W21" s="259">
        <v>8.0</v>
      </c>
      <c r="X21" s="184" t="s">
        <v>301</v>
      </c>
      <c r="Y21" s="251">
        <f t="shared" si="1"/>
        <v>2</v>
      </c>
      <c r="Z21" s="134" t="s">
        <v>301</v>
      </c>
      <c r="AA21" s="135">
        <v>2.0</v>
      </c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259">
        <v>9.0</v>
      </c>
      <c r="X22" s="262" t="s">
        <v>287</v>
      </c>
      <c r="Y22" s="251">
        <f t="shared" si="1"/>
        <v>2</v>
      </c>
      <c r="Z22" s="20"/>
      <c r="AA22" s="135">
        <v>0.0</v>
      </c>
    </row>
    <row r="23" ht="15.75" customHeight="1">
      <c r="A23" s="22"/>
      <c r="B23" s="22"/>
      <c r="C23" s="22"/>
      <c r="D23" s="90"/>
      <c r="E23" s="90"/>
      <c r="F23" s="90"/>
      <c r="G23" s="223"/>
      <c r="H23" s="223"/>
      <c r="I23" s="223"/>
      <c r="J23" s="224"/>
      <c r="K23" s="224"/>
      <c r="L23" s="224"/>
      <c r="M23" s="22"/>
      <c r="N23" s="22"/>
      <c r="O23" s="22"/>
      <c r="P23" s="22"/>
      <c r="Q23" s="22"/>
      <c r="R23" s="22"/>
      <c r="S23" s="91"/>
      <c r="T23" s="91"/>
      <c r="U23" s="91"/>
      <c r="W23" s="259">
        <v>10.0</v>
      </c>
      <c r="X23" s="262" t="s">
        <v>302</v>
      </c>
      <c r="Y23" s="251">
        <f t="shared" si="1"/>
        <v>1</v>
      </c>
      <c r="Z23" s="134" t="s">
        <v>287</v>
      </c>
      <c r="AA23" s="135">
        <v>2.0</v>
      </c>
    </row>
    <row r="24" ht="15.75" customHeight="1">
      <c r="A24" s="19" t="s">
        <v>301</v>
      </c>
      <c r="B24" s="19" t="s">
        <v>28</v>
      </c>
      <c r="C24" s="19" t="s">
        <v>29</v>
      </c>
      <c r="D24" s="89" t="s">
        <v>296</v>
      </c>
      <c r="E24" s="89" t="s">
        <v>303</v>
      </c>
      <c r="F24" s="89" t="s">
        <v>25</v>
      </c>
      <c r="G24" s="223"/>
      <c r="H24" s="223"/>
      <c r="I24" s="223"/>
      <c r="J24" s="90" t="s">
        <v>288</v>
      </c>
      <c r="K24" s="90" t="s">
        <v>253</v>
      </c>
      <c r="L24" s="90" t="s">
        <v>35</v>
      </c>
      <c r="M24" s="90" t="s">
        <v>304</v>
      </c>
      <c r="N24" s="90" t="s">
        <v>49</v>
      </c>
      <c r="O24" s="90" t="s">
        <v>35</v>
      </c>
      <c r="P24" s="90" t="s">
        <v>285</v>
      </c>
      <c r="Q24" s="90" t="s">
        <v>49</v>
      </c>
      <c r="R24" s="90" t="s">
        <v>35</v>
      </c>
      <c r="S24" s="90" t="s">
        <v>305</v>
      </c>
      <c r="T24" s="90" t="s">
        <v>206</v>
      </c>
      <c r="U24" s="90" t="s">
        <v>306</v>
      </c>
      <c r="W24" s="259">
        <v>11.0</v>
      </c>
      <c r="X24" s="265" t="s">
        <v>307</v>
      </c>
      <c r="Y24" s="251">
        <f t="shared" si="1"/>
        <v>0</v>
      </c>
      <c r="Z24" s="134" t="s">
        <v>302</v>
      </c>
      <c r="AA24" s="135">
        <v>1.0</v>
      </c>
    </row>
    <row r="25" ht="15.75" customHeight="1">
      <c r="A25" s="90" t="s">
        <v>308</v>
      </c>
      <c r="B25" s="90" t="s">
        <v>309</v>
      </c>
      <c r="C25" s="90" t="s">
        <v>25</v>
      </c>
      <c r="D25" s="89" t="s">
        <v>286</v>
      </c>
      <c r="E25" s="89" t="s">
        <v>310</v>
      </c>
      <c r="F25" s="89" t="s">
        <v>35</v>
      </c>
      <c r="G25" s="226" t="s">
        <v>14</v>
      </c>
      <c r="H25" s="11"/>
      <c r="I25" s="12"/>
      <c r="J25" s="90" t="s">
        <v>283</v>
      </c>
      <c r="K25" s="90" t="s">
        <v>95</v>
      </c>
      <c r="L25" s="90" t="s">
        <v>35</v>
      </c>
      <c r="M25" s="90" t="s">
        <v>284</v>
      </c>
      <c r="N25" s="90" t="s">
        <v>92</v>
      </c>
      <c r="O25" s="90" t="s">
        <v>35</v>
      </c>
      <c r="P25" s="90" t="s">
        <v>311</v>
      </c>
      <c r="Q25" s="90"/>
      <c r="R25" s="90" t="s">
        <v>29</v>
      </c>
      <c r="S25" s="264" t="s">
        <v>295</v>
      </c>
      <c r="T25" s="225" t="s">
        <v>111</v>
      </c>
      <c r="U25" s="225" t="s">
        <v>25</v>
      </c>
      <c r="W25" s="259">
        <v>12.0</v>
      </c>
      <c r="X25" s="262" t="s">
        <v>312</v>
      </c>
      <c r="Y25" s="251">
        <f t="shared" si="1"/>
        <v>1</v>
      </c>
      <c r="Z25" s="134" t="s">
        <v>313</v>
      </c>
      <c r="AA25" s="135">
        <v>1.0</v>
      </c>
    </row>
    <row r="26" ht="15.75" customHeight="1">
      <c r="A26" s="22"/>
      <c r="B26" s="22"/>
      <c r="C26" s="22"/>
      <c r="D26" s="22"/>
      <c r="E26" s="22"/>
      <c r="F26" s="22"/>
      <c r="G26" s="223"/>
      <c r="H26" s="223"/>
      <c r="I26" s="223"/>
      <c r="J26" s="224"/>
      <c r="K26" s="224"/>
      <c r="L26" s="224"/>
      <c r="M26" s="90" t="s">
        <v>300</v>
      </c>
      <c r="N26" s="90" t="s">
        <v>237</v>
      </c>
      <c r="O26" s="90" t="s">
        <v>25</v>
      </c>
      <c r="P26" s="266" t="s">
        <v>282</v>
      </c>
      <c r="Q26" s="266" t="s">
        <v>37</v>
      </c>
      <c r="R26" s="266" t="s">
        <v>25</v>
      </c>
      <c r="S26" s="90" t="s">
        <v>298</v>
      </c>
      <c r="T26" s="247" t="s">
        <v>299</v>
      </c>
      <c r="U26" s="90" t="s">
        <v>25</v>
      </c>
      <c r="W26" s="259">
        <v>13.0</v>
      </c>
      <c r="X26" s="257" t="s">
        <v>283</v>
      </c>
      <c r="Y26" s="251">
        <f t="shared" si="1"/>
        <v>4</v>
      </c>
      <c r="Z26" s="134" t="s">
        <v>307</v>
      </c>
      <c r="AA26" s="135">
        <v>1.0</v>
      </c>
    </row>
    <row r="27" ht="15.75" customHeight="1">
      <c r="A27" s="22"/>
      <c r="B27" s="22"/>
      <c r="C27" s="22"/>
      <c r="D27" s="89"/>
      <c r="E27" s="89"/>
      <c r="F27" s="89"/>
      <c r="G27" s="223"/>
      <c r="H27" s="223"/>
      <c r="I27" s="223"/>
      <c r="J27" s="22"/>
      <c r="K27" s="22"/>
      <c r="L27" s="22"/>
      <c r="W27" s="259">
        <v>14.0</v>
      </c>
      <c r="X27" s="90" t="s">
        <v>288</v>
      </c>
      <c r="Y27" s="251">
        <f t="shared" si="1"/>
        <v>4</v>
      </c>
      <c r="Z27" s="28" t="s">
        <v>305</v>
      </c>
      <c r="AA27" s="135">
        <v>2.0</v>
      </c>
    </row>
    <row r="28" ht="15.75" customHeight="1">
      <c r="A28" s="22"/>
      <c r="B28" s="22"/>
      <c r="C28" s="22"/>
      <c r="D28" s="89"/>
      <c r="E28" s="89"/>
      <c r="F28" s="89"/>
      <c r="G28" s="89"/>
      <c r="H28" s="223"/>
      <c r="I28" s="223"/>
      <c r="J28" s="90"/>
      <c r="K28" s="90"/>
      <c r="L28" s="90"/>
      <c r="M28" s="90"/>
      <c r="N28" s="90"/>
      <c r="O28" s="90"/>
      <c r="W28" s="259">
        <v>15.0</v>
      </c>
      <c r="X28" s="90" t="s">
        <v>311</v>
      </c>
      <c r="Y28" s="251">
        <f t="shared" si="1"/>
        <v>2</v>
      </c>
      <c r="Z28" s="134" t="s">
        <v>283</v>
      </c>
      <c r="AA28" s="135">
        <v>4.0</v>
      </c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74</v>
      </c>
      <c r="N29" s="11"/>
      <c r="O29" s="12"/>
      <c r="P29" s="78" t="s">
        <v>75</v>
      </c>
      <c r="Q29" s="11"/>
      <c r="R29" s="12"/>
      <c r="S29" s="79" t="s">
        <v>13</v>
      </c>
      <c r="T29" s="11"/>
      <c r="U29" s="12"/>
      <c r="W29" s="259">
        <v>16.0</v>
      </c>
      <c r="X29" s="267" t="s">
        <v>294</v>
      </c>
      <c r="Y29" s="251">
        <f t="shared" si="1"/>
        <v>2</v>
      </c>
      <c r="Z29" s="28" t="s">
        <v>288</v>
      </c>
      <c r="AA29" s="135">
        <v>4.0</v>
      </c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82">
        <f>M30+1</f>
        <v>46193</v>
      </c>
      <c r="Q30" s="11"/>
      <c r="R30" s="12"/>
      <c r="S30" s="83">
        <f>P30+1</f>
        <v>46194</v>
      </c>
      <c r="T30" s="11"/>
      <c r="U30" s="12"/>
      <c r="W30" s="259">
        <v>17.0</v>
      </c>
      <c r="X30" s="90" t="s">
        <v>290</v>
      </c>
      <c r="Y30" s="251">
        <f t="shared" si="1"/>
        <v>2</v>
      </c>
      <c r="Z30" s="28" t="s">
        <v>311</v>
      </c>
      <c r="AA30" s="135">
        <v>2.0</v>
      </c>
    </row>
    <row r="31" ht="15.75" customHeight="1">
      <c r="A31" s="268"/>
      <c r="B31" s="268"/>
      <c r="C31" s="90"/>
      <c r="D31" s="89"/>
      <c r="E31" s="89"/>
      <c r="F31" s="89"/>
      <c r="G31" s="223"/>
      <c r="H31" s="223"/>
      <c r="I31" s="223"/>
      <c r="J31" s="224"/>
      <c r="K31" s="224"/>
      <c r="L31" s="224"/>
      <c r="M31" s="223"/>
      <c r="N31" s="223"/>
      <c r="O31" s="223"/>
      <c r="P31" s="256"/>
      <c r="Q31" s="256"/>
      <c r="R31" s="256"/>
      <c r="S31" s="22"/>
      <c r="T31" s="22"/>
      <c r="U31" s="22"/>
      <c r="W31" s="259">
        <v>18.0</v>
      </c>
      <c r="X31" s="262" t="s">
        <v>284</v>
      </c>
      <c r="Y31" s="251">
        <f t="shared" si="1"/>
        <v>4</v>
      </c>
      <c r="Z31" s="248" t="s">
        <v>294</v>
      </c>
      <c r="AA31" s="135">
        <v>2.0</v>
      </c>
    </row>
    <row r="32" ht="15.75" customHeight="1">
      <c r="A32" s="91" t="s">
        <v>287</v>
      </c>
      <c r="B32" s="91" t="s">
        <v>92</v>
      </c>
      <c r="C32" s="91" t="s">
        <v>35</v>
      </c>
      <c r="D32" s="89"/>
      <c r="E32" s="89"/>
      <c r="F32" s="89"/>
      <c r="G32" s="223"/>
      <c r="H32" s="223"/>
      <c r="I32" s="223"/>
      <c r="J32" s="90" t="s">
        <v>288</v>
      </c>
      <c r="K32" s="90" t="s">
        <v>253</v>
      </c>
      <c r="L32" s="90" t="s">
        <v>35</v>
      </c>
      <c r="M32" s="90" t="s">
        <v>284</v>
      </c>
      <c r="N32" s="90" t="s">
        <v>49</v>
      </c>
      <c r="O32" s="19" t="s">
        <v>25</v>
      </c>
      <c r="P32" s="90" t="s">
        <v>285</v>
      </c>
      <c r="Q32" s="90" t="s">
        <v>49</v>
      </c>
      <c r="R32" s="90" t="s">
        <v>35</v>
      </c>
      <c r="S32" s="256" t="s">
        <v>282</v>
      </c>
      <c r="T32" s="256" t="s">
        <v>52</v>
      </c>
      <c r="U32" s="256" t="s">
        <v>25</v>
      </c>
      <c r="W32" s="259">
        <v>19.0</v>
      </c>
      <c r="X32" s="262" t="s">
        <v>304</v>
      </c>
      <c r="Y32" s="251">
        <f t="shared" si="1"/>
        <v>1</v>
      </c>
      <c r="Z32" s="134" t="s">
        <v>284</v>
      </c>
      <c r="AA32" s="135">
        <v>4.0</v>
      </c>
    </row>
    <row r="33" ht="15.75" customHeight="1">
      <c r="A33" s="89" t="s">
        <v>293</v>
      </c>
      <c r="B33" s="89" t="s">
        <v>205</v>
      </c>
      <c r="C33" s="89" t="s">
        <v>35</v>
      </c>
      <c r="D33" s="226" t="s">
        <v>14</v>
      </c>
      <c r="E33" s="11"/>
      <c r="F33" s="12"/>
      <c r="G33" s="226" t="s">
        <v>14</v>
      </c>
      <c r="H33" s="11"/>
      <c r="I33" s="12"/>
      <c r="J33" s="90" t="s">
        <v>283</v>
      </c>
      <c r="K33" s="90" t="s">
        <v>95</v>
      </c>
      <c r="L33" s="90" t="s">
        <v>35</v>
      </c>
      <c r="M33" s="155" t="s">
        <v>290</v>
      </c>
      <c r="N33" s="155" t="s">
        <v>92</v>
      </c>
      <c r="O33" s="155" t="s">
        <v>35</v>
      </c>
      <c r="P33" s="89" t="s">
        <v>291</v>
      </c>
      <c r="Q33" s="89" t="s">
        <v>92</v>
      </c>
      <c r="R33" s="89" t="s">
        <v>25</v>
      </c>
      <c r="S33" s="89" t="s">
        <v>292</v>
      </c>
      <c r="T33" s="89" t="s">
        <v>28</v>
      </c>
      <c r="U33" s="89" t="s">
        <v>35</v>
      </c>
      <c r="W33" s="259">
        <v>20.0</v>
      </c>
      <c r="X33" s="184" t="s">
        <v>308</v>
      </c>
      <c r="Y33" s="251">
        <f t="shared" si="1"/>
        <v>2</v>
      </c>
      <c r="Z33" s="134" t="s">
        <v>304</v>
      </c>
      <c r="AA33" s="207">
        <v>1.0</v>
      </c>
    </row>
    <row r="34" ht="15.75" customHeight="1">
      <c r="A34" s="89" t="s">
        <v>296</v>
      </c>
      <c r="B34" s="89" t="s">
        <v>297</v>
      </c>
      <c r="C34" s="89" t="s">
        <v>25</v>
      </c>
      <c r="D34" s="22"/>
      <c r="E34" s="22"/>
      <c r="F34" s="22"/>
      <c r="G34" s="223"/>
      <c r="H34" s="223"/>
      <c r="I34" s="223"/>
      <c r="J34" s="22"/>
      <c r="K34" s="22"/>
      <c r="L34" s="22"/>
      <c r="P34" s="263" t="s">
        <v>294</v>
      </c>
      <c r="Q34" s="263" t="s">
        <v>90</v>
      </c>
      <c r="R34" s="109" t="s">
        <v>29</v>
      </c>
      <c r="S34" s="264" t="s">
        <v>295</v>
      </c>
      <c r="T34" s="225" t="s">
        <v>111</v>
      </c>
      <c r="U34" s="225" t="s">
        <v>25</v>
      </c>
      <c r="W34" s="259">
        <v>21.0</v>
      </c>
      <c r="X34" s="262" t="s">
        <v>296</v>
      </c>
      <c r="Y34" s="251">
        <f t="shared" si="1"/>
        <v>4</v>
      </c>
      <c r="Z34" s="134" t="s">
        <v>308</v>
      </c>
      <c r="AA34" s="135">
        <v>2.0</v>
      </c>
    </row>
    <row r="35" ht="15.75" customHeight="1">
      <c r="D35" s="89"/>
      <c r="E35" s="89"/>
      <c r="F35" s="89"/>
      <c r="G35" s="223"/>
      <c r="H35" s="223"/>
      <c r="I35" s="223"/>
      <c r="J35" s="90"/>
      <c r="K35" s="90"/>
      <c r="L35" s="90"/>
      <c r="P35" s="90"/>
      <c r="Q35" s="90"/>
      <c r="R35" s="90"/>
      <c r="S35" s="90" t="s">
        <v>298</v>
      </c>
      <c r="T35" s="247" t="s">
        <v>299</v>
      </c>
      <c r="U35" s="90" t="s">
        <v>25</v>
      </c>
      <c r="W35" s="259">
        <v>22.0</v>
      </c>
      <c r="X35" s="262" t="s">
        <v>298</v>
      </c>
      <c r="Y35" s="251">
        <f t="shared" si="1"/>
        <v>4</v>
      </c>
      <c r="Z35" s="134" t="s">
        <v>296</v>
      </c>
      <c r="AA35" s="135">
        <v>4.0</v>
      </c>
    </row>
    <row r="36" ht="15.75" customHeight="1">
      <c r="A36" s="89"/>
      <c r="B36" s="30"/>
      <c r="C36" s="89"/>
      <c r="D36" s="89"/>
      <c r="E36" s="89" t="s">
        <v>123</v>
      </c>
      <c r="F36" s="89"/>
      <c r="G36" s="223"/>
      <c r="H36" s="223"/>
      <c r="I36" s="223"/>
      <c r="J36" s="224"/>
      <c r="K36" s="224"/>
      <c r="L36" s="224"/>
      <c r="M36" s="89"/>
      <c r="N36" s="89"/>
      <c r="O36" s="19"/>
      <c r="W36" s="259">
        <v>23.0</v>
      </c>
      <c r="X36" s="262" t="s">
        <v>295</v>
      </c>
      <c r="Y36" s="251">
        <f t="shared" si="1"/>
        <v>4</v>
      </c>
      <c r="Z36" s="134" t="s">
        <v>298</v>
      </c>
      <c r="AA36" s="135">
        <v>4.0</v>
      </c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5" t="s">
        <v>99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  <c r="W37" s="259">
        <v>24.0</v>
      </c>
      <c r="X37" s="262" t="s">
        <v>292</v>
      </c>
      <c r="Y37" s="251">
        <f t="shared" si="1"/>
        <v>2</v>
      </c>
      <c r="Z37" s="134" t="s">
        <v>295</v>
      </c>
      <c r="AA37" s="207">
        <v>4.0</v>
      </c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8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  <c r="W38" s="259">
        <v>25.0</v>
      </c>
      <c r="Y38" s="251"/>
      <c r="Z38" s="134" t="s">
        <v>292</v>
      </c>
      <c r="AA38" s="135">
        <v>2.0</v>
      </c>
    </row>
    <row r="39" ht="15.75" customHeight="1">
      <c r="A39" s="89"/>
      <c r="B39" s="30"/>
      <c r="C39" s="89"/>
      <c r="D39" s="89"/>
      <c r="E39" s="90"/>
      <c r="F39" s="89"/>
      <c r="G39" s="76"/>
      <c r="H39" s="93"/>
      <c r="I39" s="93"/>
      <c r="J39" s="224"/>
      <c r="K39" s="224"/>
      <c r="L39" s="224"/>
      <c r="M39" s="90"/>
      <c r="N39" s="90"/>
      <c r="O39" s="90"/>
      <c r="P39" s="256"/>
      <c r="Q39" s="256"/>
      <c r="R39" s="256"/>
      <c r="S39" s="76"/>
      <c r="T39" s="93"/>
      <c r="U39" s="93"/>
      <c r="W39" s="259">
        <v>26.0</v>
      </c>
      <c r="Y39" s="251"/>
    </row>
    <row r="40" ht="15.75" customHeight="1">
      <c r="A40" s="22"/>
      <c r="B40" s="22"/>
      <c r="C40" s="22"/>
      <c r="D40" s="90"/>
      <c r="E40" s="90"/>
      <c r="F40" s="90"/>
      <c r="G40" s="76"/>
      <c r="H40" s="93"/>
      <c r="I40" s="93"/>
      <c r="J40" s="89"/>
      <c r="K40" s="89"/>
      <c r="L40" s="89"/>
      <c r="M40" s="224"/>
      <c r="N40" s="224"/>
      <c r="O40" s="224"/>
      <c r="P40" s="256"/>
      <c r="Q40" s="256"/>
      <c r="R40" s="256"/>
      <c r="W40" s="259">
        <v>27.0</v>
      </c>
      <c r="X40" s="269" t="s">
        <v>314</v>
      </c>
      <c r="Y40" s="251">
        <f>countif($A$5:$U$52,#REF!)</f>
        <v>0</v>
      </c>
    </row>
    <row r="41" ht="15.75" customHeight="1">
      <c r="A41" s="19" t="s">
        <v>301</v>
      </c>
      <c r="B41" s="19" t="s">
        <v>28</v>
      </c>
      <c r="C41" s="19" t="s">
        <v>29</v>
      </c>
      <c r="D41" s="89" t="s">
        <v>296</v>
      </c>
      <c r="E41" s="89" t="s">
        <v>303</v>
      </c>
      <c r="F41" s="89" t="s">
        <v>25</v>
      </c>
      <c r="G41" s="226" t="s">
        <v>14</v>
      </c>
      <c r="H41" s="11"/>
      <c r="I41" s="12"/>
      <c r="J41" s="90" t="s">
        <v>288</v>
      </c>
      <c r="K41" s="90" t="s">
        <v>253</v>
      </c>
      <c r="L41" s="90" t="s">
        <v>35</v>
      </c>
      <c r="M41" s="90" t="s">
        <v>284</v>
      </c>
      <c r="N41" s="90" t="s">
        <v>92</v>
      </c>
      <c r="O41" s="90" t="s">
        <v>35</v>
      </c>
      <c r="P41" s="90" t="s">
        <v>285</v>
      </c>
      <c r="Q41" s="90" t="s">
        <v>49</v>
      </c>
      <c r="R41" s="90" t="s">
        <v>35</v>
      </c>
      <c r="S41" s="90" t="s">
        <v>312</v>
      </c>
      <c r="T41" s="90" t="s">
        <v>206</v>
      </c>
      <c r="U41" s="90" t="s">
        <v>306</v>
      </c>
      <c r="W41" s="259">
        <v>28.0</v>
      </c>
      <c r="X41" s="270"/>
      <c r="Y41" s="251">
        <f>countif($A$5:$U$52,X41)</f>
        <v>0</v>
      </c>
    </row>
    <row r="42" ht="15.75" customHeight="1">
      <c r="A42" s="90" t="s">
        <v>308</v>
      </c>
      <c r="B42" s="90" t="s">
        <v>309</v>
      </c>
      <c r="C42" s="90" t="s">
        <v>25</v>
      </c>
      <c r="D42" s="89" t="s">
        <v>302</v>
      </c>
      <c r="E42" s="89" t="s">
        <v>315</v>
      </c>
      <c r="F42" s="89" t="s">
        <v>29</v>
      </c>
      <c r="G42" s="76"/>
      <c r="H42" s="93"/>
      <c r="I42" s="93"/>
      <c r="J42" s="90" t="s">
        <v>283</v>
      </c>
      <c r="K42" s="90" t="s">
        <v>95</v>
      </c>
      <c r="L42" s="90" t="s">
        <v>35</v>
      </c>
      <c r="M42" s="91" t="s">
        <v>300</v>
      </c>
      <c r="N42" s="91" t="s">
        <v>237</v>
      </c>
      <c r="O42" s="91" t="s">
        <v>25</v>
      </c>
      <c r="P42" s="90" t="s">
        <v>311</v>
      </c>
      <c r="Q42" s="90" t="s">
        <v>114</v>
      </c>
      <c r="R42" s="90" t="s">
        <v>29</v>
      </c>
      <c r="S42" s="264" t="s">
        <v>295</v>
      </c>
      <c r="T42" s="225" t="s">
        <v>111</v>
      </c>
      <c r="U42" s="225" t="s">
        <v>25</v>
      </c>
    </row>
    <row r="43" ht="15.75" customHeight="1">
      <c r="D43" s="90"/>
      <c r="E43" s="90"/>
      <c r="F43" s="90"/>
      <c r="G43" s="76"/>
      <c r="H43" s="93"/>
      <c r="I43" s="93"/>
      <c r="J43" s="224"/>
      <c r="K43" s="224"/>
      <c r="L43" s="224"/>
      <c r="M43" s="90"/>
      <c r="N43" s="90"/>
      <c r="O43" s="90"/>
      <c r="P43" s="266" t="s">
        <v>282</v>
      </c>
      <c r="Q43" s="266" t="s">
        <v>37</v>
      </c>
      <c r="R43" s="266" t="s">
        <v>25</v>
      </c>
      <c r="S43" s="90" t="s">
        <v>298</v>
      </c>
      <c r="T43" s="247" t="s">
        <v>299</v>
      </c>
      <c r="U43" s="90" t="s">
        <v>25</v>
      </c>
      <c r="W43" s="271"/>
      <c r="Y43" s="271">
        <f>SUM(Y14:Y42)</f>
        <v>56</v>
      </c>
    </row>
    <row r="44" ht="15.75" customHeight="1">
      <c r="A44" s="22"/>
      <c r="B44" s="22"/>
      <c r="C44" s="22"/>
      <c r="D44" s="76"/>
      <c r="E44" s="93"/>
      <c r="F44" s="93"/>
      <c r="G44" s="76"/>
      <c r="H44" s="93"/>
      <c r="I44" s="93"/>
      <c r="J44" s="224"/>
      <c r="K44" s="224"/>
      <c r="L44" s="224"/>
      <c r="M44" s="90"/>
      <c r="N44" s="90"/>
      <c r="O44" s="90"/>
      <c r="P44" s="256"/>
      <c r="Q44" s="256"/>
      <c r="R44" s="256"/>
      <c r="S44" s="93"/>
      <c r="T44" s="93"/>
      <c r="U44" s="93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74</v>
      </c>
      <c r="N45" s="11"/>
      <c r="O45" s="12"/>
      <c r="P45" s="78" t="s">
        <v>75</v>
      </c>
      <c r="Q45" s="11"/>
      <c r="R45" s="12"/>
      <c r="S45" s="79" t="s">
        <v>13</v>
      </c>
      <c r="T45" s="11"/>
      <c r="U45" s="12"/>
    </row>
    <row r="46" ht="15.75" customHeight="1">
      <c r="A46" s="82">
        <f>S38+1</f>
        <v>46202</v>
      </c>
      <c r="B46" s="11"/>
      <c r="C46" s="12"/>
      <c r="D46" s="82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82"/>
      <c r="Q46" s="11"/>
      <c r="R46" s="12"/>
      <c r="S46" s="83"/>
      <c r="T46" s="11"/>
      <c r="U46" s="12"/>
      <c r="W46" s="271"/>
      <c r="Y46" s="271"/>
    </row>
    <row r="47" ht="15.75" customHeight="1">
      <c r="A47" s="89"/>
      <c r="B47" s="89"/>
      <c r="C47" s="89"/>
      <c r="D47" s="89"/>
      <c r="E47" s="89"/>
      <c r="F47" s="89"/>
      <c r="G47" s="76"/>
      <c r="H47" s="93"/>
      <c r="I47" s="93"/>
      <c r="J47" s="89"/>
      <c r="K47" s="89"/>
      <c r="L47" s="89"/>
      <c r="M47" s="90"/>
      <c r="N47" s="90"/>
      <c r="O47" s="90"/>
      <c r="P47" s="22"/>
      <c r="Q47" s="22"/>
      <c r="R47" s="22"/>
      <c r="S47" s="22"/>
      <c r="T47" s="22"/>
      <c r="U47" s="22"/>
    </row>
    <row r="48" ht="15.75" customHeight="1">
      <c r="A48" s="89"/>
      <c r="B48" s="89"/>
      <c r="C48" s="89"/>
      <c r="D48" s="89"/>
      <c r="E48" s="89"/>
      <c r="F48" s="89"/>
      <c r="G48" s="76"/>
      <c r="H48" s="93"/>
      <c r="I48" s="93"/>
      <c r="J48" s="76"/>
      <c r="K48" s="93"/>
      <c r="L48" s="93"/>
      <c r="M48" s="89"/>
      <c r="N48" s="89"/>
      <c r="O48" s="89"/>
      <c r="P48" s="22"/>
      <c r="Q48" s="22"/>
      <c r="R48" s="22"/>
      <c r="S48" s="22"/>
      <c r="T48" s="22"/>
      <c r="U48" s="22"/>
    </row>
    <row r="49" ht="15.75" customHeight="1">
      <c r="A49" s="89"/>
      <c r="B49" s="89"/>
      <c r="C49" s="89"/>
      <c r="D49" s="89"/>
      <c r="E49" s="89"/>
      <c r="F49" s="89"/>
      <c r="G49" s="76"/>
      <c r="H49" s="93"/>
      <c r="I49" s="93"/>
      <c r="J49" s="76"/>
      <c r="K49" s="93"/>
      <c r="L49" s="93"/>
      <c r="M49" s="90"/>
      <c r="N49" s="90"/>
      <c r="O49" s="90"/>
      <c r="P49" s="22"/>
      <c r="Q49" s="22"/>
      <c r="R49" s="22"/>
      <c r="S49" s="22"/>
      <c r="T49" s="22"/>
      <c r="U49" s="22"/>
      <c r="W49" s="271"/>
      <c r="Y49" s="271"/>
    </row>
    <row r="50" ht="15.75" customHeight="1">
      <c r="A50" s="91"/>
      <c r="B50" s="91"/>
      <c r="C50" s="91"/>
      <c r="D50" s="223"/>
      <c r="E50" s="223"/>
      <c r="F50" s="223"/>
      <c r="G50" s="76"/>
      <c r="H50" s="93"/>
      <c r="I50" s="93"/>
      <c r="J50" s="89"/>
      <c r="K50" s="89"/>
      <c r="L50" s="89"/>
      <c r="M50" s="90"/>
      <c r="N50" s="90"/>
      <c r="O50" s="90"/>
      <c r="P50" s="22"/>
      <c r="Q50" s="22"/>
      <c r="R50" s="22"/>
      <c r="S50" s="22"/>
      <c r="T50" s="22"/>
      <c r="U50" s="22"/>
    </row>
    <row r="51" ht="15.75" customHeight="1">
      <c r="A51" s="89"/>
      <c r="B51" s="89"/>
      <c r="C51" s="89"/>
      <c r="D51" s="223"/>
      <c r="E51" s="223"/>
      <c r="F51" s="223"/>
      <c r="G51" s="76"/>
      <c r="H51" s="93"/>
      <c r="I51" s="93"/>
      <c r="J51" s="76"/>
      <c r="K51" s="93"/>
      <c r="L51" s="93"/>
      <c r="M51" s="30"/>
      <c r="N51" s="30"/>
      <c r="O51" s="30"/>
      <c r="P51" s="22"/>
      <c r="Q51" s="22"/>
      <c r="R51" s="22"/>
      <c r="S51" s="22"/>
      <c r="T51" s="22"/>
      <c r="U51" s="22"/>
      <c r="W51" s="271"/>
      <c r="Y51" s="271"/>
    </row>
    <row r="52" ht="15.75" customHeight="1">
      <c r="A52" s="89"/>
      <c r="B52" s="89"/>
      <c r="C52" s="89"/>
      <c r="D52" s="223"/>
      <c r="E52" s="223"/>
      <c r="F52" s="223"/>
      <c r="G52" s="93"/>
      <c r="H52" s="93"/>
      <c r="I52" s="93"/>
      <c r="J52" s="93"/>
      <c r="K52" s="93"/>
      <c r="L52" s="93"/>
      <c r="M52" s="19"/>
      <c r="N52" s="19"/>
      <c r="O52" s="19"/>
      <c r="P52" s="22"/>
      <c r="Q52" s="22"/>
      <c r="R52" s="22"/>
      <c r="S52" s="22"/>
      <c r="T52" s="22"/>
      <c r="U52" s="22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  <c r="W57" s="271"/>
      <c r="Y57" s="271"/>
    </row>
    <row r="58" ht="15.75" customHeight="1">
      <c r="A58" s="61"/>
      <c r="B58" s="57" t="s">
        <v>67</v>
      </c>
      <c r="C58" s="58"/>
    </row>
    <row r="59" ht="15.75" customHeight="1">
      <c r="A59" s="62"/>
      <c r="B59" s="57" t="s">
        <v>68</v>
      </c>
      <c r="C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271"/>
      <c r="Y67" s="27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271"/>
      <c r="Y73" s="271"/>
    </row>
    <row r="74" ht="15.75" customHeight="1"/>
    <row r="75" ht="15.75" customHeight="1">
      <c r="W75" s="271"/>
      <c r="Y75" s="271"/>
    </row>
    <row r="76" ht="15.75" customHeight="1"/>
    <row r="77" ht="15.75" customHeight="1"/>
    <row r="78" ht="15.75" customHeight="1"/>
    <row r="79" ht="15.75" customHeight="1">
      <c r="W79" s="271"/>
      <c r="Y79" s="271"/>
    </row>
    <row r="80" ht="15.75" customHeight="1"/>
    <row r="81" ht="15.75" customHeight="1"/>
    <row r="82" ht="15.75" customHeight="1"/>
    <row r="83" ht="15.75" customHeight="1">
      <c r="W83" s="271"/>
      <c r="Y83" s="271"/>
    </row>
    <row r="84" ht="15.75" customHeight="1"/>
    <row r="85" ht="15.75" customHeight="1">
      <c r="W85" s="271"/>
      <c r="Y85" s="271"/>
    </row>
    <row r="86" ht="15.75" customHeight="1">
      <c r="W86" s="271"/>
      <c r="Y86" s="271"/>
    </row>
    <row r="87" ht="15.75" customHeight="1">
      <c r="W87" s="271"/>
      <c r="Y87" s="27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0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21:R21"/>
    <mergeCell ref="S21:U21"/>
    <mergeCell ref="A38:C38"/>
    <mergeCell ref="D38:F38"/>
    <mergeCell ref="G38:I38"/>
    <mergeCell ref="J38:L38"/>
    <mergeCell ref="M38:O38"/>
    <mergeCell ref="P38:R38"/>
    <mergeCell ref="S38:U38"/>
    <mergeCell ref="A37:C37"/>
    <mergeCell ref="D45:F45"/>
    <mergeCell ref="G45:I45"/>
    <mergeCell ref="J45:L45"/>
    <mergeCell ref="M45:O45"/>
    <mergeCell ref="P45:R45"/>
    <mergeCell ref="S45:U45"/>
    <mergeCell ref="A22:C22"/>
    <mergeCell ref="D22:F22"/>
    <mergeCell ref="G22:I22"/>
    <mergeCell ref="J22:L22"/>
    <mergeCell ref="M22:O22"/>
    <mergeCell ref="P22:R22"/>
    <mergeCell ref="S22:U22"/>
    <mergeCell ref="D17:F17"/>
    <mergeCell ref="G17:I17"/>
    <mergeCell ref="D21:F21"/>
    <mergeCell ref="G21:I21"/>
    <mergeCell ref="J21:L21"/>
    <mergeCell ref="M21:O21"/>
    <mergeCell ref="G25:I25"/>
    <mergeCell ref="A21:C21"/>
    <mergeCell ref="D29:F29"/>
    <mergeCell ref="G29:I29"/>
    <mergeCell ref="J29:L29"/>
    <mergeCell ref="M29:O29"/>
    <mergeCell ref="P29:R29"/>
    <mergeCell ref="S29:U29"/>
    <mergeCell ref="A29:C29"/>
    <mergeCell ref="A30:C30"/>
    <mergeCell ref="G30:I30"/>
    <mergeCell ref="J30:L30"/>
    <mergeCell ref="M30:O30"/>
    <mergeCell ref="P30:R30"/>
    <mergeCell ref="S30:U30"/>
    <mergeCell ref="M37:O37"/>
    <mergeCell ref="P37:R37"/>
    <mergeCell ref="S37:U37"/>
    <mergeCell ref="D30:F30"/>
    <mergeCell ref="D33:F33"/>
    <mergeCell ref="G33:I33"/>
    <mergeCell ref="D37:F37"/>
    <mergeCell ref="G37:I37"/>
    <mergeCell ref="J37:L37"/>
    <mergeCell ref="G41:I41"/>
    <mergeCell ref="B55:D55"/>
    <mergeCell ref="A45:C45"/>
    <mergeCell ref="A46:C46"/>
    <mergeCell ref="D46:F46"/>
    <mergeCell ref="G46:I46"/>
    <mergeCell ref="J46:L46"/>
    <mergeCell ref="M46:O46"/>
    <mergeCell ref="P46:R46"/>
    <mergeCell ref="S46:U46"/>
  </mergeCells>
  <hyperlinks>
    <hyperlink r:id="rId1" ref="S18"/>
    <hyperlink r:id="rId2" ref="S25"/>
    <hyperlink r:id="rId3" ref="S34"/>
    <hyperlink r:id="rId4" ref="S42"/>
  </hyperlinks>
  <printOptions horizontalCentered="1" verticalCentered="1"/>
  <pageMargins bottom="0.0" footer="0.0" header="0.0" left="0.0" right="0.0" top="0.0"/>
  <pageSetup paperSize="9"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8.86"/>
    <col customWidth="1" min="5" max="5" width="11.71"/>
    <col customWidth="1" min="6" max="6" width="6.14"/>
    <col customWidth="1" min="7" max="7" width="18.43"/>
    <col customWidth="1" min="8" max="8" width="11.43"/>
    <col customWidth="1" min="9" max="9" width="8.57"/>
    <col customWidth="1" min="10" max="10" width="18.86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6.71"/>
    <col customWidth="1" min="17" max="17" width="11.43"/>
    <col customWidth="1" min="18" max="18" width="7.43"/>
    <col customWidth="1" min="19" max="19" width="10.43"/>
    <col customWidth="1" min="20" max="20" width="11.57"/>
    <col customWidth="1" min="21" max="21" width="5.57"/>
    <col customWidth="1" min="22" max="22" width="8.71"/>
    <col customWidth="1" min="23" max="23" width="5.57"/>
    <col customWidth="1" min="24" max="24" width="18.86"/>
    <col customWidth="1" min="25" max="25" width="15.14"/>
    <col customWidth="1" min="26" max="26" width="8.71"/>
  </cols>
  <sheetData>
    <row r="1" ht="15.75" customHeight="1">
      <c r="A1" s="6" t="s">
        <v>69</v>
      </c>
      <c r="C1" s="254" t="s">
        <v>316</v>
      </c>
      <c r="F1" s="3"/>
      <c r="G1" s="4" t="s">
        <v>2</v>
      </c>
      <c r="Q1" s="3"/>
    </row>
    <row r="2" ht="15.75" customHeight="1">
      <c r="A2" s="6" t="s">
        <v>3</v>
      </c>
      <c r="C2" s="7" t="s">
        <v>280</v>
      </c>
      <c r="F2" s="3"/>
      <c r="Q2" s="3"/>
    </row>
    <row r="3" ht="15.75" customHeight="1">
      <c r="A3" s="6" t="s">
        <v>5</v>
      </c>
      <c r="C3" s="255"/>
      <c r="F3" s="3"/>
      <c r="Q3" s="3"/>
    </row>
    <row r="4" ht="15.75" customHeight="1">
      <c r="A4" s="6" t="s">
        <v>6</v>
      </c>
      <c r="C4" s="8"/>
      <c r="E4" s="3"/>
      <c r="F4" s="3"/>
      <c r="G4" s="3"/>
      <c r="H4" s="3"/>
      <c r="I4" s="3"/>
      <c r="J4" s="3"/>
      <c r="K4" s="3"/>
      <c r="L4" s="3"/>
      <c r="M4" s="3"/>
      <c r="N4" s="3"/>
      <c r="O4" s="127"/>
      <c r="P4" s="128"/>
      <c r="Q4" s="272"/>
    </row>
    <row r="5" ht="15.75" customHeight="1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</row>
    <row r="6" ht="15.75" customHeight="1">
      <c r="A6" s="273"/>
      <c r="B6" s="11"/>
      <c r="C6" s="12"/>
      <c r="D6" s="273"/>
      <c r="E6" s="11"/>
      <c r="F6" s="12"/>
      <c r="G6" s="273"/>
      <c r="H6" s="11"/>
      <c r="I6" s="12"/>
      <c r="J6" s="273"/>
      <c r="K6" s="11"/>
      <c r="L6" s="12"/>
      <c r="M6" s="16">
        <v>46143.0</v>
      </c>
      <c r="N6" s="11"/>
      <c r="O6" s="12"/>
      <c r="P6" s="15">
        <f>M6+1</f>
        <v>46144</v>
      </c>
      <c r="Q6" s="11"/>
      <c r="R6" s="12"/>
      <c r="S6" s="16">
        <f>P6+1</f>
        <v>46145</v>
      </c>
      <c r="T6" s="11"/>
      <c r="U6" s="12"/>
      <c r="V6" s="69">
        <f>COUNTA(#REF!,M24:M26,P31:P36,#REF!,D16:D19,D7:D12,#REF!,P7:P12,A24:A28,#REF!,#REF!,#REF!,M13:M14,P23:P28,D24:D28,G16:G20,J16:J25,#REF!,#REF!,A32:A36,D32:D35,G23:G28,J25:J28,#REF!)</f>
        <v>43</v>
      </c>
    </row>
    <row r="7" ht="15.75" customHeight="1">
      <c r="A7" s="90"/>
      <c r="B7" s="90"/>
      <c r="C7" s="90"/>
      <c r="D7" s="19"/>
      <c r="E7" s="209"/>
      <c r="F7" s="19"/>
      <c r="G7" s="22"/>
      <c r="H7" s="22"/>
      <c r="I7" s="22"/>
      <c r="J7" s="89"/>
      <c r="K7" s="89"/>
      <c r="L7" s="89"/>
      <c r="M7" s="89"/>
      <c r="N7" s="89"/>
      <c r="O7" s="89"/>
      <c r="P7" s="19"/>
      <c r="Q7" s="209"/>
      <c r="R7" s="19"/>
      <c r="S7" s="223"/>
      <c r="T7" s="223"/>
      <c r="U7" s="223"/>
    </row>
    <row r="8" ht="15.75" customHeight="1">
      <c r="A8" s="90"/>
      <c r="B8" s="90"/>
      <c r="C8" s="90"/>
      <c r="D8" s="19"/>
      <c r="E8" s="209"/>
      <c r="F8" s="19"/>
      <c r="G8" s="274"/>
      <c r="H8" s="274"/>
      <c r="I8" s="274"/>
      <c r="J8" s="89"/>
      <c r="K8" s="89"/>
      <c r="L8" s="89"/>
      <c r="M8" s="89"/>
      <c r="N8" s="89"/>
      <c r="O8" s="89"/>
      <c r="P8" s="275"/>
      <c r="Q8" s="275"/>
      <c r="R8" s="275"/>
      <c r="S8" s="223"/>
      <c r="T8" s="223"/>
      <c r="U8" s="223"/>
    </row>
    <row r="9" ht="15.75" customHeight="1">
      <c r="A9" s="90"/>
      <c r="B9" s="90"/>
      <c r="C9" s="90"/>
      <c r="D9" s="89"/>
      <c r="E9" s="89"/>
      <c r="F9" s="89"/>
      <c r="G9" s="90"/>
      <c r="H9" s="90"/>
      <c r="I9" s="90"/>
      <c r="J9" s="89"/>
      <c r="K9" s="89"/>
      <c r="L9" s="89"/>
      <c r="M9" s="89"/>
      <c r="N9" s="89"/>
      <c r="O9" s="89"/>
      <c r="P9" s="275"/>
      <c r="Q9" s="275"/>
      <c r="R9" s="275"/>
      <c r="S9" s="226" t="s">
        <v>14</v>
      </c>
      <c r="T9" s="11"/>
      <c r="U9" s="12"/>
    </row>
    <row r="10" ht="15.75" customHeight="1">
      <c r="A10" s="90"/>
      <c r="B10" s="90"/>
      <c r="C10" s="90"/>
      <c r="D10" s="19"/>
      <c r="E10" s="209"/>
      <c r="F10" s="19"/>
      <c r="G10" s="276"/>
      <c r="H10" s="209"/>
      <c r="I10" s="90"/>
      <c r="J10" s="22"/>
      <c r="K10" s="22"/>
      <c r="L10" s="22"/>
      <c r="M10" s="89"/>
      <c r="N10" s="89"/>
      <c r="O10" s="89"/>
      <c r="P10" s="275"/>
      <c r="Q10" s="275"/>
      <c r="R10" s="275"/>
      <c r="S10" s="223"/>
      <c r="T10" s="223"/>
      <c r="U10" s="223"/>
    </row>
    <row r="11" ht="15.75" customHeight="1">
      <c r="A11" s="90"/>
      <c r="B11" s="90"/>
      <c r="C11" s="90"/>
      <c r="D11" s="19"/>
      <c r="E11" s="209"/>
      <c r="F11" s="19"/>
      <c r="G11" s="89"/>
      <c r="H11" s="89"/>
      <c r="I11" s="89"/>
      <c r="J11" s="90"/>
      <c r="K11" s="90"/>
      <c r="L11" s="90"/>
      <c r="M11" s="90"/>
      <c r="N11" s="90"/>
      <c r="O11" s="90"/>
      <c r="P11" s="90"/>
      <c r="Q11" s="89"/>
      <c r="R11" s="89"/>
      <c r="S11" s="223"/>
      <c r="T11" s="223"/>
      <c r="U11" s="223"/>
    </row>
    <row r="12" ht="15.75" customHeight="1">
      <c r="A12" s="223"/>
      <c r="B12" s="223"/>
      <c r="C12" s="223"/>
      <c r="D12" s="90"/>
      <c r="E12" s="90"/>
      <c r="F12" s="90"/>
      <c r="G12" s="90"/>
      <c r="H12" s="90"/>
      <c r="I12" s="90"/>
      <c r="J12" s="223"/>
      <c r="K12" s="223"/>
      <c r="L12" s="223"/>
      <c r="M12" s="223"/>
      <c r="N12" s="223"/>
      <c r="O12" s="223"/>
      <c r="P12" s="90"/>
      <c r="Q12" s="90"/>
      <c r="R12" s="90"/>
      <c r="S12" s="223"/>
      <c r="T12" s="223"/>
      <c r="U12" s="223"/>
    </row>
    <row r="13" ht="15.75" customHeight="1">
      <c r="A13" s="107" t="s">
        <v>7</v>
      </c>
      <c r="B13" s="11"/>
      <c r="C13" s="12"/>
      <c r="D13" s="78" t="s">
        <v>8</v>
      </c>
      <c r="E13" s="11"/>
      <c r="F13" s="12"/>
      <c r="G13" s="78" t="s">
        <v>9</v>
      </c>
      <c r="H13" s="11"/>
      <c r="I13" s="12"/>
      <c r="J13" s="78" t="s">
        <v>10</v>
      </c>
      <c r="K13" s="11"/>
      <c r="L13" s="12"/>
      <c r="M13" s="78" t="s">
        <v>74</v>
      </c>
      <c r="N13" s="11"/>
      <c r="O13" s="12"/>
      <c r="P13" s="78" t="s">
        <v>75</v>
      </c>
      <c r="Q13" s="11"/>
      <c r="R13" s="12"/>
      <c r="S13" s="79" t="s">
        <v>13</v>
      </c>
      <c r="T13" s="11"/>
      <c r="U13" s="12"/>
      <c r="W13" s="257" t="s">
        <v>15</v>
      </c>
      <c r="X13" s="257" t="s">
        <v>16</v>
      </c>
      <c r="Y13" s="251" t="s">
        <v>17</v>
      </c>
    </row>
    <row r="14" ht="15.75" customHeight="1">
      <c r="A14" s="143">
        <v>46174.0</v>
      </c>
      <c r="B14" s="11"/>
      <c r="C14" s="12"/>
      <c r="D14" s="81">
        <f>A14+1</f>
        <v>46175</v>
      </c>
      <c r="E14" s="11"/>
      <c r="F14" s="12"/>
      <c r="G14" s="81">
        <f>D14+1</f>
        <v>46176</v>
      </c>
      <c r="H14" s="11"/>
      <c r="I14" s="12"/>
      <c r="J14" s="81">
        <f>G14+1</f>
        <v>46177</v>
      </c>
      <c r="K14" s="11"/>
      <c r="L14" s="12"/>
      <c r="M14" s="82">
        <f>J14+1</f>
        <v>46178</v>
      </c>
      <c r="N14" s="11"/>
      <c r="O14" s="12"/>
      <c r="P14" s="81">
        <f>M14+1</f>
        <v>46179</v>
      </c>
      <c r="Q14" s="11"/>
      <c r="R14" s="12"/>
      <c r="S14" s="83">
        <f>P14+1</f>
        <v>46180</v>
      </c>
      <c r="T14" s="11"/>
      <c r="U14" s="12"/>
      <c r="W14" s="229">
        <v>1.0</v>
      </c>
      <c r="X14" s="118" t="s">
        <v>317</v>
      </c>
      <c r="Y14" s="228">
        <f t="shared" ref="Y14:Y35" si="1">countif($A$5:$U$52,X14)</f>
        <v>4</v>
      </c>
      <c r="Z14" s="118"/>
    </row>
    <row r="15" ht="15.75" customHeight="1">
      <c r="A15" s="277"/>
      <c r="B15" s="209"/>
      <c r="C15" s="89"/>
      <c r="D15" s="22"/>
      <c r="E15" s="22"/>
      <c r="F15" s="22"/>
      <c r="G15" s="22"/>
      <c r="H15" s="22"/>
      <c r="I15" s="22"/>
      <c r="J15" s="89"/>
      <c r="K15" s="89"/>
      <c r="L15" s="89"/>
      <c r="M15" s="224"/>
      <c r="N15" s="224"/>
      <c r="O15" s="224"/>
      <c r="P15" s="22"/>
      <c r="Q15" s="22"/>
      <c r="R15" s="22"/>
      <c r="S15" s="223"/>
      <c r="T15" s="223"/>
      <c r="U15" s="223"/>
      <c r="W15" s="229">
        <v>2.0</v>
      </c>
      <c r="X15" s="278" t="s">
        <v>318</v>
      </c>
      <c r="Y15" s="228">
        <f t="shared" si="1"/>
        <v>2</v>
      </c>
      <c r="Z15" s="279"/>
    </row>
    <row r="16" ht="15.75" customHeight="1">
      <c r="A16" s="277"/>
      <c r="B16" s="209"/>
      <c r="C16" s="89"/>
      <c r="D16" s="89" t="s">
        <v>319</v>
      </c>
      <c r="E16" s="90" t="s">
        <v>206</v>
      </c>
      <c r="F16" s="90" t="s">
        <v>25</v>
      </c>
      <c r="G16" s="89" t="s">
        <v>320</v>
      </c>
      <c r="H16" s="280" t="s">
        <v>63</v>
      </c>
      <c r="I16" s="89" t="s">
        <v>25</v>
      </c>
      <c r="J16" s="266" t="s">
        <v>317</v>
      </c>
      <c r="K16" s="90" t="s">
        <v>237</v>
      </c>
      <c r="L16" s="90" t="s">
        <v>25</v>
      </c>
      <c r="M16" s="90" t="s">
        <v>321</v>
      </c>
      <c r="N16" s="209" t="s">
        <v>90</v>
      </c>
      <c r="O16" s="90" t="s">
        <v>29</v>
      </c>
      <c r="P16" s="91" t="s">
        <v>322</v>
      </c>
      <c r="Q16" s="91" t="s">
        <v>40</v>
      </c>
      <c r="R16" s="91" t="s">
        <v>35</v>
      </c>
      <c r="S16" s="223"/>
      <c r="T16" s="223"/>
      <c r="U16" s="223"/>
      <c r="W16" s="229">
        <v>3.0</v>
      </c>
      <c r="X16" s="278" t="s">
        <v>320</v>
      </c>
      <c r="Y16" s="228">
        <f t="shared" si="1"/>
        <v>10</v>
      </c>
      <c r="Z16" s="279"/>
    </row>
    <row r="17" ht="15.75" customHeight="1">
      <c r="A17" s="226" t="s">
        <v>14</v>
      </c>
      <c r="B17" s="11"/>
      <c r="C17" s="12"/>
      <c r="D17" s="90" t="s">
        <v>323</v>
      </c>
      <c r="E17" s="90" t="s">
        <v>49</v>
      </c>
      <c r="F17" s="90" t="s">
        <v>35</v>
      </c>
      <c r="G17" s="89" t="s">
        <v>324</v>
      </c>
      <c r="H17" s="89" t="s">
        <v>31</v>
      </c>
      <c r="I17" s="89" t="s">
        <v>35</v>
      </c>
      <c r="J17" s="90" t="s">
        <v>320</v>
      </c>
      <c r="K17" s="240" t="s">
        <v>325</v>
      </c>
      <c r="L17" s="90" t="s">
        <v>306</v>
      </c>
      <c r="M17" s="90" t="s">
        <v>320</v>
      </c>
      <c r="N17" s="90" t="s">
        <v>326</v>
      </c>
      <c r="O17" s="90" t="s">
        <v>61</v>
      </c>
      <c r="P17" s="89" t="s">
        <v>221</v>
      </c>
      <c r="Q17" s="90" t="s">
        <v>327</v>
      </c>
      <c r="R17" s="89" t="s">
        <v>25</v>
      </c>
      <c r="S17" s="226" t="s">
        <v>14</v>
      </c>
      <c r="T17" s="11"/>
      <c r="U17" s="12"/>
      <c r="W17" s="229">
        <v>4.0</v>
      </c>
      <c r="X17" s="278" t="s">
        <v>324</v>
      </c>
      <c r="Y17" s="228">
        <f t="shared" si="1"/>
        <v>2</v>
      </c>
      <c r="Z17" s="279"/>
    </row>
    <row r="18" ht="15.75" customHeight="1">
      <c r="A18" s="277"/>
      <c r="B18" s="209"/>
      <c r="C18" s="89"/>
      <c r="D18" s="89" t="s">
        <v>328</v>
      </c>
      <c r="E18" s="89" t="s">
        <v>40</v>
      </c>
      <c r="F18" s="89" t="s">
        <v>35</v>
      </c>
      <c r="G18" s="281" t="s">
        <v>169</v>
      </c>
      <c r="H18" s="209"/>
      <c r="I18" s="90"/>
      <c r="J18" s="90"/>
      <c r="K18" s="90"/>
      <c r="L18" s="90"/>
      <c r="P18" s="90"/>
      <c r="Q18" s="90"/>
      <c r="R18" s="90"/>
      <c r="S18" s="223"/>
      <c r="T18" s="223"/>
      <c r="U18" s="223"/>
      <c r="W18" s="229">
        <v>5.0</v>
      </c>
      <c r="X18" s="278" t="s">
        <v>221</v>
      </c>
      <c r="Y18" s="228">
        <f t="shared" si="1"/>
        <v>4</v>
      </c>
      <c r="Z18" s="279"/>
    </row>
    <row r="19" ht="15.75" customHeight="1">
      <c r="A19" s="277"/>
      <c r="B19" s="209"/>
      <c r="C19" s="89"/>
      <c r="D19" s="30" t="s">
        <v>329</v>
      </c>
      <c r="E19" s="30" t="s">
        <v>90</v>
      </c>
      <c r="F19" s="30" t="s">
        <v>25</v>
      </c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223"/>
      <c r="T19" s="223"/>
      <c r="U19" s="223"/>
      <c r="W19" s="229">
        <v>6.0</v>
      </c>
      <c r="X19" s="278" t="s">
        <v>330</v>
      </c>
      <c r="Y19" s="228">
        <f t="shared" si="1"/>
        <v>2</v>
      </c>
      <c r="Z19" s="279"/>
    </row>
    <row r="20" ht="15.75" customHeight="1">
      <c r="A20" s="223"/>
      <c r="B20" s="223"/>
      <c r="C20" s="19"/>
      <c r="D20" s="19"/>
      <c r="E20" s="19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223"/>
      <c r="Q20" s="223"/>
      <c r="R20" s="223"/>
      <c r="S20" s="282"/>
      <c r="T20" s="282"/>
      <c r="U20" s="282"/>
      <c r="W20" s="229">
        <v>7.0</v>
      </c>
      <c r="X20" s="278" t="s">
        <v>328</v>
      </c>
      <c r="Y20" s="228">
        <f t="shared" si="1"/>
        <v>2</v>
      </c>
      <c r="Z20" s="279"/>
    </row>
    <row r="21" ht="15.75" customHeight="1">
      <c r="A21" s="94" t="s">
        <v>98</v>
      </c>
      <c r="B21" s="11"/>
      <c r="C21" s="12"/>
      <c r="D21" s="94" t="s">
        <v>8</v>
      </c>
      <c r="E21" s="11"/>
      <c r="F21" s="12"/>
      <c r="G21" s="94" t="s">
        <v>99</v>
      </c>
      <c r="H21" s="11"/>
      <c r="I21" s="12"/>
      <c r="J21" s="94" t="s">
        <v>10</v>
      </c>
      <c r="K21" s="11"/>
      <c r="L21" s="12"/>
      <c r="M21" s="94" t="s">
        <v>74</v>
      </c>
      <c r="N21" s="11"/>
      <c r="O21" s="12"/>
      <c r="P21" s="94" t="s">
        <v>75</v>
      </c>
      <c r="Q21" s="11"/>
      <c r="R21" s="12"/>
      <c r="S21" s="95" t="s">
        <v>13</v>
      </c>
      <c r="T21" s="11"/>
      <c r="U21" s="12"/>
      <c r="W21" s="229">
        <v>8.0</v>
      </c>
      <c r="X21" s="278" t="s">
        <v>331</v>
      </c>
      <c r="Y21" s="228">
        <f t="shared" si="1"/>
        <v>0</v>
      </c>
      <c r="Z21" s="279"/>
    </row>
    <row r="22" ht="15.75" customHeight="1">
      <c r="A22" s="97">
        <f>S14+1</f>
        <v>46181</v>
      </c>
      <c r="B22" s="11"/>
      <c r="C22" s="12"/>
      <c r="D22" s="97">
        <f>A22+1</f>
        <v>46182</v>
      </c>
      <c r="E22" s="11"/>
      <c r="F22" s="12"/>
      <c r="G22" s="97">
        <f>D22+1</f>
        <v>46183</v>
      </c>
      <c r="H22" s="11"/>
      <c r="I22" s="12"/>
      <c r="J22" s="97">
        <f>G22+1</f>
        <v>46184</v>
      </c>
      <c r="K22" s="11"/>
      <c r="L22" s="12"/>
      <c r="M22" s="97">
        <f>J22+1</f>
        <v>46185</v>
      </c>
      <c r="N22" s="11"/>
      <c r="O22" s="12"/>
      <c r="P22" s="97">
        <f>M22+1</f>
        <v>46186</v>
      </c>
      <c r="Q22" s="11"/>
      <c r="R22" s="12"/>
      <c r="S22" s="98">
        <f>P22+1</f>
        <v>46187</v>
      </c>
      <c r="T22" s="11"/>
      <c r="U22" s="12"/>
      <c r="W22" s="229">
        <v>9.0</v>
      </c>
      <c r="X22" s="278" t="s">
        <v>332</v>
      </c>
      <c r="Y22" s="228">
        <f t="shared" si="1"/>
        <v>2</v>
      </c>
      <c r="Z22" s="279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4"/>
      <c r="K23" s="224"/>
      <c r="L23" s="224"/>
      <c r="M23" s="37"/>
      <c r="N23" s="37"/>
      <c r="O23" s="37"/>
      <c r="P23" s="224"/>
      <c r="Q23" s="224"/>
      <c r="R23" s="224"/>
      <c r="S23" s="223"/>
      <c r="T23" s="223"/>
      <c r="U23" s="223"/>
      <c r="W23" s="229">
        <v>10.0</v>
      </c>
      <c r="X23" s="278" t="s">
        <v>333</v>
      </c>
      <c r="Y23" s="228">
        <f t="shared" si="1"/>
        <v>2</v>
      </c>
      <c r="Z23" s="279"/>
    </row>
    <row r="24" ht="15.75" customHeight="1">
      <c r="A24" s="90" t="s">
        <v>334</v>
      </c>
      <c r="B24" s="89" t="s">
        <v>40</v>
      </c>
      <c r="C24" s="89" t="s">
        <v>25</v>
      </c>
      <c r="D24" s="89" t="s">
        <v>319</v>
      </c>
      <c r="E24" s="90" t="s">
        <v>206</v>
      </c>
      <c r="F24" s="90" t="s">
        <v>25</v>
      </c>
      <c r="G24" s="89" t="s">
        <v>320</v>
      </c>
      <c r="H24" s="280" t="s">
        <v>63</v>
      </c>
      <c r="I24" s="89" t="s">
        <v>25</v>
      </c>
      <c r="J24" s="266" t="s">
        <v>317</v>
      </c>
      <c r="K24" s="90" t="s">
        <v>34</v>
      </c>
      <c r="L24" s="90" t="s">
        <v>25</v>
      </c>
      <c r="M24" s="90" t="s">
        <v>335</v>
      </c>
      <c r="N24" s="209" t="s">
        <v>336</v>
      </c>
      <c r="O24" s="90" t="s">
        <v>29</v>
      </c>
      <c r="P24" s="90" t="s">
        <v>337</v>
      </c>
      <c r="Q24" s="89" t="s">
        <v>105</v>
      </c>
      <c r="R24" s="89" t="s">
        <v>338</v>
      </c>
      <c r="S24" s="223"/>
      <c r="T24" s="223"/>
      <c r="U24" s="223"/>
      <c r="W24" s="229">
        <v>11.0</v>
      </c>
      <c r="X24" s="278" t="s">
        <v>334</v>
      </c>
      <c r="Y24" s="228">
        <f t="shared" si="1"/>
        <v>2</v>
      </c>
      <c r="Z24" s="279"/>
    </row>
    <row r="25" ht="15.75" customHeight="1">
      <c r="A25" s="90" t="s">
        <v>333</v>
      </c>
      <c r="B25" s="90" t="s">
        <v>92</v>
      </c>
      <c r="C25" s="90" t="s">
        <v>25</v>
      </c>
      <c r="D25" s="30" t="s">
        <v>329</v>
      </c>
      <c r="E25" s="30" t="s">
        <v>90</v>
      </c>
      <c r="F25" s="30" t="s">
        <v>25</v>
      </c>
      <c r="G25" s="90" t="s">
        <v>330</v>
      </c>
      <c r="H25" s="90" t="s">
        <v>49</v>
      </c>
      <c r="I25" s="90" t="s">
        <v>25</v>
      </c>
      <c r="J25" s="89" t="s">
        <v>320</v>
      </c>
      <c r="K25" s="240" t="s">
        <v>339</v>
      </c>
      <c r="L25" s="90" t="s">
        <v>306</v>
      </c>
      <c r="M25" s="90" t="s">
        <v>340</v>
      </c>
      <c r="N25" s="209" t="s">
        <v>111</v>
      </c>
      <c r="O25" s="90" t="s">
        <v>25</v>
      </c>
      <c r="P25" s="90" t="s">
        <v>318</v>
      </c>
      <c r="Q25" s="90"/>
      <c r="R25" s="90" t="s">
        <v>35</v>
      </c>
      <c r="S25" s="226" t="s">
        <v>14</v>
      </c>
      <c r="T25" s="11"/>
      <c r="U25" s="12"/>
      <c r="W25" s="229">
        <v>12.0</v>
      </c>
      <c r="X25" s="278" t="s">
        <v>322</v>
      </c>
      <c r="Y25" s="228">
        <f t="shared" si="1"/>
        <v>2</v>
      </c>
      <c r="Z25" s="279"/>
    </row>
    <row r="26" ht="15.75" customHeight="1">
      <c r="A26" s="89" t="s">
        <v>332</v>
      </c>
      <c r="B26" s="89" t="s">
        <v>341</v>
      </c>
      <c r="C26" s="89" t="s">
        <v>29</v>
      </c>
      <c r="D26" s="37"/>
      <c r="E26" s="283" t="s">
        <v>123</v>
      </c>
      <c r="F26" s="37"/>
      <c r="G26" s="43" t="s">
        <v>342</v>
      </c>
      <c r="H26" s="19" t="s">
        <v>31</v>
      </c>
      <c r="I26" s="43" t="s">
        <v>29</v>
      </c>
      <c r="M26" s="22"/>
      <c r="N26" s="22"/>
      <c r="O26" s="22"/>
      <c r="P26" s="89" t="s">
        <v>221</v>
      </c>
      <c r="Q26" s="90" t="s">
        <v>327</v>
      </c>
      <c r="R26" s="89" t="s">
        <v>25</v>
      </c>
      <c r="S26" s="223"/>
      <c r="T26" s="223"/>
      <c r="U26" s="223"/>
      <c r="W26" s="229">
        <v>13.0</v>
      </c>
      <c r="X26" s="284" t="s">
        <v>343</v>
      </c>
      <c r="Y26" s="228">
        <f t="shared" si="1"/>
        <v>0</v>
      </c>
      <c r="Z26" s="279"/>
    </row>
    <row r="27" ht="15.75" customHeight="1">
      <c r="A27" s="37"/>
      <c r="B27" s="37"/>
      <c r="C27" s="37"/>
      <c r="D27" s="37"/>
      <c r="E27" s="37"/>
      <c r="F27" s="37"/>
      <c r="G27" s="22"/>
      <c r="H27" s="22"/>
      <c r="I27" s="22"/>
      <c r="J27" s="19"/>
      <c r="K27" s="19"/>
      <c r="L27" s="19"/>
      <c r="M27" s="22"/>
      <c r="N27" s="22"/>
      <c r="O27" s="22"/>
      <c r="P27" s="22"/>
      <c r="Q27" s="22"/>
      <c r="R27" s="22"/>
      <c r="S27" s="223"/>
      <c r="T27" s="223"/>
      <c r="U27" s="223"/>
      <c r="W27" s="229">
        <v>14.0</v>
      </c>
      <c r="X27" s="278" t="s">
        <v>342</v>
      </c>
      <c r="Y27" s="228">
        <f t="shared" si="1"/>
        <v>2</v>
      </c>
      <c r="Z27" s="279"/>
    </row>
    <row r="28" ht="15.75" customHeight="1">
      <c r="A28" s="224"/>
      <c r="B28" s="224"/>
      <c r="C28" s="224"/>
      <c r="D28" s="224"/>
      <c r="E28" s="224"/>
      <c r="F28" s="224"/>
      <c r="G28" s="22"/>
      <c r="H28" s="22"/>
      <c r="I28" s="22"/>
      <c r="J28" s="90"/>
      <c r="K28" s="90"/>
      <c r="L28" s="90"/>
      <c r="M28" s="22"/>
      <c r="N28" s="22"/>
      <c r="O28" s="22"/>
      <c r="P28" s="223"/>
      <c r="Q28" s="223"/>
      <c r="R28" s="223"/>
      <c r="S28" s="223"/>
      <c r="T28" s="223"/>
      <c r="U28" s="223"/>
      <c r="W28" s="229">
        <v>15.0</v>
      </c>
      <c r="X28" s="28"/>
      <c r="Y28" s="228">
        <f t="shared" si="1"/>
        <v>0</v>
      </c>
      <c r="Z28" s="279"/>
    </row>
    <row r="29" ht="15.75" customHeight="1">
      <c r="A29" s="78" t="s">
        <v>98</v>
      </c>
      <c r="B29" s="11"/>
      <c r="C29" s="12"/>
      <c r="D29" s="107" t="s">
        <v>8</v>
      </c>
      <c r="E29" s="11"/>
      <c r="F29" s="12"/>
      <c r="G29" s="78" t="s">
        <v>99</v>
      </c>
      <c r="H29" s="11"/>
      <c r="I29" s="12"/>
      <c r="J29" s="78" t="s">
        <v>10</v>
      </c>
      <c r="K29" s="11"/>
      <c r="L29" s="12"/>
      <c r="M29" s="78" t="s">
        <v>74</v>
      </c>
      <c r="N29" s="11"/>
      <c r="O29" s="12"/>
      <c r="P29" s="78" t="s">
        <v>75</v>
      </c>
      <c r="Q29" s="11"/>
      <c r="R29" s="12"/>
      <c r="S29" s="107" t="s">
        <v>13</v>
      </c>
      <c r="T29" s="11"/>
      <c r="U29" s="12"/>
      <c r="W29" s="229">
        <v>16.0</v>
      </c>
      <c r="X29" s="278" t="s">
        <v>344</v>
      </c>
      <c r="Y29" s="228">
        <f t="shared" si="1"/>
        <v>0</v>
      </c>
      <c r="Z29" s="279"/>
    </row>
    <row r="30" ht="15.75" customHeight="1">
      <c r="A30" s="82">
        <f>S22+1</f>
        <v>46188</v>
      </c>
      <c r="B30" s="11"/>
      <c r="C30" s="12"/>
      <c r="D30" s="83">
        <f>A30+1</f>
        <v>46189</v>
      </c>
      <c r="E30" s="11"/>
      <c r="F30" s="12"/>
      <c r="G30" s="81">
        <f>D30+1</f>
        <v>46190</v>
      </c>
      <c r="H30" s="11"/>
      <c r="I30" s="12"/>
      <c r="J30" s="81">
        <f>G30+1</f>
        <v>46191</v>
      </c>
      <c r="K30" s="11"/>
      <c r="L30" s="12"/>
      <c r="M30" s="81">
        <f>J30+1</f>
        <v>46192</v>
      </c>
      <c r="N30" s="11"/>
      <c r="O30" s="12"/>
      <c r="P30" s="82">
        <f>M30+1</f>
        <v>46193</v>
      </c>
      <c r="Q30" s="11"/>
      <c r="R30" s="12"/>
      <c r="S30" s="83">
        <f>P30+1</f>
        <v>46194</v>
      </c>
      <c r="T30" s="11"/>
      <c r="U30" s="12"/>
      <c r="W30" s="229">
        <v>17.0</v>
      </c>
      <c r="X30" s="278" t="s">
        <v>340</v>
      </c>
      <c r="Y30" s="228">
        <f t="shared" si="1"/>
        <v>2</v>
      </c>
      <c r="Z30" s="285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86"/>
      <c r="Q31" s="11"/>
      <c r="R31" s="12"/>
      <c r="S31" s="223"/>
      <c r="T31" s="223"/>
      <c r="U31" s="223"/>
      <c r="W31" s="229">
        <v>18.0</v>
      </c>
      <c r="X31" s="278" t="s">
        <v>321</v>
      </c>
      <c r="Y31" s="228">
        <f t="shared" si="1"/>
        <v>2</v>
      </c>
      <c r="Z31" s="279"/>
    </row>
    <row r="32" ht="15.75" customHeight="1">
      <c r="A32" s="90" t="s">
        <v>323</v>
      </c>
      <c r="B32" s="90" t="s">
        <v>40</v>
      </c>
      <c r="C32" s="90" t="s">
        <v>35</v>
      </c>
      <c r="D32" s="22"/>
      <c r="E32" s="22"/>
      <c r="F32" s="22"/>
      <c r="G32" s="89" t="s">
        <v>319</v>
      </c>
      <c r="H32" s="90" t="s">
        <v>206</v>
      </c>
      <c r="I32" s="90" t="s">
        <v>25</v>
      </c>
      <c r="J32" s="89" t="s">
        <v>320</v>
      </c>
      <c r="K32" s="280" t="s">
        <v>63</v>
      </c>
      <c r="L32" s="89" t="s">
        <v>25</v>
      </c>
      <c r="M32" s="90" t="s">
        <v>321</v>
      </c>
      <c r="N32" s="209" t="s">
        <v>90</v>
      </c>
      <c r="O32" s="90" t="s">
        <v>29</v>
      </c>
      <c r="P32" s="91" t="s">
        <v>322</v>
      </c>
      <c r="Q32" s="91" t="s">
        <v>40</v>
      </c>
      <c r="R32" s="91" t="s">
        <v>35</v>
      </c>
      <c r="S32" s="223"/>
      <c r="T32" s="223"/>
      <c r="U32" s="223"/>
      <c r="W32" s="229">
        <v>19.0</v>
      </c>
      <c r="X32" s="287" t="s">
        <v>345</v>
      </c>
      <c r="Y32" s="228">
        <f t="shared" si="1"/>
        <v>0</v>
      </c>
      <c r="Z32" s="279"/>
    </row>
    <row r="33" ht="15.75" customHeight="1">
      <c r="A33" s="89" t="s">
        <v>328</v>
      </c>
      <c r="B33" s="89" t="s">
        <v>31</v>
      </c>
      <c r="C33" s="89" t="s">
        <v>35</v>
      </c>
      <c r="D33" s="226" t="s">
        <v>14</v>
      </c>
      <c r="E33" s="11"/>
      <c r="F33" s="12"/>
      <c r="G33" s="89" t="s">
        <v>324</v>
      </c>
      <c r="H33" s="89" t="s">
        <v>31</v>
      </c>
      <c r="I33" s="89" t="s">
        <v>35</v>
      </c>
      <c r="J33" s="266" t="s">
        <v>317</v>
      </c>
      <c r="K33" s="90" t="s">
        <v>111</v>
      </c>
      <c r="L33" s="90" t="s">
        <v>25</v>
      </c>
      <c r="M33" s="90" t="s">
        <v>320</v>
      </c>
      <c r="N33" s="90" t="s">
        <v>326</v>
      </c>
      <c r="O33" s="90" t="s">
        <v>61</v>
      </c>
      <c r="P33" s="91" t="s">
        <v>221</v>
      </c>
      <c r="Q33" s="91" t="s">
        <v>327</v>
      </c>
      <c r="R33" s="91" t="s">
        <v>25</v>
      </c>
      <c r="S33" s="226" t="s">
        <v>14</v>
      </c>
      <c r="T33" s="11"/>
      <c r="U33" s="12"/>
      <c r="W33" s="229">
        <v>20.0</v>
      </c>
      <c r="X33" s="278" t="s">
        <v>329</v>
      </c>
      <c r="Y33" s="228">
        <f t="shared" si="1"/>
        <v>4</v>
      </c>
      <c r="Z33" s="279"/>
    </row>
    <row r="34" ht="15.75" customHeight="1">
      <c r="A34" s="19"/>
      <c r="B34" s="19"/>
      <c r="C34" s="90"/>
      <c r="D34" s="22"/>
      <c r="E34" s="22"/>
      <c r="F34" s="22"/>
      <c r="G34" s="30" t="s">
        <v>329</v>
      </c>
      <c r="H34" s="30" t="s">
        <v>90</v>
      </c>
      <c r="I34" s="30" t="s">
        <v>25</v>
      </c>
      <c r="J34" s="90" t="s">
        <v>320</v>
      </c>
      <c r="K34" s="240" t="s">
        <v>325</v>
      </c>
      <c r="L34" s="90" t="s">
        <v>159</v>
      </c>
      <c r="M34" s="37"/>
      <c r="N34" s="37"/>
      <c r="O34" s="37"/>
      <c r="P34" s="22"/>
      <c r="Q34" s="22"/>
      <c r="R34" s="22"/>
      <c r="S34" s="223"/>
      <c r="T34" s="223"/>
      <c r="U34" s="223"/>
      <c r="W34" s="229">
        <v>21.0</v>
      </c>
      <c r="X34" s="279" t="s">
        <v>319</v>
      </c>
      <c r="Y34" s="228">
        <f t="shared" si="1"/>
        <v>4</v>
      </c>
      <c r="Z34" s="279"/>
    </row>
    <row r="35" ht="15.75" customHeight="1">
      <c r="A35" s="37"/>
      <c r="B35" s="37"/>
      <c r="C35" s="37"/>
      <c r="D35" s="90"/>
      <c r="E35" s="90"/>
      <c r="F35" s="90"/>
      <c r="G35" s="22"/>
      <c r="H35" s="22"/>
      <c r="I35" s="22"/>
      <c r="J35" s="22"/>
      <c r="K35" s="22"/>
      <c r="L35" s="22"/>
      <c r="M35" s="22"/>
      <c r="N35" s="22"/>
      <c r="O35" s="22"/>
      <c r="P35" s="89"/>
      <c r="Q35" s="89"/>
      <c r="R35" s="89"/>
      <c r="S35" s="223"/>
      <c r="T35" s="223"/>
      <c r="U35" s="223"/>
      <c r="W35" s="229">
        <v>22.0</v>
      </c>
      <c r="X35" s="118" t="s">
        <v>335</v>
      </c>
      <c r="Y35" s="228">
        <f t="shared" si="1"/>
        <v>2</v>
      </c>
      <c r="Z35" s="279"/>
    </row>
    <row r="36" ht="15.75" customHeight="1">
      <c r="A36" s="223"/>
      <c r="B36" s="223"/>
      <c r="C36" s="223"/>
      <c r="D36" s="89"/>
      <c r="E36" s="90"/>
      <c r="F36" s="89"/>
      <c r="G36" s="22"/>
      <c r="H36" s="22"/>
      <c r="I36" s="22"/>
      <c r="J36" s="89"/>
      <c r="K36" s="90"/>
      <c r="L36" s="90"/>
      <c r="M36" s="90"/>
      <c r="N36" s="90"/>
      <c r="O36" s="90"/>
      <c r="P36" s="90"/>
      <c r="Q36" s="90"/>
      <c r="R36" s="90"/>
      <c r="S36" s="223"/>
      <c r="T36" s="223"/>
      <c r="U36" s="223"/>
      <c r="W36" s="229">
        <v>23.0</v>
      </c>
      <c r="X36" s="118"/>
      <c r="Y36" s="228"/>
      <c r="Z36" s="118"/>
    </row>
    <row r="37" ht="15.75" customHeight="1">
      <c r="A37" s="94" t="s">
        <v>98</v>
      </c>
      <c r="B37" s="11"/>
      <c r="C37" s="12"/>
      <c r="D37" s="94" t="s">
        <v>8</v>
      </c>
      <c r="E37" s="11"/>
      <c r="F37" s="12"/>
      <c r="G37" s="94" t="s">
        <v>99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  <c r="W37" s="229">
        <v>24.0</v>
      </c>
      <c r="X37" s="278"/>
      <c r="Y37" s="228">
        <f t="shared" ref="Y37:Y41" si="2">countif($A$5:$U$52,X37)</f>
        <v>0</v>
      </c>
    </row>
    <row r="38" ht="15.75" customHeight="1">
      <c r="A38" s="97">
        <f>S30+1</f>
        <v>46195</v>
      </c>
      <c r="B38" s="11"/>
      <c r="C38" s="12"/>
      <c r="D38" s="97">
        <f>A38+1</f>
        <v>46196</v>
      </c>
      <c r="E38" s="11"/>
      <c r="F38" s="12"/>
      <c r="G38" s="97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  <c r="W38" s="229">
        <v>25.0</v>
      </c>
      <c r="X38" s="278"/>
      <c r="Y38" s="228">
        <f t="shared" si="2"/>
        <v>0</v>
      </c>
    </row>
    <row r="39" ht="15.75" customHeight="1">
      <c r="A39" s="22"/>
      <c r="B39" s="22"/>
      <c r="C39" s="22"/>
      <c r="D39" s="22"/>
      <c r="E39" s="22"/>
      <c r="F39" s="22"/>
      <c r="G39" s="19"/>
      <c r="H39" s="209"/>
      <c r="I39" s="19"/>
      <c r="J39" s="89"/>
      <c r="K39" s="90"/>
      <c r="L39" s="90"/>
      <c r="M39" s="89"/>
      <c r="N39" s="89"/>
      <c r="O39" s="89"/>
      <c r="P39" s="89"/>
      <c r="Q39" s="89"/>
      <c r="R39" s="89"/>
      <c r="S39" s="223"/>
      <c r="T39" s="223"/>
      <c r="U39" s="223"/>
      <c r="W39" s="229">
        <v>26.0</v>
      </c>
      <c r="X39" s="278"/>
      <c r="Y39" s="228">
        <f t="shared" si="2"/>
        <v>0</v>
      </c>
    </row>
    <row r="40" ht="15.75" customHeight="1">
      <c r="A40" s="90" t="s">
        <v>334</v>
      </c>
      <c r="B40" s="89" t="s">
        <v>40</v>
      </c>
      <c r="C40" s="89" t="s">
        <v>25</v>
      </c>
      <c r="D40" s="89" t="s">
        <v>319</v>
      </c>
      <c r="E40" s="90" t="s">
        <v>206</v>
      </c>
      <c r="F40" s="90" t="s">
        <v>25</v>
      </c>
      <c r="G40" s="89" t="s">
        <v>320</v>
      </c>
      <c r="H40" s="280" t="s">
        <v>63</v>
      </c>
      <c r="I40" s="89" t="s">
        <v>25</v>
      </c>
      <c r="J40" s="266" t="s">
        <v>317</v>
      </c>
      <c r="K40" s="90" t="s">
        <v>34</v>
      </c>
      <c r="L40" s="90" t="s">
        <v>25</v>
      </c>
      <c r="M40" s="90" t="s">
        <v>335</v>
      </c>
      <c r="N40" s="209" t="s">
        <v>336</v>
      </c>
      <c r="O40" s="90" t="s">
        <v>29</v>
      </c>
      <c r="P40" s="90" t="s">
        <v>337</v>
      </c>
      <c r="Q40" s="89" t="s">
        <v>105</v>
      </c>
      <c r="R40" s="89" t="s">
        <v>338</v>
      </c>
      <c r="S40" s="223"/>
      <c r="T40" s="223"/>
      <c r="U40" s="223"/>
      <c r="W40" s="229">
        <v>27.0</v>
      </c>
      <c r="X40" s="278"/>
      <c r="Y40" s="228">
        <f t="shared" si="2"/>
        <v>0</v>
      </c>
    </row>
    <row r="41" ht="15.75" customHeight="1">
      <c r="A41" s="90" t="s">
        <v>333</v>
      </c>
      <c r="B41" s="90" t="s">
        <v>92</v>
      </c>
      <c r="C41" s="90" t="s">
        <v>25</v>
      </c>
      <c r="D41" s="30" t="s">
        <v>329</v>
      </c>
      <c r="E41" s="30" t="s">
        <v>90</v>
      </c>
      <c r="F41" s="30" t="s">
        <v>25</v>
      </c>
      <c r="G41" s="90" t="s">
        <v>330</v>
      </c>
      <c r="H41" s="90" t="s">
        <v>31</v>
      </c>
      <c r="I41" s="90" t="s">
        <v>25</v>
      </c>
      <c r="J41" s="89" t="s">
        <v>320</v>
      </c>
      <c r="K41" s="240" t="s">
        <v>339</v>
      </c>
      <c r="L41" s="90" t="s">
        <v>306</v>
      </c>
      <c r="M41" s="90" t="s">
        <v>340</v>
      </c>
      <c r="N41" s="209" t="s">
        <v>237</v>
      </c>
      <c r="O41" s="90" t="s">
        <v>25</v>
      </c>
      <c r="P41" s="90" t="s">
        <v>318</v>
      </c>
      <c r="Q41" s="90" t="s">
        <v>105</v>
      </c>
      <c r="R41" s="90" t="s">
        <v>35</v>
      </c>
      <c r="S41" s="226" t="s">
        <v>14</v>
      </c>
      <c r="T41" s="11"/>
      <c r="U41" s="12"/>
      <c r="W41" s="229">
        <v>28.0</v>
      </c>
      <c r="X41" s="278"/>
      <c r="Y41" s="228">
        <f t="shared" si="2"/>
        <v>0</v>
      </c>
    </row>
    <row r="42" ht="15.75" customHeight="1">
      <c r="A42" s="89" t="s">
        <v>332</v>
      </c>
      <c r="B42" s="89" t="s">
        <v>341</v>
      </c>
      <c r="C42" s="89" t="s">
        <v>29</v>
      </c>
      <c r="D42" s="37"/>
      <c r="E42" s="37"/>
      <c r="F42" s="37"/>
      <c r="G42" s="43" t="s">
        <v>342</v>
      </c>
      <c r="H42" s="43" t="s">
        <v>31</v>
      </c>
      <c r="I42" s="43" t="s">
        <v>29</v>
      </c>
      <c r="M42" s="37"/>
      <c r="N42" s="37"/>
      <c r="O42" s="37"/>
      <c r="P42" s="89" t="s">
        <v>221</v>
      </c>
      <c r="Q42" s="90" t="s">
        <v>327</v>
      </c>
      <c r="R42" s="89" t="s">
        <v>25</v>
      </c>
      <c r="S42" s="223"/>
      <c r="T42" s="223"/>
      <c r="U42" s="223"/>
      <c r="W42" s="229">
        <v>29.0</v>
      </c>
      <c r="Y42" s="288">
        <f>SUM(Y14:Y41)</f>
        <v>50</v>
      </c>
    </row>
    <row r="43" ht="15.75" customHeight="1">
      <c r="A43" s="224"/>
      <c r="B43" s="224"/>
      <c r="C43" s="224"/>
      <c r="D43" s="37"/>
      <c r="E43" s="37"/>
      <c r="F43" s="37"/>
      <c r="G43" s="90"/>
      <c r="H43" s="90"/>
      <c r="I43" s="90"/>
      <c r="J43" s="90"/>
      <c r="K43" s="90"/>
      <c r="L43" s="90"/>
      <c r="M43" s="37"/>
      <c r="N43" s="37"/>
      <c r="O43" s="37"/>
      <c r="P43" s="89"/>
      <c r="Q43" s="89"/>
      <c r="R43" s="89"/>
      <c r="S43" s="223"/>
      <c r="T43" s="223"/>
      <c r="U43" s="223"/>
    </row>
    <row r="44" ht="15.75" customHeight="1">
      <c r="A44" s="224"/>
      <c r="B44" s="224"/>
      <c r="C44" s="224"/>
      <c r="D44" s="223"/>
      <c r="E44" s="223"/>
      <c r="F44" s="223"/>
      <c r="G44" s="90"/>
      <c r="H44" s="90"/>
      <c r="I44" s="90"/>
      <c r="J44" s="90"/>
      <c r="K44" s="90"/>
      <c r="L44" s="90"/>
      <c r="M44" s="89"/>
      <c r="N44" s="89"/>
      <c r="O44" s="89"/>
      <c r="P44" s="89"/>
      <c r="Q44" s="89"/>
      <c r="R44" s="89"/>
      <c r="S44" s="223"/>
      <c r="T44" s="223"/>
      <c r="U44" s="223"/>
    </row>
    <row r="45" ht="15.75" customHeight="1">
      <c r="A45" s="78" t="s">
        <v>98</v>
      </c>
      <c r="B45" s="11"/>
      <c r="C45" s="12"/>
      <c r="D45" s="78" t="s">
        <v>8</v>
      </c>
      <c r="E45" s="11"/>
      <c r="F45" s="12"/>
      <c r="G45" s="78" t="s">
        <v>99</v>
      </c>
      <c r="H45" s="11"/>
      <c r="I45" s="12"/>
      <c r="J45" s="78" t="s">
        <v>10</v>
      </c>
      <c r="K45" s="11"/>
      <c r="L45" s="12"/>
      <c r="M45" s="78" t="s">
        <v>74</v>
      </c>
      <c r="N45" s="11"/>
      <c r="O45" s="12"/>
      <c r="P45" s="78" t="s">
        <v>75</v>
      </c>
      <c r="Q45" s="11"/>
      <c r="R45" s="12"/>
      <c r="S45" s="107" t="s">
        <v>13</v>
      </c>
      <c r="T45" s="11"/>
      <c r="U45" s="12"/>
    </row>
    <row r="46" ht="15.75" customHeight="1">
      <c r="A46" s="82">
        <f>S38+1</f>
        <v>46202</v>
      </c>
      <c r="B46" s="11"/>
      <c r="C46" s="12"/>
      <c r="D46" s="81">
        <f>A46+1</f>
        <v>46203</v>
      </c>
      <c r="E46" s="11"/>
      <c r="F46" s="12"/>
      <c r="G46" s="81"/>
      <c r="H46" s="11"/>
      <c r="I46" s="12"/>
      <c r="J46" s="81"/>
      <c r="K46" s="11"/>
      <c r="L46" s="12"/>
      <c r="M46" s="81"/>
      <c r="N46" s="11"/>
      <c r="O46" s="12"/>
      <c r="P46" s="82"/>
      <c r="Q46" s="11"/>
      <c r="R46" s="12"/>
      <c r="S46" s="83"/>
      <c r="T46" s="11"/>
      <c r="U46" s="12"/>
    </row>
    <row r="47" ht="15.75" customHeight="1">
      <c r="A47" s="224"/>
      <c r="B47" s="224"/>
      <c r="C47" s="224"/>
      <c r="D47" s="224"/>
      <c r="E47" s="224"/>
      <c r="F47" s="224"/>
      <c r="G47" s="89"/>
      <c r="H47" s="89"/>
      <c r="I47" s="89"/>
      <c r="J47" s="89"/>
      <c r="K47" s="90"/>
      <c r="L47" s="90"/>
      <c r="M47" s="30"/>
      <c r="N47" s="19"/>
      <c r="O47" s="19"/>
      <c r="P47" s="89"/>
      <c r="Q47" s="89"/>
      <c r="R47" s="89"/>
      <c r="S47" s="163"/>
      <c r="T47" s="163"/>
      <c r="U47" s="163"/>
    </row>
    <row r="48" ht="15.75" customHeight="1">
      <c r="A48" s="224"/>
      <c r="B48" s="224"/>
      <c r="C48" s="224"/>
      <c r="D48" s="224"/>
      <c r="E48" s="224"/>
      <c r="F48" s="224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163"/>
      <c r="T48" s="163"/>
      <c r="U48" s="163"/>
    </row>
    <row r="49" ht="15.75" customHeight="1">
      <c r="A49" s="224"/>
      <c r="B49" s="224"/>
      <c r="C49" s="224"/>
      <c r="D49" s="90"/>
      <c r="E49" s="90"/>
      <c r="F49" s="90"/>
      <c r="G49" s="89"/>
      <c r="H49" s="89"/>
      <c r="I49" s="89"/>
      <c r="J49" s="89"/>
      <c r="K49" s="90"/>
      <c r="L49" s="90"/>
      <c r="M49" s="89"/>
      <c r="N49" s="89"/>
      <c r="O49" s="89"/>
      <c r="P49" s="89"/>
      <c r="Q49" s="89"/>
      <c r="R49" s="89"/>
      <c r="S49" s="162"/>
      <c r="T49" s="162"/>
      <c r="U49" s="162"/>
    </row>
    <row r="50" ht="15.75" customHeight="1">
      <c r="A50" s="90"/>
      <c r="B50" s="90"/>
      <c r="C50" s="90"/>
      <c r="D50" s="90"/>
      <c r="E50" s="90"/>
      <c r="F50" s="90"/>
      <c r="G50" s="277"/>
      <c r="H50" s="209"/>
      <c r="I50" s="89"/>
      <c r="J50" s="89"/>
      <c r="K50" s="90"/>
      <c r="L50" s="90"/>
      <c r="M50" s="30"/>
      <c r="N50" s="89"/>
      <c r="O50" s="30"/>
      <c r="P50" s="89"/>
      <c r="Q50" s="89"/>
      <c r="R50" s="89"/>
      <c r="S50" s="163"/>
      <c r="T50" s="163"/>
      <c r="U50" s="163"/>
    </row>
    <row r="51" ht="15.75" customHeight="1">
      <c r="A51" s="90"/>
      <c r="B51" s="209"/>
      <c r="C51" s="90"/>
      <c r="D51" s="89"/>
      <c r="E51" s="89"/>
      <c r="F51" s="89"/>
      <c r="G51" s="19"/>
      <c r="H51" s="209"/>
      <c r="I51" s="19"/>
      <c r="J51" s="89"/>
      <c r="K51" s="89"/>
      <c r="L51" s="89"/>
      <c r="M51" s="19"/>
      <c r="N51" s="89"/>
      <c r="O51" s="19"/>
      <c r="P51" s="89"/>
      <c r="Q51" s="89"/>
      <c r="R51" s="89"/>
      <c r="S51" s="162"/>
      <c r="T51" s="162"/>
      <c r="U51" s="164"/>
    </row>
    <row r="52" ht="15.75" customHeight="1">
      <c r="A52" s="224"/>
      <c r="B52" s="224"/>
      <c r="C52" s="224"/>
      <c r="D52" s="90"/>
      <c r="E52" s="90"/>
      <c r="F52" s="90"/>
      <c r="G52" s="223"/>
      <c r="H52" s="223"/>
      <c r="I52" s="223"/>
      <c r="J52" s="90"/>
      <c r="K52" s="90"/>
      <c r="L52" s="90"/>
      <c r="M52" s="90"/>
      <c r="N52" s="90"/>
      <c r="O52" s="90"/>
      <c r="P52" s="90"/>
      <c r="Q52" s="90"/>
      <c r="R52" s="90"/>
      <c r="S52" s="163"/>
      <c r="T52" s="163"/>
      <c r="U52" s="163"/>
    </row>
    <row r="53" ht="15.75" customHeight="1">
      <c r="A53" s="186"/>
      <c r="B53" s="55"/>
    </row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>
      <c r="A59" s="62"/>
      <c r="B59" s="57" t="s">
        <v>68</v>
      </c>
      <c r="C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Z$42">
    <sortState ref="W13:Z42">
      <sortCondition ref="Z13:Z42"/>
    </sortState>
  </autoFilter>
  <mergeCells count="104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V6:X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S14:U14"/>
    <mergeCell ref="S17:U17"/>
    <mergeCell ref="A14:C14"/>
    <mergeCell ref="D14:F14"/>
    <mergeCell ref="G14:I14"/>
    <mergeCell ref="J14:L14"/>
    <mergeCell ref="M14:O14"/>
    <mergeCell ref="P14:R14"/>
    <mergeCell ref="A17:C17"/>
    <mergeCell ref="P37:R37"/>
    <mergeCell ref="S37:U37"/>
    <mergeCell ref="S41:U41"/>
    <mergeCell ref="P45:R45"/>
    <mergeCell ref="S45:U45"/>
    <mergeCell ref="J37:L37"/>
    <mergeCell ref="M37:O37"/>
    <mergeCell ref="A45:C45"/>
    <mergeCell ref="D45:F45"/>
    <mergeCell ref="G45:I45"/>
    <mergeCell ref="J45:L45"/>
    <mergeCell ref="M45:O45"/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S30:U30"/>
    <mergeCell ref="A38:C38"/>
    <mergeCell ref="D38:F38"/>
    <mergeCell ref="G38:I38"/>
    <mergeCell ref="J38:L38"/>
    <mergeCell ref="M38:O38"/>
    <mergeCell ref="P38:R38"/>
    <mergeCell ref="S38:U38"/>
    <mergeCell ref="P30:R30"/>
    <mergeCell ref="P31:R31"/>
    <mergeCell ref="D33:F33"/>
    <mergeCell ref="S33:U33"/>
    <mergeCell ref="A37:C37"/>
    <mergeCell ref="D37:F37"/>
    <mergeCell ref="G37:I37"/>
    <mergeCell ref="B53:D53"/>
    <mergeCell ref="B55:D55"/>
    <mergeCell ref="A46:C46"/>
    <mergeCell ref="D46:F46"/>
    <mergeCell ref="G46:I46"/>
    <mergeCell ref="J46:L46"/>
    <mergeCell ref="M46:O46"/>
    <mergeCell ref="P46:R46"/>
    <mergeCell ref="S46:U46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7.86"/>
    <col customWidth="1" min="5" max="5" width="11.43"/>
    <col customWidth="1" min="6" max="6" width="7.43"/>
    <col customWidth="1" min="7" max="7" width="18.29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6" t="s">
        <v>170</v>
      </c>
      <c r="C1" s="2" t="s">
        <v>346</v>
      </c>
      <c r="F1" s="3"/>
      <c r="G1" s="4" t="s">
        <v>2</v>
      </c>
      <c r="Q1" s="3"/>
    </row>
    <row r="2">
      <c r="A2" s="6" t="s">
        <v>3</v>
      </c>
      <c r="C2" s="7" t="s">
        <v>172</v>
      </c>
      <c r="F2" s="3"/>
      <c r="Q2" s="3"/>
    </row>
    <row r="3">
      <c r="A3" s="6" t="s">
        <v>5</v>
      </c>
      <c r="C3" s="2" t="s">
        <v>72</v>
      </c>
      <c r="F3" s="3"/>
      <c r="Q3" s="3"/>
    </row>
    <row r="4">
      <c r="A4" s="6" t="s">
        <v>6</v>
      </c>
      <c r="C4" s="2" t="s">
        <v>72</v>
      </c>
      <c r="F4" s="3"/>
      <c r="G4" s="3"/>
      <c r="H4" s="3"/>
      <c r="I4" s="3"/>
      <c r="J4" s="3"/>
      <c r="K4" s="3"/>
      <c r="L4" s="3"/>
      <c r="M4" s="3"/>
      <c r="N4" s="3"/>
      <c r="O4" s="127"/>
      <c r="P4" s="128"/>
      <c r="Q4" s="129"/>
    </row>
    <row r="5">
      <c r="A5" s="10" t="s">
        <v>7</v>
      </c>
      <c r="B5" s="11"/>
      <c r="C5" s="12"/>
      <c r="D5" s="10" t="s">
        <v>8</v>
      </c>
      <c r="E5" s="11"/>
      <c r="F5" s="12"/>
      <c r="G5" s="10" t="s">
        <v>9</v>
      </c>
      <c r="H5" s="11"/>
      <c r="I5" s="12"/>
      <c r="J5" s="10" t="s">
        <v>10</v>
      </c>
      <c r="K5" s="11"/>
      <c r="L5" s="12"/>
      <c r="M5" s="13" t="s">
        <v>11</v>
      </c>
      <c r="N5" s="11"/>
      <c r="O5" s="12"/>
      <c r="P5" s="10" t="s">
        <v>12</v>
      </c>
      <c r="Q5" s="11"/>
      <c r="R5" s="12"/>
      <c r="S5" s="13" t="s">
        <v>13</v>
      </c>
      <c r="T5" s="11"/>
      <c r="U5" s="12"/>
    </row>
    <row r="6">
      <c r="A6" s="273"/>
      <c r="B6" s="11"/>
      <c r="C6" s="12"/>
      <c r="D6" s="273"/>
      <c r="E6" s="11"/>
      <c r="F6" s="12"/>
      <c r="G6" s="273"/>
      <c r="H6" s="11"/>
      <c r="I6" s="12"/>
      <c r="J6" s="273"/>
      <c r="K6" s="11"/>
      <c r="L6" s="12"/>
      <c r="M6" s="16"/>
      <c r="N6" s="11"/>
      <c r="O6" s="12"/>
      <c r="P6" s="15"/>
      <c r="Q6" s="11"/>
      <c r="R6" s="12"/>
      <c r="S6" s="16"/>
      <c r="T6" s="11"/>
      <c r="U6" s="12"/>
    </row>
    <row r="7">
      <c r="A7" s="17"/>
      <c r="B7" s="17"/>
      <c r="C7" s="17"/>
      <c r="D7" s="17"/>
      <c r="E7" s="17"/>
      <c r="F7" s="17"/>
      <c r="G7" s="17"/>
      <c r="H7" s="17"/>
      <c r="I7" s="17"/>
      <c r="J7" s="30"/>
      <c r="K7" s="30"/>
      <c r="L7" s="30"/>
      <c r="M7" s="17"/>
      <c r="N7" s="17"/>
      <c r="O7" s="17"/>
      <c r="P7" s="17"/>
      <c r="Q7" s="17"/>
      <c r="R7" s="17"/>
      <c r="S7" s="17"/>
      <c r="T7" s="17"/>
      <c r="U7" s="17"/>
    </row>
    <row r="8">
      <c r="A8" s="17"/>
      <c r="B8" s="17"/>
      <c r="C8" s="17"/>
      <c r="D8" s="17"/>
      <c r="E8" s="17"/>
      <c r="F8" s="17"/>
      <c r="G8" s="17"/>
      <c r="H8" s="19"/>
      <c r="I8" s="17"/>
      <c r="J8" s="22"/>
      <c r="K8" s="22"/>
      <c r="L8" s="22"/>
      <c r="M8" s="46"/>
      <c r="N8" s="46"/>
      <c r="O8" s="46"/>
      <c r="P8" s="22"/>
      <c r="Q8" s="22"/>
      <c r="R8" s="22"/>
      <c r="S8" s="46"/>
      <c r="T8" s="46"/>
      <c r="U8" s="46"/>
    </row>
    <row r="9">
      <c r="A9" s="17"/>
      <c r="B9" s="17"/>
      <c r="C9" s="17"/>
      <c r="D9" s="17"/>
      <c r="E9" s="17"/>
      <c r="F9" s="17"/>
      <c r="G9" s="17"/>
      <c r="H9" s="17"/>
      <c r="I9" s="17"/>
      <c r="J9" s="22"/>
      <c r="K9" s="22"/>
      <c r="L9" s="22"/>
      <c r="M9" s="46"/>
      <c r="N9" s="46"/>
      <c r="O9" s="46"/>
      <c r="P9" s="22"/>
      <c r="Q9" s="22"/>
      <c r="R9" s="22"/>
      <c r="S9" s="41" t="s">
        <v>14</v>
      </c>
      <c r="T9" s="11"/>
      <c r="U9" s="12"/>
      <c r="W9" s="289" t="s">
        <v>15</v>
      </c>
      <c r="X9" s="131" t="s">
        <v>127</v>
      </c>
      <c r="Y9" s="132" t="s">
        <v>17</v>
      </c>
    </row>
    <row r="10">
      <c r="A10" s="17"/>
      <c r="B10" s="17"/>
      <c r="C10" s="17"/>
      <c r="D10" s="17"/>
      <c r="E10" s="17"/>
      <c r="F10" s="17"/>
      <c r="G10" s="22"/>
      <c r="H10" s="22"/>
      <c r="I10" s="22"/>
      <c r="J10" s="22"/>
      <c r="K10" s="22"/>
      <c r="L10" s="22"/>
      <c r="M10" s="46"/>
      <c r="N10" s="46"/>
      <c r="O10" s="46"/>
      <c r="P10" s="22"/>
      <c r="Q10" s="22"/>
      <c r="R10" s="22"/>
      <c r="S10" s="46"/>
      <c r="T10" s="46"/>
      <c r="U10" s="46"/>
      <c r="W10" s="183">
        <v>1.0</v>
      </c>
      <c r="X10" s="20"/>
      <c r="Y10" s="20"/>
    </row>
    <row r="11">
      <c r="A11" s="17"/>
      <c r="B11" s="17"/>
      <c r="C11" s="17"/>
      <c r="D11" s="17"/>
      <c r="E11" s="17"/>
      <c r="F11" s="17"/>
      <c r="G11" s="22"/>
      <c r="H11" s="22"/>
      <c r="I11" s="22"/>
      <c r="J11" s="22"/>
      <c r="K11" s="22"/>
      <c r="L11" s="22"/>
      <c r="M11" s="17"/>
      <c r="N11" s="17"/>
      <c r="O11" s="17"/>
      <c r="P11" s="17"/>
      <c r="Q11" s="19"/>
      <c r="R11" s="17"/>
      <c r="S11" s="17"/>
      <c r="T11" s="17"/>
      <c r="U11" s="17"/>
      <c r="W11" s="183">
        <v>2.0</v>
      </c>
      <c r="X11" s="290" t="s">
        <v>347</v>
      </c>
      <c r="Y11" s="135">
        <f t="shared" ref="Y11:Y32" si="1">COUNTIF($A$5:$U$51,X11)</f>
        <v>0</v>
      </c>
    </row>
    <row r="12">
      <c r="A12" s="17"/>
      <c r="B12" s="17"/>
      <c r="C12" s="17"/>
      <c r="D12" s="17"/>
      <c r="E12" s="17"/>
      <c r="F12" s="17"/>
      <c r="G12" s="19"/>
      <c r="H12" s="19"/>
      <c r="I12" s="19"/>
      <c r="J12" s="19"/>
      <c r="K12" s="19"/>
      <c r="L12" s="30"/>
      <c r="M12" s="17"/>
      <c r="N12" s="17"/>
      <c r="O12" s="17"/>
      <c r="P12" s="17"/>
      <c r="Q12" s="17"/>
      <c r="R12" s="17"/>
      <c r="S12" s="17"/>
      <c r="T12" s="17"/>
      <c r="U12" s="17"/>
      <c r="W12" s="183">
        <v>3.0</v>
      </c>
      <c r="X12" s="291" t="s">
        <v>348</v>
      </c>
      <c r="Y12" s="135">
        <f t="shared" si="1"/>
        <v>4</v>
      </c>
    </row>
    <row r="13">
      <c r="A13" s="31" t="s">
        <v>7</v>
      </c>
      <c r="B13" s="11"/>
      <c r="C13" s="12"/>
      <c r="D13" s="32" t="s">
        <v>8</v>
      </c>
      <c r="E13" s="11"/>
      <c r="F13" s="12"/>
      <c r="G13" s="32" t="s">
        <v>9</v>
      </c>
      <c r="H13" s="11"/>
      <c r="I13" s="12"/>
      <c r="J13" s="32" t="s">
        <v>10</v>
      </c>
      <c r="K13" s="11"/>
      <c r="L13" s="12"/>
      <c r="M13" s="32" t="s">
        <v>11</v>
      </c>
      <c r="N13" s="11"/>
      <c r="O13" s="12"/>
      <c r="P13" s="32" t="s">
        <v>12</v>
      </c>
      <c r="Q13" s="11"/>
      <c r="R13" s="12"/>
      <c r="S13" s="292" t="s">
        <v>13</v>
      </c>
      <c r="T13" s="11"/>
      <c r="U13" s="12"/>
      <c r="W13" s="183">
        <v>4.0</v>
      </c>
      <c r="X13" s="291" t="s">
        <v>349</v>
      </c>
      <c r="Y13" s="135">
        <f t="shared" si="1"/>
        <v>4</v>
      </c>
    </row>
    <row r="14">
      <c r="A14" s="34">
        <v>46174.0</v>
      </c>
      <c r="B14" s="11"/>
      <c r="C14" s="12"/>
      <c r="D14" s="35">
        <f>A14+1</f>
        <v>46175</v>
      </c>
      <c r="E14" s="11"/>
      <c r="F14" s="12"/>
      <c r="G14" s="35">
        <f>D14+1</f>
        <v>46176</v>
      </c>
      <c r="H14" s="11"/>
      <c r="I14" s="12"/>
      <c r="J14" s="35">
        <f>G14+1</f>
        <v>46177</v>
      </c>
      <c r="K14" s="11"/>
      <c r="L14" s="12"/>
      <c r="M14" s="35">
        <f>J14+1</f>
        <v>46178</v>
      </c>
      <c r="N14" s="11"/>
      <c r="O14" s="12"/>
      <c r="P14" s="35">
        <f>M14+1</f>
        <v>46179</v>
      </c>
      <c r="Q14" s="11"/>
      <c r="R14" s="12"/>
      <c r="S14" s="36">
        <f>P14+1</f>
        <v>46180</v>
      </c>
      <c r="T14" s="11"/>
      <c r="U14" s="12"/>
      <c r="W14" s="183">
        <v>5.0</v>
      </c>
      <c r="X14" s="291" t="s">
        <v>350</v>
      </c>
      <c r="Y14" s="135">
        <f t="shared" si="1"/>
        <v>2</v>
      </c>
    </row>
    <row r="15">
      <c r="A15" s="17"/>
      <c r="B15" s="17"/>
      <c r="C15" s="17"/>
      <c r="D15" s="17"/>
      <c r="E15" s="17"/>
      <c r="F15" s="17"/>
      <c r="G15" s="19"/>
      <c r="H15" s="19"/>
      <c r="I15" s="19"/>
      <c r="J15" s="157"/>
      <c r="K15" s="157"/>
      <c r="L15" s="157"/>
      <c r="M15" s="17"/>
      <c r="N15" s="17"/>
      <c r="O15" s="157"/>
      <c r="P15" s="19"/>
      <c r="Q15" s="19"/>
      <c r="R15" s="19"/>
      <c r="S15" s="19"/>
      <c r="T15" s="19"/>
      <c r="U15" s="19"/>
      <c r="W15" s="183">
        <v>6.0</v>
      </c>
      <c r="X15" s="28" t="s">
        <v>351</v>
      </c>
      <c r="Y15" s="135">
        <f t="shared" si="1"/>
        <v>4</v>
      </c>
    </row>
    <row r="16">
      <c r="A16" s="17"/>
      <c r="B16" s="17"/>
      <c r="C16" s="17"/>
      <c r="D16" s="19" t="s">
        <v>352</v>
      </c>
      <c r="E16" s="19" t="s">
        <v>34</v>
      </c>
      <c r="F16" s="19" t="s">
        <v>25</v>
      </c>
      <c r="G16" s="19" t="s">
        <v>353</v>
      </c>
      <c r="H16" s="19" t="s">
        <v>28</v>
      </c>
      <c r="I16" s="17" t="s">
        <v>29</v>
      </c>
      <c r="J16" s="19" t="s">
        <v>348</v>
      </c>
      <c r="K16" s="19" t="s">
        <v>40</v>
      </c>
      <c r="L16" s="19" t="s">
        <v>29</v>
      </c>
      <c r="M16" s="17" t="s">
        <v>349</v>
      </c>
      <c r="N16" s="17" t="s">
        <v>354</v>
      </c>
      <c r="O16" s="17" t="s">
        <v>25</v>
      </c>
      <c r="P16" s="19" t="s">
        <v>355</v>
      </c>
      <c r="Q16" s="19" t="s">
        <v>356</v>
      </c>
      <c r="R16" s="158" t="s">
        <v>25</v>
      </c>
      <c r="S16" s="19"/>
      <c r="T16" s="19"/>
      <c r="U16" s="19"/>
      <c r="W16" s="183">
        <v>7.0</v>
      </c>
      <c r="X16" s="28" t="s">
        <v>352</v>
      </c>
      <c r="Y16" s="135">
        <f t="shared" si="1"/>
        <v>4</v>
      </c>
    </row>
    <row r="17">
      <c r="A17" s="293" t="s">
        <v>14</v>
      </c>
      <c r="B17" s="11"/>
      <c r="C17" s="12"/>
      <c r="D17" s="19" t="s">
        <v>357</v>
      </c>
      <c r="E17" s="19" t="s">
        <v>49</v>
      </c>
      <c r="F17" s="19" t="s">
        <v>35</v>
      </c>
      <c r="G17" s="19" t="s">
        <v>358</v>
      </c>
      <c r="H17" s="19" t="s">
        <v>309</v>
      </c>
      <c r="I17" s="19" t="s">
        <v>25</v>
      </c>
      <c r="J17" s="294" t="s">
        <v>359</v>
      </c>
      <c r="K17" s="294" t="s">
        <v>49</v>
      </c>
      <c r="L17" s="294" t="s">
        <v>35</v>
      </c>
      <c r="M17" s="17" t="s">
        <v>360</v>
      </c>
      <c r="N17" s="19" t="s">
        <v>37</v>
      </c>
      <c r="O17" s="17" t="s">
        <v>25</v>
      </c>
      <c r="P17" s="295" t="s">
        <v>361</v>
      </c>
      <c r="Q17" s="150" t="s">
        <v>28</v>
      </c>
      <c r="R17" s="296" t="s">
        <v>29</v>
      </c>
      <c r="S17" s="41" t="s">
        <v>14</v>
      </c>
      <c r="T17" s="11"/>
      <c r="U17" s="12"/>
      <c r="W17" s="183">
        <v>8.0</v>
      </c>
      <c r="X17" s="208" t="s">
        <v>362</v>
      </c>
      <c r="Y17" s="135">
        <f t="shared" si="1"/>
        <v>2</v>
      </c>
    </row>
    <row r="18">
      <c r="A18" s="17"/>
      <c r="B18" s="17"/>
      <c r="C18" s="17"/>
      <c r="G18" s="22"/>
      <c r="H18" s="22"/>
      <c r="I18" s="22"/>
      <c r="J18" s="17" t="s">
        <v>363</v>
      </c>
      <c r="K18" s="17" t="s">
        <v>111</v>
      </c>
      <c r="L18" s="17" t="s">
        <v>25</v>
      </c>
      <c r="M18" s="22"/>
      <c r="N18" s="22"/>
      <c r="O18" s="22"/>
      <c r="S18" s="19"/>
      <c r="T18" s="19"/>
      <c r="U18" s="19"/>
      <c r="W18" s="183">
        <v>9.0</v>
      </c>
      <c r="X18" s="291" t="s">
        <v>363</v>
      </c>
      <c r="Y18" s="135">
        <f t="shared" si="1"/>
        <v>2</v>
      </c>
    </row>
    <row r="19" ht="15.0" customHeight="1">
      <c r="A19" s="22"/>
      <c r="B19" s="22"/>
      <c r="C19" s="22"/>
      <c r="G19" s="19"/>
      <c r="H19" s="19"/>
      <c r="I19" s="19"/>
      <c r="M19" s="17"/>
      <c r="N19" s="17"/>
      <c r="O19" s="157"/>
      <c r="P19" s="19"/>
      <c r="Q19" s="19"/>
      <c r="R19" s="19"/>
      <c r="S19" s="19"/>
      <c r="T19" s="19"/>
      <c r="U19" s="19"/>
      <c r="W19" s="183">
        <v>10.0</v>
      </c>
      <c r="X19" s="157" t="s">
        <v>362</v>
      </c>
      <c r="Y19" s="135">
        <f t="shared" si="1"/>
        <v>2</v>
      </c>
    </row>
    <row r="20" ht="15.0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9"/>
      <c r="Q20" s="19"/>
      <c r="R20" s="19"/>
      <c r="S20" s="19"/>
      <c r="T20" s="19"/>
      <c r="U20" s="19"/>
      <c r="W20" s="183">
        <v>11.0</v>
      </c>
      <c r="X20" s="28" t="s">
        <v>364</v>
      </c>
      <c r="Y20" s="135">
        <f t="shared" si="1"/>
        <v>2</v>
      </c>
    </row>
    <row r="21" ht="15.75" customHeight="1">
      <c r="A21" s="10" t="s">
        <v>7</v>
      </c>
      <c r="B21" s="11"/>
      <c r="C21" s="12"/>
      <c r="D21" s="10" t="s">
        <v>8</v>
      </c>
      <c r="E21" s="11"/>
      <c r="F21" s="12"/>
      <c r="G21" s="10" t="s">
        <v>9</v>
      </c>
      <c r="H21" s="11"/>
      <c r="I21" s="12"/>
      <c r="J21" s="10" t="s">
        <v>10</v>
      </c>
      <c r="K21" s="11"/>
      <c r="L21" s="12"/>
      <c r="M21" s="10" t="s">
        <v>11</v>
      </c>
      <c r="N21" s="11"/>
      <c r="O21" s="12"/>
      <c r="P21" s="10" t="s">
        <v>12</v>
      </c>
      <c r="Q21" s="11"/>
      <c r="R21" s="12"/>
      <c r="S21" s="13" t="s">
        <v>13</v>
      </c>
      <c r="T21" s="11"/>
      <c r="U21" s="12"/>
      <c r="W21" s="183">
        <v>12.0</v>
      </c>
      <c r="X21" s="19" t="s">
        <v>353</v>
      </c>
      <c r="Y21" s="135">
        <f t="shared" si="1"/>
        <v>2</v>
      </c>
    </row>
    <row r="22" ht="15.75" customHeight="1">
      <c r="A22" s="15">
        <f>S14+1</f>
        <v>46181</v>
      </c>
      <c r="B22" s="11"/>
      <c r="C22" s="12"/>
      <c r="D22" s="15">
        <f>A22+1</f>
        <v>46182</v>
      </c>
      <c r="E22" s="11"/>
      <c r="F22" s="12"/>
      <c r="G22" s="15">
        <f>D22+1</f>
        <v>46183</v>
      </c>
      <c r="H22" s="11"/>
      <c r="I22" s="12"/>
      <c r="J22" s="15">
        <f>G22+1</f>
        <v>46184</v>
      </c>
      <c r="K22" s="11"/>
      <c r="L22" s="12"/>
      <c r="M22" s="15">
        <f>J22+1</f>
        <v>46185</v>
      </c>
      <c r="N22" s="11"/>
      <c r="O22" s="12"/>
      <c r="P22" s="15">
        <f>M22+1</f>
        <v>46186</v>
      </c>
      <c r="Q22" s="11"/>
      <c r="R22" s="12"/>
      <c r="S22" s="16">
        <f>P22+1</f>
        <v>46187</v>
      </c>
      <c r="T22" s="11"/>
      <c r="U22" s="12"/>
      <c r="W22" s="183">
        <v>13.0</v>
      </c>
      <c r="X22" s="28" t="s">
        <v>365</v>
      </c>
      <c r="Y22" s="135">
        <f t="shared" si="1"/>
        <v>2</v>
      </c>
    </row>
    <row r="23" ht="15.75" customHeight="1">
      <c r="A23" s="19"/>
      <c r="B23" s="19"/>
      <c r="C23" s="19"/>
      <c r="D23" s="19"/>
      <c r="E23" s="19"/>
      <c r="F23" s="19"/>
      <c r="G23" s="22"/>
      <c r="H23" s="22"/>
      <c r="I23" s="22"/>
      <c r="J23" s="30"/>
      <c r="K23" s="30"/>
      <c r="L23" s="30"/>
      <c r="M23" s="22"/>
      <c r="N23" s="22"/>
      <c r="O23" s="22"/>
      <c r="P23" s="19"/>
      <c r="Q23" s="19"/>
      <c r="R23" s="19"/>
      <c r="S23" s="19"/>
      <c r="T23" s="19"/>
      <c r="U23" s="19"/>
      <c r="W23" s="183">
        <v>14.0</v>
      </c>
      <c r="X23" s="28" t="s">
        <v>358</v>
      </c>
      <c r="Y23" s="135">
        <f t="shared" si="1"/>
        <v>2</v>
      </c>
    </row>
    <row r="24" ht="15.75" customHeight="1">
      <c r="A24" s="157" t="s">
        <v>362</v>
      </c>
      <c r="B24" s="158" t="s">
        <v>52</v>
      </c>
      <c r="C24" s="157" t="s">
        <v>366</v>
      </c>
      <c r="D24" s="19" t="s">
        <v>352</v>
      </c>
      <c r="E24" s="19" t="s">
        <v>34</v>
      </c>
      <c r="F24" s="19" t="s">
        <v>25</v>
      </c>
      <c r="G24" s="19" t="s">
        <v>348</v>
      </c>
      <c r="H24" s="19" t="s">
        <v>105</v>
      </c>
      <c r="I24" s="19" t="s">
        <v>29</v>
      </c>
      <c r="J24" s="294" t="s">
        <v>359</v>
      </c>
      <c r="K24" s="294" t="s">
        <v>49</v>
      </c>
      <c r="L24" s="294" t="s">
        <v>35</v>
      </c>
      <c r="M24" s="17" t="s">
        <v>360</v>
      </c>
      <c r="N24" s="19" t="s">
        <v>52</v>
      </c>
      <c r="O24" s="17" t="s">
        <v>25</v>
      </c>
      <c r="P24" s="19" t="s">
        <v>367</v>
      </c>
      <c r="Q24" s="297" t="s">
        <v>368</v>
      </c>
      <c r="R24" s="19" t="s">
        <v>35</v>
      </c>
      <c r="S24" s="293" t="s">
        <v>14</v>
      </c>
      <c r="T24" s="11"/>
      <c r="U24" s="12"/>
      <c r="W24" s="183">
        <v>15.0</v>
      </c>
      <c r="X24" s="28" t="s">
        <v>369</v>
      </c>
      <c r="Y24" s="135">
        <f t="shared" si="1"/>
        <v>4</v>
      </c>
    </row>
    <row r="25" ht="15.75" customHeight="1">
      <c r="A25" s="19" t="s">
        <v>370</v>
      </c>
      <c r="B25" s="19" t="s">
        <v>111</v>
      </c>
      <c r="C25" s="19" t="s">
        <v>25</v>
      </c>
      <c r="D25" s="19" t="s">
        <v>371</v>
      </c>
      <c r="E25" s="17" t="s">
        <v>49</v>
      </c>
      <c r="F25" s="17" t="s">
        <v>35</v>
      </c>
      <c r="G25" s="17" t="s">
        <v>364</v>
      </c>
      <c r="H25" s="19" t="s">
        <v>28</v>
      </c>
      <c r="I25" s="17" t="s">
        <v>29</v>
      </c>
      <c r="J25" s="19" t="s">
        <v>372</v>
      </c>
      <c r="K25" s="19" t="s">
        <v>373</v>
      </c>
      <c r="L25" s="17" t="s">
        <v>25</v>
      </c>
      <c r="M25" s="17" t="s">
        <v>349</v>
      </c>
      <c r="N25" s="19" t="s">
        <v>354</v>
      </c>
      <c r="O25" s="17" t="s">
        <v>25</v>
      </c>
      <c r="P25" s="19" t="s">
        <v>355</v>
      </c>
      <c r="Q25" s="19" t="s">
        <v>356</v>
      </c>
      <c r="R25" s="158" t="s">
        <v>25</v>
      </c>
      <c r="S25" s="30"/>
      <c r="T25" s="30"/>
      <c r="U25" s="30"/>
      <c r="W25" s="183">
        <v>16.0</v>
      </c>
      <c r="X25" s="28" t="s">
        <v>374</v>
      </c>
      <c r="Y25" s="135">
        <f t="shared" si="1"/>
        <v>4</v>
      </c>
    </row>
    <row r="26" ht="15.75" customHeight="1">
      <c r="A26" s="19" t="s">
        <v>351</v>
      </c>
      <c r="B26" s="19" t="s">
        <v>37</v>
      </c>
      <c r="C26" s="19" t="s">
        <v>25</v>
      </c>
      <c r="J26" s="19" t="s">
        <v>375</v>
      </c>
      <c r="K26" s="17" t="s">
        <v>28</v>
      </c>
      <c r="L26" s="157" t="s">
        <v>29</v>
      </c>
      <c r="M26" s="217" t="s">
        <v>350</v>
      </c>
      <c r="N26" s="19" t="s">
        <v>111</v>
      </c>
      <c r="O26" s="19" t="s">
        <v>25</v>
      </c>
      <c r="S26" s="19"/>
      <c r="T26" s="19"/>
      <c r="U26" s="19"/>
      <c r="W26" s="183">
        <v>17.0</v>
      </c>
      <c r="X26" s="28" t="s">
        <v>365</v>
      </c>
      <c r="Y26" s="135">
        <f t="shared" si="1"/>
        <v>2</v>
      </c>
    </row>
    <row r="27" ht="15.75" customHeight="1">
      <c r="A27" s="22"/>
      <c r="B27" s="22"/>
      <c r="C27" s="22"/>
      <c r="D27" s="19"/>
      <c r="E27" s="19"/>
      <c r="F27" s="19"/>
      <c r="G27" s="22"/>
      <c r="H27" s="22"/>
      <c r="I27" s="22"/>
      <c r="J27" s="17" t="s">
        <v>376</v>
      </c>
      <c r="K27" s="17" t="s">
        <v>111</v>
      </c>
      <c r="L27" s="157" t="s">
        <v>25</v>
      </c>
      <c r="P27" s="298"/>
      <c r="Q27" s="19"/>
      <c r="R27" s="17"/>
      <c r="S27" s="19"/>
      <c r="T27" s="19"/>
      <c r="U27" s="19"/>
      <c r="W27" s="183">
        <v>18.0</v>
      </c>
      <c r="X27" s="28" t="s">
        <v>355</v>
      </c>
      <c r="Y27" s="135">
        <f t="shared" si="1"/>
        <v>4</v>
      </c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19"/>
      <c r="T28" s="19"/>
      <c r="U28" s="19"/>
      <c r="W28" s="183">
        <v>19.0</v>
      </c>
      <c r="X28" s="28" t="s">
        <v>367</v>
      </c>
      <c r="Y28" s="135">
        <f t="shared" si="1"/>
        <v>2</v>
      </c>
    </row>
    <row r="29" ht="15.75" customHeight="1">
      <c r="A29" s="32" t="s">
        <v>7</v>
      </c>
      <c r="B29" s="11"/>
      <c r="C29" s="12"/>
      <c r="D29" s="31" t="s">
        <v>8</v>
      </c>
      <c r="E29" s="11"/>
      <c r="F29" s="12"/>
      <c r="G29" s="32" t="s">
        <v>9</v>
      </c>
      <c r="H29" s="11"/>
      <c r="I29" s="12"/>
      <c r="J29" s="32" t="s">
        <v>10</v>
      </c>
      <c r="K29" s="11"/>
      <c r="L29" s="12"/>
      <c r="M29" s="32" t="s">
        <v>11</v>
      </c>
      <c r="N29" s="11"/>
      <c r="O29" s="12"/>
      <c r="P29" s="32" t="s">
        <v>12</v>
      </c>
      <c r="Q29" s="11"/>
      <c r="R29" s="12"/>
      <c r="S29" s="292" t="s">
        <v>13</v>
      </c>
      <c r="T29" s="11"/>
      <c r="U29" s="12"/>
      <c r="W29" s="183">
        <v>20.0</v>
      </c>
      <c r="X29" s="299" t="s">
        <v>377</v>
      </c>
      <c r="Y29" s="135">
        <f t="shared" si="1"/>
        <v>0</v>
      </c>
    </row>
    <row r="30" ht="15.75" customHeight="1">
      <c r="A30" s="49">
        <f>S22+1</f>
        <v>46188</v>
      </c>
      <c r="B30" s="11"/>
      <c r="C30" s="12"/>
      <c r="D30" s="50">
        <f>A30+1</f>
        <v>46189</v>
      </c>
      <c r="E30" s="11"/>
      <c r="F30" s="12"/>
      <c r="G30" s="49">
        <f>D30+1</f>
        <v>46190</v>
      </c>
      <c r="H30" s="11"/>
      <c r="I30" s="12"/>
      <c r="J30" s="49">
        <f>G30+1</f>
        <v>46191</v>
      </c>
      <c r="K30" s="11"/>
      <c r="L30" s="12"/>
      <c r="M30" s="49">
        <f>J30+1</f>
        <v>46192</v>
      </c>
      <c r="N30" s="11"/>
      <c r="O30" s="12"/>
      <c r="P30" s="49">
        <f>M30+1</f>
        <v>46193</v>
      </c>
      <c r="Q30" s="11"/>
      <c r="R30" s="12"/>
      <c r="S30" s="50">
        <f>P30+1</f>
        <v>46194</v>
      </c>
      <c r="T30" s="11"/>
      <c r="U30" s="12"/>
      <c r="W30" s="183">
        <v>21.0</v>
      </c>
      <c r="X30" s="300" t="s">
        <v>378</v>
      </c>
      <c r="Y30" s="135">
        <f t="shared" si="1"/>
        <v>0</v>
      </c>
    </row>
    <row r="31" ht="15.75" customHeight="1">
      <c r="A31" s="19"/>
      <c r="B31" s="19"/>
      <c r="C31" s="19"/>
      <c r="D31" s="17"/>
      <c r="E31" s="17"/>
      <c r="F31" s="17"/>
      <c r="G31" s="17"/>
      <c r="H31" s="17"/>
      <c r="I31" s="17"/>
      <c r="J31" s="157"/>
      <c r="K31" s="157"/>
      <c r="L31" s="157"/>
      <c r="P31" s="19"/>
      <c r="Q31" s="19"/>
      <c r="R31" s="19"/>
      <c r="S31" s="19"/>
      <c r="T31" s="19"/>
      <c r="U31" s="19"/>
      <c r="W31" s="183">
        <v>22.0</v>
      </c>
      <c r="X31" s="19" t="s">
        <v>372</v>
      </c>
      <c r="Y31" s="135">
        <f t="shared" si="1"/>
        <v>2</v>
      </c>
    </row>
    <row r="32" ht="15.75" customHeight="1">
      <c r="A32" s="19" t="s">
        <v>379</v>
      </c>
      <c r="B32" s="19" t="s">
        <v>111</v>
      </c>
      <c r="C32" s="19" t="s">
        <v>25</v>
      </c>
      <c r="D32" s="17"/>
      <c r="E32" s="17"/>
      <c r="F32" s="17"/>
      <c r="G32" s="19" t="s">
        <v>352</v>
      </c>
      <c r="H32" s="19" t="s">
        <v>34</v>
      </c>
      <c r="I32" s="19" t="s">
        <v>25</v>
      </c>
      <c r="J32" s="19" t="s">
        <v>348</v>
      </c>
      <c r="K32" s="19" t="s">
        <v>40</v>
      </c>
      <c r="L32" s="19" t="s">
        <v>29</v>
      </c>
      <c r="M32" s="17" t="s">
        <v>349</v>
      </c>
      <c r="N32" s="17" t="s">
        <v>354</v>
      </c>
      <c r="O32" s="17" t="s">
        <v>25</v>
      </c>
      <c r="P32" s="19" t="s">
        <v>355</v>
      </c>
      <c r="Q32" s="19" t="s">
        <v>356</v>
      </c>
      <c r="R32" s="158" t="s">
        <v>25</v>
      </c>
      <c r="S32" s="17"/>
      <c r="T32" s="17"/>
      <c r="U32" s="17"/>
      <c r="W32" s="183">
        <v>23.0</v>
      </c>
      <c r="X32" s="20"/>
      <c r="Y32" s="135">
        <f t="shared" si="1"/>
        <v>0</v>
      </c>
    </row>
    <row r="33" ht="15.75" customHeight="1">
      <c r="A33" s="19" t="s">
        <v>351</v>
      </c>
      <c r="B33" s="19" t="s">
        <v>37</v>
      </c>
      <c r="C33" s="19" t="s">
        <v>25</v>
      </c>
      <c r="D33" s="293" t="s">
        <v>14</v>
      </c>
      <c r="E33" s="11"/>
      <c r="F33" s="12"/>
      <c r="G33" s="19" t="s">
        <v>380</v>
      </c>
      <c r="H33" s="19" t="s">
        <v>49</v>
      </c>
      <c r="I33" s="19" t="s">
        <v>35</v>
      </c>
      <c r="J33" s="294" t="s">
        <v>359</v>
      </c>
      <c r="K33" s="294" t="s">
        <v>49</v>
      </c>
      <c r="L33" s="294" t="s">
        <v>35</v>
      </c>
      <c r="M33" s="17" t="s">
        <v>360</v>
      </c>
      <c r="N33" s="19" t="s">
        <v>37</v>
      </c>
      <c r="O33" s="17" t="s">
        <v>25</v>
      </c>
      <c r="P33" s="295" t="s">
        <v>361</v>
      </c>
      <c r="Q33" s="150" t="s">
        <v>28</v>
      </c>
      <c r="R33" s="296" t="s">
        <v>29</v>
      </c>
      <c r="S33" s="41" t="s">
        <v>14</v>
      </c>
      <c r="T33" s="11"/>
      <c r="U33" s="12"/>
      <c r="W33" s="183">
        <v>24.0</v>
      </c>
      <c r="X33" s="20"/>
      <c r="Y33" s="20"/>
    </row>
    <row r="34" ht="15.0" customHeight="1">
      <c r="A34" s="22"/>
      <c r="B34" s="22"/>
      <c r="C34" s="22"/>
      <c r="D34" s="17"/>
      <c r="E34" s="17"/>
      <c r="F34" s="17"/>
      <c r="G34" s="19" t="s">
        <v>353</v>
      </c>
      <c r="H34" s="19" t="s">
        <v>28</v>
      </c>
      <c r="I34" s="19" t="s">
        <v>29</v>
      </c>
      <c r="J34" s="17" t="s">
        <v>363</v>
      </c>
      <c r="K34" s="17" t="s">
        <v>111</v>
      </c>
      <c r="L34" s="17" t="s">
        <v>25</v>
      </c>
      <c r="P34" s="19"/>
      <c r="Q34" s="19"/>
      <c r="R34" s="19"/>
      <c r="S34" s="19"/>
      <c r="T34" s="19"/>
      <c r="U34" s="19"/>
      <c r="W34" s="183">
        <v>25.0</v>
      </c>
      <c r="X34" s="20"/>
      <c r="Y34" s="20"/>
    </row>
    <row r="35" ht="15.75" customHeight="1">
      <c r="A35" s="22"/>
      <c r="B35" s="22"/>
      <c r="C35" s="22"/>
      <c r="D35" s="30"/>
      <c r="E35" s="30"/>
      <c r="F35" s="30"/>
      <c r="G35" s="19" t="s">
        <v>358</v>
      </c>
      <c r="H35" s="19" t="s">
        <v>309</v>
      </c>
      <c r="I35" s="19" t="s">
        <v>25</v>
      </c>
      <c r="M35" s="17"/>
      <c r="N35" s="17"/>
      <c r="O35" s="157"/>
      <c r="P35" s="17"/>
      <c r="Q35" s="19"/>
      <c r="R35" s="157"/>
      <c r="S35" s="19"/>
      <c r="T35" s="19"/>
      <c r="U35" s="19"/>
      <c r="W35" s="183">
        <v>26.0</v>
      </c>
      <c r="X35" s="20"/>
      <c r="Y35" s="20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19"/>
      <c r="T36" s="19"/>
      <c r="U36" s="19"/>
      <c r="W36" s="183">
        <v>27.0</v>
      </c>
      <c r="X36" s="20"/>
      <c r="Y36" s="20"/>
    </row>
    <row r="37" ht="15.75" customHeight="1">
      <c r="A37" s="10" t="s">
        <v>7</v>
      </c>
      <c r="B37" s="11"/>
      <c r="C37" s="12"/>
      <c r="D37" s="10" t="s">
        <v>8</v>
      </c>
      <c r="E37" s="11"/>
      <c r="F37" s="12"/>
      <c r="G37" s="10" t="s">
        <v>9</v>
      </c>
      <c r="H37" s="11"/>
      <c r="I37" s="12"/>
      <c r="J37" s="94" t="s">
        <v>10</v>
      </c>
      <c r="K37" s="11"/>
      <c r="L37" s="12"/>
      <c r="M37" s="94" t="s">
        <v>11</v>
      </c>
      <c r="N37" s="11"/>
      <c r="O37" s="12"/>
      <c r="P37" s="94" t="s">
        <v>75</v>
      </c>
      <c r="Q37" s="11"/>
      <c r="R37" s="12"/>
      <c r="S37" s="95" t="s">
        <v>100</v>
      </c>
      <c r="T37" s="11"/>
      <c r="U37" s="12"/>
      <c r="W37" s="183">
        <v>28.0</v>
      </c>
      <c r="X37" s="20"/>
      <c r="Y37" s="20"/>
    </row>
    <row r="38" ht="15.75" customHeight="1">
      <c r="A38" s="15">
        <f>S30+1</f>
        <v>46195</v>
      </c>
      <c r="B38" s="11"/>
      <c r="C38" s="12"/>
      <c r="D38" s="15">
        <f>A38+1</f>
        <v>46196</v>
      </c>
      <c r="E38" s="11"/>
      <c r="F38" s="12"/>
      <c r="G38" s="15">
        <f>D38+1</f>
        <v>46197</v>
      </c>
      <c r="H38" s="11"/>
      <c r="I38" s="12"/>
      <c r="J38" s="97">
        <f>G38+1</f>
        <v>46198</v>
      </c>
      <c r="K38" s="11"/>
      <c r="L38" s="12"/>
      <c r="M38" s="97">
        <f>J38+1</f>
        <v>46199</v>
      </c>
      <c r="N38" s="11"/>
      <c r="O38" s="12"/>
      <c r="P38" s="97">
        <f>M38+1</f>
        <v>46200</v>
      </c>
      <c r="Q38" s="11"/>
      <c r="R38" s="12"/>
      <c r="S38" s="98">
        <f>P38+1</f>
        <v>46201</v>
      </c>
      <c r="T38" s="11"/>
      <c r="U38" s="12"/>
      <c r="W38" s="183">
        <v>29.0</v>
      </c>
      <c r="X38" s="20"/>
      <c r="Y38" s="20"/>
    </row>
    <row r="39" ht="15.75" customHeight="1">
      <c r="A39" s="157" t="s">
        <v>362</v>
      </c>
      <c r="B39" s="158" t="s">
        <v>52</v>
      </c>
      <c r="C39" s="157" t="s">
        <v>366</v>
      </c>
      <c r="D39" s="17"/>
      <c r="E39" s="19"/>
      <c r="F39" s="17"/>
      <c r="G39" s="19"/>
      <c r="H39" s="17"/>
      <c r="I39" s="1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W39" s="245"/>
      <c r="X39" s="20"/>
      <c r="Y39" s="20"/>
    </row>
    <row r="40" ht="15.75" customHeight="1">
      <c r="A40" s="19" t="s">
        <v>381</v>
      </c>
      <c r="B40" s="19" t="s">
        <v>111</v>
      </c>
      <c r="C40" s="19" t="s">
        <v>25</v>
      </c>
      <c r="D40" s="19" t="s">
        <v>352</v>
      </c>
      <c r="E40" s="19" t="s">
        <v>34</v>
      </c>
      <c r="F40" s="19" t="s">
        <v>25</v>
      </c>
      <c r="G40" s="19" t="s">
        <v>348</v>
      </c>
      <c r="H40" s="19" t="s">
        <v>40</v>
      </c>
      <c r="I40" s="19" t="s">
        <v>29</v>
      </c>
      <c r="J40" s="294" t="s">
        <v>359</v>
      </c>
      <c r="K40" s="294" t="s">
        <v>49</v>
      </c>
      <c r="L40" s="294" t="s">
        <v>35</v>
      </c>
      <c r="M40" s="17" t="s">
        <v>360</v>
      </c>
      <c r="N40" s="19" t="s">
        <v>52</v>
      </c>
      <c r="O40" s="17" t="s">
        <v>25</v>
      </c>
      <c r="P40" s="19" t="s">
        <v>367</v>
      </c>
      <c r="Q40" s="297" t="s">
        <v>368</v>
      </c>
      <c r="R40" s="19" t="s">
        <v>35</v>
      </c>
      <c r="S40" s="293"/>
      <c r="T40" s="11"/>
      <c r="U40" s="12"/>
      <c r="W40" s="245"/>
      <c r="X40" s="245"/>
      <c r="Y40" s="301">
        <f>SUM(Y10:Y38)</f>
        <v>50</v>
      </c>
    </row>
    <row r="41" ht="15.75" customHeight="1">
      <c r="A41" s="19" t="s">
        <v>351</v>
      </c>
      <c r="B41" s="19" t="s">
        <v>37</v>
      </c>
      <c r="C41" s="19" t="s">
        <v>25</v>
      </c>
      <c r="D41" s="19" t="s">
        <v>382</v>
      </c>
      <c r="E41" s="19" t="s">
        <v>49</v>
      </c>
      <c r="F41" s="19" t="s">
        <v>35</v>
      </c>
      <c r="G41" s="17" t="s">
        <v>364</v>
      </c>
      <c r="H41" s="19" t="s">
        <v>28</v>
      </c>
      <c r="I41" s="17" t="s">
        <v>29</v>
      </c>
      <c r="J41" s="19" t="s">
        <v>372</v>
      </c>
      <c r="K41" s="19" t="s">
        <v>373</v>
      </c>
      <c r="L41" s="17" t="s">
        <v>25</v>
      </c>
      <c r="M41" s="17" t="s">
        <v>349</v>
      </c>
      <c r="N41" s="19" t="s">
        <v>354</v>
      </c>
      <c r="O41" s="17" t="s">
        <v>25</v>
      </c>
      <c r="P41" s="19" t="s">
        <v>355</v>
      </c>
      <c r="Q41" s="19" t="s">
        <v>356</v>
      </c>
      <c r="R41" s="158" t="s">
        <v>25</v>
      </c>
      <c r="S41" s="19"/>
      <c r="T41" s="19"/>
      <c r="U41" s="19"/>
    </row>
    <row r="42" ht="15.75" customHeight="1">
      <c r="A42" s="22"/>
      <c r="B42" s="22"/>
      <c r="C42" s="22"/>
      <c r="J42" s="19" t="s">
        <v>383</v>
      </c>
      <c r="K42" s="17" t="s">
        <v>28</v>
      </c>
      <c r="L42" s="157" t="s">
        <v>29</v>
      </c>
      <c r="M42" s="217" t="s">
        <v>350</v>
      </c>
      <c r="N42" s="19" t="s">
        <v>111</v>
      </c>
      <c r="O42" s="19" t="s">
        <v>25</v>
      </c>
      <c r="S42" s="19"/>
      <c r="T42" s="19"/>
      <c r="U42" s="19"/>
    </row>
    <row r="43" ht="15.75" customHeight="1">
      <c r="A43" s="22"/>
      <c r="B43" s="22"/>
      <c r="C43" s="22"/>
      <c r="D43" s="19"/>
      <c r="E43" s="19"/>
      <c r="F43" s="19"/>
      <c r="G43" s="22"/>
      <c r="H43" s="22"/>
      <c r="I43" s="158"/>
      <c r="J43" s="17" t="s">
        <v>384</v>
      </c>
      <c r="K43" s="17" t="s">
        <v>111</v>
      </c>
      <c r="L43" s="157" t="s">
        <v>25</v>
      </c>
      <c r="M43" s="19"/>
      <c r="N43" s="19"/>
      <c r="O43" s="19"/>
      <c r="P43" s="19"/>
      <c r="Q43" s="19"/>
      <c r="R43" s="19"/>
      <c r="S43" s="19"/>
      <c r="T43" s="19"/>
      <c r="U43" s="19"/>
    </row>
    <row r="44" ht="15.75" customHeight="1">
      <c r="A44" s="30"/>
      <c r="B44" s="30"/>
      <c r="C44" s="30"/>
      <c r="D44" s="22"/>
      <c r="E44" s="22"/>
      <c r="F44" s="22"/>
      <c r="G44" s="17"/>
      <c r="H44" s="17"/>
      <c r="I44" s="17"/>
      <c r="J44" s="22"/>
      <c r="K44" s="22"/>
      <c r="L44" s="22"/>
      <c r="M44" s="19"/>
      <c r="N44" s="19"/>
      <c r="O44" s="19"/>
      <c r="P44" s="19"/>
      <c r="Q44" s="19"/>
      <c r="R44" s="19"/>
      <c r="S44" s="19"/>
      <c r="T44" s="19"/>
      <c r="U44" s="19"/>
    </row>
    <row r="45" ht="15.75" customHeight="1">
      <c r="A45" s="32" t="s">
        <v>7</v>
      </c>
      <c r="B45" s="11"/>
      <c r="C45" s="12"/>
      <c r="D45" s="32" t="s">
        <v>8</v>
      </c>
      <c r="E45" s="11"/>
      <c r="F45" s="12"/>
      <c r="G45" s="32" t="s">
        <v>9</v>
      </c>
      <c r="H45" s="11"/>
      <c r="I45" s="12"/>
      <c r="J45" s="32" t="s">
        <v>10</v>
      </c>
      <c r="K45" s="11"/>
      <c r="L45" s="12"/>
      <c r="M45" s="32" t="s">
        <v>11</v>
      </c>
      <c r="N45" s="11"/>
      <c r="O45" s="12"/>
      <c r="P45" s="32" t="s">
        <v>12</v>
      </c>
      <c r="Q45" s="11"/>
      <c r="R45" s="12"/>
      <c r="S45" s="292" t="s">
        <v>13</v>
      </c>
      <c r="T45" s="11"/>
      <c r="U45" s="12"/>
    </row>
    <row r="46" ht="15.75" customHeight="1">
      <c r="A46" s="49">
        <f>S38+1</f>
        <v>46202</v>
      </c>
      <c r="B46" s="11"/>
      <c r="C46" s="12"/>
      <c r="D46" s="49">
        <f>A46+1</f>
        <v>46203</v>
      </c>
      <c r="E46" s="11"/>
      <c r="F46" s="12"/>
      <c r="G46" s="49"/>
      <c r="H46" s="11"/>
      <c r="I46" s="12"/>
      <c r="J46" s="49"/>
      <c r="K46" s="11"/>
      <c r="L46" s="12"/>
      <c r="M46" s="49"/>
      <c r="N46" s="11"/>
      <c r="O46" s="12"/>
      <c r="P46" s="49"/>
      <c r="Q46" s="11"/>
      <c r="R46" s="12"/>
      <c r="S46" s="50"/>
      <c r="T46" s="11"/>
      <c r="U46" s="12"/>
    </row>
    <row r="47" ht="15.75" customHeight="1">
      <c r="A47" s="30"/>
      <c r="B47" s="19"/>
      <c r="C47" s="19"/>
      <c r="D47" s="30"/>
      <c r="E47" s="30"/>
      <c r="F47" s="30"/>
      <c r="G47" s="30"/>
      <c r="H47" s="19"/>
      <c r="I47" s="19"/>
      <c r="J47" s="30"/>
      <c r="K47" s="30"/>
      <c r="L47" s="30"/>
      <c r="M47" s="19"/>
      <c r="N47" s="19"/>
      <c r="O47" s="19"/>
      <c r="P47" s="19"/>
      <c r="Q47" s="19"/>
      <c r="R47" s="19"/>
      <c r="S47" s="30"/>
      <c r="T47" s="30"/>
      <c r="U47" s="30"/>
    </row>
    <row r="48" ht="15.75" customHeight="1">
      <c r="A48" s="19" t="s">
        <v>385</v>
      </c>
      <c r="B48" s="19" t="s">
        <v>111</v>
      </c>
      <c r="C48" s="19" t="s">
        <v>25</v>
      </c>
      <c r="D48" s="30"/>
      <c r="E48" s="30"/>
      <c r="F48" s="30"/>
      <c r="G48" s="19"/>
      <c r="H48" s="19"/>
      <c r="I48" s="19"/>
      <c r="J48" s="30"/>
      <c r="K48" s="30"/>
      <c r="L48" s="30"/>
      <c r="M48" s="30"/>
      <c r="N48" s="30"/>
      <c r="O48" s="17"/>
      <c r="P48" s="19"/>
      <c r="Q48" s="19"/>
      <c r="R48" s="19"/>
      <c r="S48" s="19"/>
      <c r="T48" s="19"/>
      <c r="U48" s="19"/>
    </row>
    <row r="49" ht="15.75" customHeight="1">
      <c r="A49" s="19" t="s">
        <v>351</v>
      </c>
      <c r="B49" s="19" t="s">
        <v>37</v>
      </c>
      <c r="C49" s="19" t="s">
        <v>25</v>
      </c>
      <c r="D49" s="30"/>
      <c r="E49" s="30"/>
      <c r="F49" s="30"/>
      <c r="G49" s="17"/>
      <c r="H49" s="17"/>
      <c r="I49" s="1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ht="15.75" customHeight="1">
      <c r="A50" s="17"/>
      <c r="B50" s="17"/>
      <c r="C50" s="17"/>
      <c r="D50" s="30"/>
      <c r="E50" s="30"/>
      <c r="F50" s="30"/>
      <c r="G50" s="17"/>
      <c r="H50" s="17"/>
      <c r="I50" s="17"/>
      <c r="J50" s="19"/>
      <c r="K50" s="19"/>
      <c r="L50" s="19"/>
      <c r="M50" s="19"/>
      <c r="N50" s="19"/>
      <c r="O50" s="19"/>
      <c r="P50" s="19"/>
      <c r="Q50" s="19"/>
      <c r="R50" s="19"/>
      <c r="S50" s="30"/>
      <c r="T50" s="30"/>
      <c r="U50" s="30"/>
    </row>
    <row r="51" ht="15.75" customHeight="1">
      <c r="A51" s="19"/>
      <c r="B51" s="19"/>
      <c r="C51" s="30"/>
      <c r="D51" s="30"/>
      <c r="E51" s="30"/>
      <c r="F51" s="30"/>
      <c r="G51" s="19"/>
      <c r="H51" s="19"/>
      <c r="I51" s="3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19"/>
      <c r="K52" s="19"/>
      <c r="L52" s="19"/>
      <c r="M52" s="30"/>
      <c r="N52" s="30"/>
      <c r="O52" s="30"/>
      <c r="P52" s="19"/>
      <c r="Q52" s="19"/>
      <c r="R52" s="19"/>
      <c r="S52" s="30"/>
      <c r="T52" s="30"/>
      <c r="U52" s="30"/>
    </row>
    <row r="53" ht="15.75" customHeight="1"/>
    <row r="54" ht="15.75" customHeight="1"/>
    <row r="55" ht="15.75" customHeight="1">
      <c r="A55" s="54" t="s">
        <v>64</v>
      </c>
      <c r="B55" s="55"/>
    </row>
    <row r="56" ht="15.75" customHeight="1">
      <c r="A56" s="56"/>
      <c r="B56" s="57" t="s">
        <v>65</v>
      </c>
      <c r="C56" s="58"/>
      <c r="D56" s="59"/>
    </row>
    <row r="57" ht="15.75" customHeight="1">
      <c r="A57" s="60"/>
      <c r="B57" s="57" t="s">
        <v>66</v>
      </c>
      <c r="C57" s="58"/>
    </row>
    <row r="58" ht="15.75" customHeight="1">
      <c r="A58" s="61"/>
      <c r="B58" s="57" t="s">
        <v>67</v>
      </c>
      <c r="C58" s="5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S14:U14"/>
    <mergeCell ref="S17:U17"/>
    <mergeCell ref="A14:C14"/>
    <mergeCell ref="D14:F14"/>
    <mergeCell ref="G14:I14"/>
    <mergeCell ref="J14:L14"/>
    <mergeCell ref="M14:O14"/>
    <mergeCell ref="P14:R14"/>
    <mergeCell ref="A17:C17"/>
    <mergeCell ref="A37:C37"/>
    <mergeCell ref="D38:F38"/>
    <mergeCell ref="G38:I38"/>
    <mergeCell ref="J38:L38"/>
    <mergeCell ref="M38:O38"/>
    <mergeCell ref="P38:R38"/>
    <mergeCell ref="S38:U38"/>
    <mergeCell ref="A38:C38"/>
    <mergeCell ref="D45:F45"/>
    <mergeCell ref="G45:I45"/>
    <mergeCell ref="J45:L45"/>
    <mergeCell ref="M45:O45"/>
    <mergeCell ref="P45:R45"/>
    <mergeCell ref="S45:U45"/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4:U24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G30:I30"/>
    <mergeCell ref="J30:L30"/>
    <mergeCell ref="M30:O30"/>
    <mergeCell ref="P30:R30"/>
    <mergeCell ref="S30:U30"/>
    <mergeCell ref="M37:O37"/>
    <mergeCell ref="P37:R37"/>
    <mergeCell ref="S40:U40"/>
    <mergeCell ref="D30:F30"/>
    <mergeCell ref="D33:F33"/>
    <mergeCell ref="S33:U33"/>
    <mergeCell ref="D37:F37"/>
    <mergeCell ref="G37:I37"/>
    <mergeCell ref="J37:L37"/>
    <mergeCell ref="S37:U37"/>
    <mergeCell ref="A46:C46"/>
    <mergeCell ref="B55:D55"/>
    <mergeCell ref="A45:C45"/>
    <mergeCell ref="D46:F46"/>
    <mergeCell ref="G46:I46"/>
    <mergeCell ref="J46:L46"/>
    <mergeCell ref="M46:O46"/>
    <mergeCell ref="P46:R46"/>
    <mergeCell ref="S46:U46"/>
  </mergeCells>
  <printOptions/>
  <pageMargins bottom="0.15" footer="0.0" header="0.0" left="0.46" right="0.34" top="0.28"/>
  <pageSetup fitToHeight="0" paperSize="11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0" max="20" width="12.71"/>
    <col customWidth="1" min="21" max="21" width="7.86"/>
  </cols>
  <sheetData>
    <row r="1">
      <c r="A1" s="302" t="s">
        <v>69</v>
      </c>
      <c r="C1" s="303" t="s">
        <v>386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>
        <v>46143.0</v>
      </c>
      <c r="N6" s="191"/>
      <c r="O6" s="192"/>
      <c r="P6" s="313">
        <f>M6+1</f>
        <v>46144</v>
      </c>
      <c r="Q6" s="167"/>
      <c r="R6" s="311"/>
      <c r="S6" s="314">
        <f>P6+1</f>
        <v>46145</v>
      </c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5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15"/>
      <c r="T8" s="316"/>
      <c r="U8" s="315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315" t="s">
        <v>387</v>
      </c>
      <c r="N9" s="316" t="s">
        <v>388</v>
      </c>
      <c r="O9" s="316" t="s">
        <v>25</v>
      </c>
      <c r="P9" s="315" t="s">
        <v>387</v>
      </c>
      <c r="Q9" s="316" t="s">
        <v>389</v>
      </c>
      <c r="R9" s="316" t="s">
        <v>25</v>
      </c>
      <c r="S9" s="57"/>
      <c r="T9" s="57"/>
      <c r="U9" s="57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15"/>
      <c r="K10" s="316"/>
      <c r="L10" s="316"/>
      <c r="M10" s="315"/>
      <c r="N10" s="316"/>
      <c r="O10" s="316"/>
      <c r="P10" s="315"/>
      <c r="Q10" s="316"/>
      <c r="R10" s="316"/>
      <c r="S10" s="315"/>
      <c r="T10" s="316"/>
      <c r="U10" s="315"/>
    </row>
    <row r="11">
      <c r="A11" s="315"/>
      <c r="B11" s="316"/>
      <c r="C11" s="316"/>
      <c r="D11" s="315"/>
      <c r="E11" s="316"/>
      <c r="F11" s="316"/>
      <c r="G11" s="315"/>
      <c r="H11" s="316"/>
      <c r="I11" s="316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5"/>
    </row>
    <row r="12">
      <c r="A12" s="317"/>
      <c r="B12" s="318"/>
      <c r="C12" s="318"/>
      <c r="D12" s="317"/>
      <c r="E12" s="318"/>
      <c r="F12" s="318"/>
      <c r="G12" s="317"/>
      <c r="H12" s="318"/>
      <c r="I12" s="318"/>
      <c r="J12" s="317"/>
      <c r="K12" s="318"/>
      <c r="L12" s="318"/>
      <c r="M12" s="317"/>
      <c r="N12" s="318"/>
      <c r="O12" s="318"/>
      <c r="P12" s="317"/>
      <c r="Q12" s="318"/>
      <c r="R12" s="318"/>
      <c r="S12" s="317"/>
      <c r="T12" s="318"/>
      <c r="U12" s="317"/>
    </row>
    <row r="13">
      <c r="A13" s="319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22">
        <f>S6+1</f>
        <v>46146</v>
      </c>
      <c r="B14" s="167"/>
      <c r="C14" s="311"/>
      <c r="D14" s="323">
        <f>A14+1</f>
        <v>46147</v>
      </c>
      <c r="E14" s="167"/>
      <c r="F14" s="311"/>
      <c r="G14" s="323">
        <f>D14+1</f>
        <v>46148</v>
      </c>
      <c r="H14" s="167"/>
      <c r="I14" s="311"/>
      <c r="J14" s="323">
        <f>G14+1</f>
        <v>46149</v>
      </c>
      <c r="K14" s="167"/>
      <c r="L14" s="311"/>
      <c r="M14" s="323">
        <f>J14+1</f>
        <v>46150</v>
      </c>
      <c r="N14" s="167"/>
      <c r="O14" s="311"/>
      <c r="P14" s="323">
        <f>M14+1</f>
        <v>46151</v>
      </c>
      <c r="Q14" s="167"/>
      <c r="R14" s="311"/>
      <c r="S14" s="324">
        <f>P14+1</f>
        <v>46152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5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15"/>
      <c r="Q16" s="316"/>
      <c r="R16" s="316"/>
      <c r="S16" s="315"/>
      <c r="T16" s="316"/>
      <c r="U16" s="315"/>
    </row>
    <row r="17">
      <c r="A17" s="325" t="s">
        <v>14</v>
      </c>
      <c r="B17" s="191"/>
      <c r="C17" s="192"/>
      <c r="D17" s="315" t="s">
        <v>387</v>
      </c>
      <c r="E17" s="316" t="s">
        <v>388</v>
      </c>
      <c r="F17" s="316" t="s">
        <v>25</v>
      </c>
      <c r="G17" s="57"/>
      <c r="H17" s="57"/>
      <c r="I17" s="57"/>
      <c r="J17" s="57"/>
      <c r="K17" s="57"/>
      <c r="L17" s="57"/>
      <c r="M17" s="315" t="s">
        <v>387</v>
      </c>
      <c r="N17" s="316" t="s">
        <v>389</v>
      </c>
      <c r="O17" s="316" t="s">
        <v>25</v>
      </c>
      <c r="P17" s="326" t="s">
        <v>145</v>
      </c>
      <c r="Q17" s="327" t="s">
        <v>63</v>
      </c>
      <c r="R17" s="328" t="s">
        <v>29</v>
      </c>
      <c r="S17" s="315" t="s">
        <v>387</v>
      </c>
      <c r="T17" s="316" t="s">
        <v>389</v>
      </c>
      <c r="U17" s="316" t="s">
        <v>25</v>
      </c>
    </row>
    <row r="18">
      <c r="A18" s="315"/>
      <c r="B18" s="316"/>
      <c r="C18" s="316"/>
      <c r="D18" s="315"/>
      <c r="E18" s="316"/>
      <c r="F18" s="316"/>
      <c r="G18" s="315"/>
      <c r="H18" s="316"/>
      <c r="I18" s="316"/>
      <c r="J18" s="315"/>
      <c r="K18" s="316"/>
      <c r="L18" s="316"/>
      <c r="M18" s="315"/>
      <c r="N18" s="316"/>
      <c r="O18" s="316"/>
      <c r="P18" s="89" t="s">
        <v>221</v>
      </c>
      <c r="Q18" s="90" t="s">
        <v>327</v>
      </c>
      <c r="R18" s="89" t="s">
        <v>25</v>
      </c>
      <c r="S18" s="315"/>
      <c r="T18" s="316"/>
      <c r="U18" s="315"/>
    </row>
    <row r="19">
      <c r="A19" s="315"/>
      <c r="B19" s="316"/>
      <c r="C19" s="316"/>
      <c r="D19" s="315"/>
      <c r="E19" s="316"/>
      <c r="F19" s="316"/>
      <c r="G19" s="315"/>
      <c r="H19" s="316"/>
      <c r="I19" s="316"/>
      <c r="J19" s="315"/>
      <c r="K19" s="316"/>
      <c r="L19" s="316"/>
      <c r="M19" s="315"/>
      <c r="N19" s="316"/>
      <c r="O19" s="316"/>
      <c r="P19" s="315"/>
      <c r="Q19" s="316"/>
      <c r="R19" s="316"/>
      <c r="S19" s="315"/>
      <c r="T19" s="316"/>
      <c r="U19" s="315"/>
    </row>
    <row r="20">
      <c r="A20" s="317"/>
      <c r="B20" s="318"/>
      <c r="C20" s="318"/>
      <c r="D20" s="317"/>
      <c r="E20" s="318"/>
      <c r="F20" s="318"/>
      <c r="G20" s="317"/>
      <c r="H20" s="318"/>
      <c r="I20" s="318"/>
      <c r="J20" s="317"/>
      <c r="K20" s="318"/>
      <c r="L20" s="318"/>
      <c r="M20" s="317"/>
      <c r="N20" s="318"/>
      <c r="O20" s="318"/>
      <c r="P20" s="317"/>
      <c r="Q20" s="318"/>
      <c r="R20" s="318"/>
      <c r="S20" s="317"/>
      <c r="T20" s="318"/>
      <c r="U20" s="317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46153</v>
      </c>
      <c r="B22" s="167"/>
      <c r="C22" s="311"/>
      <c r="D22" s="313">
        <f>A22+1</f>
        <v>46154</v>
      </c>
      <c r="E22" s="167"/>
      <c r="F22" s="311"/>
      <c r="G22" s="313">
        <f>D22+1</f>
        <v>46155</v>
      </c>
      <c r="H22" s="167"/>
      <c r="I22" s="311"/>
      <c r="J22" s="313">
        <f>G22+1</f>
        <v>46156</v>
      </c>
      <c r="K22" s="167"/>
      <c r="L22" s="311"/>
      <c r="M22" s="313">
        <f>J22+1</f>
        <v>46157</v>
      </c>
      <c r="N22" s="167"/>
      <c r="O22" s="311"/>
      <c r="P22" s="313">
        <f>M22+1</f>
        <v>46158</v>
      </c>
      <c r="Q22" s="167"/>
      <c r="R22" s="311"/>
      <c r="S22" s="314">
        <f>P22+1</f>
        <v>46159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5"/>
    </row>
    <row r="24">
      <c r="A24" s="315"/>
      <c r="B24" s="316"/>
      <c r="C24" s="316"/>
      <c r="D24" s="315"/>
      <c r="E24" s="316"/>
      <c r="F24" s="316"/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5"/>
    </row>
    <row r="25">
      <c r="A25" s="325" t="s">
        <v>14</v>
      </c>
      <c r="B25" s="191"/>
      <c r="C25" s="192"/>
      <c r="D25" s="315" t="s">
        <v>387</v>
      </c>
      <c r="E25" s="316" t="s">
        <v>389</v>
      </c>
      <c r="F25" s="316" t="s">
        <v>25</v>
      </c>
      <c r="G25" s="57"/>
      <c r="H25" s="57"/>
      <c r="I25" s="57"/>
      <c r="J25" s="315" t="s">
        <v>387</v>
      </c>
      <c r="K25" s="316" t="s">
        <v>389</v>
      </c>
      <c r="L25" s="316" t="s">
        <v>25</v>
      </c>
      <c r="M25" s="315" t="s">
        <v>387</v>
      </c>
      <c r="N25" s="316" t="s">
        <v>389</v>
      </c>
      <c r="O25" s="316" t="s">
        <v>25</v>
      </c>
      <c r="P25" s="325" t="s">
        <v>14</v>
      </c>
      <c r="Q25" s="191"/>
      <c r="R25" s="192"/>
      <c r="S25" s="57"/>
      <c r="T25" s="57"/>
      <c r="U25" s="57"/>
    </row>
    <row r="26">
      <c r="A26" s="315"/>
      <c r="B26" s="316"/>
      <c r="C26" s="316"/>
      <c r="D26" s="315"/>
      <c r="E26" s="316"/>
      <c r="F26" s="316"/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5"/>
    </row>
    <row r="27">
      <c r="A27" s="315"/>
      <c r="B27" s="316"/>
      <c r="C27" s="316"/>
      <c r="D27" s="315"/>
      <c r="E27" s="316"/>
      <c r="F27" s="316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5"/>
    </row>
    <row r="28">
      <c r="A28" s="317"/>
      <c r="B28" s="318"/>
      <c r="C28" s="318"/>
      <c r="D28" s="317"/>
      <c r="E28" s="318"/>
      <c r="F28" s="318"/>
      <c r="G28" s="317"/>
      <c r="H28" s="318"/>
      <c r="I28" s="318"/>
      <c r="J28" s="317"/>
      <c r="K28" s="318"/>
      <c r="L28" s="318"/>
      <c r="M28" s="317"/>
      <c r="N28" s="318"/>
      <c r="O28" s="318"/>
      <c r="P28" s="317"/>
      <c r="Q28" s="318"/>
      <c r="R28" s="318"/>
      <c r="S28" s="317"/>
      <c r="T28" s="318"/>
      <c r="U28" s="317"/>
    </row>
    <row r="29">
      <c r="A29" s="319" t="s">
        <v>7</v>
      </c>
      <c r="B29" s="167"/>
      <c r="C29" s="311"/>
      <c r="D29" s="320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33">
        <f>S22+1</f>
        <v>46160</v>
      </c>
      <c r="B30" s="167"/>
      <c r="C30" s="311"/>
      <c r="D30" s="334">
        <f>A30+1</f>
        <v>46161</v>
      </c>
      <c r="E30" s="167"/>
      <c r="F30" s="311"/>
      <c r="G30" s="334">
        <f>D30+1</f>
        <v>46162</v>
      </c>
      <c r="H30" s="167"/>
      <c r="I30" s="311"/>
      <c r="J30" s="334">
        <f>G30+1</f>
        <v>46163</v>
      </c>
      <c r="K30" s="167"/>
      <c r="L30" s="311"/>
      <c r="M30" s="334">
        <f>J30+1</f>
        <v>46164</v>
      </c>
      <c r="N30" s="167"/>
      <c r="O30" s="311"/>
      <c r="P30" s="334">
        <f>M30+1</f>
        <v>46165</v>
      </c>
      <c r="Q30" s="167"/>
      <c r="R30" s="311"/>
      <c r="S30" s="335">
        <f>P30+1</f>
        <v>46166</v>
      </c>
      <c r="T30" s="167"/>
      <c r="U30" s="311"/>
    </row>
    <row r="31">
      <c r="A31" s="315"/>
      <c r="B31" s="316"/>
      <c r="C31" s="316"/>
      <c r="D31" s="315"/>
      <c r="E31" s="316"/>
      <c r="F31" s="316"/>
      <c r="G31" s="315"/>
      <c r="H31" s="316"/>
      <c r="I31" s="316"/>
      <c r="J31" s="315"/>
      <c r="K31" s="316"/>
      <c r="L31" s="316"/>
      <c r="M31" s="315"/>
      <c r="N31" s="316"/>
      <c r="O31" s="316"/>
      <c r="P31" s="315"/>
      <c r="Q31" s="316"/>
      <c r="R31" s="316"/>
      <c r="S31" s="315"/>
      <c r="T31" s="316"/>
      <c r="U31" s="315"/>
    </row>
    <row r="32">
      <c r="A32" s="315"/>
      <c r="B32" s="316"/>
      <c r="C32" s="316"/>
      <c r="D32" s="315"/>
      <c r="E32" s="316"/>
      <c r="F32" s="316"/>
      <c r="G32" s="315"/>
      <c r="H32" s="316"/>
      <c r="I32" s="316"/>
      <c r="J32" s="315"/>
      <c r="K32" s="316"/>
      <c r="L32" s="316"/>
      <c r="M32" s="315"/>
      <c r="N32" s="316"/>
      <c r="O32" s="316"/>
      <c r="P32" s="315"/>
      <c r="Q32" s="316"/>
      <c r="R32" s="316"/>
      <c r="S32" s="315"/>
      <c r="T32" s="316"/>
      <c r="U32" s="315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315" t="s">
        <v>387</v>
      </c>
      <c r="K33" s="316" t="s">
        <v>388</v>
      </c>
      <c r="L33" s="316" t="s">
        <v>25</v>
      </c>
      <c r="M33" s="325" t="s">
        <v>14</v>
      </c>
      <c r="N33" s="191"/>
      <c r="O33" s="192"/>
      <c r="P33" s="315" t="s">
        <v>387</v>
      </c>
      <c r="Q33" s="316" t="s">
        <v>389</v>
      </c>
      <c r="R33" s="316" t="s">
        <v>25</v>
      </c>
      <c r="S33" s="315" t="s">
        <v>387</v>
      </c>
      <c r="T33" s="316" t="s">
        <v>389</v>
      </c>
      <c r="U33" s="316" t="s">
        <v>25</v>
      </c>
    </row>
    <row r="34">
      <c r="A34" s="315"/>
      <c r="B34" s="316"/>
      <c r="C34" s="316"/>
      <c r="D34" s="315"/>
      <c r="E34" s="316"/>
      <c r="F34" s="316"/>
      <c r="G34" s="315"/>
      <c r="H34" s="316"/>
      <c r="I34" s="316"/>
      <c r="J34" s="315"/>
      <c r="K34" s="316"/>
      <c r="L34" s="316"/>
      <c r="M34" s="315"/>
      <c r="N34" s="316"/>
      <c r="O34" s="316"/>
      <c r="P34" s="315"/>
      <c r="Q34" s="316"/>
      <c r="R34" s="316"/>
      <c r="S34" s="315"/>
      <c r="T34" s="316"/>
      <c r="U34" s="315"/>
    </row>
    <row r="35">
      <c r="A35" s="315"/>
      <c r="B35" s="316"/>
      <c r="C35" s="316"/>
      <c r="D35" s="315"/>
      <c r="E35" s="316"/>
      <c r="F35" s="316"/>
      <c r="G35" s="315"/>
      <c r="H35" s="316"/>
      <c r="I35" s="316"/>
      <c r="J35" s="315"/>
      <c r="K35" s="316"/>
      <c r="L35" s="316"/>
      <c r="M35" s="315"/>
      <c r="N35" s="316"/>
      <c r="O35" s="316"/>
      <c r="P35" s="315"/>
      <c r="Q35" s="316"/>
      <c r="R35" s="316"/>
      <c r="S35" s="315"/>
      <c r="T35" s="316"/>
      <c r="U35" s="315"/>
    </row>
    <row r="36">
      <c r="A36" s="317"/>
      <c r="B36" s="318"/>
      <c r="C36" s="318"/>
      <c r="D36" s="317"/>
      <c r="E36" s="318"/>
      <c r="F36" s="318"/>
      <c r="G36" s="317"/>
      <c r="H36" s="318"/>
      <c r="I36" s="318"/>
      <c r="J36" s="317"/>
      <c r="K36" s="318"/>
      <c r="L36" s="318"/>
      <c r="M36" s="317"/>
      <c r="N36" s="318"/>
      <c r="O36" s="318"/>
      <c r="P36" s="317"/>
      <c r="Q36" s="318"/>
      <c r="R36" s="318"/>
      <c r="S36" s="317"/>
      <c r="T36" s="318"/>
      <c r="U36" s="317"/>
    </row>
    <row r="37">
      <c r="A37" s="329" t="s">
        <v>7</v>
      </c>
      <c r="B37" s="167"/>
      <c r="C37" s="311"/>
      <c r="D37" s="330" t="s">
        <v>8</v>
      </c>
      <c r="E37" s="167"/>
      <c r="F37" s="311"/>
      <c r="G37" s="330" t="s">
        <v>9</v>
      </c>
      <c r="H37" s="167"/>
      <c r="I37" s="311"/>
      <c r="J37" s="330" t="s">
        <v>10</v>
      </c>
      <c r="K37" s="167"/>
      <c r="L37" s="311"/>
      <c r="M37" s="330" t="s">
        <v>11</v>
      </c>
      <c r="N37" s="167"/>
      <c r="O37" s="311"/>
      <c r="P37" s="330" t="s">
        <v>12</v>
      </c>
      <c r="Q37" s="167"/>
      <c r="R37" s="311"/>
      <c r="S37" s="331" t="s">
        <v>13</v>
      </c>
      <c r="T37" s="167"/>
      <c r="U37" s="311"/>
    </row>
    <row r="38">
      <c r="A38" s="332">
        <f>S30+1</f>
        <v>46167</v>
      </c>
      <c r="B38" s="167"/>
      <c r="C38" s="311"/>
      <c r="D38" s="313">
        <f>A38+1</f>
        <v>46168</v>
      </c>
      <c r="E38" s="167"/>
      <c r="F38" s="311"/>
      <c r="G38" s="313">
        <f>D38+1</f>
        <v>46169</v>
      </c>
      <c r="H38" s="167"/>
      <c r="I38" s="311"/>
      <c r="J38" s="313">
        <f>G38+1</f>
        <v>46170</v>
      </c>
      <c r="K38" s="167"/>
      <c r="L38" s="311"/>
      <c r="M38" s="313">
        <f>J38+1</f>
        <v>46171</v>
      </c>
      <c r="N38" s="167"/>
      <c r="O38" s="311"/>
      <c r="P38" s="313">
        <f>M38+1</f>
        <v>46172</v>
      </c>
      <c r="Q38" s="167"/>
      <c r="R38" s="311"/>
      <c r="S38" s="313">
        <f>P38+1</f>
        <v>46173</v>
      </c>
      <c r="T38" s="167"/>
      <c r="U38" s="311"/>
    </row>
    <row r="39">
      <c r="A39" s="315"/>
      <c r="B39" s="316"/>
      <c r="C39" s="316"/>
      <c r="D39" s="315"/>
      <c r="E39" s="316"/>
      <c r="F39" s="316"/>
      <c r="G39" s="315"/>
      <c r="H39" s="316"/>
      <c r="I39" s="316"/>
      <c r="J39" s="315"/>
      <c r="K39" s="316"/>
      <c r="L39" s="316"/>
      <c r="M39" s="315"/>
      <c r="N39" s="316"/>
      <c r="O39" s="316"/>
      <c r="P39" s="315"/>
      <c r="Q39" s="316"/>
      <c r="R39" s="316"/>
      <c r="S39" s="315"/>
      <c r="T39" s="316"/>
      <c r="U39" s="315"/>
    </row>
    <row r="40">
      <c r="A40" s="315"/>
      <c r="B40" s="316"/>
      <c r="C40" s="316"/>
      <c r="D40" s="315"/>
      <c r="E40" s="316"/>
      <c r="F40" s="316"/>
      <c r="G40" s="315"/>
      <c r="H40" s="316"/>
      <c r="I40" s="316"/>
      <c r="J40" s="315"/>
      <c r="K40" s="316"/>
      <c r="L40" s="316"/>
      <c r="M40" s="315"/>
      <c r="N40" s="316"/>
      <c r="O40" s="316"/>
      <c r="P40" s="315"/>
      <c r="Q40" s="316"/>
      <c r="R40" s="316"/>
      <c r="S40" s="315"/>
      <c r="T40" s="316"/>
      <c r="U40" s="315"/>
    </row>
    <row r="41">
      <c r="A41" s="315" t="s">
        <v>387</v>
      </c>
      <c r="B41" s="316" t="s">
        <v>389</v>
      </c>
      <c r="C41" s="316" t="s">
        <v>25</v>
      </c>
      <c r="D41" s="315" t="s">
        <v>387</v>
      </c>
      <c r="E41" s="316" t="s">
        <v>389</v>
      </c>
      <c r="F41" s="316" t="s">
        <v>25</v>
      </c>
      <c r="G41" s="325" t="s">
        <v>14</v>
      </c>
      <c r="H41" s="191"/>
      <c r="I41" s="192"/>
      <c r="J41" s="315" t="s">
        <v>387</v>
      </c>
      <c r="K41" s="316" t="s">
        <v>389</v>
      </c>
      <c r="L41" s="316" t="s">
        <v>25</v>
      </c>
      <c r="M41" s="315" t="s">
        <v>387</v>
      </c>
      <c r="N41" s="316" t="s">
        <v>389</v>
      </c>
      <c r="O41" s="316" t="s">
        <v>25</v>
      </c>
      <c r="P41" s="315" t="s">
        <v>387</v>
      </c>
      <c r="Q41" s="316" t="s">
        <v>389</v>
      </c>
      <c r="R41" s="316" t="s">
        <v>25</v>
      </c>
      <c r="S41" s="57"/>
      <c r="T41" s="57"/>
      <c r="U41" s="57"/>
    </row>
    <row r="42">
      <c r="A42" s="315"/>
      <c r="B42" s="316"/>
      <c r="C42" s="316"/>
      <c r="D42" s="315"/>
      <c r="E42" s="316"/>
      <c r="F42" s="316"/>
      <c r="G42" s="315"/>
      <c r="H42" s="316"/>
      <c r="I42" s="316"/>
      <c r="J42" s="315"/>
      <c r="K42" s="316"/>
      <c r="L42" s="316"/>
      <c r="M42" s="315"/>
      <c r="N42" s="316"/>
      <c r="O42" s="316"/>
      <c r="P42" s="315"/>
      <c r="Q42" s="316"/>
      <c r="R42" s="316"/>
      <c r="S42" s="315"/>
      <c r="T42" s="316"/>
      <c r="U42" s="315"/>
    </row>
    <row r="43">
      <c r="A43" s="315"/>
      <c r="B43" s="316"/>
      <c r="C43" s="316"/>
      <c r="D43" s="315"/>
      <c r="E43" s="316"/>
      <c r="F43" s="316"/>
      <c r="G43" s="315"/>
      <c r="H43" s="316"/>
      <c r="I43" s="316"/>
      <c r="J43" s="315"/>
      <c r="K43" s="316"/>
      <c r="L43" s="316"/>
      <c r="M43" s="315"/>
      <c r="N43" s="316"/>
      <c r="O43" s="316"/>
      <c r="P43" s="315"/>
      <c r="Q43" s="316"/>
      <c r="R43" s="316"/>
      <c r="S43" s="315"/>
      <c r="T43" s="316"/>
      <c r="U43" s="315"/>
    </row>
    <row r="44">
      <c r="A44" s="317"/>
      <c r="B44" s="318"/>
      <c r="C44" s="318"/>
      <c r="D44" s="317"/>
      <c r="E44" s="318"/>
      <c r="F44" s="318"/>
      <c r="G44" s="317"/>
      <c r="H44" s="318"/>
      <c r="I44" s="318"/>
      <c r="J44" s="317"/>
      <c r="K44" s="318"/>
      <c r="L44" s="318"/>
      <c r="M44" s="317"/>
      <c r="N44" s="318"/>
      <c r="O44" s="318"/>
      <c r="P44" s="317"/>
      <c r="Q44" s="318"/>
      <c r="R44" s="318"/>
      <c r="S44" s="317"/>
      <c r="T44" s="318"/>
      <c r="U44" s="317"/>
    </row>
    <row r="45">
      <c r="A45" s="319"/>
      <c r="B45" s="167"/>
      <c r="C45" s="311"/>
      <c r="D45" s="320"/>
      <c r="E45" s="167"/>
      <c r="F45" s="311"/>
      <c r="G45" s="320"/>
      <c r="H45" s="167"/>
      <c r="I45" s="311"/>
      <c r="J45" s="320"/>
      <c r="K45" s="167"/>
      <c r="L45" s="311"/>
      <c r="M45" s="320"/>
      <c r="N45" s="167"/>
      <c r="O45" s="311"/>
      <c r="P45" s="320"/>
      <c r="Q45" s="167"/>
      <c r="R45" s="311"/>
      <c r="S45" s="336"/>
      <c r="T45" s="167"/>
      <c r="U45" s="311"/>
    </row>
    <row r="46">
      <c r="A46" s="333"/>
      <c r="B46" s="167"/>
      <c r="C46" s="311"/>
      <c r="D46" s="334"/>
      <c r="E46" s="167"/>
      <c r="F46" s="311"/>
      <c r="G46" s="334"/>
      <c r="H46" s="167"/>
      <c r="I46" s="311"/>
      <c r="J46" s="334"/>
      <c r="K46" s="167"/>
      <c r="L46" s="311"/>
      <c r="M46" s="334"/>
      <c r="N46" s="167"/>
      <c r="O46" s="311"/>
      <c r="P46" s="334"/>
      <c r="Q46" s="167"/>
      <c r="R46" s="311"/>
      <c r="S46" s="337"/>
      <c r="T46" s="167"/>
      <c r="U46" s="311"/>
    </row>
    <row r="47">
      <c r="A47" s="338"/>
      <c r="B47" s="338"/>
      <c r="C47" s="338"/>
      <c r="D47" s="339"/>
      <c r="E47" s="339"/>
      <c r="F47" s="339"/>
      <c r="G47" s="318"/>
      <c r="H47" s="340"/>
      <c r="I47" s="340"/>
      <c r="J47" s="341"/>
      <c r="K47" s="341"/>
      <c r="L47" s="341"/>
      <c r="M47" s="342"/>
      <c r="N47" s="342"/>
      <c r="O47" s="342"/>
      <c r="P47" s="342"/>
      <c r="Q47" s="342"/>
      <c r="R47" s="342"/>
      <c r="S47" s="341"/>
      <c r="T47" s="341"/>
      <c r="U47" s="341"/>
    </row>
    <row r="48">
      <c r="A48" s="339"/>
      <c r="B48" s="339"/>
      <c r="C48" s="339"/>
      <c r="D48" s="343"/>
      <c r="E48" s="343"/>
      <c r="F48" s="343"/>
      <c r="G48" s="342"/>
      <c r="H48" s="342"/>
      <c r="I48" s="342"/>
      <c r="J48" s="341"/>
      <c r="K48" s="341"/>
      <c r="L48" s="341"/>
      <c r="M48" s="344"/>
      <c r="N48" s="344"/>
      <c r="O48" s="344"/>
      <c r="P48" s="342"/>
      <c r="Q48" s="342"/>
      <c r="R48" s="342"/>
      <c r="S48" s="342"/>
      <c r="T48" s="342"/>
      <c r="U48" s="342"/>
    </row>
    <row r="49">
      <c r="A49" s="339"/>
      <c r="B49" s="339"/>
      <c r="C49" s="339"/>
      <c r="D49" s="339"/>
      <c r="E49" s="339"/>
      <c r="F49" s="339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</row>
    <row r="50">
      <c r="A50" s="342"/>
      <c r="B50" s="342"/>
      <c r="C50" s="342"/>
      <c r="D50" s="339"/>
      <c r="E50" s="339"/>
      <c r="F50" s="339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1"/>
      <c r="T50" s="341"/>
      <c r="U50" s="341"/>
    </row>
    <row r="51">
      <c r="A51" s="338"/>
      <c r="B51" s="338"/>
      <c r="C51" s="338"/>
      <c r="D51" s="345"/>
      <c r="E51" s="345"/>
      <c r="F51" s="345"/>
      <c r="G51" s="342"/>
      <c r="H51" s="342"/>
      <c r="I51" s="341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</row>
    <row r="52">
      <c r="A52" s="346"/>
      <c r="B52" s="341"/>
      <c r="C52" s="341"/>
      <c r="D52" s="342"/>
      <c r="E52" s="342"/>
      <c r="F52" s="342"/>
      <c r="G52" s="341"/>
      <c r="H52" s="341"/>
      <c r="I52" s="341"/>
      <c r="J52" s="342"/>
      <c r="K52" s="342"/>
      <c r="L52" s="342"/>
      <c r="M52" s="341"/>
      <c r="N52" s="341"/>
      <c r="O52" s="341"/>
      <c r="P52" s="342"/>
      <c r="Q52" s="342"/>
      <c r="R52" s="342"/>
      <c r="S52" s="341"/>
      <c r="T52" s="341"/>
      <c r="U52" s="341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8">
    <mergeCell ref="A17:C17"/>
    <mergeCell ref="D21:F21"/>
    <mergeCell ref="G21:I21"/>
    <mergeCell ref="J21:L21"/>
    <mergeCell ref="M21:O21"/>
    <mergeCell ref="P21:R21"/>
    <mergeCell ref="S21:U21"/>
    <mergeCell ref="A21:C21"/>
    <mergeCell ref="D22:F22"/>
    <mergeCell ref="G22:I22"/>
    <mergeCell ref="J22:L22"/>
    <mergeCell ref="M22:O22"/>
    <mergeCell ref="P22:R22"/>
    <mergeCell ref="S22:U22"/>
    <mergeCell ref="A22:C22"/>
    <mergeCell ref="A25:C25"/>
    <mergeCell ref="P25:R25"/>
    <mergeCell ref="A29:C29"/>
    <mergeCell ref="D29:F29"/>
    <mergeCell ref="G29:I29"/>
    <mergeCell ref="J29:L29"/>
    <mergeCell ref="A30:C30"/>
    <mergeCell ref="D30:F30"/>
    <mergeCell ref="G30:I30"/>
    <mergeCell ref="J30:L30"/>
    <mergeCell ref="M30:O30"/>
    <mergeCell ref="P30:R30"/>
    <mergeCell ref="M33:O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G41:I41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M29:O29"/>
    <mergeCell ref="P29:R29"/>
    <mergeCell ref="S29:U29"/>
    <mergeCell ref="S30:U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0" max="20" width="12.71"/>
    <col customWidth="1" min="21" max="21" width="7.86"/>
  </cols>
  <sheetData>
    <row r="1">
      <c r="A1" s="302" t="s">
        <v>69</v>
      </c>
      <c r="C1" s="303" t="s">
        <v>386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>
        <v>46143.0</v>
      </c>
      <c r="N6" s="191"/>
      <c r="O6" s="192"/>
      <c r="P6" s="313">
        <f>M6+1</f>
        <v>46144</v>
      </c>
      <c r="Q6" s="167"/>
      <c r="R6" s="311"/>
      <c r="S6" s="314">
        <f>P6+1</f>
        <v>46145</v>
      </c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5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15"/>
      <c r="T8" s="316"/>
      <c r="U8" s="315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315" t="s">
        <v>390</v>
      </c>
      <c r="Q9" s="316" t="s">
        <v>389</v>
      </c>
      <c r="R9" s="316" t="s">
        <v>25</v>
      </c>
      <c r="S9" s="57"/>
      <c r="T9" s="57"/>
      <c r="U9" s="57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15"/>
      <c r="K10" s="316"/>
      <c r="L10" s="316"/>
      <c r="M10" s="315"/>
      <c r="N10" s="316"/>
      <c r="O10" s="316"/>
      <c r="P10" s="315"/>
      <c r="Q10" s="316"/>
      <c r="R10" s="316"/>
      <c r="S10" s="315"/>
      <c r="T10" s="316"/>
      <c r="U10" s="315"/>
    </row>
    <row r="11">
      <c r="A11" s="315"/>
      <c r="B11" s="316"/>
      <c r="C11" s="316"/>
      <c r="D11" s="315"/>
      <c r="E11" s="316"/>
      <c r="F11" s="316"/>
      <c r="G11" s="315"/>
      <c r="H11" s="316"/>
      <c r="I11" s="316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5"/>
    </row>
    <row r="12">
      <c r="A12" s="317"/>
      <c r="B12" s="318"/>
      <c r="C12" s="318"/>
      <c r="D12" s="317"/>
      <c r="E12" s="318"/>
      <c r="F12" s="318"/>
      <c r="G12" s="317"/>
      <c r="H12" s="318"/>
      <c r="I12" s="318"/>
      <c r="J12" s="317"/>
      <c r="K12" s="318"/>
      <c r="L12" s="318"/>
      <c r="M12" s="317"/>
      <c r="N12" s="318"/>
      <c r="O12" s="318"/>
      <c r="P12" s="317"/>
      <c r="Q12" s="318"/>
      <c r="R12" s="318"/>
      <c r="S12" s="317"/>
      <c r="T12" s="318"/>
      <c r="U12" s="317"/>
    </row>
    <row r="13">
      <c r="A13" s="319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22">
        <f>S6+1</f>
        <v>46146</v>
      </c>
      <c r="B14" s="167"/>
      <c r="C14" s="311"/>
      <c r="D14" s="323">
        <f>A14+1</f>
        <v>46147</v>
      </c>
      <c r="E14" s="167"/>
      <c r="F14" s="311"/>
      <c r="G14" s="323">
        <f>D14+1</f>
        <v>46148</v>
      </c>
      <c r="H14" s="167"/>
      <c r="I14" s="311"/>
      <c r="J14" s="323">
        <f>G14+1</f>
        <v>46149</v>
      </c>
      <c r="K14" s="167"/>
      <c r="L14" s="311"/>
      <c r="M14" s="323">
        <f>J14+1</f>
        <v>46150</v>
      </c>
      <c r="N14" s="167"/>
      <c r="O14" s="311"/>
      <c r="P14" s="323">
        <f>M14+1</f>
        <v>46151</v>
      </c>
      <c r="Q14" s="167"/>
      <c r="R14" s="311"/>
      <c r="S14" s="324">
        <f>P14+1</f>
        <v>46152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5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26"/>
      <c r="Q16" s="327"/>
      <c r="R16" s="328"/>
      <c r="S16" s="315"/>
      <c r="T16" s="316"/>
      <c r="U16" s="315"/>
    </row>
    <row r="17">
      <c r="A17" s="315" t="s">
        <v>390</v>
      </c>
      <c r="B17" s="316" t="s">
        <v>388</v>
      </c>
      <c r="C17" s="316" t="s">
        <v>25</v>
      </c>
      <c r="D17" s="343"/>
      <c r="E17" s="343"/>
      <c r="F17" s="343"/>
      <c r="G17" s="315" t="s">
        <v>390</v>
      </c>
      <c r="H17" s="316" t="s">
        <v>389</v>
      </c>
      <c r="I17" s="316" t="s">
        <v>25</v>
      </c>
      <c r="J17" s="315" t="s">
        <v>390</v>
      </c>
      <c r="K17" s="316" t="s">
        <v>389</v>
      </c>
      <c r="L17" s="316" t="s">
        <v>25</v>
      </c>
      <c r="M17" s="90"/>
      <c r="N17" s="90"/>
      <c r="O17" s="90"/>
      <c r="P17" s="57"/>
      <c r="Q17" s="57"/>
      <c r="R17" s="57"/>
      <c r="S17" s="57"/>
      <c r="T17" s="57"/>
      <c r="U17" s="57"/>
    </row>
    <row r="18">
      <c r="A18" s="315"/>
      <c r="B18" s="316"/>
      <c r="C18" s="316"/>
      <c r="D18" s="343"/>
      <c r="E18" s="343"/>
      <c r="F18" s="343"/>
      <c r="G18" s="315"/>
      <c r="H18" s="316"/>
      <c r="I18" s="316"/>
      <c r="J18" s="315"/>
      <c r="K18" s="316"/>
      <c r="L18" s="316"/>
      <c r="M18" s="315" t="s">
        <v>390</v>
      </c>
      <c r="N18" s="316" t="s">
        <v>389</v>
      </c>
      <c r="O18" s="316" t="s">
        <v>25</v>
      </c>
      <c r="P18" s="347" t="s">
        <v>390</v>
      </c>
      <c r="Q18" s="348" t="s">
        <v>389</v>
      </c>
      <c r="R18" s="348" t="s">
        <v>25</v>
      </c>
      <c r="S18" s="347" t="s">
        <v>390</v>
      </c>
      <c r="T18" s="348" t="s">
        <v>389</v>
      </c>
      <c r="U18" s="348" t="s">
        <v>25</v>
      </c>
    </row>
    <row r="19">
      <c r="A19" s="315"/>
      <c r="B19" s="316"/>
      <c r="C19" s="316"/>
      <c r="D19" s="315"/>
      <c r="E19" s="316"/>
      <c r="F19" s="316"/>
      <c r="G19" s="315"/>
      <c r="H19" s="316"/>
      <c r="I19" s="316"/>
      <c r="J19" s="315"/>
      <c r="K19" s="316"/>
      <c r="L19" s="316"/>
      <c r="M19" s="315"/>
      <c r="N19" s="316"/>
      <c r="O19" s="316"/>
      <c r="P19" s="315"/>
      <c r="Q19" s="316"/>
      <c r="R19" s="316"/>
      <c r="S19" s="315"/>
      <c r="T19" s="316"/>
      <c r="U19" s="315"/>
    </row>
    <row r="20">
      <c r="A20" s="317"/>
      <c r="B20" s="318"/>
      <c r="C20" s="318"/>
      <c r="D20" s="317"/>
      <c r="E20" s="318"/>
      <c r="F20" s="318"/>
      <c r="G20" s="317"/>
      <c r="H20" s="318"/>
      <c r="I20" s="318"/>
      <c r="J20" s="317"/>
      <c r="K20" s="318"/>
      <c r="L20" s="318"/>
      <c r="M20" s="317"/>
      <c r="N20" s="318"/>
      <c r="O20" s="318"/>
      <c r="P20" s="317"/>
      <c r="Q20" s="318"/>
      <c r="R20" s="318"/>
      <c r="S20" s="317"/>
      <c r="T20" s="318"/>
      <c r="U20" s="317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46153</v>
      </c>
      <c r="B22" s="167"/>
      <c r="C22" s="311"/>
      <c r="D22" s="313">
        <f>A22+1</f>
        <v>46154</v>
      </c>
      <c r="E22" s="167"/>
      <c r="F22" s="311"/>
      <c r="G22" s="313">
        <f>D22+1</f>
        <v>46155</v>
      </c>
      <c r="H22" s="167"/>
      <c r="I22" s="311"/>
      <c r="J22" s="313">
        <f>G22+1</f>
        <v>46156</v>
      </c>
      <c r="K22" s="167"/>
      <c r="L22" s="311"/>
      <c r="M22" s="313">
        <f>J22+1</f>
        <v>46157</v>
      </c>
      <c r="N22" s="167"/>
      <c r="O22" s="311"/>
      <c r="P22" s="313">
        <f>M22+1</f>
        <v>46158</v>
      </c>
      <c r="Q22" s="167"/>
      <c r="R22" s="311"/>
      <c r="S22" s="314">
        <f>P22+1</f>
        <v>46159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5"/>
    </row>
    <row r="24">
      <c r="A24" s="315"/>
      <c r="B24" s="316"/>
      <c r="C24" s="316"/>
      <c r="D24" s="144" t="s">
        <v>134</v>
      </c>
      <c r="E24" s="144" t="s">
        <v>140</v>
      </c>
      <c r="F24" s="144" t="s">
        <v>159</v>
      </c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5"/>
    </row>
    <row r="25">
      <c r="A25" s="226" t="s">
        <v>14</v>
      </c>
      <c r="B25" s="11"/>
      <c r="C25" s="12"/>
      <c r="D25" s="57" t="s">
        <v>391</v>
      </c>
      <c r="E25" s="57" t="s">
        <v>168</v>
      </c>
      <c r="F25" s="57" t="s">
        <v>392</v>
      </c>
      <c r="G25" s="57"/>
      <c r="H25" s="57"/>
      <c r="I25" s="57"/>
      <c r="J25" s="57"/>
      <c r="K25" s="57"/>
      <c r="L25" s="57"/>
      <c r="M25" s="57"/>
      <c r="N25" s="57"/>
      <c r="O25" s="57"/>
      <c r="P25" s="315" t="s">
        <v>387</v>
      </c>
      <c r="Q25" s="316" t="s">
        <v>388</v>
      </c>
      <c r="R25" s="316" t="s">
        <v>25</v>
      </c>
      <c r="S25" s="57" t="s">
        <v>393</v>
      </c>
      <c r="T25" s="57" t="s">
        <v>388</v>
      </c>
      <c r="U25" s="57"/>
    </row>
    <row r="26">
      <c r="A26" s="315"/>
      <c r="B26" s="316"/>
      <c r="C26" s="316"/>
      <c r="D26" s="315"/>
      <c r="E26" s="316"/>
      <c r="F26" s="316"/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5"/>
    </row>
    <row r="27">
      <c r="A27" s="315"/>
      <c r="B27" s="316"/>
      <c r="C27" s="316"/>
      <c r="D27" s="315"/>
      <c r="E27" s="316"/>
      <c r="F27" s="316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5"/>
    </row>
    <row r="28">
      <c r="A28" s="317"/>
      <c r="B28" s="318"/>
      <c r="C28" s="318"/>
      <c r="D28" s="317"/>
      <c r="E28" s="318"/>
      <c r="F28" s="318"/>
      <c r="G28" s="317"/>
      <c r="H28" s="318"/>
      <c r="I28" s="318"/>
      <c r="J28" s="317"/>
      <c r="K28" s="318"/>
      <c r="L28" s="318"/>
      <c r="M28" s="317"/>
      <c r="N28" s="318"/>
      <c r="O28" s="318"/>
      <c r="P28" s="317"/>
      <c r="Q28" s="318"/>
      <c r="R28" s="318"/>
      <c r="S28" s="317"/>
      <c r="T28" s="318"/>
      <c r="U28" s="317"/>
    </row>
    <row r="29">
      <c r="A29" s="319" t="s">
        <v>7</v>
      </c>
      <c r="B29" s="167"/>
      <c r="C29" s="311"/>
      <c r="D29" s="320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33">
        <f>S22+1</f>
        <v>46160</v>
      </c>
      <c r="B30" s="167"/>
      <c r="C30" s="311"/>
      <c r="D30" s="334">
        <f>A30+1</f>
        <v>46161</v>
      </c>
      <c r="E30" s="167"/>
      <c r="F30" s="311"/>
      <c r="G30" s="334">
        <f>D30+1</f>
        <v>46162</v>
      </c>
      <c r="H30" s="167"/>
      <c r="I30" s="311"/>
      <c r="J30" s="334">
        <f>G30+1</f>
        <v>46163</v>
      </c>
      <c r="K30" s="167"/>
      <c r="L30" s="311"/>
      <c r="M30" s="334">
        <f>J30+1</f>
        <v>46164</v>
      </c>
      <c r="N30" s="167"/>
      <c r="O30" s="311"/>
      <c r="P30" s="334">
        <f>M30+1</f>
        <v>46165</v>
      </c>
      <c r="Q30" s="167"/>
      <c r="R30" s="311"/>
      <c r="S30" s="335">
        <f>P30+1</f>
        <v>46166</v>
      </c>
      <c r="T30" s="167"/>
      <c r="U30" s="311"/>
    </row>
    <row r="31">
      <c r="A31" s="315"/>
      <c r="B31" s="316"/>
      <c r="C31" s="316"/>
      <c r="D31" s="315"/>
      <c r="E31" s="316"/>
      <c r="F31" s="316"/>
      <c r="G31" s="315"/>
      <c r="H31" s="316"/>
      <c r="I31" s="316"/>
      <c r="J31" s="315"/>
      <c r="K31" s="316"/>
      <c r="L31" s="316"/>
      <c r="M31" s="315"/>
      <c r="N31" s="316"/>
      <c r="O31" s="316"/>
      <c r="P31" s="315"/>
      <c r="Q31" s="316"/>
      <c r="R31" s="316"/>
      <c r="S31" s="315"/>
      <c r="T31" s="316"/>
      <c r="U31" s="315"/>
    </row>
    <row r="32">
      <c r="A32" s="315"/>
      <c r="B32" s="316"/>
      <c r="C32" s="316"/>
      <c r="D32" s="315"/>
      <c r="E32" s="316"/>
      <c r="F32" s="316"/>
      <c r="G32" s="315"/>
      <c r="H32" s="316"/>
      <c r="I32" s="316"/>
      <c r="J32" s="315"/>
      <c r="K32" s="316"/>
      <c r="L32" s="316"/>
      <c r="M32" s="315"/>
      <c r="N32" s="316"/>
      <c r="O32" s="316"/>
      <c r="P32" s="315"/>
      <c r="Q32" s="316"/>
      <c r="R32" s="316"/>
      <c r="S32" s="315"/>
      <c r="T32" s="316"/>
      <c r="U32" s="315"/>
    </row>
    <row r="33">
      <c r="A33" s="57" t="s">
        <v>393</v>
      </c>
      <c r="B33" s="57" t="s">
        <v>388</v>
      </c>
      <c r="C33" s="57" t="s">
        <v>25</v>
      </c>
      <c r="D33" s="57" t="s">
        <v>393</v>
      </c>
      <c r="E33" s="57" t="s">
        <v>388</v>
      </c>
      <c r="F33" s="57" t="s">
        <v>25</v>
      </c>
      <c r="G33" s="57" t="s">
        <v>393</v>
      </c>
      <c r="H33" s="57" t="s">
        <v>388</v>
      </c>
      <c r="I33" s="57" t="s">
        <v>25</v>
      </c>
      <c r="J33" s="57" t="s">
        <v>393</v>
      </c>
      <c r="K33" s="57" t="s">
        <v>388</v>
      </c>
      <c r="L33" s="57" t="s">
        <v>25</v>
      </c>
      <c r="M33" s="90" t="s">
        <v>320</v>
      </c>
      <c r="N33" s="90" t="s">
        <v>326</v>
      </c>
      <c r="O33" s="90" t="s">
        <v>61</v>
      </c>
      <c r="P33" s="226" t="s">
        <v>14</v>
      </c>
      <c r="Q33" s="11"/>
      <c r="R33" s="12"/>
      <c r="S33" s="57"/>
      <c r="T33" s="57"/>
      <c r="U33" s="57"/>
    </row>
    <row r="34">
      <c r="A34" s="315"/>
      <c r="B34" s="316"/>
      <c r="C34" s="316"/>
      <c r="D34" s="315"/>
      <c r="E34" s="316"/>
      <c r="F34" s="316"/>
      <c r="G34" s="315"/>
      <c r="H34" s="316"/>
      <c r="I34" s="316"/>
      <c r="J34" s="315"/>
      <c r="K34" s="316"/>
      <c r="L34" s="316"/>
      <c r="M34" s="315"/>
      <c r="N34" s="316"/>
      <c r="O34" s="316"/>
      <c r="P34" s="315"/>
      <c r="Q34" s="316"/>
      <c r="R34" s="316"/>
      <c r="S34" s="315"/>
      <c r="T34" s="316"/>
      <c r="U34" s="315"/>
    </row>
    <row r="35">
      <c r="A35" s="315"/>
      <c r="B35" s="316"/>
      <c r="C35" s="316"/>
      <c r="D35" s="315"/>
      <c r="E35" s="316"/>
      <c r="F35" s="316"/>
      <c r="G35" s="315"/>
      <c r="H35" s="316"/>
      <c r="I35" s="316"/>
      <c r="J35" s="315"/>
      <c r="K35" s="316"/>
      <c r="L35" s="316"/>
      <c r="M35" s="315"/>
      <c r="N35" s="316"/>
      <c r="O35" s="316"/>
      <c r="P35" s="315"/>
      <c r="Q35" s="316"/>
      <c r="R35" s="316"/>
      <c r="S35" s="315"/>
      <c r="T35" s="316"/>
      <c r="U35" s="315"/>
    </row>
    <row r="36">
      <c r="A36" s="317"/>
      <c r="B36" s="318"/>
      <c r="C36" s="318"/>
      <c r="D36" s="317"/>
      <c r="E36" s="318"/>
      <c r="F36" s="318"/>
      <c r="G36" s="317"/>
      <c r="H36" s="318"/>
      <c r="I36" s="318"/>
      <c r="J36" s="317"/>
      <c r="K36" s="318"/>
      <c r="L36" s="318"/>
      <c r="M36" s="317"/>
      <c r="N36" s="318"/>
      <c r="O36" s="318"/>
      <c r="P36" s="317"/>
      <c r="Q36" s="318"/>
      <c r="R36" s="318"/>
      <c r="S36" s="317"/>
      <c r="T36" s="318"/>
      <c r="U36" s="317"/>
    </row>
    <row r="37">
      <c r="A37" s="329" t="s">
        <v>7</v>
      </c>
      <c r="B37" s="167"/>
      <c r="C37" s="311"/>
      <c r="D37" s="330" t="s">
        <v>8</v>
      </c>
      <c r="E37" s="167"/>
      <c r="F37" s="311"/>
      <c r="G37" s="330" t="s">
        <v>9</v>
      </c>
      <c r="H37" s="167"/>
      <c r="I37" s="311"/>
      <c r="J37" s="330" t="s">
        <v>10</v>
      </c>
      <c r="K37" s="167"/>
      <c r="L37" s="311"/>
      <c r="M37" s="330" t="s">
        <v>11</v>
      </c>
      <c r="N37" s="167"/>
      <c r="O37" s="311"/>
      <c r="P37" s="330" t="s">
        <v>12</v>
      </c>
      <c r="Q37" s="167"/>
      <c r="R37" s="311"/>
      <c r="S37" s="331" t="s">
        <v>13</v>
      </c>
      <c r="T37" s="167"/>
      <c r="U37" s="311"/>
    </row>
    <row r="38">
      <c r="A38" s="332">
        <f>S30+1</f>
        <v>46167</v>
      </c>
      <c r="B38" s="167"/>
      <c r="C38" s="311"/>
      <c r="D38" s="313">
        <f>A38+1</f>
        <v>46168</v>
      </c>
      <c r="E38" s="167"/>
      <c r="F38" s="311"/>
      <c r="G38" s="313">
        <f>D38+1</f>
        <v>46169</v>
      </c>
      <c r="H38" s="167"/>
      <c r="I38" s="311"/>
      <c r="J38" s="313">
        <f>G38+1</f>
        <v>46170</v>
      </c>
      <c r="K38" s="167"/>
      <c r="L38" s="311"/>
      <c r="M38" s="313">
        <f>J38+1</f>
        <v>46171</v>
      </c>
      <c r="N38" s="167"/>
      <c r="O38" s="311"/>
      <c r="P38" s="313">
        <f>M38+1</f>
        <v>46172</v>
      </c>
      <c r="Q38" s="167"/>
      <c r="R38" s="311"/>
      <c r="S38" s="313">
        <f>P38+1</f>
        <v>46173</v>
      </c>
      <c r="T38" s="167"/>
      <c r="U38" s="311"/>
    </row>
    <row r="39">
      <c r="A39" s="315"/>
      <c r="B39" s="316"/>
      <c r="C39" s="316"/>
      <c r="D39" s="315"/>
      <c r="E39" s="316"/>
      <c r="F39" s="316"/>
      <c r="G39" s="315"/>
      <c r="H39" s="316"/>
      <c r="I39" s="316"/>
      <c r="J39" s="315"/>
      <c r="K39" s="316"/>
      <c r="L39" s="316"/>
      <c r="M39" s="315"/>
      <c r="N39" s="316"/>
      <c r="O39" s="316"/>
      <c r="P39" s="315"/>
      <c r="Q39" s="316"/>
      <c r="R39" s="316"/>
      <c r="S39" s="315"/>
      <c r="T39" s="316"/>
      <c r="U39" s="315"/>
    </row>
    <row r="40">
      <c r="A40" s="315"/>
      <c r="B40" s="316"/>
      <c r="C40" s="316"/>
      <c r="D40" s="315"/>
      <c r="E40" s="316"/>
      <c r="F40" s="316"/>
      <c r="G40" s="315"/>
      <c r="H40" s="316"/>
      <c r="I40" s="316"/>
      <c r="J40" s="315"/>
      <c r="K40" s="316"/>
      <c r="L40" s="316"/>
      <c r="M40" s="315"/>
      <c r="N40" s="316"/>
      <c r="O40" s="316"/>
      <c r="P40" s="315"/>
      <c r="Q40" s="316"/>
      <c r="R40" s="316"/>
      <c r="S40" s="315"/>
      <c r="T40" s="316"/>
      <c r="U40" s="315"/>
    </row>
    <row r="41">
      <c r="A41" s="57"/>
      <c r="B41" s="57"/>
      <c r="C41" s="57"/>
      <c r="D41" s="57"/>
      <c r="E41" s="57"/>
      <c r="F41" s="57"/>
      <c r="G41" s="57" t="s">
        <v>393</v>
      </c>
      <c r="H41" s="57" t="s">
        <v>388</v>
      </c>
      <c r="I41" s="57" t="s">
        <v>25</v>
      </c>
      <c r="J41" s="57" t="s">
        <v>393</v>
      </c>
      <c r="K41" s="57" t="s">
        <v>388</v>
      </c>
      <c r="L41" s="57" t="s">
        <v>25</v>
      </c>
      <c r="M41" s="57"/>
      <c r="N41" s="57"/>
      <c r="O41" s="57"/>
      <c r="P41" s="226" t="s">
        <v>14</v>
      </c>
      <c r="Q41" s="11"/>
      <c r="R41" s="12"/>
      <c r="S41" s="57" t="s">
        <v>394</v>
      </c>
      <c r="T41" s="57" t="s">
        <v>388</v>
      </c>
      <c r="U41" s="57" t="s">
        <v>25</v>
      </c>
    </row>
    <row r="42">
      <c r="A42" s="57" t="s">
        <v>395</v>
      </c>
      <c r="B42" s="57" t="s">
        <v>168</v>
      </c>
      <c r="C42" s="57" t="s">
        <v>396</v>
      </c>
      <c r="D42" s="315"/>
      <c r="E42" s="316"/>
      <c r="F42" s="316"/>
      <c r="G42" s="315"/>
      <c r="H42" s="316"/>
      <c r="I42" s="316"/>
      <c r="J42" s="315"/>
      <c r="K42" s="316"/>
      <c r="L42" s="316"/>
      <c r="M42" s="315"/>
      <c r="N42" s="316"/>
      <c r="O42" s="316"/>
      <c r="P42" s="315"/>
      <c r="Q42" s="316"/>
      <c r="R42" s="316"/>
      <c r="S42" s="315"/>
      <c r="T42" s="316"/>
      <c r="U42" s="315"/>
    </row>
    <row r="43">
      <c r="A43" s="315"/>
      <c r="B43" s="316"/>
      <c r="C43" s="316"/>
      <c r="D43" s="315"/>
      <c r="E43" s="316"/>
      <c r="F43" s="316"/>
      <c r="G43" s="315"/>
      <c r="H43" s="316"/>
      <c r="I43" s="316"/>
      <c r="J43" s="315"/>
      <c r="K43" s="316"/>
      <c r="L43" s="316"/>
      <c r="M43" s="315"/>
      <c r="N43" s="316"/>
      <c r="O43" s="316"/>
      <c r="P43" s="315"/>
      <c r="Q43" s="316"/>
      <c r="R43" s="316"/>
      <c r="S43" s="315"/>
      <c r="T43" s="316"/>
      <c r="U43" s="315"/>
    </row>
    <row r="44">
      <c r="A44" s="317"/>
      <c r="B44" s="318"/>
      <c r="C44" s="318"/>
      <c r="D44" s="317"/>
      <c r="E44" s="318"/>
      <c r="F44" s="318"/>
      <c r="G44" s="317"/>
      <c r="H44" s="318"/>
      <c r="I44" s="318"/>
      <c r="J44" s="317"/>
      <c r="K44" s="318"/>
      <c r="L44" s="318"/>
      <c r="M44" s="317"/>
      <c r="N44" s="318"/>
      <c r="O44" s="318"/>
      <c r="P44" s="317"/>
      <c r="Q44" s="318"/>
      <c r="R44" s="318"/>
      <c r="S44" s="317"/>
      <c r="T44" s="318"/>
      <c r="U44" s="317"/>
    </row>
    <row r="45">
      <c r="A45" s="319"/>
      <c r="B45" s="167"/>
      <c r="C45" s="311"/>
      <c r="D45" s="320"/>
      <c r="E45" s="167"/>
      <c r="F45" s="311"/>
      <c r="G45" s="320"/>
      <c r="H45" s="167"/>
      <c r="I45" s="311"/>
      <c r="J45" s="320"/>
      <c r="K45" s="167"/>
      <c r="L45" s="311"/>
      <c r="M45" s="320"/>
      <c r="N45" s="167"/>
      <c r="O45" s="311"/>
      <c r="P45" s="320"/>
      <c r="Q45" s="167"/>
      <c r="R45" s="311"/>
      <c r="S45" s="336"/>
      <c r="T45" s="167"/>
      <c r="U45" s="311"/>
    </row>
    <row r="46">
      <c r="A46" s="333"/>
      <c r="B46" s="167"/>
      <c r="C46" s="311"/>
      <c r="D46" s="334"/>
      <c r="E46" s="167"/>
      <c r="F46" s="311"/>
      <c r="G46" s="334"/>
      <c r="H46" s="167"/>
      <c r="I46" s="311"/>
      <c r="J46" s="334"/>
      <c r="K46" s="167"/>
      <c r="L46" s="311"/>
      <c r="M46" s="334"/>
      <c r="N46" s="167"/>
      <c r="O46" s="311"/>
      <c r="P46" s="334"/>
      <c r="Q46" s="167"/>
      <c r="R46" s="311"/>
      <c r="S46" s="337"/>
      <c r="T46" s="167"/>
      <c r="U46" s="311"/>
    </row>
    <row r="47">
      <c r="A47" s="338"/>
      <c r="B47" s="338"/>
      <c r="C47" s="338"/>
      <c r="D47" s="339"/>
      <c r="E47" s="339"/>
      <c r="F47" s="339"/>
      <c r="G47" s="318"/>
      <c r="H47" s="340"/>
      <c r="I47" s="340"/>
      <c r="J47" s="341"/>
      <c r="K47" s="341"/>
      <c r="L47" s="341"/>
      <c r="M47" s="342"/>
      <c r="N47" s="342"/>
      <c r="O47" s="342"/>
      <c r="P47" s="342"/>
      <c r="Q47" s="342"/>
      <c r="R47" s="342"/>
      <c r="S47" s="341"/>
      <c r="T47" s="341"/>
      <c r="U47" s="341"/>
    </row>
    <row r="48">
      <c r="A48" s="339"/>
      <c r="B48" s="339"/>
      <c r="C48" s="339"/>
      <c r="D48" s="343"/>
      <c r="E48" s="343"/>
      <c r="F48" s="343"/>
      <c r="G48" s="342"/>
      <c r="H48" s="342"/>
      <c r="I48" s="342"/>
      <c r="J48" s="341"/>
      <c r="K48" s="341"/>
      <c r="L48" s="341"/>
      <c r="M48" s="344"/>
      <c r="N48" s="344"/>
      <c r="O48" s="344"/>
      <c r="P48" s="342"/>
      <c r="Q48" s="342"/>
      <c r="R48" s="342"/>
      <c r="S48" s="342"/>
      <c r="T48" s="342"/>
      <c r="U48" s="342"/>
    </row>
    <row r="49">
      <c r="A49" s="339"/>
      <c r="B49" s="339"/>
      <c r="C49" s="339"/>
      <c r="D49" s="339"/>
      <c r="E49" s="339"/>
      <c r="F49" s="339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</row>
    <row r="50">
      <c r="A50" s="342"/>
      <c r="B50" s="342"/>
      <c r="C50" s="342"/>
      <c r="D50" s="339"/>
      <c r="E50" s="339"/>
      <c r="F50" s="339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1"/>
      <c r="T50" s="341"/>
      <c r="U50" s="341"/>
    </row>
    <row r="51">
      <c r="A51" s="338"/>
      <c r="B51" s="338"/>
      <c r="C51" s="338"/>
      <c r="D51" s="345"/>
      <c r="E51" s="345"/>
      <c r="F51" s="345"/>
      <c r="G51" s="342"/>
      <c r="H51" s="342"/>
      <c r="I51" s="341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</row>
    <row r="52">
      <c r="A52" s="346"/>
      <c r="B52" s="341"/>
      <c r="C52" s="341"/>
      <c r="D52" s="342"/>
      <c r="E52" s="342"/>
      <c r="F52" s="342"/>
      <c r="G52" s="341"/>
      <c r="H52" s="341"/>
      <c r="I52" s="341"/>
      <c r="J52" s="342"/>
      <c r="K52" s="342"/>
      <c r="L52" s="342"/>
      <c r="M52" s="341"/>
      <c r="N52" s="341"/>
      <c r="O52" s="341"/>
      <c r="P52" s="342"/>
      <c r="Q52" s="342"/>
      <c r="R52" s="342"/>
      <c r="S52" s="341"/>
      <c r="T52" s="341"/>
      <c r="U52" s="341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6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5:C25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S30:U30"/>
    <mergeCell ref="P30:R30"/>
    <mergeCell ref="P33:R33"/>
    <mergeCell ref="A37:C37"/>
    <mergeCell ref="D37:F37"/>
    <mergeCell ref="G37:I37"/>
    <mergeCell ref="J37:L37"/>
    <mergeCell ref="M37:O37"/>
    <mergeCell ref="A38:C38"/>
    <mergeCell ref="D38:F38"/>
    <mergeCell ref="G38:I38"/>
    <mergeCell ref="J38:L38"/>
    <mergeCell ref="M38:O38"/>
    <mergeCell ref="P38:R38"/>
    <mergeCell ref="P41:R41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P37:R37"/>
    <mergeCell ref="S37:U37"/>
    <mergeCell ref="S38:U38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11.29"/>
    <col customWidth="1" min="21" max="21" width="7.86"/>
  </cols>
  <sheetData>
    <row r="1">
      <c r="A1" s="302" t="s">
        <v>69</v>
      </c>
      <c r="C1" s="303" t="s">
        <v>397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>
        <v>46143.0</v>
      </c>
      <c r="N6" s="191"/>
      <c r="O6" s="192"/>
      <c r="P6" s="313">
        <f>M6+1</f>
        <v>46144</v>
      </c>
      <c r="Q6" s="167"/>
      <c r="R6" s="311"/>
      <c r="S6" s="314">
        <f>P6+1</f>
        <v>46145</v>
      </c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6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15"/>
      <c r="T8" s="316"/>
      <c r="U8" s="316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15"/>
      <c r="K10" s="316"/>
      <c r="L10" s="316"/>
      <c r="M10" s="315"/>
      <c r="N10" s="316"/>
      <c r="O10" s="316"/>
      <c r="P10" s="315"/>
      <c r="Q10" s="316"/>
      <c r="R10" s="316"/>
      <c r="S10" s="315"/>
      <c r="T10" s="316"/>
      <c r="U10" s="316"/>
    </row>
    <row r="11">
      <c r="A11" s="315"/>
      <c r="B11" s="316"/>
      <c r="C11" s="316"/>
      <c r="D11" s="315"/>
      <c r="E11" s="316"/>
      <c r="F11" s="316"/>
      <c r="G11" s="315"/>
      <c r="H11" s="316"/>
      <c r="I11" s="316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6"/>
    </row>
    <row r="12">
      <c r="A12" s="317"/>
      <c r="B12" s="318"/>
      <c r="C12" s="318"/>
      <c r="D12" s="317"/>
      <c r="E12" s="318"/>
      <c r="F12" s="318"/>
      <c r="G12" s="317"/>
      <c r="H12" s="318"/>
      <c r="I12" s="318"/>
      <c r="J12" s="317"/>
      <c r="K12" s="318"/>
      <c r="L12" s="318"/>
      <c r="M12" s="317"/>
      <c r="N12" s="318"/>
      <c r="O12" s="318"/>
      <c r="P12" s="317"/>
      <c r="Q12" s="318"/>
      <c r="R12" s="318"/>
      <c r="S12" s="317"/>
      <c r="T12" s="318"/>
      <c r="U12" s="318"/>
    </row>
    <row r="13">
      <c r="A13" s="319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22">
        <f>S6+1</f>
        <v>46146</v>
      </c>
      <c r="B14" s="167"/>
      <c r="C14" s="311"/>
      <c r="D14" s="323">
        <f>A14+1</f>
        <v>46147</v>
      </c>
      <c r="E14" s="167"/>
      <c r="F14" s="311"/>
      <c r="G14" s="323">
        <f>D14+1</f>
        <v>46148</v>
      </c>
      <c r="H14" s="167"/>
      <c r="I14" s="311"/>
      <c r="J14" s="323">
        <f>G14+1</f>
        <v>46149</v>
      </c>
      <c r="K14" s="167"/>
      <c r="L14" s="311"/>
      <c r="M14" s="323">
        <f>J14+1</f>
        <v>46150</v>
      </c>
      <c r="N14" s="167"/>
      <c r="O14" s="311"/>
      <c r="P14" s="323">
        <f>M14+1</f>
        <v>46151</v>
      </c>
      <c r="Q14" s="167"/>
      <c r="R14" s="311"/>
      <c r="S14" s="324">
        <f>P14+1</f>
        <v>46152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6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26"/>
      <c r="Q16" s="327"/>
      <c r="R16" s="328"/>
      <c r="S16" s="315"/>
      <c r="T16" s="316"/>
      <c r="U16" s="316"/>
    </row>
    <row r="17">
      <c r="A17" s="349"/>
      <c r="B17" s="349"/>
      <c r="C17" s="31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89"/>
      <c r="Q17" s="90"/>
      <c r="R17" s="89"/>
      <c r="S17" s="57"/>
      <c r="T17" s="57"/>
      <c r="U17" s="57"/>
    </row>
    <row r="18">
      <c r="A18" s="315"/>
      <c r="B18" s="316"/>
      <c r="C18" s="316"/>
      <c r="D18" s="315"/>
      <c r="E18" s="316"/>
      <c r="F18" s="316"/>
      <c r="G18" s="315"/>
      <c r="H18" s="316"/>
      <c r="I18" s="316"/>
      <c r="J18" s="315"/>
      <c r="K18" s="316"/>
      <c r="L18" s="316"/>
      <c r="M18" s="315"/>
      <c r="N18" s="316"/>
      <c r="O18" s="316"/>
      <c r="P18" s="315"/>
      <c r="Q18" s="316"/>
      <c r="R18" s="316"/>
      <c r="S18" s="315"/>
      <c r="T18" s="316"/>
      <c r="U18" s="316"/>
    </row>
    <row r="19">
      <c r="A19" s="315"/>
      <c r="B19" s="316"/>
      <c r="C19" s="316"/>
      <c r="D19" s="315"/>
      <c r="E19" s="316"/>
      <c r="F19" s="316"/>
      <c r="G19" s="315"/>
      <c r="H19" s="316"/>
      <c r="I19" s="316"/>
      <c r="J19" s="315"/>
      <c r="K19" s="316"/>
      <c r="L19" s="316"/>
      <c r="M19" s="315"/>
      <c r="N19" s="316"/>
      <c r="O19" s="316"/>
      <c r="P19" s="315"/>
      <c r="Q19" s="316"/>
      <c r="R19" s="316"/>
      <c r="S19" s="315"/>
      <c r="T19" s="316"/>
      <c r="U19" s="316"/>
    </row>
    <row r="20">
      <c r="A20" s="317"/>
      <c r="B20" s="318"/>
      <c r="C20" s="318"/>
      <c r="D20" s="317"/>
      <c r="E20" s="318"/>
      <c r="F20" s="318"/>
      <c r="G20" s="317"/>
      <c r="H20" s="318"/>
      <c r="I20" s="318"/>
      <c r="J20" s="317"/>
      <c r="K20" s="318"/>
      <c r="L20" s="318"/>
      <c r="M20" s="317"/>
      <c r="N20" s="318"/>
      <c r="O20" s="318"/>
      <c r="P20" s="317"/>
      <c r="Q20" s="318"/>
      <c r="R20" s="318"/>
      <c r="S20" s="317"/>
      <c r="T20" s="318"/>
      <c r="U20" s="318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46153</v>
      </c>
      <c r="B22" s="167"/>
      <c r="C22" s="311"/>
      <c r="D22" s="313">
        <f>A22+1</f>
        <v>46154</v>
      </c>
      <c r="E22" s="167"/>
      <c r="F22" s="311"/>
      <c r="G22" s="313">
        <f>D22+1</f>
        <v>46155</v>
      </c>
      <c r="H22" s="167"/>
      <c r="I22" s="311"/>
      <c r="J22" s="313">
        <f>G22+1</f>
        <v>46156</v>
      </c>
      <c r="K22" s="167"/>
      <c r="L22" s="311"/>
      <c r="M22" s="313">
        <f>J22+1</f>
        <v>46157</v>
      </c>
      <c r="N22" s="167"/>
      <c r="O22" s="311"/>
      <c r="P22" s="313">
        <f>M22+1</f>
        <v>46158</v>
      </c>
      <c r="Q22" s="167"/>
      <c r="R22" s="311"/>
      <c r="S22" s="314">
        <f>P22+1</f>
        <v>46159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6"/>
    </row>
    <row r="24">
      <c r="A24" s="315"/>
      <c r="B24" s="316"/>
      <c r="C24" s="316"/>
      <c r="D24" s="315"/>
      <c r="E24" s="316"/>
      <c r="F24" s="316"/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6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</row>
    <row r="26">
      <c r="A26" s="315"/>
      <c r="B26" s="316"/>
      <c r="C26" s="316"/>
      <c r="D26" s="315"/>
      <c r="E26" s="316"/>
      <c r="F26" s="316"/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6"/>
    </row>
    <row r="27">
      <c r="A27" s="315"/>
      <c r="B27" s="316"/>
      <c r="C27" s="316"/>
      <c r="D27" s="315"/>
      <c r="E27" s="316"/>
      <c r="F27" s="316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6"/>
    </row>
    <row r="28">
      <c r="A28" s="317"/>
      <c r="B28" s="318"/>
      <c r="C28" s="318"/>
      <c r="D28" s="317"/>
      <c r="E28" s="318"/>
      <c r="F28" s="318"/>
      <c r="G28" s="317"/>
      <c r="H28" s="318"/>
      <c r="I28" s="318"/>
      <c r="J28" s="317"/>
      <c r="K28" s="318"/>
      <c r="L28" s="318"/>
      <c r="M28" s="317"/>
      <c r="N28" s="318"/>
      <c r="O28" s="318"/>
      <c r="P28" s="317"/>
      <c r="Q28" s="318"/>
      <c r="R28" s="318"/>
      <c r="S28" s="317"/>
      <c r="T28" s="318"/>
      <c r="U28" s="318"/>
    </row>
    <row r="29">
      <c r="A29" s="319" t="s">
        <v>7</v>
      </c>
      <c r="B29" s="167"/>
      <c r="C29" s="311"/>
      <c r="D29" s="320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33">
        <f>S22+1</f>
        <v>46160</v>
      </c>
      <c r="B30" s="167"/>
      <c r="C30" s="311"/>
      <c r="D30" s="334">
        <f>A30+1</f>
        <v>46161</v>
      </c>
      <c r="E30" s="167"/>
      <c r="F30" s="311"/>
      <c r="G30" s="334">
        <f>D30+1</f>
        <v>46162</v>
      </c>
      <c r="H30" s="167"/>
      <c r="I30" s="311"/>
      <c r="J30" s="334">
        <f>G30+1</f>
        <v>46163</v>
      </c>
      <c r="K30" s="167"/>
      <c r="L30" s="311"/>
      <c r="M30" s="334">
        <f>J30+1</f>
        <v>46164</v>
      </c>
      <c r="N30" s="167"/>
      <c r="O30" s="311"/>
      <c r="P30" s="334">
        <f>M30+1</f>
        <v>46165</v>
      </c>
      <c r="Q30" s="167"/>
      <c r="R30" s="311"/>
      <c r="S30" s="335">
        <f>P30+1</f>
        <v>46166</v>
      </c>
      <c r="T30" s="167"/>
      <c r="U30" s="311"/>
    </row>
    <row r="31">
      <c r="A31" s="315"/>
      <c r="B31" s="316"/>
      <c r="C31" s="316"/>
      <c r="D31" s="315"/>
      <c r="E31" s="316"/>
      <c r="F31" s="316"/>
      <c r="G31" s="315"/>
      <c r="H31" s="316"/>
      <c r="I31" s="316"/>
      <c r="J31" s="315"/>
      <c r="K31" s="316"/>
      <c r="L31" s="316"/>
      <c r="M31" s="315"/>
      <c r="N31" s="316"/>
      <c r="O31" s="316"/>
      <c r="P31" s="315"/>
      <c r="Q31" s="316"/>
      <c r="R31" s="316"/>
      <c r="S31" s="315"/>
      <c r="T31" s="316"/>
      <c r="U31" s="316"/>
    </row>
    <row r="32">
      <c r="A32" s="315"/>
      <c r="B32" s="316"/>
      <c r="C32" s="316"/>
      <c r="D32" s="315"/>
      <c r="E32" s="316"/>
      <c r="F32" s="316"/>
      <c r="G32" s="315"/>
      <c r="H32" s="316"/>
      <c r="I32" s="316"/>
      <c r="J32" s="315"/>
      <c r="K32" s="316"/>
      <c r="L32" s="316"/>
      <c r="M32" s="315"/>
      <c r="N32" s="316"/>
      <c r="O32" s="316"/>
      <c r="P32" s="326" t="s">
        <v>145</v>
      </c>
      <c r="Q32" s="327" t="s">
        <v>63</v>
      </c>
      <c r="R32" s="328" t="s">
        <v>29</v>
      </c>
      <c r="S32" s="315"/>
      <c r="T32" s="316"/>
      <c r="U32" s="316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89" t="s">
        <v>221</v>
      </c>
      <c r="Q33" s="90" t="s">
        <v>327</v>
      </c>
      <c r="R33" s="89" t="s">
        <v>25</v>
      </c>
      <c r="S33" s="57"/>
      <c r="T33" s="57"/>
      <c r="U33" s="57"/>
    </row>
    <row r="34">
      <c r="A34" s="315"/>
      <c r="B34" s="316"/>
      <c r="C34" s="316"/>
      <c r="D34" s="315"/>
      <c r="E34" s="316"/>
      <c r="F34" s="316"/>
      <c r="G34" s="315"/>
      <c r="H34" s="316"/>
      <c r="I34" s="316"/>
      <c r="J34" s="315"/>
      <c r="K34" s="316"/>
      <c r="L34" s="316"/>
      <c r="M34" s="315"/>
      <c r="N34" s="316"/>
      <c r="O34" s="316"/>
      <c r="P34" s="315"/>
      <c r="Q34" s="316"/>
      <c r="R34" s="316"/>
      <c r="S34" s="315"/>
      <c r="T34" s="316"/>
      <c r="U34" s="316"/>
    </row>
    <row r="35">
      <c r="A35" s="315"/>
      <c r="B35" s="316"/>
      <c r="C35" s="316"/>
      <c r="D35" s="315"/>
      <c r="E35" s="316"/>
      <c r="F35" s="316"/>
      <c r="G35" s="315"/>
      <c r="H35" s="316"/>
      <c r="I35" s="316"/>
      <c r="J35" s="315"/>
      <c r="K35" s="316"/>
      <c r="L35" s="316"/>
      <c r="M35" s="315"/>
      <c r="N35" s="316"/>
      <c r="O35" s="316"/>
      <c r="P35" s="315"/>
      <c r="Q35" s="316"/>
      <c r="R35" s="316"/>
      <c r="S35" s="315"/>
      <c r="T35" s="316"/>
      <c r="U35" s="316"/>
    </row>
    <row r="36">
      <c r="A36" s="317"/>
      <c r="B36" s="318"/>
      <c r="C36" s="318"/>
      <c r="D36" s="317"/>
      <c r="E36" s="318"/>
      <c r="F36" s="318"/>
      <c r="G36" s="317"/>
      <c r="H36" s="318"/>
      <c r="I36" s="318"/>
      <c r="J36" s="317"/>
      <c r="K36" s="318"/>
      <c r="L36" s="318"/>
      <c r="M36" s="317"/>
      <c r="N36" s="318"/>
      <c r="O36" s="318"/>
      <c r="P36" s="317"/>
      <c r="Q36" s="318"/>
      <c r="R36" s="318"/>
      <c r="S36" s="317"/>
      <c r="T36" s="318"/>
      <c r="U36" s="318"/>
    </row>
    <row r="37">
      <c r="A37" s="329" t="s">
        <v>7</v>
      </c>
      <c r="B37" s="167"/>
      <c r="C37" s="311"/>
      <c r="D37" s="330" t="s">
        <v>8</v>
      </c>
      <c r="E37" s="167"/>
      <c r="F37" s="311"/>
      <c r="G37" s="330" t="s">
        <v>9</v>
      </c>
      <c r="H37" s="167"/>
      <c r="I37" s="311"/>
      <c r="J37" s="330" t="s">
        <v>10</v>
      </c>
      <c r="K37" s="167"/>
      <c r="L37" s="311"/>
      <c r="M37" s="330"/>
      <c r="N37" s="167"/>
      <c r="O37" s="311"/>
      <c r="P37" s="330"/>
      <c r="Q37" s="167"/>
      <c r="R37" s="311"/>
      <c r="S37" s="331"/>
      <c r="T37" s="167"/>
      <c r="U37" s="311"/>
    </row>
    <row r="38">
      <c r="A38" s="332">
        <f>S30+1</f>
        <v>46167</v>
      </c>
      <c r="B38" s="167"/>
      <c r="C38" s="311"/>
      <c r="D38" s="313">
        <f>A38+1</f>
        <v>46168</v>
      </c>
      <c r="E38" s="167"/>
      <c r="F38" s="311"/>
      <c r="G38" s="313">
        <f>D38+1</f>
        <v>46169</v>
      </c>
      <c r="H38" s="167"/>
      <c r="I38" s="311"/>
      <c r="J38" s="313">
        <f>G38+1</f>
        <v>46170</v>
      </c>
      <c r="K38" s="167"/>
      <c r="L38" s="311"/>
      <c r="M38" s="313"/>
      <c r="N38" s="167"/>
      <c r="O38" s="311"/>
      <c r="P38" s="313"/>
      <c r="Q38" s="167"/>
      <c r="R38" s="311"/>
      <c r="S38" s="314"/>
      <c r="T38" s="167"/>
      <c r="U38" s="311"/>
    </row>
    <row r="39">
      <c r="A39" s="315"/>
      <c r="B39" s="316"/>
      <c r="C39" s="316"/>
      <c r="D39" s="315"/>
      <c r="E39" s="316"/>
      <c r="F39" s="316"/>
      <c r="G39" s="315"/>
      <c r="H39" s="316"/>
      <c r="I39" s="316"/>
      <c r="J39" s="315"/>
      <c r="K39" s="316"/>
      <c r="L39" s="316"/>
      <c r="M39" s="315"/>
      <c r="N39" s="316"/>
      <c r="O39" s="316"/>
      <c r="P39" s="315"/>
      <c r="Q39" s="316"/>
      <c r="R39" s="316"/>
      <c r="S39" s="315"/>
      <c r="T39" s="316"/>
      <c r="U39" s="316"/>
    </row>
    <row r="40">
      <c r="A40" s="315"/>
      <c r="B40" s="316"/>
      <c r="C40" s="316"/>
      <c r="D40" s="315"/>
      <c r="E40" s="316"/>
      <c r="F40" s="316"/>
      <c r="G40" s="315"/>
      <c r="H40" s="316"/>
      <c r="I40" s="316"/>
      <c r="J40" s="315"/>
      <c r="K40" s="316"/>
      <c r="L40" s="316"/>
      <c r="M40" s="315"/>
      <c r="N40" s="316"/>
      <c r="O40" s="316"/>
      <c r="P40" s="315"/>
      <c r="Q40" s="316"/>
      <c r="R40" s="316"/>
      <c r="S40" s="315"/>
      <c r="T40" s="316"/>
      <c r="U40" s="316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2">
      <c r="A42" s="315"/>
      <c r="B42" s="316"/>
      <c r="C42" s="316"/>
      <c r="D42" s="315"/>
      <c r="E42" s="316"/>
      <c r="F42" s="316"/>
      <c r="G42" s="315"/>
      <c r="H42" s="316"/>
      <c r="I42" s="316"/>
      <c r="J42" s="315"/>
      <c r="K42" s="316"/>
      <c r="L42" s="316"/>
      <c r="M42" s="315"/>
      <c r="N42" s="316"/>
      <c r="O42" s="316"/>
      <c r="P42" s="315"/>
      <c r="Q42" s="316"/>
      <c r="R42" s="316"/>
      <c r="S42" s="315"/>
      <c r="T42" s="316"/>
      <c r="U42" s="316"/>
    </row>
    <row r="43">
      <c r="A43" s="315"/>
      <c r="B43" s="316"/>
      <c r="C43" s="316"/>
      <c r="D43" s="315"/>
      <c r="E43" s="316"/>
      <c r="F43" s="316"/>
      <c r="G43" s="315"/>
      <c r="H43" s="316"/>
      <c r="I43" s="316"/>
      <c r="J43" s="315"/>
      <c r="K43" s="316"/>
      <c r="L43" s="316"/>
      <c r="M43" s="315"/>
      <c r="N43" s="316"/>
      <c r="O43" s="316"/>
      <c r="P43" s="315"/>
      <c r="Q43" s="316"/>
      <c r="R43" s="316"/>
      <c r="S43" s="315"/>
      <c r="T43" s="316"/>
      <c r="U43" s="316"/>
    </row>
    <row r="44">
      <c r="A44" s="317"/>
      <c r="B44" s="318"/>
      <c r="C44" s="318"/>
      <c r="D44" s="317"/>
      <c r="E44" s="318"/>
      <c r="F44" s="318"/>
      <c r="G44" s="317"/>
      <c r="H44" s="318"/>
      <c r="I44" s="318"/>
      <c r="J44" s="317"/>
      <c r="K44" s="318"/>
      <c r="L44" s="318"/>
      <c r="M44" s="317"/>
      <c r="N44" s="318"/>
      <c r="O44" s="318"/>
      <c r="P44" s="317"/>
      <c r="Q44" s="318"/>
      <c r="R44" s="318"/>
      <c r="S44" s="317"/>
      <c r="T44" s="318"/>
      <c r="U44" s="318"/>
    </row>
    <row r="45">
      <c r="A45" s="319"/>
      <c r="B45" s="167"/>
      <c r="C45" s="311"/>
      <c r="D45" s="320"/>
      <c r="E45" s="167"/>
      <c r="F45" s="311"/>
      <c r="G45" s="320"/>
      <c r="H45" s="167"/>
      <c r="I45" s="311"/>
      <c r="J45" s="320"/>
      <c r="K45" s="167"/>
      <c r="L45" s="311"/>
      <c r="M45" s="320"/>
      <c r="N45" s="167"/>
      <c r="O45" s="311"/>
      <c r="P45" s="320"/>
      <c r="Q45" s="167"/>
      <c r="R45" s="311"/>
      <c r="S45" s="336"/>
      <c r="T45" s="167"/>
      <c r="U45" s="311"/>
    </row>
    <row r="46">
      <c r="A46" s="333"/>
      <c r="B46" s="167"/>
      <c r="C46" s="311"/>
      <c r="D46" s="334"/>
      <c r="E46" s="167"/>
      <c r="F46" s="311"/>
      <c r="G46" s="334"/>
      <c r="H46" s="167"/>
      <c r="I46" s="311"/>
      <c r="J46" s="334"/>
      <c r="K46" s="167"/>
      <c r="L46" s="311"/>
      <c r="M46" s="334"/>
      <c r="N46" s="167"/>
      <c r="O46" s="311"/>
      <c r="P46" s="334"/>
      <c r="Q46" s="167"/>
      <c r="R46" s="311"/>
      <c r="S46" s="337"/>
      <c r="T46" s="167"/>
      <c r="U46" s="311"/>
    </row>
    <row r="47">
      <c r="A47" s="338"/>
      <c r="B47" s="338"/>
      <c r="C47" s="338"/>
      <c r="D47" s="339"/>
      <c r="E47" s="339"/>
      <c r="F47" s="339"/>
      <c r="G47" s="318"/>
      <c r="H47" s="340"/>
      <c r="I47" s="340"/>
      <c r="J47" s="341"/>
      <c r="K47" s="341"/>
      <c r="L47" s="341"/>
      <c r="M47" s="342"/>
      <c r="N47" s="342"/>
      <c r="O47" s="342"/>
      <c r="P47" s="342"/>
      <c r="Q47" s="342"/>
      <c r="R47" s="342"/>
      <c r="S47" s="341"/>
      <c r="T47" s="341"/>
      <c r="U47" s="341"/>
    </row>
    <row r="48">
      <c r="A48" s="339"/>
      <c r="B48" s="339"/>
      <c r="C48" s="339"/>
      <c r="D48" s="343"/>
      <c r="E48" s="343"/>
      <c r="F48" s="343"/>
      <c r="G48" s="342"/>
      <c r="H48" s="342"/>
      <c r="I48" s="342"/>
      <c r="J48" s="341"/>
      <c r="K48" s="341"/>
      <c r="L48" s="341"/>
      <c r="M48" s="344"/>
      <c r="N48" s="344"/>
      <c r="O48" s="344"/>
      <c r="P48" s="342"/>
      <c r="Q48" s="342"/>
      <c r="R48" s="342"/>
      <c r="S48" s="342"/>
      <c r="T48" s="342"/>
      <c r="U48" s="342"/>
    </row>
    <row r="49">
      <c r="A49" s="339"/>
      <c r="B49" s="339"/>
      <c r="C49" s="339"/>
      <c r="D49" s="339"/>
      <c r="E49" s="339"/>
      <c r="F49" s="339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</row>
    <row r="50">
      <c r="A50" s="342"/>
      <c r="B50" s="342"/>
      <c r="C50" s="342"/>
      <c r="D50" s="339"/>
      <c r="E50" s="339"/>
      <c r="F50" s="339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1"/>
      <c r="T50" s="341"/>
      <c r="U50" s="341"/>
    </row>
    <row r="51">
      <c r="A51" s="338"/>
      <c r="B51" s="338"/>
      <c r="C51" s="338"/>
      <c r="D51" s="345"/>
      <c r="E51" s="345"/>
      <c r="F51" s="345"/>
      <c r="G51" s="342"/>
      <c r="H51" s="342"/>
      <c r="I51" s="341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</row>
    <row r="52">
      <c r="A52" s="346"/>
      <c r="B52" s="341"/>
      <c r="C52" s="341"/>
      <c r="D52" s="342"/>
      <c r="E52" s="342"/>
      <c r="F52" s="342"/>
      <c r="G52" s="341"/>
      <c r="H52" s="341"/>
      <c r="I52" s="341"/>
      <c r="J52" s="342"/>
      <c r="K52" s="342"/>
      <c r="L52" s="342"/>
      <c r="M52" s="341"/>
      <c r="N52" s="341"/>
      <c r="O52" s="341"/>
      <c r="P52" s="342"/>
      <c r="Q52" s="342"/>
      <c r="R52" s="342"/>
      <c r="S52" s="341"/>
      <c r="T52" s="341"/>
      <c r="U52" s="341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3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11.29"/>
    <col customWidth="1" min="21" max="21" width="7.86"/>
  </cols>
  <sheetData>
    <row r="1">
      <c r="A1" s="302" t="s">
        <v>69</v>
      </c>
      <c r="C1" s="303" t="s">
        <v>398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0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09"/>
      <c r="E6" s="191"/>
      <c r="F6" s="192"/>
      <c r="G6" s="309"/>
      <c r="H6" s="191"/>
      <c r="I6" s="192"/>
      <c r="J6" s="309"/>
      <c r="K6" s="191"/>
      <c r="L6" s="192"/>
      <c r="M6" s="350">
        <v>46143.0</v>
      </c>
      <c r="N6" s="191"/>
      <c r="O6" s="192"/>
      <c r="P6" s="350">
        <f>M6+1</f>
        <v>46144</v>
      </c>
      <c r="Q6" s="191"/>
      <c r="R6" s="192"/>
      <c r="S6" s="312">
        <f>P6+1</f>
        <v>46145</v>
      </c>
      <c r="T6" s="191"/>
      <c r="U6" s="192"/>
    </row>
    <row r="7">
      <c r="A7" s="351"/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</row>
    <row r="8">
      <c r="A8" s="351"/>
      <c r="B8" s="351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</row>
    <row r="9">
      <c r="A9" s="351"/>
      <c r="B9" s="351"/>
      <c r="C9" s="351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351"/>
      <c r="P9" s="57"/>
      <c r="Q9" s="57"/>
      <c r="R9" s="351"/>
      <c r="S9" s="57"/>
      <c r="T9" s="57"/>
      <c r="U9" s="57"/>
    </row>
    <row r="10">
      <c r="A10" s="351"/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</row>
    <row r="11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</row>
    <row r="12">
      <c r="A12" s="351"/>
      <c r="B12" s="351"/>
      <c r="C12" s="351"/>
      <c r="D12" s="352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</row>
    <row r="13">
      <c r="A13" s="353" t="s">
        <v>7</v>
      </c>
      <c r="B13" s="191"/>
      <c r="C13" s="192"/>
      <c r="D13" s="354" t="s">
        <v>8</v>
      </c>
      <c r="E13" s="191"/>
      <c r="F13" s="192"/>
      <c r="G13" s="354" t="s">
        <v>9</v>
      </c>
      <c r="H13" s="191"/>
      <c r="I13" s="192"/>
      <c r="J13" s="354" t="s">
        <v>10</v>
      </c>
      <c r="K13" s="191"/>
      <c r="L13" s="192"/>
      <c r="M13" s="354" t="s">
        <v>11</v>
      </c>
      <c r="N13" s="191"/>
      <c r="O13" s="192"/>
      <c r="P13" s="354" t="s">
        <v>12</v>
      </c>
      <c r="Q13" s="191"/>
      <c r="R13" s="192"/>
      <c r="S13" s="353" t="s">
        <v>13</v>
      </c>
      <c r="T13" s="191"/>
      <c r="U13" s="192"/>
    </row>
    <row r="14">
      <c r="A14" s="355">
        <v>46174.0</v>
      </c>
      <c r="B14" s="191"/>
      <c r="C14" s="192"/>
      <c r="D14" s="356">
        <f>A14+1</f>
        <v>46175</v>
      </c>
      <c r="E14" s="191"/>
      <c r="F14" s="192"/>
      <c r="G14" s="356">
        <f>D14+1</f>
        <v>46176</v>
      </c>
      <c r="H14" s="191"/>
      <c r="I14" s="192"/>
      <c r="J14" s="356">
        <f>G14+1</f>
        <v>46177</v>
      </c>
      <c r="K14" s="191"/>
      <c r="L14" s="192"/>
      <c r="M14" s="356">
        <f>J14+1</f>
        <v>46178</v>
      </c>
      <c r="N14" s="191"/>
      <c r="O14" s="192"/>
      <c r="P14" s="356">
        <f>M14+1</f>
        <v>46179</v>
      </c>
      <c r="Q14" s="191"/>
      <c r="R14" s="192"/>
      <c r="S14" s="357">
        <f>P14+1</f>
        <v>46180</v>
      </c>
      <c r="T14" s="191"/>
      <c r="U14" s="192"/>
    </row>
    <row r="15">
      <c r="A15" s="351"/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</row>
    <row r="16">
      <c r="A16" s="351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26"/>
      <c r="Q16" s="327"/>
      <c r="R16" s="328"/>
      <c r="S16" s="351"/>
      <c r="T16" s="351"/>
      <c r="U16" s="351"/>
    </row>
    <row r="17">
      <c r="A17" s="351"/>
      <c r="B17" s="351"/>
      <c r="C17" s="351"/>
      <c r="D17" s="57" t="s">
        <v>27</v>
      </c>
      <c r="E17" s="57" t="s">
        <v>28</v>
      </c>
      <c r="F17" s="57" t="s">
        <v>25</v>
      </c>
      <c r="G17" s="351"/>
      <c r="H17" s="351"/>
      <c r="I17" s="351"/>
      <c r="J17" s="351"/>
      <c r="K17" s="351"/>
      <c r="L17" s="351"/>
      <c r="M17" s="343"/>
      <c r="N17" s="343"/>
      <c r="O17" s="343"/>
      <c r="P17" s="338"/>
      <c r="Q17" s="343"/>
      <c r="R17" s="338"/>
      <c r="S17" s="351"/>
      <c r="T17" s="351"/>
      <c r="U17" s="351"/>
    </row>
    <row r="18">
      <c r="A18" s="57"/>
      <c r="B18" s="57"/>
      <c r="C18" s="351"/>
      <c r="D18" s="57"/>
      <c r="E18" s="57"/>
      <c r="F18" s="351"/>
      <c r="G18" s="351"/>
      <c r="H18" s="351"/>
      <c r="I18" s="351"/>
      <c r="J18" s="351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</row>
    <row r="19">
      <c r="A19" s="351"/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</row>
    <row r="20">
      <c r="A20" s="351"/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</row>
    <row r="21">
      <c r="A21" s="190" t="s">
        <v>7</v>
      </c>
      <c r="B21" s="191"/>
      <c r="C21" s="192"/>
      <c r="D21" s="190" t="s">
        <v>8</v>
      </c>
      <c r="E21" s="191"/>
      <c r="F21" s="192"/>
      <c r="G21" s="190" t="s">
        <v>9</v>
      </c>
      <c r="H21" s="191"/>
      <c r="I21" s="192"/>
      <c r="J21" s="190" t="s">
        <v>10</v>
      </c>
      <c r="K21" s="191"/>
      <c r="L21" s="192"/>
      <c r="M21" s="190" t="s">
        <v>11</v>
      </c>
      <c r="N21" s="191"/>
      <c r="O21" s="192"/>
      <c r="P21" s="190" t="s">
        <v>12</v>
      </c>
      <c r="Q21" s="191"/>
      <c r="R21" s="192"/>
      <c r="S21" s="193" t="s">
        <v>13</v>
      </c>
      <c r="T21" s="191"/>
      <c r="U21" s="192"/>
    </row>
    <row r="22">
      <c r="A22" s="350">
        <f>S14+1</f>
        <v>46181</v>
      </c>
      <c r="B22" s="191"/>
      <c r="C22" s="192"/>
      <c r="D22" s="350">
        <f>A22+1</f>
        <v>46182</v>
      </c>
      <c r="E22" s="191"/>
      <c r="F22" s="192"/>
      <c r="G22" s="350">
        <f>D22+1</f>
        <v>46183</v>
      </c>
      <c r="H22" s="191"/>
      <c r="I22" s="192"/>
      <c r="J22" s="350">
        <f>G22+1</f>
        <v>46184</v>
      </c>
      <c r="K22" s="191"/>
      <c r="L22" s="192"/>
      <c r="M22" s="350">
        <f>J22+1</f>
        <v>46185</v>
      </c>
      <c r="N22" s="191"/>
      <c r="O22" s="192"/>
      <c r="P22" s="350">
        <f>M22+1</f>
        <v>46186</v>
      </c>
      <c r="Q22" s="191"/>
      <c r="R22" s="192"/>
      <c r="S22" s="312">
        <f>P22+1</f>
        <v>46187</v>
      </c>
      <c r="T22" s="191"/>
      <c r="U22" s="192"/>
    </row>
    <row r="23">
      <c r="A23" s="351"/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  <c r="N23" s="351"/>
      <c r="O23" s="351"/>
      <c r="P23" s="351"/>
      <c r="Q23" s="351"/>
      <c r="R23" s="351"/>
      <c r="S23" s="351"/>
      <c r="T23" s="351"/>
      <c r="U23" s="351"/>
    </row>
    <row r="24">
      <c r="A24" s="351"/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</row>
    <row r="25">
      <c r="A25" s="349"/>
      <c r="B25" s="349"/>
      <c r="C25" s="57"/>
      <c r="D25" s="358"/>
      <c r="E25" s="57"/>
      <c r="F25" s="343"/>
      <c r="G25" s="57"/>
      <c r="H25" s="57"/>
      <c r="I25" s="57"/>
      <c r="J25" s="351"/>
      <c r="K25" s="351"/>
      <c r="L25" s="351"/>
      <c r="M25" s="57"/>
      <c r="N25" s="57"/>
      <c r="O25" s="57"/>
      <c r="P25" s="57"/>
      <c r="Q25" s="57"/>
      <c r="R25" s="57"/>
      <c r="S25" s="57"/>
      <c r="T25" s="57"/>
      <c r="U25" s="57"/>
    </row>
    <row r="26">
      <c r="A26" s="351"/>
      <c r="B26" s="351"/>
      <c r="C26" s="351"/>
      <c r="D26" s="359"/>
      <c r="E26" s="359"/>
      <c r="F26" s="343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</row>
    <row r="27">
      <c r="A27" s="351"/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</row>
    <row r="28">
      <c r="A28" s="352"/>
      <c r="B28" s="352"/>
      <c r="C28" s="352"/>
      <c r="D28" s="352"/>
      <c r="E28" s="352"/>
      <c r="F28" s="352"/>
      <c r="G28" s="352"/>
      <c r="H28" s="352"/>
      <c r="I28" s="352"/>
      <c r="J28" s="351"/>
      <c r="K28" s="351"/>
      <c r="L28" s="351"/>
      <c r="M28" s="352"/>
      <c r="N28" s="352"/>
      <c r="O28" s="352"/>
      <c r="P28" s="352"/>
      <c r="Q28" s="352"/>
      <c r="R28" s="352"/>
      <c r="S28" s="352"/>
      <c r="T28" s="352"/>
      <c r="U28" s="352"/>
    </row>
    <row r="29">
      <c r="A29" s="354" t="s">
        <v>7</v>
      </c>
      <c r="B29" s="191"/>
      <c r="C29" s="192"/>
      <c r="D29" s="353" t="s">
        <v>8</v>
      </c>
      <c r="E29" s="191"/>
      <c r="F29" s="192"/>
      <c r="G29" s="354" t="s">
        <v>9</v>
      </c>
      <c r="H29" s="191"/>
      <c r="I29" s="192"/>
      <c r="J29" s="354" t="s">
        <v>10</v>
      </c>
      <c r="K29" s="191"/>
      <c r="L29" s="192"/>
      <c r="M29" s="354" t="s">
        <v>11</v>
      </c>
      <c r="N29" s="191"/>
      <c r="O29" s="192"/>
      <c r="P29" s="354" t="s">
        <v>12</v>
      </c>
      <c r="Q29" s="191"/>
      <c r="R29" s="192"/>
      <c r="S29" s="353" t="s">
        <v>13</v>
      </c>
      <c r="T29" s="191"/>
      <c r="U29" s="192"/>
    </row>
    <row r="30">
      <c r="A30" s="360">
        <f>S22+1</f>
        <v>46188</v>
      </c>
      <c r="B30" s="191"/>
      <c r="C30" s="192"/>
      <c r="D30" s="361">
        <f>A30+1</f>
        <v>46189</v>
      </c>
      <c r="E30" s="191"/>
      <c r="F30" s="192"/>
      <c r="G30" s="360">
        <f>D30+1</f>
        <v>46190</v>
      </c>
      <c r="H30" s="191"/>
      <c r="I30" s="192"/>
      <c r="J30" s="360">
        <f>G30+1</f>
        <v>46191</v>
      </c>
      <c r="K30" s="191"/>
      <c r="L30" s="192"/>
      <c r="M30" s="360">
        <f>J30+1</f>
        <v>46192</v>
      </c>
      <c r="N30" s="191"/>
      <c r="O30" s="192"/>
      <c r="P30" s="360">
        <f>M30+1</f>
        <v>46193</v>
      </c>
      <c r="Q30" s="191"/>
      <c r="R30" s="192"/>
      <c r="S30" s="361">
        <f>P30+1</f>
        <v>46194</v>
      </c>
      <c r="T30" s="191"/>
      <c r="U30" s="192"/>
    </row>
    <row r="31">
      <c r="A31" s="351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</row>
    <row r="32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26"/>
      <c r="Q32" s="327"/>
      <c r="R32" s="328"/>
      <c r="S32" s="351"/>
      <c r="T32" s="351"/>
      <c r="U32" s="351"/>
    </row>
    <row r="33">
      <c r="A33" s="349"/>
      <c r="B33" s="349"/>
      <c r="C33" s="351"/>
      <c r="D33" s="358"/>
      <c r="E33" s="57"/>
      <c r="F33" s="343"/>
      <c r="G33" s="351"/>
      <c r="H33" s="351"/>
      <c r="I33" s="351"/>
      <c r="J33" s="343"/>
      <c r="K33" s="343"/>
      <c r="L33" s="343"/>
      <c r="M33" s="343"/>
      <c r="N33" s="343"/>
      <c r="O33" s="343"/>
      <c r="P33" s="338"/>
      <c r="Q33" s="343"/>
      <c r="R33" s="338"/>
      <c r="S33" s="57"/>
      <c r="T33" s="57"/>
      <c r="U33" s="57"/>
    </row>
    <row r="34">
      <c r="A34" s="362"/>
      <c r="B34" s="363"/>
      <c r="C34" s="364"/>
      <c r="D34" s="343"/>
      <c r="E34" s="343"/>
      <c r="F34" s="343"/>
      <c r="G34" s="343"/>
      <c r="H34" s="343"/>
      <c r="I34" s="343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</row>
    <row r="35">
      <c r="A35" s="57"/>
      <c r="B35" s="57"/>
      <c r="C35" s="57"/>
      <c r="D35" s="57"/>
      <c r="E35" s="57"/>
      <c r="F35" s="359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</row>
    <row r="36">
      <c r="A36" s="351"/>
      <c r="B36" s="351"/>
      <c r="C36" s="351"/>
      <c r="D36" s="351"/>
      <c r="E36" s="351"/>
      <c r="F36" s="351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</row>
    <row r="37">
      <c r="A37" s="190" t="s">
        <v>7</v>
      </c>
      <c r="B37" s="191"/>
      <c r="C37" s="192"/>
      <c r="D37" s="190" t="s">
        <v>8</v>
      </c>
      <c r="E37" s="191"/>
      <c r="F37" s="192"/>
      <c r="G37" s="190" t="s">
        <v>9</v>
      </c>
      <c r="H37" s="191"/>
      <c r="I37" s="192"/>
      <c r="J37" s="190" t="s">
        <v>10</v>
      </c>
      <c r="K37" s="191"/>
      <c r="L37" s="192"/>
      <c r="M37" s="190" t="s">
        <v>11</v>
      </c>
      <c r="N37" s="191"/>
      <c r="O37" s="192"/>
      <c r="P37" s="190" t="s">
        <v>12</v>
      </c>
      <c r="Q37" s="191"/>
      <c r="R37" s="192"/>
      <c r="S37" s="193" t="s">
        <v>13</v>
      </c>
      <c r="T37" s="191"/>
      <c r="U37" s="192"/>
    </row>
    <row r="38">
      <c r="A38" s="350">
        <f>S30+1</f>
        <v>46195</v>
      </c>
      <c r="B38" s="191"/>
      <c r="C38" s="192"/>
      <c r="D38" s="350">
        <f>A38+1</f>
        <v>46196</v>
      </c>
      <c r="E38" s="191"/>
      <c r="F38" s="192"/>
      <c r="G38" s="350">
        <f>D38+1</f>
        <v>46197</v>
      </c>
      <c r="H38" s="191"/>
      <c r="I38" s="192"/>
      <c r="J38" s="350">
        <f>G38+1</f>
        <v>46198</v>
      </c>
      <c r="K38" s="191"/>
      <c r="L38" s="192"/>
      <c r="M38" s="350">
        <f>J38+1</f>
        <v>46199</v>
      </c>
      <c r="N38" s="191"/>
      <c r="O38" s="192"/>
      <c r="P38" s="350">
        <f>M38+1</f>
        <v>46200</v>
      </c>
      <c r="Q38" s="191"/>
      <c r="R38" s="192"/>
      <c r="S38" s="312">
        <f>P38+1</f>
        <v>46201</v>
      </c>
      <c r="T38" s="191"/>
      <c r="U38" s="192"/>
    </row>
    <row r="39">
      <c r="A39" s="351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</row>
    <row r="40">
      <c r="A40" s="351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</row>
    <row r="41">
      <c r="A41" s="349"/>
      <c r="B41" s="349"/>
      <c r="C41" s="57"/>
      <c r="D41" s="358"/>
      <c r="E41" s="57"/>
      <c r="F41" s="343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2">
      <c r="A42" s="349"/>
      <c r="B42" s="349"/>
      <c r="C42" s="57"/>
      <c r="D42" s="359"/>
      <c r="E42" s="359"/>
      <c r="F42" s="343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</row>
    <row r="43">
      <c r="A43" s="349"/>
      <c r="B43" s="349"/>
      <c r="C43" s="57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</row>
    <row r="44">
      <c r="A44" s="352"/>
      <c r="B44" s="352"/>
      <c r="C44" s="352"/>
      <c r="D44" s="352"/>
      <c r="E44" s="352"/>
      <c r="F44" s="352"/>
      <c r="G44" s="352"/>
      <c r="H44" s="352"/>
      <c r="I44" s="352"/>
      <c r="J44" s="351"/>
      <c r="K44" s="351"/>
      <c r="L44" s="351"/>
      <c r="M44" s="352"/>
      <c r="N44" s="352"/>
      <c r="O44" s="352"/>
      <c r="P44" s="352"/>
      <c r="Q44" s="352"/>
      <c r="R44" s="352"/>
      <c r="S44" s="352"/>
      <c r="T44" s="352"/>
      <c r="U44" s="352"/>
    </row>
    <row r="45">
      <c r="A45" s="354" t="s">
        <v>7</v>
      </c>
      <c r="B45" s="191"/>
      <c r="C45" s="192"/>
      <c r="D45" s="354" t="s">
        <v>8</v>
      </c>
      <c r="E45" s="191"/>
      <c r="F45" s="192"/>
      <c r="G45" s="354" t="s">
        <v>9</v>
      </c>
      <c r="H45" s="191"/>
      <c r="I45" s="192"/>
      <c r="J45" s="354" t="s">
        <v>10</v>
      </c>
      <c r="K45" s="191"/>
      <c r="L45" s="192"/>
      <c r="M45" s="354" t="s">
        <v>11</v>
      </c>
      <c r="N45" s="191"/>
      <c r="O45" s="192"/>
      <c r="P45" s="354" t="s">
        <v>12</v>
      </c>
      <c r="Q45" s="191"/>
      <c r="R45" s="192"/>
      <c r="S45" s="353" t="s">
        <v>13</v>
      </c>
      <c r="T45" s="191"/>
      <c r="U45" s="192"/>
    </row>
    <row r="46">
      <c r="A46" s="360">
        <f>S38+1</f>
        <v>46202</v>
      </c>
      <c r="B46" s="191"/>
      <c r="C46" s="192"/>
      <c r="D46" s="360">
        <f>A46+1</f>
        <v>46203</v>
      </c>
      <c r="E46" s="191"/>
      <c r="F46" s="192"/>
      <c r="G46" s="360"/>
      <c r="H46" s="191"/>
      <c r="I46" s="192"/>
      <c r="J46" s="360"/>
      <c r="K46" s="191"/>
      <c r="L46" s="192"/>
      <c r="M46" s="360"/>
      <c r="N46" s="191"/>
      <c r="O46" s="192"/>
      <c r="P46" s="360"/>
      <c r="Q46" s="191"/>
      <c r="R46" s="192"/>
      <c r="S46" s="361"/>
      <c r="T46" s="191"/>
      <c r="U46" s="192"/>
    </row>
    <row r="47">
      <c r="A47" s="338"/>
      <c r="B47" s="338"/>
      <c r="C47" s="338"/>
      <c r="D47" s="339"/>
      <c r="E47" s="339"/>
      <c r="F47" s="339"/>
      <c r="G47" s="352"/>
      <c r="H47" s="365"/>
      <c r="I47" s="365"/>
      <c r="J47" s="366"/>
      <c r="K47" s="366"/>
      <c r="L47" s="366"/>
      <c r="M47" s="367"/>
      <c r="N47" s="367"/>
      <c r="O47" s="367"/>
      <c r="P47" s="367"/>
      <c r="Q47" s="367"/>
      <c r="R47" s="367"/>
      <c r="S47" s="366"/>
      <c r="T47" s="366"/>
      <c r="U47" s="366"/>
    </row>
    <row r="48">
      <c r="A48" s="339"/>
      <c r="B48" s="339"/>
      <c r="C48" s="339"/>
      <c r="D48" s="343"/>
      <c r="E48" s="343"/>
      <c r="F48" s="343"/>
      <c r="G48" s="367"/>
      <c r="H48" s="367"/>
      <c r="I48" s="367"/>
      <c r="J48" s="366"/>
      <c r="K48" s="366"/>
      <c r="L48" s="366"/>
      <c r="M48" s="368"/>
      <c r="N48" s="368"/>
      <c r="O48" s="368"/>
      <c r="P48" s="367"/>
      <c r="Q48" s="367"/>
      <c r="R48" s="367"/>
      <c r="S48" s="367"/>
      <c r="T48" s="367"/>
      <c r="U48" s="367"/>
    </row>
    <row r="49">
      <c r="A49" s="339"/>
      <c r="B49" s="339"/>
      <c r="C49" s="339"/>
      <c r="D49" s="339"/>
      <c r="E49" s="339"/>
      <c r="F49" s="339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</row>
    <row r="50">
      <c r="A50" s="367"/>
      <c r="B50" s="367"/>
      <c r="C50" s="367"/>
      <c r="D50" s="339"/>
      <c r="E50" s="339"/>
      <c r="F50" s="339"/>
      <c r="G50" s="367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6"/>
      <c r="T50" s="366"/>
      <c r="U50" s="366"/>
    </row>
    <row r="51">
      <c r="A51" s="338"/>
      <c r="B51" s="338"/>
      <c r="C51" s="338"/>
      <c r="D51" s="345"/>
      <c r="E51" s="345"/>
      <c r="F51" s="345"/>
      <c r="G51" s="367"/>
      <c r="H51" s="367"/>
      <c r="I51" s="366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</row>
    <row r="52">
      <c r="A52" s="366"/>
      <c r="B52" s="366"/>
      <c r="C52" s="366"/>
      <c r="D52" s="367"/>
      <c r="E52" s="367"/>
      <c r="F52" s="367"/>
      <c r="G52" s="366"/>
      <c r="H52" s="366"/>
      <c r="I52" s="366"/>
      <c r="J52" s="367"/>
      <c r="K52" s="367"/>
      <c r="L52" s="367"/>
      <c r="M52" s="366"/>
      <c r="N52" s="366"/>
      <c r="O52" s="366"/>
      <c r="P52" s="367"/>
      <c r="Q52" s="367"/>
      <c r="R52" s="367"/>
      <c r="S52" s="366"/>
      <c r="T52" s="366"/>
      <c r="U52" s="366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3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02" t="s">
        <v>69</v>
      </c>
      <c r="C1" s="303" t="s">
        <v>399</v>
      </c>
      <c r="F1" s="304"/>
      <c r="G1" s="4" t="s">
        <v>400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>
        <v>46143.0</v>
      </c>
      <c r="N6" s="191"/>
      <c r="O6" s="192"/>
      <c r="P6" s="313">
        <f>M6+1</f>
        <v>46144</v>
      </c>
      <c r="Q6" s="167"/>
      <c r="R6" s="311"/>
      <c r="S6" s="314">
        <f>P6+1</f>
        <v>46145</v>
      </c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6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43" t="s">
        <v>394</v>
      </c>
      <c r="T8" s="343" t="s">
        <v>401</v>
      </c>
      <c r="U8" s="343" t="s">
        <v>306</v>
      </c>
    </row>
    <row r="9">
      <c r="A9" s="57"/>
      <c r="B9" s="57"/>
      <c r="C9" s="57"/>
      <c r="D9" s="57"/>
      <c r="E9" s="57"/>
      <c r="F9" s="57"/>
      <c r="G9" s="343"/>
      <c r="H9" s="343"/>
      <c r="I9" s="343"/>
      <c r="J9" s="315"/>
      <c r="K9" s="316"/>
      <c r="L9" s="316"/>
      <c r="M9" s="315"/>
      <c r="N9" s="316"/>
      <c r="O9" s="316"/>
      <c r="P9" s="369" t="s">
        <v>14</v>
      </c>
      <c r="Q9" s="191"/>
      <c r="R9" s="192"/>
      <c r="S9" s="57"/>
      <c r="T9" s="57"/>
      <c r="U9" s="57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48"/>
      <c r="K10" s="370"/>
      <c r="L10" s="370"/>
      <c r="M10" s="315"/>
      <c r="N10" s="316"/>
      <c r="O10" s="316"/>
      <c r="P10" s="315"/>
      <c r="Q10" s="316"/>
      <c r="R10" s="316"/>
      <c r="S10" s="315"/>
      <c r="T10" s="316"/>
      <c r="U10" s="316"/>
    </row>
    <row r="11">
      <c r="A11" s="315"/>
      <c r="B11" s="316"/>
      <c r="C11" s="316"/>
      <c r="D11" s="315"/>
      <c r="E11" s="316"/>
      <c r="F11" s="316"/>
      <c r="G11" s="343"/>
      <c r="H11" s="343"/>
      <c r="I11" s="343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6"/>
    </row>
    <row r="12">
      <c r="A12" s="317"/>
      <c r="B12" s="318"/>
      <c r="C12" s="318"/>
      <c r="D12" s="317"/>
      <c r="E12" s="318"/>
      <c r="F12" s="318"/>
      <c r="G12" s="343"/>
      <c r="H12" s="343"/>
      <c r="I12" s="343"/>
      <c r="J12" s="317"/>
      <c r="K12" s="318"/>
      <c r="L12" s="318"/>
      <c r="M12" s="317"/>
      <c r="N12" s="318"/>
      <c r="O12" s="318"/>
      <c r="P12" s="317"/>
      <c r="Q12" s="318"/>
      <c r="R12" s="318"/>
      <c r="S12" s="317"/>
      <c r="T12" s="318"/>
      <c r="U12" s="318"/>
    </row>
    <row r="13">
      <c r="A13" s="319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22">
        <f>S6+1</f>
        <v>46146</v>
      </c>
      <c r="B14" s="167"/>
      <c r="C14" s="311"/>
      <c r="D14" s="323">
        <f>A14+1</f>
        <v>46147</v>
      </c>
      <c r="E14" s="167"/>
      <c r="F14" s="311"/>
      <c r="G14" s="323">
        <f>D14+1</f>
        <v>46148</v>
      </c>
      <c r="H14" s="167"/>
      <c r="I14" s="311"/>
      <c r="J14" s="323">
        <f>G14+1</f>
        <v>46149</v>
      </c>
      <c r="K14" s="167"/>
      <c r="L14" s="311"/>
      <c r="M14" s="323">
        <f>J14+1</f>
        <v>46150</v>
      </c>
      <c r="N14" s="167"/>
      <c r="O14" s="311"/>
      <c r="P14" s="323">
        <f>M14+1</f>
        <v>46151</v>
      </c>
      <c r="Q14" s="167"/>
      <c r="R14" s="311"/>
      <c r="S14" s="324">
        <f>P14+1</f>
        <v>46152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6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27"/>
      <c r="Q16" s="327"/>
      <c r="R16" s="328"/>
      <c r="S16" s="327"/>
      <c r="T16" s="327"/>
      <c r="U16" s="328"/>
    </row>
    <row r="17">
      <c r="A17" s="315" t="s">
        <v>387</v>
      </c>
      <c r="B17" s="316" t="s">
        <v>388</v>
      </c>
      <c r="C17" s="316"/>
      <c r="D17" s="358" t="s">
        <v>402</v>
      </c>
      <c r="E17" s="57" t="s">
        <v>403</v>
      </c>
      <c r="F17" s="343" t="s">
        <v>61</v>
      </c>
      <c r="G17" s="339" t="s">
        <v>276</v>
      </c>
      <c r="H17" s="339" t="s">
        <v>404</v>
      </c>
      <c r="I17" s="339" t="s">
        <v>61</v>
      </c>
      <c r="J17" s="57" t="s">
        <v>405</v>
      </c>
      <c r="K17" s="57" t="s">
        <v>406</v>
      </c>
      <c r="L17" s="57" t="s">
        <v>159</v>
      </c>
      <c r="M17" s="369" t="s">
        <v>14</v>
      </c>
      <c r="N17" s="191"/>
      <c r="O17" s="192"/>
      <c r="P17" s="57"/>
      <c r="Q17" s="57"/>
      <c r="R17" s="57"/>
      <c r="S17" s="144" t="s">
        <v>146</v>
      </c>
      <c r="T17" s="144" t="s">
        <v>299</v>
      </c>
      <c r="U17" s="144" t="s">
        <v>29</v>
      </c>
    </row>
    <row r="18">
      <c r="A18" s="343" t="s">
        <v>407</v>
      </c>
      <c r="B18" s="343" t="s">
        <v>87</v>
      </c>
      <c r="C18" s="343" t="s">
        <v>366</v>
      </c>
      <c r="D18" s="359" t="s">
        <v>408</v>
      </c>
      <c r="E18" s="359" t="s">
        <v>409</v>
      </c>
      <c r="F18" s="343" t="s">
        <v>61</v>
      </c>
      <c r="G18" s="315"/>
      <c r="H18" s="316"/>
      <c r="I18" s="316"/>
      <c r="J18" s="315"/>
      <c r="K18" s="316"/>
      <c r="L18" s="316"/>
      <c r="M18" s="315"/>
      <c r="N18" s="316"/>
      <c r="O18" s="316"/>
      <c r="P18" s="315"/>
      <c r="Q18" s="316"/>
      <c r="R18" s="316"/>
      <c r="S18" s="317"/>
      <c r="T18" s="318"/>
      <c r="U18" s="318"/>
    </row>
    <row r="19">
      <c r="A19" s="343" t="s">
        <v>410</v>
      </c>
      <c r="B19" s="343" t="s">
        <v>409</v>
      </c>
      <c r="C19" s="343" t="s">
        <v>366</v>
      </c>
      <c r="D19" s="315"/>
      <c r="E19" s="316"/>
      <c r="F19" s="316"/>
      <c r="G19" s="315"/>
      <c r="H19" s="316"/>
      <c r="I19" s="316"/>
      <c r="J19" s="315"/>
      <c r="K19" s="316"/>
      <c r="L19" s="316"/>
      <c r="M19" s="315"/>
      <c r="N19" s="316"/>
      <c r="O19" s="316"/>
      <c r="P19" s="315"/>
      <c r="Q19" s="316"/>
      <c r="R19" s="316"/>
      <c r="S19" s="317"/>
      <c r="T19" s="318"/>
      <c r="U19" s="318"/>
    </row>
    <row r="20">
      <c r="A20" s="317"/>
      <c r="B20" s="318"/>
      <c r="C20" s="318"/>
      <c r="D20" s="317"/>
      <c r="E20" s="318"/>
      <c r="F20" s="318"/>
      <c r="G20" s="317"/>
      <c r="H20" s="318"/>
      <c r="I20" s="318"/>
      <c r="J20" s="317"/>
      <c r="K20" s="318"/>
      <c r="L20" s="318"/>
      <c r="M20" s="317"/>
      <c r="N20" s="318"/>
      <c r="O20" s="318"/>
      <c r="P20" s="317"/>
      <c r="Q20" s="318"/>
      <c r="R20" s="318"/>
      <c r="S20" s="317"/>
      <c r="T20" s="318"/>
      <c r="U20" s="318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46153</v>
      </c>
      <c r="B22" s="167"/>
      <c r="C22" s="311"/>
      <c r="D22" s="313">
        <f>A22+1</f>
        <v>46154</v>
      </c>
      <c r="E22" s="167"/>
      <c r="F22" s="311"/>
      <c r="G22" s="313">
        <f>D22+1</f>
        <v>46155</v>
      </c>
      <c r="H22" s="167"/>
      <c r="I22" s="311"/>
      <c r="J22" s="313">
        <f>G22+1</f>
        <v>46156</v>
      </c>
      <c r="K22" s="167"/>
      <c r="L22" s="311"/>
      <c r="M22" s="313">
        <f>J22+1</f>
        <v>46157</v>
      </c>
      <c r="N22" s="167"/>
      <c r="O22" s="311"/>
      <c r="P22" s="313">
        <f>M22+1</f>
        <v>46158</v>
      </c>
      <c r="Q22" s="167"/>
      <c r="R22" s="311"/>
      <c r="S22" s="314">
        <f>P22+1</f>
        <v>46159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6"/>
    </row>
    <row r="24">
      <c r="A24" s="315"/>
      <c r="B24" s="316"/>
      <c r="C24" s="316"/>
      <c r="D24" s="315"/>
      <c r="E24" s="316"/>
      <c r="F24" s="316"/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6"/>
    </row>
    <row r="25">
      <c r="A25" s="57"/>
      <c r="B25" s="57"/>
      <c r="C25" s="57"/>
      <c r="D25" s="57"/>
      <c r="E25" s="57"/>
      <c r="F25" s="57"/>
      <c r="G25" s="315"/>
      <c r="H25" s="57"/>
      <c r="I25" s="57"/>
      <c r="J25" s="57"/>
      <c r="K25" s="57"/>
      <c r="L25" s="57"/>
      <c r="M25" s="371"/>
      <c r="N25" s="371"/>
      <c r="O25" s="371"/>
      <c r="P25" s="369" t="s">
        <v>14</v>
      </c>
      <c r="Q25" s="191"/>
      <c r="R25" s="192"/>
      <c r="S25" s="57"/>
      <c r="T25" s="57"/>
      <c r="U25" s="57"/>
    </row>
    <row r="26">
      <c r="A26" s="343" t="s">
        <v>407</v>
      </c>
      <c r="B26" s="343" t="s">
        <v>87</v>
      </c>
      <c r="C26" s="343" t="s">
        <v>366</v>
      </c>
      <c r="D26" s="358" t="s">
        <v>123</v>
      </c>
      <c r="E26" s="57"/>
      <c r="F26" s="343"/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6"/>
    </row>
    <row r="27">
      <c r="A27" s="343" t="s">
        <v>410</v>
      </c>
      <c r="B27" s="343" t="s">
        <v>409</v>
      </c>
      <c r="C27" s="343" t="s">
        <v>366</v>
      </c>
      <c r="D27" s="343"/>
      <c r="E27" s="343"/>
      <c r="F27" s="343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6"/>
    </row>
    <row r="28">
      <c r="A28" s="317"/>
      <c r="B28" s="318"/>
      <c r="C28" s="318"/>
      <c r="D28" s="315"/>
      <c r="E28" s="316"/>
      <c r="F28" s="316"/>
      <c r="G28" s="317"/>
      <c r="H28" s="318"/>
      <c r="I28" s="318"/>
      <c r="J28" s="317"/>
      <c r="K28" s="318"/>
      <c r="L28" s="318"/>
      <c r="M28" s="317"/>
      <c r="N28" s="318"/>
      <c r="O28" s="318"/>
      <c r="P28" s="317"/>
      <c r="Q28" s="318"/>
      <c r="R28" s="318"/>
      <c r="S28" s="317"/>
      <c r="T28" s="318"/>
      <c r="U28" s="318"/>
    </row>
    <row r="29">
      <c r="A29" s="319" t="s">
        <v>7</v>
      </c>
      <c r="B29" s="167"/>
      <c r="C29" s="311"/>
      <c r="D29" s="320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33">
        <f>S22+1</f>
        <v>46160</v>
      </c>
      <c r="B30" s="167"/>
      <c r="C30" s="311"/>
      <c r="D30" s="334">
        <f>A30+1</f>
        <v>46161</v>
      </c>
      <c r="E30" s="167"/>
      <c r="F30" s="311"/>
      <c r="G30" s="334">
        <f>D30+1</f>
        <v>46162</v>
      </c>
      <c r="H30" s="167"/>
      <c r="I30" s="311"/>
      <c r="J30" s="334">
        <f>G30+1</f>
        <v>46163</v>
      </c>
      <c r="K30" s="167"/>
      <c r="L30" s="311"/>
      <c r="M30" s="334">
        <f>J30+1</f>
        <v>46164</v>
      </c>
      <c r="N30" s="167"/>
      <c r="O30" s="311"/>
      <c r="P30" s="334">
        <f>M30+1</f>
        <v>46165</v>
      </c>
      <c r="Q30" s="167"/>
      <c r="R30" s="311"/>
      <c r="S30" s="335">
        <f>P30+1</f>
        <v>46166</v>
      </c>
      <c r="T30" s="167"/>
      <c r="U30" s="311"/>
    </row>
    <row r="31">
      <c r="A31" s="315"/>
      <c r="B31" s="316"/>
      <c r="C31" s="316"/>
      <c r="D31" s="315"/>
      <c r="E31" s="316"/>
      <c r="F31" s="316"/>
      <c r="G31" s="315"/>
      <c r="H31" s="316"/>
      <c r="I31" s="316"/>
      <c r="J31" s="315"/>
      <c r="K31" s="316"/>
      <c r="L31" s="316"/>
      <c r="M31" s="315"/>
      <c r="N31" s="316"/>
      <c r="O31" s="316"/>
      <c r="P31" s="315"/>
      <c r="Q31" s="316"/>
      <c r="R31" s="316"/>
      <c r="S31" s="315"/>
      <c r="T31" s="316"/>
      <c r="U31" s="316"/>
    </row>
    <row r="32">
      <c r="A32" s="315"/>
      <c r="B32" s="316"/>
      <c r="C32" s="316"/>
      <c r="D32" s="315"/>
      <c r="E32" s="316"/>
      <c r="F32" s="316"/>
      <c r="G32" s="315"/>
      <c r="H32" s="316"/>
      <c r="I32" s="316"/>
      <c r="J32" s="315"/>
      <c r="K32" s="316"/>
      <c r="L32" s="316"/>
      <c r="M32" s="315"/>
      <c r="N32" s="316"/>
      <c r="O32" s="316"/>
      <c r="P32" s="326" t="s">
        <v>145</v>
      </c>
      <c r="Q32" s="327" t="s">
        <v>63</v>
      </c>
      <c r="R32" s="328" t="s">
        <v>29</v>
      </c>
      <c r="S32" s="315"/>
      <c r="T32" s="316"/>
      <c r="U32" s="316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 t="s">
        <v>405</v>
      </c>
      <c r="K33" s="57" t="s">
        <v>406</v>
      </c>
      <c r="L33" s="57" t="s">
        <v>159</v>
      </c>
      <c r="M33" s="369" t="s">
        <v>14</v>
      </c>
      <c r="N33" s="191"/>
      <c r="O33" s="192"/>
      <c r="P33" s="57"/>
      <c r="Q33" s="57"/>
      <c r="R33" s="57"/>
      <c r="S33" s="57"/>
      <c r="T33" s="57"/>
      <c r="U33" s="57"/>
    </row>
    <row r="34">
      <c r="A34" s="343" t="s">
        <v>407</v>
      </c>
      <c r="B34" s="343" t="s">
        <v>87</v>
      </c>
      <c r="C34" s="343" t="s">
        <v>366</v>
      </c>
      <c r="D34" s="19" t="s">
        <v>19</v>
      </c>
      <c r="E34" s="19" t="s">
        <v>41</v>
      </c>
      <c r="F34" s="30" t="s">
        <v>61</v>
      </c>
      <c r="G34" s="315"/>
      <c r="H34" s="57"/>
      <c r="I34" s="57"/>
      <c r="J34" s="315"/>
      <c r="K34" s="316"/>
      <c r="L34" s="316"/>
      <c r="M34" s="315"/>
      <c r="N34" s="316"/>
      <c r="O34" s="316"/>
      <c r="P34" s="315"/>
      <c r="Q34" s="316"/>
      <c r="R34" s="316"/>
      <c r="S34" s="315"/>
      <c r="T34" s="316"/>
      <c r="U34" s="316"/>
    </row>
    <row r="35">
      <c r="A35" s="343" t="s">
        <v>410</v>
      </c>
      <c r="B35" s="343" t="s">
        <v>409</v>
      </c>
      <c r="C35" s="343" t="s">
        <v>366</v>
      </c>
      <c r="D35" s="343"/>
      <c r="E35" s="343"/>
      <c r="F35" s="343"/>
      <c r="G35" s="315"/>
      <c r="H35" s="316"/>
      <c r="I35" s="316"/>
      <c r="J35" s="315"/>
      <c r="K35" s="316"/>
      <c r="L35" s="316"/>
      <c r="M35" s="315"/>
      <c r="N35" s="316"/>
      <c r="O35" s="316"/>
      <c r="P35" s="315"/>
      <c r="Q35" s="316"/>
      <c r="R35" s="316"/>
      <c r="S35" s="315"/>
      <c r="T35" s="316"/>
      <c r="U35" s="316"/>
    </row>
    <row r="36">
      <c r="A36" s="317"/>
      <c r="B36" s="318"/>
      <c r="C36" s="318"/>
      <c r="D36" s="317"/>
      <c r="E36" s="318"/>
      <c r="F36" s="318"/>
      <c r="G36" s="317"/>
      <c r="H36" s="318"/>
      <c r="I36" s="318"/>
      <c r="J36" s="317"/>
      <c r="K36" s="318"/>
      <c r="L36" s="318"/>
      <c r="M36" s="317"/>
      <c r="N36" s="318"/>
      <c r="O36" s="318"/>
      <c r="P36" s="317"/>
      <c r="Q36" s="318"/>
      <c r="R36" s="318"/>
      <c r="S36" s="317"/>
      <c r="T36" s="318"/>
      <c r="U36" s="318"/>
    </row>
    <row r="37">
      <c r="A37" s="329" t="s">
        <v>7</v>
      </c>
      <c r="B37" s="167"/>
      <c r="C37" s="311"/>
      <c r="D37" s="330" t="s">
        <v>8</v>
      </c>
      <c r="E37" s="167"/>
      <c r="F37" s="311"/>
      <c r="G37" s="330" t="s">
        <v>9</v>
      </c>
      <c r="H37" s="167"/>
      <c r="I37" s="311"/>
      <c r="J37" s="330" t="s">
        <v>10</v>
      </c>
      <c r="K37" s="167"/>
      <c r="L37" s="311"/>
      <c r="M37" s="330"/>
      <c r="N37" s="167"/>
      <c r="O37" s="311"/>
      <c r="P37" s="330"/>
      <c r="Q37" s="167"/>
      <c r="R37" s="311"/>
      <c r="S37" s="331"/>
      <c r="T37" s="167"/>
      <c r="U37" s="311"/>
    </row>
    <row r="38">
      <c r="A38" s="332">
        <f>S30+1</f>
        <v>46167</v>
      </c>
      <c r="B38" s="167"/>
      <c r="C38" s="311"/>
      <c r="D38" s="313">
        <f>A38+1</f>
        <v>46168</v>
      </c>
      <c r="E38" s="167"/>
      <c r="F38" s="311"/>
      <c r="G38" s="313">
        <f>D38+1</f>
        <v>46169</v>
      </c>
      <c r="H38" s="167"/>
      <c r="I38" s="311"/>
      <c r="J38" s="313">
        <f>G38+1</f>
        <v>46170</v>
      </c>
      <c r="K38" s="167"/>
      <c r="L38" s="311"/>
      <c r="M38" s="313"/>
      <c r="N38" s="167"/>
      <c r="O38" s="311"/>
      <c r="P38" s="313"/>
      <c r="Q38" s="167"/>
      <c r="R38" s="311"/>
      <c r="S38" s="314"/>
      <c r="T38" s="167"/>
      <c r="U38" s="311"/>
    </row>
    <row r="39">
      <c r="A39" s="315"/>
      <c r="B39" s="316"/>
      <c r="C39" s="316"/>
      <c r="D39" s="315"/>
      <c r="E39" s="316"/>
      <c r="F39" s="316"/>
      <c r="G39" s="315"/>
      <c r="H39" s="316"/>
      <c r="I39" s="316"/>
      <c r="J39" s="315"/>
      <c r="K39" s="316"/>
      <c r="L39" s="316"/>
      <c r="M39" s="315"/>
      <c r="N39" s="316"/>
      <c r="O39" s="316"/>
      <c r="P39" s="315"/>
      <c r="Q39" s="316"/>
      <c r="R39" s="316"/>
      <c r="S39" s="315"/>
      <c r="T39" s="316"/>
      <c r="U39" s="316"/>
    </row>
    <row r="40">
      <c r="A40" s="315"/>
      <c r="B40" s="316"/>
      <c r="C40" s="316"/>
      <c r="D40" s="315"/>
      <c r="E40" s="316"/>
      <c r="F40" s="316"/>
      <c r="G40" s="315"/>
      <c r="H40" s="57"/>
      <c r="I40" s="57"/>
      <c r="J40" s="315"/>
      <c r="K40" s="316"/>
      <c r="L40" s="316"/>
      <c r="M40" s="315"/>
      <c r="N40" s="316"/>
      <c r="O40" s="316"/>
      <c r="P40" s="315"/>
      <c r="Q40" s="316"/>
      <c r="R40" s="316"/>
      <c r="S40" s="315"/>
      <c r="T40" s="316"/>
      <c r="U40" s="316"/>
    </row>
    <row r="41">
      <c r="A41" s="57"/>
      <c r="B41" s="57"/>
      <c r="C41" s="57"/>
      <c r="D41" s="315"/>
      <c r="E41" s="316"/>
      <c r="F41" s="316"/>
      <c r="G41" s="371"/>
      <c r="H41" s="371"/>
      <c r="I41" s="371"/>
      <c r="J41" s="369" t="s">
        <v>14</v>
      </c>
      <c r="K41" s="191"/>
      <c r="L41" s="192"/>
      <c r="M41" s="57"/>
      <c r="N41" s="57"/>
      <c r="O41" s="57"/>
      <c r="P41" s="57"/>
      <c r="Q41" s="57"/>
      <c r="R41" s="57"/>
      <c r="S41" s="57"/>
      <c r="T41" s="57"/>
      <c r="U41" s="57"/>
    </row>
    <row r="42">
      <c r="A42" s="343" t="s">
        <v>407</v>
      </c>
      <c r="B42" s="343" t="s">
        <v>87</v>
      </c>
      <c r="C42" s="343" t="s">
        <v>366</v>
      </c>
      <c r="D42" s="343"/>
      <c r="E42" s="343"/>
      <c r="F42" s="343"/>
      <c r="G42" s="315"/>
      <c r="H42" s="316"/>
      <c r="I42" s="316"/>
      <c r="J42" s="315"/>
      <c r="K42" s="316"/>
      <c r="L42" s="316"/>
      <c r="M42" s="315"/>
      <c r="N42" s="316"/>
      <c r="O42" s="316"/>
      <c r="P42" s="315"/>
      <c r="Q42" s="316"/>
      <c r="R42" s="316"/>
      <c r="S42" s="315"/>
      <c r="T42" s="316"/>
      <c r="U42" s="316"/>
    </row>
    <row r="43">
      <c r="A43" s="343" t="s">
        <v>410</v>
      </c>
      <c r="B43" s="343" t="s">
        <v>409</v>
      </c>
      <c r="C43" s="343" t="s">
        <v>366</v>
      </c>
      <c r="D43" s="315"/>
      <c r="E43" s="316"/>
      <c r="F43" s="316"/>
      <c r="G43" s="315"/>
      <c r="H43" s="316"/>
      <c r="I43" s="316"/>
      <c r="J43" s="315"/>
      <c r="K43" s="316"/>
      <c r="L43" s="316"/>
      <c r="M43" s="315"/>
      <c r="N43" s="316"/>
      <c r="O43" s="316"/>
      <c r="P43" s="315"/>
      <c r="Q43" s="316"/>
      <c r="R43" s="316"/>
      <c r="S43" s="315"/>
      <c r="T43" s="316"/>
      <c r="U43" s="316"/>
    </row>
    <row r="44">
      <c r="A44" s="317"/>
      <c r="B44" s="318"/>
      <c r="C44" s="318"/>
      <c r="D44" s="317"/>
      <c r="E44" s="318"/>
      <c r="F44" s="318"/>
      <c r="G44" s="317"/>
      <c r="H44" s="318"/>
      <c r="I44" s="318"/>
      <c r="J44" s="317"/>
      <c r="K44" s="318"/>
      <c r="L44" s="318"/>
      <c r="M44" s="317"/>
      <c r="N44" s="318"/>
      <c r="O44" s="318"/>
      <c r="P44" s="317"/>
      <c r="Q44" s="318"/>
      <c r="R44" s="318"/>
      <c r="S44" s="317"/>
      <c r="T44" s="318"/>
      <c r="U44" s="318"/>
    </row>
    <row r="45">
      <c r="A45" s="319"/>
      <c r="B45" s="167"/>
      <c r="C45" s="311"/>
      <c r="D45" s="320"/>
      <c r="E45" s="167"/>
      <c r="F45" s="311"/>
      <c r="G45" s="320"/>
      <c r="H45" s="167"/>
      <c r="I45" s="311"/>
      <c r="J45" s="320"/>
      <c r="K45" s="167"/>
      <c r="L45" s="311"/>
      <c r="M45" s="320"/>
      <c r="N45" s="167"/>
      <c r="O45" s="311"/>
      <c r="P45" s="320"/>
      <c r="Q45" s="167"/>
      <c r="R45" s="311"/>
      <c r="S45" s="336"/>
      <c r="T45" s="167"/>
      <c r="U45" s="311"/>
    </row>
    <row r="46">
      <c r="A46" s="333"/>
      <c r="B46" s="167"/>
      <c r="C46" s="311"/>
      <c r="D46" s="334"/>
      <c r="E46" s="167"/>
      <c r="F46" s="311"/>
      <c r="G46" s="334"/>
      <c r="H46" s="167"/>
      <c r="I46" s="311"/>
      <c r="J46" s="334"/>
      <c r="K46" s="167"/>
      <c r="L46" s="311"/>
      <c r="M46" s="334"/>
      <c r="N46" s="167"/>
      <c r="O46" s="311"/>
      <c r="P46" s="334"/>
      <c r="Q46" s="167"/>
      <c r="R46" s="311"/>
      <c r="S46" s="337"/>
      <c r="T46" s="167"/>
      <c r="U46" s="311"/>
    </row>
    <row r="47">
      <c r="A47" s="338"/>
      <c r="B47" s="338"/>
      <c r="C47" s="338"/>
      <c r="D47" s="339"/>
      <c r="E47" s="339"/>
      <c r="F47" s="339"/>
      <c r="G47" s="318"/>
      <c r="H47" s="340"/>
      <c r="I47" s="340"/>
      <c r="J47" s="341"/>
      <c r="K47" s="341"/>
      <c r="L47" s="341"/>
      <c r="M47" s="342"/>
      <c r="N47" s="342"/>
      <c r="O47" s="342"/>
      <c r="P47" s="342"/>
      <c r="Q47" s="342"/>
      <c r="R47" s="342"/>
      <c r="S47" s="341"/>
      <c r="T47" s="341"/>
      <c r="U47" s="341"/>
    </row>
    <row r="48">
      <c r="A48" s="339"/>
      <c r="B48" s="339"/>
      <c r="C48" s="339"/>
      <c r="D48" s="343"/>
      <c r="E48" s="343"/>
      <c r="F48" s="343"/>
      <c r="G48" s="342"/>
      <c r="H48" s="342"/>
      <c r="I48" s="342"/>
      <c r="J48" s="341"/>
      <c r="K48" s="341"/>
      <c r="L48" s="341"/>
      <c r="M48" s="344"/>
      <c r="N48" s="344"/>
      <c r="O48" s="344"/>
      <c r="P48" s="342"/>
      <c r="Q48" s="342"/>
      <c r="R48" s="342"/>
      <c r="S48" s="342"/>
      <c r="T48" s="342"/>
      <c r="U48" s="342"/>
    </row>
    <row r="49">
      <c r="A49" s="339"/>
      <c r="B49" s="339"/>
      <c r="C49" s="339"/>
      <c r="D49" s="339"/>
      <c r="E49" s="339"/>
      <c r="F49" s="339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</row>
    <row r="50">
      <c r="A50" s="342"/>
      <c r="B50" s="342"/>
      <c r="C50" s="342"/>
      <c r="D50" s="339"/>
      <c r="E50" s="339"/>
      <c r="F50" s="339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1"/>
      <c r="T50" s="341"/>
      <c r="U50" s="341"/>
    </row>
    <row r="51">
      <c r="A51" s="338"/>
      <c r="B51" s="338"/>
      <c r="C51" s="338"/>
      <c r="D51" s="345"/>
      <c r="E51" s="345"/>
      <c r="F51" s="345"/>
      <c r="G51" s="342"/>
      <c r="H51" s="342"/>
      <c r="I51" s="341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</row>
    <row r="52">
      <c r="A52" s="346"/>
      <c r="B52" s="341"/>
      <c r="C52" s="341"/>
      <c r="D52" s="342"/>
      <c r="E52" s="342"/>
      <c r="F52" s="342"/>
      <c r="G52" s="341"/>
      <c r="H52" s="341"/>
      <c r="I52" s="341"/>
      <c r="J52" s="342"/>
      <c r="K52" s="342"/>
      <c r="L52" s="342"/>
      <c r="M52" s="341"/>
      <c r="N52" s="341"/>
      <c r="O52" s="341"/>
      <c r="P52" s="342"/>
      <c r="Q52" s="342"/>
      <c r="R52" s="342"/>
      <c r="S52" s="341"/>
      <c r="T52" s="341"/>
      <c r="U52" s="341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8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S22:U22"/>
    <mergeCell ref="P22:R22"/>
    <mergeCell ref="P25:R25"/>
    <mergeCell ref="A29:C29"/>
    <mergeCell ref="D29:F29"/>
    <mergeCell ref="G29:I29"/>
    <mergeCell ref="J29:L29"/>
    <mergeCell ref="M29:O29"/>
    <mergeCell ref="A30:C30"/>
    <mergeCell ref="D30:F30"/>
    <mergeCell ref="G30:I30"/>
    <mergeCell ref="J30:L30"/>
    <mergeCell ref="M30:O30"/>
    <mergeCell ref="P30:R30"/>
    <mergeCell ref="M33:O33"/>
    <mergeCell ref="A37:C37"/>
    <mergeCell ref="D37:F37"/>
    <mergeCell ref="G37:I37"/>
    <mergeCell ref="J37:L37"/>
    <mergeCell ref="M37:O37"/>
    <mergeCell ref="P37:R37"/>
    <mergeCell ref="S37:U37"/>
    <mergeCell ref="D38:F38"/>
    <mergeCell ref="G38:I38"/>
    <mergeCell ref="J38:L38"/>
    <mergeCell ref="M38:O38"/>
    <mergeCell ref="P38:R38"/>
    <mergeCell ref="S38:U38"/>
    <mergeCell ref="J41:L41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P29:R29"/>
    <mergeCell ref="S29:U29"/>
    <mergeCell ref="S30:U3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02" t="s">
        <v>69</v>
      </c>
      <c r="C1" s="303" t="s">
        <v>397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0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/>
      <c r="N6" s="191"/>
      <c r="O6" s="192"/>
      <c r="P6" s="313"/>
      <c r="Q6" s="167"/>
      <c r="R6" s="311"/>
      <c r="S6" s="314"/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6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15"/>
      <c r="T8" s="316"/>
      <c r="U8" s="316"/>
    </row>
    <row r="9">
      <c r="A9" s="57"/>
      <c r="B9" s="57"/>
      <c r="C9" s="57"/>
      <c r="D9" s="57"/>
      <c r="E9" s="57"/>
      <c r="F9" s="57"/>
      <c r="G9" s="315"/>
      <c r="H9" s="316"/>
      <c r="I9" s="316"/>
      <c r="J9" s="315"/>
      <c r="K9" s="316"/>
      <c r="L9" s="316"/>
      <c r="M9" s="315"/>
      <c r="N9" s="316"/>
      <c r="O9" s="316"/>
      <c r="P9" s="315"/>
      <c r="Q9" s="316"/>
      <c r="R9" s="316"/>
      <c r="S9" s="315"/>
      <c r="T9" s="316"/>
      <c r="U9" s="316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15"/>
      <c r="K10" s="316"/>
      <c r="L10" s="316"/>
      <c r="M10" s="315"/>
      <c r="N10" s="316"/>
      <c r="O10" s="316"/>
      <c r="P10" s="315"/>
      <c r="Q10" s="316"/>
      <c r="R10" s="316"/>
      <c r="S10" s="315"/>
      <c r="T10" s="316"/>
      <c r="U10" s="316"/>
    </row>
    <row r="11">
      <c r="A11" s="315"/>
      <c r="B11" s="316"/>
      <c r="C11" s="316"/>
      <c r="D11" s="315"/>
      <c r="E11" s="316"/>
      <c r="F11" s="316"/>
      <c r="G11" s="315"/>
      <c r="H11" s="316"/>
      <c r="I11" s="316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6"/>
    </row>
    <row r="12">
      <c r="A12" s="317"/>
      <c r="B12" s="318"/>
      <c r="C12" s="318"/>
      <c r="D12" s="317"/>
      <c r="E12" s="318"/>
      <c r="F12" s="318"/>
      <c r="G12" s="315"/>
      <c r="H12" s="316"/>
      <c r="I12" s="316"/>
      <c r="J12" s="315"/>
      <c r="K12" s="316"/>
      <c r="L12" s="316"/>
      <c r="M12" s="315"/>
      <c r="N12" s="316"/>
      <c r="O12" s="316"/>
      <c r="P12" s="315"/>
      <c r="Q12" s="316"/>
      <c r="R12" s="316"/>
      <c r="S12" s="315"/>
      <c r="T12" s="316"/>
      <c r="U12" s="316"/>
    </row>
    <row r="13">
      <c r="A13" s="372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73">
        <v>46174.0</v>
      </c>
      <c r="B14" s="167"/>
      <c r="C14" s="311"/>
      <c r="D14" s="323">
        <f>A14+1</f>
        <v>46175</v>
      </c>
      <c r="E14" s="167"/>
      <c r="F14" s="311"/>
      <c r="G14" s="323">
        <f>D14+1</f>
        <v>46176</v>
      </c>
      <c r="H14" s="167"/>
      <c r="I14" s="311"/>
      <c r="J14" s="323">
        <f>G14+1</f>
        <v>46177</v>
      </c>
      <c r="K14" s="167"/>
      <c r="L14" s="311"/>
      <c r="M14" s="323">
        <f>J14+1</f>
        <v>46178</v>
      </c>
      <c r="N14" s="167"/>
      <c r="O14" s="311"/>
      <c r="P14" s="323">
        <f>M14+1</f>
        <v>46179</v>
      </c>
      <c r="Q14" s="167"/>
      <c r="R14" s="311"/>
      <c r="S14" s="324">
        <f>P14+1</f>
        <v>46180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6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15"/>
      <c r="Q16" s="316"/>
      <c r="R16" s="316"/>
      <c r="S16" s="315" t="s">
        <v>411</v>
      </c>
      <c r="T16" s="374" t="s">
        <v>203</v>
      </c>
      <c r="U16" s="316" t="s">
        <v>61</v>
      </c>
    </row>
    <row r="17">
      <c r="A17" s="315"/>
      <c r="B17" s="316"/>
      <c r="C17" s="316"/>
      <c r="D17" s="144" t="s">
        <v>134</v>
      </c>
      <c r="E17" s="144" t="s">
        <v>140</v>
      </c>
      <c r="F17" s="343" t="s">
        <v>61</v>
      </c>
      <c r="G17" s="315"/>
      <c r="H17" s="316"/>
      <c r="I17" s="316"/>
      <c r="J17" s="315"/>
      <c r="K17" s="316"/>
      <c r="L17" s="316"/>
      <c r="M17" s="57"/>
      <c r="N17" s="57"/>
      <c r="O17" s="57"/>
      <c r="P17" s="315"/>
      <c r="Q17" s="316"/>
      <c r="R17" s="316"/>
      <c r="S17" s="57"/>
      <c r="T17" s="57"/>
      <c r="U17" s="57"/>
    </row>
    <row r="18">
      <c r="A18" s="315"/>
      <c r="B18" s="316"/>
      <c r="C18" s="316"/>
      <c r="D18" s="358" t="s">
        <v>402</v>
      </c>
      <c r="E18" s="57" t="s">
        <v>403</v>
      </c>
      <c r="F18" s="343" t="s">
        <v>61</v>
      </c>
      <c r="G18" s="315" t="s">
        <v>412</v>
      </c>
      <c r="H18" s="316" t="s">
        <v>111</v>
      </c>
      <c r="I18" s="316" t="s">
        <v>61</v>
      </c>
      <c r="J18" s="315" t="s">
        <v>413</v>
      </c>
      <c r="K18" s="316" t="s">
        <v>60</v>
      </c>
      <c r="L18" s="316" t="s">
        <v>61</v>
      </c>
      <c r="M18" s="315" t="s">
        <v>414</v>
      </c>
      <c r="N18" s="316" t="s">
        <v>60</v>
      </c>
      <c r="O18" s="316"/>
      <c r="P18" s="325" t="s">
        <v>14</v>
      </c>
      <c r="Q18" s="191"/>
      <c r="R18" s="192"/>
      <c r="S18" s="315"/>
      <c r="T18" s="316"/>
      <c r="U18" s="316"/>
    </row>
    <row r="19">
      <c r="A19" s="315"/>
      <c r="B19" s="316"/>
      <c r="C19" s="316"/>
      <c r="D19" s="359" t="s">
        <v>408</v>
      </c>
      <c r="E19" s="359" t="s">
        <v>409</v>
      </c>
      <c r="F19" s="343" t="s">
        <v>61</v>
      </c>
      <c r="G19" s="315" t="s">
        <v>415</v>
      </c>
      <c r="H19" s="316" t="s">
        <v>37</v>
      </c>
      <c r="I19" s="316" t="s">
        <v>61</v>
      </c>
      <c r="J19" s="315"/>
      <c r="K19" s="316"/>
      <c r="L19" s="316"/>
      <c r="M19" s="315"/>
      <c r="N19" s="316"/>
      <c r="O19" s="316"/>
      <c r="P19" s="315"/>
      <c r="Q19" s="316"/>
      <c r="R19" s="316"/>
      <c r="S19" s="315"/>
      <c r="T19" s="316"/>
      <c r="U19" s="316"/>
    </row>
    <row r="20">
      <c r="A20" s="315"/>
      <c r="B20" s="316"/>
      <c r="C20" s="316"/>
      <c r="D20" s="317"/>
      <c r="E20" s="318"/>
      <c r="F20" s="318"/>
      <c r="G20" s="315"/>
      <c r="H20" s="316"/>
      <c r="I20" s="316"/>
      <c r="J20" s="315"/>
      <c r="K20" s="316"/>
      <c r="L20" s="316"/>
      <c r="M20" s="317"/>
      <c r="N20" s="318"/>
      <c r="O20" s="318"/>
      <c r="P20" s="315"/>
      <c r="Q20" s="316"/>
      <c r="R20" s="316"/>
      <c r="S20" s="315"/>
      <c r="T20" s="316"/>
      <c r="U20" s="316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46181</v>
      </c>
      <c r="B22" s="167"/>
      <c r="C22" s="311"/>
      <c r="D22" s="313">
        <f>A22+1</f>
        <v>46182</v>
      </c>
      <c r="E22" s="167"/>
      <c r="F22" s="311"/>
      <c r="G22" s="313">
        <f>D22+1</f>
        <v>46183</v>
      </c>
      <c r="H22" s="167"/>
      <c r="I22" s="311"/>
      <c r="J22" s="313">
        <f>G22+1</f>
        <v>46184</v>
      </c>
      <c r="K22" s="167"/>
      <c r="L22" s="311"/>
      <c r="M22" s="313">
        <f>J22+1</f>
        <v>46185</v>
      </c>
      <c r="N22" s="167"/>
      <c r="O22" s="311"/>
      <c r="P22" s="313">
        <f>M22+1</f>
        <v>46186</v>
      </c>
      <c r="Q22" s="167"/>
      <c r="R22" s="311"/>
      <c r="S22" s="314">
        <f>P22+1</f>
        <v>46187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6"/>
    </row>
    <row r="24">
      <c r="A24" s="315"/>
      <c r="B24" s="316"/>
      <c r="C24" s="316"/>
      <c r="D24" s="144"/>
      <c r="E24" s="144"/>
      <c r="F24" s="343"/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6"/>
    </row>
    <row r="25">
      <c r="A25" s="349" t="s">
        <v>202</v>
      </c>
      <c r="B25" s="349" t="s">
        <v>203</v>
      </c>
      <c r="C25" s="316"/>
      <c r="D25" s="358" t="s">
        <v>402</v>
      </c>
      <c r="E25" s="57" t="s">
        <v>403</v>
      </c>
      <c r="F25" s="343" t="s">
        <v>366</v>
      </c>
      <c r="G25" s="138"/>
      <c r="H25" s="138"/>
      <c r="I25" s="138"/>
      <c r="J25" s="315"/>
      <c r="K25" s="316"/>
      <c r="L25" s="316"/>
      <c r="M25" s="315"/>
      <c r="N25" s="316"/>
      <c r="O25" s="316"/>
      <c r="P25" s="315"/>
      <c r="Q25" s="316"/>
      <c r="R25" s="316"/>
      <c r="S25" s="315"/>
      <c r="T25" s="316"/>
      <c r="U25" s="316"/>
    </row>
    <row r="26">
      <c r="A26" s="343" t="s">
        <v>407</v>
      </c>
      <c r="B26" s="343" t="s">
        <v>87</v>
      </c>
      <c r="C26" s="343" t="s">
        <v>366</v>
      </c>
      <c r="D26" s="359" t="s">
        <v>408</v>
      </c>
      <c r="E26" s="359" t="s">
        <v>409</v>
      </c>
      <c r="F26" s="343" t="s">
        <v>366</v>
      </c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6"/>
    </row>
    <row r="27">
      <c r="A27" s="343" t="s">
        <v>410</v>
      </c>
      <c r="B27" s="343" t="s">
        <v>409</v>
      </c>
      <c r="C27" s="343" t="s">
        <v>366</v>
      </c>
      <c r="D27" s="315"/>
      <c r="E27" s="316"/>
      <c r="F27" s="316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6"/>
    </row>
    <row r="28">
      <c r="A28" s="315"/>
      <c r="B28" s="316"/>
      <c r="C28" s="316"/>
      <c r="D28" s="315"/>
      <c r="E28" s="316"/>
      <c r="F28" s="316"/>
      <c r="G28" s="315"/>
      <c r="H28" s="316"/>
      <c r="I28" s="316"/>
      <c r="J28" s="315"/>
      <c r="K28" s="316"/>
      <c r="L28" s="316"/>
      <c r="M28" s="315"/>
      <c r="N28" s="316"/>
      <c r="O28" s="316"/>
      <c r="P28" s="315"/>
      <c r="Q28" s="316"/>
      <c r="R28" s="316"/>
      <c r="S28" s="315"/>
      <c r="T28" s="316"/>
      <c r="U28" s="316"/>
    </row>
    <row r="29">
      <c r="A29" s="319" t="s">
        <v>7</v>
      </c>
      <c r="B29" s="167"/>
      <c r="C29" s="311"/>
      <c r="D29" s="321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33">
        <f>S22+1</f>
        <v>46188</v>
      </c>
      <c r="B30" s="167"/>
      <c r="C30" s="311"/>
      <c r="D30" s="335">
        <f>A30+1</f>
        <v>46189</v>
      </c>
      <c r="E30" s="167"/>
      <c r="F30" s="311"/>
      <c r="G30" s="334">
        <f>D30+1</f>
        <v>46190</v>
      </c>
      <c r="H30" s="167"/>
      <c r="I30" s="311"/>
      <c r="J30" s="334">
        <f>G30+1</f>
        <v>46191</v>
      </c>
      <c r="K30" s="167"/>
      <c r="L30" s="311"/>
      <c r="M30" s="334">
        <f>J30+1</f>
        <v>46192</v>
      </c>
      <c r="N30" s="167"/>
      <c r="O30" s="311"/>
      <c r="P30" s="334">
        <f>M30+1</f>
        <v>46193</v>
      </c>
      <c r="Q30" s="167"/>
      <c r="R30" s="311"/>
      <c r="S30" s="335">
        <f>P30+1</f>
        <v>46194</v>
      </c>
      <c r="T30" s="167"/>
      <c r="U30" s="311"/>
    </row>
    <row r="31">
      <c r="A31" s="315"/>
      <c r="B31" s="316"/>
      <c r="C31" s="316"/>
      <c r="D31" s="315"/>
      <c r="E31" s="316"/>
      <c r="F31" s="316"/>
      <c r="G31" s="315"/>
      <c r="H31" s="316"/>
      <c r="I31" s="316"/>
      <c r="J31" s="315"/>
      <c r="K31" s="316"/>
      <c r="L31" s="316"/>
      <c r="M31" s="315"/>
      <c r="N31" s="316"/>
      <c r="O31" s="316"/>
      <c r="P31" s="315"/>
      <c r="Q31" s="316"/>
      <c r="R31" s="316"/>
      <c r="S31" s="315"/>
      <c r="T31" s="316"/>
      <c r="U31" s="316"/>
    </row>
    <row r="32">
      <c r="A32" s="315"/>
      <c r="B32" s="316"/>
      <c r="C32" s="316"/>
      <c r="D32" s="315"/>
      <c r="E32" s="316"/>
      <c r="F32" s="316"/>
      <c r="G32" s="315"/>
      <c r="H32" s="316"/>
      <c r="I32" s="316"/>
      <c r="J32" s="315"/>
      <c r="K32" s="316"/>
      <c r="L32" s="316"/>
      <c r="M32" s="315"/>
      <c r="N32" s="316"/>
      <c r="O32" s="316"/>
      <c r="P32" s="315"/>
      <c r="Q32" s="316"/>
      <c r="R32" s="316"/>
      <c r="S32" s="315" t="s">
        <v>411</v>
      </c>
      <c r="T32" s="374" t="s">
        <v>203</v>
      </c>
      <c r="U32" s="316" t="s">
        <v>61</v>
      </c>
    </row>
    <row r="33">
      <c r="A33" s="343" t="s">
        <v>407</v>
      </c>
      <c r="B33" s="343" t="s">
        <v>87</v>
      </c>
      <c r="C33" s="343" t="s">
        <v>366</v>
      </c>
      <c r="D33" s="315"/>
      <c r="E33" s="316"/>
      <c r="F33" s="316"/>
      <c r="G33" s="315"/>
      <c r="H33" s="316"/>
      <c r="I33" s="316"/>
      <c r="J33" s="315"/>
      <c r="K33" s="316"/>
      <c r="L33" s="316"/>
      <c r="M33" s="57"/>
      <c r="N33" s="57"/>
      <c r="O33" s="57"/>
      <c r="P33" s="315"/>
      <c r="Q33" s="316"/>
      <c r="R33" s="316"/>
      <c r="S33" s="57"/>
      <c r="T33" s="57"/>
      <c r="U33" s="57"/>
    </row>
    <row r="34">
      <c r="A34" s="343" t="s">
        <v>410</v>
      </c>
      <c r="B34" s="343" t="s">
        <v>409</v>
      </c>
      <c r="C34" s="343" t="s">
        <v>366</v>
      </c>
      <c r="D34" s="315"/>
      <c r="E34" s="316"/>
      <c r="F34" s="316"/>
      <c r="G34" s="315" t="s">
        <v>412</v>
      </c>
      <c r="H34" s="316" t="s">
        <v>111</v>
      </c>
      <c r="I34" s="316" t="s">
        <v>61</v>
      </c>
      <c r="J34" s="315" t="s">
        <v>413</v>
      </c>
      <c r="K34" s="316" t="s">
        <v>60</v>
      </c>
      <c r="L34" s="316" t="s">
        <v>61</v>
      </c>
      <c r="M34" s="315" t="s">
        <v>414</v>
      </c>
      <c r="N34" s="316" t="s">
        <v>60</v>
      </c>
      <c r="O34" s="316"/>
      <c r="P34" s="325" t="s">
        <v>14</v>
      </c>
      <c r="Q34" s="191"/>
      <c r="R34" s="192"/>
      <c r="S34" s="315"/>
      <c r="T34" s="316"/>
      <c r="U34" s="316"/>
    </row>
    <row r="35">
      <c r="A35" s="315"/>
      <c r="B35" s="316"/>
      <c r="C35" s="316"/>
      <c r="D35" s="315"/>
      <c r="E35" s="316"/>
      <c r="F35" s="316"/>
      <c r="G35" s="315" t="s">
        <v>415</v>
      </c>
      <c r="H35" s="316" t="s">
        <v>37</v>
      </c>
      <c r="I35" s="316" t="s">
        <v>61</v>
      </c>
      <c r="J35" s="315"/>
      <c r="K35" s="316"/>
      <c r="L35" s="316"/>
      <c r="M35" s="315"/>
      <c r="N35" s="316"/>
      <c r="O35" s="316"/>
      <c r="P35" s="315"/>
      <c r="Q35" s="316"/>
      <c r="R35" s="316"/>
      <c r="S35" s="315"/>
      <c r="T35" s="316"/>
      <c r="U35" s="316"/>
    </row>
    <row r="36">
      <c r="A36" s="315"/>
      <c r="B36" s="316"/>
      <c r="C36" s="316"/>
      <c r="D36" s="315"/>
      <c r="E36" s="316"/>
      <c r="F36" s="316"/>
      <c r="G36" s="315"/>
      <c r="H36" s="316"/>
      <c r="I36" s="316"/>
      <c r="J36" s="315"/>
      <c r="K36" s="316"/>
      <c r="L36" s="316"/>
      <c r="M36" s="317"/>
      <c r="N36" s="318"/>
      <c r="O36" s="318"/>
      <c r="P36" s="315"/>
      <c r="Q36" s="316"/>
      <c r="R36" s="316"/>
      <c r="S36" s="317"/>
      <c r="T36" s="318"/>
      <c r="U36" s="318"/>
    </row>
    <row r="37">
      <c r="A37" s="329" t="s">
        <v>7</v>
      </c>
      <c r="B37" s="167"/>
      <c r="C37" s="311"/>
      <c r="D37" s="330" t="s">
        <v>8</v>
      </c>
      <c r="E37" s="167"/>
      <c r="F37" s="311"/>
      <c r="G37" s="330" t="s">
        <v>9</v>
      </c>
      <c r="H37" s="167"/>
      <c r="I37" s="311"/>
      <c r="J37" s="330" t="s">
        <v>10</v>
      </c>
      <c r="K37" s="167"/>
      <c r="L37" s="311"/>
      <c r="M37" s="330" t="s">
        <v>11</v>
      </c>
      <c r="N37" s="167"/>
      <c r="O37" s="311"/>
      <c r="P37" s="330" t="s">
        <v>12</v>
      </c>
      <c r="Q37" s="167"/>
      <c r="R37" s="311"/>
      <c r="S37" s="331" t="s">
        <v>13</v>
      </c>
      <c r="T37" s="167"/>
      <c r="U37" s="311"/>
    </row>
    <row r="38">
      <c r="A38" s="332">
        <f>S30+1</f>
        <v>46195</v>
      </c>
      <c r="B38" s="167"/>
      <c r="C38" s="311"/>
      <c r="D38" s="313">
        <f>A38+1</f>
        <v>46196</v>
      </c>
      <c r="E38" s="167"/>
      <c r="F38" s="311"/>
      <c r="G38" s="313">
        <f>D38+1</f>
        <v>46197</v>
      </c>
      <c r="H38" s="167"/>
      <c r="I38" s="311"/>
      <c r="J38" s="313">
        <f>G38+1</f>
        <v>46198</v>
      </c>
      <c r="K38" s="167"/>
      <c r="L38" s="311"/>
      <c r="M38" s="313">
        <f>J38+1</f>
        <v>46199</v>
      </c>
      <c r="N38" s="167"/>
      <c r="O38" s="311"/>
      <c r="P38" s="313">
        <f>M38+1</f>
        <v>46200</v>
      </c>
      <c r="Q38" s="167"/>
      <c r="R38" s="311"/>
      <c r="S38" s="313">
        <f>P38+1</f>
        <v>46201</v>
      </c>
      <c r="T38" s="167"/>
      <c r="U38" s="311"/>
    </row>
    <row r="39">
      <c r="A39" s="315"/>
      <c r="B39" s="316"/>
      <c r="C39" s="316"/>
      <c r="D39" s="316"/>
      <c r="E39" s="316"/>
      <c r="F39" s="316"/>
      <c r="G39" s="315"/>
      <c r="H39" s="316"/>
      <c r="I39" s="316"/>
      <c r="J39" s="315"/>
      <c r="K39" s="316"/>
      <c r="L39" s="316"/>
      <c r="M39" s="315"/>
      <c r="N39" s="316"/>
      <c r="O39" s="316"/>
      <c r="P39" s="315"/>
      <c r="Q39" s="316"/>
      <c r="R39" s="316"/>
      <c r="S39" s="315"/>
      <c r="T39" s="316"/>
      <c r="U39" s="316"/>
    </row>
    <row r="40">
      <c r="A40" s="343" t="s">
        <v>407</v>
      </c>
      <c r="B40" s="343" t="s">
        <v>87</v>
      </c>
      <c r="C40" s="343" t="s">
        <v>366</v>
      </c>
      <c r="D40" s="144" t="s">
        <v>134</v>
      </c>
      <c r="E40" s="144" t="s">
        <v>140</v>
      </c>
      <c r="F40" s="343" t="s">
        <v>61</v>
      </c>
      <c r="G40" s="315"/>
      <c r="H40" s="316"/>
      <c r="I40" s="316"/>
      <c r="J40" s="315"/>
      <c r="K40" s="316"/>
      <c r="L40" s="316"/>
      <c r="M40" s="138"/>
      <c r="N40" s="138"/>
      <c r="O40" s="138"/>
      <c r="P40" s="315"/>
      <c r="Q40" s="316"/>
      <c r="R40" s="316"/>
      <c r="S40" s="315"/>
      <c r="T40" s="316"/>
      <c r="U40" s="316"/>
    </row>
    <row r="41">
      <c r="A41" s="343" t="s">
        <v>410</v>
      </c>
      <c r="B41" s="343" t="s">
        <v>409</v>
      </c>
      <c r="C41" s="343" t="s">
        <v>366</v>
      </c>
      <c r="D41" s="358" t="s">
        <v>402</v>
      </c>
      <c r="E41" s="57" t="s">
        <v>403</v>
      </c>
      <c r="F41" s="343" t="s">
        <v>61</v>
      </c>
      <c r="G41" s="315"/>
      <c r="H41" s="316"/>
      <c r="I41" s="316"/>
      <c r="J41" s="315"/>
      <c r="K41" s="316"/>
      <c r="L41" s="316"/>
      <c r="M41" s="57"/>
      <c r="N41" s="57"/>
      <c r="O41" s="57"/>
      <c r="P41" s="57"/>
      <c r="Q41" s="57"/>
      <c r="R41" s="57"/>
      <c r="S41" s="57"/>
      <c r="T41" s="57"/>
      <c r="U41" s="57"/>
    </row>
    <row r="42">
      <c r="A42" s="315"/>
      <c r="B42" s="316"/>
      <c r="C42" s="316"/>
      <c r="D42" s="359" t="s">
        <v>408</v>
      </c>
      <c r="E42" s="359" t="s">
        <v>409</v>
      </c>
      <c r="F42" s="343" t="s">
        <v>61</v>
      </c>
      <c r="G42" s="315"/>
      <c r="H42" s="316"/>
      <c r="I42" s="316"/>
      <c r="J42" s="315"/>
      <c r="K42" s="316"/>
      <c r="L42" s="316"/>
      <c r="M42" s="315"/>
      <c r="N42" s="316"/>
      <c r="O42" s="316"/>
      <c r="P42" s="315"/>
      <c r="Q42" s="316"/>
      <c r="R42" s="316"/>
      <c r="S42" s="315"/>
      <c r="T42" s="316"/>
      <c r="U42" s="316"/>
    </row>
    <row r="43">
      <c r="A43" s="315"/>
      <c r="B43" s="316"/>
      <c r="C43" s="316"/>
      <c r="D43" s="315"/>
      <c r="E43" s="316"/>
      <c r="F43" s="316"/>
      <c r="G43" s="315"/>
      <c r="H43" s="316"/>
      <c r="I43" s="316"/>
      <c r="J43" s="315"/>
      <c r="K43" s="316"/>
      <c r="L43" s="316"/>
      <c r="M43" s="315"/>
      <c r="N43" s="316"/>
      <c r="O43" s="316"/>
      <c r="P43" s="315"/>
      <c r="Q43" s="316"/>
      <c r="R43" s="316"/>
      <c r="S43" s="315"/>
      <c r="T43" s="316"/>
      <c r="U43" s="316"/>
    </row>
    <row r="44">
      <c r="A44" s="315"/>
      <c r="B44" s="316"/>
      <c r="C44" s="316"/>
      <c r="D44" s="315"/>
      <c r="E44" s="316"/>
      <c r="F44" s="316"/>
      <c r="G44" s="315"/>
      <c r="H44" s="316"/>
      <c r="I44" s="316"/>
      <c r="J44" s="315"/>
      <c r="K44" s="316"/>
      <c r="L44" s="316"/>
      <c r="M44" s="317"/>
      <c r="N44" s="318"/>
      <c r="O44" s="318"/>
      <c r="P44" s="317"/>
      <c r="Q44" s="318"/>
      <c r="R44" s="318"/>
      <c r="S44" s="317"/>
      <c r="T44" s="318"/>
      <c r="U44" s="318"/>
    </row>
    <row r="45">
      <c r="A45" s="319" t="s">
        <v>7</v>
      </c>
      <c r="B45" s="167"/>
      <c r="C45" s="311"/>
      <c r="D45" s="320" t="s">
        <v>8</v>
      </c>
      <c r="E45" s="167"/>
      <c r="F45" s="311"/>
      <c r="G45" s="320" t="s">
        <v>9</v>
      </c>
      <c r="H45" s="167"/>
      <c r="I45" s="311"/>
      <c r="J45" s="320" t="s">
        <v>10</v>
      </c>
      <c r="K45" s="167"/>
      <c r="L45" s="311"/>
      <c r="M45" s="320" t="s">
        <v>11</v>
      </c>
      <c r="N45" s="167"/>
      <c r="O45" s="311"/>
      <c r="P45" s="320" t="s">
        <v>12</v>
      </c>
      <c r="Q45" s="167"/>
      <c r="R45" s="311"/>
      <c r="S45" s="321" t="s">
        <v>13</v>
      </c>
      <c r="T45" s="167"/>
      <c r="U45" s="311"/>
    </row>
    <row r="46">
      <c r="A46" s="333">
        <f>S38+1</f>
        <v>46202</v>
      </c>
      <c r="B46" s="167"/>
      <c r="C46" s="311"/>
      <c r="D46" s="334">
        <f>A46+1</f>
        <v>46203</v>
      </c>
      <c r="E46" s="167"/>
      <c r="F46" s="311"/>
      <c r="G46" s="334"/>
      <c r="H46" s="167"/>
      <c r="I46" s="311"/>
      <c r="J46" s="334"/>
      <c r="K46" s="167"/>
      <c r="L46" s="311"/>
      <c r="M46" s="334"/>
      <c r="N46" s="167"/>
      <c r="O46" s="311"/>
      <c r="P46" s="334"/>
      <c r="Q46" s="167"/>
      <c r="R46" s="311"/>
      <c r="S46" s="335"/>
      <c r="T46" s="167"/>
      <c r="U46" s="311"/>
    </row>
    <row r="47">
      <c r="A47" s="338"/>
      <c r="B47" s="338"/>
      <c r="C47" s="338"/>
      <c r="D47" s="339"/>
      <c r="E47" s="339"/>
      <c r="F47" s="339"/>
      <c r="G47" s="318"/>
      <c r="H47" s="340"/>
      <c r="I47" s="340"/>
      <c r="J47" s="341"/>
      <c r="K47" s="341"/>
      <c r="L47" s="341"/>
      <c r="M47" s="342"/>
      <c r="N47" s="342"/>
      <c r="O47" s="342"/>
      <c r="P47" s="342"/>
      <c r="Q47" s="342"/>
      <c r="R47" s="342"/>
      <c r="S47" s="341"/>
      <c r="T47" s="341"/>
      <c r="U47" s="341"/>
    </row>
    <row r="48">
      <c r="A48" s="343" t="s">
        <v>407</v>
      </c>
      <c r="B48" s="343" t="s">
        <v>87</v>
      </c>
      <c r="C48" s="343" t="s">
        <v>366</v>
      </c>
      <c r="D48" s="144" t="s">
        <v>134</v>
      </c>
      <c r="E48" s="144" t="s">
        <v>140</v>
      </c>
      <c r="F48" s="343" t="s">
        <v>366</v>
      </c>
      <c r="G48" s="342"/>
      <c r="H48" s="342"/>
      <c r="I48" s="342"/>
      <c r="J48" s="341"/>
      <c r="K48" s="341"/>
      <c r="L48" s="341"/>
      <c r="M48" s="344"/>
      <c r="N48" s="344"/>
      <c r="O48" s="344"/>
      <c r="P48" s="342"/>
      <c r="Q48" s="342"/>
      <c r="R48" s="342"/>
      <c r="S48" s="342"/>
      <c r="T48" s="342"/>
      <c r="U48" s="342"/>
    </row>
    <row r="49">
      <c r="A49" s="343" t="s">
        <v>410</v>
      </c>
      <c r="B49" s="343" t="s">
        <v>409</v>
      </c>
      <c r="C49" s="343" t="s">
        <v>366</v>
      </c>
      <c r="D49" s="358" t="s">
        <v>402</v>
      </c>
      <c r="E49" s="57" t="s">
        <v>403</v>
      </c>
      <c r="F49" s="343" t="s">
        <v>366</v>
      </c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</row>
    <row r="50">
      <c r="A50" s="342"/>
      <c r="B50" s="342"/>
      <c r="C50" s="342"/>
      <c r="D50" s="359" t="s">
        <v>408</v>
      </c>
      <c r="E50" s="359" t="s">
        <v>409</v>
      </c>
      <c r="F50" s="343" t="s">
        <v>366</v>
      </c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1"/>
      <c r="T50" s="341"/>
      <c r="U50" s="341"/>
    </row>
    <row r="51">
      <c r="A51" s="338"/>
      <c r="B51" s="338"/>
      <c r="C51" s="338"/>
      <c r="D51" s="345"/>
      <c r="E51" s="345"/>
      <c r="F51" s="345"/>
      <c r="G51" s="342"/>
      <c r="H51" s="342"/>
      <c r="I51" s="341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</row>
    <row r="52">
      <c r="A52" s="346"/>
      <c r="B52" s="341"/>
      <c r="C52" s="341"/>
      <c r="D52" s="342"/>
      <c r="E52" s="342"/>
      <c r="F52" s="342"/>
      <c r="G52" s="341"/>
      <c r="H52" s="341"/>
      <c r="I52" s="341"/>
      <c r="J52" s="342"/>
      <c r="K52" s="342"/>
      <c r="L52" s="342"/>
      <c r="M52" s="341"/>
      <c r="N52" s="341"/>
      <c r="O52" s="341"/>
      <c r="P52" s="342"/>
      <c r="Q52" s="342"/>
      <c r="R52" s="342"/>
      <c r="S52" s="341"/>
      <c r="T52" s="341"/>
      <c r="U52" s="341"/>
    </row>
    <row r="53">
      <c r="A53" s="304"/>
      <c r="B53" s="304"/>
      <c r="C53" s="304"/>
      <c r="D53" s="304"/>
      <c r="E53" s="304"/>
      <c r="F53" s="30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4"/>
    </row>
    <row r="63">
      <c r="L63" s="69" t="s">
        <v>123</v>
      </c>
    </row>
  </sheetData>
  <mergeCells count="95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D30:F30"/>
    <mergeCell ref="G30:I30"/>
    <mergeCell ref="J30:L30"/>
    <mergeCell ref="M30:O30"/>
    <mergeCell ref="P30:R30"/>
    <mergeCell ref="S30:U30"/>
    <mergeCell ref="P34:R34"/>
    <mergeCell ref="A30:C30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18:R1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5:C45"/>
    <mergeCell ref="A46:C46"/>
    <mergeCell ref="D46:F46"/>
    <mergeCell ref="G46:I46"/>
    <mergeCell ref="J46:L46"/>
    <mergeCell ref="M46:O46"/>
    <mergeCell ref="P46:R46"/>
    <mergeCell ref="S46:U46"/>
    <mergeCell ref="A38:C38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20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302" t="s">
        <v>69</v>
      </c>
      <c r="C1" s="303" t="s">
        <v>416</v>
      </c>
      <c r="F1" s="304"/>
      <c r="G1" s="4" t="s">
        <v>2</v>
      </c>
      <c r="Q1" s="304"/>
      <c r="R1" s="304"/>
      <c r="S1" s="304"/>
      <c r="T1" s="304"/>
      <c r="U1" s="304"/>
    </row>
    <row r="2">
      <c r="A2" s="302" t="s">
        <v>3</v>
      </c>
      <c r="C2" s="303" t="s">
        <v>172</v>
      </c>
      <c r="F2" s="304"/>
      <c r="Q2" s="304"/>
      <c r="R2" s="304"/>
      <c r="S2" s="304"/>
      <c r="T2" s="304"/>
      <c r="U2" s="304"/>
    </row>
    <row r="3">
      <c r="A3" s="302" t="s">
        <v>5</v>
      </c>
      <c r="C3" s="305"/>
      <c r="F3" s="304"/>
      <c r="Q3" s="304"/>
      <c r="R3" s="304"/>
      <c r="S3" s="304"/>
      <c r="T3" s="304"/>
      <c r="U3" s="304"/>
    </row>
    <row r="4">
      <c r="A4" s="306" t="s">
        <v>6</v>
      </c>
      <c r="B4" s="167"/>
      <c r="C4" s="307"/>
      <c r="D4" s="167"/>
      <c r="E4" s="167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</row>
    <row r="5">
      <c r="A5" s="190" t="s">
        <v>7</v>
      </c>
      <c r="B5" s="191"/>
      <c r="C5" s="192"/>
      <c r="D5" s="190" t="s">
        <v>8</v>
      </c>
      <c r="E5" s="191"/>
      <c r="F5" s="192"/>
      <c r="G5" s="190" t="s">
        <v>9</v>
      </c>
      <c r="H5" s="191"/>
      <c r="I5" s="192"/>
      <c r="J5" s="190" t="s">
        <v>10</v>
      </c>
      <c r="K5" s="191"/>
      <c r="L5" s="192"/>
      <c r="M5" s="193" t="s">
        <v>11</v>
      </c>
      <c r="N5" s="191"/>
      <c r="O5" s="192"/>
      <c r="P5" s="190" t="s">
        <v>12</v>
      </c>
      <c r="Q5" s="191"/>
      <c r="R5" s="192"/>
      <c r="S5" s="193" t="s">
        <v>13</v>
      </c>
      <c r="T5" s="191"/>
      <c r="U5" s="192"/>
    </row>
    <row r="6">
      <c r="A6" s="309"/>
      <c r="B6" s="191"/>
      <c r="C6" s="192"/>
      <c r="D6" s="310"/>
      <c r="E6" s="167"/>
      <c r="F6" s="311"/>
      <c r="G6" s="309"/>
      <c r="H6" s="191"/>
      <c r="I6" s="192"/>
      <c r="J6" s="309"/>
      <c r="K6" s="191"/>
      <c r="L6" s="192"/>
      <c r="M6" s="312"/>
      <c r="N6" s="191"/>
      <c r="O6" s="192"/>
      <c r="P6" s="313"/>
      <c r="Q6" s="167"/>
      <c r="R6" s="311"/>
      <c r="S6" s="314"/>
      <c r="T6" s="167"/>
      <c r="U6" s="311"/>
    </row>
    <row r="7">
      <c r="A7" s="315"/>
      <c r="B7" s="316"/>
      <c r="C7" s="316"/>
      <c r="D7" s="315"/>
      <c r="E7" s="316"/>
      <c r="F7" s="316"/>
      <c r="G7" s="315"/>
      <c r="H7" s="316"/>
      <c r="I7" s="316"/>
      <c r="J7" s="315"/>
      <c r="K7" s="316"/>
      <c r="L7" s="316"/>
      <c r="M7" s="315"/>
      <c r="N7" s="316"/>
      <c r="O7" s="316"/>
      <c r="P7" s="315"/>
      <c r="Q7" s="316"/>
      <c r="R7" s="316"/>
      <c r="S7" s="315"/>
      <c r="T7" s="316"/>
      <c r="U7" s="316"/>
    </row>
    <row r="8">
      <c r="A8" s="315"/>
      <c r="B8" s="316"/>
      <c r="C8" s="316"/>
      <c r="D8" s="315"/>
      <c r="E8" s="316"/>
      <c r="F8" s="316"/>
      <c r="G8" s="315"/>
      <c r="H8" s="316"/>
      <c r="I8" s="316"/>
      <c r="J8" s="315"/>
      <c r="K8" s="316"/>
      <c r="L8" s="316"/>
      <c r="M8" s="315"/>
      <c r="N8" s="316"/>
      <c r="O8" s="316"/>
      <c r="P8" s="315"/>
      <c r="Q8" s="316"/>
      <c r="R8" s="316"/>
      <c r="S8" s="315"/>
      <c r="T8" s="316"/>
      <c r="U8" s="316"/>
    </row>
    <row r="9">
      <c r="A9" s="57"/>
      <c r="B9" s="57"/>
      <c r="C9" s="57"/>
      <c r="D9" s="57"/>
      <c r="E9" s="57"/>
      <c r="F9" s="57"/>
      <c r="G9" s="343"/>
      <c r="H9" s="343"/>
      <c r="I9" s="343"/>
      <c r="J9" s="315"/>
      <c r="K9" s="316"/>
      <c r="L9" s="316"/>
      <c r="M9" s="315"/>
      <c r="N9" s="316"/>
      <c r="O9" s="316"/>
      <c r="P9" s="315"/>
      <c r="Q9" s="316"/>
      <c r="R9" s="316"/>
      <c r="S9" s="57"/>
      <c r="T9" s="57"/>
      <c r="U9" s="57"/>
    </row>
    <row r="10">
      <c r="A10" s="315"/>
      <c r="B10" s="316"/>
      <c r="C10" s="316"/>
      <c r="D10" s="315"/>
      <c r="E10" s="316"/>
      <c r="F10" s="316"/>
      <c r="G10" s="315"/>
      <c r="H10" s="316"/>
      <c r="I10" s="316"/>
      <c r="J10" s="348"/>
      <c r="K10" s="370"/>
      <c r="L10" s="370"/>
      <c r="M10" s="315"/>
      <c r="N10" s="316"/>
      <c r="O10" s="316"/>
      <c r="P10" s="315"/>
      <c r="Q10" s="316"/>
      <c r="R10" s="316"/>
      <c r="S10" s="315"/>
      <c r="T10" s="316"/>
      <c r="U10" s="316"/>
    </row>
    <row r="11">
      <c r="A11" s="315"/>
      <c r="B11" s="316"/>
      <c r="C11" s="316"/>
      <c r="D11" s="315"/>
      <c r="E11" s="316"/>
      <c r="F11" s="316"/>
      <c r="G11" s="343"/>
      <c r="H11" s="343"/>
      <c r="I11" s="343"/>
      <c r="J11" s="315"/>
      <c r="K11" s="316"/>
      <c r="L11" s="316"/>
      <c r="M11" s="315"/>
      <c r="N11" s="316"/>
      <c r="O11" s="316"/>
      <c r="P11" s="315"/>
      <c r="Q11" s="316"/>
      <c r="R11" s="316"/>
      <c r="S11" s="315"/>
      <c r="T11" s="316"/>
      <c r="U11" s="316"/>
    </row>
    <row r="12">
      <c r="A12" s="317"/>
      <c r="B12" s="318"/>
      <c r="C12" s="318"/>
      <c r="D12" s="317"/>
      <c r="E12" s="318"/>
      <c r="F12" s="318"/>
      <c r="G12" s="343"/>
      <c r="H12" s="343"/>
      <c r="I12" s="343"/>
      <c r="J12" s="317"/>
      <c r="K12" s="318"/>
      <c r="L12" s="318"/>
      <c r="M12" s="317"/>
      <c r="N12" s="318"/>
      <c r="O12" s="318"/>
      <c r="P12" s="317"/>
      <c r="Q12" s="318"/>
      <c r="R12" s="318"/>
      <c r="S12" s="317"/>
      <c r="T12" s="318"/>
      <c r="U12" s="318"/>
    </row>
    <row r="13">
      <c r="A13" s="372" t="s">
        <v>7</v>
      </c>
      <c r="B13" s="167"/>
      <c r="C13" s="311"/>
      <c r="D13" s="320" t="s">
        <v>8</v>
      </c>
      <c r="E13" s="167"/>
      <c r="F13" s="311"/>
      <c r="G13" s="320" t="s">
        <v>9</v>
      </c>
      <c r="H13" s="167"/>
      <c r="I13" s="311"/>
      <c r="J13" s="320" t="s">
        <v>10</v>
      </c>
      <c r="K13" s="167"/>
      <c r="L13" s="311"/>
      <c r="M13" s="320" t="s">
        <v>11</v>
      </c>
      <c r="N13" s="167"/>
      <c r="O13" s="311"/>
      <c r="P13" s="320" t="s">
        <v>12</v>
      </c>
      <c r="Q13" s="167"/>
      <c r="R13" s="311"/>
      <c r="S13" s="321" t="s">
        <v>13</v>
      </c>
      <c r="T13" s="167"/>
      <c r="U13" s="311"/>
    </row>
    <row r="14">
      <c r="A14" s="373">
        <v>46174.0</v>
      </c>
      <c r="B14" s="167"/>
      <c r="C14" s="311"/>
      <c r="D14" s="323">
        <f>A14+1</f>
        <v>46175</v>
      </c>
      <c r="E14" s="167"/>
      <c r="F14" s="311"/>
      <c r="G14" s="323">
        <f>D14+1</f>
        <v>46176</v>
      </c>
      <c r="H14" s="167"/>
      <c r="I14" s="311"/>
      <c r="J14" s="323">
        <f>G14+1</f>
        <v>46177</v>
      </c>
      <c r="K14" s="167"/>
      <c r="L14" s="311"/>
      <c r="M14" s="323">
        <f>J14+1</f>
        <v>46178</v>
      </c>
      <c r="N14" s="167"/>
      <c r="O14" s="311"/>
      <c r="P14" s="323">
        <f>M14+1</f>
        <v>46179</v>
      </c>
      <c r="Q14" s="167"/>
      <c r="R14" s="311"/>
      <c r="S14" s="324">
        <f>P14+1</f>
        <v>46180</v>
      </c>
      <c r="T14" s="167"/>
      <c r="U14" s="311"/>
    </row>
    <row r="15">
      <c r="A15" s="315"/>
      <c r="B15" s="316"/>
      <c r="C15" s="316"/>
      <c r="D15" s="315"/>
      <c r="E15" s="316"/>
      <c r="F15" s="316"/>
      <c r="G15" s="315"/>
      <c r="H15" s="316"/>
      <c r="I15" s="316"/>
      <c r="J15" s="315"/>
      <c r="K15" s="316"/>
      <c r="L15" s="316"/>
      <c r="M15" s="315"/>
      <c r="N15" s="316"/>
      <c r="O15" s="316"/>
      <c r="P15" s="315"/>
      <c r="Q15" s="316"/>
      <c r="R15" s="316"/>
      <c r="S15" s="315"/>
      <c r="T15" s="316"/>
      <c r="U15" s="316"/>
    </row>
    <row r="16">
      <c r="A16" s="315"/>
      <c r="B16" s="316"/>
      <c r="C16" s="316"/>
      <c r="D16" s="315"/>
      <c r="E16" s="316"/>
      <c r="F16" s="316"/>
      <c r="G16" s="315"/>
      <c r="H16" s="316"/>
      <c r="I16" s="316"/>
      <c r="J16" s="315"/>
      <c r="K16" s="316"/>
      <c r="L16" s="316"/>
      <c r="M16" s="315"/>
      <c r="N16" s="316"/>
      <c r="O16" s="316"/>
      <c r="P16" s="327"/>
      <c r="Q16" s="327"/>
      <c r="R16" s="328"/>
      <c r="S16" s="327"/>
      <c r="T16" s="327"/>
      <c r="U16" s="328"/>
    </row>
    <row r="17">
      <c r="A17" s="315" t="s">
        <v>387</v>
      </c>
      <c r="B17" s="316" t="s">
        <v>388</v>
      </c>
      <c r="C17" s="316"/>
      <c r="D17" s="358" t="s">
        <v>402</v>
      </c>
      <c r="E17" s="57" t="s">
        <v>403</v>
      </c>
      <c r="F17" s="343" t="s">
        <v>61</v>
      </c>
      <c r="G17" s="339" t="s">
        <v>276</v>
      </c>
      <c r="H17" s="339" t="s">
        <v>404</v>
      </c>
      <c r="I17" s="339" t="s">
        <v>61</v>
      </c>
      <c r="J17" s="57" t="s">
        <v>405</v>
      </c>
      <c r="K17" s="57" t="s">
        <v>406</v>
      </c>
      <c r="L17" s="57" t="s">
        <v>159</v>
      </c>
      <c r="M17" s="369" t="s">
        <v>14</v>
      </c>
      <c r="N17" s="191"/>
      <c r="O17" s="192"/>
      <c r="P17" s="57"/>
      <c r="Q17" s="57"/>
      <c r="R17" s="57"/>
      <c r="S17" s="144" t="s">
        <v>146</v>
      </c>
      <c r="T17" s="144" t="s">
        <v>299</v>
      </c>
      <c r="U17" s="144" t="s">
        <v>29</v>
      </c>
    </row>
    <row r="18">
      <c r="A18" s="343" t="s">
        <v>407</v>
      </c>
      <c r="B18" s="343" t="s">
        <v>87</v>
      </c>
      <c r="C18" s="343" t="s">
        <v>366</v>
      </c>
      <c r="D18" s="359" t="s">
        <v>408</v>
      </c>
      <c r="E18" s="359" t="s">
        <v>409</v>
      </c>
      <c r="F18" s="343" t="s">
        <v>61</v>
      </c>
      <c r="G18" s="315"/>
      <c r="H18" s="316"/>
      <c r="I18" s="316"/>
      <c r="J18" s="315"/>
      <c r="K18" s="316"/>
      <c r="L18" s="316"/>
      <c r="M18" s="315"/>
      <c r="N18" s="316"/>
      <c r="O18" s="316"/>
      <c r="P18" s="315"/>
      <c r="Q18" s="316"/>
      <c r="R18" s="316"/>
      <c r="S18" s="317"/>
      <c r="T18" s="318"/>
      <c r="U18" s="318"/>
    </row>
    <row r="19">
      <c r="A19" s="343" t="s">
        <v>410</v>
      </c>
      <c r="B19" s="343" t="s">
        <v>409</v>
      </c>
      <c r="C19" s="343" t="s">
        <v>366</v>
      </c>
      <c r="D19" s="315"/>
      <c r="E19" s="316"/>
      <c r="F19" s="316"/>
      <c r="G19" s="315"/>
      <c r="H19" s="316"/>
      <c r="I19" s="316"/>
      <c r="J19" s="315"/>
      <c r="K19" s="316"/>
      <c r="L19" s="316"/>
      <c r="M19" s="315"/>
      <c r="N19" s="316"/>
      <c r="O19" s="316"/>
      <c r="P19" s="315"/>
      <c r="Q19" s="316"/>
      <c r="R19" s="316"/>
      <c r="S19" s="317"/>
      <c r="T19" s="318"/>
      <c r="U19" s="318"/>
    </row>
    <row r="20">
      <c r="A20" s="317"/>
      <c r="B20" s="318"/>
      <c r="C20" s="318"/>
      <c r="D20" s="317"/>
      <c r="E20" s="318"/>
      <c r="F20" s="318"/>
      <c r="G20" s="317"/>
      <c r="H20" s="318"/>
      <c r="I20" s="318"/>
      <c r="J20" s="317"/>
      <c r="K20" s="318"/>
      <c r="L20" s="318"/>
      <c r="M20" s="317"/>
      <c r="N20" s="318"/>
      <c r="O20" s="318"/>
      <c r="P20" s="317"/>
      <c r="Q20" s="318"/>
      <c r="R20" s="318"/>
      <c r="S20" s="317"/>
      <c r="T20" s="318"/>
      <c r="U20" s="318"/>
    </row>
    <row r="21">
      <c r="A21" s="329" t="s">
        <v>7</v>
      </c>
      <c r="B21" s="167"/>
      <c r="C21" s="311"/>
      <c r="D21" s="330" t="s">
        <v>8</v>
      </c>
      <c r="E21" s="167"/>
      <c r="F21" s="311"/>
      <c r="G21" s="330" t="s">
        <v>9</v>
      </c>
      <c r="H21" s="167"/>
      <c r="I21" s="311"/>
      <c r="J21" s="330" t="s">
        <v>10</v>
      </c>
      <c r="K21" s="167"/>
      <c r="L21" s="311"/>
      <c r="M21" s="330" t="s">
        <v>11</v>
      </c>
      <c r="N21" s="167"/>
      <c r="O21" s="311"/>
      <c r="P21" s="330" t="s">
        <v>12</v>
      </c>
      <c r="Q21" s="167"/>
      <c r="R21" s="311"/>
      <c r="S21" s="331" t="s">
        <v>13</v>
      </c>
      <c r="T21" s="167"/>
      <c r="U21" s="311"/>
    </row>
    <row r="22">
      <c r="A22" s="332">
        <f>S14+1</f>
        <v>46181</v>
      </c>
      <c r="B22" s="167"/>
      <c r="C22" s="311"/>
      <c r="D22" s="313">
        <f>A22+1</f>
        <v>46182</v>
      </c>
      <c r="E22" s="167"/>
      <c r="F22" s="311"/>
      <c r="G22" s="313">
        <f>D22+1</f>
        <v>46183</v>
      </c>
      <c r="H22" s="167"/>
      <c r="I22" s="311"/>
      <c r="J22" s="313">
        <f>G22+1</f>
        <v>46184</v>
      </c>
      <c r="K22" s="167"/>
      <c r="L22" s="311"/>
      <c r="M22" s="313">
        <f>J22+1</f>
        <v>46185</v>
      </c>
      <c r="N22" s="167"/>
      <c r="O22" s="311"/>
      <c r="P22" s="313">
        <f>M22+1</f>
        <v>46186</v>
      </c>
      <c r="Q22" s="167"/>
      <c r="R22" s="311"/>
      <c r="S22" s="314">
        <f>P22+1</f>
        <v>46187</v>
      </c>
      <c r="T22" s="167"/>
      <c r="U22" s="311"/>
    </row>
    <row r="23">
      <c r="A23" s="315"/>
      <c r="B23" s="316"/>
      <c r="C23" s="316"/>
      <c r="D23" s="315"/>
      <c r="E23" s="316"/>
      <c r="F23" s="316"/>
      <c r="G23" s="315"/>
      <c r="H23" s="316"/>
      <c r="I23" s="316"/>
      <c r="J23" s="315"/>
      <c r="K23" s="316"/>
      <c r="L23" s="316"/>
      <c r="M23" s="315"/>
      <c r="N23" s="316"/>
      <c r="O23" s="316"/>
      <c r="P23" s="315"/>
      <c r="Q23" s="316"/>
      <c r="R23" s="316"/>
      <c r="S23" s="315"/>
      <c r="T23" s="316"/>
      <c r="U23" s="316"/>
    </row>
    <row r="24">
      <c r="A24" s="315"/>
      <c r="B24" s="316"/>
      <c r="C24" s="316"/>
      <c r="D24" s="315"/>
      <c r="E24" s="316"/>
      <c r="F24" s="316"/>
      <c r="G24" s="315"/>
      <c r="H24" s="316"/>
      <c r="I24" s="316"/>
      <c r="J24" s="315"/>
      <c r="K24" s="316"/>
      <c r="L24" s="316"/>
      <c r="M24" s="315"/>
      <c r="N24" s="316"/>
      <c r="O24" s="316"/>
      <c r="P24" s="315"/>
      <c r="Q24" s="316"/>
      <c r="R24" s="316"/>
      <c r="S24" s="315"/>
      <c r="T24" s="316"/>
      <c r="U24" s="316"/>
    </row>
    <row r="25">
      <c r="A25" s="57"/>
      <c r="B25" s="57"/>
      <c r="C25" s="57"/>
      <c r="D25" s="57"/>
      <c r="E25" s="57"/>
      <c r="F25" s="57"/>
      <c r="G25" s="315"/>
      <c r="H25" s="57"/>
      <c r="I25" s="57"/>
      <c r="J25" s="57"/>
      <c r="K25" s="57"/>
      <c r="L25" s="57"/>
      <c r="M25" s="371"/>
      <c r="N25" s="371"/>
      <c r="O25" s="371"/>
      <c r="P25" s="371"/>
      <c r="Q25" s="371"/>
      <c r="R25" s="371"/>
      <c r="S25" s="369" t="s">
        <v>14</v>
      </c>
      <c r="T25" s="191"/>
      <c r="U25" s="192"/>
    </row>
    <row r="26">
      <c r="A26" s="343" t="s">
        <v>407</v>
      </c>
      <c r="B26" s="343" t="s">
        <v>87</v>
      </c>
      <c r="C26" s="343" t="s">
        <v>366</v>
      </c>
      <c r="D26" s="358"/>
      <c r="E26" s="57"/>
      <c r="F26" s="343"/>
      <c r="G26" s="315"/>
      <c r="H26" s="316"/>
      <c r="I26" s="316"/>
      <c r="J26" s="315"/>
      <c r="K26" s="316"/>
      <c r="L26" s="316"/>
      <c r="M26" s="315"/>
      <c r="N26" s="316"/>
      <c r="O26" s="316"/>
      <c r="P26" s="315"/>
      <c r="Q26" s="316"/>
      <c r="R26" s="316"/>
      <c r="S26" s="315"/>
      <c r="T26" s="316"/>
      <c r="U26" s="316"/>
    </row>
    <row r="27">
      <c r="A27" s="343" t="s">
        <v>410</v>
      </c>
      <c r="B27" s="343" t="s">
        <v>409</v>
      </c>
      <c r="C27" s="343" t="s">
        <v>366</v>
      </c>
      <c r="D27" s="343"/>
      <c r="E27" s="343"/>
      <c r="F27" s="343"/>
      <c r="G27" s="315"/>
      <c r="H27" s="316"/>
      <c r="I27" s="316"/>
      <c r="J27" s="315"/>
      <c r="K27" s="316"/>
      <c r="L27" s="316"/>
      <c r="M27" s="315"/>
      <c r="N27" s="316"/>
      <c r="O27" s="316"/>
      <c r="P27" s="315"/>
      <c r="Q27" s="316"/>
      <c r="R27" s="316"/>
      <c r="S27" s="315"/>
      <c r="T27" s="316"/>
      <c r="U27" s="316"/>
    </row>
    <row r="28">
      <c r="A28" s="317"/>
      <c r="B28" s="318"/>
      <c r="C28" s="318"/>
      <c r="D28" s="315"/>
      <c r="E28" s="316"/>
      <c r="F28" s="316"/>
      <c r="G28" s="317"/>
      <c r="H28" s="318"/>
      <c r="I28" s="318"/>
      <c r="J28" s="317"/>
      <c r="K28" s="318"/>
      <c r="L28" s="318"/>
      <c r="M28" s="317"/>
      <c r="N28" s="318"/>
      <c r="O28" s="318"/>
      <c r="P28" s="317"/>
      <c r="Q28" s="318"/>
      <c r="R28" s="318"/>
      <c r="S28" s="317"/>
      <c r="T28" s="318"/>
      <c r="U28" s="318"/>
    </row>
    <row r="29">
      <c r="A29" s="319" t="s">
        <v>7</v>
      </c>
      <c r="B29" s="167"/>
      <c r="C29" s="311"/>
      <c r="D29" s="320" t="s">
        <v>8</v>
      </c>
      <c r="E29" s="167"/>
      <c r="F29" s="311"/>
      <c r="G29" s="320" t="s">
        <v>9</v>
      </c>
      <c r="H29" s="167"/>
      <c r="I29" s="311"/>
      <c r="J29" s="320" t="s">
        <v>10</v>
      </c>
      <c r="K29" s="167"/>
      <c r="L29" s="311"/>
      <c r="M29" s="320" t="s">
        <v>11</v>
      </c>
      <c r="N29" s="167"/>
      <c r="O29" s="311"/>
      <c r="P29" s="320" t="s">
        <v>12</v>
      </c>
      <c r="Q29" s="167"/>
      <c r="R29" s="311"/>
      <c r="S29" s="321" t="s">
        <v>13</v>
      </c>
      <c r="T29" s="167"/>
      <c r="U29" s="311"/>
    </row>
    <row r="30">
      <c r="A30" s="360">
        <f>S22+1</f>
        <v>46188</v>
      </c>
      <c r="B30" s="191"/>
      <c r="C30" s="192"/>
      <c r="D30" s="360">
        <f>A30+1</f>
        <v>46189</v>
      </c>
      <c r="E30" s="191"/>
      <c r="F30" s="192"/>
      <c r="G30" s="360">
        <f>D30+1</f>
        <v>46190</v>
      </c>
      <c r="H30" s="191"/>
      <c r="I30" s="192"/>
      <c r="J30" s="360">
        <f>G30+1</f>
        <v>46191</v>
      </c>
      <c r="K30" s="191"/>
      <c r="L30" s="192"/>
      <c r="M30" s="360">
        <f>J30+1</f>
        <v>46192</v>
      </c>
      <c r="N30" s="191"/>
      <c r="O30" s="192"/>
      <c r="P30" s="360">
        <f>M30+1</f>
        <v>46193</v>
      </c>
      <c r="Q30" s="191"/>
      <c r="R30" s="192"/>
      <c r="S30" s="361">
        <f>P30+1</f>
        <v>46194</v>
      </c>
      <c r="T30" s="191"/>
      <c r="U30" s="192"/>
    </row>
    <row r="31">
      <c r="A31" s="351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</row>
    <row r="32">
      <c r="A32" s="351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26" t="s">
        <v>145</v>
      </c>
      <c r="Q32" s="327" t="s">
        <v>63</v>
      </c>
      <c r="R32" s="328" t="s">
        <v>29</v>
      </c>
      <c r="S32" s="351"/>
      <c r="T32" s="351"/>
      <c r="U32" s="351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 t="s">
        <v>405</v>
      </c>
      <c r="K33" s="57" t="s">
        <v>406</v>
      </c>
      <c r="L33" s="57" t="s">
        <v>159</v>
      </c>
      <c r="M33" s="58"/>
      <c r="N33" s="58"/>
      <c r="O33" s="58"/>
      <c r="P33" s="57"/>
      <c r="Q33" s="57"/>
      <c r="R33" s="57"/>
      <c r="S33" s="369" t="s">
        <v>14</v>
      </c>
      <c r="T33" s="191"/>
      <c r="U33" s="192"/>
    </row>
    <row r="34">
      <c r="A34" s="343" t="s">
        <v>407</v>
      </c>
      <c r="B34" s="343" t="s">
        <v>87</v>
      </c>
      <c r="C34" s="343" t="s">
        <v>366</v>
      </c>
      <c r="D34" s="358" t="s">
        <v>402</v>
      </c>
      <c r="E34" s="57" t="s">
        <v>403</v>
      </c>
      <c r="F34" s="343" t="s">
        <v>61</v>
      </c>
      <c r="G34" s="57" t="s">
        <v>417</v>
      </c>
      <c r="H34" s="57" t="s">
        <v>105</v>
      </c>
      <c r="I34" s="57" t="s">
        <v>29</v>
      </c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</row>
    <row r="35">
      <c r="A35" s="343" t="s">
        <v>410</v>
      </c>
      <c r="B35" s="343" t="s">
        <v>409</v>
      </c>
      <c r="C35" s="343" t="s">
        <v>366</v>
      </c>
      <c r="D35" s="359" t="s">
        <v>408</v>
      </c>
      <c r="E35" s="359" t="s">
        <v>409</v>
      </c>
      <c r="F35" s="343" t="s">
        <v>61</v>
      </c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</row>
    <row r="36">
      <c r="A36" s="352"/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</row>
    <row r="37">
      <c r="A37" s="190" t="s">
        <v>7</v>
      </c>
      <c r="B37" s="191"/>
      <c r="C37" s="192"/>
      <c r="D37" s="190" t="s">
        <v>8</v>
      </c>
      <c r="E37" s="191"/>
      <c r="F37" s="192"/>
      <c r="G37" s="190" t="s">
        <v>9</v>
      </c>
      <c r="H37" s="191"/>
      <c r="I37" s="192"/>
      <c r="J37" s="190" t="s">
        <v>10</v>
      </c>
      <c r="K37" s="191"/>
      <c r="L37" s="192"/>
      <c r="M37" s="190" t="s">
        <v>11</v>
      </c>
      <c r="N37" s="191"/>
      <c r="O37" s="192"/>
      <c r="P37" s="190" t="s">
        <v>12</v>
      </c>
      <c r="Q37" s="191"/>
      <c r="R37" s="192"/>
      <c r="S37" s="193" t="s">
        <v>13</v>
      </c>
      <c r="T37" s="191"/>
      <c r="U37" s="192"/>
    </row>
    <row r="38">
      <c r="A38" s="350">
        <f>S30+1</f>
        <v>46195</v>
      </c>
      <c r="B38" s="191"/>
      <c r="C38" s="192"/>
      <c r="D38" s="350">
        <f>A38+1</f>
        <v>46196</v>
      </c>
      <c r="E38" s="191"/>
      <c r="F38" s="192"/>
      <c r="G38" s="350">
        <f>D38+1</f>
        <v>46197</v>
      </c>
      <c r="H38" s="191"/>
      <c r="I38" s="192"/>
      <c r="J38" s="350">
        <f>G38+1</f>
        <v>46198</v>
      </c>
      <c r="K38" s="191"/>
      <c r="L38" s="192"/>
      <c r="M38" s="350">
        <f>J38+1</f>
        <v>46199</v>
      </c>
      <c r="N38" s="191"/>
      <c r="O38" s="192"/>
      <c r="P38" s="350">
        <f>M38+1</f>
        <v>46200</v>
      </c>
      <c r="Q38" s="191"/>
      <c r="R38" s="192"/>
      <c r="S38" s="312">
        <f>P38+1</f>
        <v>46201</v>
      </c>
      <c r="T38" s="191"/>
      <c r="U38" s="192"/>
    </row>
    <row r="39">
      <c r="A39" s="351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</row>
    <row r="40">
      <c r="A40" s="351"/>
      <c r="B40" s="351"/>
      <c r="C40" s="351"/>
      <c r="D40" s="351"/>
      <c r="E40" s="351"/>
      <c r="F40" s="351"/>
      <c r="G40" s="351"/>
      <c r="H40" s="57"/>
      <c r="I40" s="57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</row>
    <row r="41">
      <c r="A41" s="57"/>
      <c r="B41" s="57"/>
      <c r="C41" s="57"/>
      <c r="D41" s="351"/>
      <c r="E41" s="351"/>
      <c r="F41" s="351"/>
      <c r="G41" s="371"/>
      <c r="H41" s="371"/>
      <c r="I41" s="371"/>
      <c r="J41" s="351"/>
      <c r="K41" s="351"/>
      <c r="L41" s="351"/>
      <c r="M41" s="57"/>
      <c r="N41" s="57"/>
      <c r="O41" s="57"/>
      <c r="P41" s="57"/>
      <c r="Q41" s="57"/>
      <c r="R41" s="57"/>
      <c r="S41" s="57"/>
      <c r="T41" s="57"/>
      <c r="U41" s="57"/>
    </row>
    <row r="42">
      <c r="A42" s="343" t="s">
        <v>407</v>
      </c>
      <c r="B42" s="343" t="s">
        <v>87</v>
      </c>
      <c r="C42" s="343" t="s">
        <v>366</v>
      </c>
      <c r="D42" s="343"/>
      <c r="E42" s="343"/>
      <c r="F42" s="343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</row>
    <row r="43">
      <c r="A43" s="343" t="s">
        <v>410</v>
      </c>
      <c r="B43" s="343" t="s">
        <v>409</v>
      </c>
      <c r="C43" s="343" t="s">
        <v>366</v>
      </c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</row>
    <row r="44">
      <c r="A44" s="352"/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</row>
    <row r="45">
      <c r="A45" s="319" t="s">
        <v>7</v>
      </c>
      <c r="B45" s="167"/>
      <c r="C45" s="311"/>
      <c r="D45" s="320" t="s">
        <v>8</v>
      </c>
      <c r="E45" s="167"/>
      <c r="F45" s="311"/>
      <c r="G45" s="320" t="s">
        <v>9</v>
      </c>
      <c r="H45" s="167"/>
      <c r="I45" s="311"/>
      <c r="J45" s="320" t="s">
        <v>10</v>
      </c>
      <c r="K45" s="167"/>
      <c r="L45" s="311"/>
      <c r="M45" s="320" t="s">
        <v>11</v>
      </c>
      <c r="N45" s="167"/>
      <c r="O45" s="311"/>
      <c r="P45" s="320" t="s">
        <v>12</v>
      </c>
      <c r="Q45" s="167"/>
      <c r="R45" s="311"/>
      <c r="S45" s="321" t="s">
        <v>13</v>
      </c>
      <c r="T45" s="167"/>
      <c r="U45" s="311"/>
    </row>
    <row r="46">
      <c r="A46" s="360">
        <f>S38+1</f>
        <v>46202</v>
      </c>
      <c r="B46" s="191"/>
      <c r="C46" s="192"/>
      <c r="D46" s="360">
        <f>A46+1</f>
        <v>46203</v>
      </c>
      <c r="E46" s="191"/>
      <c r="F46" s="192"/>
      <c r="G46" s="360"/>
      <c r="H46" s="191"/>
      <c r="I46" s="192"/>
      <c r="J46" s="360"/>
      <c r="K46" s="191"/>
      <c r="L46" s="192"/>
      <c r="M46" s="360"/>
      <c r="N46" s="191"/>
      <c r="O46" s="192"/>
      <c r="P46" s="360"/>
      <c r="Q46" s="191"/>
      <c r="R46" s="192"/>
      <c r="S46" s="361"/>
      <c r="T46" s="191"/>
      <c r="U46" s="192"/>
    </row>
    <row r="47">
      <c r="A47" s="338"/>
      <c r="B47" s="338"/>
      <c r="C47" s="338"/>
      <c r="D47" s="339"/>
      <c r="E47" s="339"/>
      <c r="F47" s="339"/>
      <c r="G47" s="352"/>
      <c r="H47" s="365"/>
      <c r="I47" s="365"/>
      <c r="J47" s="366"/>
      <c r="K47" s="366"/>
      <c r="L47" s="366"/>
      <c r="M47" s="367"/>
      <c r="N47" s="367"/>
      <c r="O47" s="367"/>
      <c r="P47" s="367"/>
      <c r="Q47" s="367"/>
      <c r="R47" s="367"/>
      <c r="S47" s="366"/>
      <c r="T47" s="366"/>
      <c r="U47" s="366"/>
    </row>
    <row r="48">
      <c r="A48" s="339"/>
      <c r="B48" s="339"/>
      <c r="C48" s="339"/>
      <c r="D48" s="343"/>
      <c r="E48" s="343"/>
      <c r="F48" s="343"/>
      <c r="G48" s="367"/>
      <c r="H48" s="367"/>
      <c r="I48" s="367"/>
      <c r="J48" s="366"/>
      <c r="K48" s="366"/>
      <c r="L48" s="366"/>
      <c r="M48" s="368"/>
      <c r="N48" s="368"/>
      <c r="O48" s="368"/>
      <c r="P48" s="367"/>
      <c r="Q48" s="367"/>
      <c r="R48" s="367"/>
      <c r="S48" s="367"/>
      <c r="T48" s="367"/>
      <c r="U48" s="367"/>
    </row>
    <row r="49">
      <c r="A49" s="339"/>
      <c r="B49" s="339"/>
      <c r="C49" s="339"/>
      <c r="D49" s="339"/>
      <c r="E49" s="339"/>
      <c r="F49" s="339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</row>
    <row r="50">
      <c r="A50" s="367"/>
      <c r="B50" s="367"/>
      <c r="C50" s="367"/>
      <c r="D50" s="339"/>
      <c r="E50" s="339"/>
      <c r="F50" s="339"/>
      <c r="G50" s="367"/>
      <c r="H50" s="367"/>
      <c r="I50" s="367"/>
      <c r="J50" s="367"/>
      <c r="K50" s="367"/>
      <c r="L50" s="367"/>
      <c r="M50" s="367"/>
      <c r="N50" s="367"/>
      <c r="O50" s="367"/>
      <c r="P50" s="367"/>
      <c r="Q50" s="367"/>
      <c r="R50" s="367"/>
      <c r="S50" s="366"/>
      <c r="T50" s="366"/>
      <c r="U50" s="366"/>
    </row>
    <row r="51">
      <c r="A51" s="338"/>
      <c r="B51" s="338"/>
      <c r="C51" s="338"/>
      <c r="D51" s="345"/>
      <c r="E51" s="345"/>
      <c r="F51" s="345"/>
      <c r="G51" s="367"/>
      <c r="H51" s="367"/>
      <c r="I51" s="366"/>
      <c r="J51" s="367"/>
      <c r="K51" s="367"/>
      <c r="L51" s="367"/>
      <c r="M51" s="367"/>
      <c r="N51" s="367"/>
      <c r="O51" s="367"/>
      <c r="P51" s="367"/>
      <c r="Q51" s="367"/>
      <c r="R51" s="367"/>
      <c r="S51" s="367"/>
      <c r="T51" s="367"/>
      <c r="U51" s="367"/>
    </row>
    <row r="52">
      <c r="A52" s="366"/>
      <c r="B52" s="366"/>
      <c r="C52" s="366"/>
      <c r="D52" s="367"/>
      <c r="E52" s="367"/>
      <c r="F52" s="367"/>
      <c r="G52" s="366"/>
      <c r="H52" s="366"/>
      <c r="I52" s="366"/>
      <c r="J52" s="367"/>
      <c r="K52" s="367"/>
      <c r="L52" s="367"/>
      <c r="M52" s="366"/>
      <c r="N52" s="366"/>
      <c r="O52" s="366"/>
      <c r="P52" s="367"/>
      <c r="Q52" s="367"/>
      <c r="R52" s="367"/>
      <c r="S52" s="366"/>
      <c r="T52" s="366"/>
      <c r="U52" s="366"/>
    </row>
    <row r="53">
      <c r="A53" s="367"/>
      <c r="B53" s="367"/>
      <c r="C53" s="367"/>
      <c r="D53" s="367"/>
      <c r="E53" s="367"/>
      <c r="F53" s="367"/>
      <c r="G53" s="367"/>
      <c r="H53" s="367"/>
      <c r="I53" s="367"/>
      <c r="J53" s="367"/>
      <c r="K53" s="367"/>
      <c r="L53" s="367"/>
      <c r="M53" s="367"/>
      <c r="N53" s="367"/>
      <c r="O53" s="367"/>
      <c r="P53" s="367"/>
      <c r="Q53" s="367"/>
      <c r="R53" s="367"/>
      <c r="S53" s="367"/>
      <c r="T53" s="367"/>
      <c r="U53" s="367"/>
    </row>
    <row r="63">
      <c r="L63" s="69" t="s">
        <v>123</v>
      </c>
    </row>
  </sheetData>
  <mergeCells count="96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J22:L22"/>
    <mergeCell ref="M22:O22"/>
    <mergeCell ref="P22:R22"/>
    <mergeCell ref="P29:R29"/>
    <mergeCell ref="S29:U29"/>
    <mergeCell ref="S22:U22"/>
    <mergeCell ref="S25:U25"/>
    <mergeCell ref="A29:C29"/>
    <mergeCell ref="D29:F29"/>
    <mergeCell ref="G29:I29"/>
    <mergeCell ref="J29:L29"/>
    <mergeCell ref="M29:O29"/>
    <mergeCell ref="D30:F30"/>
    <mergeCell ref="G30:I30"/>
    <mergeCell ref="J30:L30"/>
    <mergeCell ref="M30:O30"/>
    <mergeCell ref="P30:R30"/>
    <mergeCell ref="S30:U30"/>
    <mergeCell ref="S33:U33"/>
    <mergeCell ref="A30:C30"/>
    <mergeCell ref="D37:F37"/>
    <mergeCell ref="G37:I37"/>
    <mergeCell ref="J37:L37"/>
    <mergeCell ref="M37:O37"/>
    <mergeCell ref="P37:R37"/>
    <mergeCell ref="S37:U37"/>
    <mergeCell ref="A37:C37"/>
    <mergeCell ref="D38:F38"/>
    <mergeCell ref="G38:I38"/>
    <mergeCell ref="J38:L38"/>
    <mergeCell ref="M38:O38"/>
    <mergeCell ref="P38:R38"/>
    <mergeCell ref="S38:U38"/>
    <mergeCell ref="A38:C38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M17:O17"/>
    <mergeCell ref="A45:C45"/>
    <mergeCell ref="A46:C46"/>
    <mergeCell ref="D46:F46"/>
    <mergeCell ref="G46:I46"/>
    <mergeCell ref="J46:L46"/>
    <mergeCell ref="M46:O46"/>
    <mergeCell ref="P46:R46"/>
    <mergeCell ref="S46:U4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4.57"/>
    <col customWidth="1" min="3" max="34" width="5.57"/>
  </cols>
  <sheetData>
    <row r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</row>
    <row r="2">
      <c r="A2" s="37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</row>
    <row r="3">
      <c r="A3" s="375"/>
      <c r="B3" s="376" t="s">
        <v>418</v>
      </c>
      <c r="AG3" s="245"/>
      <c r="AH3" s="245"/>
      <c r="AI3" s="245"/>
    </row>
    <row r="4">
      <c r="A4" s="375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</row>
    <row r="5">
      <c r="A5" s="375"/>
      <c r="B5" s="377" t="s">
        <v>419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</row>
    <row r="6">
      <c r="A6" s="37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</row>
    <row r="7">
      <c r="A7" s="378">
        <v>46113.0</v>
      </c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79"/>
      <c r="AG7" s="379"/>
      <c r="AH7" s="379"/>
      <c r="AI7" s="380"/>
    </row>
    <row r="8">
      <c r="A8" s="381" t="s">
        <v>420</v>
      </c>
      <c r="B8" s="381" t="s">
        <v>421</v>
      </c>
      <c r="C8" s="382"/>
      <c r="D8" s="383" t="s">
        <v>422</v>
      </c>
      <c r="E8" s="383" t="s">
        <v>422</v>
      </c>
      <c r="F8" s="383" t="s">
        <v>423</v>
      </c>
      <c r="G8" s="383" t="s">
        <v>424</v>
      </c>
      <c r="H8" s="383" t="s">
        <v>425</v>
      </c>
      <c r="I8" s="383" t="s">
        <v>422</v>
      </c>
      <c r="J8" s="384" t="s">
        <v>426</v>
      </c>
      <c r="K8" s="383" t="s">
        <v>422</v>
      </c>
      <c r="L8" s="383" t="s">
        <v>422</v>
      </c>
      <c r="M8" s="383" t="s">
        <v>423</v>
      </c>
      <c r="N8" s="383" t="s">
        <v>424</v>
      </c>
      <c r="O8" s="383" t="s">
        <v>425</v>
      </c>
      <c r="P8" s="383" t="s">
        <v>422</v>
      </c>
      <c r="Q8" s="384" t="s">
        <v>426</v>
      </c>
      <c r="R8" s="383" t="s">
        <v>422</v>
      </c>
      <c r="S8" s="383" t="s">
        <v>422</v>
      </c>
      <c r="T8" s="383" t="s">
        <v>423</v>
      </c>
      <c r="U8" s="383" t="s">
        <v>424</v>
      </c>
      <c r="V8" s="383" t="s">
        <v>425</v>
      </c>
      <c r="W8" s="383" t="s">
        <v>422</v>
      </c>
      <c r="X8" s="384" t="s">
        <v>426</v>
      </c>
      <c r="Y8" s="383" t="s">
        <v>422</v>
      </c>
      <c r="Z8" s="383" t="s">
        <v>422</v>
      </c>
      <c r="AA8" s="383" t="s">
        <v>423</v>
      </c>
      <c r="AB8" s="383" t="s">
        <v>424</v>
      </c>
      <c r="AC8" s="383" t="s">
        <v>425</v>
      </c>
      <c r="AD8" s="383" t="s">
        <v>422</v>
      </c>
      <c r="AE8" s="384" t="s">
        <v>426</v>
      </c>
      <c r="AF8" s="383" t="s">
        <v>422</v>
      </c>
      <c r="AG8" s="383" t="s">
        <v>422</v>
      </c>
      <c r="AH8" s="383"/>
      <c r="AI8" s="385"/>
    </row>
    <row r="9">
      <c r="A9" s="48"/>
      <c r="B9" s="48"/>
      <c r="C9" s="383">
        <v>28.0</v>
      </c>
      <c r="D9" s="386">
        <v>1.0</v>
      </c>
      <c r="E9" s="383">
        <v>2.0</v>
      </c>
      <c r="F9" s="383">
        <v>3.0</v>
      </c>
      <c r="G9" s="383">
        <v>4.0</v>
      </c>
      <c r="H9" s="383">
        <v>5.0</v>
      </c>
      <c r="I9" s="383">
        <v>6.0</v>
      </c>
      <c r="J9" s="386">
        <v>7.0</v>
      </c>
      <c r="K9" s="383">
        <v>8.0</v>
      </c>
      <c r="L9" s="383">
        <v>9.0</v>
      </c>
      <c r="M9" s="383">
        <v>10.0</v>
      </c>
      <c r="N9" s="383">
        <v>11.0</v>
      </c>
      <c r="O9" s="383">
        <v>12.0</v>
      </c>
      <c r="P9" s="383">
        <v>13.0</v>
      </c>
      <c r="Q9" s="386">
        <v>14.0</v>
      </c>
      <c r="R9" s="383">
        <v>15.0</v>
      </c>
      <c r="S9" s="386">
        <v>16.0</v>
      </c>
      <c r="T9" s="383">
        <v>17.0</v>
      </c>
      <c r="U9" s="383">
        <v>18.0</v>
      </c>
      <c r="V9" s="383">
        <v>19.0</v>
      </c>
      <c r="W9" s="383">
        <v>20.0</v>
      </c>
      <c r="X9" s="386">
        <v>21.0</v>
      </c>
      <c r="Y9" s="383">
        <v>22.0</v>
      </c>
      <c r="Z9" s="383">
        <v>23.0</v>
      </c>
      <c r="AA9" s="383">
        <v>24.0</v>
      </c>
      <c r="AB9" s="383">
        <v>25.0</v>
      </c>
      <c r="AC9" s="383">
        <v>26.0</v>
      </c>
      <c r="AD9" s="383">
        <v>26.0</v>
      </c>
      <c r="AE9" s="386">
        <v>28.0</v>
      </c>
      <c r="AF9" s="383">
        <v>29.0</v>
      </c>
      <c r="AG9" s="383">
        <v>30.0</v>
      </c>
      <c r="AH9" s="383"/>
      <c r="AI9" s="387"/>
    </row>
    <row r="10">
      <c r="A10" s="388">
        <v>1.0</v>
      </c>
      <c r="B10" s="389" t="s">
        <v>427</v>
      </c>
      <c r="C10" s="390"/>
      <c r="D10" s="388" t="s">
        <v>428</v>
      </c>
      <c r="E10" s="388" t="s">
        <v>428</v>
      </c>
      <c r="F10" s="388" t="s">
        <v>428</v>
      </c>
      <c r="G10" s="388" t="s">
        <v>428</v>
      </c>
      <c r="H10" s="388" t="s">
        <v>428</v>
      </c>
      <c r="I10" s="388" t="s">
        <v>428</v>
      </c>
      <c r="J10" s="388" t="s">
        <v>428</v>
      </c>
      <c r="K10" s="388" t="s">
        <v>428</v>
      </c>
      <c r="L10" s="391" t="s">
        <v>429</v>
      </c>
      <c r="M10" s="392" t="s">
        <v>422</v>
      </c>
      <c r="N10" s="392" t="s">
        <v>422</v>
      </c>
      <c r="O10" s="392" t="s">
        <v>422</v>
      </c>
      <c r="P10" s="392" t="s">
        <v>422</v>
      </c>
      <c r="Q10" s="392" t="s">
        <v>422</v>
      </c>
      <c r="R10" s="392" t="s">
        <v>422</v>
      </c>
      <c r="S10" s="391" t="s">
        <v>429</v>
      </c>
      <c r="T10" s="388" t="s">
        <v>428</v>
      </c>
      <c r="U10" s="388" t="s">
        <v>428</v>
      </c>
      <c r="V10" s="388" t="s">
        <v>428</v>
      </c>
      <c r="W10" s="388" t="s">
        <v>428</v>
      </c>
      <c r="X10" s="388" t="s">
        <v>428</v>
      </c>
      <c r="Y10" s="388" t="s">
        <v>428</v>
      </c>
      <c r="Z10" s="391" t="s">
        <v>429</v>
      </c>
      <c r="AA10" s="392" t="s">
        <v>422</v>
      </c>
      <c r="AB10" s="392" t="s">
        <v>422</v>
      </c>
      <c r="AC10" s="392" t="s">
        <v>422</v>
      </c>
      <c r="AD10" s="392" t="s">
        <v>422</v>
      </c>
      <c r="AE10" s="392" t="s">
        <v>422</v>
      </c>
      <c r="AF10" s="392" t="s">
        <v>422</v>
      </c>
      <c r="AG10" s="391" t="s">
        <v>429</v>
      </c>
      <c r="AH10" s="388"/>
      <c r="AI10" s="301">
        <f>COUNTIF(D10:AH10,"X")</f>
        <v>4</v>
      </c>
    </row>
    <row r="11">
      <c r="A11" s="390"/>
      <c r="B11" s="20"/>
      <c r="C11" s="20"/>
      <c r="D11" s="20" t="s">
        <v>123</v>
      </c>
      <c r="E11" s="20"/>
      <c r="F11" s="20"/>
      <c r="G11" s="20"/>
      <c r="H11" s="20"/>
      <c r="I11" s="20"/>
      <c r="J11" s="20"/>
      <c r="K11" s="20"/>
      <c r="L11" s="20"/>
      <c r="M11" s="20"/>
      <c r="N11" s="393" t="s">
        <v>430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393" t="s">
        <v>430</v>
      </c>
      <c r="AD11" s="20"/>
      <c r="AE11" s="20"/>
      <c r="AF11" s="20"/>
      <c r="AG11" s="20"/>
      <c r="AH11" s="20"/>
      <c r="AI11" s="245"/>
    </row>
    <row r="12">
      <c r="A12" s="388">
        <v>2.0</v>
      </c>
      <c r="B12" s="389" t="s">
        <v>431</v>
      </c>
      <c r="C12" s="390"/>
      <c r="D12" s="392" t="s">
        <v>422</v>
      </c>
      <c r="E12" s="392" t="s">
        <v>422</v>
      </c>
      <c r="F12" s="392" t="s">
        <v>422</v>
      </c>
      <c r="G12" s="392" t="s">
        <v>422</v>
      </c>
      <c r="H12" s="392" t="s">
        <v>422</v>
      </c>
      <c r="I12" s="392" t="s">
        <v>422</v>
      </c>
      <c r="J12" s="392" t="s">
        <v>422</v>
      </c>
      <c r="K12" s="391" t="s">
        <v>429</v>
      </c>
      <c r="L12" s="388" t="s">
        <v>428</v>
      </c>
      <c r="M12" s="388" t="s">
        <v>428</v>
      </c>
      <c r="N12" s="388" t="s">
        <v>428</v>
      </c>
      <c r="O12" s="388" t="s">
        <v>428</v>
      </c>
      <c r="P12" s="388" t="s">
        <v>428</v>
      </c>
      <c r="Q12" s="388" t="s">
        <v>428</v>
      </c>
      <c r="R12" s="391" t="s">
        <v>429</v>
      </c>
      <c r="S12" s="392" t="s">
        <v>422</v>
      </c>
      <c r="T12" s="392" t="s">
        <v>422</v>
      </c>
      <c r="U12" s="392" t="s">
        <v>422</v>
      </c>
      <c r="V12" s="392" t="s">
        <v>422</v>
      </c>
      <c r="W12" s="392" t="s">
        <v>422</v>
      </c>
      <c r="X12" s="392" t="s">
        <v>422</v>
      </c>
      <c r="Y12" s="391" t="s">
        <v>429</v>
      </c>
      <c r="Z12" s="388" t="s">
        <v>428</v>
      </c>
      <c r="AA12" s="388" t="s">
        <v>428</v>
      </c>
      <c r="AB12" s="388" t="s">
        <v>428</v>
      </c>
      <c r="AC12" s="388" t="s">
        <v>428</v>
      </c>
      <c r="AD12" s="388" t="s">
        <v>428</v>
      </c>
      <c r="AE12" s="388" t="s">
        <v>428</v>
      </c>
      <c r="AF12" s="391" t="s">
        <v>429</v>
      </c>
      <c r="AG12" s="392" t="s">
        <v>422</v>
      </c>
      <c r="AH12" s="392"/>
      <c r="AI12" s="301">
        <f>COUNTIF(C12:AH12,"X")</f>
        <v>4</v>
      </c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 t="s">
        <v>123</v>
      </c>
      <c r="N13" s="20"/>
      <c r="O13" s="20"/>
      <c r="P13" s="20"/>
      <c r="Q13" s="20"/>
      <c r="R13" s="20"/>
      <c r="S13" s="20"/>
      <c r="T13" s="20"/>
      <c r="U13" s="20"/>
      <c r="V13" s="20"/>
      <c r="W13" s="133"/>
      <c r="X13" s="133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45"/>
    </row>
    <row r="14">
      <c r="A14" s="388">
        <v>3.0</v>
      </c>
      <c r="B14" s="394" t="s">
        <v>432</v>
      </c>
      <c r="C14" s="395"/>
      <c r="D14" s="396" t="s">
        <v>422</v>
      </c>
      <c r="E14" s="396" t="s">
        <v>422</v>
      </c>
      <c r="F14" s="396" t="s">
        <v>422</v>
      </c>
      <c r="G14" s="396" t="s">
        <v>422</v>
      </c>
      <c r="H14" s="396" t="s">
        <v>422</v>
      </c>
      <c r="I14" s="391" t="s">
        <v>429</v>
      </c>
      <c r="J14" s="396" t="s">
        <v>428</v>
      </c>
      <c r="K14" s="396" t="s">
        <v>428</v>
      </c>
      <c r="L14" s="396" t="s">
        <v>428</v>
      </c>
      <c r="M14" s="396" t="s">
        <v>428</v>
      </c>
      <c r="N14" s="396" t="s">
        <v>428</v>
      </c>
      <c r="O14" s="396" t="s">
        <v>428</v>
      </c>
      <c r="P14" s="391" t="s">
        <v>429</v>
      </c>
      <c r="Q14" s="396" t="s">
        <v>422</v>
      </c>
      <c r="R14" s="396" t="s">
        <v>422</v>
      </c>
      <c r="S14" s="396" t="s">
        <v>422</v>
      </c>
      <c r="T14" s="396" t="s">
        <v>422</v>
      </c>
      <c r="U14" s="396" t="s">
        <v>422</v>
      </c>
      <c r="V14" s="396" t="s">
        <v>422</v>
      </c>
      <c r="W14" s="391" t="s">
        <v>429</v>
      </c>
      <c r="X14" s="396" t="s">
        <v>428</v>
      </c>
      <c r="Y14" s="396" t="s">
        <v>428</v>
      </c>
      <c r="Z14" s="396" t="s">
        <v>428</v>
      </c>
      <c r="AA14" s="396" t="s">
        <v>428</v>
      </c>
      <c r="AB14" s="396" t="s">
        <v>428</v>
      </c>
      <c r="AC14" s="396" t="s">
        <v>428</v>
      </c>
      <c r="AD14" s="391" t="s">
        <v>429</v>
      </c>
      <c r="AE14" s="396" t="s">
        <v>422</v>
      </c>
      <c r="AF14" s="396" t="s">
        <v>422</v>
      </c>
      <c r="AG14" s="396" t="s">
        <v>422</v>
      </c>
      <c r="AH14" s="396" t="s">
        <v>422</v>
      </c>
      <c r="AI14" s="301" t="str">
        <f>COUNTIF(#REF!,"X")</f>
        <v>#REF!</v>
      </c>
    </row>
    <row r="15">
      <c r="A15" s="20"/>
      <c r="B15" s="20"/>
      <c r="C15" s="20"/>
      <c r="D15" s="20"/>
      <c r="E15" s="393" t="s">
        <v>430</v>
      </c>
      <c r="F15" s="397" t="s">
        <v>392</v>
      </c>
      <c r="G15" s="397" t="s">
        <v>392</v>
      </c>
      <c r="H15" s="397" t="s">
        <v>392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397" t="s">
        <v>392</v>
      </c>
      <c r="AB15" s="397" t="s">
        <v>392</v>
      </c>
      <c r="AC15" s="397" t="s">
        <v>392</v>
      </c>
      <c r="AD15" s="20"/>
      <c r="AE15" s="20"/>
      <c r="AF15" s="20"/>
      <c r="AG15" s="20"/>
      <c r="AH15" s="20"/>
      <c r="AI15" s="245"/>
    </row>
    <row r="16">
      <c r="A16" s="133"/>
      <c r="B16" s="398" t="s">
        <v>433</v>
      </c>
      <c r="C16" s="20"/>
      <c r="D16" s="396" t="s">
        <v>428</v>
      </c>
      <c r="E16" s="396" t="s">
        <v>428</v>
      </c>
      <c r="F16" s="396" t="s">
        <v>428</v>
      </c>
      <c r="G16" s="396" t="s">
        <v>428</v>
      </c>
      <c r="H16" s="396" t="s">
        <v>428</v>
      </c>
      <c r="I16" s="396" t="s">
        <v>428</v>
      </c>
      <c r="J16" s="391" t="s">
        <v>429</v>
      </c>
      <c r="K16" s="396" t="s">
        <v>422</v>
      </c>
      <c r="L16" s="396" t="s">
        <v>422</v>
      </c>
      <c r="M16" s="396" t="s">
        <v>422</v>
      </c>
      <c r="N16" s="396" t="s">
        <v>422</v>
      </c>
      <c r="O16" s="396" t="s">
        <v>422</v>
      </c>
      <c r="P16" s="396" t="s">
        <v>422</v>
      </c>
      <c r="Q16" s="391" t="s">
        <v>429</v>
      </c>
      <c r="R16" s="396" t="s">
        <v>428</v>
      </c>
      <c r="S16" s="396" t="s">
        <v>428</v>
      </c>
      <c r="T16" s="396" t="s">
        <v>428</v>
      </c>
      <c r="U16" s="396" t="s">
        <v>428</v>
      </c>
      <c r="V16" s="396" t="s">
        <v>428</v>
      </c>
      <c r="W16" s="396" t="s">
        <v>428</v>
      </c>
      <c r="X16" s="391" t="s">
        <v>429</v>
      </c>
      <c r="Y16" s="396" t="s">
        <v>422</v>
      </c>
      <c r="Z16" s="396" t="s">
        <v>422</v>
      </c>
      <c r="AA16" s="396" t="s">
        <v>422</v>
      </c>
      <c r="AB16" s="396" t="s">
        <v>422</v>
      </c>
      <c r="AC16" s="396" t="s">
        <v>422</v>
      </c>
      <c r="AD16" s="396" t="s">
        <v>422</v>
      </c>
      <c r="AE16" s="391" t="s">
        <v>429</v>
      </c>
      <c r="AF16" s="396" t="s">
        <v>428</v>
      </c>
      <c r="AG16" s="396" t="s">
        <v>428</v>
      </c>
      <c r="AH16" s="396" t="s">
        <v>428</v>
      </c>
      <c r="AI16" s="301">
        <f>COUNTIF(C16:AH16,"X")</f>
        <v>4</v>
      </c>
    </row>
    <row r="17">
      <c r="A17" s="20"/>
      <c r="B17" s="20"/>
      <c r="C17" s="20"/>
      <c r="AI17" s="245"/>
    </row>
    <row r="18">
      <c r="A18" s="133"/>
      <c r="B18" s="399"/>
      <c r="C18" s="20"/>
      <c r="D18" s="391" t="s">
        <v>429</v>
      </c>
      <c r="E18" s="396" t="s">
        <v>422</v>
      </c>
      <c r="F18" s="396" t="s">
        <v>422</v>
      </c>
      <c r="G18" s="396" t="s">
        <v>422</v>
      </c>
      <c r="H18" s="396" t="s">
        <v>422</v>
      </c>
      <c r="I18" s="396" t="s">
        <v>422</v>
      </c>
      <c r="J18" s="396" t="s">
        <v>422</v>
      </c>
      <c r="K18" s="392" t="s">
        <v>422</v>
      </c>
      <c r="L18" s="392" t="s">
        <v>422</v>
      </c>
      <c r="M18" s="391" t="s">
        <v>429</v>
      </c>
      <c r="N18" s="388" t="s">
        <v>428</v>
      </c>
      <c r="O18" s="388" t="s">
        <v>428</v>
      </c>
      <c r="P18" s="396" t="s">
        <v>428</v>
      </c>
      <c r="Q18" s="396" t="s">
        <v>428</v>
      </c>
      <c r="R18" s="388" t="s">
        <v>428</v>
      </c>
      <c r="S18" s="388" t="s">
        <v>428</v>
      </c>
      <c r="T18" s="391" t="s">
        <v>429</v>
      </c>
      <c r="U18" s="400" t="s">
        <v>169</v>
      </c>
      <c r="V18" s="133"/>
      <c r="W18" s="396" t="s">
        <v>422</v>
      </c>
      <c r="X18" s="396" t="s">
        <v>422</v>
      </c>
      <c r="Y18" s="392" t="s">
        <v>422</v>
      </c>
      <c r="Z18" s="392" t="s">
        <v>422</v>
      </c>
      <c r="AA18" s="133"/>
      <c r="AB18" s="401"/>
      <c r="AC18" s="401"/>
      <c r="AD18" s="396" t="s">
        <v>428</v>
      </c>
      <c r="AE18" s="396" t="s">
        <v>428</v>
      </c>
      <c r="AF18" s="388" t="s">
        <v>428</v>
      </c>
      <c r="AG18" s="388" t="s">
        <v>428</v>
      </c>
      <c r="AH18" s="133"/>
      <c r="AI18" s="301">
        <f>COUNTIF(C14:AH14,"X")</f>
        <v>4</v>
      </c>
    </row>
    <row r="19">
      <c r="A19" s="20"/>
      <c r="B19" s="20"/>
      <c r="C19" s="20"/>
      <c r="D19" s="20"/>
      <c r="E19" s="20"/>
      <c r="F19" s="20"/>
      <c r="G19" s="20"/>
      <c r="H19" s="20"/>
      <c r="I19" s="133"/>
      <c r="J19" s="133"/>
      <c r="K19" s="133"/>
      <c r="L19" s="133"/>
      <c r="M19" s="133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45"/>
    </row>
    <row r="20">
      <c r="A20" s="133"/>
      <c r="B20" s="399"/>
      <c r="C20" s="20"/>
      <c r="D20" s="391"/>
      <c r="E20" s="133"/>
      <c r="F20" s="133"/>
      <c r="G20" s="133"/>
      <c r="H20" s="133"/>
      <c r="I20" s="133"/>
      <c r="J20" s="391"/>
      <c r="K20" s="391"/>
      <c r="L20" s="391"/>
      <c r="M20" s="391"/>
      <c r="N20" s="391"/>
      <c r="O20" s="401"/>
      <c r="P20" s="133"/>
      <c r="Q20" s="133"/>
      <c r="R20" s="133"/>
      <c r="S20" s="133"/>
      <c r="T20" s="133"/>
      <c r="U20" s="133"/>
      <c r="V20" s="133"/>
      <c r="W20" s="133"/>
      <c r="X20" s="133"/>
      <c r="Y20" s="391"/>
      <c r="Z20" s="133"/>
      <c r="AA20" s="133"/>
      <c r="AB20" s="401"/>
      <c r="AC20" s="401"/>
      <c r="AD20" s="133"/>
      <c r="AE20" s="133"/>
      <c r="AF20" s="391"/>
      <c r="AG20" s="133"/>
      <c r="AH20" s="133"/>
      <c r="AI20" s="301">
        <f>COUNTIF(C20:AH20,"X")</f>
        <v>0</v>
      </c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33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301">
        <f>COUNTIF(D21:AH21,"X")</f>
        <v>0</v>
      </c>
    </row>
    <row r="22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</row>
    <row r="23">
      <c r="A23" s="245"/>
      <c r="B23" s="231" t="s">
        <v>434</v>
      </c>
      <c r="C23" s="402">
        <f t="shared" ref="C23:AH23" si="1">COUNTIF((C10:C20),"P")</f>
        <v>0</v>
      </c>
      <c r="D23" s="402">
        <f t="shared" si="1"/>
        <v>2</v>
      </c>
      <c r="E23" s="402">
        <f t="shared" si="1"/>
        <v>2</v>
      </c>
      <c r="F23" s="402">
        <f t="shared" si="1"/>
        <v>2</v>
      </c>
      <c r="G23" s="402">
        <f t="shared" si="1"/>
        <v>2</v>
      </c>
      <c r="H23" s="402">
        <f t="shared" si="1"/>
        <v>2</v>
      </c>
      <c r="I23" s="402">
        <f t="shared" si="1"/>
        <v>2</v>
      </c>
      <c r="J23" s="402">
        <f t="shared" si="1"/>
        <v>2</v>
      </c>
      <c r="K23" s="402">
        <f t="shared" si="1"/>
        <v>2</v>
      </c>
      <c r="L23" s="402">
        <f t="shared" si="1"/>
        <v>2</v>
      </c>
      <c r="M23" s="402">
        <f t="shared" si="1"/>
        <v>2</v>
      </c>
      <c r="N23" s="402">
        <f t="shared" si="1"/>
        <v>3</v>
      </c>
      <c r="O23" s="402">
        <f t="shared" si="1"/>
        <v>3</v>
      </c>
      <c r="P23" s="402">
        <f t="shared" si="1"/>
        <v>2</v>
      </c>
      <c r="Q23" s="402">
        <f t="shared" si="1"/>
        <v>2</v>
      </c>
      <c r="R23" s="402">
        <f t="shared" si="1"/>
        <v>2</v>
      </c>
      <c r="S23" s="402">
        <f t="shared" si="1"/>
        <v>2</v>
      </c>
      <c r="T23" s="402">
        <f t="shared" si="1"/>
        <v>2</v>
      </c>
      <c r="U23" s="402">
        <f t="shared" si="1"/>
        <v>2</v>
      </c>
      <c r="V23" s="402">
        <f t="shared" si="1"/>
        <v>2</v>
      </c>
      <c r="W23" s="402">
        <f t="shared" si="1"/>
        <v>2</v>
      </c>
      <c r="X23" s="402">
        <f t="shared" si="1"/>
        <v>2</v>
      </c>
      <c r="Y23" s="402">
        <f t="shared" si="1"/>
        <v>2</v>
      </c>
      <c r="Z23" s="402">
        <f t="shared" si="1"/>
        <v>2</v>
      </c>
      <c r="AA23" s="402">
        <f t="shared" si="1"/>
        <v>2</v>
      </c>
      <c r="AB23" s="402">
        <f t="shared" si="1"/>
        <v>2</v>
      </c>
      <c r="AC23" s="402">
        <f t="shared" si="1"/>
        <v>2</v>
      </c>
      <c r="AD23" s="402">
        <f t="shared" si="1"/>
        <v>2</v>
      </c>
      <c r="AE23" s="402">
        <f t="shared" si="1"/>
        <v>2</v>
      </c>
      <c r="AF23" s="402">
        <f t="shared" si="1"/>
        <v>2</v>
      </c>
      <c r="AG23" s="402">
        <f t="shared" si="1"/>
        <v>2</v>
      </c>
      <c r="AH23" s="402">
        <f t="shared" si="1"/>
        <v>1</v>
      </c>
      <c r="AI23" s="301">
        <f>COUNTIF(D23:AH23,"X")</f>
        <v>0</v>
      </c>
    </row>
    <row r="24">
      <c r="A24" s="245"/>
      <c r="B24" s="231" t="s">
        <v>435</v>
      </c>
      <c r="C24" s="402">
        <f t="shared" ref="C24:AH24" si="2">COUNTIF((C10:C20),"S")</f>
        <v>0</v>
      </c>
      <c r="D24" s="402">
        <f t="shared" si="2"/>
        <v>2</v>
      </c>
      <c r="E24" s="402">
        <f t="shared" si="2"/>
        <v>3</v>
      </c>
      <c r="F24" s="402">
        <f t="shared" si="2"/>
        <v>3</v>
      </c>
      <c r="G24" s="402">
        <f t="shared" si="2"/>
        <v>3</v>
      </c>
      <c r="H24" s="402">
        <f t="shared" si="2"/>
        <v>3</v>
      </c>
      <c r="I24" s="402">
        <f t="shared" si="2"/>
        <v>2</v>
      </c>
      <c r="J24" s="402">
        <f t="shared" si="2"/>
        <v>2</v>
      </c>
      <c r="K24" s="402">
        <f t="shared" si="2"/>
        <v>2</v>
      </c>
      <c r="L24" s="402">
        <f t="shared" si="2"/>
        <v>2</v>
      </c>
      <c r="M24" s="402">
        <f t="shared" si="2"/>
        <v>2</v>
      </c>
      <c r="N24" s="402">
        <f t="shared" si="2"/>
        <v>2</v>
      </c>
      <c r="O24" s="402">
        <f t="shared" si="2"/>
        <v>2</v>
      </c>
      <c r="P24" s="402">
        <f t="shared" si="2"/>
        <v>2</v>
      </c>
      <c r="Q24" s="402">
        <f t="shared" si="2"/>
        <v>2</v>
      </c>
      <c r="R24" s="402">
        <f t="shared" si="2"/>
        <v>2</v>
      </c>
      <c r="S24" s="402">
        <f t="shared" si="2"/>
        <v>2</v>
      </c>
      <c r="T24" s="402">
        <f t="shared" si="2"/>
        <v>2</v>
      </c>
      <c r="U24" s="402">
        <f t="shared" si="2"/>
        <v>2</v>
      </c>
      <c r="V24" s="402">
        <f t="shared" si="2"/>
        <v>2</v>
      </c>
      <c r="W24" s="402">
        <f t="shared" si="2"/>
        <v>2</v>
      </c>
      <c r="X24" s="402">
        <f t="shared" si="2"/>
        <v>2</v>
      </c>
      <c r="Y24" s="402">
        <f t="shared" si="2"/>
        <v>2</v>
      </c>
      <c r="Z24" s="402">
        <f t="shared" si="2"/>
        <v>2</v>
      </c>
      <c r="AA24" s="402">
        <f t="shared" si="2"/>
        <v>2</v>
      </c>
      <c r="AB24" s="402">
        <f t="shared" si="2"/>
        <v>2</v>
      </c>
      <c r="AC24" s="402">
        <f t="shared" si="2"/>
        <v>2</v>
      </c>
      <c r="AD24" s="402">
        <f t="shared" si="2"/>
        <v>2</v>
      </c>
      <c r="AE24" s="402">
        <f t="shared" si="2"/>
        <v>2</v>
      </c>
      <c r="AF24" s="402">
        <f t="shared" si="2"/>
        <v>2</v>
      </c>
      <c r="AG24" s="402">
        <f t="shared" si="2"/>
        <v>2</v>
      </c>
      <c r="AH24" s="402">
        <f t="shared" si="2"/>
        <v>1</v>
      </c>
      <c r="AI24" s="245"/>
    </row>
    <row r="25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 t="s">
        <v>169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</row>
    <row r="26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</row>
    <row r="27">
      <c r="A27" s="403" t="s">
        <v>436</v>
      </c>
      <c r="B27" s="404"/>
      <c r="C27" s="40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406" t="s">
        <v>437</v>
      </c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8"/>
      <c r="AC27" s="245"/>
      <c r="AD27" s="245"/>
      <c r="AE27" s="245"/>
      <c r="AF27" s="245"/>
      <c r="AG27" s="245"/>
      <c r="AH27" s="245"/>
      <c r="AI27" s="245"/>
    </row>
    <row r="28">
      <c r="A28" s="409" t="s">
        <v>428</v>
      </c>
      <c r="B28" s="410" t="s">
        <v>438</v>
      </c>
      <c r="C28" s="411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3"/>
      <c r="Q28" s="414" t="s">
        <v>439</v>
      </c>
      <c r="R28" s="415"/>
      <c r="S28" s="415"/>
      <c r="T28" s="416"/>
      <c r="U28" s="414" t="s">
        <v>440</v>
      </c>
      <c r="V28" s="415"/>
      <c r="W28" s="415"/>
      <c r="X28" s="416"/>
      <c r="Y28" s="414" t="s">
        <v>431</v>
      </c>
      <c r="Z28" s="415"/>
      <c r="AA28" s="415"/>
      <c r="AB28" s="416"/>
      <c r="AC28" s="245"/>
      <c r="AD28" s="245"/>
      <c r="AE28" s="245"/>
      <c r="AF28" s="245"/>
      <c r="AG28" s="245"/>
      <c r="AH28" s="245"/>
      <c r="AI28" s="245"/>
    </row>
    <row r="29">
      <c r="A29" s="417" t="s">
        <v>429</v>
      </c>
      <c r="B29" s="418" t="s">
        <v>14</v>
      </c>
      <c r="C29" s="411"/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3"/>
      <c r="Q29" s="419"/>
      <c r="T29" s="420"/>
      <c r="U29" s="419"/>
      <c r="X29" s="420"/>
      <c r="Y29" s="419"/>
      <c r="AB29" s="420"/>
      <c r="AC29" s="245"/>
      <c r="AD29" s="245"/>
      <c r="AE29" s="245"/>
      <c r="AF29" s="245"/>
      <c r="AG29" s="245"/>
      <c r="AH29" s="245"/>
      <c r="AI29" s="245"/>
    </row>
    <row r="30">
      <c r="A30" s="421" t="s">
        <v>422</v>
      </c>
      <c r="B30" s="410" t="s">
        <v>441</v>
      </c>
      <c r="C30" s="411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3"/>
      <c r="Q30" s="422"/>
      <c r="R30" s="412"/>
      <c r="S30" s="412"/>
      <c r="T30" s="413"/>
      <c r="U30" s="422"/>
      <c r="V30" s="412"/>
      <c r="W30" s="412"/>
      <c r="X30" s="413"/>
      <c r="Y30" s="422"/>
      <c r="Z30" s="412"/>
      <c r="AA30" s="412"/>
      <c r="AB30" s="413"/>
      <c r="AC30" s="245"/>
      <c r="AD30" s="245"/>
      <c r="AE30" s="245"/>
      <c r="AF30" s="245"/>
      <c r="AG30" s="245"/>
      <c r="AH30" s="245"/>
      <c r="AI30" s="245"/>
    </row>
    <row r="31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</row>
    <row r="32">
      <c r="A32" s="423">
        <v>1.0</v>
      </c>
      <c r="B32" s="424" t="s">
        <v>442</v>
      </c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</row>
    <row r="33">
      <c r="A33" s="423">
        <v>2.0</v>
      </c>
      <c r="B33" s="424" t="s">
        <v>443</v>
      </c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</row>
    <row r="34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</row>
    <row r="35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</row>
    <row r="36">
      <c r="A36" s="425" t="s">
        <v>444</v>
      </c>
      <c r="B36" s="407"/>
      <c r="C36" s="407"/>
      <c r="D36" s="407"/>
      <c r="E36" s="407"/>
      <c r="F36" s="408"/>
      <c r="G36" s="426" t="s">
        <v>445</v>
      </c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8"/>
      <c r="AE36" s="245"/>
      <c r="AF36" s="245"/>
      <c r="AG36" s="245"/>
      <c r="AH36" s="245"/>
      <c r="AI36" s="245"/>
    </row>
    <row r="37">
      <c r="A37" s="429">
        <v>1.0</v>
      </c>
      <c r="B37" s="430" t="s">
        <v>440</v>
      </c>
      <c r="C37" s="431">
        <v>8.9616930217E10</v>
      </c>
      <c r="D37" s="407"/>
      <c r="E37" s="407"/>
      <c r="F37" s="408"/>
      <c r="G37" s="432" t="s">
        <v>446</v>
      </c>
      <c r="H37" s="191"/>
      <c r="I37" s="191"/>
      <c r="J37" s="191"/>
      <c r="K37" s="191"/>
      <c r="L37" s="191"/>
      <c r="M37" s="191"/>
      <c r="N37" s="192"/>
      <c r="O37" s="432" t="s">
        <v>447</v>
      </c>
      <c r="P37" s="191"/>
      <c r="Q37" s="191"/>
      <c r="R37" s="191"/>
      <c r="S37" s="191"/>
      <c r="T37" s="191"/>
      <c r="U37" s="191"/>
      <c r="V37" s="192"/>
      <c r="W37" s="432" t="s">
        <v>448</v>
      </c>
      <c r="X37" s="191"/>
      <c r="Y37" s="191"/>
      <c r="Z37" s="191"/>
      <c r="AA37" s="191"/>
      <c r="AB37" s="191"/>
      <c r="AC37" s="191"/>
      <c r="AD37" s="192"/>
      <c r="AE37" s="245"/>
      <c r="AF37" s="245"/>
      <c r="AG37" s="245"/>
      <c r="AH37" s="245"/>
      <c r="AI37" s="245"/>
    </row>
    <row r="38">
      <c r="A38" s="429">
        <v>2.0</v>
      </c>
      <c r="B38" s="430" t="s">
        <v>431</v>
      </c>
      <c r="C38" s="431">
        <v>8.1332847794E10</v>
      </c>
      <c r="D38" s="407"/>
      <c r="E38" s="407"/>
      <c r="F38" s="408"/>
      <c r="G38" s="433"/>
      <c r="H38" s="195"/>
      <c r="I38" s="195"/>
      <c r="J38" s="195"/>
      <c r="K38" s="195"/>
      <c r="L38" s="195"/>
      <c r="M38" s="195"/>
      <c r="N38" s="196"/>
      <c r="O38" s="433"/>
      <c r="P38" s="195"/>
      <c r="Q38" s="195"/>
      <c r="R38" s="195"/>
      <c r="S38" s="195"/>
      <c r="T38" s="195"/>
      <c r="U38" s="195"/>
      <c r="V38" s="196"/>
      <c r="W38" s="433"/>
      <c r="X38" s="195"/>
      <c r="Y38" s="195"/>
      <c r="Z38" s="195"/>
      <c r="AA38" s="195"/>
      <c r="AB38" s="195"/>
      <c r="AC38" s="195"/>
      <c r="AD38" s="196"/>
      <c r="AE38" s="245"/>
      <c r="AF38" s="245"/>
      <c r="AG38" s="245"/>
      <c r="AH38" s="245"/>
      <c r="AI38" s="245"/>
    </row>
    <row r="39">
      <c r="A39" s="429">
        <v>3.0</v>
      </c>
      <c r="B39" s="430" t="s">
        <v>398</v>
      </c>
      <c r="C39" s="431">
        <v>8.7853055999E10</v>
      </c>
      <c r="D39" s="407"/>
      <c r="E39" s="407"/>
      <c r="F39" s="408"/>
      <c r="G39" s="434"/>
      <c r="N39" s="198"/>
      <c r="O39" s="434"/>
      <c r="V39" s="198"/>
      <c r="W39" s="434"/>
      <c r="AD39" s="198"/>
      <c r="AE39" s="245"/>
      <c r="AF39" s="245"/>
      <c r="AG39" s="245"/>
      <c r="AH39" s="245"/>
      <c r="AI39" s="245"/>
    </row>
    <row r="40">
      <c r="A40" s="435"/>
      <c r="B40" s="436"/>
      <c r="C40" s="411"/>
      <c r="D40" s="412"/>
      <c r="E40" s="412"/>
      <c r="F40" s="413"/>
      <c r="G40" s="434"/>
      <c r="N40" s="198"/>
      <c r="O40" s="434"/>
      <c r="V40" s="198"/>
      <c r="W40" s="434"/>
      <c r="AD40" s="198"/>
      <c r="AE40" s="245"/>
      <c r="AF40" s="245"/>
      <c r="AG40" s="245"/>
      <c r="AH40" s="245"/>
      <c r="AI40" s="245"/>
    </row>
    <row r="41">
      <c r="A41" s="425" t="s">
        <v>449</v>
      </c>
      <c r="B41" s="407"/>
      <c r="C41" s="407"/>
      <c r="D41" s="407"/>
      <c r="E41" s="407"/>
      <c r="F41" s="408"/>
      <c r="G41" s="434"/>
      <c r="N41" s="198"/>
      <c r="O41" s="434"/>
      <c r="V41" s="198"/>
      <c r="W41" s="434"/>
      <c r="AD41" s="198"/>
      <c r="AE41" s="245"/>
      <c r="AF41" s="245"/>
      <c r="AG41" s="245"/>
      <c r="AH41" s="245"/>
      <c r="AI41" s="245"/>
    </row>
    <row r="42">
      <c r="A42" s="429">
        <v>1.0</v>
      </c>
      <c r="B42" s="430" t="s">
        <v>450</v>
      </c>
      <c r="C42" s="437">
        <v>8.133180917E9</v>
      </c>
      <c r="D42" s="415"/>
      <c r="E42" s="415"/>
      <c r="F42" s="438"/>
      <c r="G42" s="434"/>
      <c r="N42" s="198"/>
      <c r="O42" s="434"/>
      <c r="V42" s="198"/>
      <c r="W42" s="434"/>
      <c r="AD42" s="198"/>
      <c r="AE42" s="245"/>
      <c r="AF42" s="245"/>
      <c r="AG42" s="245"/>
      <c r="AH42" s="245"/>
      <c r="AI42" s="245"/>
    </row>
    <row r="43">
      <c r="A43" s="429">
        <v>2.0</v>
      </c>
      <c r="B43" s="439" t="s">
        <v>451</v>
      </c>
      <c r="C43" s="440" t="s">
        <v>452</v>
      </c>
      <c r="D43" s="441"/>
      <c r="E43" s="441"/>
      <c r="F43" s="442"/>
      <c r="G43" s="443"/>
      <c r="H43" s="167"/>
      <c r="I43" s="167"/>
      <c r="J43" s="167"/>
      <c r="K43" s="167"/>
      <c r="L43" s="167"/>
      <c r="M43" s="167"/>
      <c r="N43" s="311"/>
      <c r="O43" s="443"/>
      <c r="P43" s="167"/>
      <c r="Q43" s="167"/>
      <c r="R43" s="167"/>
      <c r="S43" s="167"/>
      <c r="T43" s="167"/>
      <c r="U43" s="167"/>
      <c r="V43" s="311"/>
      <c r="W43" s="443"/>
      <c r="X43" s="167"/>
      <c r="Y43" s="167"/>
      <c r="Z43" s="167"/>
      <c r="AA43" s="167"/>
      <c r="AB43" s="167"/>
      <c r="AC43" s="167"/>
      <c r="AD43" s="311"/>
      <c r="AE43" s="245"/>
      <c r="AF43" s="245"/>
      <c r="AG43" s="245"/>
      <c r="AH43" s="245"/>
      <c r="AI43" s="245"/>
    </row>
    <row r="44">
      <c r="A44" s="435"/>
      <c r="B44" s="436"/>
      <c r="C44" s="411"/>
      <c r="D44" s="412"/>
      <c r="E44" s="412"/>
      <c r="F44" s="413"/>
      <c r="G44" s="432" t="s">
        <v>450</v>
      </c>
      <c r="H44" s="191"/>
      <c r="I44" s="191"/>
      <c r="J44" s="191"/>
      <c r="K44" s="191"/>
      <c r="L44" s="191"/>
      <c r="M44" s="191"/>
      <c r="N44" s="192"/>
      <c r="O44" s="432" t="s">
        <v>451</v>
      </c>
      <c r="P44" s="191"/>
      <c r="Q44" s="191"/>
      <c r="R44" s="191"/>
      <c r="S44" s="191"/>
      <c r="T44" s="191"/>
      <c r="U44" s="191"/>
      <c r="V44" s="192"/>
      <c r="W44" s="432" t="s">
        <v>453</v>
      </c>
      <c r="X44" s="191"/>
      <c r="Y44" s="191"/>
      <c r="Z44" s="191"/>
      <c r="AA44" s="191"/>
      <c r="AB44" s="191"/>
      <c r="AC44" s="191"/>
      <c r="AD44" s="192"/>
      <c r="AE44" s="245"/>
      <c r="AF44" s="245"/>
      <c r="AG44" s="245"/>
      <c r="AH44" s="245"/>
      <c r="AI44" s="245"/>
    </row>
    <row r="45">
      <c r="A45" s="435"/>
      <c r="B45" s="436"/>
      <c r="C45" s="444"/>
      <c r="D45" s="407"/>
      <c r="E45" s="407"/>
      <c r="F45" s="408"/>
      <c r="G45" s="445" t="s">
        <v>454</v>
      </c>
      <c r="H45" s="412"/>
      <c r="I45" s="412"/>
      <c r="J45" s="412"/>
      <c r="K45" s="412"/>
      <c r="L45" s="412"/>
      <c r="M45" s="412"/>
      <c r="N45" s="413"/>
      <c r="O45" s="445" t="s">
        <v>455</v>
      </c>
      <c r="P45" s="412"/>
      <c r="Q45" s="412"/>
      <c r="R45" s="412"/>
      <c r="S45" s="412"/>
      <c r="T45" s="412"/>
      <c r="U45" s="412"/>
      <c r="V45" s="413"/>
      <c r="W45" s="445" t="s">
        <v>456</v>
      </c>
      <c r="X45" s="412"/>
      <c r="Y45" s="412"/>
      <c r="Z45" s="412"/>
      <c r="AA45" s="412"/>
      <c r="AB45" s="412"/>
      <c r="AC45" s="412"/>
      <c r="AD45" s="413"/>
      <c r="AE45" s="245"/>
      <c r="AF45" s="245"/>
      <c r="AG45" s="245"/>
      <c r="AH45" s="245"/>
      <c r="AI45" s="245"/>
    </row>
    <row r="46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</row>
    <row r="47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</row>
    <row r="48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</row>
    <row r="49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</row>
    <row r="50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</row>
    <row r="52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  <c r="AH138" s="245"/>
      <c r="AI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  <c r="AH152" s="245"/>
      <c r="AI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  <c r="AH156" s="245"/>
      <c r="AI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5"/>
      <c r="AI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  <c r="AH160" s="245"/>
      <c r="AI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  <c r="AH162" s="245"/>
      <c r="AI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E166" s="245"/>
      <c r="AF166" s="245"/>
      <c r="AG166" s="245"/>
      <c r="AH166" s="245"/>
      <c r="AI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5"/>
      <c r="AI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5"/>
      <c r="AI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5"/>
      <c r="AI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5"/>
      <c r="AG172" s="245"/>
      <c r="AH172" s="245"/>
      <c r="AI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E174" s="245"/>
      <c r="AF174" s="245"/>
      <c r="AG174" s="245"/>
      <c r="AH174" s="245"/>
      <c r="AI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E176" s="245"/>
      <c r="AF176" s="245"/>
      <c r="AG176" s="245"/>
      <c r="AH176" s="245"/>
      <c r="AI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E180" s="245"/>
      <c r="AF180" s="245"/>
      <c r="AG180" s="245"/>
      <c r="AH180" s="245"/>
      <c r="AI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  <c r="AH182" s="245"/>
      <c r="AI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  <c r="AH184" s="245"/>
      <c r="AI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E186" s="245"/>
      <c r="AF186" s="245"/>
      <c r="AG186" s="245"/>
      <c r="AH186" s="245"/>
      <c r="AI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45"/>
      <c r="AF255" s="245"/>
      <c r="AG255" s="245"/>
      <c r="AH255" s="245"/>
      <c r="AI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45"/>
      <c r="AF256" s="245"/>
      <c r="AG256" s="245"/>
      <c r="AH256" s="245"/>
      <c r="AI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/>
      <c r="AH257" s="245"/>
      <c r="AI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E258" s="245"/>
      <c r="AF258" s="245"/>
      <c r="AG258" s="245"/>
      <c r="AH258" s="245"/>
      <c r="AI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45"/>
      <c r="AF264" s="245"/>
      <c r="AG264" s="245"/>
      <c r="AH264" s="245"/>
      <c r="AI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E269" s="245"/>
      <c r="AF269" s="245"/>
      <c r="AG269" s="245"/>
      <c r="AH269" s="245"/>
      <c r="AI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E301" s="245"/>
      <c r="AF301" s="245"/>
      <c r="AG301" s="245"/>
      <c r="AH301" s="245"/>
      <c r="AI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E302" s="245"/>
      <c r="AF302" s="245"/>
      <c r="AG302" s="245"/>
      <c r="AH302" s="245"/>
      <c r="AI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E303" s="245"/>
      <c r="AF303" s="245"/>
      <c r="AG303" s="245"/>
      <c r="AH303" s="245"/>
      <c r="AI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E304" s="245"/>
      <c r="AF304" s="245"/>
      <c r="AG304" s="245"/>
      <c r="AH304" s="245"/>
      <c r="AI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E305" s="245"/>
      <c r="AF305" s="245"/>
      <c r="AG305" s="245"/>
      <c r="AH305" s="245"/>
      <c r="AI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E306" s="245"/>
      <c r="AF306" s="245"/>
      <c r="AG306" s="245"/>
      <c r="AH306" s="245"/>
      <c r="AI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E307" s="245"/>
      <c r="AF307" s="245"/>
      <c r="AG307" s="245"/>
      <c r="AH307" s="245"/>
      <c r="AI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E308" s="245"/>
      <c r="AF308" s="245"/>
      <c r="AG308" s="245"/>
      <c r="AH308" s="245"/>
      <c r="AI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E309" s="245"/>
      <c r="AF309" s="245"/>
      <c r="AG309" s="245"/>
      <c r="AH309" s="245"/>
      <c r="AI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E310" s="245"/>
      <c r="AF310" s="245"/>
      <c r="AG310" s="245"/>
      <c r="AH310" s="245"/>
      <c r="AI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E311" s="245"/>
      <c r="AF311" s="245"/>
      <c r="AG311" s="245"/>
      <c r="AH311" s="245"/>
      <c r="AI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E312" s="245"/>
      <c r="AF312" s="245"/>
      <c r="AG312" s="245"/>
      <c r="AH312" s="245"/>
      <c r="AI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E313" s="245"/>
      <c r="AF313" s="245"/>
      <c r="AG313" s="245"/>
      <c r="AH313" s="245"/>
      <c r="AI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E314" s="245"/>
      <c r="AF314" s="245"/>
      <c r="AG314" s="245"/>
      <c r="AH314" s="245"/>
      <c r="AI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E315" s="245"/>
      <c r="AF315" s="245"/>
      <c r="AG315" s="245"/>
      <c r="AH315" s="245"/>
      <c r="AI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E316" s="245"/>
      <c r="AF316" s="245"/>
      <c r="AG316" s="245"/>
      <c r="AH316" s="245"/>
      <c r="AI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E317" s="245"/>
      <c r="AF317" s="245"/>
      <c r="AG317" s="245"/>
      <c r="AH317" s="245"/>
      <c r="AI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E318" s="245"/>
      <c r="AF318" s="245"/>
      <c r="AG318" s="245"/>
      <c r="AH318" s="245"/>
      <c r="AI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E319" s="245"/>
      <c r="AF319" s="245"/>
      <c r="AG319" s="245"/>
      <c r="AH319" s="245"/>
      <c r="AI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E320" s="245"/>
      <c r="AF320" s="245"/>
      <c r="AG320" s="245"/>
      <c r="AH320" s="245"/>
      <c r="AI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E322" s="245"/>
      <c r="AF322" s="245"/>
      <c r="AG322" s="245"/>
      <c r="AH322" s="245"/>
      <c r="AI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E323" s="245"/>
      <c r="AF323" s="245"/>
      <c r="AG323" s="245"/>
      <c r="AH323" s="245"/>
      <c r="AI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  <c r="AE324" s="245"/>
      <c r="AF324" s="245"/>
      <c r="AG324" s="245"/>
      <c r="AH324" s="245"/>
      <c r="AI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  <c r="AE325" s="245"/>
      <c r="AF325" s="245"/>
      <c r="AG325" s="245"/>
      <c r="AH325" s="245"/>
      <c r="AI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  <c r="AE326" s="245"/>
      <c r="AF326" s="245"/>
      <c r="AG326" s="245"/>
      <c r="AH326" s="245"/>
      <c r="AI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  <c r="AE327" s="245"/>
      <c r="AF327" s="245"/>
      <c r="AG327" s="245"/>
      <c r="AH327" s="245"/>
      <c r="AI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  <c r="AE328" s="245"/>
      <c r="AF328" s="245"/>
      <c r="AG328" s="245"/>
      <c r="AH328" s="245"/>
      <c r="AI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  <c r="AE329" s="245"/>
      <c r="AF329" s="245"/>
      <c r="AG329" s="245"/>
      <c r="AH329" s="245"/>
      <c r="AI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  <c r="AE331" s="245"/>
      <c r="AF331" s="245"/>
      <c r="AG331" s="245"/>
      <c r="AH331" s="245"/>
      <c r="AI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  <c r="AE332" s="245"/>
      <c r="AF332" s="245"/>
      <c r="AG332" s="245"/>
      <c r="AH332" s="245"/>
      <c r="AI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  <c r="AE333" s="245"/>
      <c r="AF333" s="245"/>
      <c r="AG333" s="245"/>
      <c r="AH333" s="245"/>
      <c r="AI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  <c r="AE334" s="245"/>
      <c r="AF334" s="245"/>
      <c r="AG334" s="245"/>
      <c r="AH334" s="245"/>
      <c r="AI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  <c r="AE335" s="245"/>
      <c r="AF335" s="245"/>
      <c r="AG335" s="245"/>
      <c r="AH335" s="245"/>
      <c r="AI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  <c r="AE336" s="245"/>
      <c r="AF336" s="245"/>
      <c r="AG336" s="245"/>
      <c r="AH336" s="245"/>
      <c r="AI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  <c r="AE337" s="245"/>
      <c r="AF337" s="245"/>
      <c r="AG337" s="245"/>
      <c r="AH337" s="245"/>
      <c r="AI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  <c r="AE338" s="245"/>
      <c r="AF338" s="245"/>
      <c r="AG338" s="245"/>
      <c r="AH338" s="245"/>
      <c r="AI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  <c r="AE339" s="245"/>
      <c r="AF339" s="245"/>
      <c r="AG339" s="245"/>
      <c r="AH339" s="245"/>
      <c r="AI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  <c r="AE340" s="245"/>
      <c r="AF340" s="245"/>
      <c r="AG340" s="245"/>
      <c r="AH340" s="245"/>
      <c r="AI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  <c r="AE341" s="245"/>
      <c r="AF341" s="245"/>
      <c r="AG341" s="245"/>
      <c r="AH341" s="245"/>
      <c r="AI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  <c r="AD342" s="245"/>
      <c r="AE342" s="245"/>
      <c r="AF342" s="245"/>
      <c r="AG342" s="245"/>
      <c r="AH342" s="245"/>
      <c r="AI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  <c r="AD343" s="245"/>
      <c r="AE343" s="245"/>
      <c r="AF343" s="245"/>
      <c r="AG343" s="245"/>
      <c r="AH343" s="245"/>
      <c r="AI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  <c r="AB344" s="245"/>
      <c r="AC344" s="245"/>
      <c r="AD344" s="245"/>
      <c r="AE344" s="245"/>
      <c r="AF344" s="245"/>
      <c r="AG344" s="245"/>
      <c r="AH344" s="245"/>
      <c r="AI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  <c r="AB345" s="245"/>
      <c r="AC345" s="245"/>
      <c r="AD345" s="245"/>
      <c r="AE345" s="245"/>
      <c r="AF345" s="245"/>
      <c r="AG345" s="245"/>
      <c r="AH345" s="245"/>
      <c r="AI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  <c r="AB346" s="245"/>
      <c r="AC346" s="245"/>
      <c r="AD346" s="245"/>
      <c r="AE346" s="245"/>
      <c r="AF346" s="245"/>
      <c r="AG346" s="245"/>
      <c r="AH346" s="245"/>
      <c r="AI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245"/>
      <c r="AC347" s="245"/>
      <c r="AD347" s="245"/>
      <c r="AE347" s="245"/>
      <c r="AF347" s="245"/>
      <c r="AG347" s="245"/>
      <c r="AH347" s="245"/>
      <c r="AI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  <c r="AB348" s="245"/>
      <c r="AC348" s="245"/>
      <c r="AD348" s="245"/>
      <c r="AE348" s="245"/>
      <c r="AF348" s="245"/>
      <c r="AG348" s="245"/>
      <c r="AH348" s="245"/>
      <c r="AI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  <c r="AD349" s="245"/>
      <c r="AE349" s="245"/>
      <c r="AF349" s="245"/>
      <c r="AG349" s="245"/>
      <c r="AH349" s="245"/>
      <c r="AI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  <c r="AB350" s="245"/>
      <c r="AC350" s="245"/>
      <c r="AD350" s="245"/>
      <c r="AE350" s="245"/>
      <c r="AF350" s="245"/>
      <c r="AG350" s="245"/>
      <c r="AH350" s="245"/>
      <c r="AI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  <c r="AB351" s="245"/>
      <c r="AC351" s="245"/>
      <c r="AD351" s="245"/>
      <c r="AE351" s="245"/>
      <c r="AF351" s="245"/>
      <c r="AG351" s="245"/>
      <c r="AH351" s="245"/>
      <c r="AI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  <c r="AB352" s="245"/>
      <c r="AC352" s="245"/>
      <c r="AD352" s="245"/>
      <c r="AE352" s="245"/>
      <c r="AF352" s="245"/>
      <c r="AG352" s="245"/>
      <c r="AH352" s="245"/>
      <c r="AI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  <c r="AB353" s="245"/>
      <c r="AC353" s="245"/>
      <c r="AD353" s="245"/>
      <c r="AE353" s="245"/>
      <c r="AF353" s="245"/>
      <c r="AG353" s="245"/>
      <c r="AH353" s="245"/>
      <c r="AI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  <c r="AB354" s="245"/>
      <c r="AC354" s="245"/>
      <c r="AD354" s="245"/>
      <c r="AE354" s="245"/>
      <c r="AF354" s="245"/>
      <c r="AG354" s="245"/>
      <c r="AH354" s="245"/>
      <c r="AI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  <c r="AB355" s="245"/>
      <c r="AC355" s="245"/>
      <c r="AD355" s="245"/>
      <c r="AE355" s="245"/>
      <c r="AF355" s="245"/>
      <c r="AG355" s="245"/>
      <c r="AH355" s="245"/>
      <c r="AI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  <c r="AB356" s="245"/>
      <c r="AC356" s="245"/>
      <c r="AD356" s="245"/>
      <c r="AE356" s="245"/>
      <c r="AF356" s="245"/>
      <c r="AG356" s="245"/>
      <c r="AH356" s="245"/>
      <c r="AI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  <c r="AB357" s="245"/>
      <c r="AC357" s="245"/>
      <c r="AD357" s="245"/>
      <c r="AE357" s="245"/>
      <c r="AF357" s="245"/>
      <c r="AG357" s="245"/>
      <c r="AH357" s="245"/>
      <c r="AI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  <c r="AE358" s="245"/>
      <c r="AF358" s="245"/>
      <c r="AG358" s="245"/>
      <c r="AH358" s="245"/>
      <c r="AI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  <c r="AB359" s="245"/>
      <c r="AC359" s="245"/>
      <c r="AD359" s="245"/>
      <c r="AE359" s="245"/>
      <c r="AF359" s="245"/>
      <c r="AG359" s="245"/>
      <c r="AH359" s="245"/>
      <c r="AI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  <c r="AB360" s="245"/>
      <c r="AC360" s="245"/>
      <c r="AD360" s="245"/>
      <c r="AE360" s="245"/>
      <c r="AF360" s="245"/>
      <c r="AG360" s="245"/>
      <c r="AH360" s="245"/>
      <c r="AI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  <c r="AB361" s="245"/>
      <c r="AC361" s="245"/>
      <c r="AD361" s="245"/>
      <c r="AE361" s="245"/>
      <c r="AF361" s="245"/>
      <c r="AG361" s="245"/>
      <c r="AH361" s="245"/>
      <c r="AI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  <c r="AB362" s="245"/>
      <c r="AC362" s="245"/>
      <c r="AD362" s="245"/>
      <c r="AE362" s="245"/>
      <c r="AF362" s="245"/>
      <c r="AG362" s="245"/>
      <c r="AH362" s="245"/>
      <c r="AI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  <c r="AB363" s="245"/>
      <c r="AC363" s="245"/>
      <c r="AD363" s="245"/>
      <c r="AE363" s="245"/>
      <c r="AF363" s="245"/>
      <c r="AG363" s="245"/>
      <c r="AH363" s="245"/>
      <c r="AI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  <c r="AB364" s="245"/>
      <c r="AC364" s="245"/>
      <c r="AD364" s="245"/>
      <c r="AE364" s="245"/>
      <c r="AF364" s="245"/>
      <c r="AG364" s="245"/>
      <c r="AH364" s="245"/>
      <c r="AI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  <c r="AD365" s="245"/>
      <c r="AE365" s="245"/>
      <c r="AF365" s="245"/>
      <c r="AG365" s="245"/>
      <c r="AH365" s="245"/>
      <c r="AI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  <c r="AE366" s="245"/>
      <c r="AF366" s="245"/>
      <c r="AG366" s="245"/>
      <c r="AH366" s="245"/>
      <c r="AI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  <c r="AE367" s="245"/>
      <c r="AF367" s="245"/>
      <c r="AG367" s="245"/>
      <c r="AH367" s="245"/>
      <c r="AI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  <c r="AE368" s="245"/>
      <c r="AF368" s="245"/>
      <c r="AG368" s="245"/>
      <c r="AH368" s="245"/>
      <c r="AI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  <c r="AE369" s="245"/>
      <c r="AF369" s="245"/>
      <c r="AG369" s="245"/>
      <c r="AH369" s="245"/>
      <c r="AI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  <c r="AE370" s="245"/>
      <c r="AF370" s="245"/>
      <c r="AG370" s="245"/>
      <c r="AH370" s="245"/>
      <c r="AI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  <c r="AE371" s="245"/>
      <c r="AF371" s="245"/>
      <c r="AG371" s="245"/>
      <c r="AH371" s="245"/>
      <c r="AI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  <c r="AE372" s="245"/>
      <c r="AF372" s="245"/>
      <c r="AG372" s="245"/>
      <c r="AH372" s="245"/>
      <c r="AI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  <c r="AE373" s="245"/>
      <c r="AF373" s="245"/>
      <c r="AG373" s="245"/>
      <c r="AH373" s="245"/>
      <c r="AI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  <c r="AE374" s="245"/>
      <c r="AF374" s="245"/>
      <c r="AG374" s="245"/>
      <c r="AH374" s="245"/>
      <c r="AI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  <c r="AE375" s="245"/>
      <c r="AF375" s="245"/>
      <c r="AG375" s="245"/>
      <c r="AH375" s="245"/>
      <c r="AI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  <c r="AE376" s="245"/>
      <c r="AF376" s="245"/>
      <c r="AG376" s="245"/>
      <c r="AH376" s="245"/>
      <c r="AI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  <c r="AE377" s="245"/>
      <c r="AF377" s="245"/>
      <c r="AG377" s="245"/>
      <c r="AH377" s="245"/>
      <c r="AI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  <c r="AE378" s="245"/>
      <c r="AF378" s="245"/>
      <c r="AG378" s="245"/>
      <c r="AH378" s="245"/>
      <c r="AI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  <c r="AE379" s="245"/>
      <c r="AF379" s="245"/>
      <c r="AG379" s="245"/>
      <c r="AH379" s="245"/>
      <c r="AI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  <c r="AE380" s="245"/>
      <c r="AF380" s="245"/>
      <c r="AG380" s="245"/>
      <c r="AH380" s="245"/>
      <c r="AI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  <c r="AE381" s="245"/>
      <c r="AF381" s="245"/>
      <c r="AG381" s="245"/>
      <c r="AH381" s="245"/>
      <c r="AI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  <c r="AE382" s="245"/>
      <c r="AF382" s="245"/>
      <c r="AG382" s="245"/>
      <c r="AH382" s="245"/>
      <c r="AI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  <c r="AE383" s="245"/>
      <c r="AF383" s="245"/>
      <c r="AG383" s="245"/>
      <c r="AH383" s="245"/>
      <c r="AI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  <c r="AE384" s="245"/>
      <c r="AF384" s="245"/>
      <c r="AG384" s="245"/>
      <c r="AH384" s="245"/>
      <c r="AI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  <c r="AD385" s="245"/>
      <c r="AE385" s="245"/>
      <c r="AF385" s="245"/>
      <c r="AG385" s="245"/>
      <c r="AH385" s="245"/>
      <c r="AI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  <c r="AD386" s="245"/>
      <c r="AE386" s="245"/>
      <c r="AF386" s="245"/>
      <c r="AG386" s="245"/>
      <c r="AH386" s="245"/>
      <c r="AI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  <c r="AD387" s="245"/>
      <c r="AE387" s="245"/>
      <c r="AF387" s="245"/>
      <c r="AG387" s="245"/>
      <c r="AH387" s="245"/>
      <c r="AI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  <c r="AD388" s="245"/>
      <c r="AE388" s="245"/>
      <c r="AF388" s="245"/>
      <c r="AG388" s="245"/>
      <c r="AH388" s="245"/>
      <c r="AI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  <c r="AD389" s="245"/>
      <c r="AE389" s="245"/>
      <c r="AF389" s="245"/>
      <c r="AG389" s="245"/>
      <c r="AH389" s="245"/>
      <c r="AI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  <c r="AD390" s="245"/>
      <c r="AE390" s="245"/>
      <c r="AF390" s="245"/>
      <c r="AG390" s="245"/>
      <c r="AH390" s="245"/>
      <c r="AI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  <c r="AE391" s="245"/>
      <c r="AF391" s="245"/>
      <c r="AG391" s="245"/>
      <c r="AH391" s="245"/>
      <c r="AI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  <c r="AD392" s="245"/>
      <c r="AE392" s="245"/>
      <c r="AF392" s="245"/>
      <c r="AG392" s="245"/>
      <c r="AH392" s="245"/>
      <c r="AI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  <c r="AD393" s="245"/>
      <c r="AE393" s="245"/>
      <c r="AF393" s="245"/>
      <c r="AG393" s="245"/>
      <c r="AH393" s="245"/>
      <c r="AI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  <c r="AD394" s="245"/>
      <c r="AE394" s="245"/>
      <c r="AF394" s="245"/>
      <c r="AG394" s="245"/>
      <c r="AH394" s="245"/>
      <c r="AI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  <c r="AD395" s="245"/>
      <c r="AE395" s="245"/>
      <c r="AF395" s="245"/>
      <c r="AG395" s="245"/>
      <c r="AH395" s="245"/>
      <c r="AI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  <c r="AD396" s="245"/>
      <c r="AE396" s="245"/>
      <c r="AF396" s="245"/>
      <c r="AG396" s="245"/>
      <c r="AH396" s="245"/>
      <c r="AI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  <c r="AE397" s="245"/>
      <c r="AF397" s="245"/>
      <c r="AG397" s="245"/>
      <c r="AH397" s="245"/>
      <c r="AI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  <c r="AD398" s="245"/>
      <c r="AE398" s="245"/>
      <c r="AF398" s="245"/>
      <c r="AG398" s="245"/>
      <c r="AH398" s="245"/>
      <c r="AI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  <c r="AD399" s="245"/>
      <c r="AE399" s="245"/>
      <c r="AF399" s="245"/>
      <c r="AG399" s="245"/>
      <c r="AH399" s="245"/>
      <c r="AI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  <c r="AD400" s="245"/>
      <c r="AE400" s="245"/>
      <c r="AF400" s="245"/>
      <c r="AG400" s="245"/>
      <c r="AH400" s="245"/>
      <c r="AI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  <c r="AD401" s="245"/>
      <c r="AE401" s="245"/>
      <c r="AF401" s="245"/>
      <c r="AG401" s="245"/>
      <c r="AH401" s="245"/>
      <c r="AI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  <c r="AD402" s="245"/>
      <c r="AE402" s="245"/>
      <c r="AF402" s="245"/>
      <c r="AG402" s="245"/>
      <c r="AH402" s="245"/>
      <c r="AI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  <c r="AD403" s="245"/>
      <c r="AE403" s="245"/>
      <c r="AF403" s="245"/>
      <c r="AG403" s="245"/>
      <c r="AH403" s="245"/>
      <c r="AI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  <c r="AD404" s="245"/>
      <c r="AE404" s="245"/>
      <c r="AF404" s="245"/>
      <c r="AG404" s="245"/>
      <c r="AH404" s="245"/>
      <c r="AI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  <c r="AD405" s="245"/>
      <c r="AE405" s="245"/>
      <c r="AF405" s="245"/>
      <c r="AG405" s="245"/>
      <c r="AH405" s="245"/>
      <c r="AI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  <c r="AD406" s="245"/>
      <c r="AE406" s="245"/>
      <c r="AF406" s="245"/>
      <c r="AG406" s="245"/>
      <c r="AH406" s="245"/>
      <c r="AI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  <c r="AD407" s="245"/>
      <c r="AE407" s="245"/>
      <c r="AF407" s="245"/>
      <c r="AG407" s="245"/>
      <c r="AH407" s="245"/>
      <c r="AI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  <c r="AD408" s="245"/>
      <c r="AE408" s="245"/>
      <c r="AF408" s="245"/>
      <c r="AG408" s="245"/>
      <c r="AH408" s="245"/>
      <c r="AI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  <c r="AD409" s="245"/>
      <c r="AE409" s="245"/>
      <c r="AF409" s="245"/>
      <c r="AG409" s="245"/>
      <c r="AH409" s="245"/>
      <c r="AI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  <c r="AD411" s="245"/>
      <c r="AE411" s="245"/>
      <c r="AF411" s="245"/>
      <c r="AG411" s="245"/>
      <c r="AH411" s="245"/>
      <c r="AI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  <c r="AE412" s="245"/>
      <c r="AF412" s="245"/>
      <c r="AG412" s="245"/>
      <c r="AH412" s="245"/>
      <c r="AI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  <c r="AD413" s="245"/>
      <c r="AE413" s="245"/>
      <c r="AF413" s="245"/>
      <c r="AG413" s="245"/>
      <c r="AH413" s="245"/>
      <c r="AI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  <c r="AD414" s="245"/>
      <c r="AE414" s="245"/>
      <c r="AF414" s="245"/>
      <c r="AG414" s="245"/>
      <c r="AH414" s="245"/>
      <c r="AI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245"/>
      <c r="AF415" s="245"/>
      <c r="AG415" s="245"/>
      <c r="AH415" s="245"/>
      <c r="AI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  <c r="AD416" s="245"/>
      <c r="AE416" s="245"/>
      <c r="AF416" s="245"/>
      <c r="AG416" s="245"/>
      <c r="AH416" s="245"/>
      <c r="AI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  <c r="AD417" s="245"/>
      <c r="AE417" s="245"/>
      <c r="AF417" s="245"/>
      <c r="AG417" s="245"/>
      <c r="AH417" s="245"/>
      <c r="AI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  <c r="AD418" s="245"/>
      <c r="AE418" s="245"/>
      <c r="AF418" s="245"/>
      <c r="AG418" s="245"/>
      <c r="AH418" s="245"/>
      <c r="AI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  <c r="AD419" s="245"/>
      <c r="AE419" s="245"/>
      <c r="AF419" s="245"/>
      <c r="AG419" s="245"/>
      <c r="AH419" s="245"/>
      <c r="AI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245"/>
      <c r="AF420" s="245"/>
      <c r="AG420" s="245"/>
      <c r="AH420" s="245"/>
      <c r="AI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  <c r="AD421" s="245"/>
      <c r="AE421" s="245"/>
      <c r="AF421" s="245"/>
      <c r="AG421" s="245"/>
      <c r="AH421" s="245"/>
      <c r="AI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  <c r="AD422" s="245"/>
      <c r="AE422" s="245"/>
      <c r="AF422" s="245"/>
      <c r="AG422" s="245"/>
      <c r="AH422" s="245"/>
      <c r="AI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245"/>
      <c r="AF423" s="245"/>
      <c r="AG423" s="245"/>
      <c r="AH423" s="245"/>
      <c r="AI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  <c r="AD424" s="245"/>
      <c r="AE424" s="245"/>
      <c r="AF424" s="245"/>
      <c r="AG424" s="245"/>
      <c r="AH424" s="245"/>
      <c r="AI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245"/>
      <c r="AF425" s="245"/>
      <c r="AG425" s="245"/>
      <c r="AH425" s="245"/>
      <c r="AI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  <c r="AD426" s="245"/>
      <c r="AE426" s="245"/>
      <c r="AF426" s="245"/>
      <c r="AG426" s="245"/>
      <c r="AH426" s="245"/>
      <c r="AI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  <c r="AD427" s="245"/>
      <c r="AE427" s="245"/>
      <c r="AF427" s="245"/>
      <c r="AG427" s="245"/>
      <c r="AH427" s="245"/>
      <c r="AI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  <c r="AD428" s="245"/>
      <c r="AE428" s="245"/>
      <c r="AF428" s="245"/>
      <c r="AG428" s="245"/>
      <c r="AH428" s="245"/>
      <c r="AI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245"/>
      <c r="AF429" s="245"/>
      <c r="AG429" s="245"/>
      <c r="AH429" s="245"/>
      <c r="AI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  <c r="AB430" s="245"/>
      <c r="AC430" s="245"/>
      <c r="AD430" s="245"/>
      <c r="AE430" s="245"/>
      <c r="AF430" s="245"/>
      <c r="AG430" s="245"/>
      <c r="AH430" s="245"/>
      <c r="AI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  <c r="AB431" s="245"/>
      <c r="AC431" s="245"/>
      <c r="AD431" s="245"/>
      <c r="AE431" s="245"/>
      <c r="AF431" s="245"/>
      <c r="AG431" s="245"/>
      <c r="AH431" s="245"/>
      <c r="AI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  <c r="AB432" s="245"/>
      <c r="AC432" s="245"/>
      <c r="AD432" s="245"/>
      <c r="AE432" s="245"/>
      <c r="AF432" s="245"/>
      <c r="AG432" s="245"/>
      <c r="AH432" s="245"/>
      <c r="AI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  <c r="AD433" s="245"/>
      <c r="AE433" s="245"/>
      <c r="AF433" s="245"/>
      <c r="AG433" s="245"/>
      <c r="AH433" s="245"/>
      <c r="AI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  <c r="AB434" s="245"/>
      <c r="AC434" s="245"/>
      <c r="AD434" s="245"/>
      <c r="AE434" s="245"/>
      <c r="AF434" s="245"/>
      <c r="AG434" s="245"/>
      <c r="AH434" s="245"/>
      <c r="AI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  <c r="AB435" s="245"/>
      <c r="AC435" s="245"/>
      <c r="AD435" s="245"/>
      <c r="AE435" s="245"/>
      <c r="AF435" s="245"/>
      <c r="AG435" s="245"/>
      <c r="AH435" s="245"/>
      <c r="AI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  <c r="AB436" s="245"/>
      <c r="AC436" s="245"/>
      <c r="AD436" s="245"/>
      <c r="AE436" s="245"/>
      <c r="AF436" s="245"/>
      <c r="AG436" s="245"/>
      <c r="AH436" s="245"/>
      <c r="AI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  <c r="AB437" s="245"/>
      <c r="AC437" s="245"/>
      <c r="AD437" s="245"/>
      <c r="AE437" s="245"/>
      <c r="AF437" s="245"/>
      <c r="AG437" s="245"/>
      <c r="AH437" s="245"/>
      <c r="AI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  <c r="AB438" s="245"/>
      <c r="AC438" s="245"/>
      <c r="AD438" s="245"/>
      <c r="AE438" s="245"/>
      <c r="AF438" s="245"/>
      <c r="AG438" s="245"/>
      <c r="AH438" s="245"/>
      <c r="AI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  <c r="AB439" s="245"/>
      <c r="AC439" s="245"/>
      <c r="AD439" s="245"/>
      <c r="AE439" s="245"/>
      <c r="AF439" s="245"/>
      <c r="AG439" s="245"/>
      <c r="AH439" s="245"/>
      <c r="AI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  <c r="AB440" s="245"/>
      <c r="AC440" s="245"/>
      <c r="AD440" s="245"/>
      <c r="AE440" s="245"/>
      <c r="AF440" s="245"/>
      <c r="AG440" s="245"/>
      <c r="AH440" s="245"/>
      <c r="AI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  <c r="AB441" s="245"/>
      <c r="AC441" s="245"/>
      <c r="AD441" s="245"/>
      <c r="AE441" s="245"/>
      <c r="AF441" s="245"/>
      <c r="AG441" s="245"/>
      <c r="AH441" s="245"/>
      <c r="AI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  <c r="AB442" s="245"/>
      <c r="AC442" s="245"/>
      <c r="AD442" s="245"/>
      <c r="AE442" s="245"/>
      <c r="AF442" s="245"/>
      <c r="AG442" s="245"/>
      <c r="AH442" s="245"/>
      <c r="AI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  <c r="AB443" s="245"/>
      <c r="AC443" s="245"/>
      <c r="AD443" s="245"/>
      <c r="AE443" s="245"/>
      <c r="AF443" s="245"/>
      <c r="AG443" s="245"/>
      <c r="AH443" s="245"/>
      <c r="AI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  <c r="AB444" s="245"/>
      <c r="AC444" s="245"/>
      <c r="AD444" s="245"/>
      <c r="AE444" s="245"/>
      <c r="AF444" s="245"/>
      <c r="AG444" s="245"/>
      <c r="AH444" s="245"/>
      <c r="AI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  <c r="AB445" s="245"/>
      <c r="AC445" s="245"/>
      <c r="AD445" s="245"/>
      <c r="AE445" s="245"/>
      <c r="AF445" s="245"/>
      <c r="AG445" s="245"/>
      <c r="AH445" s="245"/>
      <c r="AI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  <c r="AB446" s="245"/>
      <c r="AC446" s="245"/>
      <c r="AD446" s="245"/>
      <c r="AE446" s="245"/>
      <c r="AF446" s="245"/>
      <c r="AG446" s="245"/>
      <c r="AH446" s="245"/>
      <c r="AI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  <c r="AB447" s="245"/>
      <c r="AC447" s="245"/>
      <c r="AD447" s="245"/>
      <c r="AE447" s="245"/>
      <c r="AF447" s="245"/>
      <c r="AG447" s="245"/>
      <c r="AH447" s="245"/>
      <c r="AI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  <c r="AB448" s="245"/>
      <c r="AC448" s="245"/>
      <c r="AD448" s="245"/>
      <c r="AE448" s="245"/>
      <c r="AF448" s="245"/>
      <c r="AG448" s="245"/>
      <c r="AH448" s="245"/>
      <c r="AI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  <c r="AB449" s="245"/>
      <c r="AC449" s="245"/>
      <c r="AD449" s="245"/>
      <c r="AE449" s="245"/>
      <c r="AF449" s="245"/>
      <c r="AG449" s="245"/>
      <c r="AH449" s="245"/>
      <c r="AI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  <c r="AB450" s="245"/>
      <c r="AC450" s="245"/>
      <c r="AD450" s="245"/>
      <c r="AE450" s="245"/>
      <c r="AF450" s="245"/>
      <c r="AG450" s="245"/>
      <c r="AH450" s="245"/>
      <c r="AI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  <c r="AB451" s="245"/>
      <c r="AC451" s="245"/>
      <c r="AD451" s="245"/>
      <c r="AE451" s="245"/>
      <c r="AF451" s="245"/>
      <c r="AG451" s="245"/>
      <c r="AH451" s="245"/>
      <c r="AI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  <c r="AB452" s="245"/>
      <c r="AC452" s="245"/>
      <c r="AD452" s="245"/>
      <c r="AE452" s="245"/>
      <c r="AF452" s="245"/>
      <c r="AG452" s="245"/>
      <c r="AH452" s="245"/>
      <c r="AI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  <c r="AB453" s="245"/>
      <c r="AC453" s="245"/>
      <c r="AD453" s="245"/>
      <c r="AE453" s="245"/>
      <c r="AF453" s="245"/>
      <c r="AG453" s="245"/>
      <c r="AH453" s="245"/>
      <c r="AI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  <c r="AB454" s="245"/>
      <c r="AC454" s="245"/>
      <c r="AD454" s="245"/>
      <c r="AE454" s="245"/>
      <c r="AF454" s="245"/>
      <c r="AG454" s="245"/>
      <c r="AH454" s="245"/>
      <c r="AI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  <c r="AB455" s="245"/>
      <c r="AC455" s="245"/>
      <c r="AD455" s="245"/>
      <c r="AE455" s="245"/>
      <c r="AF455" s="245"/>
      <c r="AG455" s="245"/>
      <c r="AH455" s="245"/>
      <c r="AI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  <c r="AB456" s="245"/>
      <c r="AC456" s="245"/>
      <c r="AD456" s="245"/>
      <c r="AE456" s="245"/>
      <c r="AF456" s="245"/>
      <c r="AG456" s="245"/>
      <c r="AH456" s="245"/>
      <c r="AI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  <c r="AB457" s="245"/>
      <c r="AC457" s="245"/>
      <c r="AD457" s="245"/>
      <c r="AE457" s="245"/>
      <c r="AF457" s="245"/>
      <c r="AG457" s="245"/>
      <c r="AH457" s="245"/>
      <c r="AI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  <c r="AB458" s="245"/>
      <c r="AC458" s="245"/>
      <c r="AD458" s="245"/>
      <c r="AE458" s="245"/>
      <c r="AF458" s="245"/>
      <c r="AG458" s="245"/>
      <c r="AH458" s="245"/>
      <c r="AI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  <c r="AB459" s="245"/>
      <c r="AC459" s="245"/>
      <c r="AD459" s="245"/>
      <c r="AE459" s="245"/>
      <c r="AF459" s="245"/>
      <c r="AG459" s="245"/>
      <c r="AH459" s="245"/>
      <c r="AI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  <c r="AB460" s="245"/>
      <c r="AC460" s="245"/>
      <c r="AD460" s="245"/>
      <c r="AE460" s="245"/>
      <c r="AF460" s="245"/>
      <c r="AG460" s="245"/>
      <c r="AH460" s="245"/>
      <c r="AI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  <c r="AB461" s="245"/>
      <c r="AC461" s="245"/>
      <c r="AD461" s="245"/>
      <c r="AE461" s="245"/>
      <c r="AF461" s="245"/>
      <c r="AG461" s="245"/>
      <c r="AH461" s="245"/>
      <c r="AI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  <c r="AB462" s="245"/>
      <c r="AC462" s="245"/>
      <c r="AD462" s="245"/>
      <c r="AE462" s="245"/>
      <c r="AF462" s="245"/>
      <c r="AG462" s="245"/>
      <c r="AH462" s="245"/>
      <c r="AI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  <c r="AD463" s="245"/>
      <c r="AE463" s="245"/>
      <c r="AF463" s="245"/>
      <c r="AG463" s="245"/>
      <c r="AH463" s="245"/>
      <c r="AI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  <c r="AB464" s="245"/>
      <c r="AC464" s="245"/>
      <c r="AD464" s="245"/>
      <c r="AE464" s="245"/>
      <c r="AF464" s="245"/>
      <c r="AG464" s="245"/>
      <c r="AH464" s="245"/>
      <c r="AI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  <c r="AB465" s="245"/>
      <c r="AC465" s="245"/>
      <c r="AD465" s="245"/>
      <c r="AE465" s="245"/>
      <c r="AF465" s="245"/>
      <c r="AG465" s="245"/>
      <c r="AH465" s="245"/>
      <c r="AI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  <c r="AB466" s="245"/>
      <c r="AC466" s="245"/>
      <c r="AD466" s="245"/>
      <c r="AE466" s="245"/>
      <c r="AF466" s="245"/>
      <c r="AG466" s="245"/>
      <c r="AH466" s="245"/>
      <c r="AI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  <c r="AB467" s="245"/>
      <c r="AC467" s="245"/>
      <c r="AD467" s="245"/>
      <c r="AE467" s="245"/>
      <c r="AF467" s="245"/>
      <c r="AG467" s="245"/>
      <c r="AH467" s="245"/>
      <c r="AI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  <c r="AB468" s="245"/>
      <c r="AC468" s="245"/>
      <c r="AD468" s="245"/>
      <c r="AE468" s="245"/>
      <c r="AF468" s="245"/>
      <c r="AG468" s="245"/>
      <c r="AH468" s="245"/>
      <c r="AI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  <c r="AB469" s="245"/>
      <c r="AC469" s="245"/>
      <c r="AD469" s="245"/>
      <c r="AE469" s="245"/>
      <c r="AF469" s="245"/>
      <c r="AG469" s="245"/>
      <c r="AH469" s="245"/>
      <c r="AI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  <c r="AB470" s="245"/>
      <c r="AC470" s="245"/>
      <c r="AD470" s="245"/>
      <c r="AE470" s="245"/>
      <c r="AF470" s="245"/>
      <c r="AG470" s="245"/>
      <c r="AH470" s="245"/>
      <c r="AI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  <c r="AB471" s="245"/>
      <c r="AC471" s="245"/>
      <c r="AD471" s="245"/>
      <c r="AE471" s="245"/>
      <c r="AF471" s="245"/>
      <c r="AG471" s="245"/>
      <c r="AH471" s="245"/>
      <c r="AI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  <c r="AB472" s="245"/>
      <c r="AC472" s="245"/>
      <c r="AD472" s="245"/>
      <c r="AE472" s="245"/>
      <c r="AF472" s="245"/>
      <c r="AG472" s="245"/>
      <c r="AH472" s="245"/>
      <c r="AI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  <c r="AB473" s="245"/>
      <c r="AC473" s="245"/>
      <c r="AD473" s="245"/>
      <c r="AE473" s="245"/>
      <c r="AF473" s="245"/>
      <c r="AG473" s="245"/>
      <c r="AH473" s="245"/>
      <c r="AI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  <c r="AB474" s="245"/>
      <c r="AC474" s="245"/>
      <c r="AD474" s="245"/>
      <c r="AE474" s="245"/>
      <c r="AF474" s="245"/>
      <c r="AG474" s="245"/>
      <c r="AH474" s="245"/>
      <c r="AI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  <c r="AB475" s="245"/>
      <c r="AC475" s="245"/>
      <c r="AD475" s="245"/>
      <c r="AE475" s="245"/>
      <c r="AF475" s="245"/>
      <c r="AG475" s="245"/>
      <c r="AH475" s="245"/>
      <c r="AI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  <c r="AB476" s="245"/>
      <c r="AC476" s="245"/>
      <c r="AD476" s="245"/>
      <c r="AE476" s="245"/>
      <c r="AF476" s="245"/>
      <c r="AG476" s="245"/>
      <c r="AH476" s="245"/>
      <c r="AI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  <c r="AB477" s="245"/>
      <c r="AC477" s="245"/>
      <c r="AD477" s="245"/>
      <c r="AE477" s="245"/>
      <c r="AF477" s="245"/>
      <c r="AG477" s="245"/>
      <c r="AH477" s="245"/>
      <c r="AI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  <c r="AB478" s="245"/>
      <c r="AC478" s="245"/>
      <c r="AD478" s="245"/>
      <c r="AE478" s="245"/>
      <c r="AF478" s="245"/>
      <c r="AG478" s="245"/>
      <c r="AH478" s="245"/>
      <c r="AI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  <c r="AB479" s="245"/>
      <c r="AC479" s="245"/>
      <c r="AD479" s="245"/>
      <c r="AE479" s="245"/>
      <c r="AF479" s="245"/>
      <c r="AG479" s="245"/>
      <c r="AH479" s="245"/>
      <c r="AI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  <c r="AB480" s="245"/>
      <c r="AC480" s="245"/>
      <c r="AD480" s="245"/>
      <c r="AE480" s="245"/>
      <c r="AF480" s="245"/>
      <c r="AG480" s="245"/>
      <c r="AH480" s="245"/>
      <c r="AI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  <c r="AB481" s="245"/>
      <c r="AC481" s="245"/>
      <c r="AD481" s="245"/>
      <c r="AE481" s="245"/>
      <c r="AF481" s="245"/>
      <c r="AG481" s="245"/>
      <c r="AH481" s="245"/>
      <c r="AI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  <c r="AB482" s="245"/>
      <c r="AC482" s="245"/>
      <c r="AD482" s="245"/>
      <c r="AE482" s="245"/>
      <c r="AF482" s="245"/>
      <c r="AG482" s="245"/>
      <c r="AH482" s="245"/>
      <c r="AI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  <c r="AB483" s="245"/>
      <c r="AC483" s="245"/>
      <c r="AD483" s="245"/>
      <c r="AE483" s="245"/>
      <c r="AF483" s="245"/>
      <c r="AG483" s="245"/>
      <c r="AH483" s="245"/>
      <c r="AI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  <c r="AB484" s="245"/>
      <c r="AC484" s="245"/>
      <c r="AD484" s="245"/>
      <c r="AE484" s="245"/>
      <c r="AF484" s="245"/>
      <c r="AG484" s="245"/>
      <c r="AH484" s="245"/>
      <c r="AI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  <c r="AB485" s="245"/>
      <c r="AC485" s="245"/>
      <c r="AD485" s="245"/>
      <c r="AE485" s="245"/>
      <c r="AF485" s="245"/>
      <c r="AG485" s="245"/>
      <c r="AH485" s="245"/>
      <c r="AI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  <c r="AB486" s="245"/>
      <c r="AC486" s="245"/>
      <c r="AD486" s="245"/>
      <c r="AE486" s="245"/>
      <c r="AF486" s="245"/>
      <c r="AG486" s="245"/>
      <c r="AH486" s="245"/>
      <c r="AI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  <c r="AB487" s="245"/>
      <c r="AC487" s="245"/>
      <c r="AD487" s="245"/>
      <c r="AE487" s="245"/>
      <c r="AF487" s="245"/>
      <c r="AG487" s="245"/>
      <c r="AH487" s="245"/>
      <c r="AI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  <c r="AB488" s="245"/>
      <c r="AC488" s="245"/>
      <c r="AD488" s="245"/>
      <c r="AE488" s="245"/>
      <c r="AF488" s="245"/>
      <c r="AG488" s="245"/>
      <c r="AH488" s="245"/>
      <c r="AI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  <c r="AB489" s="245"/>
      <c r="AC489" s="245"/>
      <c r="AD489" s="245"/>
      <c r="AE489" s="245"/>
      <c r="AF489" s="245"/>
      <c r="AG489" s="245"/>
      <c r="AH489" s="245"/>
      <c r="AI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  <c r="AB490" s="245"/>
      <c r="AC490" s="245"/>
      <c r="AD490" s="245"/>
      <c r="AE490" s="245"/>
      <c r="AF490" s="245"/>
      <c r="AG490" s="245"/>
      <c r="AH490" s="245"/>
      <c r="AI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  <c r="AB491" s="245"/>
      <c r="AC491" s="245"/>
      <c r="AD491" s="245"/>
      <c r="AE491" s="245"/>
      <c r="AF491" s="245"/>
      <c r="AG491" s="245"/>
      <c r="AH491" s="245"/>
      <c r="AI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  <c r="AB492" s="245"/>
      <c r="AC492" s="245"/>
      <c r="AD492" s="245"/>
      <c r="AE492" s="245"/>
      <c r="AF492" s="245"/>
      <c r="AG492" s="245"/>
      <c r="AH492" s="245"/>
      <c r="AI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  <c r="AB493" s="245"/>
      <c r="AC493" s="245"/>
      <c r="AD493" s="245"/>
      <c r="AE493" s="245"/>
      <c r="AF493" s="245"/>
      <c r="AG493" s="245"/>
      <c r="AH493" s="245"/>
      <c r="AI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  <c r="AB494" s="245"/>
      <c r="AC494" s="245"/>
      <c r="AD494" s="245"/>
      <c r="AE494" s="245"/>
      <c r="AF494" s="245"/>
      <c r="AG494" s="245"/>
      <c r="AH494" s="245"/>
      <c r="AI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  <c r="AB495" s="245"/>
      <c r="AC495" s="245"/>
      <c r="AD495" s="245"/>
      <c r="AE495" s="245"/>
      <c r="AF495" s="245"/>
      <c r="AG495" s="245"/>
      <c r="AH495" s="245"/>
      <c r="AI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  <c r="AB496" s="245"/>
      <c r="AC496" s="245"/>
      <c r="AD496" s="245"/>
      <c r="AE496" s="245"/>
      <c r="AF496" s="245"/>
      <c r="AG496" s="245"/>
      <c r="AH496" s="245"/>
      <c r="AI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  <c r="AB497" s="245"/>
      <c r="AC497" s="245"/>
      <c r="AD497" s="245"/>
      <c r="AE497" s="245"/>
      <c r="AF497" s="245"/>
      <c r="AG497" s="245"/>
      <c r="AH497" s="245"/>
      <c r="AI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  <c r="AB498" s="245"/>
      <c r="AC498" s="245"/>
      <c r="AD498" s="245"/>
      <c r="AE498" s="245"/>
      <c r="AF498" s="245"/>
      <c r="AG498" s="245"/>
      <c r="AH498" s="245"/>
      <c r="AI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  <c r="AB499" s="245"/>
      <c r="AC499" s="245"/>
      <c r="AD499" s="245"/>
      <c r="AE499" s="245"/>
      <c r="AF499" s="245"/>
      <c r="AG499" s="245"/>
      <c r="AH499" s="245"/>
      <c r="AI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  <c r="AB500" s="245"/>
      <c r="AC500" s="245"/>
      <c r="AD500" s="245"/>
      <c r="AE500" s="245"/>
      <c r="AF500" s="245"/>
      <c r="AG500" s="245"/>
      <c r="AH500" s="245"/>
      <c r="AI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  <c r="AB501" s="245"/>
      <c r="AC501" s="245"/>
      <c r="AD501" s="245"/>
      <c r="AE501" s="245"/>
      <c r="AF501" s="245"/>
      <c r="AG501" s="245"/>
      <c r="AH501" s="245"/>
      <c r="AI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  <c r="AB502" s="245"/>
      <c r="AC502" s="245"/>
      <c r="AD502" s="245"/>
      <c r="AE502" s="245"/>
      <c r="AF502" s="245"/>
      <c r="AG502" s="245"/>
      <c r="AH502" s="245"/>
      <c r="AI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  <c r="AB503" s="245"/>
      <c r="AC503" s="245"/>
      <c r="AD503" s="245"/>
      <c r="AE503" s="245"/>
      <c r="AF503" s="245"/>
      <c r="AG503" s="245"/>
      <c r="AH503" s="245"/>
      <c r="AI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  <c r="AB504" s="245"/>
      <c r="AC504" s="245"/>
      <c r="AD504" s="245"/>
      <c r="AE504" s="245"/>
      <c r="AF504" s="245"/>
      <c r="AG504" s="245"/>
      <c r="AH504" s="245"/>
      <c r="AI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  <c r="AB505" s="245"/>
      <c r="AC505" s="245"/>
      <c r="AD505" s="245"/>
      <c r="AE505" s="245"/>
      <c r="AF505" s="245"/>
      <c r="AG505" s="245"/>
      <c r="AH505" s="245"/>
      <c r="AI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  <c r="AB506" s="245"/>
      <c r="AC506" s="245"/>
      <c r="AD506" s="245"/>
      <c r="AE506" s="245"/>
      <c r="AF506" s="245"/>
      <c r="AG506" s="245"/>
      <c r="AH506" s="245"/>
      <c r="AI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  <c r="AB507" s="245"/>
      <c r="AC507" s="245"/>
      <c r="AD507" s="245"/>
      <c r="AE507" s="245"/>
      <c r="AF507" s="245"/>
      <c r="AG507" s="245"/>
      <c r="AH507" s="245"/>
      <c r="AI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  <c r="AB508" s="245"/>
      <c r="AC508" s="245"/>
      <c r="AD508" s="245"/>
      <c r="AE508" s="245"/>
      <c r="AF508" s="245"/>
      <c r="AG508" s="245"/>
      <c r="AH508" s="245"/>
      <c r="AI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  <c r="AB509" s="245"/>
      <c r="AC509" s="245"/>
      <c r="AD509" s="245"/>
      <c r="AE509" s="245"/>
      <c r="AF509" s="245"/>
      <c r="AG509" s="245"/>
      <c r="AH509" s="245"/>
      <c r="AI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  <c r="AB510" s="245"/>
      <c r="AC510" s="245"/>
      <c r="AD510" s="245"/>
      <c r="AE510" s="245"/>
      <c r="AF510" s="245"/>
      <c r="AG510" s="245"/>
      <c r="AH510" s="245"/>
      <c r="AI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  <c r="AE511" s="245"/>
      <c r="AF511" s="245"/>
      <c r="AG511" s="245"/>
      <c r="AH511" s="245"/>
      <c r="AI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  <c r="AB512" s="245"/>
      <c r="AC512" s="245"/>
      <c r="AD512" s="245"/>
      <c r="AE512" s="245"/>
      <c r="AF512" s="245"/>
      <c r="AG512" s="245"/>
      <c r="AH512" s="245"/>
      <c r="AI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  <c r="AB513" s="245"/>
      <c r="AC513" s="245"/>
      <c r="AD513" s="245"/>
      <c r="AE513" s="245"/>
      <c r="AF513" s="245"/>
      <c r="AG513" s="245"/>
      <c r="AH513" s="245"/>
      <c r="AI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  <c r="AB514" s="245"/>
      <c r="AC514" s="245"/>
      <c r="AD514" s="245"/>
      <c r="AE514" s="245"/>
      <c r="AF514" s="245"/>
      <c r="AG514" s="245"/>
      <c r="AH514" s="245"/>
      <c r="AI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  <c r="AB515" s="245"/>
      <c r="AC515" s="245"/>
      <c r="AD515" s="245"/>
      <c r="AE515" s="245"/>
      <c r="AF515" s="245"/>
      <c r="AG515" s="245"/>
      <c r="AH515" s="245"/>
      <c r="AI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  <c r="AB516" s="245"/>
      <c r="AC516" s="245"/>
      <c r="AD516" s="245"/>
      <c r="AE516" s="245"/>
      <c r="AF516" s="245"/>
      <c r="AG516" s="245"/>
      <c r="AH516" s="245"/>
      <c r="AI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  <c r="AB517" s="245"/>
      <c r="AC517" s="245"/>
      <c r="AD517" s="245"/>
      <c r="AE517" s="245"/>
      <c r="AF517" s="245"/>
      <c r="AG517" s="245"/>
      <c r="AH517" s="245"/>
      <c r="AI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  <c r="AB518" s="245"/>
      <c r="AC518" s="245"/>
      <c r="AD518" s="245"/>
      <c r="AE518" s="245"/>
      <c r="AF518" s="245"/>
      <c r="AG518" s="245"/>
      <c r="AH518" s="245"/>
      <c r="AI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  <c r="AB519" s="245"/>
      <c r="AC519" s="245"/>
      <c r="AD519" s="245"/>
      <c r="AE519" s="245"/>
      <c r="AF519" s="245"/>
      <c r="AG519" s="245"/>
      <c r="AH519" s="245"/>
      <c r="AI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  <c r="AB520" s="245"/>
      <c r="AC520" s="245"/>
      <c r="AD520" s="245"/>
      <c r="AE520" s="245"/>
      <c r="AF520" s="245"/>
      <c r="AG520" s="245"/>
      <c r="AH520" s="245"/>
      <c r="AI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  <c r="AB521" s="245"/>
      <c r="AC521" s="245"/>
      <c r="AD521" s="245"/>
      <c r="AE521" s="245"/>
      <c r="AF521" s="245"/>
      <c r="AG521" s="245"/>
      <c r="AH521" s="245"/>
      <c r="AI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  <c r="AB522" s="245"/>
      <c r="AC522" s="245"/>
      <c r="AD522" s="245"/>
      <c r="AE522" s="245"/>
      <c r="AF522" s="245"/>
      <c r="AG522" s="245"/>
      <c r="AH522" s="245"/>
      <c r="AI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  <c r="AB523" s="245"/>
      <c r="AC523" s="245"/>
      <c r="AD523" s="245"/>
      <c r="AE523" s="245"/>
      <c r="AF523" s="245"/>
      <c r="AG523" s="245"/>
      <c r="AH523" s="245"/>
      <c r="AI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  <c r="AB524" s="245"/>
      <c r="AC524" s="245"/>
      <c r="AD524" s="245"/>
      <c r="AE524" s="245"/>
      <c r="AF524" s="245"/>
      <c r="AG524" s="245"/>
      <c r="AH524" s="245"/>
      <c r="AI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  <c r="AB525" s="245"/>
      <c r="AC525" s="245"/>
      <c r="AD525" s="245"/>
      <c r="AE525" s="245"/>
      <c r="AF525" s="245"/>
      <c r="AG525" s="245"/>
      <c r="AH525" s="245"/>
      <c r="AI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  <c r="AB526" s="245"/>
      <c r="AC526" s="245"/>
      <c r="AD526" s="245"/>
      <c r="AE526" s="245"/>
      <c r="AF526" s="245"/>
      <c r="AG526" s="245"/>
      <c r="AH526" s="245"/>
      <c r="AI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  <c r="AB527" s="245"/>
      <c r="AC527" s="245"/>
      <c r="AD527" s="245"/>
      <c r="AE527" s="245"/>
      <c r="AF527" s="245"/>
      <c r="AG527" s="245"/>
      <c r="AH527" s="245"/>
      <c r="AI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  <c r="AB528" s="245"/>
      <c r="AC528" s="245"/>
      <c r="AD528" s="245"/>
      <c r="AE528" s="245"/>
      <c r="AF528" s="245"/>
      <c r="AG528" s="245"/>
      <c r="AH528" s="245"/>
      <c r="AI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  <c r="AB529" s="245"/>
      <c r="AC529" s="245"/>
      <c r="AD529" s="245"/>
      <c r="AE529" s="245"/>
      <c r="AF529" s="245"/>
      <c r="AG529" s="245"/>
      <c r="AH529" s="245"/>
      <c r="AI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  <c r="AB530" s="245"/>
      <c r="AC530" s="245"/>
      <c r="AD530" s="245"/>
      <c r="AE530" s="245"/>
      <c r="AF530" s="245"/>
      <c r="AG530" s="245"/>
      <c r="AH530" s="245"/>
      <c r="AI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  <c r="AB531" s="245"/>
      <c r="AC531" s="245"/>
      <c r="AD531" s="245"/>
      <c r="AE531" s="245"/>
      <c r="AF531" s="245"/>
      <c r="AG531" s="245"/>
      <c r="AH531" s="245"/>
      <c r="AI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  <c r="AB532" s="245"/>
      <c r="AC532" s="245"/>
      <c r="AD532" s="245"/>
      <c r="AE532" s="245"/>
      <c r="AF532" s="245"/>
      <c r="AG532" s="245"/>
      <c r="AH532" s="245"/>
      <c r="AI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  <c r="AB533" s="245"/>
      <c r="AC533" s="245"/>
      <c r="AD533" s="245"/>
      <c r="AE533" s="245"/>
      <c r="AF533" s="245"/>
      <c r="AG533" s="245"/>
      <c r="AH533" s="245"/>
      <c r="AI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  <c r="AB534" s="245"/>
      <c r="AC534" s="245"/>
      <c r="AD534" s="245"/>
      <c r="AE534" s="245"/>
      <c r="AF534" s="245"/>
      <c r="AG534" s="245"/>
      <c r="AH534" s="245"/>
      <c r="AI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  <c r="AB535" s="245"/>
      <c r="AC535" s="245"/>
      <c r="AD535" s="245"/>
      <c r="AE535" s="245"/>
      <c r="AF535" s="245"/>
      <c r="AG535" s="245"/>
      <c r="AH535" s="245"/>
      <c r="AI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  <c r="AB536" s="245"/>
      <c r="AC536" s="245"/>
      <c r="AD536" s="245"/>
      <c r="AE536" s="245"/>
      <c r="AF536" s="245"/>
      <c r="AG536" s="245"/>
      <c r="AH536" s="245"/>
      <c r="AI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  <c r="AB537" s="245"/>
      <c r="AC537" s="245"/>
      <c r="AD537" s="245"/>
      <c r="AE537" s="245"/>
      <c r="AF537" s="245"/>
      <c r="AG537" s="245"/>
      <c r="AH537" s="245"/>
      <c r="AI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  <c r="AB538" s="245"/>
      <c r="AC538" s="245"/>
      <c r="AD538" s="245"/>
      <c r="AE538" s="245"/>
      <c r="AF538" s="245"/>
      <c r="AG538" s="245"/>
      <c r="AH538" s="245"/>
      <c r="AI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  <c r="AB539" s="245"/>
      <c r="AC539" s="245"/>
      <c r="AD539" s="245"/>
      <c r="AE539" s="245"/>
      <c r="AF539" s="245"/>
      <c r="AG539" s="245"/>
      <c r="AH539" s="245"/>
      <c r="AI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  <c r="AB540" s="245"/>
      <c r="AC540" s="245"/>
      <c r="AD540" s="245"/>
      <c r="AE540" s="245"/>
      <c r="AF540" s="245"/>
      <c r="AG540" s="245"/>
      <c r="AH540" s="245"/>
      <c r="AI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  <c r="AB541" s="245"/>
      <c r="AC541" s="245"/>
      <c r="AD541" s="245"/>
      <c r="AE541" s="245"/>
      <c r="AF541" s="245"/>
      <c r="AG541" s="245"/>
      <c r="AH541" s="245"/>
      <c r="AI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  <c r="AB542" s="245"/>
      <c r="AC542" s="245"/>
      <c r="AD542" s="245"/>
      <c r="AE542" s="245"/>
      <c r="AF542" s="245"/>
      <c r="AG542" s="245"/>
      <c r="AH542" s="245"/>
      <c r="AI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  <c r="AB543" s="245"/>
      <c r="AC543" s="245"/>
      <c r="AD543" s="245"/>
      <c r="AE543" s="245"/>
      <c r="AF543" s="245"/>
      <c r="AG543" s="245"/>
      <c r="AH543" s="245"/>
      <c r="AI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  <c r="AB544" s="245"/>
      <c r="AC544" s="245"/>
      <c r="AD544" s="245"/>
      <c r="AE544" s="245"/>
      <c r="AF544" s="245"/>
      <c r="AG544" s="245"/>
      <c r="AH544" s="245"/>
      <c r="AI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  <c r="AB545" s="245"/>
      <c r="AC545" s="245"/>
      <c r="AD545" s="245"/>
      <c r="AE545" s="245"/>
      <c r="AF545" s="245"/>
      <c r="AG545" s="245"/>
      <c r="AH545" s="245"/>
      <c r="AI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  <c r="AB546" s="245"/>
      <c r="AC546" s="245"/>
      <c r="AD546" s="245"/>
      <c r="AE546" s="245"/>
      <c r="AF546" s="245"/>
      <c r="AG546" s="245"/>
      <c r="AH546" s="245"/>
      <c r="AI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  <c r="AB547" s="245"/>
      <c r="AC547" s="245"/>
      <c r="AD547" s="245"/>
      <c r="AE547" s="245"/>
      <c r="AF547" s="245"/>
      <c r="AG547" s="245"/>
      <c r="AH547" s="245"/>
      <c r="AI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  <c r="AD548" s="245"/>
      <c r="AE548" s="245"/>
      <c r="AF548" s="245"/>
      <c r="AG548" s="245"/>
      <c r="AH548" s="245"/>
      <c r="AI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  <c r="AB549" s="245"/>
      <c r="AC549" s="245"/>
      <c r="AD549" s="245"/>
      <c r="AE549" s="245"/>
      <c r="AF549" s="245"/>
      <c r="AG549" s="245"/>
      <c r="AH549" s="245"/>
      <c r="AI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  <c r="AB550" s="245"/>
      <c r="AC550" s="245"/>
      <c r="AD550" s="245"/>
      <c r="AE550" s="245"/>
      <c r="AF550" s="245"/>
      <c r="AG550" s="245"/>
      <c r="AH550" s="245"/>
      <c r="AI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  <c r="AB551" s="245"/>
      <c r="AC551" s="245"/>
      <c r="AD551" s="245"/>
      <c r="AE551" s="245"/>
      <c r="AF551" s="245"/>
      <c r="AG551" s="245"/>
      <c r="AH551" s="245"/>
      <c r="AI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  <c r="AB552" s="245"/>
      <c r="AC552" s="245"/>
      <c r="AD552" s="245"/>
      <c r="AE552" s="245"/>
      <c r="AF552" s="245"/>
      <c r="AG552" s="245"/>
      <c r="AH552" s="245"/>
      <c r="AI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  <c r="AB553" s="245"/>
      <c r="AC553" s="245"/>
      <c r="AD553" s="245"/>
      <c r="AE553" s="245"/>
      <c r="AF553" s="245"/>
      <c r="AG553" s="245"/>
      <c r="AH553" s="245"/>
      <c r="AI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  <c r="AB554" s="245"/>
      <c r="AC554" s="245"/>
      <c r="AD554" s="245"/>
      <c r="AE554" s="245"/>
      <c r="AF554" s="245"/>
      <c r="AG554" s="245"/>
      <c r="AH554" s="245"/>
      <c r="AI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  <c r="AB555" s="245"/>
      <c r="AC555" s="245"/>
      <c r="AD555" s="245"/>
      <c r="AE555" s="245"/>
      <c r="AF555" s="245"/>
      <c r="AG555" s="245"/>
      <c r="AH555" s="245"/>
      <c r="AI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  <c r="AB556" s="245"/>
      <c r="AC556" s="245"/>
      <c r="AD556" s="245"/>
      <c r="AE556" s="245"/>
      <c r="AF556" s="245"/>
      <c r="AG556" s="245"/>
      <c r="AH556" s="245"/>
      <c r="AI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  <c r="AB557" s="245"/>
      <c r="AC557" s="245"/>
      <c r="AD557" s="245"/>
      <c r="AE557" s="245"/>
      <c r="AF557" s="245"/>
      <c r="AG557" s="245"/>
      <c r="AH557" s="245"/>
      <c r="AI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  <c r="AB558" s="245"/>
      <c r="AC558" s="245"/>
      <c r="AD558" s="245"/>
      <c r="AE558" s="245"/>
      <c r="AF558" s="245"/>
      <c r="AG558" s="245"/>
      <c r="AH558" s="245"/>
      <c r="AI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  <c r="AB559" s="245"/>
      <c r="AC559" s="245"/>
      <c r="AD559" s="245"/>
      <c r="AE559" s="245"/>
      <c r="AF559" s="245"/>
      <c r="AG559" s="245"/>
      <c r="AH559" s="245"/>
      <c r="AI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  <c r="AB560" s="245"/>
      <c r="AC560" s="245"/>
      <c r="AD560" s="245"/>
      <c r="AE560" s="245"/>
      <c r="AF560" s="245"/>
      <c r="AG560" s="245"/>
      <c r="AH560" s="245"/>
      <c r="AI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  <c r="AB561" s="245"/>
      <c r="AC561" s="245"/>
      <c r="AD561" s="245"/>
      <c r="AE561" s="245"/>
      <c r="AF561" s="245"/>
      <c r="AG561" s="245"/>
      <c r="AH561" s="245"/>
      <c r="AI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  <c r="AB562" s="245"/>
      <c r="AC562" s="245"/>
      <c r="AD562" s="245"/>
      <c r="AE562" s="245"/>
      <c r="AF562" s="245"/>
      <c r="AG562" s="245"/>
      <c r="AH562" s="245"/>
      <c r="AI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  <c r="AE563" s="245"/>
      <c r="AF563" s="245"/>
      <c r="AG563" s="245"/>
      <c r="AH563" s="245"/>
      <c r="AI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  <c r="AB564" s="245"/>
      <c r="AC564" s="245"/>
      <c r="AD564" s="245"/>
      <c r="AE564" s="245"/>
      <c r="AF564" s="245"/>
      <c r="AG564" s="245"/>
      <c r="AH564" s="245"/>
      <c r="AI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  <c r="AB565" s="245"/>
      <c r="AC565" s="245"/>
      <c r="AD565" s="245"/>
      <c r="AE565" s="245"/>
      <c r="AF565" s="245"/>
      <c r="AG565" s="245"/>
      <c r="AH565" s="245"/>
      <c r="AI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  <c r="AB566" s="245"/>
      <c r="AC566" s="245"/>
      <c r="AD566" s="245"/>
      <c r="AE566" s="245"/>
      <c r="AF566" s="245"/>
      <c r="AG566" s="245"/>
      <c r="AH566" s="245"/>
      <c r="AI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  <c r="AB567" s="245"/>
      <c r="AC567" s="245"/>
      <c r="AD567" s="245"/>
      <c r="AE567" s="245"/>
      <c r="AF567" s="245"/>
      <c r="AG567" s="245"/>
      <c r="AH567" s="245"/>
      <c r="AI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  <c r="AB568" s="245"/>
      <c r="AC568" s="245"/>
      <c r="AD568" s="245"/>
      <c r="AE568" s="245"/>
      <c r="AF568" s="245"/>
      <c r="AG568" s="245"/>
      <c r="AH568" s="245"/>
      <c r="AI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  <c r="AB569" s="245"/>
      <c r="AC569" s="245"/>
      <c r="AD569" s="245"/>
      <c r="AE569" s="245"/>
      <c r="AF569" s="245"/>
      <c r="AG569" s="245"/>
      <c r="AH569" s="245"/>
      <c r="AI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  <c r="AB570" s="245"/>
      <c r="AC570" s="245"/>
      <c r="AD570" s="245"/>
      <c r="AE570" s="245"/>
      <c r="AF570" s="245"/>
      <c r="AG570" s="245"/>
      <c r="AH570" s="245"/>
      <c r="AI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  <c r="AB571" s="245"/>
      <c r="AC571" s="245"/>
      <c r="AD571" s="245"/>
      <c r="AE571" s="245"/>
      <c r="AF571" s="245"/>
      <c r="AG571" s="245"/>
      <c r="AH571" s="245"/>
      <c r="AI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  <c r="AB572" s="245"/>
      <c r="AC572" s="245"/>
      <c r="AD572" s="245"/>
      <c r="AE572" s="245"/>
      <c r="AF572" s="245"/>
      <c r="AG572" s="245"/>
      <c r="AH572" s="245"/>
      <c r="AI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  <c r="AB573" s="245"/>
      <c r="AC573" s="245"/>
      <c r="AD573" s="245"/>
      <c r="AE573" s="245"/>
      <c r="AF573" s="245"/>
      <c r="AG573" s="245"/>
      <c r="AH573" s="245"/>
      <c r="AI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  <c r="AB574" s="245"/>
      <c r="AC574" s="245"/>
      <c r="AD574" s="245"/>
      <c r="AE574" s="245"/>
      <c r="AF574" s="245"/>
      <c r="AG574" s="245"/>
      <c r="AH574" s="245"/>
      <c r="AI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  <c r="AB575" s="245"/>
      <c r="AC575" s="245"/>
      <c r="AD575" s="245"/>
      <c r="AE575" s="245"/>
      <c r="AF575" s="245"/>
      <c r="AG575" s="245"/>
      <c r="AH575" s="245"/>
      <c r="AI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  <c r="AB576" s="245"/>
      <c r="AC576" s="245"/>
      <c r="AD576" s="245"/>
      <c r="AE576" s="245"/>
      <c r="AF576" s="245"/>
      <c r="AG576" s="245"/>
      <c r="AH576" s="245"/>
      <c r="AI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  <c r="AB577" s="245"/>
      <c r="AC577" s="245"/>
      <c r="AD577" s="245"/>
      <c r="AE577" s="245"/>
      <c r="AF577" s="245"/>
      <c r="AG577" s="245"/>
      <c r="AH577" s="245"/>
      <c r="AI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  <c r="AB578" s="245"/>
      <c r="AC578" s="245"/>
      <c r="AD578" s="245"/>
      <c r="AE578" s="245"/>
      <c r="AF578" s="245"/>
      <c r="AG578" s="245"/>
      <c r="AH578" s="245"/>
      <c r="AI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  <c r="AB579" s="245"/>
      <c r="AC579" s="245"/>
      <c r="AD579" s="245"/>
      <c r="AE579" s="245"/>
      <c r="AF579" s="245"/>
      <c r="AG579" s="245"/>
      <c r="AH579" s="245"/>
      <c r="AI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  <c r="AB580" s="245"/>
      <c r="AC580" s="245"/>
      <c r="AD580" s="245"/>
      <c r="AE580" s="245"/>
      <c r="AF580" s="245"/>
      <c r="AG580" s="245"/>
      <c r="AH580" s="245"/>
      <c r="AI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  <c r="AB581" s="245"/>
      <c r="AC581" s="245"/>
      <c r="AD581" s="245"/>
      <c r="AE581" s="245"/>
      <c r="AF581" s="245"/>
      <c r="AG581" s="245"/>
      <c r="AH581" s="245"/>
      <c r="AI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  <c r="AB582" s="245"/>
      <c r="AC582" s="245"/>
      <c r="AD582" s="245"/>
      <c r="AE582" s="245"/>
      <c r="AF582" s="245"/>
      <c r="AG582" s="245"/>
      <c r="AH582" s="245"/>
      <c r="AI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  <c r="AB583" s="245"/>
      <c r="AC583" s="245"/>
      <c r="AD583" s="245"/>
      <c r="AE583" s="245"/>
      <c r="AF583" s="245"/>
      <c r="AG583" s="245"/>
      <c r="AH583" s="245"/>
      <c r="AI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  <c r="AB584" s="245"/>
      <c r="AC584" s="245"/>
      <c r="AD584" s="245"/>
      <c r="AE584" s="245"/>
      <c r="AF584" s="245"/>
      <c r="AG584" s="245"/>
      <c r="AH584" s="245"/>
      <c r="AI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  <c r="AB585" s="245"/>
      <c r="AC585" s="245"/>
      <c r="AD585" s="245"/>
      <c r="AE585" s="245"/>
      <c r="AF585" s="245"/>
      <c r="AG585" s="245"/>
      <c r="AH585" s="245"/>
      <c r="AI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  <c r="AB586" s="245"/>
      <c r="AC586" s="245"/>
      <c r="AD586" s="245"/>
      <c r="AE586" s="245"/>
      <c r="AF586" s="245"/>
      <c r="AG586" s="245"/>
      <c r="AH586" s="245"/>
      <c r="AI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  <c r="AB587" s="245"/>
      <c r="AC587" s="245"/>
      <c r="AD587" s="245"/>
      <c r="AE587" s="245"/>
      <c r="AF587" s="245"/>
      <c r="AG587" s="245"/>
      <c r="AH587" s="245"/>
      <c r="AI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  <c r="AB588" s="245"/>
      <c r="AC588" s="245"/>
      <c r="AD588" s="245"/>
      <c r="AE588" s="245"/>
      <c r="AF588" s="245"/>
      <c r="AG588" s="245"/>
      <c r="AH588" s="245"/>
      <c r="AI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  <c r="AB589" s="245"/>
      <c r="AC589" s="245"/>
      <c r="AD589" s="245"/>
      <c r="AE589" s="245"/>
      <c r="AF589" s="245"/>
      <c r="AG589" s="245"/>
      <c r="AH589" s="245"/>
      <c r="AI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  <c r="AB590" s="245"/>
      <c r="AC590" s="245"/>
      <c r="AD590" s="245"/>
      <c r="AE590" s="245"/>
      <c r="AF590" s="245"/>
      <c r="AG590" s="245"/>
      <c r="AH590" s="245"/>
      <c r="AI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  <c r="AB591" s="245"/>
      <c r="AC591" s="245"/>
      <c r="AD591" s="245"/>
      <c r="AE591" s="245"/>
      <c r="AF591" s="245"/>
      <c r="AG591" s="245"/>
      <c r="AH591" s="245"/>
      <c r="AI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  <c r="AB592" s="245"/>
      <c r="AC592" s="245"/>
      <c r="AD592" s="245"/>
      <c r="AE592" s="245"/>
      <c r="AF592" s="245"/>
      <c r="AG592" s="245"/>
      <c r="AH592" s="245"/>
      <c r="AI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  <c r="AB593" s="245"/>
      <c r="AC593" s="245"/>
      <c r="AD593" s="245"/>
      <c r="AE593" s="245"/>
      <c r="AF593" s="245"/>
      <c r="AG593" s="245"/>
      <c r="AH593" s="245"/>
      <c r="AI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  <c r="AB594" s="245"/>
      <c r="AC594" s="245"/>
      <c r="AD594" s="245"/>
      <c r="AE594" s="245"/>
      <c r="AF594" s="245"/>
      <c r="AG594" s="245"/>
      <c r="AH594" s="245"/>
      <c r="AI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  <c r="AB595" s="245"/>
      <c r="AC595" s="245"/>
      <c r="AD595" s="245"/>
      <c r="AE595" s="245"/>
      <c r="AF595" s="245"/>
      <c r="AG595" s="245"/>
      <c r="AH595" s="245"/>
      <c r="AI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  <c r="AB596" s="245"/>
      <c r="AC596" s="245"/>
      <c r="AD596" s="245"/>
      <c r="AE596" s="245"/>
      <c r="AF596" s="245"/>
      <c r="AG596" s="245"/>
      <c r="AH596" s="245"/>
      <c r="AI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  <c r="AB597" s="245"/>
      <c r="AC597" s="245"/>
      <c r="AD597" s="245"/>
      <c r="AE597" s="245"/>
      <c r="AF597" s="245"/>
      <c r="AG597" s="245"/>
      <c r="AH597" s="245"/>
      <c r="AI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  <c r="AB598" s="245"/>
      <c r="AC598" s="245"/>
      <c r="AD598" s="245"/>
      <c r="AE598" s="245"/>
      <c r="AF598" s="245"/>
      <c r="AG598" s="245"/>
      <c r="AH598" s="245"/>
      <c r="AI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  <c r="AB599" s="245"/>
      <c r="AC599" s="245"/>
      <c r="AD599" s="245"/>
      <c r="AE599" s="245"/>
      <c r="AF599" s="245"/>
      <c r="AG599" s="245"/>
      <c r="AH599" s="245"/>
      <c r="AI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  <c r="AD600" s="245"/>
      <c r="AE600" s="245"/>
      <c r="AF600" s="245"/>
      <c r="AG600" s="245"/>
      <c r="AH600" s="245"/>
      <c r="AI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  <c r="AD601" s="245"/>
      <c r="AE601" s="245"/>
      <c r="AF601" s="245"/>
      <c r="AG601" s="245"/>
      <c r="AH601" s="245"/>
      <c r="AI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  <c r="AB602" s="245"/>
      <c r="AC602" s="245"/>
      <c r="AD602" s="245"/>
      <c r="AE602" s="245"/>
      <c r="AF602" s="245"/>
      <c r="AG602" s="245"/>
      <c r="AH602" s="245"/>
      <c r="AI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  <c r="AB603" s="245"/>
      <c r="AC603" s="245"/>
      <c r="AD603" s="245"/>
      <c r="AE603" s="245"/>
      <c r="AF603" s="245"/>
      <c r="AG603" s="245"/>
      <c r="AH603" s="245"/>
      <c r="AI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  <c r="AB604" s="245"/>
      <c r="AC604" s="245"/>
      <c r="AD604" s="245"/>
      <c r="AE604" s="245"/>
      <c r="AF604" s="245"/>
      <c r="AG604" s="245"/>
      <c r="AH604" s="245"/>
      <c r="AI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  <c r="AB605" s="245"/>
      <c r="AC605" s="245"/>
      <c r="AD605" s="245"/>
      <c r="AE605" s="245"/>
      <c r="AF605" s="245"/>
      <c r="AG605" s="245"/>
      <c r="AH605" s="245"/>
      <c r="AI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  <c r="AB606" s="245"/>
      <c r="AC606" s="245"/>
      <c r="AD606" s="245"/>
      <c r="AE606" s="245"/>
      <c r="AF606" s="245"/>
      <c r="AG606" s="245"/>
      <c r="AH606" s="245"/>
      <c r="AI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  <c r="AB607" s="245"/>
      <c r="AC607" s="245"/>
      <c r="AD607" s="245"/>
      <c r="AE607" s="245"/>
      <c r="AF607" s="245"/>
      <c r="AG607" s="245"/>
      <c r="AH607" s="245"/>
      <c r="AI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  <c r="AB608" s="245"/>
      <c r="AC608" s="245"/>
      <c r="AD608" s="245"/>
      <c r="AE608" s="245"/>
      <c r="AF608" s="245"/>
      <c r="AG608" s="245"/>
      <c r="AH608" s="245"/>
      <c r="AI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  <c r="AB609" s="245"/>
      <c r="AC609" s="245"/>
      <c r="AD609" s="245"/>
      <c r="AE609" s="245"/>
      <c r="AF609" s="245"/>
      <c r="AG609" s="245"/>
      <c r="AH609" s="245"/>
      <c r="AI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  <c r="AB610" s="245"/>
      <c r="AC610" s="245"/>
      <c r="AD610" s="245"/>
      <c r="AE610" s="245"/>
      <c r="AF610" s="245"/>
      <c r="AG610" s="245"/>
      <c r="AH610" s="245"/>
      <c r="AI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  <c r="AB611" s="245"/>
      <c r="AC611" s="245"/>
      <c r="AD611" s="245"/>
      <c r="AE611" s="245"/>
      <c r="AF611" s="245"/>
      <c r="AG611" s="245"/>
      <c r="AH611" s="245"/>
      <c r="AI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  <c r="AB612" s="245"/>
      <c r="AC612" s="245"/>
      <c r="AD612" s="245"/>
      <c r="AE612" s="245"/>
      <c r="AF612" s="245"/>
      <c r="AG612" s="245"/>
      <c r="AH612" s="245"/>
      <c r="AI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  <c r="AB613" s="245"/>
      <c r="AC613" s="245"/>
      <c r="AD613" s="245"/>
      <c r="AE613" s="245"/>
      <c r="AF613" s="245"/>
      <c r="AG613" s="245"/>
      <c r="AH613" s="245"/>
      <c r="AI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  <c r="AD614" s="245"/>
      <c r="AE614" s="245"/>
      <c r="AF614" s="245"/>
      <c r="AG614" s="245"/>
      <c r="AH614" s="245"/>
      <c r="AI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  <c r="AB615" s="245"/>
      <c r="AC615" s="245"/>
      <c r="AD615" s="245"/>
      <c r="AE615" s="245"/>
      <c r="AF615" s="245"/>
      <c r="AG615" s="245"/>
      <c r="AH615" s="245"/>
      <c r="AI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  <c r="AB616" s="245"/>
      <c r="AC616" s="245"/>
      <c r="AD616" s="245"/>
      <c r="AE616" s="245"/>
      <c r="AF616" s="245"/>
      <c r="AG616" s="245"/>
      <c r="AH616" s="245"/>
      <c r="AI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  <c r="AE617" s="245"/>
      <c r="AF617" s="245"/>
      <c r="AG617" s="245"/>
      <c r="AH617" s="245"/>
      <c r="AI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  <c r="AB618" s="245"/>
      <c r="AC618" s="245"/>
      <c r="AD618" s="245"/>
      <c r="AE618" s="245"/>
      <c r="AF618" s="245"/>
      <c r="AG618" s="245"/>
      <c r="AH618" s="245"/>
      <c r="AI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  <c r="AB619" s="245"/>
      <c r="AC619" s="245"/>
      <c r="AD619" s="245"/>
      <c r="AE619" s="245"/>
      <c r="AF619" s="245"/>
      <c r="AG619" s="245"/>
      <c r="AH619" s="245"/>
      <c r="AI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  <c r="AB620" s="245"/>
      <c r="AC620" s="245"/>
      <c r="AD620" s="245"/>
      <c r="AE620" s="245"/>
      <c r="AF620" s="245"/>
      <c r="AG620" s="245"/>
      <c r="AH620" s="245"/>
      <c r="AI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  <c r="AB621" s="245"/>
      <c r="AC621" s="245"/>
      <c r="AD621" s="245"/>
      <c r="AE621" s="245"/>
      <c r="AF621" s="245"/>
      <c r="AG621" s="245"/>
      <c r="AH621" s="245"/>
      <c r="AI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  <c r="AB622" s="245"/>
      <c r="AC622" s="245"/>
      <c r="AD622" s="245"/>
      <c r="AE622" s="245"/>
      <c r="AF622" s="245"/>
      <c r="AG622" s="245"/>
      <c r="AH622" s="245"/>
      <c r="AI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  <c r="AB623" s="245"/>
      <c r="AC623" s="245"/>
      <c r="AD623" s="245"/>
      <c r="AE623" s="245"/>
      <c r="AF623" s="245"/>
      <c r="AG623" s="245"/>
      <c r="AH623" s="245"/>
      <c r="AI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  <c r="AB624" s="245"/>
      <c r="AC624" s="245"/>
      <c r="AD624" s="245"/>
      <c r="AE624" s="245"/>
      <c r="AF624" s="245"/>
      <c r="AG624" s="245"/>
      <c r="AH624" s="245"/>
      <c r="AI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  <c r="AB625" s="245"/>
      <c r="AC625" s="245"/>
      <c r="AD625" s="245"/>
      <c r="AE625" s="245"/>
      <c r="AF625" s="245"/>
      <c r="AG625" s="245"/>
      <c r="AH625" s="245"/>
      <c r="AI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  <c r="AB626" s="245"/>
      <c r="AC626" s="245"/>
      <c r="AD626" s="245"/>
      <c r="AE626" s="245"/>
      <c r="AF626" s="245"/>
      <c r="AG626" s="245"/>
      <c r="AH626" s="245"/>
      <c r="AI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  <c r="AB627" s="245"/>
      <c r="AC627" s="245"/>
      <c r="AD627" s="245"/>
      <c r="AE627" s="245"/>
      <c r="AF627" s="245"/>
      <c r="AG627" s="245"/>
      <c r="AH627" s="245"/>
      <c r="AI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  <c r="AD628" s="245"/>
      <c r="AE628" s="245"/>
      <c r="AF628" s="245"/>
      <c r="AG628" s="245"/>
      <c r="AH628" s="245"/>
      <c r="AI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  <c r="AB629" s="245"/>
      <c r="AC629" s="245"/>
      <c r="AD629" s="245"/>
      <c r="AE629" s="245"/>
      <c r="AF629" s="245"/>
      <c r="AG629" s="245"/>
      <c r="AH629" s="245"/>
      <c r="AI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  <c r="AB630" s="245"/>
      <c r="AC630" s="245"/>
      <c r="AD630" s="245"/>
      <c r="AE630" s="245"/>
      <c r="AF630" s="245"/>
      <c r="AG630" s="245"/>
      <c r="AH630" s="245"/>
      <c r="AI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  <c r="AB631" s="245"/>
      <c r="AC631" s="245"/>
      <c r="AD631" s="245"/>
      <c r="AE631" s="245"/>
      <c r="AF631" s="245"/>
      <c r="AG631" s="245"/>
      <c r="AH631" s="245"/>
      <c r="AI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  <c r="AB632" s="245"/>
      <c r="AC632" s="245"/>
      <c r="AD632" s="245"/>
      <c r="AE632" s="245"/>
      <c r="AF632" s="245"/>
      <c r="AG632" s="245"/>
      <c r="AH632" s="245"/>
      <c r="AI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  <c r="AB633" s="245"/>
      <c r="AC633" s="245"/>
      <c r="AD633" s="245"/>
      <c r="AE633" s="245"/>
      <c r="AF633" s="245"/>
      <c r="AG633" s="245"/>
      <c r="AH633" s="245"/>
      <c r="AI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  <c r="AB634" s="245"/>
      <c r="AC634" s="245"/>
      <c r="AD634" s="245"/>
      <c r="AE634" s="245"/>
      <c r="AF634" s="245"/>
      <c r="AG634" s="245"/>
      <c r="AH634" s="245"/>
      <c r="AI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  <c r="AB635" s="245"/>
      <c r="AC635" s="245"/>
      <c r="AD635" s="245"/>
      <c r="AE635" s="245"/>
      <c r="AF635" s="245"/>
      <c r="AG635" s="245"/>
      <c r="AH635" s="245"/>
      <c r="AI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  <c r="AB636" s="245"/>
      <c r="AC636" s="245"/>
      <c r="AD636" s="245"/>
      <c r="AE636" s="245"/>
      <c r="AF636" s="245"/>
      <c r="AG636" s="245"/>
      <c r="AH636" s="245"/>
      <c r="AI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  <c r="AB637" s="245"/>
      <c r="AC637" s="245"/>
      <c r="AD637" s="245"/>
      <c r="AE637" s="245"/>
      <c r="AF637" s="245"/>
      <c r="AG637" s="245"/>
      <c r="AH637" s="245"/>
      <c r="AI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  <c r="AB638" s="245"/>
      <c r="AC638" s="245"/>
      <c r="AD638" s="245"/>
      <c r="AE638" s="245"/>
      <c r="AF638" s="245"/>
      <c r="AG638" s="245"/>
      <c r="AH638" s="245"/>
      <c r="AI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  <c r="AB639" s="245"/>
      <c r="AC639" s="245"/>
      <c r="AD639" s="245"/>
      <c r="AE639" s="245"/>
      <c r="AF639" s="245"/>
      <c r="AG639" s="245"/>
      <c r="AH639" s="245"/>
      <c r="AI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  <c r="AB640" s="245"/>
      <c r="AC640" s="245"/>
      <c r="AD640" s="245"/>
      <c r="AE640" s="245"/>
      <c r="AF640" s="245"/>
      <c r="AG640" s="245"/>
      <c r="AH640" s="245"/>
      <c r="AI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  <c r="AB641" s="245"/>
      <c r="AC641" s="245"/>
      <c r="AD641" s="245"/>
      <c r="AE641" s="245"/>
      <c r="AF641" s="245"/>
      <c r="AG641" s="245"/>
      <c r="AH641" s="245"/>
      <c r="AI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  <c r="AB642" s="245"/>
      <c r="AC642" s="245"/>
      <c r="AD642" s="245"/>
      <c r="AE642" s="245"/>
      <c r="AF642" s="245"/>
      <c r="AG642" s="245"/>
      <c r="AH642" s="245"/>
      <c r="AI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  <c r="AB643" s="245"/>
      <c r="AC643" s="245"/>
      <c r="AD643" s="245"/>
      <c r="AE643" s="245"/>
      <c r="AF643" s="245"/>
      <c r="AG643" s="245"/>
      <c r="AH643" s="245"/>
      <c r="AI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  <c r="AB644" s="245"/>
      <c r="AC644" s="245"/>
      <c r="AD644" s="245"/>
      <c r="AE644" s="245"/>
      <c r="AF644" s="245"/>
      <c r="AG644" s="245"/>
      <c r="AH644" s="245"/>
      <c r="AI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  <c r="AB645" s="245"/>
      <c r="AC645" s="245"/>
      <c r="AD645" s="245"/>
      <c r="AE645" s="245"/>
      <c r="AF645" s="245"/>
      <c r="AG645" s="245"/>
      <c r="AH645" s="245"/>
      <c r="AI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  <c r="AB646" s="245"/>
      <c r="AC646" s="245"/>
      <c r="AD646" s="245"/>
      <c r="AE646" s="245"/>
      <c r="AF646" s="245"/>
      <c r="AG646" s="245"/>
      <c r="AH646" s="245"/>
      <c r="AI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  <c r="AB647" s="245"/>
      <c r="AC647" s="245"/>
      <c r="AD647" s="245"/>
      <c r="AE647" s="245"/>
      <c r="AF647" s="245"/>
      <c r="AG647" s="245"/>
      <c r="AH647" s="245"/>
      <c r="AI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  <c r="AB648" s="245"/>
      <c r="AC648" s="245"/>
      <c r="AD648" s="245"/>
      <c r="AE648" s="245"/>
      <c r="AF648" s="245"/>
      <c r="AG648" s="245"/>
      <c r="AH648" s="245"/>
      <c r="AI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  <c r="AB649" s="245"/>
      <c r="AC649" s="245"/>
      <c r="AD649" s="245"/>
      <c r="AE649" s="245"/>
      <c r="AF649" s="245"/>
      <c r="AG649" s="245"/>
      <c r="AH649" s="245"/>
      <c r="AI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  <c r="AB650" s="245"/>
      <c r="AC650" s="245"/>
      <c r="AD650" s="245"/>
      <c r="AE650" s="245"/>
      <c r="AF650" s="245"/>
      <c r="AG650" s="245"/>
      <c r="AH650" s="245"/>
      <c r="AI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  <c r="AB651" s="245"/>
      <c r="AC651" s="245"/>
      <c r="AD651" s="245"/>
      <c r="AE651" s="245"/>
      <c r="AF651" s="245"/>
      <c r="AG651" s="245"/>
      <c r="AH651" s="245"/>
      <c r="AI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  <c r="AB652" s="245"/>
      <c r="AC652" s="245"/>
      <c r="AD652" s="245"/>
      <c r="AE652" s="245"/>
      <c r="AF652" s="245"/>
      <c r="AG652" s="245"/>
      <c r="AH652" s="245"/>
      <c r="AI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  <c r="AB653" s="245"/>
      <c r="AC653" s="245"/>
      <c r="AD653" s="245"/>
      <c r="AE653" s="245"/>
      <c r="AF653" s="245"/>
      <c r="AG653" s="245"/>
      <c r="AH653" s="245"/>
      <c r="AI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  <c r="AD654" s="245"/>
      <c r="AE654" s="245"/>
      <c r="AF654" s="245"/>
      <c r="AG654" s="245"/>
      <c r="AH654" s="245"/>
      <c r="AI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  <c r="AB655" s="245"/>
      <c r="AC655" s="245"/>
      <c r="AD655" s="245"/>
      <c r="AE655" s="245"/>
      <c r="AF655" s="245"/>
      <c r="AG655" s="245"/>
      <c r="AH655" s="245"/>
      <c r="AI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  <c r="AB656" s="245"/>
      <c r="AC656" s="245"/>
      <c r="AD656" s="245"/>
      <c r="AE656" s="245"/>
      <c r="AF656" s="245"/>
      <c r="AG656" s="245"/>
      <c r="AH656" s="245"/>
      <c r="AI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  <c r="AB657" s="245"/>
      <c r="AC657" s="245"/>
      <c r="AD657" s="245"/>
      <c r="AE657" s="245"/>
      <c r="AF657" s="245"/>
      <c r="AG657" s="245"/>
      <c r="AH657" s="245"/>
      <c r="AI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  <c r="AD658" s="245"/>
      <c r="AE658" s="245"/>
      <c r="AF658" s="245"/>
      <c r="AG658" s="245"/>
      <c r="AH658" s="245"/>
      <c r="AI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  <c r="AB659" s="245"/>
      <c r="AC659" s="245"/>
      <c r="AD659" s="245"/>
      <c r="AE659" s="245"/>
      <c r="AF659" s="245"/>
      <c r="AG659" s="245"/>
      <c r="AH659" s="245"/>
      <c r="AI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  <c r="AB660" s="245"/>
      <c r="AC660" s="245"/>
      <c r="AD660" s="245"/>
      <c r="AE660" s="245"/>
      <c r="AF660" s="245"/>
      <c r="AG660" s="245"/>
      <c r="AH660" s="245"/>
      <c r="AI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  <c r="AB661" s="245"/>
      <c r="AC661" s="245"/>
      <c r="AD661" s="245"/>
      <c r="AE661" s="245"/>
      <c r="AF661" s="245"/>
      <c r="AG661" s="245"/>
      <c r="AH661" s="245"/>
      <c r="AI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  <c r="AB662" s="245"/>
      <c r="AC662" s="245"/>
      <c r="AD662" s="245"/>
      <c r="AE662" s="245"/>
      <c r="AF662" s="245"/>
      <c r="AG662" s="245"/>
      <c r="AH662" s="245"/>
      <c r="AI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  <c r="AB663" s="245"/>
      <c r="AC663" s="245"/>
      <c r="AD663" s="245"/>
      <c r="AE663" s="245"/>
      <c r="AF663" s="245"/>
      <c r="AG663" s="245"/>
      <c r="AH663" s="245"/>
      <c r="AI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  <c r="AB664" s="245"/>
      <c r="AC664" s="245"/>
      <c r="AD664" s="245"/>
      <c r="AE664" s="245"/>
      <c r="AF664" s="245"/>
      <c r="AG664" s="245"/>
      <c r="AH664" s="245"/>
      <c r="AI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  <c r="AB665" s="245"/>
      <c r="AC665" s="245"/>
      <c r="AD665" s="245"/>
      <c r="AE665" s="245"/>
      <c r="AF665" s="245"/>
      <c r="AG665" s="245"/>
      <c r="AH665" s="245"/>
      <c r="AI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  <c r="AB666" s="245"/>
      <c r="AC666" s="245"/>
      <c r="AD666" s="245"/>
      <c r="AE666" s="245"/>
      <c r="AF666" s="245"/>
      <c r="AG666" s="245"/>
      <c r="AH666" s="245"/>
      <c r="AI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  <c r="AD667" s="245"/>
      <c r="AE667" s="245"/>
      <c r="AF667" s="245"/>
      <c r="AG667" s="245"/>
      <c r="AH667" s="245"/>
      <c r="AI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  <c r="AE668" s="245"/>
      <c r="AF668" s="245"/>
      <c r="AG668" s="245"/>
      <c r="AH668" s="245"/>
      <c r="AI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  <c r="AB669" s="245"/>
      <c r="AC669" s="245"/>
      <c r="AD669" s="245"/>
      <c r="AE669" s="245"/>
      <c r="AF669" s="245"/>
      <c r="AG669" s="245"/>
      <c r="AH669" s="245"/>
      <c r="AI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  <c r="AB670" s="245"/>
      <c r="AC670" s="245"/>
      <c r="AD670" s="245"/>
      <c r="AE670" s="245"/>
      <c r="AF670" s="245"/>
      <c r="AG670" s="245"/>
      <c r="AH670" s="245"/>
      <c r="AI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  <c r="AB671" s="245"/>
      <c r="AC671" s="245"/>
      <c r="AD671" s="245"/>
      <c r="AE671" s="245"/>
      <c r="AF671" s="245"/>
      <c r="AG671" s="245"/>
      <c r="AH671" s="245"/>
      <c r="AI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  <c r="AB672" s="245"/>
      <c r="AC672" s="245"/>
      <c r="AD672" s="245"/>
      <c r="AE672" s="245"/>
      <c r="AF672" s="245"/>
      <c r="AG672" s="245"/>
      <c r="AH672" s="245"/>
      <c r="AI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  <c r="AB673" s="245"/>
      <c r="AC673" s="245"/>
      <c r="AD673" s="245"/>
      <c r="AE673" s="245"/>
      <c r="AF673" s="245"/>
      <c r="AG673" s="245"/>
      <c r="AH673" s="245"/>
      <c r="AI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  <c r="AB674" s="245"/>
      <c r="AC674" s="245"/>
      <c r="AD674" s="245"/>
      <c r="AE674" s="245"/>
      <c r="AF674" s="245"/>
      <c r="AG674" s="245"/>
      <c r="AH674" s="245"/>
      <c r="AI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  <c r="AB675" s="245"/>
      <c r="AC675" s="245"/>
      <c r="AD675" s="245"/>
      <c r="AE675" s="245"/>
      <c r="AF675" s="245"/>
      <c r="AG675" s="245"/>
      <c r="AH675" s="245"/>
      <c r="AI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  <c r="AB676" s="245"/>
      <c r="AC676" s="245"/>
      <c r="AD676" s="245"/>
      <c r="AE676" s="245"/>
      <c r="AF676" s="245"/>
      <c r="AG676" s="245"/>
      <c r="AH676" s="245"/>
      <c r="AI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  <c r="AB677" s="245"/>
      <c r="AC677" s="245"/>
      <c r="AD677" s="245"/>
      <c r="AE677" s="245"/>
      <c r="AF677" s="245"/>
      <c r="AG677" s="245"/>
      <c r="AH677" s="245"/>
      <c r="AI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  <c r="AB678" s="245"/>
      <c r="AC678" s="245"/>
      <c r="AD678" s="245"/>
      <c r="AE678" s="245"/>
      <c r="AF678" s="245"/>
      <c r="AG678" s="245"/>
      <c r="AH678" s="245"/>
      <c r="AI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  <c r="AB679" s="245"/>
      <c r="AC679" s="245"/>
      <c r="AD679" s="245"/>
      <c r="AE679" s="245"/>
      <c r="AF679" s="245"/>
      <c r="AG679" s="245"/>
      <c r="AH679" s="245"/>
      <c r="AI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  <c r="AB680" s="245"/>
      <c r="AC680" s="245"/>
      <c r="AD680" s="245"/>
      <c r="AE680" s="245"/>
      <c r="AF680" s="245"/>
      <c r="AG680" s="245"/>
      <c r="AH680" s="245"/>
      <c r="AI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  <c r="AB681" s="245"/>
      <c r="AC681" s="245"/>
      <c r="AD681" s="245"/>
      <c r="AE681" s="245"/>
      <c r="AF681" s="245"/>
      <c r="AG681" s="245"/>
      <c r="AH681" s="245"/>
      <c r="AI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  <c r="AB682" s="245"/>
      <c r="AC682" s="245"/>
      <c r="AD682" s="245"/>
      <c r="AE682" s="245"/>
      <c r="AF682" s="245"/>
      <c r="AG682" s="245"/>
      <c r="AH682" s="245"/>
      <c r="AI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  <c r="AB683" s="245"/>
      <c r="AC683" s="245"/>
      <c r="AD683" s="245"/>
      <c r="AE683" s="245"/>
      <c r="AF683" s="245"/>
      <c r="AG683" s="245"/>
      <c r="AH683" s="245"/>
      <c r="AI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  <c r="AB684" s="245"/>
      <c r="AC684" s="245"/>
      <c r="AD684" s="245"/>
      <c r="AE684" s="245"/>
      <c r="AF684" s="245"/>
      <c r="AG684" s="245"/>
      <c r="AH684" s="245"/>
      <c r="AI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  <c r="AB685" s="245"/>
      <c r="AC685" s="245"/>
      <c r="AD685" s="245"/>
      <c r="AE685" s="245"/>
      <c r="AF685" s="245"/>
      <c r="AG685" s="245"/>
      <c r="AH685" s="245"/>
      <c r="AI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  <c r="AD686" s="245"/>
      <c r="AE686" s="245"/>
      <c r="AF686" s="245"/>
      <c r="AG686" s="245"/>
      <c r="AH686" s="245"/>
      <c r="AI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  <c r="AB687" s="245"/>
      <c r="AC687" s="245"/>
      <c r="AD687" s="245"/>
      <c r="AE687" s="245"/>
      <c r="AF687" s="245"/>
      <c r="AG687" s="245"/>
      <c r="AH687" s="245"/>
      <c r="AI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  <c r="AB688" s="245"/>
      <c r="AC688" s="245"/>
      <c r="AD688" s="245"/>
      <c r="AE688" s="245"/>
      <c r="AF688" s="245"/>
      <c r="AG688" s="245"/>
      <c r="AH688" s="245"/>
      <c r="AI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  <c r="AB689" s="245"/>
      <c r="AC689" s="245"/>
      <c r="AD689" s="245"/>
      <c r="AE689" s="245"/>
      <c r="AF689" s="245"/>
      <c r="AG689" s="245"/>
      <c r="AH689" s="245"/>
      <c r="AI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  <c r="AB690" s="245"/>
      <c r="AC690" s="245"/>
      <c r="AD690" s="245"/>
      <c r="AE690" s="245"/>
      <c r="AF690" s="245"/>
      <c r="AG690" s="245"/>
      <c r="AH690" s="245"/>
      <c r="AI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  <c r="AB691" s="245"/>
      <c r="AC691" s="245"/>
      <c r="AD691" s="245"/>
      <c r="AE691" s="245"/>
      <c r="AF691" s="245"/>
      <c r="AG691" s="245"/>
      <c r="AH691" s="245"/>
      <c r="AI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  <c r="AB692" s="245"/>
      <c r="AC692" s="245"/>
      <c r="AD692" s="245"/>
      <c r="AE692" s="245"/>
      <c r="AF692" s="245"/>
      <c r="AG692" s="245"/>
      <c r="AH692" s="245"/>
      <c r="AI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  <c r="AB693" s="245"/>
      <c r="AC693" s="245"/>
      <c r="AD693" s="245"/>
      <c r="AE693" s="245"/>
      <c r="AF693" s="245"/>
      <c r="AG693" s="245"/>
      <c r="AH693" s="245"/>
      <c r="AI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  <c r="AB694" s="245"/>
      <c r="AC694" s="245"/>
      <c r="AD694" s="245"/>
      <c r="AE694" s="245"/>
      <c r="AF694" s="245"/>
      <c r="AG694" s="245"/>
      <c r="AH694" s="245"/>
      <c r="AI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  <c r="AB695" s="245"/>
      <c r="AC695" s="245"/>
      <c r="AD695" s="245"/>
      <c r="AE695" s="245"/>
      <c r="AF695" s="245"/>
      <c r="AG695" s="245"/>
      <c r="AH695" s="245"/>
      <c r="AI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  <c r="AB696" s="245"/>
      <c r="AC696" s="245"/>
      <c r="AD696" s="245"/>
      <c r="AE696" s="245"/>
      <c r="AF696" s="245"/>
      <c r="AG696" s="245"/>
      <c r="AH696" s="245"/>
      <c r="AI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  <c r="AB697" s="245"/>
      <c r="AC697" s="245"/>
      <c r="AD697" s="245"/>
      <c r="AE697" s="245"/>
      <c r="AF697" s="245"/>
      <c r="AG697" s="245"/>
      <c r="AH697" s="245"/>
      <c r="AI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  <c r="AB698" s="245"/>
      <c r="AC698" s="245"/>
      <c r="AD698" s="245"/>
      <c r="AE698" s="245"/>
      <c r="AF698" s="245"/>
      <c r="AG698" s="245"/>
      <c r="AH698" s="245"/>
      <c r="AI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  <c r="AB699" s="245"/>
      <c r="AC699" s="245"/>
      <c r="AD699" s="245"/>
      <c r="AE699" s="245"/>
      <c r="AF699" s="245"/>
      <c r="AG699" s="245"/>
      <c r="AH699" s="245"/>
      <c r="AI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  <c r="AB700" s="245"/>
      <c r="AC700" s="245"/>
      <c r="AD700" s="245"/>
      <c r="AE700" s="245"/>
      <c r="AF700" s="245"/>
      <c r="AG700" s="245"/>
      <c r="AH700" s="245"/>
      <c r="AI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  <c r="AB701" s="245"/>
      <c r="AC701" s="245"/>
      <c r="AD701" s="245"/>
      <c r="AE701" s="245"/>
      <c r="AF701" s="245"/>
      <c r="AG701" s="245"/>
      <c r="AH701" s="245"/>
      <c r="AI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  <c r="AB702" s="245"/>
      <c r="AC702" s="245"/>
      <c r="AD702" s="245"/>
      <c r="AE702" s="245"/>
      <c r="AF702" s="245"/>
      <c r="AG702" s="245"/>
      <c r="AH702" s="245"/>
      <c r="AI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  <c r="AB703" s="245"/>
      <c r="AC703" s="245"/>
      <c r="AD703" s="245"/>
      <c r="AE703" s="245"/>
      <c r="AF703" s="245"/>
      <c r="AG703" s="245"/>
      <c r="AH703" s="245"/>
      <c r="AI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  <c r="AB704" s="245"/>
      <c r="AC704" s="245"/>
      <c r="AD704" s="245"/>
      <c r="AE704" s="245"/>
      <c r="AF704" s="245"/>
      <c r="AG704" s="245"/>
      <c r="AH704" s="245"/>
      <c r="AI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  <c r="AB705" s="245"/>
      <c r="AC705" s="245"/>
      <c r="AD705" s="245"/>
      <c r="AE705" s="245"/>
      <c r="AF705" s="245"/>
      <c r="AG705" s="245"/>
      <c r="AH705" s="245"/>
      <c r="AI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  <c r="AB706" s="245"/>
      <c r="AC706" s="245"/>
      <c r="AD706" s="245"/>
      <c r="AE706" s="245"/>
      <c r="AF706" s="245"/>
      <c r="AG706" s="245"/>
      <c r="AH706" s="245"/>
      <c r="AI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  <c r="AB707" s="245"/>
      <c r="AC707" s="245"/>
      <c r="AD707" s="245"/>
      <c r="AE707" s="245"/>
      <c r="AF707" s="245"/>
      <c r="AG707" s="245"/>
      <c r="AH707" s="245"/>
      <c r="AI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  <c r="AD708" s="245"/>
      <c r="AE708" s="245"/>
      <c r="AF708" s="245"/>
      <c r="AG708" s="245"/>
      <c r="AH708" s="245"/>
      <c r="AI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  <c r="AB709" s="245"/>
      <c r="AC709" s="245"/>
      <c r="AD709" s="245"/>
      <c r="AE709" s="245"/>
      <c r="AF709" s="245"/>
      <c r="AG709" s="245"/>
      <c r="AH709" s="245"/>
      <c r="AI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  <c r="AB710" s="245"/>
      <c r="AC710" s="245"/>
      <c r="AD710" s="245"/>
      <c r="AE710" s="245"/>
      <c r="AF710" s="245"/>
      <c r="AG710" s="245"/>
      <c r="AH710" s="245"/>
      <c r="AI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  <c r="AB711" s="245"/>
      <c r="AC711" s="245"/>
      <c r="AD711" s="245"/>
      <c r="AE711" s="245"/>
      <c r="AF711" s="245"/>
      <c r="AG711" s="245"/>
      <c r="AH711" s="245"/>
      <c r="AI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  <c r="AB712" s="245"/>
      <c r="AC712" s="245"/>
      <c r="AD712" s="245"/>
      <c r="AE712" s="245"/>
      <c r="AF712" s="245"/>
      <c r="AG712" s="245"/>
      <c r="AH712" s="245"/>
      <c r="AI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  <c r="AB713" s="245"/>
      <c r="AC713" s="245"/>
      <c r="AD713" s="245"/>
      <c r="AE713" s="245"/>
      <c r="AF713" s="245"/>
      <c r="AG713" s="245"/>
      <c r="AH713" s="245"/>
      <c r="AI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  <c r="AB714" s="245"/>
      <c r="AC714" s="245"/>
      <c r="AD714" s="245"/>
      <c r="AE714" s="245"/>
      <c r="AF714" s="245"/>
      <c r="AG714" s="245"/>
      <c r="AH714" s="245"/>
      <c r="AI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  <c r="AB715" s="245"/>
      <c r="AC715" s="245"/>
      <c r="AD715" s="245"/>
      <c r="AE715" s="245"/>
      <c r="AF715" s="245"/>
      <c r="AG715" s="245"/>
      <c r="AH715" s="245"/>
      <c r="AI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  <c r="AB716" s="245"/>
      <c r="AC716" s="245"/>
      <c r="AD716" s="245"/>
      <c r="AE716" s="245"/>
      <c r="AF716" s="245"/>
      <c r="AG716" s="245"/>
      <c r="AH716" s="245"/>
      <c r="AI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  <c r="AB717" s="245"/>
      <c r="AC717" s="245"/>
      <c r="AD717" s="245"/>
      <c r="AE717" s="245"/>
      <c r="AF717" s="245"/>
      <c r="AG717" s="245"/>
      <c r="AH717" s="245"/>
      <c r="AI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  <c r="AE718" s="245"/>
      <c r="AF718" s="245"/>
      <c r="AG718" s="245"/>
      <c r="AH718" s="245"/>
      <c r="AI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  <c r="AB719" s="245"/>
      <c r="AC719" s="245"/>
      <c r="AD719" s="245"/>
      <c r="AE719" s="245"/>
      <c r="AF719" s="245"/>
      <c r="AG719" s="245"/>
      <c r="AH719" s="245"/>
      <c r="AI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  <c r="AB720" s="245"/>
      <c r="AC720" s="245"/>
      <c r="AD720" s="245"/>
      <c r="AE720" s="245"/>
      <c r="AF720" s="245"/>
      <c r="AG720" s="245"/>
      <c r="AH720" s="245"/>
      <c r="AI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  <c r="AB721" s="245"/>
      <c r="AC721" s="245"/>
      <c r="AD721" s="245"/>
      <c r="AE721" s="245"/>
      <c r="AF721" s="245"/>
      <c r="AG721" s="245"/>
      <c r="AH721" s="245"/>
      <c r="AI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  <c r="AB722" s="245"/>
      <c r="AC722" s="245"/>
      <c r="AD722" s="245"/>
      <c r="AE722" s="245"/>
      <c r="AF722" s="245"/>
      <c r="AG722" s="245"/>
      <c r="AH722" s="245"/>
      <c r="AI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  <c r="AB723" s="245"/>
      <c r="AC723" s="245"/>
      <c r="AD723" s="245"/>
      <c r="AE723" s="245"/>
      <c r="AF723" s="245"/>
      <c r="AG723" s="245"/>
      <c r="AH723" s="245"/>
      <c r="AI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  <c r="AB724" s="245"/>
      <c r="AC724" s="245"/>
      <c r="AD724" s="245"/>
      <c r="AE724" s="245"/>
      <c r="AF724" s="245"/>
      <c r="AG724" s="245"/>
      <c r="AH724" s="245"/>
      <c r="AI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  <c r="AB725" s="245"/>
      <c r="AC725" s="245"/>
      <c r="AD725" s="245"/>
      <c r="AE725" s="245"/>
      <c r="AF725" s="245"/>
      <c r="AG725" s="245"/>
      <c r="AH725" s="245"/>
      <c r="AI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  <c r="AB726" s="245"/>
      <c r="AC726" s="245"/>
      <c r="AD726" s="245"/>
      <c r="AE726" s="245"/>
      <c r="AF726" s="245"/>
      <c r="AG726" s="245"/>
      <c r="AH726" s="245"/>
      <c r="AI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  <c r="AB727" s="245"/>
      <c r="AC727" s="245"/>
      <c r="AD727" s="245"/>
      <c r="AE727" s="245"/>
      <c r="AF727" s="245"/>
      <c r="AG727" s="245"/>
      <c r="AH727" s="245"/>
      <c r="AI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  <c r="AB728" s="245"/>
      <c r="AC728" s="245"/>
      <c r="AD728" s="245"/>
      <c r="AE728" s="245"/>
      <c r="AF728" s="245"/>
      <c r="AG728" s="245"/>
      <c r="AH728" s="245"/>
      <c r="AI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  <c r="AB729" s="245"/>
      <c r="AC729" s="245"/>
      <c r="AD729" s="245"/>
      <c r="AE729" s="245"/>
      <c r="AF729" s="245"/>
      <c r="AG729" s="245"/>
      <c r="AH729" s="245"/>
      <c r="AI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  <c r="AB730" s="245"/>
      <c r="AC730" s="245"/>
      <c r="AD730" s="245"/>
      <c r="AE730" s="245"/>
      <c r="AF730" s="245"/>
      <c r="AG730" s="245"/>
      <c r="AH730" s="245"/>
      <c r="AI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  <c r="AB731" s="245"/>
      <c r="AC731" s="245"/>
      <c r="AD731" s="245"/>
      <c r="AE731" s="245"/>
      <c r="AF731" s="245"/>
      <c r="AG731" s="245"/>
      <c r="AH731" s="245"/>
      <c r="AI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  <c r="AB732" s="245"/>
      <c r="AC732" s="245"/>
      <c r="AD732" s="245"/>
      <c r="AE732" s="245"/>
      <c r="AF732" s="245"/>
      <c r="AG732" s="245"/>
      <c r="AH732" s="245"/>
      <c r="AI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  <c r="AB733" s="245"/>
      <c r="AC733" s="245"/>
      <c r="AD733" s="245"/>
      <c r="AE733" s="245"/>
      <c r="AF733" s="245"/>
      <c r="AG733" s="245"/>
      <c r="AH733" s="245"/>
      <c r="AI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  <c r="AB734" s="245"/>
      <c r="AC734" s="245"/>
      <c r="AD734" s="245"/>
      <c r="AE734" s="245"/>
      <c r="AF734" s="245"/>
      <c r="AG734" s="245"/>
      <c r="AH734" s="245"/>
      <c r="AI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  <c r="AB735" s="245"/>
      <c r="AC735" s="245"/>
      <c r="AD735" s="245"/>
      <c r="AE735" s="245"/>
      <c r="AF735" s="245"/>
      <c r="AG735" s="245"/>
      <c r="AH735" s="245"/>
      <c r="AI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  <c r="AB736" s="245"/>
      <c r="AC736" s="245"/>
      <c r="AD736" s="245"/>
      <c r="AE736" s="245"/>
      <c r="AF736" s="245"/>
      <c r="AG736" s="245"/>
      <c r="AH736" s="245"/>
      <c r="AI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  <c r="AB737" s="245"/>
      <c r="AC737" s="245"/>
      <c r="AD737" s="245"/>
      <c r="AE737" s="245"/>
      <c r="AF737" s="245"/>
      <c r="AG737" s="245"/>
      <c r="AH737" s="245"/>
      <c r="AI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  <c r="AB738" s="245"/>
      <c r="AC738" s="245"/>
      <c r="AD738" s="245"/>
      <c r="AE738" s="245"/>
      <c r="AF738" s="245"/>
      <c r="AG738" s="245"/>
      <c r="AH738" s="245"/>
      <c r="AI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  <c r="AB739" s="245"/>
      <c r="AC739" s="245"/>
      <c r="AD739" s="245"/>
      <c r="AE739" s="245"/>
      <c r="AF739" s="245"/>
      <c r="AG739" s="245"/>
      <c r="AH739" s="245"/>
      <c r="AI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  <c r="AB740" s="245"/>
      <c r="AC740" s="245"/>
      <c r="AD740" s="245"/>
      <c r="AE740" s="245"/>
      <c r="AF740" s="245"/>
      <c r="AG740" s="245"/>
      <c r="AH740" s="245"/>
      <c r="AI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  <c r="AB741" s="245"/>
      <c r="AC741" s="245"/>
      <c r="AD741" s="245"/>
      <c r="AE741" s="245"/>
      <c r="AF741" s="245"/>
      <c r="AG741" s="245"/>
      <c r="AH741" s="245"/>
      <c r="AI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  <c r="AB742" s="245"/>
      <c r="AC742" s="245"/>
      <c r="AD742" s="245"/>
      <c r="AE742" s="245"/>
      <c r="AF742" s="245"/>
      <c r="AG742" s="245"/>
      <c r="AH742" s="245"/>
      <c r="AI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  <c r="AB743" s="245"/>
      <c r="AC743" s="245"/>
      <c r="AD743" s="245"/>
      <c r="AE743" s="245"/>
      <c r="AF743" s="245"/>
      <c r="AG743" s="245"/>
      <c r="AH743" s="245"/>
      <c r="AI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  <c r="AB744" s="245"/>
      <c r="AC744" s="245"/>
      <c r="AD744" s="245"/>
      <c r="AE744" s="245"/>
      <c r="AF744" s="245"/>
      <c r="AG744" s="245"/>
      <c r="AH744" s="245"/>
      <c r="AI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  <c r="AB745" s="245"/>
      <c r="AC745" s="245"/>
      <c r="AD745" s="245"/>
      <c r="AE745" s="245"/>
      <c r="AF745" s="245"/>
      <c r="AG745" s="245"/>
      <c r="AH745" s="245"/>
      <c r="AI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  <c r="AB746" s="245"/>
      <c r="AC746" s="245"/>
      <c r="AD746" s="245"/>
      <c r="AE746" s="245"/>
      <c r="AF746" s="245"/>
      <c r="AG746" s="245"/>
      <c r="AH746" s="245"/>
      <c r="AI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  <c r="AB747" s="245"/>
      <c r="AC747" s="245"/>
      <c r="AD747" s="245"/>
      <c r="AE747" s="245"/>
      <c r="AF747" s="245"/>
      <c r="AG747" s="245"/>
      <c r="AH747" s="245"/>
      <c r="AI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  <c r="AB748" s="245"/>
      <c r="AC748" s="245"/>
      <c r="AD748" s="245"/>
      <c r="AE748" s="245"/>
      <c r="AF748" s="245"/>
      <c r="AG748" s="245"/>
      <c r="AH748" s="245"/>
      <c r="AI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  <c r="AB749" s="245"/>
      <c r="AC749" s="245"/>
      <c r="AD749" s="245"/>
      <c r="AE749" s="245"/>
      <c r="AF749" s="245"/>
      <c r="AG749" s="245"/>
      <c r="AH749" s="245"/>
      <c r="AI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  <c r="AB750" s="245"/>
      <c r="AC750" s="245"/>
      <c r="AD750" s="245"/>
      <c r="AE750" s="245"/>
      <c r="AF750" s="245"/>
      <c r="AG750" s="245"/>
      <c r="AH750" s="245"/>
      <c r="AI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  <c r="AB751" s="245"/>
      <c r="AC751" s="245"/>
      <c r="AD751" s="245"/>
      <c r="AE751" s="245"/>
      <c r="AF751" s="245"/>
      <c r="AG751" s="245"/>
      <c r="AH751" s="245"/>
      <c r="AI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  <c r="AB752" s="245"/>
      <c r="AC752" s="245"/>
      <c r="AD752" s="245"/>
      <c r="AE752" s="245"/>
      <c r="AF752" s="245"/>
      <c r="AG752" s="245"/>
      <c r="AH752" s="245"/>
      <c r="AI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  <c r="AB753" s="245"/>
      <c r="AC753" s="245"/>
      <c r="AD753" s="245"/>
      <c r="AE753" s="245"/>
      <c r="AF753" s="245"/>
      <c r="AG753" s="245"/>
      <c r="AH753" s="245"/>
      <c r="AI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  <c r="AB754" s="245"/>
      <c r="AC754" s="245"/>
      <c r="AD754" s="245"/>
      <c r="AE754" s="245"/>
      <c r="AF754" s="245"/>
      <c r="AG754" s="245"/>
      <c r="AH754" s="245"/>
      <c r="AI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  <c r="AB755" s="245"/>
      <c r="AC755" s="245"/>
      <c r="AD755" s="245"/>
      <c r="AE755" s="245"/>
      <c r="AF755" s="245"/>
      <c r="AG755" s="245"/>
      <c r="AH755" s="245"/>
      <c r="AI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  <c r="AE756" s="245"/>
      <c r="AF756" s="245"/>
      <c r="AG756" s="245"/>
      <c r="AH756" s="245"/>
      <c r="AI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  <c r="AB757" s="245"/>
      <c r="AC757" s="245"/>
      <c r="AD757" s="245"/>
      <c r="AE757" s="245"/>
      <c r="AF757" s="245"/>
      <c r="AG757" s="245"/>
      <c r="AH757" s="245"/>
      <c r="AI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  <c r="AB758" s="245"/>
      <c r="AC758" s="245"/>
      <c r="AD758" s="245"/>
      <c r="AE758" s="245"/>
      <c r="AF758" s="245"/>
      <c r="AG758" s="245"/>
      <c r="AH758" s="245"/>
      <c r="AI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  <c r="AB759" s="245"/>
      <c r="AC759" s="245"/>
      <c r="AD759" s="245"/>
      <c r="AE759" s="245"/>
      <c r="AF759" s="245"/>
      <c r="AG759" s="245"/>
      <c r="AH759" s="245"/>
      <c r="AI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  <c r="AB760" s="245"/>
      <c r="AC760" s="245"/>
      <c r="AD760" s="245"/>
      <c r="AE760" s="245"/>
      <c r="AF760" s="245"/>
      <c r="AG760" s="245"/>
      <c r="AH760" s="245"/>
      <c r="AI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  <c r="AB761" s="245"/>
      <c r="AC761" s="245"/>
      <c r="AD761" s="245"/>
      <c r="AE761" s="245"/>
      <c r="AF761" s="245"/>
      <c r="AG761" s="245"/>
      <c r="AH761" s="245"/>
      <c r="AI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  <c r="AB762" s="245"/>
      <c r="AC762" s="245"/>
      <c r="AD762" s="245"/>
      <c r="AE762" s="245"/>
      <c r="AF762" s="245"/>
      <c r="AG762" s="245"/>
      <c r="AH762" s="245"/>
      <c r="AI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  <c r="AB763" s="245"/>
      <c r="AC763" s="245"/>
      <c r="AD763" s="245"/>
      <c r="AE763" s="245"/>
      <c r="AF763" s="245"/>
      <c r="AG763" s="245"/>
      <c r="AH763" s="245"/>
      <c r="AI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  <c r="AB764" s="245"/>
      <c r="AC764" s="245"/>
      <c r="AD764" s="245"/>
      <c r="AE764" s="245"/>
      <c r="AF764" s="245"/>
      <c r="AG764" s="245"/>
      <c r="AH764" s="245"/>
      <c r="AI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  <c r="AB765" s="245"/>
      <c r="AC765" s="245"/>
      <c r="AD765" s="245"/>
      <c r="AE765" s="245"/>
      <c r="AF765" s="245"/>
      <c r="AG765" s="245"/>
      <c r="AH765" s="245"/>
      <c r="AI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  <c r="AB766" s="245"/>
      <c r="AC766" s="245"/>
      <c r="AD766" s="245"/>
      <c r="AE766" s="245"/>
      <c r="AF766" s="245"/>
      <c r="AG766" s="245"/>
      <c r="AH766" s="245"/>
      <c r="AI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  <c r="AB767" s="245"/>
      <c r="AC767" s="245"/>
      <c r="AD767" s="245"/>
      <c r="AE767" s="245"/>
      <c r="AF767" s="245"/>
      <c r="AG767" s="245"/>
      <c r="AH767" s="245"/>
      <c r="AI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  <c r="AB768" s="245"/>
      <c r="AC768" s="245"/>
      <c r="AD768" s="245"/>
      <c r="AE768" s="245"/>
      <c r="AF768" s="245"/>
      <c r="AG768" s="245"/>
      <c r="AH768" s="245"/>
      <c r="AI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  <c r="AB769" s="245"/>
      <c r="AC769" s="245"/>
      <c r="AD769" s="245"/>
      <c r="AE769" s="245"/>
      <c r="AF769" s="245"/>
      <c r="AG769" s="245"/>
      <c r="AH769" s="245"/>
      <c r="AI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  <c r="AB770" s="245"/>
      <c r="AC770" s="245"/>
      <c r="AD770" s="245"/>
      <c r="AE770" s="245"/>
      <c r="AF770" s="245"/>
      <c r="AG770" s="245"/>
      <c r="AH770" s="245"/>
      <c r="AI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  <c r="AB771" s="245"/>
      <c r="AC771" s="245"/>
      <c r="AD771" s="245"/>
      <c r="AE771" s="245"/>
      <c r="AF771" s="245"/>
      <c r="AG771" s="245"/>
      <c r="AH771" s="245"/>
      <c r="AI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  <c r="AB772" s="245"/>
      <c r="AC772" s="245"/>
      <c r="AD772" s="245"/>
      <c r="AE772" s="245"/>
      <c r="AF772" s="245"/>
      <c r="AG772" s="245"/>
      <c r="AH772" s="245"/>
      <c r="AI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  <c r="AB773" s="245"/>
      <c r="AC773" s="245"/>
      <c r="AD773" s="245"/>
      <c r="AE773" s="245"/>
      <c r="AF773" s="245"/>
      <c r="AG773" s="245"/>
      <c r="AH773" s="245"/>
      <c r="AI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  <c r="AB774" s="245"/>
      <c r="AC774" s="245"/>
      <c r="AD774" s="245"/>
      <c r="AE774" s="245"/>
      <c r="AF774" s="245"/>
      <c r="AG774" s="245"/>
      <c r="AH774" s="245"/>
      <c r="AI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  <c r="AB775" s="245"/>
      <c r="AC775" s="245"/>
      <c r="AD775" s="245"/>
      <c r="AE775" s="245"/>
      <c r="AF775" s="245"/>
      <c r="AG775" s="245"/>
      <c r="AH775" s="245"/>
      <c r="AI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  <c r="AB776" s="245"/>
      <c r="AC776" s="245"/>
      <c r="AD776" s="245"/>
      <c r="AE776" s="245"/>
      <c r="AF776" s="245"/>
      <c r="AG776" s="245"/>
      <c r="AH776" s="245"/>
      <c r="AI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  <c r="AB777" s="245"/>
      <c r="AC777" s="245"/>
      <c r="AD777" s="245"/>
      <c r="AE777" s="245"/>
      <c r="AF777" s="245"/>
      <c r="AG777" s="245"/>
      <c r="AH777" s="245"/>
      <c r="AI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  <c r="AB778" s="245"/>
      <c r="AC778" s="245"/>
      <c r="AD778" s="245"/>
      <c r="AE778" s="245"/>
      <c r="AF778" s="245"/>
      <c r="AG778" s="245"/>
      <c r="AH778" s="245"/>
      <c r="AI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  <c r="AB779" s="245"/>
      <c r="AC779" s="245"/>
      <c r="AD779" s="245"/>
      <c r="AE779" s="245"/>
      <c r="AF779" s="245"/>
      <c r="AG779" s="245"/>
      <c r="AH779" s="245"/>
      <c r="AI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  <c r="AB780" s="245"/>
      <c r="AC780" s="245"/>
      <c r="AD780" s="245"/>
      <c r="AE780" s="245"/>
      <c r="AF780" s="245"/>
      <c r="AG780" s="245"/>
      <c r="AH780" s="245"/>
      <c r="AI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  <c r="AB781" s="245"/>
      <c r="AC781" s="245"/>
      <c r="AD781" s="245"/>
      <c r="AE781" s="245"/>
      <c r="AF781" s="245"/>
      <c r="AG781" s="245"/>
      <c r="AH781" s="245"/>
      <c r="AI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  <c r="AB782" s="245"/>
      <c r="AC782" s="245"/>
      <c r="AD782" s="245"/>
      <c r="AE782" s="245"/>
      <c r="AF782" s="245"/>
      <c r="AG782" s="245"/>
      <c r="AH782" s="245"/>
      <c r="AI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  <c r="AB783" s="245"/>
      <c r="AC783" s="245"/>
      <c r="AD783" s="245"/>
      <c r="AE783" s="245"/>
      <c r="AF783" s="245"/>
      <c r="AG783" s="245"/>
      <c r="AH783" s="245"/>
      <c r="AI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  <c r="AB784" s="245"/>
      <c r="AC784" s="245"/>
      <c r="AD784" s="245"/>
      <c r="AE784" s="245"/>
      <c r="AF784" s="245"/>
      <c r="AG784" s="245"/>
      <c r="AH784" s="245"/>
      <c r="AI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  <c r="AB785" s="245"/>
      <c r="AC785" s="245"/>
      <c r="AD785" s="245"/>
      <c r="AE785" s="245"/>
      <c r="AF785" s="245"/>
      <c r="AG785" s="245"/>
      <c r="AH785" s="245"/>
      <c r="AI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  <c r="AB786" s="245"/>
      <c r="AC786" s="245"/>
      <c r="AD786" s="245"/>
      <c r="AE786" s="245"/>
      <c r="AF786" s="245"/>
      <c r="AG786" s="245"/>
      <c r="AH786" s="245"/>
      <c r="AI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  <c r="AB787" s="245"/>
      <c r="AC787" s="245"/>
      <c r="AD787" s="245"/>
      <c r="AE787" s="245"/>
      <c r="AF787" s="245"/>
      <c r="AG787" s="245"/>
      <c r="AH787" s="245"/>
      <c r="AI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  <c r="AB788" s="245"/>
      <c r="AC788" s="245"/>
      <c r="AD788" s="245"/>
      <c r="AE788" s="245"/>
      <c r="AF788" s="245"/>
      <c r="AG788" s="245"/>
      <c r="AH788" s="245"/>
      <c r="AI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  <c r="AB789" s="245"/>
      <c r="AC789" s="245"/>
      <c r="AD789" s="245"/>
      <c r="AE789" s="245"/>
      <c r="AF789" s="245"/>
      <c r="AG789" s="245"/>
      <c r="AH789" s="245"/>
      <c r="AI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  <c r="AB790" s="245"/>
      <c r="AC790" s="245"/>
      <c r="AD790" s="245"/>
      <c r="AE790" s="245"/>
      <c r="AF790" s="245"/>
      <c r="AG790" s="245"/>
      <c r="AH790" s="245"/>
      <c r="AI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  <c r="AB791" s="245"/>
      <c r="AC791" s="245"/>
      <c r="AD791" s="245"/>
      <c r="AE791" s="245"/>
      <c r="AF791" s="245"/>
      <c r="AG791" s="245"/>
      <c r="AH791" s="245"/>
      <c r="AI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  <c r="AB792" s="245"/>
      <c r="AC792" s="245"/>
      <c r="AD792" s="245"/>
      <c r="AE792" s="245"/>
      <c r="AF792" s="245"/>
      <c r="AG792" s="245"/>
      <c r="AH792" s="245"/>
      <c r="AI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  <c r="AB793" s="245"/>
      <c r="AC793" s="245"/>
      <c r="AD793" s="245"/>
      <c r="AE793" s="245"/>
      <c r="AF793" s="245"/>
      <c r="AG793" s="245"/>
      <c r="AH793" s="245"/>
      <c r="AI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  <c r="AB794" s="245"/>
      <c r="AC794" s="245"/>
      <c r="AD794" s="245"/>
      <c r="AE794" s="245"/>
      <c r="AF794" s="245"/>
      <c r="AG794" s="245"/>
      <c r="AH794" s="245"/>
      <c r="AI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  <c r="AB795" s="245"/>
      <c r="AC795" s="245"/>
      <c r="AD795" s="245"/>
      <c r="AE795" s="245"/>
      <c r="AF795" s="245"/>
      <c r="AG795" s="245"/>
      <c r="AH795" s="245"/>
      <c r="AI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  <c r="AB796" s="245"/>
      <c r="AC796" s="245"/>
      <c r="AD796" s="245"/>
      <c r="AE796" s="245"/>
      <c r="AF796" s="245"/>
      <c r="AG796" s="245"/>
      <c r="AH796" s="245"/>
      <c r="AI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  <c r="AB797" s="245"/>
      <c r="AC797" s="245"/>
      <c r="AD797" s="245"/>
      <c r="AE797" s="245"/>
      <c r="AF797" s="245"/>
      <c r="AG797" s="245"/>
      <c r="AH797" s="245"/>
      <c r="AI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  <c r="AB798" s="245"/>
      <c r="AC798" s="245"/>
      <c r="AD798" s="245"/>
      <c r="AE798" s="245"/>
      <c r="AF798" s="245"/>
      <c r="AG798" s="245"/>
      <c r="AH798" s="245"/>
      <c r="AI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  <c r="AB799" s="245"/>
      <c r="AC799" s="245"/>
      <c r="AD799" s="245"/>
      <c r="AE799" s="245"/>
      <c r="AF799" s="245"/>
      <c r="AG799" s="245"/>
      <c r="AH799" s="245"/>
      <c r="AI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  <c r="AB800" s="245"/>
      <c r="AC800" s="245"/>
      <c r="AD800" s="245"/>
      <c r="AE800" s="245"/>
      <c r="AF800" s="245"/>
      <c r="AG800" s="245"/>
      <c r="AH800" s="245"/>
      <c r="AI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  <c r="AB801" s="245"/>
      <c r="AC801" s="245"/>
      <c r="AD801" s="245"/>
      <c r="AE801" s="245"/>
      <c r="AF801" s="245"/>
      <c r="AG801" s="245"/>
      <c r="AH801" s="245"/>
      <c r="AI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  <c r="AB802" s="245"/>
      <c r="AC802" s="245"/>
      <c r="AD802" s="245"/>
      <c r="AE802" s="245"/>
      <c r="AF802" s="245"/>
      <c r="AG802" s="245"/>
      <c r="AH802" s="245"/>
      <c r="AI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  <c r="AB803" s="245"/>
      <c r="AC803" s="245"/>
      <c r="AD803" s="245"/>
      <c r="AE803" s="245"/>
      <c r="AF803" s="245"/>
      <c r="AG803" s="245"/>
      <c r="AH803" s="245"/>
      <c r="AI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  <c r="AB804" s="245"/>
      <c r="AC804" s="245"/>
      <c r="AD804" s="245"/>
      <c r="AE804" s="245"/>
      <c r="AF804" s="245"/>
      <c r="AG804" s="245"/>
      <c r="AH804" s="245"/>
      <c r="AI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  <c r="AB805" s="245"/>
      <c r="AC805" s="245"/>
      <c r="AD805" s="245"/>
      <c r="AE805" s="245"/>
      <c r="AF805" s="245"/>
      <c r="AG805" s="245"/>
      <c r="AH805" s="245"/>
      <c r="AI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  <c r="AB806" s="245"/>
      <c r="AC806" s="245"/>
      <c r="AD806" s="245"/>
      <c r="AE806" s="245"/>
      <c r="AF806" s="245"/>
      <c r="AG806" s="245"/>
      <c r="AH806" s="245"/>
      <c r="AI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  <c r="AB807" s="245"/>
      <c r="AC807" s="245"/>
      <c r="AD807" s="245"/>
      <c r="AE807" s="245"/>
      <c r="AF807" s="245"/>
      <c r="AG807" s="245"/>
      <c r="AH807" s="245"/>
      <c r="AI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  <c r="AB808" s="245"/>
      <c r="AC808" s="245"/>
      <c r="AD808" s="245"/>
      <c r="AE808" s="245"/>
      <c r="AF808" s="245"/>
      <c r="AG808" s="245"/>
      <c r="AH808" s="245"/>
      <c r="AI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  <c r="AE809" s="245"/>
      <c r="AF809" s="245"/>
      <c r="AG809" s="245"/>
      <c r="AH809" s="245"/>
      <c r="AI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  <c r="AB810" s="245"/>
      <c r="AC810" s="245"/>
      <c r="AD810" s="245"/>
      <c r="AE810" s="245"/>
      <c r="AF810" s="245"/>
      <c r="AG810" s="245"/>
      <c r="AH810" s="245"/>
      <c r="AI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  <c r="AB811" s="245"/>
      <c r="AC811" s="245"/>
      <c r="AD811" s="245"/>
      <c r="AE811" s="245"/>
      <c r="AF811" s="245"/>
      <c r="AG811" s="245"/>
      <c r="AH811" s="245"/>
      <c r="AI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  <c r="AB812" s="245"/>
      <c r="AC812" s="245"/>
      <c r="AD812" s="245"/>
      <c r="AE812" s="245"/>
      <c r="AF812" s="245"/>
      <c r="AG812" s="245"/>
      <c r="AH812" s="245"/>
      <c r="AI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  <c r="AB813" s="245"/>
      <c r="AC813" s="245"/>
      <c r="AD813" s="245"/>
      <c r="AE813" s="245"/>
      <c r="AF813" s="245"/>
      <c r="AG813" s="245"/>
      <c r="AH813" s="245"/>
      <c r="AI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  <c r="AB814" s="245"/>
      <c r="AC814" s="245"/>
      <c r="AD814" s="245"/>
      <c r="AE814" s="245"/>
      <c r="AF814" s="245"/>
      <c r="AG814" s="245"/>
      <c r="AH814" s="245"/>
      <c r="AI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  <c r="AB815" s="245"/>
      <c r="AC815" s="245"/>
      <c r="AD815" s="245"/>
      <c r="AE815" s="245"/>
      <c r="AF815" s="245"/>
      <c r="AG815" s="245"/>
      <c r="AH815" s="245"/>
      <c r="AI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  <c r="AB816" s="245"/>
      <c r="AC816" s="245"/>
      <c r="AD816" s="245"/>
      <c r="AE816" s="245"/>
      <c r="AF816" s="245"/>
      <c r="AG816" s="245"/>
      <c r="AH816" s="245"/>
      <c r="AI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  <c r="AB817" s="245"/>
      <c r="AC817" s="245"/>
      <c r="AD817" s="245"/>
      <c r="AE817" s="245"/>
      <c r="AF817" s="245"/>
      <c r="AG817" s="245"/>
      <c r="AH817" s="245"/>
      <c r="AI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  <c r="AB818" s="245"/>
      <c r="AC818" s="245"/>
      <c r="AD818" s="245"/>
      <c r="AE818" s="245"/>
      <c r="AF818" s="245"/>
      <c r="AG818" s="245"/>
      <c r="AH818" s="245"/>
      <c r="AI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  <c r="AB819" s="245"/>
      <c r="AC819" s="245"/>
      <c r="AD819" s="245"/>
      <c r="AE819" s="245"/>
      <c r="AF819" s="245"/>
      <c r="AG819" s="245"/>
      <c r="AH819" s="245"/>
      <c r="AI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  <c r="AB820" s="245"/>
      <c r="AC820" s="245"/>
      <c r="AD820" s="245"/>
      <c r="AE820" s="245"/>
      <c r="AF820" s="245"/>
      <c r="AG820" s="245"/>
      <c r="AH820" s="245"/>
      <c r="AI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  <c r="AB821" s="245"/>
      <c r="AC821" s="245"/>
      <c r="AD821" s="245"/>
      <c r="AE821" s="245"/>
      <c r="AF821" s="245"/>
      <c r="AG821" s="245"/>
      <c r="AH821" s="245"/>
      <c r="AI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  <c r="AB822" s="245"/>
      <c r="AC822" s="245"/>
      <c r="AD822" s="245"/>
      <c r="AE822" s="245"/>
      <c r="AF822" s="245"/>
      <c r="AG822" s="245"/>
      <c r="AH822" s="245"/>
      <c r="AI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  <c r="AB823" s="245"/>
      <c r="AC823" s="245"/>
      <c r="AD823" s="245"/>
      <c r="AE823" s="245"/>
      <c r="AF823" s="245"/>
      <c r="AG823" s="245"/>
      <c r="AH823" s="245"/>
      <c r="AI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  <c r="AB824" s="245"/>
      <c r="AC824" s="245"/>
      <c r="AD824" s="245"/>
      <c r="AE824" s="245"/>
      <c r="AF824" s="245"/>
      <c r="AG824" s="245"/>
      <c r="AH824" s="245"/>
      <c r="AI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  <c r="AB825" s="245"/>
      <c r="AC825" s="245"/>
      <c r="AD825" s="245"/>
      <c r="AE825" s="245"/>
      <c r="AF825" s="245"/>
      <c r="AG825" s="245"/>
      <c r="AH825" s="245"/>
      <c r="AI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  <c r="AB826" s="245"/>
      <c r="AC826" s="245"/>
      <c r="AD826" s="245"/>
      <c r="AE826" s="245"/>
      <c r="AF826" s="245"/>
      <c r="AG826" s="245"/>
      <c r="AH826" s="245"/>
      <c r="AI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  <c r="AB827" s="245"/>
      <c r="AC827" s="245"/>
      <c r="AD827" s="245"/>
      <c r="AE827" s="245"/>
      <c r="AF827" s="245"/>
      <c r="AG827" s="245"/>
      <c r="AH827" s="245"/>
      <c r="AI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  <c r="AB828" s="245"/>
      <c r="AC828" s="245"/>
      <c r="AD828" s="245"/>
      <c r="AE828" s="245"/>
      <c r="AF828" s="245"/>
      <c r="AG828" s="245"/>
      <c r="AH828" s="245"/>
      <c r="AI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  <c r="AB829" s="245"/>
      <c r="AC829" s="245"/>
      <c r="AD829" s="245"/>
      <c r="AE829" s="245"/>
      <c r="AF829" s="245"/>
      <c r="AG829" s="245"/>
      <c r="AH829" s="245"/>
      <c r="AI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  <c r="AB830" s="245"/>
      <c r="AC830" s="245"/>
      <c r="AD830" s="245"/>
      <c r="AE830" s="245"/>
      <c r="AF830" s="245"/>
      <c r="AG830" s="245"/>
      <c r="AH830" s="245"/>
      <c r="AI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  <c r="AB831" s="245"/>
      <c r="AC831" s="245"/>
      <c r="AD831" s="245"/>
      <c r="AE831" s="245"/>
      <c r="AF831" s="245"/>
      <c r="AG831" s="245"/>
      <c r="AH831" s="245"/>
      <c r="AI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  <c r="AB832" s="245"/>
      <c r="AC832" s="245"/>
      <c r="AD832" s="245"/>
      <c r="AE832" s="245"/>
      <c r="AF832" s="245"/>
      <c r="AG832" s="245"/>
      <c r="AH832" s="245"/>
      <c r="AI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  <c r="AB833" s="245"/>
      <c r="AC833" s="245"/>
      <c r="AD833" s="245"/>
      <c r="AE833" s="245"/>
      <c r="AF833" s="245"/>
      <c r="AG833" s="245"/>
      <c r="AH833" s="245"/>
      <c r="AI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  <c r="AB834" s="245"/>
      <c r="AC834" s="245"/>
      <c r="AD834" s="245"/>
      <c r="AE834" s="245"/>
      <c r="AF834" s="245"/>
      <c r="AG834" s="245"/>
      <c r="AH834" s="245"/>
      <c r="AI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  <c r="AB835" s="245"/>
      <c r="AC835" s="245"/>
      <c r="AD835" s="245"/>
      <c r="AE835" s="245"/>
      <c r="AF835" s="245"/>
      <c r="AG835" s="245"/>
      <c r="AH835" s="245"/>
      <c r="AI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  <c r="AB836" s="245"/>
      <c r="AC836" s="245"/>
      <c r="AD836" s="245"/>
      <c r="AE836" s="245"/>
      <c r="AF836" s="245"/>
      <c r="AG836" s="245"/>
      <c r="AH836" s="245"/>
      <c r="AI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  <c r="AB837" s="245"/>
      <c r="AC837" s="245"/>
      <c r="AD837" s="245"/>
      <c r="AE837" s="245"/>
      <c r="AF837" s="245"/>
      <c r="AG837" s="245"/>
      <c r="AH837" s="245"/>
      <c r="AI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  <c r="AB838" s="245"/>
      <c r="AC838" s="245"/>
      <c r="AD838" s="245"/>
      <c r="AE838" s="245"/>
      <c r="AF838" s="245"/>
      <c r="AG838" s="245"/>
      <c r="AH838" s="245"/>
      <c r="AI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  <c r="AB839" s="245"/>
      <c r="AC839" s="245"/>
      <c r="AD839" s="245"/>
      <c r="AE839" s="245"/>
      <c r="AF839" s="245"/>
      <c r="AG839" s="245"/>
      <c r="AH839" s="245"/>
      <c r="AI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  <c r="AB840" s="245"/>
      <c r="AC840" s="245"/>
      <c r="AD840" s="245"/>
      <c r="AE840" s="245"/>
      <c r="AF840" s="245"/>
      <c r="AG840" s="245"/>
      <c r="AH840" s="245"/>
      <c r="AI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  <c r="AB841" s="245"/>
      <c r="AC841" s="245"/>
      <c r="AD841" s="245"/>
      <c r="AE841" s="245"/>
      <c r="AF841" s="245"/>
      <c r="AG841" s="245"/>
      <c r="AH841" s="245"/>
      <c r="AI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  <c r="AB842" s="245"/>
      <c r="AC842" s="245"/>
      <c r="AD842" s="245"/>
      <c r="AE842" s="245"/>
      <c r="AF842" s="245"/>
      <c r="AG842" s="245"/>
      <c r="AH842" s="245"/>
      <c r="AI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  <c r="AB843" s="245"/>
      <c r="AC843" s="245"/>
      <c r="AD843" s="245"/>
      <c r="AE843" s="245"/>
      <c r="AF843" s="245"/>
      <c r="AG843" s="245"/>
      <c r="AH843" s="245"/>
      <c r="AI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  <c r="AB844" s="245"/>
      <c r="AC844" s="245"/>
      <c r="AD844" s="245"/>
      <c r="AE844" s="245"/>
      <c r="AF844" s="245"/>
      <c r="AG844" s="245"/>
      <c r="AH844" s="245"/>
      <c r="AI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  <c r="AB845" s="245"/>
      <c r="AC845" s="245"/>
      <c r="AD845" s="245"/>
      <c r="AE845" s="245"/>
      <c r="AF845" s="245"/>
      <c r="AG845" s="245"/>
      <c r="AH845" s="245"/>
      <c r="AI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  <c r="AB846" s="245"/>
      <c r="AC846" s="245"/>
      <c r="AD846" s="245"/>
      <c r="AE846" s="245"/>
      <c r="AF846" s="245"/>
      <c r="AG846" s="245"/>
      <c r="AH846" s="245"/>
      <c r="AI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  <c r="AB847" s="245"/>
      <c r="AC847" s="245"/>
      <c r="AD847" s="245"/>
      <c r="AE847" s="245"/>
      <c r="AF847" s="245"/>
      <c r="AG847" s="245"/>
      <c r="AH847" s="245"/>
      <c r="AI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  <c r="AB848" s="245"/>
      <c r="AC848" s="245"/>
      <c r="AD848" s="245"/>
      <c r="AE848" s="245"/>
      <c r="AF848" s="245"/>
      <c r="AG848" s="245"/>
      <c r="AH848" s="245"/>
      <c r="AI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  <c r="AB849" s="245"/>
      <c r="AC849" s="245"/>
      <c r="AD849" s="245"/>
      <c r="AE849" s="245"/>
      <c r="AF849" s="245"/>
      <c r="AG849" s="245"/>
      <c r="AH849" s="245"/>
      <c r="AI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  <c r="AB850" s="245"/>
      <c r="AC850" s="245"/>
      <c r="AD850" s="245"/>
      <c r="AE850" s="245"/>
      <c r="AF850" s="245"/>
      <c r="AG850" s="245"/>
      <c r="AH850" s="245"/>
      <c r="AI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  <c r="AB851" s="245"/>
      <c r="AC851" s="245"/>
      <c r="AD851" s="245"/>
      <c r="AE851" s="245"/>
      <c r="AF851" s="245"/>
      <c r="AG851" s="245"/>
      <c r="AH851" s="245"/>
      <c r="AI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  <c r="AB852" s="245"/>
      <c r="AC852" s="245"/>
      <c r="AD852" s="245"/>
      <c r="AE852" s="245"/>
      <c r="AF852" s="245"/>
      <c r="AG852" s="245"/>
      <c r="AH852" s="245"/>
      <c r="AI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  <c r="AB853" s="245"/>
      <c r="AC853" s="245"/>
      <c r="AD853" s="245"/>
      <c r="AE853" s="245"/>
      <c r="AF853" s="245"/>
      <c r="AG853" s="245"/>
      <c r="AH853" s="245"/>
      <c r="AI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  <c r="AB854" s="245"/>
      <c r="AC854" s="245"/>
      <c r="AD854" s="245"/>
      <c r="AE854" s="245"/>
      <c r="AF854" s="245"/>
      <c r="AG854" s="245"/>
      <c r="AH854" s="245"/>
      <c r="AI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  <c r="AB855" s="245"/>
      <c r="AC855" s="245"/>
      <c r="AD855" s="245"/>
      <c r="AE855" s="245"/>
      <c r="AF855" s="245"/>
      <c r="AG855" s="245"/>
      <c r="AH855" s="245"/>
      <c r="AI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  <c r="AB856" s="245"/>
      <c r="AC856" s="245"/>
      <c r="AD856" s="245"/>
      <c r="AE856" s="245"/>
      <c r="AF856" s="245"/>
      <c r="AG856" s="245"/>
      <c r="AH856" s="245"/>
      <c r="AI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  <c r="AB857" s="245"/>
      <c r="AC857" s="245"/>
      <c r="AD857" s="245"/>
      <c r="AE857" s="245"/>
      <c r="AF857" s="245"/>
      <c r="AG857" s="245"/>
      <c r="AH857" s="245"/>
      <c r="AI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  <c r="AB858" s="245"/>
      <c r="AC858" s="245"/>
      <c r="AD858" s="245"/>
      <c r="AE858" s="245"/>
      <c r="AF858" s="245"/>
      <c r="AG858" s="245"/>
      <c r="AH858" s="245"/>
      <c r="AI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  <c r="AB859" s="245"/>
      <c r="AC859" s="245"/>
      <c r="AD859" s="245"/>
      <c r="AE859" s="245"/>
      <c r="AF859" s="245"/>
      <c r="AG859" s="245"/>
      <c r="AH859" s="245"/>
      <c r="AI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  <c r="AB860" s="245"/>
      <c r="AC860" s="245"/>
      <c r="AD860" s="245"/>
      <c r="AE860" s="245"/>
      <c r="AF860" s="245"/>
      <c r="AG860" s="245"/>
      <c r="AH860" s="245"/>
      <c r="AI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  <c r="AE861" s="245"/>
      <c r="AF861" s="245"/>
      <c r="AG861" s="245"/>
      <c r="AH861" s="245"/>
      <c r="AI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  <c r="AB862" s="245"/>
      <c r="AC862" s="245"/>
      <c r="AD862" s="245"/>
      <c r="AE862" s="245"/>
      <c r="AF862" s="245"/>
      <c r="AG862" s="245"/>
      <c r="AH862" s="245"/>
      <c r="AI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  <c r="AB863" s="245"/>
      <c r="AC863" s="245"/>
      <c r="AD863" s="245"/>
      <c r="AE863" s="245"/>
      <c r="AF863" s="245"/>
      <c r="AG863" s="245"/>
      <c r="AH863" s="245"/>
      <c r="AI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  <c r="AB864" s="245"/>
      <c r="AC864" s="245"/>
      <c r="AD864" s="245"/>
      <c r="AE864" s="245"/>
      <c r="AF864" s="245"/>
      <c r="AG864" s="245"/>
      <c r="AH864" s="245"/>
      <c r="AI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  <c r="AB865" s="245"/>
      <c r="AC865" s="245"/>
      <c r="AD865" s="245"/>
      <c r="AE865" s="245"/>
      <c r="AF865" s="245"/>
      <c r="AG865" s="245"/>
      <c r="AH865" s="245"/>
      <c r="AI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  <c r="AB866" s="245"/>
      <c r="AC866" s="245"/>
      <c r="AD866" s="245"/>
      <c r="AE866" s="245"/>
      <c r="AF866" s="245"/>
      <c r="AG866" s="245"/>
      <c r="AH866" s="245"/>
      <c r="AI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  <c r="AB867" s="245"/>
      <c r="AC867" s="245"/>
      <c r="AD867" s="245"/>
      <c r="AE867" s="245"/>
      <c r="AF867" s="245"/>
      <c r="AG867" s="245"/>
      <c r="AH867" s="245"/>
      <c r="AI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  <c r="AB868" s="245"/>
      <c r="AC868" s="245"/>
      <c r="AD868" s="245"/>
      <c r="AE868" s="245"/>
      <c r="AF868" s="245"/>
      <c r="AG868" s="245"/>
      <c r="AH868" s="245"/>
      <c r="AI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  <c r="AB869" s="245"/>
      <c r="AC869" s="245"/>
      <c r="AD869" s="245"/>
      <c r="AE869" s="245"/>
      <c r="AF869" s="245"/>
      <c r="AG869" s="245"/>
      <c r="AH869" s="245"/>
      <c r="AI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  <c r="AB870" s="245"/>
      <c r="AC870" s="245"/>
      <c r="AD870" s="245"/>
      <c r="AE870" s="245"/>
      <c r="AF870" s="245"/>
      <c r="AG870" s="245"/>
      <c r="AH870" s="245"/>
      <c r="AI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  <c r="AB871" s="245"/>
      <c r="AC871" s="245"/>
      <c r="AD871" s="245"/>
      <c r="AE871" s="245"/>
      <c r="AF871" s="245"/>
      <c r="AG871" s="245"/>
      <c r="AH871" s="245"/>
      <c r="AI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  <c r="AB872" s="245"/>
      <c r="AC872" s="245"/>
      <c r="AD872" s="245"/>
      <c r="AE872" s="245"/>
      <c r="AF872" s="245"/>
      <c r="AG872" s="245"/>
      <c r="AH872" s="245"/>
      <c r="AI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  <c r="AB873" s="245"/>
      <c r="AC873" s="245"/>
      <c r="AD873" s="245"/>
      <c r="AE873" s="245"/>
      <c r="AF873" s="245"/>
      <c r="AG873" s="245"/>
      <c r="AH873" s="245"/>
      <c r="AI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  <c r="AB874" s="245"/>
      <c r="AC874" s="245"/>
      <c r="AD874" s="245"/>
      <c r="AE874" s="245"/>
      <c r="AF874" s="245"/>
      <c r="AG874" s="245"/>
      <c r="AH874" s="245"/>
      <c r="AI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  <c r="AB875" s="245"/>
      <c r="AC875" s="245"/>
      <c r="AD875" s="245"/>
      <c r="AE875" s="245"/>
      <c r="AF875" s="245"/>
      <c r="AG875" s="245"/>
      <c r="AH875" s="245"/>
      <c r="AI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  <c r="AB876" s="245"/>
      <c r="AC876" s="245"/>
      <c r="AD876" s="245"/>
      <c r="AE876" s="245"/>
      <c r="AF876" s="245"/>
      <c r="AG876" s="245"/>
      <c r="AH876" s="245"/>
      <c r="AI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  <c r="AB877" s="245"/>
      <c r="AC877" s="245"/>
      <c r="AD877" s="245"/>
      <c r="AE877" s="245"/>
      <c r="AF877" s="245"/>
      <c r="AG877" s="245"/>
      <c r="AH877" s="245"/>
      <c r="AI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  <c r="AB878" s="245"/>
      <c r="AC878" s="245"/>
      <c r="AD878" s="245"/>
      <c r="AE878" s="245"/>
      <c r="AF878" s="245"/>
      <c r="AG878" s="245"/>
      <c r="AH878" s="245"/>
      <c r="AI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  <c r="AB879" s="245"/>
      <c r="AC879" s="245"/>
      <c r="AD879" s="245"/>
      <c r="AE879" s="245"/>
      <c r="AF879" s="245"/>
      <c r="AG879" s="245"/>
      <c r="AH879" s="245"/>
      <c r="AI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  <c r="AB880" s="245"/>
      <c r="AC880" s="245"/>
      <c r="AD880" s="245"/>
      <c r="AE880" s="245"/>
      <c r="AF880" s="245"/>
      <c r="AG880" s="245"/>
      <c r="AH880" s="245"/>
      <c r="AI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  <c r="AB881" s="245"/>
      <c r="AC881" s="245"/>
      <c r="AD881" s="245"/>
      <c r="AE881" s="245"/>
      <c r="AF881" s="245"/>
      <c r="AG881" s="245"/>
      <c r="AH881" s="245"/>
      <c r="AI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  <c r="AB882" s="245"/>
      <c r="AC882" s="245"/>
      <c r="AD882" s="245"/>
      <c r="AE882" s="245"/>
      <c r="AF882" s="245"/>
      <c r="AG882" s="245"/>
      <c r="AH882" s="245"/>
      <c r="AI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  <c r="AB883" s="245"/>
      <c r="AC883" s="245"/>
      <c r="AD883" s="245"/>
      <c r="AE883" s="245"/>
      <c r="AF883" s="245"/>
      <c r="AG883" s="245"/>
      <c r="AH883" s="245"/>
      <c r="AI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  <c r="AB884" s="245"/>
      <c r="AC884" s="245"/>
      <c r="AD884" s="245"/>
      <c r="AE884" s="245"/>
      <c r="AF884" s="245"/>
      <c r="AG884" s="245"/>
      <c r="AH884" s="245"/>
      <c r="AI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  <c r="AB885" s="245"/>
      <c r="AC885" s="245"/>
      <c r="AD885" s="245"/>
      <c r="AE885" s="245"/>
      <c r="AF885" s="245"/>
      <c r="AG885" s="245"/>
      <c r="AH885" s="245"/>
      <c r="AI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  <c r="AB886" s="245"/>
      <c r="AC886" s="245"/>
      <c r="AD886" s="245"/>
      <c r="AE886" s="245"/>
      <c r="AF886" s="245"/>
      <c r="AG886" s="245"/>
      <c r="AH886" s="245"/>
      <c r="AI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  <c r="AB887" s="245"/>
      <c r="AC887" s="245"/>
      <c r="AD887" s="245"/>
      <c r="AE887" s="245"/>
      <c r="AF887" s="245"/>
      <c r="AG887" s="245"/>
      <c r="AH887" s="245"/>
      <c r="AI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  <c r="AB888" s="245"/>
      <c r="AC888" s="245"/>
      <c r="AD888" s="245"/>
      <c r="AE888" s="245"/>
      <c r="AF888" s="245"/>
      <c r="AG888" s="245"/>
      <c r="AH888" s="245"/>
      <c r="AI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  <c r="AB889" s="245"/>
      <c r="AC889" s="245"/>
      <c r="AD889" s="245"/>
      <c r="AE889" s="245"/>
      <c r="AF889" s="245"/>
      <c r="AG889" s="245"/>
      <c r="AH889" s="245"/>
      <c r="AI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  <c r="AB890" s="245"/>
      <c r="AC890" s="245"/>
      <c r="AD890" s="245"/>
      <c r="AE890" s="245"/>
      <c r="AF890" s="245"/>
      <c r="AG890" s="245"/>
      <c r="AH890" s="245"/>
      <c r="AI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  <c r="AB891" s="245"/>
      <c r="AC891" s="245"/>
      <c r="AD891" s="245"/>
      <c r="AE891" s="245"/>
      <c r="AF891" s="245"/>
      <c r="AG891" s="245"/>
      <c r="AH891" s="245"/>
      <c r="AI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  <c r="AB892" s="245"/>
      <c r="AC892" s="245"/>
      <c r="AD892" s="245"/>
      <c r="AE892" s="245"/>
      <c r="AF892" s="245"/>
      <c r="AG892" s="245"/>
      <c r="AH892" s="245"/>
      <c r="AI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  <c r="AB893" s="245"/>
      <c r="AC893" s="245"/>
      <c r="AD893" s="245"/>
      <c r="AE893" s="245"/>
      <c r="AF893" s="245"/>
      <c r="AG893" s="245"/>
      <c r="AH893" s="245"/>
      <c r="AI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  <c r="AB894" s="245"/>
      <c r="AC894" s="245"/>
      <c r="AD894" s="245"/>
      <c r="AE894" s="245"/>
      <c r="AF894" s="245"/>
      <c r="AG894" s="245"/>
      <c r="AH894" s="245"/>
      <c r="AI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  <c r="AD895" s="245"/>
      <c r="AE895" s="245"/>
      <c r="AF895" s="245"/>
      <c r="AG895" s="245"/>
      <c r="AH895" s="245"/>
      <c r="AI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  <c r="AB896" s="245"/>
      <c r="AC896" s="245"/>
      <c r="AD896" s="245"/>
      <c r="AE896" s="245"/>
      <c r="AF896" s="245"/>
      <c r="AG896" s="245"/>
      <c r="AH896" s="245"/>
      <c r="AI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  <c r="AB897" s="245"/>
      <c r="AC897" s="245"/>
      <c r="AD897" s="245"/>
      <c r="AE897" s="245"/>
      <c r="AF897" s="245"/>
      <c r="AG897" s="245"/>
      <c r="AH897" s="245"/>
      <c r="AI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  <c r="AB898" s="245"/>
      <c r="AC898" s="245"/>
      <c r="AD898" s="245"/>
      <c r="AE898" s="245"/>
      <c r="AF898" s="245"/>
      <c r="AG898" s="245"/>
      <c r="AH898" s="245"/>
      <c r="AI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  <c r="AD899" s="245"/>
      <c r="AE899" s="245"/>
      <c r="AF899" s="245"/>
      <c r="AG899" s="245"/>
      <c r="AH899" s="245"/>
      <c r="AI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  <c r="AB900" s="245"/>
      <c r="AC900" s="245"/>
      <c r="AD900" s="245"/>
      <c r="AE900" s="245"/>
      <c r="AF900" s="245"/>
      <c r="AG900" s="245"/>
      <c r="AH900" s="245"/>
      <c r="AI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  <c r="AB901" s="245"/>
      <c r="AC901" s="245"/>
      <c r="AD901" s="245"/>
      <c r="AE901" s="245"/>
      <c r="AF901" s="245"/>
      <c r="AG901" s="245"/>
      <c r="AH901" s="245"/>
      <c r="AI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  <c r="AB902" s="245"/>
      <c r="AC902" s="245"/>
      <c r="AD902" s="245"/>
      <c r="AE902" s="245"/>
      <c r="AF902" s="245"/>
      <c r="AG902" s="245"/>
      <c r="AH902" s="245"/>
      <c r="AI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  <c r="AB903" s="245"/>
      <c r="AC903" s="245"/>
      <c r="AD903" s="245"/>
      <c r="AE903" s="245"/>
      <c r="AF903" s="245"/>
      <c r="AG903" s="245"/>
      <c r="AH903" s="245"/>
      <c r="AI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  <c r="AB904" s="245"/>
      <c r="AC904" s="245"/>
      <c r="AD904" s="245"/>
      <c r="AE904" s="245"/>
      <c r="AF904" s="245"/>
      <c r="AG904" s="245"/>
      <c r="AH904" s="245"/>
      <c r="AI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  <c r="AB905" s="245"/>
      <c r="AC905" s="245"/>
      <c r="AD905" s="245"/>
      <c r="AE905" s="245"/>
      <c r="AF905" s="245"/>
      <c r="AG905" s="245"/>
      <c r="AH905" s="245"/>
      <c r="AI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  <c r="AB906" s="245"/>
      <c r="AC906" s="245"/>
      <c r="AD906" s="245"/>
      <c r="AE906" s="245"/>
      <c r="AF906" s="245"/>
      <c r="AG906" s="245"/>
      <c r="AH906" s="245"/>
      <c r="AI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  <c r="AB907" s="245"/>
      <c r="AC907" s="245"/>
      <c r="AD907" s="245"/>
      <c r="AE907" s="245"/>
      <c r="AF907" s="245"/>
      <c r="AG907" s="245"/>
      <c r="AH907" s="245"/>
      <c r="AI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  <c r="AB908" s="245"/>
      <c r="AC908" s="245"/>
      <c r="AD908" s="245"/>
      <c r="AE908" s="245"/>
      <c r="AF908" s="245"/>
      <c r="AG908" s="245"/>
      <c r="AH908" s="245"/>
      <c r="AI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  <c r="AB909" s="245"/>
      <c r="AC909" s="245"/>
      <c r="AD909" s="245"/>
      <c r="AE909" s="245"/>
      <c r="AF909" s="245"/>
      <c r="AG909" s="245"/>
      <c r="AH909" s="245"/>
      <c r="AI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  <c r="AB910" s="245"/>
      <c r="AC910" s="245"/>
      <c r="AD910" s="245"/>
      <c r="AE910" s="245"/>
      <c r="AF910" s="245"/>
      <c r="AG910" s="245"/>
      <c r="AH910" s="245"/>
      <c r="AI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  <c r="AB911" s="245"/>
      <c r="AC911" s="245"/>
      <c r="AD911" s="245"/>
      <c r="AE911" s="245"/>
      <c r="AF911" s="245"/>
      <c r="AG911" s="245"/>
      <c r="AH911" s="245"/>
      <c r="AI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  <c r="AB912" s="245"/>
      <c r="AC912" s="245"/>
      <c r="AD912" s="245"/>
      <c r="AE912" s="245"/>
      <c r="AF912" s="245"/>
      <c r="AG912" s="245"/>
      <c r="AH912" s="245"/>
      <c r="AI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  <c r="AB913" s="245"/>
      <c r="AC913" s="245"/>
      <c r="AD913" s="245"/>
      <c r="AE913" s="245"/>
      <c r="AF913" s="245"/>
      <c r="AG913" s="245"/>
      <c r="AH913" s="245"/>
      <c r="AI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  <c r="AB914" s="245"/>
      <c r="AC914" s="245"/>
      <c r="AD914" s="245"/>
      <c r="AE914" s="245"/>
      <c r="AF914" s="245"/>
      <c r="AG914" s="245"/>
      <c r="AH914" s="245"/>
      <c r="AI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  <c r="AB915" s="245"/>
      <c r="AC915" s="245"/>
      <c r="AD915" s="245"/>
      <c r="AE915" s="245"/>
      <c r="AF915" s="245"/>
      <c r="AG915" s="245"/>
      <c r="AH915" s="245"/>
      <c r="AI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  <c r="AB916" s="245"/>
      <c r="AC916" s="245"/>
      <c r="AD916" s="245"/>
      <c r="AE916" s="245"/>
      <c r="AF916" s="245"/>
      <c r="AG916" s="245"/>
      <c r="AH916" s="245"/>
      <c r="AI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  <c r="AB917" s="245"/>
      <c r="AC917" s="245"/>
      <c r="AD917" s="245"/>
      <c r="AE917" s="245"/>
      <c r="AF917" s="245"/>
      <c r="AG917" s="245"/>
      <c r="AH917" s="245"/>
      <c r="AI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  <c r="AE918" s="245"/>
      <c r="AF918" s="245"/>
      <c r="AG918" s="245"/>
      <c r="AH918" s="245"/>
      <c r="AI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  <c r="AB919" s="245"/>
      <c r="AC919" s="245"/>
      <c r="AD919" s="245"/>
      <c r="AE919" s="245"/>
      <c r="AF919" s="245"/>
      <c r="AG919" s="245"/>
      <c r="AH919" s="245"/>
      <c r="AI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  <c r="AB920" s="245"/>
      <c r="AC920" s="245"/>
      <c r="AD920" s="245"/>
      <c r="AE920" s="245"/>
      <c r="AF920" s="245"/>
      <c r="AG920" s="245"/>
      <c r="AH920" s="245"/>
      <c r="AI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  <c r="AB921" s="245"/>
      <c r="AC921" s="245"/>
      <c r="AD921" s="245"/>
      <c r="AE921" s="245"/>
      <c r="AF921" s="245"/>
      <c r="AG921" s="245"/>
      <c r="AH921" s="245"/>
      <c r="AI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  <c r="AB922" s="245"/>
      <c r="AC922" s="245"/>
      <c r="AD922" s="245"/>
      <c r="AE922" s="245"/>
      <c r="AF922" s="245"/>
      <c r="AG922" s="245"/>
      <c r="AH922" s="245"/>
      <c r="AI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  <c r="AB923" s="245"/>
      <c r="AC923" s="245"/>
      <c r="AD923" s="245"/>
      <c r="AE923" s="245"/>
      <c r="AF923" s="245"/>
      <c r="AG923" s="245"/>
      <c r="AH923" s="245"/>
      <c r="AI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  <c r="AB924" s="245"/>
      <c r="AC924" s="245"/>
      <c r="AD924" s="245"/>
      <c r="AE924" s="245"/>
      <c r="AF924" s="245"/>
      <c r="AG924" s="245"/>
      <c r="AH924" s="245"/>
      <c r="AI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  <c r="AB925" s="245"/>
      <c r="AC925" s="245"/>
      <c r="AD925" s="245"/>
      <c r="AE925" s="245"/>
      <c r="AF925" s="245"/>
      <c r="AG925" s="245"/>
      <c r="AH925" s="245"/>
      <c r="AI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  <c r="AB926" s="245"/>
      <c r="AC926" s="245"/>
      <c r="AD926" s="245"/>
      <c r="AE926" s="245"/>
      <c r="AF926" s="245"/>
      <c r="AG926" s="245"/>
      <c r="AH926" s="245"/>
      <c r="AI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  <c r="AB927" s="245"/>
      <c r="AC927" s="245"/>
      <c r="AD927" s="245"/>
      <c r="AE927" s="245"/>
      <c r="AF927" s="245"/>
      <c r="AG927" s="245"/>
      <c r="AH927" s="245"/>
      <c r="AI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  <c r="AB928" s="245"/>
      <c r="AC928" s="245"/>
      <c r="AD928" s="245"/>
      <c r="AE928" s="245"/>
      <c r="AF928" s="245"/>
      <c r="AG928" s="245"/>
      <c r="AH928" s="245"/>
      <c r="AI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  <c r="AB929" s="245"/>
      <c r="AC929" s="245"/>
      <c r="AD929" s="245"/>
      <c r="AE929" s="245"/>
      <c r="AF929" s="245"/>
      <c r="AG929" s="245"/>
      <c r="AH929" s="245"/>
      <c r="AI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  <c r="AB930" s="245"/>
      <c r="AC930" s="245"/>
      <c r="AD930" s="245"/>
      <c r="AE930" s="245"/>
      <c r="AF930" s="245"/>
      <c r="AG930" s="245"/>
      <c r="AH930" s="245"/>
      <c r="AI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  <c r="AB931" s="245"/>
      <c r="AC931" s="245"/>
      <c r="AD931" s="245"/>
      <c r="AE931" s="245"/>
      <c r="AF931" s="245"/>
      <c r="AG931" s="245"/>
      <c r="AH931" s="245"/>
      <c r="AI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  <c r="AB932" s="245"/>
      <c r="AC932" s="245"/>
      <c r="AD932" s="245"/>
      <c r="AE932" s="245"/>
      <c r="AF932" s="245"/>
      <c r="AG932" s="245"/>
      <c r="AH932" s="245"/>
      <c r="AI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  <c r="AB933" s="245"/>
      <c r="AC933" s="245"/>
      <c r="AD933" s="245"/>
      <c r="AE933" s="245"/>
      <c r="AF933" s="245"/>
      <c r="AG933" s="245"/>
      <c r="AH933" s="245"/>
      <c r="AI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  <c r="AB934" s="245"/>
      <c r="AC934" s="245"/>
      <c r="AD934" s="245"/>
      <c r="AE934" s="245"/>
      <c r="AF934" s="245"/>
      <c r="AG934" s="245"/>
      <c r="AH934" s="245"/>
      <c r="AI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  <c r="AB935" s="245"/>
      <c r="AC935" s="245"/>
      <c r="AD935" s="245"/>
      <c r="AE935" s="245"/>
      <c r="AF935" s="245"/>
      <c r="AG935" s="245"/>
      <c r="AH935" s="245"/>
      <c r="AI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  <c r="AB936" s="245"/>
      <c r="AC936" s="245"/>
      <c r="AD936" s="245"/>
      <c r="AE936" s="245"/>
      <c r="AF936" s="245"/>
      <c r="AG936" s="245"/>
      <c r="AH936" s="245"/>
      <c r="AI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  <c r="AB937" s="245"/>
      <c r="AC937" s="245"/>
      <c r="AD937" s="245"/>
      <c r="AE937" s="245"/>
      <c r="AF937" s="245"/>
      <c r="AG937" s="245"/>
      <c r="AH937" s="245"/>
      <c r="AI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  <c r="AB938" s="245"/>
      <c r="AC938" s="245"/>
      <c r="AD938" s="245"/>
      <c r="AE938" s="245"/>
      <c r="AF938" s="245"/>
      <c r="AG938" s="245"/>
      <c r="AH938" s="245"/>
      <c r="AI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  <c r="AB939" s="245"/>
      <c r="AC939" s="245"/>
      <c r="AD939" s="245"/>
      <c r="AE939" s="245"/>
      <c r="AF939" s="245"/>
      <c r="AG939" s="245"/>
      <c r="AH939" s="245"/>
      <c r="AI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  <c r="AB940" s="245"/>
      <c r="AC940" s="245"/>
      <c r="AD940" s="245"/>
      <c r="AE940" s="245"/>
      <c r="AF940" s="245"/>
      <c r="AG940" s="245"/>
      <c r="AH940" s="245"/>
      <c r="AI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  <c r="AB941" s="245"/>
      <c r="AC941" s="245"/>
      <c r="AD941" s="245"/>
      <c r="AE941" s="245"/>
      <c r="AF941" s="245"/>
      <c r="AG941" s="245"/>
      <c r="AH941" s="245"/>
      <c r="AI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  <c r="AB942" s="245"/>
      <c r="AC942" s="245"/>
      <c r="AD942" s="245"/>
      <c r="AE942" s="245"/>
      <c r="AF942" s="245"/>
      <c r="AG942" s="245"/>
      <c r="AH942" s="245"/>
      <c r="AI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  <c r="AB943" s="245"/>
      <c r="AC943" s="245"/>
      <c r="AD943" s="245"/>
      <c r="AE943" s="245"/>
      <c r="AF943" s="245"/>
      <c r="AG943" s="245"/>
      <c r="AH943" s="245"/>
      <c r="AI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  <c r="AB944" s="245"/>
      <c r="AC944" s="245"/>
      <c r="AD944" s="245"/>
      <c r="AE944" s="245"/>
      <c r="AF944" s="245"/>
      <c r="AG944" s="245"/>
      <c r="AH944" s="245"/>
      <c r="AI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  <c r="AB945" s="245"/>
      <c r="AC945" s="245"/>
      <c r="AD945" s="245"/>
      <c r="AE945" s="245"/>
      <c r="AF945" s="245"/>
      <c r="AG945" s="245"/>
      <c r="AH945" s="245"/>
      <c r="AI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  <c r="AB946" s="245"/>
      <c r="AC946" s="245"/>
      <c r="AD946" s="245"/>
      <c r="AE946" s="245"/>
      <c r="AF946" s="245"/>
      <c r="AG946" s="245"/>
      <c r="AH946" s="245"/>
      <c r="AI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  <c r="AB947" s="245"/>
      <c r="AC947" s="245"/>
      <c r="AD947" s="245"/>
      <c r="AE947" s="245"/>
      <c r="AF947" s="245"/>
      <c r="AG947" s="245"/>
      <c r="AH947" s="245"/>
      <c r="AI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  <c r="AB948" s="245"/>
      <c r="AC948" s="245"/>
      <c r="AD948" s="245"/>
      <c r="AE948" s="245"/>
      <c r="AF948" s="245"/>
      <c r="AG948" s="245"/>
      <c r="AH948" s="245"/>
      <c r="AI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  <c r="AB949" s="245"/>
      <c r="AC949" s="245"/>
      <c r="AD949" s="245"/>
      <c r="AE949" s="245"/>
      <c r="AF949" s="245"/>
      <c r="AG949" s="245"/>
      <c r="AH949" s="245"/>
      <c r="AI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  <c r="AB950" s="245"/>
      <c r="AC950" s="245"/>
      <c r="AD950" s="245"/>
      <c r="AE950" s="245"/>
      <c r="AF950" s="245"/>
      <c r="AG950" s="245"/>
      <c r="AH950" s="245"/>
      <c r="AI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  <c r="AB951" s="245"/>
      <c r="AC951" s="245"/>
      <c r="AD951" s="245"/>
      <c r="AE951" s="245"/>
      <c r="AF951" s="245"/>
      <c r="AG951" s="245"/>
      <c r="AH951" s="245"/>
      <c r="AI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  <c r="AB952" s="245"/>
      <c r="AC952" s="245"/>
      <c r="AD952" s="245"/>
      <c r="AE952" s="245"/>
      <c r="AF952" s="245"/>
      <c r="AG952" s="245"/>
      <c r="AH952" s="245"/>
      <c r="AI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  <c r="AB953" s="245"/>
      <c r="AC953" s="245"/>
      <c r="AD953" s="245"/>
      <c r="AE953" s="245"/>
      <c r="AF953" s="245"/>
      <c r="AG953" s="245"/>
      <c r="AH953" s="245"/>
      <c r="AI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  <c r="AB954" s="245"/>
      <c r="AC954" s="245"/>
      <c r="AD954" s="245"/>
      <c r="AE954" s="245"/>
      <c r="AF954" s="245"/>
      <c r="AG954" s="245"/>
      <c r="AH954" s="245"/>
      <c r="AI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  <c r="AB955" s="245"/>
      <c r="AC955" s="245"/>
      <c r="AD955" s="245"/>
      <c r="AE955" s="245"/>
      <c r="AF955" s="245"/>
      <c r="AG955" s="245"/>
      <c r="AH955" s="245"/>
      <c r="AI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  <c r="AB956" s="245"/>
      <c r="AC956" s="245"/>
      <c r="AD956" s="245"/>
      <c r="AE956" s="245"/>
      <c r="AF956" s="245"/>
      <c r="AG956" s="245"/>
      <c r="AH956" s="245"/>
      <c r="AI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  <c r="AB957" s="245"/>
      <c r="AC957" s="245"/>
      <c r="AD957" s="245"/>
      <c r="AE957" s="245"/>
      <c r="AF957" s="245"/>
      <c r="AG957" s="245"/>
      <c r="AH957" s="245"/>
      <c r="AI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  <c r="AB958" s="245"/>
      <c r="AC958" s="245"/>
      <c r="AD958" s="245"/>
      <c r="AE958" s="245"/>
      <c r="AF958" s="245"/>
      <c r="AG958" s="245"/>
      <c r="AH958" s="245"/>
      <c r="AI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  <c r="AB959" s="245"/>
      <c r="AC959" s="245"/>
      <c r="AD959" s="245"/>
      <c r="AE959" s="245"/>
      <c r="AF959" s="245"/>
      <c r="AG959" s="245"/>
      <c r="AH959" s="245"/>
      <c r="AI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  <c r="AB960" s="245"/>
      <c r="AC960" s="245"/>
      <c r="AD960" s="245"/>
      <c r="AE960" s="245"/>
      <c r="AF960" s="245"/>
      <c r="AG960" s="245"/>
      <c r="AH960" s="245"/>
      <c r="AI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  <c r="AB961" s="245"/>
      <c r="AC961" s="245"/>
      <c r="AD961" s="245"/>
      <c r="AE961" s="245"/>
      <c r="AF961" s="245"/>
      <c r="AG961" s="245"/>
      <c r="AH961" s="245"/>
      <c r="AI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  <c r="AB962" s="245"/>
      <c r="AC962" s="245"/>
      <c r="AD962" s="245"/>
      <c r="AE962" s="245"/>
      <c r="AF962" s="245"/>
      <c r="AG962" s="245"/>
      <c r="AH962" s="245"/>
      <c r="AI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  <c r="AB963" s="245"/>
      <c r="AC963" s="245"/>
      <c r="AD963" s="245"/>
      <c r="AE963" s="245"/>
      <c r="AF963" s="245"/>
      <c r="AG963" s="245"/>
      <c r="AH963" s="245"/>
      <c r="AI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  <c r="AB964" s="245"/>
      <c r="AC964" s="245"/>
      <c r="AD964" s="245"/>
      <c r="AE964" s="245"/>
      <c r="AF964" s="245"/>
      <c r="AG964" s="245"/>
      <c r="AH964" s="245"/>
      <c r="AI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  <c r="AB965" s="245"/>
      <c r="AC965" s="245"/>
      <c r="AD965" s="245"/>
      <c r="AE965" s="245"/>
      <c r="AF965" s="245"/>
      <c r="AG965" s="245"/>
      <c r="AH965" s="245"/>
      <c r="AI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  <c r="AB966" s="245"/>
      <c r="AC966" s="245"/>
      <c r="AD966" s="245"/>
      <c r="AE966" s="245"/>
      <c r="AF966" s="245"/>
      <c r="AG966" s="245"/>
      <c r="AH966" s="245"/>
      <c r="AI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  <c r="AB967" s="245"/>
      <c r="AC967" s="245"/>
      <c r="AD967" s="245"/>
      <c r="AE967" s="245"/>
      <c r="AF967" s="245"/>
      <c r="AG967" s="245"/>
      <c r="AH967" s="245"/>
      <c r="AI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  <c r="AB968" s="245"/>
      <c r="AC968" s="245"/>
      <c r="AD968" s="245"/>
      <c r="AE968" s="245"/>
      <c r="AF968" s="245"/>
      <c r="AG968" s="245"/>
      <c r="AH968" s="245"/>
      <c r="AI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  <c r="AB969" s="245"/>
      <c r="AC969" s="245"/>
      <c r="AD969" s="245"/>
      <c r="AE969" s="245"/>
      <c r="AF969" s="245"/>
      <c r="AG969" s="245"/>
      <c r="AH969" s="245"/>
      <c r="AI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  <c r="AE970" s="245"/>
      <c r="AF970" s="245"/>
      <c r="AG970" s="245"/>
      <c r="AH970" s="245"/>
      <c r="AI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  <c r="AB971" s="245"/>
      <c r="AC971" s="245"/>
      <c r="AD971" s="245"/>
      <c r="AE971" s="245"/>
      <c r="AF971" s="245"/>
      <c r="AG971" s="245"/>
      <c r="AH971" s="245"/>
      <c r="AI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  <c r="AB972" s="245"/>
      <c r="AC972" s="245"/>
      <c r="AD972" s="245"/>
      <c r="AE972" s="245"/>
      <c r="AF972" s="245"/>
      <c r="AG972" s="245"/>
      <c r="AH972" s="245"/>
      <c r="AI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  <c r="AB973" s="245"/>
      <c r="AC973" s="245"/>
      <c r="AD973" s="245"/>
      <c r="AE973" s="245"/>
      <c r="AF973" s="245"/>
      <c r="AG973" s="245"/>
      <c r="AH973" s="245"/>
      <c r="AI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  <c r="AB974" s="245"/>
      <c r="AC974" s="245"/>
      <c r="AD974" s="245"/>
      <c r="AE974" s="245"/>
      <c r="AF974" s="245"/>
      <c r="AG974" s="245"/>
      <c r="AH974" s="245"/>
      <c r="AI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  <c r="AB975" s="245"/>
      <c r="AC975" s="245"/>
      <c r="AD975" s="245"/>
      <c r="AE975" s="245"/>
      <c r="AF975" s="245"/>
      <c r="AG975" s="245"/>
      <c r="AH975" s="245"/>
      <c r="AI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  <c r="AB976" s="245"/>
      <c r="AC976" s="245"/>
      <c r="AD976" s="245"/>
      <c r="AE976" s="245"/>
      <c r="AF976" s="245"/>
      <c r="AG976" s="245"/>
      <c r="AH976" s="245"/>
      <c r="AI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  <c r="AB977" s="245"/>
      <c r="AC977" s="245"/>
      <c r="AD977" s="245"/>
      <c r="AE977" s="245"/>
      <c r="AF977" s="245"/>
      <c r="AG977" s="245"/>
      <c r="AH977" s="245"/>
      <c r="AI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  <c r="AB978" s="245"/>
      <c r="AC978" s="245"/>
      <c r="AD978" s="245"/>
      <c r="AE978" s="245"/>
      <c r="AF978" s="245"/>
      <c r="AG978" s="245"/>
      <c r="AH978" s="245"/>
      <c r="AI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  <c r="AB979" s="245"/>
      <c r="AC979" s="245"/>
      <c r="AD979" s="245"/>
      <c r="AE979" s="245"/>
      <c r="AF979" s="245"/>
      <c r="AG979" s="245"/>
      <c r="AH979" s="245"/>
      <c r="AI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  <c r="AB980" s="245"/>
      <c r="AC980" s="245"/>
      <c r="AD980" s="245"/>
      <c r="AE980" s="245"/>
      <c r="AF980" s="245"/>
      <c r="AG980" s="245"/>
      <c r="AH980" s="245"/>
      <c r="AI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  <c r="AB981" s="245"/>
      <c r="AC981" s="245"/>
      <c r="AD981" s="245"/>
      <c r="AE981" s="245"/>
      <c r="AF981" s="245"/>
      <c r="AG981" s="245"/>
      <c r="AH981" s="245"/>
      <c r="AI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  <c r="AB982" s="245"/>
      <c r="AC982" s="245"/>
      <c r="AD982" s="245"/>
      <c r="AE982" s="245"/>
      <c r="AF982" s="245"/>
      <c r="AG982" s="245"/>
      <c r="AH982" s="245"/>
      <c r="AI982" s="245"/>
    </row>
    <row r="983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  <c r="AB983" s="245"/>
      <c r="AC983" s="245"/>
      <c r="AD983" s="245"/>
      <c r="AE983" s="245"/>
      <c r="AF983" s="245"/>
      <c r="AG983" s="245"/>
      <c r="AH983" s="245"/>
      <c r="AI983" s="245"/>
    </row>
    <row r="984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  <c r="AB984" s="245"/>
      <c r="AC984" s="245"/>
      <c r="AD984" s="245"/>
      <c r="AE984" s="245"/>
      <c r="AF984" s="245"/>
      <c r="AG984" s="245"/>
      <c r="AH984" s="245"/>
      <c r="AI984" s="245"/>
    </row>
    <row r="985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  <c r="AB985" s="245"/>
      <c r="AC985" s="245"/>
      <c r="AD985" s="245"/>
      <c r="AE985" s="245"/>
      <c r="AF985" s="245"/>
      <c r="AG985" s="245"/>
      <c r="AH985" s="245"/>
      <c r="AI985" s="245"/>
    </row>
    <row r="986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  <c r="AB986" s="245"/>
      <c r="AC986" s="245"/>
      <c r="AD986" s="245"/>
      <c r="AE986" s="245"/>
      <c r="AF986" s="245"/>
      <c r="AG986" s="245"/>
      <c r="AH986" s="245"/>
      <c r="AI986" s="245"/>
    </row>
    <row r="987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  <c r="AB987" s="245"/>
      <c r="AC987" s="245"/>
      <c r="AD987" s="245"/>
      <c r="AE987" s="245"/>
      <c r="AF987" s="245"/>
      <c r="AG987" s="245"/>
      <c r="AH987" s="245"/>
      <c r="AI987" s="245"/>
    </row>
    <row r="988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  <c r="AB988" s="245"/>
      <c r="AC988" s="245"/>
      <c r="AD988" s="245"/>
      <c r="AE988" s="245"/>
      <c r="AF988" s="245"/>
      <c r="AG988" s="245"/>
      <c r="AH988" s="245"/>
      <c r="AI988" s="245"/>
    </row>
    <row r="989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  <c r="AB989" s="245"/>
      <c r="AC989" s="245"/>
      <c r="AD989" s="245"/>
      <c r="AE989" s="245"/>
      <c r="AF989" s="245"/>
      <c r="AG989" s="245"/>
      <c r="AH989" s="245"/>
      <c r="AI989" s="245"/>
    </row>
    <row r="990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  <c r="AB990" s="245"/>
      <c r="AC990" s="245"/>
      <c r="AD990" s="245"/>
      <c r="AE990" s="245"/>
      <c r="AF990" s="245"/>
      <c r="AG990" s="245"/>
      <c r="AH990" s="245"/>
      <c r="AI990" s="245"/>
    </row>
    <row r="99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  <c r="AB991" s="245"/>
      <c r="AC991" s="245"/>
      <c r="AD991" s="245"/>
      <c r="AE991" s="245"/>
      <c r="AF991" s="245"/>
      <c r="AG991" s="245"/>
      <c r="AH991" s="245"/>
      <c r="AI991" s="245"/>
    </row>
    <row r="992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  <c r="AB992" s="245"/>
      <c r="AC992" s="245"/>
      <c r="AD992" s="245"/>
      <c r="AE992" s="245"/>
      <c r="AF992" s="245"/>
      <c r="AG992" s="245"/>
      <c r="AH992" s="245"/>
      <c r="AI992" s="245"/>
    </row>
    <row r="993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  <c r="AB993" s="245"/>
      <c r="AC993" s="245"/>
      <c r="AD993" s="245"/>
      <c r="AE993" s="245"/>
      <c r="AF993" s="245"/>
      <c r="AG993" s="245"/>
      <c r="AH993" s="245"/>
      <c r="AI993" s="245"/>
    </row>
    <row r="994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  <c r="AB994" s="245"/>
      <c r="AC994" s="245"/>
      <c r="AD994" s="245"/>
      <c r="AE994" s="245"/>
      <c r="AF994" s="245"/>
      <c r="AG994" s="245"/>
      <c r="AH994" s="245"/>
      <c r="AI994" s="245"/>
    </row>
    <row r="995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  <c r="AB995" s="245"/>
      <c r="AC995" s="245"/>
      <c r="AD995" s="245"/>
      <c r="AE995" s="245"/>
      <c r="AF995" s="245"/>
      <c r="AG995" s="245"/>
      <c r="AH995" s="245"/>
      <c r="AI995" s="245"/>
    </row>
    <row r="996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  <c r="AB996" s="245"/>
      <c r="AC996" s="245"/>
      <c r="AD996" s="245"/>
      <c r="AE996" s="245"/>
      <c r="AF996" s="245"/>
      <c r="AG996" s="245"/>
      <c r="AH996" s="245"/>
      <c r="AI996" s="245"/>
    </row>
    <row r="997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  <c r="AB997" s="245"/>
      <c r="AC997" s="245"/>
      <c r="AD997" s="245"/>
      <c r="AE997" s="245"/>
      <c r="AF997" s="245"/>
      <c r="AG997" s="245"/>
      <c r="AH997" s="245"/>
      <c r="AI997" s="245"/>
    </row>
    <row r="998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  <c r="AB998" s="245"/>
      <c r="AC998" s="245"/>
      <c r="AD998" s="245"/>
      <c r="AE998" s="245"/>
      <c r="AF998" s="245"/>
      <c r="AG998" s="245"/>
      <c r="AH998" s="245"/>
      <c r="AI998" s="245"/>
    </row>
    <row r="999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  <c r="AB999" s="245"/>
      <c r="AC999" s="245"/>
      <c r="AD999" s="245"/>
      <c r="AE999" s="245"/>
      <c r="AF999" s="245"/>
      <c r="AG999" s="245"/>
      <c r="AH999" s="245"/>
      <c r="AI999" s="245"/>
    </row>
    <row r="1000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  <c r="AB1000" s="245"/>
      <c r="AC1000" s="245"/>
      <c r="AD1000" s="245"/>
      <c r="AE1000" s="245"/>
      <c r="AF1000" s="245"/>
      <c r="AG1000" s="245"/>
      <c r="AH1000" s="245"/>
      <c r="AI1000" s="245"/>
    </row>
  </sheetData>
  <mergeCells count="37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B32:Y32"/>
    <mergeCell ref="B33:T33"/>
    <mergeCell ref="A36:F36"/>
    <mergeCell ref="G36:AD36"/>
    <mergeCell ref="C37:F37"/>
    <mergeCell ref="W37:AD37"/>
    <mergeCell ref="C40:F40"/>
    <mergeCell ref="A41:F41"/>
    <mergeCell ref="C45:F45"/>
    <mergeCell ref="G37:N37"/>
    <mergeCell ref="O37:V37"/>
    <mergeCell ref="C38:F38"/>
    <mergeCell ref="G38:N43"/>
    <mergeCell ref="O38:V43"/>
    <mergeCell ref="W38:AD43"/>
    <mergeCell ref="C39:F39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3.71"/>
    <col customWidth="1" min="3" max="3" width="5.57"/>
    <col customWidth="1" min="4" max="34" width="6.29"/>
  </cols>
  <sheetData>
    <row r="1">
      <c r="A1" s="245" t="s">
        <v>123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</row>
    <row r="2">
      <c r="A2" s="37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</row>
    <row r="3">
      <c r="A3" s="375"/>
      <c r="B3" s="376" t="s">
        <v>457</v>
      </c>
      <c r="AG3" s="245"/>
      <c r="AH3" s="245"/>
      <c r="AI3" s="245"/>
    </row>
    <row r="4">
      <c r="A4" s="375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</row>
    <row r="5">
      <c r="A5" s="375"/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</row>
    <row r="6">
      <c r="A6" s="37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</row>
    <row r="7">
      <c r="A7" s="378">
        <v>46113.0</v>
      </c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79"/>
      <c r="AG7" s="379"/>
      <c r="AH7" s="379"/>
      <c r="AI7" s="380"/>
    </row>
    <row r="8">
      <c r="A8" s="381" t="s">
        <v>420</v>
      </c>
      <c r="B8" s="381" t="s">
        <v>421</v>
      </c>
      <c r="C8" s="382"/>
      <c r="D8" s="383" t="s">
        <v>422</v>
      </c>
      <c r="E8" s="383" t="s">
        <v>422</v>
      </c>
      <c r="F8" s="383" t="s">
        <v>423</v>
      </c>
      <c r="G8" s="383" t="s">
        <v>424</v>
      </c>
      <c r="H8" s="383" t="s">
        <v>425</v>
      </c>
      <c r="I8" s="383" t="s">
        <v>422</v>
      </c>
      <c r="J8" s="384" t="s">
        <v>426</v>
      </c>
      <c r="K8" s="383" t="s">
        <v>422</v>
      </c>
      <c r="L8" s="383" t="s">
        <v>422</v>
      </c>
      <c r="M8" s="383" t="s">
        <v>423</v>
      </c>
      <c r="N8" s="383" t="s">
        <v>424</v>
      </c>
      <c r="O8" s="383" t="s">
        <v>425</v>
      </c>
      <c r="P8" s="383" t="s">
        <v>422</v>
      </c>
      <c r="Q8" s="384" t="s">
        <v>426</v>
      </c>
      <c r="R8" s="383" t="s">
        <v>422</v>
      </c>
      <c r="S8" s="383" t="s">
        <v>422</v>
      </c>
      <c r="T8" s="383" t="s">
        <v>423</v>
      </c>
      <c r="U8" s="383" t="s">
        <v>424</v>
      </c>
      <c r="V8" s="383" t="s">
        <v>425</v>
      </c>
      <c r="W8" s="383" t="s">
        <v>422</v>
      </c>
      <c r="X8" s="384" t="s">
        <v>426</v>
      </c>
      <c r="Y8" s="383" t="s">
        <v>422</v>
      </c>
      <c r="Z8" s="383" t="s">
        <v>422</v>
      </c>
      <c r="AA8" s="383" t="s">
        <v>423</v>
      </c>
      <c r="AB8" s="383" t="s">
        <v>424</v>
      </c>
      <c r="AC8" s="383" t="s">
        <v>425</v>
      </c>
      <c r="AD8" s="383" t="s">
        <v>422</v>
      </c>
      <c r="AE8" s="384" t="s">
        <v>426</v>
      </c>
      <c r="AF8" s="383" t="s">
        <v>422</v>
      </c>
      <c r="AG8" s="383" t="s">
        <v>422</v>
      </c>
      <c r="AH8" s="383"/>
      <c r="AI8" s="387"/>
    </row>
    <row r="9">
      <c r="A9" s="48"/>
      <c r="B9" s="48"/>
      <c r="C9" s="383">
        <v>28.0</v>
      </c>
      <c r="D9" s="386">
        <v>1.0</v>
      </c>
      <c r="E9" s="383">
        <v>2.0</v>
      </c>
      <c r="F9" s="383">
        <v>3.0</v>
      </c>
      <c r="G9" s="383">
        <v>4.0</v>
      </c>
      <c r="H9" s="383">
        <v>5.0</v>
      </c>
      <c r="I9" s="383">
        <v>6.0</v>
      </c>
      <c r="J9" s="383">
        <v>7.0</v>
      </c>
      <c r="K9" s="383">
        <v>8.0</v>
      </c>
      <c r="L9" s="383">
        <v>9.0</v>
      </c>
      <c r="M9" s="383">
        <v>10.0</v>
      </c>
      <c r="N9" s="383">
        <v>11.0</v>
      </c>
      <c r="O9" s="383">
        <v>12.0</v>
      </c>
      <c r="P9" s="383">
        <v>13.0</v>
      </c>
      <c r="Q9" s="386">
        <v>14.0</v>
      </c>
      <c r="R9" s="383">
        <v>15.0</v>
      </c>
      <c r="S9" s="383">
        <v>16.0</v>
      </c>
      <c r="T9" s="383">
        <v>17.0</v>
      </c>
      <c r="U9" s="383">
        <v>18.0</v>
      </c>
      <c r="V9" s="383">
        <v>19.0</v>
      </c>
      <c r="W9" s="383">
        <v>20.0</v>
      </c>
      <c r="X9" s="383">
        <v>21.0</v>
      </c>
      <c r="Y9" s="383">
        <v>22.0</v>
      </c>
      <c r="Z9" s="383">
        <v>23.0</v>
      </c>
      <c r="AA9" s="383">
        <v>24.0</v>
      </c>
      <c r="AB9" s="383">
        <v>25.0</v>
      </c>
      <c r="AC9" s="383">
        <v>26.0</v>
      </c>
      <c r="AD9" s="386">
        <v>27.0</v>
      </c>
      <c r="AE9" s="383">
        <v>28.0</v>
      </c>
      <c r="AF9" s="383">
        <v>29.0</v>
      </c>
      <c r="AG9" s="383">
        <v>30.0</v>
      </c>
      <c r="AH9" s="383"/>
      <c r="AI9" s="387"/>
    </row>
    <row r="10">
      <c r="A10" s="396">
        <v>1.0</v>
      </c>
      <c r="B10" s="394" t="s">
        <v>432</v>
      </c>
      <c r="C10" s="395"/>
      <c r="D10" s="396" t="s">
        <v>422</v>
      </c>
      <c r="E10" s="396" t="s">
        <v>422</v>
      </c>
      <c r="F10" s="446" t="s">
        <v>429</v>
      </c>
      <c r="G10" s="396" t="s">
        <v>428</v>
      </c>
      <c r="H10" s="396" t="s">
        <v>428</v>
      </c>
      <c r="I10" s="396" t="s">
        <v>428</v>
      </c>
      <c r="J10" s="396" t="s">
        <v>428</v>
      </c>
      <c r="K10" s="396" t="s">
        <v>428</v>
      </c>
      <c r="L10" s="396" t="s">
        <v>428</v>
      </c>
      <c r="M10" s="446" t="s">
        <v>429</v>
      </c>
      <c r="N10" s="396" t="s">
        <v>422</v>
      </c>
      <c r="O10" s="396" t="s">
        <v>422</v>
      </c>
      <c r="P10" s="396" t="s">
        <v>422</v>
      </c>
      <c r="Q10" s="396" t="s">
        <v>422</v>
      </c>
      <c r="R10" s="396" t="s">
        <v>422</v>
      </c>
      <c r="S10" s="396" t="s">
        <v>422</v>
      </c>
      <c r="T10" s="396" t="s">
        <v>422</v>
      </c>
      <c r="U10" s="446" t="s">
        <v>429</v>
      </c>
      <c r="V10" s="396" t="s">
        <v>428</v>
      </c>
      <c r="W10" s="396" t="s">
        <v>428</v>
      </c>
      <c r="X10" s="396" t="s">
        <v>428</v>
      </c>
      <c r="Y10" s="396" t="s">
        <v>428</v>
      </c>
      <c r="Z10" s="396" t="s">
        <v>428</v>
      </c>
      <c r="AA10" s="446" t="s">
        <v>429</v>
      </c>
      <c r="AB10" s="396" t="s">
        <v>422</v>
      </c>
      <c r="AC10" s="396" t="s">
        <v>422</v>
      </c>
      <c r="AD10" s="396" t="s">
        <v>422</v>
      </c>
      <c r="AE10" s="396" t="s">
        <v>422</v>
      </c>
      <c r="AF10" s="396" t="s">
        <v>422</v>
      </c>
      <c r="AG10" s="396" t="s">
        <v>422</v>
      </c>
      <c r="AH10" s="446" t="s">
        <v>429</v>
      </c>
      <c r="AI10" s="301" t="str">
        <f>COUNTIF(#REF!,"X")</f>
        <v>#REF!</v>
      </c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45"/>
    </row>
    <row r="12">
      <c r="A12" s="396">
        <v>2.0</v>
      </c>
      <c r="B12" s="398" t="s">
        <v>433</v>
      </c>
      <c r="C12" s="395"/>
      <c r="D12" s="396" t="s">
        <v>428</v>
      </c>
      <c r="E12" s="446" t="s">
        <v>429</v>
      </c>
      <c r="F12" s="396" t="s">
        <v>422</v>
      </c>
      <c r="G12" s="396" t="s">
        <v>422</v>
      </c>
      <c r="H12" s="396" t="s">
        <v>422</v>
      </c>
      <c r="I12" s="396" t="s">
        <v>422</v>
      </c>
      <c r="J12" s="396" t="s">
        <v>422</v>
      </c>
      <c r="K12" s="396" t="s">
        <v>422</v>
      </c>
      <c r="L12" s="446" t="s">
        <v>429</v>
      </c>
      <c r="M12" s="396" t="s">
        <v>428</v>
      </c>
      <c r="N12" s="396" t="s">
        <v>428</v>
      </c>
      <c r="O12" s="396" t="s">
        <v>458</v>
      </c>
      <c r="P12" s="396" t="s">
        <v>458</v>
      </c>
      <c r="Q12" s="396" t="s">
        <v>458</v>
      </c>
      <c r="R12" s="396" t="s">
        <v>428</v>
      </c>
      <c r="S12" s="396" t="s">
        <v>428</v>
      </c>
      <c r="T12" s="446" t="s">
        <v>429</v>
      </c>
      <c r="U12" s="396" t="s">
        <v>422</v>
      </c>
      <c r="V12" s="396" t="s">
        <v>422</v>
      </c>
      <c r="W12" s="396" t="s">
        <v>422</v>
      </c>
      <c r="X12" s="396" t="s">
        <v>422</v>
      </c>
      <c r="Y12" s="396" t="s">
        <v>422</v>
      </c>
      <c r="Z12" s="446" t="s">
        <v>429</v>
      </c>
      <c r="AA12" s="396" t="s">
        <v>428</v>
      </c>
      <c r="AB12" s="396" t="s">
        <v>458</v>
      </c>
      <c r="AC12" s="396" t="s">
        <v>458</v>
      </c>
      <c r="AD12" s="396" t="s">
        <v>428</v>
      </c>
      <c r="AE12" s="396" t="s">
        <v>428</v>
      </c>
      <c r="AF12" s="396" t="s">
        <v>428</v>
      </c>
      <c r="AG12" s="446" t="s">
        <v>429</v>
      </c>
      <c r="AH12" s="396" t="s">
        <v>422</v>
      </c>
      <c r="AI12" s="301" t="str">
        <f>COUNTIF(#REF!,"X")</f>
        <v>#REF!</v>
      </c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447" t="s">
        <v>392</v>
      </c>
      <c r="P13" s="447" t="s">
        <v>392</v>
      </c>
      <c r="Q13" s="447" t="s">
        <v>392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447" t="s">
        <v>392</v>
      </c>
      <c r="AC13" s="447" t="s">
        <v>392</v>
      </c>
      <c r="AD13" s="20"/>
      <c r="AE13" s="20"/>
      <c r="AF13" s="20"/>
      <c r="AG13" s="20"/>
      <c r="AH13" s="20"/>
      <c r="AI13" s="245"/>
    </row>
    <row r="14">
      <c r="A14" s="396">
        <v>3.0</v>
      </c>
      <c r="B14" s="398" t="s">
        <v>459</v>
      </c>
      <c r="C14" s="395"/>
      <c r="D14" s="391" t="s">
        <v>429</v>
      </c>
      <c r="E14" s="396" t="s">
        <v>428</v>
      </c>
      <c r="F14" s="396" t="s">
        <v>428</v>
      </c>
      <c r="G14" s="388" t="s">
        <v>428</v>
      </c>
      <c r="H14" s="388" t="s">
        <v>428</v>
      </c>
      <c r="I14" s="396" t="s">
        <v>422</v>
      </c>
      <c r="J14" s="396" t="s">
        <v>422</v>
      </c>
      <c r="K14" s="391" t="s">
        <v>429</v>
      </c>
      <c r="L14" s="396" t="s">
        <v>422</v>
      </c>
      <c r="M14" s="396" t="s">
        <v>422</v>
      </c>
      <c r="N14" s="388" t="s">
        <v>428</v>
      </c>
      <c r="O14" s="396" t="s">
        <v>422</v>
      </c>
      <c r="P14" s="396" t="s">
        <v>422</v>
      </c>
      <c r="Q14" s="396" t="s">
        <v>422</v>
      </c>
      <c r="R14" s="391" t="s">
        <v>429</v>
      </c>
      <c r="S14" s="396" t="s">
        <v>428</v>
      </c>
      <c r="T14" s="396" t="s">
        <v>428</v>
      </c>
      <c r="U14" s="388" t="s">
        <v>428</v>
      </c>
      <c r="V14" s="388" t="s">
        <v>428</v>
      </c>
      <c r="W14" s="392" t="s">
        <v>422</v>
      </c>
      <c r="X14" s="392" t="s">
        <v>422</v>
      </c>
      <c r="Y14" s="391" t="s">
        <v>429</v>
      </c>
      <c r="Z14" s="396" t="s">
        <v>422</v>
      </c>
      <c r="AA14" s="396" t="s">
        <v>422</v>
      </c>
      <c r="AB14" s="392" t="s">
        <v>422</v>
      </c>
      <c r="AC14" s="392" t="s">
        <v>422</v>
      </c>
      <c r="AD14" s="396" t="s">
        <v>428</v>
      </c>
      <c r="AE14" s="396" t="s">
        <v>428</v>
      </c>
      <c r="AF14" s="391" t="s">
        <v>429</v>
      </c>
      <c r="AG14" s="396" t="s">
        <v>428</v>
      </c>
      <c r="AH14" s="396" t="s">
        <v>428</v>
      </c>
      <c r="AI14" s="301">
        <f>COUNTIF(C10:AH10,"X")</f>
        <v>5</v>
      </c>
    </row>
    <row r="15">
      <c r="A15" s="20"/>
      <c r="B15" s="20"/>
      <c r="C15" s="20"/>
      <c r="D15" s="20"/>
      <c r="E15" s="20"/>
      <c r="F15" s="20"/>
      <c r="G15" s="20"/>
      <c r="H15" s="20"/>
      <c r="I15" s="133"/>
      <c r="J15" s="133"/>
      <c r="K15" s="133"/>
      <c r="L15" s="133"/>
      <c r="M15" s="133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45"/>
    </row>
    <row r="16">
      <c r="A16" s="448"/>
      <c r="B16" s="399"/>
      <c r="C16" s="20"/>
      <c r="D16" s="133"/>
      <c r="E16" s="133"/>
      <c r="F16" s="133"/>
      <c r="G16" s="401"/>
      <c r="H16" s="401"/>
      <c r="I16" s="133"/>
      <c r="J16" s="133"/>
      <c r="K16" s="401"/>
      <c r="L16" s="401"/>
      <c r="M16" s="391"/>
      <c r="N16" s="401"/>
      <c r="O16" s="401"/>
      <c r="P16" s="133"/>
      <c r="Q16" s="133"/>
      <c r="R16" s="391"/>
      <c r="S16" s="133"/>
      <c r="T16" s="133"/>
      <c r="U16" s="133"/>
      <c r="V16" s="133"/>
      <c r="W16" s="133"/>
      <c r="X16" s="133"/>
      <c r="Y16" s="401"/>
      <c r="Z16" s="401"/>
      <c r="AA16" s="391"/>
      <c r="AB16" s="133"/>
      <c r="AC16" s="133"/>
      <c r="AD16" s="401"/>
      <c r="AE16" s="401"/>
      <c r="AF16" s="133"/>
      <c r="AG16" s="133"/>
      <c r="AH16" s="20"/>
      <c r="AI16" s="301">
        <f>COUNTIF(C12:AH12,"X")</f>
        <v>5</v>
      </c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33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45"/>
    </row>
    <row r="18">
      <c r="A18" s="1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301" t="str">
        <f>COUNTIF(#REF!,"X")</f>
        <v>#REF!</v>
      </c>
    </row>
    <row r="19">
      <c r="A19" s="18"/>
      <c r="B19" s="18"/>
      <c r="C19" s="20"/>
      <c r="D19" s="20"/>
      <c r="E19" s="20"/>
      <c r="F19" s="20"/>
      <c r="G19" s="20"/>
      <c r="H19" s="20"/>
      <c r="I19" s="20"/>
      <c r="J19" s="245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45"/>
    </row>
    <row r="20">
      <c r="A20" s="18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301">
        <f>COUNTIF(C20:AH20,"X")</f>
        <v>0</v>
      </c>
    </row>
    <row r="21">
      <c r="A21" s="18"/>
      <c r="B21" s="18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301">
        <f>COUNTIF(D21:AH21,"X")</f>
        <v>0</v>
      </c>
    </row>
    <row r="22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</row>
    <row r="23">
      <c r="A23" s="245"/>
      <c r="B23" s="231" t="s">
        <v>434</v>
      </c>
      <c r="C23" s="402">
        <f t="shared" ref="C23:AH23" si="1">COUNTIF((C10:C20),"P")</f>
        <v>0</v>
      </c>
      <c r="D23" s="402">
        <f t="shared" si="1"/>
        <v>1</v>
      </c>
      <c r="E23" s="402">
        <f t="shared" si="1"/>
        <v>1</v>
      </c>
      <c r="F23" s="402">
        <f t="shared" si="1"/>
        <v>1</v>
      </c>
      <c r="G23" s="402">
        <f t="shared" si="1"/>
        <v>2</v>
      </c>
      <c r="H23" s="402">
        <f t="shared" si="1"/>
        <v>2</v>
      </c>
      <c r="I23" s="402">
        <f t="shared" si="1"/>
        <v>1</v>
      </c>
      <c r="J23" s="402">
        <f t="shared" si="1"/>
        <v>1</v>
      </c>
      <c r="K23" s="402">
        <f t="shared" si="1"/>
        <v>1</v>
      </c>
      <c r="L23" s="402">
        <f t="shared" si="1"/>
        <v>1</v>
      </c>
      <c r="M23" s="402">
        <f t="shared" si="1"/>
        <v>1</v>
      </c>
      <c r="N23" s="402">
        <f t="shared" si="1"/>
        <v>2</v>
      </c>
      <c r="O23" s="402">
        <f t="shared" si="1"/>
        <v>0</v>
      </c>
      <c r="P23" s="402">
        <f t="shared" si="1"/>
        <v>0</v>
      </c>
      <c r="Q23" s="402">
        <f t="shared" si="1"/>
        <v>0</v>
      </c>
      <c r="R23" s="402">
        <f t="shared" si="1"/>
        <v>1</v>
      </c>
      <c r="S23" s="402">
        <f t="shared" si="1"/>
        <v>2</v>
      </c>
      <c r="T23" s="402">
        <f t="shared" si="1"/>
        <v>1</v>
      </c>
      <c r="U23" s="402">
        <f t="shared" si="1"/>
        <v>1</v>
      </c>
      <c r="V23" s="402">
        <f t="shared" si="1"/>
        <v>2</v>
      </c>
      <c r="W23" s="402">
        <f t="shared" si="1"/>
        <v>1</v>
      </c>
      <c r="X23" s="402">
        <f t="shared" si="1"/>
        <v>1</v>
      </c>
      <c r="Y23" s="402">
        <f t="shared" si="1"/>
        <v>1</v>
      </c>
      <c r="Z23" s="402">
        <f t="shared" si="1"/>
        <v>1</v>
      </c>
      <c r="AA23" s="402">
        <f t="shared" si="1"/>
        <v>1</v>
      </c>
      <c r="AB23" s="402">
        <f t="shared" si="1"/>
        <v>0</v>
      </c>
      <c r="AC23" s="402">
        <f t="shared" si="1"/>
        <v>0</v>
      </c>
      <c r="AD23" s="402">
        <f t="shared" si="1"/>
        <v>2</v>
      </c>
      <c r="AE23" s="402">
        <f t="shared" si="1"/>
        <v>2</v>
      </c>
      <c r="AF23" s="402">
        <f t="shared" si="1"/>
        <v>1</v>
      </c>
      <c r="AG23" s="402">
        <f t="shared" si="1"/>
        <v>1</v>
      </c>
      <c r="AH23" s="402">
        <f t="shared" si="1"/>
        <v>1</v>
      </c>
      <c r="AI23" s="301">
        <f>COUNTIF(D23:AH23,"X")</f>
        <v>0</v>
      </c>
    </row>
    <row r="24">
      <c r="A24" s="245"/>
      <c r="B24" s="231" t="s">
        <v>435</v>
      </c>
      <c r="C24" s="402">
        <f t="shared" ref="C24:AH24" si="2">COUNTIF((C10:C20),"S")</f>
        <v>0</v>
      </c>
      <c r="D24" s="402">
        <f t="shared" si="2"/>
        <v>1</v>
      </c>
      <c r="E24" s="402">
        <f t="shared" si="2"/>
        <v>1</v>
      </c>
      <c r="F24" s="402">
        <f t="shared" si="2"/>
        <v>1</v>
      </c>
      <c r="G24" s="402">
        <f t="shared" si="2"/>
        <v>1</v>
      </c>
      <c r="H24" s="402">
        <f t="shared" si="2"/>
        <v>1</v>
      </c>
      <c r="I24" s="402">
        <f t="shared" si="2"/>
        <v>2</v>
      </c>
      <c r="J24" s="402">
        <f t="shared" si="2"/>
        <v>2</v>
      </c>
      <c r="K24" s="402">
        <f t="shared" si="2"/>
        <v>1</v>
      </c>
      <c r="L24" s="402">
        <f t="shared" si="2"/>
        <v>1</v>
      </c>
      <c r="M24" s="402">
        <f t="shared" si="2"/>
        <v>1</v>
      </c>
      <c r="N24" s="402">
        <f t="shared" si="2"/>
        <v>1</v>
      </c>
      <c r="O24" s="402">
        <f t="shared" si="2"/>
        <v>2</v>
      </c>
      <c r="P24" s="402">
        <f t="shared" si="2"/>
        <v>2</v>
      </c>
      <c r="Q24" s="402">
        <f t="shared" si="2"/>
        <v>2</v>
      </c>
      <c r="R24" s="402">
        <f t="shared" si="2"/>
        <v>1</v>
      </c>
      <c r="S24" s="402">
        <f t="shared" si="2"/>
        <v>1</v>
      </c>
      <c r="T24" s="402">
        <f t="shared" si="2"/>
        <v>1</v>
      </c>
      <c r="U24" s="402">
        <f t="shared" si="2"/>
        <v>1</v>
      </c>
      <c r="V24" s="402">
        <f t="shared" si="2"/>
        <v>1</v>
      </c>
      <c r="W24" s="402">
        <f t="shared" si="2"/>
        <v>2</v>
      </c>
      <c r="X24" s="402">
        <f t="shared" si="2"/>
        <v>2</v>
      </c>
      <c r="Y24" s="402">
        <f t="shared" si="2"/>
        <v>1</v>
      </c>
      <c r="Z24" s="402">
        <f t="shared" si="2"/>
        <v>1</v>
      </c>
      <c r="AA24" s="402">
        <f t="shared" si="2"/>
        <v>1</v>
      </c>
      <c r="AB24" s="402">
        <f t="shared" si="2"/>
        <v>2</v>
      </c>
      <c r="AC24" s="402">
        <f t="shared" si="2"/>
        <v>2</v>
      </c>
      <c r="AD24" s="402">
        <f t="shared" si="2"/>
        <v>1</v>
      </c>
      <c r="AE24" s="402">
        <f t="shared" si="2"/>
        <v>1</v>
      </c>
      <c r="AF24" s="402">
        <f t="shared" si="2"/>
        <v>1</v>
      </c>
      <c r="AG24" s="402">
        <f t="shared" si="2"/>
        <v>1</v>
      </c>
      <c r="AH24" s="402">
        <f t="shared" si="2"/>
        <v>1</v>
      </c>
      <c r="AI24" s="245"/>
    </row>
    <row r="25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</row>
    <row r="26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</row>
    <row r="27">
      <c r="A27" s="403" t="s">
        <v>436</v>
      </c>
      <c r="B27" s="404"/>
      <c r="C27" s="40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406" t="s">
        <v>437</v>
      </c>
      <c r="R27" s="407"/>
      <c r="S27" s="407"/>
      <c r="T27" s="407"/>
      <c r="U27" s="407"/>
      <c r="V27" s="407"/>
      <c r="W27" s="407"/>
      <c r="X27" s="407"/>
      <c r="Y27" s="407"/>
      <c r="Z27" s="407"/>
      <c r="AA27" s="407"/>
      <c r="AB27" s="408"/>
      <c r="AC27" s="245"/>
      <c r="AD27" s="245"/>
      <c r="AE27" s="245"/>
      <c r="AF27" s="245"/>
      <c r="AG27" s="245"/>
      <c r="AH27" s="245"/>
      <c r="AI27" s="245"/>
    </row>
    <row r="28">
      <c r="A28" s="409" t="s">
        <v>428</v>
      </c>
      <c r="B28" s="410" t="s">
        <v>460</v>
      </c>
      <c r="C28" s="411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3"/>
      <c r="Q28" s="414" t="s">
        <v>432</v>
      </c>
      <c r="R28" s="415"/>
      <c r="S28" s="415"/>
      <c r="T28" s="416"/>
      <c r="U28" s="414" t="s">
        <v>461</v>
      </c>
      <c r="V28" s="415"/>
      <c r="W28" s="415"/>
      <c r="X28" s="416"/>
      <c r="Y28" s="414" t="s">
        <v>459</v>
      </c>
      <c r="Z28" s="415"/>
      <c r="AA28" s="415"/>
      <c r="AB28" s="416"/>
      <c r="AC28" s="245"/>
      <c r="AD28" s="245"/>
      <c r="AE28" s="245"/>
      <c r="AF28" s="245"/>
      <c r="AG28" s="245"/>
      <c r="AH28" s="245"/>
      <c r="AI28" s="245"/>
    </row>
    <row r="29">
      <c r="A29" s="417" t="s">
        <v>429</v>
      </c>
      <c r="B29" s="418" t="s">
        <v>14</v>
      </c>
      <c r="C29" s="411"/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3"/>
      <c r="Q29" s="419"/>
      <c r="T29" s="420"/>
      <c r="U29" s="419"/>
      <c r="X29" s="420"/>
      <c r="Y29" s="419"/>
      <c r="AB29" s="420"/>
      <c r="AC29" s="245"/>
      <c r="AD29" s="245"/>
      <c r="AE29" s="245"/>
      <c r="AF29" s="245"/>
      <c r="AG29" s="245"/>
      <c r="AH29" s="245"/>
      <c r="AI29" s="245"/>
    </row>
    <row r="30">
      <c r="A30" s="421" t="s">
        <v>422</v>
      </c>
      <c r="B30" s="410" t="s">
        <v>441</v>
      </c>
      <c r="C30" s="411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3"/>
      <c r="Q30" s="422"/>
      <c r="R30" s="412"/>
      <c r="S30" s="412"/>
      <c r="T30" s="413"/>
      <c r="U30" s="422"/>
      <c r="V30" s="412"/>
      <c r="W30" s="412"/>
      <c r="X30" s="413"/>
      <c r="Y30" s="422"/>
      <c r="Z30" s="412"/>
      <c r="AA30" s="412"/>
      <c r="AB30" s="413"/>
      <c r="AC30" s="245"/>
      <c r="AD30" s="245"/>
      <c r="AE30" s="245"/>
      <c r="AF30" s="245"/>
      <c r="AG30" s="245"/>
      <c r="AH30" s="245"/>
      <c r="AI30" s="245"/>
    </row>
    <row r="31">
      <c r="A31" s="421" t="s">
        <v>462</v>
      </c>
      <c r="B31" s="410" t="s">
        <v>463</v>
      </c>
      <c r="C31" s="449" t="s">
        <v>464</v>
      </c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3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</row>
    <row r="32">
      <c r="A32" s="423">
        <v>1.0</v>
      </c>
      <c r="B32" s="424" t="s">
        <v>442</v>
      </c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</row>
    <row r="33">
      <c r="A33" s="423">
        <v>2.0</v>
      </c>
      <c r="B33" s="424" t="s">
        <v>443</v>
      </c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</row>
    <row r="34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</row>
    <row r="35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</row>
    <row r="36">
      <c r="A36" s="425" t="s">
        <v>444</v>
      </c>
      <c r="B36" s="407"/>
      <c r="C36" s="407"/>
      <c r="D36" s="407"/>
      <c r="E36" s="407"/>
      <c r="F36" s="408"/>
      <c r="G36" s="426" t="s">
        <v>465</v>
      </c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8"/>
      <c r="AE36" s="245"/>
      <c r="AF36" s="245"/>
      <c r="AG36" s="245"/>
      <c r="AH36" s="245"/>
      <c r="AI36" s="245"/>
    </row>
    <row r="37">
      <c r="A37" s="429">
        <v>1.0</v>
      </c>
      <c r="B37" s="430" t="s">
        <v>440</v>
      </c>
      <c r="C37" s="431">
        <v>8.9616930217E10</v>
      </c>
      <c r="D37" s="407"/>
      <c r="E37" s="407"/>
      <c r="F37" s="408"/>
      <c r="G37" s="432" t="s">
        <v>446</v>
      </c>
      <c r="H37" s="191"/>
      <c r="I37" s="191"/>
      <c r="J37" s="191"/>
      <c r="K37" s="191"/>
      <c r="L37" s="191"/>
      <c r="M37" s="191"/>
      <c r="N37" s="192"/>
      <c r="O37" s="432" t="s">
        <v>447</v>
      </c>
      <c r="P37" s="191"/>
      <c r="Q37" s="191"/>
      <c r="R37" s="191"/>
      <c r="S37" s="191"/>
      <c r="T37" s="191"/>
      <c r="U37" s="191"/>
      <c r="V37" s="192"/>
      <c r="W37" s="432" t="s">
        <v>448</v>
      </c>
      <c r="X37" s="191"/>
      <c r="Y37" s="191"/>
      <c r="Z37" s="191"/>
      <c r="AA37" s="191"/>
      <c r="AB37" s="191"/>
      <c r="AC37" s="191"/>
      <c r="AD37" s="192"/>
      <c r="AE37" s="245"/>
      <c r="AF37" s="245"/>
      <c r="AG37" s="245"/>
      <c r="AH37" s="245"/>
      <c r="AI37" s="245"/>
    </row>
    <row r="38">
      <c r="A38" s="429">
        <v>2.0</v>
      </c>
      <c r="B38" s="430" t="s">
        <v>431</v>
      </c>
      <c r="C38" s="431">
        <v>8.1332847794E10</v>
      </c>
      <c r="D38" s="407"/>
      <c r="E38" s="407"/>
      <c r="F38" s="408"/>
      <c r="G38" s="433"/>
      <c r="H38" s="195"/>
      <c r="I38" s="195"/>
      <c r="J38" s="195"/>
      <c r="K38" s="195"/>
      <c r="L38" s="195"/>
      <c r="M38" s="195"/>
      <c r="N38" s="196"/>
      <c r="O38" s="433"/>
      <c r="P38" s="195"/>
      <c r="Q38" s="195"/>
      <c r="R38" s="195"/>
      <c r="S38" s="195"/>
      <c r="T38" s="195"/>
      <c r="U38" s="195"/>
      <c r="V38" s="196"/>
      <c r="W38" s="433"/>
      <c r="X38" s="195"/>
      <c r="Y38" s="195"/>
      <c r="Z38" s="195"/>
      <c r="AA38" s="195"/>
      <c r="AB38" s="195"/>
      <c r="AC38" s="195"/>
      <c r="AD38" s="196"/>
      <c r="AE38" s="245"/>
      <c r="AF38" s="245"/>
      <c r="AG38" s="245"/>
      <c r="AH38" s="245"/>
      <c r="AI38" s="245"/>
    </row>
    <row r="39">
      <c r="A39" s="429">
        <v>3.0</v>
      </c>
      <c r="B39" s="430" t="s">
        <v>398</v>
      </c>
      <c r="C39" s="431">
        <v>8.7853055999E10</v>
      </c>
      <c r="D39" s="407"/>
      <c r="E39" s="407"/>
      <c r="F39" s="408"/>
      <c r="G39" s="434"/>
      <c r="N39" s="198"/>
      <c r="O39" s="434"/>
      <c r="V39" s="198"/>
      <c r="W39" s="434"/>
      <c r="AD39" s="198"/>
      <c r="AE39" s="245"/>
      <c r="AF39" s="245"/>
      <c r="AG39" s="245"/>
      <c r="AH39" s="245"/>
      <c r="AI39" s="245"/>
    </row>
    <row r="40">
      <c r="A40" s="435"/>
      <c r="B40" s="436"/>
      <c r="C40" s="411"/>
      <c r="D40" s="412"/>
      <c r="E40" s="412"/>
      <c r="F40" s="413"/>
      <c r="G40" s="434"/>
      <c r="N40" s="198"/>
      <c r="O40" s="434"/>
      <c r="V40" s="198"/>
      <c r="W40" s="434"/>
      <c r="AD40" s="198"/>
      <c r="AE40" s="245"/>
      <c r="AF40" s="245"/>
      <c r="AG40" s="245"/>
      <c r="AH40" s="245"/>
      <c r="AI40" s="245"/>
    </row>
    <row r="41">
      <c r="A41" s="425" t="s">
        <v>449</v>
      </c>
      <c r="B41" s="407"/>
      <c r="C41" s="407"/>
      <c r="D41" s="407"/>
      <c r="E41" s="407"/>
      <c r="F41" s="408"/>
      <c r="G41" s="434"/>
      <c r="N41" s="198"/>
      <c r="O41" s="434"/>
      <c r="V41" s="198"/>
      <c r="W41" s="434"/>
      <c r="AD41" s="198"/>
      <c r="AE41" s="245"/>
      <c r="AF41" s="245"/>
      <c r="AG41" s="245"/>
      <c r="AH41" s="245"/>
      <c r="AI41" s="245"/>
    </row>
    <row r="42">
      <c r="A42" s="429">
        <v>1.0</v>
      </c>
      <c r="B42" s="430" t="s">
        <v>450</v>
      </c>
      <c r="C42" s="437">
        <v>8.133180917E9</v>
      </c>
      <c r="D42" s="415"/>
      <c r="E42" s="415"/>
      <c r="F42" s="438"/>
      <c r="G42" s="434"/>
      <c r="N42" s="198"/>
      <c r="O42" s="434"/>
      <c r="V42" s="198"/>
      <c r="W42" s="434"/>
      <c r="AD42" s="198"/>
      <c r="AE42" s="245"/>
      <c r="AF42" s="245"/>
      <c r="AG42" s="245"/>
      <c r="AH42" s="245"/>
      <c r="AI42" s="245"/>
    </row>
    <row r="43">
      <c r="A43" s="429">
        <v>2.0</v>
      </c>
      <c r="B43" s="439" t="s">
        <v>451</v>
      </c>
      <c r="C43" s="440" t="s">
        <v>452</v>
      </c>
      <c r="D43" s="441"/>
      <c r="E43" s="441"/>
      <c r="F43" s="442"/>
      <c r="G43" s="443"/>
      <c r="H43" s="167"/>
      <c r="I43" s="167"/>
      <c r="J43" s="167"/>
      <c r="K43" s="167"/>
      <c r="L43" s="167"/>
      <c r="M43" s="167"/>
      <c r="N43" s="311"/>
      <c r="O43" s="443"/>
      <c r="P43" s="167"/>
      <c r="Q43" s="167"/>
      <c r="R43" s="167"/>
      <c r="S43" s="167"/>
      <c r="T43" s="167"/>
      <c r="U43" s="167"/>
      <c r="V43" s="311"/>
      <c r="W43" s="443"/>
      <c r="X43" s="167"/>
      <c r="Y43" s="167"/>
      <c r="Z43" s="167"/>
      <c r="AA43" s="167"/>
      <c r="AB43" s="167"/>
      <c r="AC43" s="167"/>
      <c r="AD43" s="311"/>
      <c r="AE43" s="245"/>
      <c r="AF43" s="245"/>
      <c r="AG43" s="245"/>
      <c r="AH43" s="245"/>
      <c r="AI43" s="245"/>
    </row>
    <row r="44">
      <c r="A44" s="435"/>
      <c r="B44" s="436"/>
      <c r="C44" s="411"/>
      <c r="D44" s="412"/>
      <c r="E44" s="412"/>
      <c r="F44" s="413"/>
      <c r="G44" s="432" t="s">
        <v>450</v>
      </c>
      <c r="H44" s="191"/>
      <c r="I44" s="191"/>
      <c r="J44" s="191"/>
      <c r="K44" s="191"/>
      <c r="L44" s="191"/>
      <c r="M44" s="191"/>
      <c r="N44" s="192"/>
      <c r="O44" s="432" t="s">
        <v>451</v>
      </c>
      <c r="P44" s="191"/>
      <c r="Q44" s="191"/>
      <c r="R44" s="191"/>
      <c r="S44" s="191"/>
      <c r="T44" s="191"/>
      <c r="U44" s="191"/>
      <c r="V44" s="192"/>
      <c r="W44" s="450"/>
      <c r="X44" s="191"/>
      <c r="Y44" s="191"/>
      <c r="Z44" s="191"/>
      <c r="AA44" s="191"/>
      <c r="AB44" s="191"/>
      <c r="AC44" s="191"/>
      <c r="AD44" s="192"/>
      <c r="AE44" s="245"/>
      <c r="AF44" s="245"/>
      <c r="AG44" s="245"/>
      <c r="AH44" s="245"/>
      <c r="AI44" s="245"/>
    </row>
    <row r="45">
      <c r="A45" s="435"/>
      <c r="B45" s="436"/>
      <c r="C45" s="444"/>
      <c r="D45" s="407"/>
      <c r="E45" s="407"/>
      <c r="F45" s="408"/>
      <c r="G45" s="445" t="s">
        <v>466</v>
      </c>
      <c r="H45" s="412"/>
      <c r="I45" s="412"/>
      <c r="J45" s="412"/>
      <c r="K45" s="412"/>
      <c r="L45" s="412"/>
      <c r="M45" s="412"/>
      <c r="N45" s="413"/>
      <c r="O45" s="445" t="s">
        <v>455</v>
      </c>
      <c r="P45" s="412"/>
      <c r="Q45" s="412"/>
      <c r="R45" s="412"/>
      <c r="S45" s="412"/>
      <c r="T45" s="412"/>
      <c r="U45" s="412"/>
      <c r="V45" s="413"/>
      <c r="W45" s="445" t="s">
        <v>456</v>
      </c>
      <c r="X45" s="412"/>
      <c r="Y45" s="412"/>
      <c r="Z45" s="412"/>
      <c r="AA45" s="412"/>
      <c r="AB45" s="412"/>
      <c r="AC45" s="412"/>
      <c r="AD45" s="413"/>
      <c r="AE45" s="245"/>
      <c r="AF45" s="245"/>
      <c r="AG45" s="245"/>
      <c r="AH45" s="245"/>
      <c r="AI45" s="245"/>
    </row>
    <row r="46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</row>
    <row r="47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</row>
    <row r="48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</row>
    <row r="49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</row>
    <row r="50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</row>
    <row r="51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</row>
    <row r="52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</row>
    <row r="53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</row>
    <row r="54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</row>
    <row r="55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</row>
    <row r="56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</row>
    <row r="57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</row>
    <row r="58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</row>
    <row r="59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</row>
    <row r="6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</row>
    <row r="61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5"/>
    </row>
    <row r="62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</row>
    <row r="63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</row>
    <row r="64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</row>
    <row r="65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</row>
    <row r="66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</row>
    <row r="67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</row>
    <row r="68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</row>
    <row r="69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</row>
    <row r="7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</row>
    <row r="71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  <c r="AE71" s="245"/>
      <c r="AF71" s="245"/>
      <c r="AG71" s="245"/>
      <c r="AH71" s="245"/>
      <c r="AI71" s="245"/>
    </row>
    <row r="72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</row>
    <row r="73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</row>
    <row r="74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</row>
    <row r="7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</row>
    <row r="76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</row>
    <row r="77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</row>
    <row r="7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</row>
    <row r="79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</row>
    <row r="8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</row>
    <row r="81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</row>
    <row r="8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</row>
    <row r="83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</row>
    <row r="84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</row>
    <row r="85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</row>
    <row r="86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</row>
    <row r="87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</row>
    <row r="8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</row>
    <row r="89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</row>
    <row r="9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</row>
    <row r="91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/>
    </row>
    <row r="92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</row>
    <row r="93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</row>
    <row r="94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</row>
    <row r="95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</row>
    <row r="96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</row>
    <row r="97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</row>
    <row r="9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</row>
    <row r="99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</row>
    <row r="10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</row>
    <row r="101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</row>
    <row r="102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</row>
    <row r="103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</row>
    <row r="104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</row>
    <row r="107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</row>
    <row r="10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</row>
    <row r="109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</row>
    <row r="11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</row>
    <row r="111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</row>
    <row r="112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</row>
    <row r="113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</row>
    <row r="114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</row>
    <row r="115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</row>
    <row r="116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</row>
    <row r="117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</row>
    <row r="1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</row>
    <row r="119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</row>
    <row r="12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</row>
    <row r="121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</row>
    <row r="122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</row>
    <row r="123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</row>
    <row r="124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</row>
    <row r="125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</row>
    <row r="126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  <c r="AE126" s="245"/>
      <c r="AF126" s="245"/>
      <c r="AG126" s="245"/>
      <c r="AH126" s="245"/>
      <c r="AI126" s="245"/>
    </row>
    <row r="127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  <c r="AE127" s="245"/>
      <c r="AF127" s="245"/>
      <c r="AG127" s="245"/>
      <c r="AH127" s="245"/>
      <c r="AI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  <c r="AE128" s="245"/>
      <c r="AF128" s="245"/>
      <c r="AG128" s="245"/>
      <c r="AH128" s="245"/>
      <c r="AI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  <c r="AE129" s="245"/>
      <c r="AF129" s="245"/>
      <c r="AG129" s="245"/>
      <c r="AH129" s="245"/>
      <c r="AI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  <c r="AE130" s="245"/>
      <c r="AF130" s="245"/>
      <c r="AG130" s="245"/>
      <c r="AH130" s="245"/>
      <c r="AI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  <c r="AE131" s="245"/>
      <c r="AF131" s="245"/>
      <c r="AG131" s="245"/>
      <c r="AH131" s="245"/>
      <c r="AI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  <c r="AE132" s="245"/>
      <c r="AF132" s="245"/>
      <c r="AG132" s="245"/>
      <c r="AH132" s="245"/>
      <c r="AI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  <c r="AE133" s="245"/>
      <c r="AF133" s="245"/>
      <c r="AG133" s="245"/>
      <c r="AH133" s="245"/>
      <c r="AI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  <c r="AE135" s="245"/>
      <c r="AF135" s="245"/>
      <c r="AG135" s="245"/>
      <c r="AH135" s="245"/>
      <c r="AI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  <c r="AE136" s="245"/>
      <c r="AF136" s="245"/>
      <c r="AG136" s="245"/>
      <c r="AH136" s="245"/>
      <c r="AI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  <c r="AE137" s="245"/>
      <c r="AF137" s="245"/>
      <c r="AG137" s="245"/>
      <c r="AH137" s="245"/>
      <c r="AI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  <c r="AE138" s="245"/>
      <c r="AF138" s="245"/>
      <c r="AG138" s="245"/>
      <c r="AH138" s="245"/>
      <c r="AI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  <c r="AE139" s="245"/>
      <c r="AF139" s="245"/>
      <c r="AG139" s="245"/>
      <c r="AH139" s="245"/>
      <c r="AI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  <c r="AE140" s="245"/>
      <c r="AF140" s="245"/>
      <c r="AG140" s="245"/>
      <c r="AH140" s="245"/>
      <c r="AI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  <c r="AE141" s="245"/>
      <c r="AF141" s="245"/>
      <c r="AG141" s="245"/>
      <c r="AH141" s="245"/>
      <c r="AI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  <c r="AE142" s="245"/>
      <c r="AF142" s="245"/>
      <c r="AG142" s="245"/>
      <c r="AH142" s="245"/>
      <c r="AI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  <c r="AE143" s="245"/>
      <c r="AF143" s="245"/>
      <c r="AG143" s="245"/>
      <c r="AH143" s="245"/>
      <c r="AI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  <c r="AE144" s="245"/>
      <c r="AF144" s="245"/>
      <c r="AG144" s="245"/>
      <c r="AH144" s="245"/>
      <c r="AI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  <c r="AE146" s="245"/>
      <c r="AF146" s="245"/>
      <c r="AG146" s="245"/>
      <c r="AH146" s="245"/>
      <c r="AI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  <c r="AE147" s="245"/>
      <c r="AF147" s="245"/>
      <c r="AG147" s="245"/>
      <c r="AH147" s="245"/>
      <c r="AI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  <c r="AE148" s="245"/>
      <c r="AF148" s="245"/>
      <c r="AG148" s="245"/>
      <c r="AH148" s="245"/>
      <c r="AI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  <c r="AE149" s="245"/>
      <c r="AF149" s="245"/>
      <c r="AG149" s="245"/>
      <c r="AH149" s="245"/>
      <c r="AI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  <c r="AE150" s="245"/>
      <c r="AF150" s="245"/>
      <c r="AG150" s="245"/>
      <c r="AH150" s="245"/>
      <c r="AI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5"/>
      <c r="AF151" s="245"/>
      <c r="AG151" s="245"/>
      <c r="AH151" s="245"/>
      <c r="AI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5"/>
      <c r="AF152" s="245"/>
      <c r="AG152" s="245"/>
      <c r="AH152" s="245"/>
      <c r="AI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5"/>
      <c r="AF155" s="245"/>
      <c r="AG155" s="245"/>
      <c r="AH155" s="245"/>
      <c r="AI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5"/>
      <c r="AG156" s="245"/>
      <c r="AH156" s="245"/>
      <c r="AI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5"/>
      <c r="AG157" s="245"/>
      <c r="AH157" s="245"/>
      <c r="AI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5"/>
      <c r="AG158" s="245"/>
      <c r="AH158" s="245"/>
      <c r="AI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5"/>
      <c r="AG159" s="245"/>
      <c r="AH159" s="245"/>
      <c r="AI159" s="245"/>
    </row>
    <row r="16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5"/>
      <c r="AG160" s="245"/>
      <c r="AH160" s="245"/>
      <c r="AI160" s="245"/>
    </row>
    <row r="161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5"/>
      <c r="AH161" s="245"/>
      <c r="AI161" s="245"/>
    </row>
    <row r="162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5"/>
      <c r="AH162" s="245"/>
      <c r="AI162" s="245"/>
    </row>
    <row r="163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</row>
    <row r="164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</row>
    <row r="165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5"/>
      <c r="AH165" s="245"/>
      <c r="AI165" s="245"/>
    </row>
    <row r="16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E166" s="245"/>
      <c r="AF166" s="245"/>
      <c r="AG166" s="245"/>
      <c r="AH166" s="245"/>
      <c r="AI166" s="245"/>
    </row>
    <row r="167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5"/>
      <c r="AI167" s="245"/>
    </row>
    <row r="168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5"/>
      <c r="AI168" s="245"/>
    </row>
    <row r="169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5"/>
      <c r="AI169" s="245"/>
    </row>
    <row r="17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5"/>
      <c r="AI170" s="245"/>
    </row>
    <row r="171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</row>
    <row r="172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5"/>
      <c r="AG172" s="245"/>
      <c r="AH172" s="245"/>
      <c r="AI172" s="245"/>
    </row>
    <row r="173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5"/>
    </row>
    <row r="174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E174" s="245"/>
      <c r="AF174" s="245"/>
      <c r="AG174" s="245"/>
      <c r="AH174" s="245"/>
      <c r="AI174" s="245"/>
    </row>
    <row r="175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5"/>
    </row>
    <row r="17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E176" s="245"/>
      <c r="AF176" s="245"/>
      <c r="AG176" s="245"/>
      <c r="AH176" s="245"/>
      <c r="AI176" s="245"/>
    </row>
    <row r="177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</row>
    <row r="178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</row>
    <row r="179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</row>
    <row r="18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E180" s="245"/>
      <c r="AF180" s="245"/>
      <c r="AG180" s="245"/>
      <c r="AH180" s="245"/>
      <c r="AI180" s="245"/>
    </row>
    <row r="181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</row>
    <row r="182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  <c r="AH182" s="245"/>
      <c r="AI182" s="245"/>
    </row>
    <row r="183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</row>
    <row r="184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  <c r="AH184" s="245"/>
      <c r="AI184" s="245"/>
    </row>
    <row r="185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</row>
    <row r="18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E186" s="245"/>
      <c r="AF186" s="245"/>
      <c r="AG186" s="245"/>
      <c r="AH186" s="245"/>
      <c r="AI186" s="245"/>
    </row>
    <row r="187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</row>
    <row r="188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</row>
    <row r="189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</row>
    <row r="19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</row>
    <row r="191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</row>
    <row r="192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</row>
    <row r="193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</row>
    <row r="194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</row>
    <row r="195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</row>
    <row r="19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</row>
    <row r="197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</row>
    <row r="198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</row>
    <row r="199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</row>
    <row r="20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</row>
    <row r="201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</row>
    <row r="202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</row>
    <row r="203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</row>
    <row r="204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</row>
    <row r="205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</row>
    <row r="20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</row>
    <row r="207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</row>
    <row r="208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</row>
    <row r="209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</row>
    <row r="21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</row>
    <row r="211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</row>
    <row r="212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</row>
    <row r="213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</row>
    <row r="214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</row>
    <row r="215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</row>
    <row r="21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</row>
    <row r="217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</row>
    <row r="218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</row>
    <row r="219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</row>
    <row r="22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</row>
    <row r="221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</row>
    <row r="222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</row>
    <row r="223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</row>
    <row r="224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</row>
    <row r="225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</row>
    <row r="2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</row>
    <row r="227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</row>
    <row r="228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</row>
    <row r="229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</row>
    <row r="2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</row>
    <row r="231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</row>
    <row r="232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</row>
    <row r="233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</row>
    <row r="234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</row>
    <row r="235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</row>
    <row r="23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</row>
    <row r="237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</row>
    <row r="238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</row>
    <row r="239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</row>
    <row r="24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</row>
    <row r="241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</row>
    <row r="242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</row>
    <row r="243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</row>
    <row r="244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</row>
    <row r="245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</row>
    <row r="24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</row>
    <row r="247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</row>
    <row r="248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</row>
    <row r="249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</row>
    <row r="25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</row>
    <row r="251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</row>
    <row r="252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</row>
    <row r="253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</row>
    <row r="254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</row>
    <row r="255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45"/>
      <c r="AF255" s="245"/>
      <c r="AG255" s="245"/>
      <c r="AH255" s="245"/>
      <c r="AI255" s="245"/>
    </row>
    <row r="25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45"/>
      <c r="AF256" s="245"/>
      <c r="AG256" s="245"/>
      <c r="AH256" s="245"/>
      <c r="AI256" s="245"/>
    </row>
    <row r="257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/>
      <c r="AH257" s="245"/>
      <c r="AI257" s="245"/>
    </row>
    <row r="258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E258" s="245"/>
      <c r="AF258" s="245"/>
      <c r="AG258" s="245"/>
      <c r="AH258" s="245"/>
      <c r="AI258" s="245"/>
    </row>
    <row r="259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</row>
    <row r="26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</row>
    <row r="261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</row>
    <row r="262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</row>
    <row r="263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</row>
    <row r="264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45"/>
      <c r="AF264" s="245"/>
      <c r="AG264" s="245"/>
      <c r="AH264" s="245"/>
      <c r="AI264" s="245"/>
    </row>
    <row r="265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</row>
    <row r="26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</row>
    <row r="267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</row>
    <row r="268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</row>
    <row r="269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E269" s="245"/>
      <c r="AF269" s="245"/>
      <c r="AG269" s="245"/>
      <c r="AH269" s="245"/>
      <c r="AI269" s="245"/>
    </row>
    <row r="27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</row>
    <row r="271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</row>
    <row r="272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</row>
    <row r="273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</row>
    <row r="274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</row>
    <row r="275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</row>
    <row r="27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</row>
    <row r="277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</row>
    <row r="278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</row>
    <row r="279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</row>
    <row r="28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</row>
    <row r="281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</row>
    <row r="282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</row>
    <row r="283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</row>
    <row r="284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</row>
    <row r="285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</row>
    <row r="28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</row>
    <row r="287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</row>
    <row r="288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</row>
    <row r="289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</row>
    <row r="29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</row>
    <row r="291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</row>
    <row r="292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</row>
    <row r="293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</row>
    <row r="294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</row>
    <row r="295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</row>
    <row r="29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</row>
    <row r="297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</row>
    <row r="298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</row>
    <row r="299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</row>
    <row r="30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</row>
    <row r="301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  <c r="AE301" s="245"/>
      <c r="AF301" s="245"/>
      <c r="AG301" s="245"/>
      <c r="AH301" s="245"/>
      <c r="AI301" s="245"/>
    </row>
    <row r="302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  <c r="AE302" s="245"/>
      <c r="AF302" s="245"/>
      <c r="AG302" s="245"/>
      <c r="AH302" s="245"/>
      <c r="AI302" s="245"/>
    </row>
    <row r="303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  <c r="AE303" s="245"/>
      <c r="AF303" s="245"/>
      <c r="AG303" s="245"/>
      <c r="AH303" s="245"/>
      <c r="AI303" s="245"/>
    </row>
    <row r="304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  <c r="AE304" s="245"/>
      <c r="AF304" s="245"/>
      <c r="AG304" s="245"/>
      <c r="AH304" s="245"/>
      <c r="AI304" s="245"/>
    </row>
    <row r="305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  <c r="AE305" s="245"/>
      <c r="AF305" s="245"/>
      <c r="AG305" s="245"/>
      <c r="AH305" s="245"/>
      <c r="AI305" s="245"/>
    </row>
    <row r="30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  <c r="AE306" s="245"/>
      <c r="AF306" s="245"/>
      <c r="AG306" s="245"/>
      <c r="AH306" s="245"/>
      <c r="AI306" s="245"/>
    </row>
    <row r="307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  <c r="AE307" s="245"/>
      <c r="AF307" s="245"/>
      <c r="AG307" s="245"/>
      <c r="AH307" s="245"/>
      <c r="AI307" s="245"/>
    </row>
    <row r="308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  <c r="AE308" s="245"/>
      <c r="AF308" s="245"/>
      <c r="AG308" s="245"/>
      <c r="AH308" s="245"/>
      <c r="AI308" s="245"/>
    </row>
    <row r="309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  <c r="AE309" s="245"/>
      <c r="AF309" s="245"/>
      <c r="AG309" s="245"/>
      <c r="AH309" s="245"/>
      <c r="AI309" s="245"/>
    </row>
    <row r="31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  <c r="AE310" s="245"/>
      <c r="AF310" s="245"/>
      <c r="AG310" s="245"/>
      <c r="AH310" s="245"/>
      <c r="AI310" s="245"/>
    </row>
    <row r="311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  <c r="AE311" s="245"/>
      <c r="AF311" s="245"/>
      <c r="AG311" s="245"/>
      <c r="AH311" s="245"/>
      <c r="AI311" s="245"/>
    </row>
    <row r="312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  <c r="AE312" s="245"/>
      <c r="AF312" s="245"/>
      <c r="AG312" s="245"/>
      <c r="AH312" s="245"/>
      <c r="AI312" s="245"/>
    </row>
    <row r="313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  <c r="AE313" s="245"/>
      <c r="AF313" s="245"/>
      <c r="AG313" s="245"/>
      <c r="AH313" s="245"/>
      <c r="AI313" s="245"/>
    </row>
    <row r="314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  <c r="AE314" s="245"/>
      <c r="AF314" s="245"/>
      <c r="AG314" s="245"/>
      <c r="AH314" s="245"/>
      <c r="AI314" s="245"/>
    </row>
    <row r="315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  <c r="AE315" s="245"/>
      <c r="AF315" s="245"/>
      <c r="AG315" s="245"/>
      <c r="AH315" s="245"/>
      <c r="AI315" s="245"/>
    </row>
    <row r="31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  <c r="AE316" s="245"/>
      <c r="AF316" s="245"/>
      <c r="AG316" s="245"/>
      <c r="AH316" s="245"/>
      <c r="AI316" s="245"/>
    </row>
    <row r="317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  <c r="AE317" s="245"/>
      <c r="AF317" s="245"/>
      <c r="AG317" s="245"/>
      <c r="AH317" s="245"/>
      <c r="AI317" s="245"/>
    </row>
    <row r="318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  <c r="AE318" s="245"/>
      <c r="AF318" s="245"/>
      <c r="AG318" s="245"/>
      <c r="AH318" s="245"/>
      <c r="AI318" s="245"/>
    </row>
    <row r="319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  <c r="AE319" s="245"/>
      <c r="AF319" s="245"/>
      <c r="AG319" s="245"/>
      <c r="AH319" s="245"/>
      <c r="AI319" s="245"/>
    </row>
    <row r="32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  <c r="AE320" s="245"/>
      <c r="AF320" s="245"/>
      <c r="AG320" s="245"/>
      <c r="AH320" s="245"/>
      <c r="AI320" s="245"/>
    </row>
    <row r="321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  <c r="AE321" s="245"/>
      <c r="AF321" s="245"/>
      <c r="AG321" s="245"/>
      <c r="AH321" s="245"/>
      <c r="AI321" s="245"/>
    </row>
    <row r="322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  <c r="AE322" s="245"/>
      <c r="AF322" s="245"/>
      <c r="AG322" s="245"/>
      <c r="AH322" s="245"/>
      <c r="AI322" s="245"/>
    </row>
    <row r="323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  <c r="AE323" s="245"/>
      <c r="AF323" s="245"/>
      <c r="AG323" s="245"/>
      <c r="AH323" s="245"/>
      <c r="AI323" s="245"/>
    </row>
    <row r="324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  <c r="AE324" s="245"/>
      <c r="AF324" s="245"/>
      <c r="AG324" s="245"/>
      <c r="AH324" s="245"/>
      <c r="AI324" s="245"/>
    </row>
    <row r="325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  <c r="AE325" s="245"/>
      <c r="AF325" s="245"/>
      <c r="AG325" s="245"/>
      <c r="AH325" s="245"/>
      <c r="AI325" s="245"/>
    </row>
    <row r="3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  <c r="AE326" s="245"/>
      <c r="AF326" s="245"/>
      <c r="AG326" s="245"/>
      <c r="AH326" s="245"/>
      <c r="AI326" s="245"/>
    </row>
    <row r="327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  <c r="AE327" s="245"/>
      <c r="AF327" s="245"/>
      <c r="AG327" s="245"/>
      <c r="AH327" s="245"/>
      <c r="AI327" s="245"/>
    </row>
    <row r="328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  <c r="AE328" s="245"/>
      <c r="AF328" s="245"/>
      <c r="AG328" s="245"/>
      <c r="AH328" s="245"/>
      <c r="AI328" s="245"/>
    </row>
    <row r="329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  <c r="AE329" s="245"/>
      <c r="AF329" s="245"/>
      <c r="AG329" s="245"/>
      <c r="AH329" s="245"/>
      <c r="AI329" s="245"/>
    </row>
    <row r="3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  <c r="AE330" s="245"/>
      <c r="AF330" s="245"/>
      <c r="AG330" s="245"/>
      <c r="AH330" s="245"/>
      <c r="AI330" s="245"/>
    </row>
    <row r="331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  <c r="AE331" s="245"/>
      <c r="AF331" s="245"/>
      <c r="AG331" s="245"/>
      <c r="AH331" s="245"/>
      <c r="AI331" s="245"/>
    </row>
    <row r="332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  <c r="AE332" s="245"/>
      <c r="AF332" s="245"/>
      <c r="AG332" s="245"/>
      <c r="AH332" s="245"/>
      <c r="AI332" s="245"/>
    </row>
    <row r="333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  <c r="AE333" s="245"/>
      <c r="AF333" s="245"/>
      <c r="AG333" s="245"/>
      <c r="AH333" s="245"/>
      <c r="AI333" s="245"/>
    </row>
    <row r="334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  <c r="AE334" s="245"/>
      <c r="AF334" s="245"/>
      <c r="AG334" s="245"/>
      <c r="AH334" s="245"/>
      <c r="AI334" s="245"/>
    </row>
    <row r="335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  <c r="AE335" s="245"/>
      <c r="AF335" s="245"/>
      <c r="AG335" s="245"/>
      <c r="AH335" s="245"/>
      <c r="AI335" s="245"/>
    </row>
    <row r="33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  <c r="AE336" s="245"/>
      <c r="AF336" s="245"/>
      <c r="AG336" s="245"/>
      <c r="AH336" s="245"/>
      <c r="AI336" s="245"/>
    </row>
    <row r="337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  <c r="AE337" s="245"/>
      <c r="AF337" s="245"/>
      <c r="AG337" s="245"/>
      <c r="AH337" s="245"/>
      <c r="AI337" s="245"/>
    </row>
    <row r="338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  <c r="AE338" s="245"/>
      <c r="AF338" s="245"/>
      <c r="AG338" s="245"/>
      <c r="AH338" s="245"/>
      <c r="AI338" s="245"/>
    </row>
    <row r="339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  <c r="AE339" s="245"/>
      <c r="AF339" s="245"/>
      <c r="AG339" s="245"/>
      <c r="AH339" s="245"/>
      <c r="AI339" s="245"/>
    </row>
    <row r="34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  <c r="AE340" s="245"/>
      <c r="AF340" s="245"/>
      <c r="AG340" s="245"/>
      <c r="AH340" s="245"/>
      <c r="AI340" s="245"/>
    </row>
    <row r="341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  <c r="AE341" s="245"/>
      <c r="AF341" s="245"/>
      <c r="AG341" s="245"/>
      <c r="AH341" s="245"/>
      <c r="AI341" s="245"/>
    </row>
    <row r="342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  <c r="AD342" s="245"/>
      <c r="AE342" s="245"/>
      <c r="AF342" s="245"/>
      <c r="AG342" s="245"/>
      <c r="AH342" s="245"/>
      <c r="AI342" s="245"/>
    </row>
    <row r="343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  <c r="AD343" s="245"/>
      <c r="AE343" s="245"/>
      <c r="AF343" s="245"/>
      <c r="AG343" s="245"/>
      <c r="AH343" s="245"/>
      <c r="AI343" s="245"/>
    </row>
    <row r="344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  <c r="AB344" s="245"/>
      <c r="AC344" s="245"/>
      <c r="AD344" s="245"/>
      <c r="AE344" s="245"/>
      <c r="AF344" s="245"/>
      <c r="AG344" s="245"/>
      <c r="AH344" s="245"/>
      <c r="AI344" s="245"/>
    </row>
    <row r="345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  <c r="AB345" s="245"/>
      <c r="AC345" s="245"/>
      <c r="AD345" s="245"/>
      <c r="AE345" s="245"/>
      <c r="AF345" s="245"/>
      <c r="AG345" s="245"/>
      <c r="AH345" s="245"/>
      <c r="AI345" s="245"/>
    </row>
    <row r="34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  <c r="AB346" s="245"/>
      <c r="AC346" s="245"/>
      <c r="AD346" s="245"/>
      <c r="AE346" s="245"/>
      <c r="AF346" s="245"/>
      <c r="AG346" s="245"/>
      <c r="AH346" s="245"/>
      <c r="AI346" s="245"/>
    </row>
    <row r="347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245"/>
      <c r="AC347" s="245"/>
      <c r="AD347" s="245"/>
      <c r="AE347" s="245"/>
      <c r="AF347" s="245"/>
      <c r="AG347" s="245"/>
      <c r="AH347" s="245"/>
      <c r="AI347" s="245"/>
    </row>
    <row r="348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  <c r="AB348" s="245"/>
      <c r="AC348" s="245"/>
      <c r="AD348" s="245"/>
      <c r="AE348" s="245"/>
      <c r="AF348" s="245"/>
      <c r="AG348" s="245"/>
      <c r="AH348" s="245"/>
      <c r="AI348" s="245"/>
    </row>
    <row r="349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  <c r="AD349" s="245"/>
      <c r="AE349" s="245"/>
      <c r="AF349" s="245"/>
      <c r="AG349" s="245"/>
      <c r="AH349" s="245"/>
      <c r="AI349" s="245"/>
    </row>
    <row r="35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  <c r="AB350" s="245"/>
      <c r="AC350" s="245"/>
      <c r="AD350" s="245"/>
      <c r="AE350" s="245"/>
      <c r="AF350" s="245"/>
      <c r="AG350" s="245"/>
      <c r="AH350" s="245"/>
      <c r="AI350" s="245"/>
    </row>
    <row r="351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  <c r="AB351" s="245"/>
      <c r="AC351" s="245"/>
      <c r="AD351" s="245"/>
      <c r="AE351" s="245"/>
      <c r="AF351" s="245"/>
      <c r="AG351" s="245"/>
      <c r="AH351" s="245"/>
      <c r="AI351" s="245"/>
    </row>
    <row r="352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  <c r="AB352" s="245"/>
      <c r="AC352" s="245"/>
      <c r="AD352" s="245"/>
      <c r="AE352" s="245"/>
      <c r="AF352" s="245"/>
      <c r="AG352" s="245"/>
      <c r="AH352" s="245"/>
      <c r="AI352" s="245"/>
    </row>
    <row r="353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  <c r="AB353" s="245"/>
      <c r="AC353" s="245"/>
      <c r="AD353" s="245"/>
      <c r="AE353" s="245"/>
      <c r="AF353" s="245"/>
      <c r="AG353" s="245"/>
      <c r="AH353" s="245"/>
      <c r="AI353" s="245"/>
    </row>
    <row r="354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  <c r="AB354" s="245"/>
      <c r="AC354" s="245"/>
      <c r="AD354" s="245"/>
      <c r="AE354" s="245"/>
      <c r="AF354" s="245"/>
      <c r="AG354" s="245"/>
      <c r="AH354" s="245"/>
      <c r="AI354" s="245"/>
    </row>
    <row r="355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  <c r="AB355" s="245"/>
      <c r="AC355" s="245"/>
      <c r="AD355" s="245"/>
      <c r="AE355" s="245"/>
      <c r="AF355" s="245"/>
      <c r="AG355" s="245"/>
      <c r="AH355" s="245"/>
      <c r="AI355" s="245"/>
    </row>
    <row r="35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  <c r="AB356" s="245"/>
      <c r="AC356" s="245"/>
      <c r="AD356" s="245"/>
      <c r="AE356" s="245"/>
      <c r="AF356" s="245"/>
      <c r="AG356" s="245"/>
      <c r="AH356" s="245"/>
      <c r="AI356" s="245"/>
    </row>
    <row r="357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  <c r="AB357" s="245"/>
      <c r="AC357" s="245"/>
      <c r="AD357" s="245"/>
      <c r="AE357" s="245"/>
      <c r="AF357" s="245"/>
      <c r="AG357" s="245"/>
      <c r="AH357" s="245"/>
      <c r="AI357" s="245"/>
    </row>
    <row r="358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  <c r="AE358" s="245"/>
      <c r="AF358" s="245"/>
      <c r="AG358" s="245"/>
      <c r="AH358" s="245"/>
      <c r="AI358" s="245"/>
    </row>
    <row r="359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  <c r="AB359" s="245"/>
      <c r="AC359" s="245"/>
      <c r="AD359" s="245"/>
      <c r="AE359" s="245"/>
      <c r="AF359" s="245"/>
      <c r="AG359" s="245"/>
      <c r="AH359" s="245"/>
      <c r="AI359" s="245"/>
    </row>
    <row r="36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  <c r="AB360" s="245"/>
      <c r="AC360" s="245"/>
      <c r="AD360" s="245"/>
      <c r="AE360" s="245"/>
      <c r="AF360" s="245"/>
      <c r="AG360" s="245"/>
      <c r="AH360" s="245"/>
      <c r="AI360" s="245"/>
    </row>
    <row r="361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  <c r="AB361" s="245"/>
      <c r="AC361" s="245"/>
      <c r="AD361" s="245"/>
      <c r="AE361" s="245"/>
      <c r="AF361" s="245"/>
      <c r="AG361" s="245"/>
      <c r="AH361" s="245"/>
      <c r="AI361" s="245"/>
    </row>
    <row r="362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  <c r="AB362" s="245"/>
      <c r="AC362" s="245"/>
      <c r="AD362" s="245"/>
      <c r="AE362" s="245"/>
      <c r="AF362" s="245"/>
      <c r="AG362" s="245"/>
      <c r="AH362" s="245"/>
      <c r="AI362" s="245"/>
    </row>
    <row r="363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  <c r="AB363" s="245"/>
      <c r="AC363" s="245"/>
      <c r="AD363" s="245"/>
      <c r="AE363" s="245"/>
      <c r="AF363" s="245"/>
      <c r="AG363" s="245"/>
      <c r="AH363" s="245"/>
      <c r="AI363" s="245"/>
    </row>
    <row r="364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  <c r="AB364" s="245"/>
      <c r="AC364" s="245"/>
      <c r="AD364" s="245"/>
      <c r="AE364" s="245"/>
      <c r="AF364" s="245"/>
      <c r="AG364" s="245"/>
      <c r="AH364" s="245"/>
      <c r="AI364" s="245"/>
    </row>
    <row r="365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  <c r="AD365" s="245"/>
      <c r="AE365" s="245"/>
      <c r="AF365" s="245"/>
      <c r="AG365" s="245"/>
      <c r="AH365" s="245"/>
      <c r="AI365" s="245"/>
    </row>
    <row r="36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  <c r="AE366" s="245"/>
      <c r="AF366" s="245"/>
      <c r="AG366" s="245"/>
      <c r="AH366" s="245"/>
      <c r="AI366" s="245"/>
    </row>
    <row r="367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  <c r="AE367" s="245"/>
      <c r="AF367" s="245"/>
      <c r="AG367" s="245"/>
      <c r="AH367" s="245"/>
      <c r="AI367" s="245"/>
    </row>
    <row r="368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  <c r="AE368" s="245"/>
      <c r="AF368" s="245"/>
      <c r="AG368" s="245"/>
      <c r="AH368" s="245"/>
      <c r="AI368" s="245"/>
    </row>
    <row r="369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  <c r="AE369" s="245"/>
      <c r="AF369" s="245"/>
      <c r="AG369" s="245"/>
      <c r="AH369" s="245"/>
      <c r="AI369" s="245"/>
    </row>
    <row r="37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  <c r="AE370" s="245"/>
      <c r="AF370" s="245"/>
      <c r="AG370" s="245"/>
      <c r="AH370" s="245"/>
      <c r="AI370" s="245"/>
    </row>
    <row r="371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  <c r="AE371" s="245"/>
      <c r="AF371" s="245"/>
      <c r="AG371" s="245"/>
      <c r="AH371" s="245"/>
      <c r="AI371" s="245"/>
    </row>
    <row r="372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  <c r="AE372" s="245"/>
      <c r="AF372" s="245"/>
      <c r="AG372" s="245"/>
      <c r="AH372" s="245"/>
      <c r="AI372" s="245"/>
    </row>
    <row r="373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  <c r="AE373" s="245"/>
      <c r="AF373" s="245"/>
      <c r="AG373" s="245"/>
      <c r="AH373" s="245"/>
      <c r="AI373" s="245"/>
    </row>
    <row r="374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  <c r="AE374" s="245"/>
      <c r="AF374" s="245"/>
      <c r="AG374" s="245"/>
      <c r="AH374" s="245"/>
      <c r="AI374" s="245"/>
    </row>
    <row r="375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  <c r="AE375" s="245"/>
      <c r="AF375" s="245"/>
      <c r="AG375" s="245"/>
      <c r="AH375" s="245"/>
      <c r="AI375" s="245"/>
    </row>
    <row r="37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  <c r="AE376" s="245"/>
      <c r="AF376" s="245"/>
      <c r="AG376" s="245"/>
      <c r="AH376" s="245"/>
      <c r="AI376" s="245"/>
    </row>
    <row r="377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  <c r="AE377" s="245"/>
      <c r="AF377" s="245"/>
      <c r="AG377" s="245"/>
      <c r="AH377" s="245"/>
      <c r="AI377" s="245"/>
    </row>
    <row r="378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  <c r="AE378" s="245"/>
      <c r="AF378" s="245"/>
      <c r="AG378" s="245"/>
      <c r="AH378" s="245"/>
      <c r="AI378" s="245"/>
    </row>
    <row r="379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  <c r="AE379" s="245"/>
      <c r="AF379" s="245"/>
      <c r="AG379" s="245"/>
      <c r="AH379" s="245"/>
      <c r="AI379" s="245"/>
    </row>
    <row r="38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  <c r="AE380" s="245"/>
      <c r="AF380" s="245"/>
      <c r="AG380" s="245"/>
      <c r="AH380" s="245"/>
      <c r="AI380" s="245"/>
    </row>
    <row r="381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  <c r="AE381" s="245"/>
      <c r="AF381" s="245"/>
      <c r="AG381" s="245"/>
      <c r="AH381" s="245"/>
      <c r="AI381" s="245"/>
    </row>
    <row r="382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  <c r="AE382" s="245"/>
      <c r="AF382" s="245"/>
      <c r="AG382" s="245"/>
      <c r="AH382" s="245"/>
      <c r="AI382" s="245"/>
    </row>
    <row r="383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  <c r="AE383" s="245"/>
      <c r="AF383" s="245"/>
      <c r="AG383" s="245"/>
      <c r="AH383" s="245"/>
      <c r="AI383" s="245"/>
    </row>
    <row r="384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  <c r="AE384" s="245"/>
      <c r="AF384" s="245"/>
      <c r="AG384" s="245"/>
      <c r="AH384" s="245"/>
      <c r="AI384" s="245"/>
    </row>
    <row r="385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  <c r="AD385" s="245"/>
      <c r="AE385" s="245"/>
      <c r="AF385" s="245"/>
      <c r="AG385" s="245"/>
      <c r="AH385" s="245"/>
      <c r="AI385" s="245"/>
    </row>
    <row r="38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  <c r="AD386" s="245"/>
      <c r="AE386" s="245"/>
      <c r="AF386" s="245"/>
      <c r="AG386" s="245"/>
      <c r="AH386" s="245"/>
      <c r="AI386" s="245"/>
    </row>
    <row r="387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  <c r="AD387" s="245"/>
      <c r="AE387" s="245"/>
      <c r="AF387" s="245"/>
      <c r="AG387" s="245"/>
      <c r="AH387" s="245"/>
      <c r="AI387" s="245"/>
    </row>
    <row r="388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  <c r="AD388" s="245"/>
      <c r="AE388" s="245"/>
      <c r="AF388" s="245"/>
      <c r="AG388" s="245"/>
      <c r="AH388" s="245"/>
      <c r="AI388" s="245"/>
    </row>
    <row r="389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  <c r="AD389" s="245"/>
      <c r="AE389" s="245"/>
      <c r="AF389" s="245"/>
      <c r="AG389" s="245"/>
      <c r="AH389" s="245"/>
      <c r="AI389" s="245"/>
    </row>
    <row r="39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  <c r="AD390" s="245"/>
      <c r="AE390" s="245"/>
      <c r="AF390" s="245"/>
      <c r="AG390" s="245"/>
      <c r="AH390" s="245"/>
      <c r="AI390" s="245"/>
    </row>
    <row r="391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  <c r="AE391" s="245"/>
      <c r="AF391" s="245"/>
      <c r="AG391" s="245"/>
      <c r="AH391" s="245"/>
      <c r="AI391" s="245"/>
    </row>
    <row r="392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  <c r="AD392" s="245"/>
      <c r="AE392" s="245"/>
      <c r="AF392" s="245"/>
      <c r="AG392" s="245"/>
      <c r="AH392" s="245"/>
      <c r="AI392" s="245"/>
    </row>
    <row r="393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  <c r="AD393" s="245"/>
      <c r="AE393" s="245"/>
      <c r="AF393" s="245"/>
      <c r="AG393" s="245"/>
      <c r="AH393" s="245"/>
      <c r="AI393" s="245"/>
    </row>
    <row r="394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  <c r="AD394" s="245"/>
      <c r="AE394" s="245"/>
      <c r="AF394" s="245"/>
      <c r="AG394" s="245"/>
      <c r="AH394" s="245"/>
      <c r="AI394" s="245"/>
    </row>
    <row r="395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  <c r="AD395" s="245"/>
      <c r="AE395" s="245"/>
      <c r="AF395" s="245"/>
      <c r="AG395" s="245"/>
      <c r="AH395" s="245"/>
      <c r="AI395" s="245"/>
    </row>
    <row r="39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  <c r="AD396" s="245"/>
      <c r="AE396" s="245"/>
      <c r="AF396" s="245"/>
      <c r="AG396" s="245"/>
      <c r="AH396" s="245"/>
      <c r="AI396" s="245"/>
    </row>
    <row r="397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  <c r="AE397" s="245"/>
      <c r="AF397" s="245"/>
      <c r="AG397" s="245"/>
      <c r="AH397" s="245"/>
      <c r="AI397" s="245"/>
    </row>
    <row r="398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  <c r="AD398" s="245"/>
      <c r="AE398" s="245"/>
      <c r="AF398" s="245"/>
      <c r="AG398" s="245"/>
      <c r="AH398" s="245"/>
      <c r="AI398" s="245"/>
    </row>
    <row r="399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  <c r="AD399" s="245"/>
      <c r="AE399" s="245"/>
      <c r="AF399" s="245"/>
      <c r="AG399" s="245"/>
      <c r="AH399" s="245"/>
      <c r="AI399" s="245"/>
    </row>
    <row r="40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  <c r="AD400" s="245"/>
      <c r="AE400" s="245"/>
      <c r="AF400" s="245"/>
      <c r="AG400" s="245"/>
      <c r="AH400" s="245"/>
      <c r="AI400" s="245"/>
    </row>
    <row r="401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  <c r="AD401" s="245"/>
      <c r="AE401" s="245"/>
      <c r="AF401" s="245"/>
      <c r="AG401" s="245"/>
      <c r="AH401" s="245"/>
      <c r="AI401" s="245"/>
    </row>
    <row r="402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  <c r="AD402" s="245"/>
      <c r="AE402" s="245"/>
      <c r="AF402" s="245"/>
      <c r="AG402" s="245"/>
      <c r="AH402" s="245"/>
      <c r="AI402" s="245"/>
    </row>
    <row r="403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  <c r="AD403" s="245"/>
      <c r="AE403" s="245"/>
      <c r="AF403" s="245"/>
      <c r="AG403" s="245"/>
      <c r="AH403" s="245"/>
      <c r="AI403" s="245"/>
    </row>
    <row r="404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  <c r="AD404" s="245"/>
      <c r="AE404" s="245"/>
      <c r="AF404" s="245"/>
      <c r="AG404" s="245"/>
      <c r="AH404" s="245"/>
      <c r="AI404" s="245"/>
    </row>
    <row r="405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  <c r="AD405" s="245"/>
      <c r="AE405" s="245"/>
      <c r="AF405" s="245"/>
      <c r="AG405" s="245"/>
      <c r="AH405" s="245"/>
      <c r="AI405" s="245"/>
    </row>
    <row r="40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  <c r="AD406" s="245"/>
      <c r="AE406" s="245"/>
      <c r="AF406" s="245"/>
      <c r="AG406" s="245"/>
      <c r="AH406" s="245"/>
      <c r="AI406" s="245"/>
    </row>
    <row r="407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  <c r="AD407" s="245"/>
      <c r="AE407" s="245"/>
      <c r="AF407" s="245"/>
      <c r="AG407" s="245"/>
      <c r="AH407" s="245"/>
      <c r="AI407" s="245"/>
    </row>
    <row r="408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  <c r="AD408" s="245"/>
      <c r="AE408" s="245"/>
      <c r="AF408" s="245"/>
      <c r="AG408" s="245"/>
      <c r="AH408" s="245"/>
      <c r="AI408" s="245"/>
    </row>
    <row r="409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  <c r="AD409" s="245"/>
      <c r="AE409" s="245"/>
      <c r="AF409" s="245"/>
      <c r="AG409" s="245"/>
      <c r="AH409" s="245"/>
      <c r="AI409" s="245"/>
    </row>
    <row r="41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</row>
    <row r="411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  <c r="AD411" s="245"/>
      <c r="AE411" s="245"/>
      <c r="AF411" s="245"/>
      <c r="AG411" s="245"/>
      <c r="AH411" s="245"/>
      <c r="AI411" s="245"/>
    </row>
    <row r="412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  <c r="AE412" s="245"/>
      <c r="AF412" s="245"/>
      <c r="AG412" s="245"/>
      <c r="AH412" s="245"/>
      <c r="AI412" s="245"/>
    </row>
    <row r="413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  <c r="AD413" s="245"/>
      <c r="AE413" s="245"/>
      <c r="AF413" s="245"/>
      <c r="AG413" s="245"/>
      <c r="AH413" s="245"/>
      <c r="AI413" s="245"/>
    </row>
    <row r="414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  <c r="AD414" s="245"/>
      <c r="AE414" s="245"/>
      <c r="AF414" s="245"/>
      <c r="AG414" s="245"/>
      <c r="AH414" s="245"/>
      <c r="AI414" s="245"/>
    </row>
    <row r="415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  <c r="AE415" s="245"/>
      <c r="AF415" s="245"/>
      <c r="AG415" s="245"/>
      <c r="AH415" s="245"/>
      <c r="AI415" s="245"/>
    </row>
    <row r="41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  <c r="AD416" s="245"/>
      <c r="AE416" s="245"/>
      <c r="AF416" s="245"/>
      <c r="AG416" s="245"/>
      <c r="AH416" s="245"/>
      <c r="AI416" s="245"/>
    </row>
    <row r="417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  <c r="AD417" s="245"/>
      <c r="AE417" s="245"/>
      <c r="AF417" s="245"/>
      <c r="AG417" s="245"/>
      <c r="AH417" s="245"/>
      <c r="AI417" s="245"/>
    </row>
    <row r="418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  <c r="AD418" s="245"/>
      <c r="AE418" s="245"/>
      <c r="AF418" s="245"/>
      <c r="AG418" s="245"/>
      <c r="AH418" s="245"/>
      <c r="AI418" s="245"/>
    </row>
    <row r="419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  <c r="AD419" s="245"/>
      <c r="AE419" s="245"/>
      <c r="AF419" s="245"/>
      <c r="AG419" s="245"/>
      <c r="AH419" s="245"/>
      <c r="AI419" s="245"/>
    </row>
    <row r="42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  <c r="AE420" s="245"/>
      <c r="AF420" s="245"/>
      <c r="AG420" s="245"/>
      <c r="AH420" s="245"/>
      <c r="AI420" s="245"/>
    </row>
    <row r="421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  <c r="AD421" s="245"/>
      <c r="AE421" s="245"/>
      <c r="AF421" s="245"/>
      <c r="AG421" s="245"/>
      <c r="AH421" s="245"/>
      <c r="AI421" s="245"/>
    </row>
    <row r="422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  <c r="AD422" s="245"/>
      <c r="AE422" s="245"/>
      <c r="AF422" s="245"/>
      <c r="AG422" s="245"/>
      <c r="AH422" s="245"/>
      <c r="AI422" s="245"/>
    </row>
    <row r="423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  <c r="AE423" s="245"/>
      <c r="AF423" s="245"/>
      <c r="AG423" s="245"/>
      <c r="AH423" s="245"/>
      <c r="AI423" s="245"/>
    </row>
    <row r="424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  <c r="AD424" s="245"/>
      <c r="AE424" s="245"/>
      <c r="AF424" s="245"/>
      <c r="AG424" s="245"/>
      <c r="AH424" s="245"/>
      <c r="AI424" s="245"/>
    </row>
    <row r="425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  <c r="AE425" s="245"/>
      <c r="AF425" s="245"/>
      <c r="AG425" s="245"/>
      <c r="AH425" s="245"/>
      <c r="AI425" s="245"/>
    </row>
    <row r="4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  <c r="AD426" s="245"/>
      <c r="AE426" s="245"/>
      <c r="AF426" s="245"/>
      <c r="AG426" s="245"/>
      <c r="AH426" s="245"/>
      <c r="AI426" s="245"/>
    </row>
    <row r="427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  <c r="AD427" s="245"/>
      <c r="AE427" s="245"/>
      <c r="AF427" s="245"/>
      <c r="AG427" s="245"/>
      <c r="AH427" s="245"/>
      <c r="AI427" s="245"/>
    </row>
    <row r="428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  <c r="AD428" s="245"/>
      <c r="AE428" s="245"/>
      <c r="AF428" s="245"/>
      <c r="AG428" s="245"/>
      <c r="AH428" s="245"/>
      <c r="AI428" s="245"/>
    </row>
    <row r="429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  <c r="AE429" s="245"/>
      <c r="AF429" s="245"/>
      <c r="AG429" s="245"/>
      <c r="AH429" s="245"/>
      <c r="AI429" s="245"/>
    </row>
    <row r="4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  <c r="AB430" s="245"/>
      <c r="AC430" s="245"/>
      <c r="AD430" s="245"/>
      <c r="AE430" s="245"/>
      <c r="AF430" s="245"/>
      <c r="AG430" s="245"/>
      <c r="AH430" s="245"/>
      <c r="AI430" s="245"/>
    </row>
    <row r="431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  <c r="AB431" s="245"/>
      <c r="AC431" s="245"/>
      <c r="AD431" s="245"/>
      <c r="AE431" s="245"/>
      <c r="AF431" s="245"/>
      <c r="AG431" s="245"/>
      <c r="AH431" s="245"/>
      <c r="AI431" s="245"/>
    </row>
    <row r="432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  <c r="AB432" s="245"/>
      <c r="AC432" s="245"/>
      <c r="AD432" s="245"/>
      <c r="AE432" s="245"/>
      <c r="AF432" s="245"/>
      <c r="AG432" s="245"/>
      <c r="AH432" s="245"/>
      <c r="AI432" s="245"/>
    </row>
    <row r="433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  <c r="AD433" s="245"/>
      <c r="AE433" s="245"/>
      <c r="AF433" s="245"/>
      <c r="AG433" s="245"/>
      <c r="AH433" s="245"/>
      <c r="AI433" s="245"/>
    </row>
    <row r="434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  <c r="AB434" s="245"/>
      <c r="AC434" s="245"/>
      <c r="AD434" s="245"/>
      <c r="AE434" s="245"/>
      <c r="AF434" s="245"/>
      <c r="AG434" s="245"/>
      <c r="AH434" s="245"/>
      <c r="AI434" s="245"/>
    </row>
    <row r="435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  <c r="AB435" s="245"/>
      <c r="AC435" s="245"/>
      <c r="AD435" s="245"/>
      <c r="AE435" s="245"/>
      <c r="AF435" s="245"/>
      <c r="AG435" s="245"/>
      <c r="AH435" s="245"/>
      <c r="AI435" s="245"/>
    </row>
    <row r="43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  <c r="AB436" s="245"/>
      <c r="AC436" s="245"/>
      <c r="AD436" s="245"/>
      <c r="AE436" s="245"/>
      <c r="AF436" s="245"/>
      <c r="AG436" s="245"/>
      <c r="AH436" s="245"/>
      <c r="AI436" s="245"/>
    </row>
    <row r="437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  <c r="AB437" s="245"/>
      <c r="AC437" s="245"/>
      <c r="AD437" s="245"/>
      <c r="AE437" s="245"/>
      <c r="AF437" s="245"/>
      <c r="AG437" s="245"/>
      <c r="AH437" s="245"/>
      <c r="AI437" s="245"/>
    </row>
    <row r="438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  <c r="AB438" s="245"/>
      <c r="AC438" s="245"/>
      <c r="AD438" s="245"/>
      <c r="AE438" s="245"/>
      <c r="AF438" s="245"/>
      <c r="AG438" s="245"/>
      <c r="AH438" s="245"/>
      <c r="AI438" s="245"/>
    </row>
    <row r="439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  <c r="AB439" s="245"/>
      <c r="AC439" s="245"/>
      <c r="AD439" s="245"/>
      <c r="AE439" s="245"/>
      <c r="AF439" s="245"/>
      <c r="AG439" s="245"/>
      <c r="AH439" s="245"/>
      <c r="AI439" s="245"/>
    </row>
    <row r="44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  <c r="AB440" s="245"/>
      <c r="AC440" s="245"/>
      <c r="AD440" s="245"/>
      <c r="AE440" s="245"/>
      <c r="AF440" s="245"/>
      <c r="AG440" s="245"/>
      <c r="AH440" s="245"/>
      <c r="AI440" s="245"/>
    </row>
    <row r="441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  <c r="AB441" s="245"/>
      <c r="AC441" s="245"/>
      <c r="AD441" s="245"/>
      <c r="AE441" s="245"/>
      <c r="AF441" s="245"/>
      <c r="AG441" s="245"/>
      <c r="AH441" s="245"/>
      <c r="AI441" s="245"/>
    </row>
    <row r="442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  <c r="AB442" s="245"/>
      <c r="AC442" s="245"/>
      <c r="AD442" s="245"/>
      <c r="AE442" s="245"/>
      <c r="AF442" s="245"/>
      <c r="AG442" s="245"/>
      <c r="AH442" s="245"/>
      <c r="AI442" s="245"/>
    </row>
    <row r="443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  <c r="AB443" s="245"/>
      <c r="AC443" s="245"/>
      <c r="AD443" s="245"/>
      <c r="AE443" s="245"/>
      <c r="AF443" s="245"/>
      <c r="AG443" s="245"/>
      <c r="AH443" s="245"/>
      <c r="AI443" s="245"/>
    </row>
    <row r="444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  <c r="AB444" s="245"/>
      <c r="AC444" s="245"/>
      <c r="AD444" s="245"/>
      <c r="AE444" s="245"/>
      <c r="AF444" s="245"/>
      <c r="AG444" s="245"/>
      <c r="AH444" s="245"/>
      <c r="AI444" s="245"/>
    </row>
    <row r="445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  <c r="AB445" s="245"/>
      <c r="AC445" s="245"/>
      <c r="AD445" s="245"/>
      <c r="AE445" s="245"/>
      <c r="AF445" s="245"/>
      <c r="AG445" s="245"/>
      <c r="AH445" s="245"/>
      <c r="AI445" s="245"/>
    </row>
    <row r="44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  <c r="AB446" s="245"/>
      <c r="AC446" s="245"/>
      <c r="AD446" s="245"/>
      <c r="AE446" s="245"/>
      <c r="AF446" s="245"/>
      <c r="AG446" s="245"/>
      <c r="AH446" s="245"/>
      <c r="AI446" s="245"/>
    </row>
    <row r="447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  <c r="AB447" s="245"/>
      <c r="AC447" s="245"/>
      <c r="AD447" s="245"/>
      <c r="AE447" s="245"/>
      <c r="AF447" s="245"/>
      <c r="AG447" s="245"/>
      <c r="AH447" s="245"/>
      <c r="AI447" s="245"/>
    </row>
    <row r="448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  <c r="AB448" s="245"/>
      <c r="AC448" s="245"/>
      <c r="AD448" s="245"/>
      <c r="AE448" s="245"/>
      <c r="AF448" s="245"/>
      <c r="AG448" s="245"/>
      <c r="AH448" s="245"/>
      <c r="AI448" s="245"/>
    </row>
    <row r="449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  <c r="AB449" s="245"/>
      <c r="AC449" s="245"/>
      <c r="AD449" s="245"/>
      <c r="AE449" s="245"/>
      <c r="AF449" s="245"/>
      <c r="AG449" s="245"/>
      <c r="AH449" s="245"/>
      <c r="AI449" s="245"/>
    </row>
    <row r="45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  <c r="AB450" s="245"/>
      <c r="AC450" s="245"/>
      <c r="AD450" s="245"/>
      <c r="AE450" s="245"/>
      <c r="AF450" s="245"/>
      <c r="AG450" s="245"/>
      <c r="AH450" s="245"/>
      <c r="AI450" s="245"/>
    </row>
    <row r="451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  <c r="AB451" s="245"/>
      <c r="AC451" s="245"/>
      <c r="AD451" s="245"/>
      <c r="AE451" s="245"/>
      <c r="AF451" s="245"/>
      <c r="AG451" s="245"/>
      <c r="AH451" s="245"/>
      <c r="AI451" s="245"/>
    </row>
    <row r="452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  <c r="AB452" s="245"/>
      <c r="AC452" s="245"/>
      <c r="AD452" s="245"/>
      <c r="AE452" s="245"/>
      <c r="AF452" s="245"/>
      <c r="AG452" s="245"/>
      <c r="AH452" s="245"/>
      <c r="AI452" s="245"/>
    </row>
    <row r="453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  <c r="AB453" s="245"/>
      <c r="AC453" s="245"/>
      <c r="AD453" s="245"/>
      <c r="AE453" s="245"/>
      <c r="AF453" s="245"/>
      <c r="AG453" s="245"/>
      <c r="AH453" s="245"/>
      <c r="AI453" s="245"/>
    </row>
    <row r="454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  <c r="AB454" s="245"/>
      <c r="AC454" s="245"/>
      <c r="AD454" s="245"/>
      <c r="AE454" s="245"/>
      <c r="AF454" s="245"/>
      <c r="AG454" s="245"/>
      <c r="AH454" s="245"/>
      <c r="AI454" s="245"/>
    </row>
    <row r="455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  <c r="AB455" s="245"/>
      <c r="AC455" s="245"/>
      <c r="AD455" s="245"/>
      <c r="AE455" s="245"/>
      <c r="AF455" s="245"/>
      <c r="AG455" s="245"/>
      <c r="AH455" s="245"/>
      <c r="AI455" s="245"/>
    </row>
    <row r="45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  <c r="AB456" s="245"/>
      <c r="AC456" s="245"/>
      <c r="AD456" s="245"/>
      <c r="AE456" s="245"/>
      <c r="AF456" s="245"/>
      <c r="AG456" s="245"/>
      <c r="AH456" s="245"/>
      <c r="AI456" s="245"/>
    </row>
    <row r="457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  <c r="AB457" s="245"/>
      <c r="AC457" s="245"/>
      <c r="AD457" s="245"/>
      <c r="AE457" s="245"/>
      <c r="AF457" s="245"/>
      <c r="AG457" s="245"/>
      <c r="AH457" s="245"/>
      <c r="AI457" s="245"/>
    </row>
    <row r="458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  <c r="AB458" s="245"/>
      <c r="AC458" s="245"/>
      <c r="AD458" s="245"/>
      <c r="AE458" s="245"/>
      <c r="AF458" s="245"/>
      <c r="AG458" s="245"/>
      <c r="AH458" s="245"/>
      <c r="AI458" s="245"/>
    </row>
    <row r="459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  <c r="AB459" s="245"/>
      <c r="AC459" s="245"/>
      <c r="AD459" s="245"/>
      <c r="AE459" s="245"/>
      <c r="AF459" s="245"/>
      <c r="AG459" s="245"/>
      <c r="AH459" s="245"/>
      <c r="AI459" s="245"/>
    </row>
    <row r="46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  <c r="AB460" s="245"/>
      <c r="AC460" s="245"/>
      <c r="AD460" s="245"/>
      <c r="AE460" s="245"/>
      <c r="AF460" s="245"/>
      <c r="AG460" s="245"/>
      <c r="AH460" s="245"/>
      <c r="AI460" s="245"/>
    </row>
    <row r="461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  <c r="AB461" s="245"/>
      <c r="AC461" s="245"/>
      <c r="AD461" s="245"/>
      <c r="AE461" s="245"/>
      <c r="AF461" s="245"/>
      <c r="AG461" s="245"/>
      <c r="AH461" s="245"/>
      <c r="AI461" s="245"/>
    </row>
    <row r="462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  <c r="AB462" s="245"/>
      <c r="AC462" s="245"/>
      <c r="AD462" s="245"/>
      <c r="AE462" s="245"/>
      <c r="AF462" s="245"/>
      <c r="AG462" s="245"/>
      <c r="AH462" s="245"/>
      <c r="AI462" s="245"/>
    </row>
    <row r="463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  <c r="AD463" s="245"/>
      <c r="AE463" s="245"/>
      <c r="AF463" s="245"/>
      <c r="AG463" s="245"/>
      <c r="AH463" s="245"/>
      <c r="AI463" s="245"/>
    </row>
    <row r="464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  <c r="AB464" s="245"/>
      <c r="AC464" s="245"/>
      <c r="AD464" s="245"/>
      <c r="AE464" s="245"/>
      <c r="AF464" s="245"/>
      <c r="AG464" s="245"/>
      <c r="AH464" s="245"/>
      <c r="AI464" s="245"/>
    </row>
    <row r="465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  <c r="AB465" s="245"/>
      <c r="AC465" s="245"/>
      <c r="AD465" s="245"/>
      <c r="AE465" s="245"/>
      <c r="AF465" s="245"/>
      <c r="AG465" s="245"/>
      <c r="AH465" s="245"/>
      <c r="AI465" s="245"/>
    </row>
    <row r="46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  <c r="AB466" s="245"/>
      <c r="AC466" s="245"/>
      <c r="AD466" s="245"/>
      <c r="AE466" s="245"/>
      <c r="AF466" s="245"/>
      <c r="AG466" s="245"/>
      <c r="AH466" s="245"/>
      <c r="AI466" s="245"/>
    </row>
    <row r="467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  <c r="AB467" s="245"/>
      <c r="AC467" s="245"/>
      <c r="AD467" s="245"/>
      <c r="AE467" s="245"/>
      <c r="AF467" s="245"/>
      <c r="AG467" s="245"/>
      <c r="AH467" s="245"/>
      <c r="AI467" s="245"/>
    </row>
    <row r="468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  <c r="AB468" s="245"/>
      <c r="AC468" s="245"/>
      <c r="AD468" s="245"/>
      <c r="AE468" s="245"/>
      <c r="AF468" s="245"/>
      <c r="AG468" s="245"/>
      <c r="AH468" s="245"/>
      <c r="AI468" s="245"/>
    </row>
    <row r="469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  <c r="AB469" s="245"/>
      <c r="AC469" s="245"/>
      <c r="AD469" s="245"/>
      <c r="AE469" s="245"/>
      <c r="AF469" s="245"/>
      <c r="AG469" s="245"/>
      <c r="AH469" s="245"/>
      <c r="AI469" s="245"/>
    </row>
    <row r="47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  <c r="AB470" s="245"/>
      <c r="AC470" s="245"/>
      <c r="AD470" s="245"/>
      <c r="AE470" s="245"/>
      <c r="AF470" s="245"/>
      <c r="AG470" s="245"/>
      <c r="AH470" s="245"/>
      <c r="AI470" s="245"/>
    </row>
    <row r="471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  <c r="AB471" s="245"/>
      <c r="AC471" s="245"/>
      <c r="AD471" s="245"/>
      <c r="AE471" s="245"/>
      <c r="AF471" s="245"/>
      <c r="AG471" s="245"/>
      <c r="AH471" s="245"/>
      <c r="AI471" s="245"/>
    </row>
    <row r="472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  <c r="AB472" s="245"/>
      <c r="AC472" s="245"/>
      <c r="AD472" s="245"/>
      <c r="AE472" s="245"/>
      <c r="AF472" s="245"/>
      <c r="AG472" s="245"/>
      <c r="AH472" s="245"/>
      <c r="AI472" s="245"/>
    </row>
    <row r="473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  <c r="AB473" s="245"/>
      <c r="AC473" s="245"/>
      <c r="AD473" s="245"/>
      <c r="AE473" s="245"/>
      <c r="AF473" s="245"/>
      <c r="AG473" s="245"/>
      <c r="AH473" s="245"/>
      <c r="AI473" s="245"/>
    </row>
    <row r="474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  <c r="AB474" s="245"/>
      <c r="AC474" s="245"/>
      <c r="AD474" s="245"/>
      <c r="AE474" s="245"/>
      <c r="AF474" s="245"/>
      <c r="AG474" s="245"/>
      <c r="AH474" s="245"/>
      <c r="AI474" s="245"/>
    </row>
    <row r="475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  <c r="AB475" s="245"/>
      <c r="AC475" s="245"/>
      <c r="AD475" s="245"/>
      <c r="AE475" s="245"/>
      <c r="AF475" s="245"/>
      <c r="AG475" s="245"/>
      <c r="AH475" s="245"/>
      <c r="AI475" s="245"/>
    </row>
    <row r="47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  <c r="AB476" s="245"/>
      <c r="AC476" s="245"/>
      <c r="AD476" s="245"/>
      <c r="AE476" s="245"/>
      <c r="AF476" s="245"/>
      <c r="AG476" s="245"/>
      <c r="AH476" s="245"/>
      <c r="AI476" s="245"/>
    </row>
    <row r="477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  <c r="AB477" s="245"/>
      <c r="AC477" s="245"/>
      <c r="AD477" s="245"/>
      <c r="AE477" s="245"/>
      <c r="AF477" s="245"/>
      <c r="AG477" s="245"/>
      <c r="AH477" s="245"/>
      <c r="AI477" s="245"/>
    </row>
    <row r="478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  <c r="AB478" s="245"/>
      <c r="AC478" s="245"/>
      <c r="AD478" s="245"/>
      <c r="AE478" s="245"/>
      <c r="AF478" s="245"/>
      <c r="AG478" s="245"/>
      <c r="AH478" s="245"/>
      <c r="AI478" s="245"/>
    </row>
    <row r="479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  <c r="AB479" s="245"/>
      <c r="AC479" s="245"/>
      <c r="AD479" s="245"/>
      <c r="AE479" s="245"/>
      <c r="AF479" s="245"/>
      <c r="AG479" s="245"/>
      <c r="AH479" s="245"/>
      <c r="AI479" s="245"/>
    </row>
    <row r="48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  <c r="AB480" s="245"/>
      <c r="AC480" s="245"/>
      <c r="AD480" s="245"/>
      <c r="AE480" s="245"/>
      <c r="AF480" s="245"/>
      <c r="AG480" s="245"/>
      <c r="AH480" s="245"/>
      <c r="AI480" s="245"/>
    </row>
    <row r="481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  <c r="AB481" s="245"/>
      <c r="AC481" s="245"/>
      <c r="AD481" s="245"/>
      <c r="AE481" s="245"/>
      <c r="AF481" s="245"/>
      <c r="AG481" s="245"/>
      <c r="AH481" s="245"/>
      <c r="AI481" s="245"/>
    </row>
    <row r="482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  <c r="AB482" s="245"/>
      <c r="AC482" s="245"/>
      <c r="AD482" s="245"/>
      <c r="AE482" s="245"/>
      <c r="AF482" s="245"/>
      <c r="AG482" s="245"/>
      <c r="AH482" s="245"/>
      <c r="AI482" s="245"/>
    </row>
    <row r="483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  <c r="AB483" s="245"/>
      <c r="AC483" s="245"/>
      <c r="AD483" s="245"/>
      <c r="AE483" s="245"/>
      <c r="AF483" s="245"/>
      <c r="AG483" s="245"/>
      <c r="AH483" s="245"/>
      <c r="AI483" s="245"/>
    </row>
    <row r="484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  <c r="AB484" s="245"/>
      <c r="AC484" s="245"/>
      <c r="AD484" s="245"/>
      <c r="AE484" s="245"/>
      <c r="AF484" s="245"/>
      <c r="AG484" s="245"/>
      <c r="AH484" s="245"/>
      <c r="AI484" s="245"/>
    </row>
    <row r="485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  <c r="AB485" s="245"/>
      <c r="AC485" s="245"/>
      <c r="AD485" s="245"/>
      <c r="AE485" s="245"/>
      <c r="AF485" s="245"/>
      <c r="AG485" s="245"/>
      <c r="AH485" s="245"/>
      <c r="AI485" s="245"/>
    </row>
    <row r="48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  <c r="AB486" s="245"/>
      <c r="AC486" s="245"/>
      <c r="AD486" s="245"/>
      <c r="AE486" s="245"/>
      <c r="AF486" s="245"/>
      <c r="AG486" s="245"/>
      <c r="AH486" s="245"/>
      <c r="AI486" s="245"/>
    </row>
    <row r="487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  <c r="AB487" s="245"/>
      <c r="AC487" s="245"/>
      <c r="AD487" s="245"/>
      <c r="AE487" s="245"/>
      <c r="AF487" s="245"/>
      <c r="AG487" s="245"/>
      <c r="AH487" s="245"/>
      <c r="AI487" s="245"/>
    </row>
    <row r="488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  <c r="AB488" s="245"/>
      <c r="AC488" s="245"/>
      <c r="AD488" s="245"/>
      <c r="AE488" s="245"/>
      <c r="AF488" s="245"/>
      <c r="AG488" s="245"/>
      <c r="AH488" s="245"/>
      <c r="AI488" s="245"/>
    </row>
    <row r="489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  <c r="AB489" s="245"/>
      <c r="AC489" s="245"/>
      <c r="AD489" s="245"/>
      <c r="AE489" s="245"/>
      <c r="AF489" s="245"/>
      <c r="AG489" s="245"/>
      <c r="AH489" s="245"/>
      <c r="AI489" s="245"/>
    </row>
    <row r="49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  <c r="AB490" s="245"/>
      <c r="AC490" s="245"/>
      <c r="AD490" s="245"/>
      <c r="AE490" s="245"/>
      <c r="AF490" s="245"/>
      <c r="AG490" s="245"/>
      <c r="AH490" s="245"/>
      <c r="AI490" s="245"/>
    </row>
    <row r="491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  <c r="AB491" s="245"/>
      <c r="AC491" s="245"/>
      <c r="AD491" s="245"/>
      <c r="AE491" s="245"/>
      <c r="AF491" s="245"/>
      <c r="AG491" s="245"/>
      <c r="AH491" s="245"/>
      <c r="AI491" s="245"/>
    </row>
    <row r="492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  <c r="AB492" s="245"/>
      <c r="AC492" s="245"/>
      <c r="AD492" s="245"/>
      <c r="AE492" s="245"/>
      <c r="AF492" s="245"/>
      <c r="AG492" s="245"/>
      <c r="AH492" s="245"/>
      <c r="AI492" s="245"/>
    </row>
    <row r="493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  <c r="AB493" s="245"/>
      <c r="AC493" s="245"/>
      <c r="AD493" s="245"/>
      <c r="AE493" s="245"/>
      <c r="AF493" s="245"/>
      <c r="AG493" s="245"/>
      <c r="AH493" s="245"/>
      <c r="AI493" s="245"/>
    </row>
    <row r="494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  <c r="AB494" s="245"/>
      <c r="AC494" s="245"/>
      <c r="AD494" s="245"/>
      <c r="AE494" s="245"/>
      <c r="AF494" s="245"/>
      <c r="AG494" s="245"/>
      <c r="AH494" s="245"/>
      <c r="AI494" s="245"/>
    </row>
    <row r="495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  <c r="AB495" s="245"/>
      <c r="AC495" s="245"/>
      <c r="AD495" s="245"/>
      <c r="AE495" s="245"/>
      <c r="AF495" s="245"/>
      <c r="AG495" s="245"/>
      <c r="AH495" s="245"/>
      <c r="AI495" s="245"/>
    </row>
    <row r="49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  <c r="AB496" s="245"/>
      <c r="AC496" s="245"/>
      <c r="AD496" s="245"/>
      <c r="AE496" s="245"/>
      <c r="AF496" s="245"/>
      <c r="AG496" s="245"/>
      <c r="AH496" s="245"/>
      <c r="AI496" s="245"/>
    </row>
    <row r="497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  <c r="AB497" s="245"/>
      <c r="AC497" s="245"/>
      <c r="AD497" s="245"/>
      <c r="AE497" s="245"/>
      <c r="AF497" s="245"/>
      <c r="AG497" s="245"/>
      <c r="AH497" s="245"/>
      <c r="AI497" s="245"/>
    </row>
    <row r="498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  <c r="AB498" s="245"/>
      <c r="AC498" s="245"/>
      <c r="AD498" s="245"/>
      <c r="AE498" s="245"/>
      <c r="AF498" s="245"/>
      <c r="AG498" s="245"/>
      <c r="AH498" s="245"/>
      <c r="AI498" s="245"/>
    </row>
    <row r="499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  <c r="AB499" s="245"/>
      <c r="AC499" s="245"/>
      <c r="AD499" s="245"/>
      <c r="AE499" s="245"/>
      <c r="AF499" s="245"/>
      <c r="AG499" s="245"/>
      <c r="AH499" s="245"/>
      <c r="AI499" s="245"/>
    </row>
    <row r="50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  <c r="AB500" s="245"/>
      <c r="AC500" s="245"/>
      <c r="AD500" s="245"/>
      <c r="AE500" s="245"/>
      <c r="AF500" s="245"/>
      <c r="AG500" s="245"/>
      <c r="AH500" s="245"/>
      <c r="AI500" s="245"/>
    </row>
    <row r="501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  <c r="AB501" s="245"/>
      <c r="AC501" s="245"/>
      <c r="AD501" s="245"/>
      <c r="AE501" s="245"/>
      <c r="AF501" s="245"/>
      <c r="AG501" s="245"/>
      <c r="AH501" s="245"/>
      <c r="AI501" s="245"/>
    </row>
    <row r="502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  <c r="AB502" s="245"/>
      <c r="AC502" s="245"/>
      <c r="AD502" s="245"/>
      <c r="AE502" s="245"/>
      <c r="AF502" s="245"/>
      <c r="AG502" s="245"/>
      <c r="AH502" s="245"/>
      <c r="AI502" s="245"/>
    </row>
    <row r="503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  <c r="AB503" s="245"/>
      <c r="AC503" s="245"/>
      <c r="AD503" s="245"/>
      <c r="AE503" s="245"/>
      <c r="AF503" s="245"/>
      <c r="AG503" s="245"/>
      <c r="AH503" s="245"/>
      <c r="AI503" s="245"/>
    </row>
    <row r="504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  <c r="AB504" s="245"/>
      <c r="AC504" s="245"/>
      <c r="AD504" s="245"/>
      <c r="AE504" s="245"/>
      <c r="AF504" s="245"/>
      <c r="AG504" s="245"/>
      <c r="AH504" s="245"/>
      <c r="AI504" s="245"/>
    </row>
    <row r="505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  <c r="AB505" s="245"/>
      <c r="AC505" s="245"/>
      <c r="AD505" s="245"/>
      <c r="AE505" s="245"/>
      <c r="AF505" s="245"/>
      <c r="AG505" s="245"/>
      <c r="AH505" s="245"/>
      <c r="AI505" s="245"/>
    </row>
    <row r="50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  <c r="AB506" s="245"/>
      <c r="AC506" s="245"/>
      <c r="AD506" s="245"/>
      <c r="AE506" s="245"/>
      <c r="AF506" s="245"/>
      <c r="AG506" s="245"/>
      <c r="AH506" s="245"/>
      <c r="AI506" s="245"/>
    </row>
    <row r="507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  <c r="AB507" s="245"/>
      <c r="AC507" s="245"/>
      <c r="AD507" s="245"/>
      <c r="AE507" s="245"/>
      <c r="AF507" s="245"/>
      <c r="AG507" s="245"/>
      <c r="AH507" s="245"/>
      <c r="AI507" s="245"/>
    </row>
    <row r="508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  <c r="AB508" s="245"/>
      <c r="AC508" s="245"/>
      <c r="AD508" s="245"/>
      <c r="AE508" s="245"/>
      <c r="AF508" s="245"/>
      <c r="AG508" s="245"/>
      <c r="AH508" s="245"/>
      <c r="AI508" s="245"/>
    </row>
    <row r="509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  <c r="AB509" s="245"/>
      <c r="AC509" s="245"/>
      <c r="AD509" s="245"/>
      <c r="AE509" s="245"/>
      <c r="AF509" s="245"/>
      <c r="AG509" s="245"/>
      <c r="AH509" s="245"/>
      <c r="AI509" s="245"/>
    </row>
    <row r="51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  <c r="AB510" s="245"/>
      <c r="AC510" s="245"/>
      <c r="AD510" s="245"/>
      <c r="AE510" s="245"/>
      <c r="AF510" s="245"/>
      <c r="AG510" s="245"/>
      <c r="AH510" s="245"/>
      <c r="AI510" s="245"/>
    </row>
    <row r="511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  <c r="AE511" s="245"/>
      <c r="AF511" s="245"/>
      <c r="AG511" s="245"/>
      <c r="AH511" s="245"/>
      <c r="AI511" s="245"/>
    </row>
    <row r="512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  <c r="AB512" s="245"/>
      <c r="AC512" s="245"/>
      <c r="AD512" s="245"/>
      <c r="AE512" s="245"/>
      <c r="AF512" s="245"/>
      <c r="AG512" s="245"/>
      <c r="AH512" s="245"/>
      <c r="AI512" s="245"/>
    </row>
    <row r="513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  <c r="AB513" s="245"/>
      <c r="AC513" s="245"/>
      <c r="AD513" s="245"/>
      <c r="AE513" s="245"/>
      <c r="AF513" s="245"/>
      <c r="AG513" s="245"/>
      <c r="AH513" s="245"/>
      <c r="AI513" s="245"/>
    </row>
    <row r="514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  <c r="AB514" s="245"/>
      <c r="AC514" s="245"/>
      <c r="AD514" s="245"/>
      <c r="AE514" s="245"/>
      <c r="AF514" s="245"/>
      <c r="AG514" s="245"/>
      <c r="AH514" s="245"/>
      <c r="AI514" s="245"/>
    </row>
    <row r="515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  <c r="AB515" s="245"/>
      <c r="AC515" s="245"/>
      <c r="AD515" s="245"/>
      <c r="AE515" s="245"/>
      <c r="AF515" s="245"/>
      <c r="AG515" s="245"/>
      <c r="AH515" s="245"/>
      <c r="AI515" s="245"/>
    </row>
    <row r="51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  <c r="AB516" s="245"/>
      <c r="AC516" s="245"/>
      <c r="AD516" s="245"/>
      <c r="AE516" s="245"/>
      <c r="AF516" s="245"/>
      <c r="AG516" s="245"/>
      <c r="AH516" s="245"/>
      <c r="AI516" s="245"/>
    </row>
    <row r="517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  <c r="AB517" s="245"/>
      <c r="AC517" s="245"/>
      <c r="AD517" s="245"/>
      <c r="AE517" s="245"/>
      <c r="AF517" s="245"/>
      <c r="AG517" s="245"/>
      <c r="AH517" s="245"/>
      <c r="AI517" s="245"/>
    </row>
    <row r="518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  <c r="AB518" s="245"/>
      <c r="AC518" s="245"/>
      <c r="AD518" s="245"/>
      <c r="AE518" s="245"/>
      <c r="AF518" s="245"/>
      <c r="AG518" s="245"/>
      <c r="AH518" s="245"/>
      <c r="AI518" s="245"/>
    </row>
    <row r="519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  <c r="AB519" s="245"/>
      <c r="AC519" s="245"/>
      <c r="AD519" s="245"/>
      <c r="AE519" s="245"/>
      <c r="AF519" s="245"/>
      <c r="AG519" s="245"/>
      <c r="AH519" s="245"/>
      <c r="AI519" s="245"/>
    </row>
    <row r="52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  <c r="AB520" s="245"/>
      <c r="AC520" s="245"/>
      <c r="AD520" s="245"/>
      <c r="AE520" s="245"/>
      <c r="AF520" s="245"/>
      <c r="AG520" s="245"/>
      <c r="AH520" s="245"/>
      <c r="AI520" s="245"/>
    </row>
    <row r="521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  <c r="AB521" s="245"/>
      <c r="AC521" s="245"/>
      <c r="AD521" s="245"/>
      <c r="AE521" s="245"/>
      <c r="AF521" s="245"/>
      <c r="AG521" s="245"/>
      <c r="AH521" s="245"/>
      <c r="AI521" s="245"/>
    </row>
    <row r="522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  <c r="AB522" s="245"/>
      <c r="AC522" s="245"/>
      <c r="AD522" s="245"/>
      <c r="AE522" s="245"/>
      <c r="AF522" s="245"/>
      <c r="AG522" s="245"/>
      <c r="AH522" s="245"/>
      <c r="AI522" s="245"/>
    </row>
    <row r="523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  <c r="AB523" s="245"/>
      <c r="AC523" s="245"/>
      <c r="AD523" s="245"/>
      <c r="AE523" s="245"/>
      <c r="AF523" s="245"/>
      <c r="AG523" s="245"/>
      <c r="AH523" s="245"/>
      <c r="AI523" s="245"/>
    </row>
    <row r="524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  <c r="AB524" s="245"/>
      <c r="AC524" s="245"/>
      <c r="AD524" s="245"/>
      <c r="AE524" s="245"/>
      <c r="AF524" s="245"/>
      <c r="AG524" s="245"/>
      <c r="AH524" s="245"/>
      <c r="AI524" s="245"/>
    </row>
    <row r="525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  <c r="AB525" s="245"/>
      <c r="AC525" s="245"/>
      <c r="AD525" s="245"/>
      <c r="AE525" s="245"/>
      <c r="AF525" s="245"/>
      <c r="AG525" s="245"/>
      <c r="AH525" s="245"/>
      <c r="AI525" s="245"/>
    </row>
    <row r="5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  <c r="AB526" s="245"/>
      <c r="AC526" s="245"/>
      <c r="AD526" s="245"/>
      <c r="AE526" s="245"/>
      <c r="AF526" s="245"/>
      <c r="AG526" s="245"/>
      <c r="AH526" s="245"/>
      <c r="AI526" s="245"/>
    </row>
    <row r="527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  <c r="AB527" s="245"/>
      <c r="AC527" s="245"/>
      <c r="AD527" s="245"/>
      <c r="AE527" s="245"/>
      <c r="AF527" s="245"/>
      <c r="AG527" s="245"/>
      <c r="AH527" s="245"/>
      <c r="AI527" s="245"/>
    </row>
    <row r="528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  <c r="AB528" s="245"/>
      <c r="AC528" s="245"/>
      <c r="AD528" s="245"/>
      <c r="AE528" s="245"/>
      <c r="AF528" s="245"/>
      <c r="AG528" s="245"/>
      <c r="AH528" s="245"/>
      <c r="AI528" s="245"/>
    </row>
    <row r="529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  <c r="AB529" s="245"/>
      <c r="AC529" s="245"/>
      <c r="AD529" s="245"/>
      <c r="AE529" s="245"/>
      <c r="AF529" s="245"/>
      <c r="AG529" s="245"/>
      <c r="AH529" s="245"/>
      <c r="AI529" s="245"/>
    </row>
    <row r="5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  <c r="AB530" s="245"/>
      <c r="AC530" s="245"/>
      <c r="AD530" s="245"/>
      <c r="AE530" s="245"/>
      <c r="AF530" s="245"/>
      <c r="AG530" s="245"/>
      <c r="AH530" s="245"/>
      <c r="AI530" s="245"/>
    </row>
    <row r="531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  <c r="AB531" s="245"/>
      <c r="AC531" s="245"/>
      <c r="AD531" s="245"/>
      <c r="AE531" s="245"/>
      <c r="AF531" s="245"/>
      <c r="AG531" s="245"/>
      <c r="AH531" s="245"/>
      <c r="AI531" s="245"/>
    </row>
    <row r="532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  <c r="AB532" s="245"/>
      <c r="AC532" s="245"/>
      <c r="AD532" s="245"/>
      <c r="AE532" s="245"/>
      <c r="AF532" s="245"/>
      <c r="AG532" s="245"/>
      <c r="AH532" s="245"/>
      <c r="AI532" s="245"/>
    </row>
    <row r="533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  <c r="AB533" s="245"/>
      <c r="AC533" s="245"/>
      <c r="AD533" s="245"/>
      <c r="AE533" s="245"/>
      <c r="AF533" s="245"/>
      <c r="AG533" s="245"/>
      <c r="AH533" s="245"/>
      <c r="AI533" s="245"/>
    </row>
    <row r="534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  <c r="AB534" s="245"/>
      <c r="AC534" s="245"/>
      <c r="AD534" s="245"/>
      <c r="AE534" s="245"/>
      <c r="AF534" s="245"/>
      <c r="AG534" s="245"/>
      <c r="AH534" s="245"/>
      <c r="AI534" s="245"/>
    </row>
    <row r="535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  <c r="AB535" s="245"/>
      <c r="AC535" s="245"/>
      <c r="AD535" s="245"/>
      <c r="AE535" s="245"/>
      <c r="AF535" s="245"/>
      <c r="AG535" s="245"/>
      <c r="AH535" s="245"/>
      <c r="AI535" s="245"/>
    </row>
    <row r="53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  <c r="AB536" s="245"/>
      <c r="AC536" s="245"/>
      <c r="AD536" s="245"/>
      <c r="AE536" s="245"/>
      <c r="AF536" s="245"/>
      <c r="AG536" s="245"/>
      <c r="AH536" s="245"/>
      <c r="AI536" s="245"/>
    </row>
    <row r="537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  <c r="AB537" s="245"/>
      <c r="AC537" s="245"/>
      <c r="AD537" s="245"/>
      <c r="AE537" s="245"/>
      <c r="AF537" s="245"/>
      <c r="AG537" s="245"/>
      <c r="AH537" s="245"/>
      <c r="AI537" s="245"/>
    </row>
    <row r="538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  <c r="AB538" s="245"/>
      <c r="AC538" s="245"/>
      <c r="AD538" s="245"/>
      <c r="AE538" s="245"/>
      <c r="AF538" s="245"/>
      <c r="AG538" s="245"/>
      <c r="AH538" s="245"/>
      <c r="AI538" s="245"/>
    </row>
    <row r="539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  <c r="AB539" s="245"/>
      <c r="AC539" s="245"/>
      <c r="AD539" s="245"/>
      <c r="AE539" s="245"/>
      <c r="AF539" s="245"/>
      <c r="AG539" s="245"/>
      <c r="AH539" s="245"/>
      <c r="AI539" s="245"/>
    </row>
    <row r="54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  <c r="AB540" s="245"/>
      <c r="AC540" s="245"/>
      <c r="AD540" s="245"/>
      <c r="AE540" s="245"/>
      <c r="AF540" s="245"/>
      <c r="AG540" s="245"/>
      <c r="AH540" s="245"/>
      <c r="AI540" s="245"/>
    </row>
    <row r="541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  <c r="AB541" s="245"/>
      <c r="AC541" s="245"/>
      <c r="AD541" s="245"/>
      <c r="AE541" s="245"/>
      <c r="AF541" s="245"/>
      <c r="AG541" s="245"/>
      <c r="AH541" s="245"/>
      <c r="AI541" s="245"/>
    </row>
    <row r="542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  <c r="AB542" s="245"/>
      <c r="AC542" s="245"/>
      <c r="AD542" s="245"/>
      <c r="AE542" s="245"/>
      <c r="AF542" s="245"/>
      <c r="AG542" s="245"/>
      <c r="AH542" s="245"/>
      <c r="AI542" s="245"/>
    </row>
    <row r="543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  <c r="AB543" s="245"/>
      <c r="AC543" s="245"/>
      <c r="AD543" s="245"/>
      <c r="AE543" s="245"/>
      <c r="AF543" s="245"/>
      <c r="AG543" s="245"/>
      <c r="AH543" s="245"/>
      <c r="AI543" s="245"/>
    </row>
    <row r="544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  <c r="AB544" s="245"/>
      <c r="AC544" s="245"/>
      <c r="AD544" s="245"/>
      <c r="AE544" s="245"/>
      <c r="AF544" s="245"/>
      <c r="AG544" s="245"/>
      <c r="AH544" s="245"/>
      <c r="AI544" s="245"/>
    </row>
    <row r="545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  <c r="AB545" s="245"/>
      <c r="AC545" s="245"/>
      <c r="AD545" s="245"/>
      <c r="AE545" s="245"/>
      <c r="AF545" s="245"/>
      <c r="AG545" s="245"/>
      <c r="AH545" s="245"/>
      <c r="AI545" s="245"/>
    </row>
    <row r="54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  <c r="AB546" s="245"/>
      <c r="AC546" s="245"/>
      <c r="AD546" s="245"/>
      <c r="AE546" s="245"/>
      <c r="AF546" s="245"/>
      <c r="AG546" s="245"/>
      <c r="AH546" s="245"/>
      <c r="AI546" s="245"/>
    </row>
    <row r="547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  <c r="AB547" s="245"/>
      <c r="AC547" s="245"/>
      <c r="AD547" s="245"/>
      <c r="AE547" s="245"/>
      <c r="AF547" s="245"/>
      <c r="AG547" s="245"/>
      <c r="AH547" s="245"/>
      <c r="AI547" s="245"/>
    </row>
    <row r="548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  <c r="AD548" s="245"/>
      <c r="AE548" s="245"/>
      <c r="AF548" s="245"/>
      <c r="AG548" s="245"/>
      <c r="AH548" s="245"/>
      <c r="AI548" s="245"/>
    </row>
    <row r="549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  <c r="AB549" s="245"/>
      <c r="AC549" s="245"/>
      <c r="AD549" s="245"/>
      <c r="AE549" s="245"/>
      <c r="AF549" s="245"/>
      <c r="AG549" s="245"/>
      <c r="AH549" s="245"/>
      <c r="AI549" s="245"/>
    </row>
    <row r="55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  <c r="AB550" s="245"/>
      <c r="AC550" s="245"/>
      <c r="AD550" s="245"/>
      <c r="AE550" s="245"/>
      <c r="AF550" s="245"/>
      <c r="AG550" s="245"/>
      <c r="AH550" s="245"/>
      <c r="AI550" s="245"/>
    </row>
    <row r="551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  <c r="AB551" s="245"/>
      <c r="AC551" s="245"/>
      <c r="AD551" s="245"/>
      <c r="AE551" s="245"/>
      <c r="AF551" s="245"/>
      <c r="AG551" s="245"/>
      <c r="AH551" s="245"/>
      <c r="AI551" s="245"/>
    </row>
    <row r="552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  <c r="AB552" s="245"/>
      <c r="AC552" s="245"/>
      <c r="AD552" s="245"/>
      <c r="AE552" s="245"/>
      <c r="AF552" s="245"/>
      <c r="AG552" s="245"/>
      <c r="AH552" s="245"/>
      <c r="AI552" s="245"/>
    </row>
    <row r="553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  <c r="AB553" s="245"/>
      <c r="AC553" s="245"/>
      <c r="AD553" s="245"/>
      <c r="AE553" s="245"/>
      <c r="AF553" s="245"/>
      <c r="AG553" s="245"/>
      <c r="AH553" s="245"/>
      <c r="AI553" s="245"/>
    </row>
    <row r="554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  <c r="AB554" s="245"/>
      <c r="AC554" s="245"/>
      <c r="AD554" s="245"/>
      <c r="AE554" s="245"/>
      <c r="AF554" s="245"/>
      <c r="AG554" s="245"/>
      <c r="AH554" s="245"/>
      <c r="AI554" s="245"/>
    </row>
    <row r="555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  <c r="AB555" s="245"/>
      <c r="AC555" s="245"/>
      <c r="AD555" s="245"/>
      <c r="AE555" s="245"/>
      <c r="AF555" s="245"/>
      <c r="AG555" s="245"/>
      <c r="AH555" s="245"/>
      <c r="AI555" s="245"/>
    </row>
    <row r="55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  <c r="AB556" s="245"/>
      <c r="AC556" s="245"/>
      <c r="AD556" s="245"/>
      <c r="AE556" s="245"/>
      <c r="AF556" s="245"/>
      <c r="AG556" s="245"/>
      <c r="AH556" s="245"/>
      <c r="AI556" s="245"/>
    </row>
    <row r="557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  <c r="AB557" s="245"/>
      <c r="AC557" s="245"/>
      <c r="AD557" s="245"/>
      <c r="AE557" s="245"/>
      <c r="AF557" s="245"/>
      <c r="AG557" s="245"/>
      <c r="AH557" s="245"/>
      <c r="AI557" s="245"/>
    </row>
    <row r="558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  <c r="AB558" s="245"/>
      <c r="AC558" s="245"/>
      <c r="AD558" s="245"/>
      <c r="AE558" s="245"/>
      <c r="AF558" s="245"/>
      <c r="AG558" s="245"/>
      <c r="AH558" s="245"/>
      <c r="AI558" s="245"/>
    </row>
    <row r="559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  <c r="AB559" s="245"/>
      <c r="AC559" s="245"/>
      <c r="AD559" s="245"/>
      <c r="AE559" s="245"/>
      <c r="AF559" s="245"/>
      <c r="AG559" s="245"/>
      <c r="AH559" s="245"/>
      <c r="AI559" s="245"/>
    </row>
    <row r="56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  <c r="AB560" s="245"/>
      <c r="AC560" s="245"/>
      <c r="AD560" s="245"/>
      <c r="AE560" s="245"/>
      <c r="AF560" s="245"/>
      <c r="AG560" s="245"/>
      <c r="AH560" s="245"/>
      <c r="AI560" s="245"/>
    </row>
    <row r="561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  <c r="AB561" s="245"/>
      <c r="AC561" s="245"/>
      <c r="AD561" s="245"/>
      <c r="AE561" s="245"/>
      <c r="AF561" s="245"/>
      <c r="AG561" s="245"/>
      <c r="AH561" s="245"/>
      <c r="AI561" s="245"/>
    </row>
    <row r="562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  <c r="AB562" s="245"/>
      <c r="AC562" s="245"/>
      <c r="AD562" s="245"/>
      <c r="AE562" s="245"/>
      <c r="AF562" s="245"/>
      <c r="AG562" s="245"/>
      <c r="AH562" s="245"/>
      <c r="AI562" s="245"/>
    </row>
    <row r="563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  <c r="AE563" s="245"/>
      <c r="AF563" s="245"/>
      <c r="AG563" s="245"/>
      <c r="AH563" s="245"/>
      <c r="AI563" s="245"/>
    </row>
    <row r="564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  <c r="AB564" s="245"/>
      <c r="AC564" s="245"/>
      <c r="AD564" s="245"/>
      <c r="AE564" s="245"/>
      <c r="AF564" s="245"/>
      <c r="AG564" s="245"/>
      <c r="AH564" s="245"/>
      <c r="AI564" s="245"/>
    </row>
    <row r="565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  <c r="AB565" s="245"/>
      <c r="AC565" s="245"/>
      <c r="AD565" s="245"/>
      <c r="AE565" s="245"/>
      <c r="AF565" s="245"/>
      <c r="AG565" s="245"/>
      <c r="AH565" s="245"/>
      <c r="AI565" s="245"/>
    </row>
    <row r="56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  <c r="AB566" s="245"/>
      <c r="AC566" s="245"/>
      <c r="AD566" s="245"/>
      <c r="AE566" s="245"/>
      <c r="AF566" s="245"/>
      <c r="AG566" s="245"/>
      <c r="AH566" s="245"/>
      <c r="AI566" s="245"/>
    </row>
    <row r="567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  <c r="AB567" s="245"/>
      <c r="AC567" s="245"/>
      <c r="AD567" s="245"/>
      <c r="AE567" s="245"/>
      <c r="AF567" s="245"/>
      <c r="AG567" s="245"/>
      <c r="AH567" s="245"/>
      <c r="AI567" s="245"/>
    </row>
    <row r="568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  <c r="AB568" s="245"/>
      <c r="AC568" s="245"/>
      <c r="AD568" s="245"/>
      <c r="AE568" s="245"/>
      <c r="AF568" s="245"/>
      <c r="AG568" s="245"/>
      <c r="AH568" s="245"/>
      <c r="AI568" s="245"/>
    </row>
    <row r="569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  <c r="AB569" s="245"/>
      <c r="AC569" s="245"/>
      <c r="AD569" s="245"/>
      <c r="AE569" s="245"/>
      <c r="AF569" s="245"/>
      <c r="AG569" s="245"/>
      <c r="AH569" s="245"/>
      <c r="AI569" s="245"/>
    </row>
    <row r="57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  <c r="AB570" s="245"/>
      <c r="AC570" s="245"/>
      <c r="AD570" s="245"/>
      <c r="AE570" s="245"/>
      <c r="AF570" s="245"/>
      <c r="AG570" s="245"/>
      <c r="AH570" s="245"/>
      <c r="AI570" s="245"/>
    </row>
    <row r="571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  <c r="AB571" s="245"/>
      <c r="AC571" s="245"/>
      <c r="AD571" s="245"/>
      <c r="AE571" s="245"/>
      <c r="AF571" s="245"/>
      <c r="AG571" s="245"/>
      <c r="AH571" s="245"/>
      <c r="AI571" s="245"/>
    </row>
    <row r="572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  <c r="AB572" s="245"/>
      <c r="AC572" s="245"/>
      <c r="AD572" s="245"/>
      <c r="AE572" s="245"/>
      <c r="AF572" s="245"/>
      <c r="AG572" s="245"/>
      <c r="AH572" s="245"/>
      <c r="AI572" s="245"/>
    </row>
    <row r="573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  <c r="AB573" s="245"/>
      <c r="AC573" s="245"/>
      <c r="AD573" s="245"/>
      <c r="AE573" s="245"/>
      <c r="AF573" s="245"/>
      <c r="AG573" s="245"/>
      <c r="AH573" s="245"/>
      <c r="AI573" s="245"/>
    </row>
    <row r="574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  <c r="AB574" s="245"/>
      <c r="AC574" s="245"/>
      <c r="AD574" s="245"/>
      <c r="AE574" s="245"/>
      <c r="AF574" s="245"/>
      <c r="AG574" s="245"/>
      <c r="AH574" s="245"/>
      <c r="AI574" s="245"/>
    </row>
    <row r="575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  <c r="AB575" s="245"/>
      <c r="AC575" s="245"/>
      <c r="AD575" s="245"/>
      <c r="AE575" s="245"/>
      <c r="AF575" s="245"/>
      <c r="AG575" s="245"/>
      <c r="AH575" s="245"/>
      <c r="AI575" s="245"/>
    </row>
    <row r="57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  <c r="AB576" s="245"/>
      <c r="AC576" s="245"/>
      <c r="AD576" s="245"/>
      <c r="AE576" s="245"/>
      <c r="AF576" s="245"/>
      <c r="AG576" s="245"/>
      <c r="AH576" s="245"/>
      <c r="AI576" s="245"/>
    </row>
    <row r="577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  <c r="AB577" s="245"/>
      <c r="AC577" s="245"/>
      <c r="AD577" s="245"/>
      <c r="AE577" s="245"/>
      <c r="AF577" s="245"/>
      <c r="AG577" s="245"/>
      <c r="AH577" s="245"/>
      <c r="AI577" s="245"/>
    </row>
    <row r="578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  <c r="AB578" s="245"/>
      <c r="AC578" s="245"/>
      <c r="AD578" s="245"/>
      <c r="AE578" s="245"/>
      <c r="AF578" s="245"/>
      <c r="AG578" s="245"/>
      <c r="AH578" s="245"/>
      <c r="AI578" s="245"/>
    </row>
    <row r="579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  <c r="AB579" s="245"/>
      <c r="AC579" s="245"/>
      <c r="AD579" s="245"/>
      <c r="AE579" s="245"/>
      <c r="AF579" s="245"/>
      <c r="AG579" s="245"/>
      <c r="AH579" s="245"/>
      <c r="AI579" s="245"/>
    </row>
    <row r="58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  <c r="AB580" s="245"/>
      <c r="AC580" s="245"/>
      <c r="AD580" s="245"/>
      <c r="AE580" s="245"/>
      <c r="AF580" s="245"/>
      <c r="AG580" s="245"/>
      <c r="AH580" s="245"/>
      <c r="AI580" s="245"/>
    </row>
    <row r="581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  <c r="AB581" s="245"/>
      <c r="AC581" s="245"/>
      <c r="AD581" s="245"/>
      <c r="AE581" s="245"/>
      <c r="AF581" s="245"/>
      <c r="AG581" s="245"/>
      <c r="AH581" s="245"/>
      <c r="AI581" s="245"/>
    </row>
    <row r="582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  <c r="AB582" s="245"/>
      <c r="AC582" s="245"/>
      <c r="AD582" s="245"/>
      <c r="AE582" s="245"/>
      <c r="AF582" s="245"/>
      <c r="AG582" s="245"/>
      <c r="AH582" s="245"/>
      <c r="AI582" s="245"/>
    </row>
    <row r="583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  <c r="AB583" s="245"/>
      <c r="AC583" s="245"/>
      <c r="AD583" s="245"/>
      <c r="AE583" s="245"/>
      <c r="AF583" s="245"/>
      <c r="AG583" s="245"/>
      <c r="AH583" s="245"/>
      <c r="AI583" s="245"/>
    </row>
    <row r="584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  <c r="AB584" s="245"/>
      <c r="AC584" s="245"/>
      <c r="AD584" s="245"/>
      <c r="AE584" s="245"/>
      <c r="AF584" s="245"/>
      <c r="AG584" s="245"/>
      <c r="AH584" s="245"/>
      <c r="AI584" s="245"/>
    </row>
    <row r="585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  <c r="AB585" s="245"/>
      <c r="AC585" s="245"/>
      <c r="AD585" s="245"/>
      <c r="AE585" s="245"/>
      <c r="AF585" s="245"/>
      <c r="AG585" s="245"/>
      <c r="AH585" s="245"/>
      <c r="AI585" s="245"/>
    </row>
    <row r="58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  <c r="AB586" s="245"/>
      <c r="AC586" s="245"/>
      <c r="AD586" s="245"/>
      <c r="AE586" s="245"/>
      <c r="AF586" s="245"/>
      <c r="AG586" s="245"/>
      <c r="AH586" s="245"/>
      <c r="AI586" s="245"/>
    </row>
    <row r="587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  <c r="AB587" s="245"/>
      <c r="AC587" s="245"/>
      <c r="AD587" s="245"/>
      <c r="AE587" s="245"/>
      <c r="AF587" s="245"/>
      <c r="AG587" s="245"/>
      <c r="AH587" s="245"/>
      <c r="AI587" s="245"/>
    </row>
    <row r="588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  <c r="AB588" s="245"/>
      <c r="AC588" s="245"/>
      <c r="AD588" s="245"/>
      <c r="AE588" s="245"/>
      <c r="AF588" s="245"/>
      <c r="AG588" s="245"/>
      <c r="AH588" s="245"/>
      <c r="AI588" s="245"/>
    </row>
    <row r="589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  <c r="AB589" s="245"/>
      <c r="AC589" s="245"/>
      <c r="AD589" s="245"/>
      <c r="AE589" s="245"/>
      <c r="AF589" s="245"/>
      <c r="AG589" s="245"/>
      <c r="AH589" s="245"/>
      <c r="AI589" s="245"/>
    </row>
    <row r="59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  <c r="AB590" s="245"/>
      <c r="AC590" s="245"/>
      <c r="AD590" s="245"/>
      <c r="AE590" s="245"/>
      <c r="AF590" s="245"/>
      <c r="AG590" s="245"/>
      <c r="AH590" s="245"/>
      <c r="AI590" s="245"/>
    </row>
    <row r="591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  <c r="AB591" s="245"/>
      <c r="AC591" s="245"/>
      <c r="AD591" s="245"/>
      <c r="AE591" s="245"/>
      <c r="AF591" s="245"/>
      <c r="AG591" s="245"/>
      <c r="AH591" s="245"/>
      <c r="AI591" s="245"/>
    </row>
    <row r="592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  <c r="AB592" s="245"/>
      <c r="AC592" s="245"/>
      <c r="AD592" s="245"/>
      <c r="AE592" s="245"/>
      <c r="AF592" s="245"/>
      <c r="AG592" s="245"/>
      <c r="AH592" s="245"/>
      <c r="AI592" s="245"/>
    </row>
    <row r="593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  <c r="AB593" s="245"/>
      <c r="AC593" s="245"/>
      <c r="AD593" s="245"/>
      <c r="AE593" s="245"/>
      <c r="AF593" s="245"/>
      <c r="AG593" s="245"/>
      <c r="AH593" s="245"/>
      <c r="AI593" s="245"/>
    </row>
    <row r="594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  <c r="AB594" s="245"/>
      <c r="AC594" s="245"/>
      <c r="AD594" s="245"/>
      <c r="AE594" s="245"/>
      <c r="AF594" s="245"/>
      <c r="AG594" s="245"/>
      <c r="AH594" s="245"/>
      <c r="AI594" s="245"/>
    </row>
    <row r="595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  <c r="AB595" s="245"/>
      <c r="AC595" s="245"/>
      <c r="AD595" s="245"/>
      <c r="AE595" s="245"/>
      <c r="AF595" s="245"/>
      <c r="AG595" s="245"/>
      <c r="AH595" s="245"/>
      <c r="AI595" s="245"/>
    </row>
    <row r="59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  <c r="AB596" s="245"/>
      <c r="AC596" s="245"/>
      <c r="AD596" s="245"/>
      <c r="AE596" s="245"/>
      <c r="AF596" s="245"/>
      <c r="AG596" s="245"/>
      <c r="AH596" s="245"/>
      <c r="AI596" s="245"/>
    </row>
    <row r="597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  <c r="AB597" s="245"/>
      <c r="AC597" s="245"/>
      <c r="AD597" s="245"/>
      <c r="AE597" s="245"/>
      <c r="AF597" s="245"/>
      <c r="AG597" s="245"/>
      <c r="AH597" s="245"/>
      <c r="AI597" s="245"/>
    </row>
    <row r="598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  <c r="AB598" s="245"/>
      <c r="AC598" s="245"/>
      <c r="AD598" s="245"/>
      <c r="AE598" s="245"/>
      <c r="AF598" s="245"/>
      <c r="AG598" s="245"/>
      <c r="AH598" s="245"/>
      <c r="AI598" s="245"/>
    </row>
    <row r="599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  <c r="AB599" s="245"/>
      <c r="AC599" s="245"/>
      <c r="AD599" s="245"/>
      <c r="AE599" s="245"/>
      <c r="AF599" s="245"/>
      <c r="AG599" s="245"/>
      <c r="AH599" s="245"/>
      <c r="AI599" s="245"/>
    </row>
    <row r="60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  <c r="AD600" s="245"/>
      <c r="AE600" s="245"/>
      <c r="AF600" s="245"/>
      <c r="AG600" s="245"/>
      <c r="AH600" s="245"/>
      <c r="AI600" s="245"/>
    </row>
    <row r="601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  <c r="AD601" s="245"/>
      <c r="AE601" s="245"/>
      <c r="AF601" s="245"/>
      <c r="AG601" s="245"/>
      <c r="AH601" s="245"/>
      <c r="AI601" s="245"/>
    </row>
    <row r="602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  <c r="AB602" s="245"/>
      <c r="AC602" s="245"/>
      <c r="AD602" s="245"/>
      <c r="AE602" s="245"/>
      <c r="AF602" s="245"/>
      <c r="AG602" s="245"/>
      <c r="AH602" s="245"/>
      <c r="AI602" s="245"/>
    </row>
    <row r="603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  <c r="AB603" s="245"/>
      <c r="AC603" s="245"/>
      <c r="AD603" s="245"/>
      <c r="AE603" s="245"/>
      <c r="AF603" s="245"/>
      <c r="AG603" s="245"/>
      <c r="AH603" s="245"/>
      <c r="AI603" s="245"/>
    </row>
    <row r="604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  <c r="AB604" s="245"/>
      <c r="AC604" s="245"/>
      <c r="AD604" s="245"/>
      <c r="AE604" s="245"/>
      <c r="AF604" s="245"/>
      <c r="AG604" s="245"/>
      <c r="AH604" s="245"/>
      <c r="AI604" s="245"/>
    </row>
    <row r="605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  <c r="AB605" s="245"/>
      <c r="AC605" s="245"/>
      <c r="AD605" s="245"/>
      <c r="AE605" s="245"/>
      <c r="AF605" s="245"/>
      <c r="AG605" s="245"/>
      <c r="AH605" s="245"/>
      <c r="AI605" s="245"/>
    </row>
    <row r="60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  <c r="AB606" s="245"/>
      <c r="AC606" s="245"/>
      <c r="AD606" s="245"/>
      <c r="AE606" s="245"/>
      <c r="AF606" s="245"/>
      <c r="AG606" s="245"/>
      <c r="AH606" s="245"/>
      <c r="AI606" s="245"/>
    </row>
    <row r="607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  <c r="AB607" s="245"/>
      <c r="AC607" s="245"/>
      <c r="AD607" s="245"/>
      <c r="AE607" s="245"/>
      <c r="AF607" s="245"/>
      <c r="AG607" s="245"/>
      <c r="AH607" s="245"/>
      <c r="AI607" s="245"/>
    </row>
    <row r="608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  <c r="AB608" s="245"/>
      <c r="AC608" s="245"/>
      <c r="AD608" s="245"/>
      <c r="AE608" s="245"/>
      <c r="AF608" s="245"/>
      <c r="AG608" s="245"/>
      <c r="AH608" s="245"/>
      <c r="AI608" s="245"/>
    </row>
    <row r="609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  <c r="AB609" s="245"/>
      <c r="AC609" s="245"/>
      <c r="AD609" s="245"/>
      <c r="AE609" s="245"/>
      <c r="AF609" s="245"/>
      <c r="AG609" s="245"/>
      <c r="AH609" s="245"/>
      <c r="AI609" s="245"/>
    </row>
    <row r="61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  <c r="AB610" s="245"/>
      <c r="AC610" s="245"/>
      <c r="AD610" s="245"/>
      <c r="AE610" s="245"/>
      <c r="AF610" s="245"/>
      <c r="AG610" s="245"/>
      <c r="AH610" s="245"/>
      <c r="AI610" s="245"/>
    </row>
    <row r="611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  <c r="AB611" s="245"/>
      <c r="AC611" s="245"/>
      <c r="AD611" s="245"/>
      <c r="AE611" s="245"/>
      <c r="AF611" s="245"/>
      <c r="AG611" s="245"/>
      <c r="AH611" s="245"/>
      <c r="AI611" s="245"/>
    </row>
    <row r="612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  <c r="AB612" s="245"/>
      <c r="AC612" s="245"/>
      <c r="AD612" s="245"/>
      <c r="AE612" s="245"/>
      <c r="AF612" s="245"/>
      <c r="AG612" s="245"/>
      <c r="AH612" s="245"/>
      <c r="AI612" s="245"/>
    </row>
    <row r="613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  <c r="AB613" s="245"/>
      <c r="AC613" s="245"/>
      <c r="AD613" s="245"/>
      <c r="AE613" s="245"/>
      <c r="AF613" s="245"/>
      <c r="AG613" s="245"/>
      <c r="AH613" s="245"/>
      <c r="AI613" s="245"/>
    </row>
    <row r="614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  <c r="AD614" s="245"/>
      <c r="AE614" s="245"/>
      <c r="AF614" s="245"/>
      <c r="AG614" s="245"/>
      <c r="AH614" s="245"/>
      <c r="AI614" s="245"/>
    </row>
    <row r="615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  <c r="AB615" s="245"/>
      <c r="AC615" s="245"/>
      <c r="AD615" s="245"/>
      <c r="AE615" s="245"/>
      <c r="AF615" s="245"/>
      <c r="AG615" s="245"/>
      <c r="AH615" s="245"/>
      <c r="AI615" s="245"/>
    </row>
    <row r="61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  <c r="AB616" s="245"/>
      <c r="AC616" s="245"/>
      <c r="AD616" s="245"/>
      <c r="AE616" s="245"/>
      <c r="AF616" s="245"/>
      <c r="AG616" s="245"/>
      <c r="AH616" s="245"/>
      <c r="AI616" s="245"/>
    </row>
    <row r="617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  <c r="AE617" s="245"/>
      <c r="AF617" s="245"/>
      <c r="AG617" s="245"/>
      <c r="AH617" s="245"/>
      <c r="AI617" s="245"/>
    </row>
    <row r="618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  <c r="AB618" s="245"/>
      <c r="AC618" s="245"/>
      <c r="AD618" s="245"/>
      <c r="AE618" s="245"/>
      <c r="AF618" s="245"/>
      <c r="AG618" s="245"/>
      <c r="AH618" s="245"/>
      <c r="AI618" s="245"/>
    </row>
    <row r="619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  <c r="AB619" s="245"/>
      <c r="AC619" s="245"/>
      <c r="AD619" s="245"/>
      <c r="AE619" s="245"/>
      <c r="AF619" s="245"/>
      <c r="AG619" s="245"/>
      <c r="AH619" s="245"/>
      <c r="AI619" s="245"/>
    </row>
    <row r="62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  <c r="AB620" s="245"/>
      <c r="AC620" s="245"/>
      <c r="AD620" s="245"/>
      <c r="AE620" s="245"/>
      <c r="AF620" s="245"/>
      <c r="AG620" s="245"/>
      <c r="AH620" s="245"/>
      <c r="AI620" s="245"/>
    </row>
    <row r="621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  <c r="AB621" s="245"/>
      <c r="AC621" s="245"/>
      <c r="AD621" s="245"/>
      <c r="AE621" s="245"/>
      <c r="AF621" s="245"/>
      <c r="AG621" s="245"/>
      <c r="AH621" s="245"/>
      <c r="AI621" s="245"/>
    </row>
    <row r="622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  <c r="AB622" s="245"/>
      <c r="AC622" s="245"/>
      <c r="AD622" s="245"/>
      <c r="AE622" s="245"/>
      <c r="AF622" s="245"/>
      <c r="AG622" s="245"/>
      <c r="AH622" s="245"/>
      <c r="AI622" s="245"/>
    </row>
    <row r="623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  <c r="AB623" s="245"/>
      <c r="AC623" s="245"/>
      <c r="AD623" s="245"/>
      <c r="AE623" s="245"/>
      <c r="AF623" s="245"/>
      <c r="AG623" s="245"/>
      <c r="AH623" s="245"/>
      <c r="AI623" s="245"/>
    </row>
    <row r="624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  <c r="AB624" s="245"/>
      <c r="AC624" s="245"/>
      <c r="AD624" s="245"/>
      <c r="AE624" s="245"/>
      <c r="AF624" s="245"/>
      <c r="AG624" s="245"/>
      <c r="AH624" s="245"/>
      <c r="AI624" s="245"/>
    </row>
    <row r="625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  <c r="AB625" s="245"/>
      <c r="AC625" s="245"/>
      <c r="AD625" s="245"/>
      <c r="AE625" s="245"/>
      <c r="AF625" s="245"/>
      <c r="AG625" s="245"/>
      <c r="AH625" s="245"/>
      <c r="AI625" s="245"/>
    </row>
    <row r="6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  <c r="AB626" s="245"/>
      <c r="AC626" s="245"/>
      <c r="AD626" s="245"/>
      <c r="AE626" s="245"/>
      <c r="AF626" s="245"/>
      <c r="AG626" s="245"/>
      <c r="AH626" s="245"/>
      <c r="AI626" s="245"/>
    </row>
    <row r="627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  <c r="AB627" s="245"/>
      <c r="AC627" s="245"/>
      <c r="AD627" s="245"/>
      <c r="AE627" s="245"/>
      <c r="AF627" s="245"/>
      <c r="AG627" s="245"/>
      <c r="AH627" s="245"/>
      <c r="AI627" s="245"/>
    </row>
    <row r="628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  <c r="AD628" s="245"/>
      <c r="AE628" s="245"/>
      <c r="AF628" s="245"/>
      <c r="AG628" s="245"/>
      <c r="AH628" s="245"/>
      <c r="AI628" s="245"/>
    </row>
    <row r="629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  <c r="AB629" s="245"/>
      <c r="AC629" s="245"/>
      <c r="AD629" s="245"/>
      <c r="AE629" s="245"/>
      <c r="AF629" s="245"/>
      <c r="AG629" s="245"/>
      <c r="AH629" s="245"/>
      <c r="AI629" s="245"/>
    </row>
    <row r="6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  <c r="AB630" s="245"/>
      <c r="AC630" s="245"/>
      <c r="AD630" s="245"/>
      <c r="AE630" s="245"/>
      <c r="AF630" s="245"/>
      <c r="AG630" s="245"/>
      <c r="AH630" s="245"/>
      <c r="AI630" s="245"/>
    </row>
    <row r="631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  <c r="AB631" s="245"/>
      <c r="AC631" s="245"/>
      <c r="AD631" s="245"/>
      <c r="AE631" s="245"/>
      <c r="AF631" s="245"/>
      <c r="AG631" s="245"/>
      <c r="AH631" s="245"/>
      <c r="AI631" s="245"/>
    </row>
    <row r="632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  <c r="AB632" s="245"/>
      <c r="AC632" s="245"/>
      <c r="AD632" s="245"/>
      <c r="AE632" s="245"/>
      <c r="AF632" s="245"/>
      <c r="AG632" s="245"/>
      <c r="AH632" s="245"/>
      <c r="AI632" s="245"/>
    </row>
    <row r="633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  <c r="AB633" s="245"/>
      <c r="AC633" s="245"/>
      <c r="AD633" s="245"/>
      <c r="AE633" s="245"/>
      <c r="AF633" s="245"/>
      <c r="AG633" s="245"/>
      <c r="AH633" s="245"/>
      <c r="AI633" s="245"/>
    </row>
    <row r="634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  <c r="AB634" s="245"/>
      <c r="AC634" s="245"/>
      <c r="AD634" s="245"/>
      <c r="AE634" s="245"/>
      <c r="AF634" s="245"/>
      <c r="AG634" s="245"/>
      <c r="AH634" s="245"/>
      <c r="AI634" s="245"/>
    </row>
    <row r="635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  <c r="AB635" s="245"/>
      <c r="AC635" s="245"/>
      <c r="AD635" s="245"/>
      <c r="AE635" s="245"/>
      <c r="AF635" s="245"/>
      <c r="AG635" s="245"/>
      <c r="AH635" s="245"/>
      <c r="AI635" s="245"/>
    </row>
    <row r="63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  <c r="AB636" s="245"/>
      <c r="AC636" s="245"/>
      <c r="AD636" s="245"/>
      <c r="AE636" s="245"/>
      <c r="AF636" s="245"/>
      <c r="AG636" s="245"/>
      <c r="AH636" s="245"/>
      <c r="AI636" s="245"/>
    </row>
    <row r="637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  <c r="AB637" s="245"/>
      <c r="AC637" s="245"/>
      <c r="AD637" s="245"/>
      <c r="AE637" s="245"/>
      <c r="AF637" s="245"/>
      <c r="AG637" s="245"/>
      <c r="AH637" s="245"/>
      <c r="AI637" s="245"/>
    </row>
    <row r="638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  <c r="AB638" s="245"/>
      <c r="AC638" s="245"/>
      <c r="AD638" s="245"/>
      <c r="AE638" s="245"/>
      <c r="AF638" s="245"/>
      <c r="AG638" s="245"/>
      <c r="AH638" s="245"/>
      <c r="AI638" s="245"/>
    </row>
    <row r="639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  <c r="AB639" s="245"/>
      <c r="AC639" s="245"/>
      <c r="AD639" s="245"/>
      <c r="AE639" s="245"/>
      <c r="AF639" s="245"/>
      <c r="AG639" s="245"/>
      <c r="AH639" s="245"/>
      <c r="AI639" s="245"/>
    </row>
    <row r="64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  <c r="AB640" s="245"/>
      <c r="AC640" s="245"/>
      <c r="AD640" s="245"/>
      <c r="AE640" s="245"/>
      <c r="AF640" s="245"/>
      <c r="AG640" s="245"/>
      <c r="AH640" s="245"/>
      <c r="AI640" s="245"/>
    </row>
    <row r="641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  <c r="AB641" s="245"/>
      <c r="AC641" s="245"/>
      <c r="AD641" s="245"/>
      <c r="AE641" s="245"/>
      <c r="AF641" s="245"/>
      <c r="AG641" s="245"/>
      <c r="AH641" s="245"/>
      <c r="AI641" s="245"/>
    </row>
    <row r="642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  <c r="AB642" s="245"/>
      <c r="AC642" s="245"/>
      <c r="AD642" s="245"/>
      <c r="AE642" s="245"/>
      <c r="AF642" s="245"/>
      <c r="AG642" s="245"/>
      <c r="AH642" s="245"/>
      <c r="AI642" s="245"/>
    </row>
    <row r="643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  <c r="AB643" s="245"/>
      <c r="AC643" s="245"/>
      <c r="AD643" s="245"/>
      <c r="AE643" s="245"/>
      <c r="AF643" s="245"/>
      <c r="AG643" s="245"/>
      <c r="AH643" s="245"/>
      <c r="AI643" s="245"/>
    </row>
    <row r="644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  <c r="AB644" s="245"/>
      <c r="AC644" s="245"/>
      <c r="AD644" s="245"/>
      <c r="AE644" s="245"/>
      <c r="AF644" s="245"/>
      <c r="AG644" s="245"/>
      <c r="AH644" s="245"/>
      <c r="AI644" s="245"/>
    </row>
    <row r="645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  <c r="AB645" s="245"/>
      <c r="AC645" s="245"/>
      <c r="AD645" s="245"/>
      <c r="AE645" s="245"/>
      <c r="AF645" s="245"/>
      <c r="AG645" s="245"/>
      <c r="AH645" s="245"/>
      <c r="AI645" s="245"/>
    </row>
    <row r="64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  <c r="AB646" s="245"/>
      <c r="AC646" s="245"/>
      <c r="AD646" s="245"/>
      <c r="AE646" s="245"/>
      <c r="AF646" s="245"/>
      <c r="AG646" s="245"/>
      <c r="AH646" s="245"/>
      <c r="AI646" s="245"/>
    </row>
    <row r="647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  <c r="AB647" s="245"/>
      <c r="AC647" s="245"/>
      <c r="AD647" s="245"/>
      <c r="AE647" s="245"/>
      <c r="AF647" s="245"/>
      <c r="AG647" s="245"/>
      <c r="AH647" s="245"/>
      <c r="AI647" s="245"/>
    </row>
    <row r="648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  <c r="AB648" s="245"/>
      <c r="AC648" s="245"/>
      <c r="AD648" s="245"/>
      <c r="AE648" s="245"/>
      <c r="AF648" s="245"/>
      <c r="AG648" s="245"/>
      <c r="AH648" s="245"/>
      <c r="AI648" s="245"/>
    </row>
    <row r="649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  <c r="AB649" s="245"/>
      <c r="AC649" s="245"/>
      <c r="AD649" s="245"/>
      <c r="AE649" s="245"/>
      <c r="AF649" s="245"/>
      <c r="AG649" s="245"/>
      <c r="AH649" s="245"/>
      <c r="AI649" s="245"/>
    </row>
    <row r="65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  <c r="AB650" s="245"/>
      <c r="AC650" s="245"/>
      <c r="AD650" s="245"/>
      <c r="AE650" s="245"/>
      <c r="AF650" s="245"/>
      <c r="AG650" s="245"/>
      <c r="AH650" s="245"/>
      <c r="AI650" s="245"/>
    </row>
    <row r="651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  <c r="AB651" s="245"/>
      <c r="AC651" s="245"/>
      <c r="AD651" s="245"/>
      <c r="AE651" s="245"/>
      <c r="AF651" s="245"/>
      <c r="AG651" s="245"/>
      <c r="AH651" s="245"/>
      <c r="AI651" s="245"/>
    </row>
    <row r="652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  <c r="AB652" s="245"/>
      <c r="AC652" s="245"/>
      <c r="AD652" s="245"/>
      <c r="AE652" s="245"/>
      <c r="AF652" s="245"/>
      <c r="AG652" s="245"/>
      <c r="AH652" s="245"/>
      <c r="AI652" s="245"/>
    </row>
    <row r="653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  <c r="AB653" s="245"/>
      <c r="AC653" s="245"/>
      <c r="AD653" s="245"/>
      <c r="AE653" s="245"/>
      <c r="AF653" s="245"/>
      <c r="AG653" s="245"/>
      <c r="AH653" s="245"/>
      <c r="AI653" s="245"/>
    </row>
    <row r="654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  <c r="AD654" s="245"/>
      <c r="AE654" s="245"/>
      <c r="AF654" s="245"/>
      <c r="AG654" s="245"/>
      <c r="AH654" s="245"/>
      <c r="AI654" s="245"/>
    </row>
    <row r="655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  <c r="AB655" s="245"/>
      <c r="AC655" s="245"/>
      <c r="AD655" s="245"/>
      <c r="AE655" s="245"/>
      <c r="AF655" s="245"/>
      <c r="AG655" s="245"/>
      <c r="AH655" s="245"/>
      <c r="AI655" s="245"/>
    </row>
    <row r="65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  <c r="AB656" s="245"/>
      <c r="AC656" s="245"/>
      <c r="AD656" s="245"/>
      <c r="AE656" s="245"/>
      <c r="AF656" s="245"/>
      <c r="AG656" s="245"/>
      <c r="AH656" s="245"/>
      <c r="AI656" s="245"/>
    </row>
    <row r="657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  <c r="AB657" s="245"/>
      <c r="AC657" s="245"/>
      <c r="AD657" s="245"/>
      <c r="AE657" s="245"/>
      <c r="AF657" s="245"/>
      <c r="AG657" s="245"/>
      <c r="AH657" s="245"/>
      <c r="AI657" s="245"/>
    </row>
    <row r="658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  <c r="AD658" s="245"/>
      <c r="AE658" s="245"/>
      <c r="AF658" s="245"/>
      <c r="AG658" s="245"/>
      <c r="AH658" s="245"/>
      <c r="AI658" s="245"/>
    </row>
    <row r="659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  <c r="AB659" s="245"/>
      <c r="AC659" s="245"/>
      <c r="AD659" s="245"/>
      <c r="AE659" s="245"/>
      <c r="AF659" s="245"/>
      <c r="AG659" s="245"/>
      <c r="AH659" s="245"/>
      <c r="AI659" s="245"/>
    </row>
    <row r="66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  <c r="AB660" s="245"/>
      <c r="AC660" s="245"/>
      <c r="AD660" s="245"/>
      <c r="AE660" s="245"/>
      <c r="AF660" s="245"/>
      <c r="AG660" s="245"/>
      <c r="AH660" s="245"/>
      <c r="AI660" s="245"/>
    </row>
    <row r="661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  <c r="AB661" s="245"/>
      <c r="AC661" s="245"/>
      <c r="AD661" s="245"/>
      <c r="AE661" s="245"/>
      <c r="AF661" s="245"/>
      <c r="AG661" s="245"/>
      <c r="AH661" s="245"/>
      <c r="AI661" s="245"/>
    </row>
    <row r="662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  <c r="AB662" s="245"/>
      <c r="AC662" s="245"/>
      <c r="AD662" s="245"/>
      <c r="AE662" s="245"/>
      <c r="AF662" s="245"/>
      <c r="AG662" s="245"/>
      <c r="AH662" s="245"/>
      <c r="AI662" s="245"/>
    </row>
    <row r="663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  <c r="AB663" s="245"/>
      <c r="AC663" s="245"/>
      <c r="AD663" s="245"/>
      <c r="AE663" s="245"/>
      <c r="AF663" s="245"/>
      <c r="AG663" s="245"/>
      <c r="AH663" s="245"/>
      <c r="AI663" s="245"/>
    </row>
    <row r="664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  <c r="AB664" s="245"/>
      <c r="AC664" s="245"/>
      <c r="AD664" s="245"/>
      <c r="AE664" s="245"/>
      <c r="AF664" s="245"/>
      <c r="AG664" s="245"/>
      <c r="AH664" s="245"/>
      <c r="AI664" s="245"/>
    </row>
    <row r="665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  <c r="AB665" s="245"/>
      <c r="AC665" s="245"/>
      <c r="AD665" s="245"/>
      <c r="AE665" s="245"/>
      <c r="AF665" s="245"/>
      <c r="AG665" s="245"/>
      <c r="AH665" s="245"/>
      <c r="AI665" s="245"/>
    </row>
    <row r="66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  <c r="AB666" s="245"/>
      <c r="AC666" s="245"/>
      <c r="AD666" s="245"/>
      <c r="AE666" s="245"/>
      <c r="AF666" s="245"/>
      <c r="AG666" s="245"/>
      <c r="AH666" s="245"/>
      <c r="AI666" s="245"/>
    </row>
    <row r="667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  <c r="AD667" s="245"/>
      <c r="AE667" s="245"/>
      <c r="AF667" s="245"/>
      <c r="AG667" s="245"/>
      <c r="AH667" s="245"/>
      <c r="AI667" s="245"/>
    </row>
    <row r="668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  <c r="AE668" s="245"/>
      <c r="AF668" s="245"/>
      <c r="AG668" s="245"/>
      <c r="AH668" s="245"/>
      <c r="AI668" s="245"/>
    </row>
    <row r="669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  <c r="AB669" s="245"/>
      <c r="AC669" s="245"/>
      <c r="AD669" s="245"/>
      <c r="AE669" s="245"/>
      <c r="AF669" s="245"/>
      <c r="AG669" s="245"/>
      <c r="AH669" s="245"/>
      <c r="AI669" s="245"/>
    </row>
    <row r="67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  <c r="AB670" s="245"/>
      <c r="AC670" s="245"/>
      <c r="AD670" s="245"/>
      <c r="AE670" s="245"/>
      <c r="AF670" s="245"/>
      <c r="AG670" s="245"/>
      <c r="AH670" s="245"/>
      <c r="AI670" s="245"/>
    </row>
    <row r="671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  <c r="AB671" s="245"/>
      <c r="AC671" s="245"/>
      <c r="AD671" s="245"/>
      <c r="AE671" s="245"/>
      <c r="AF671" s="245"/>
      <c r="AG671" s="245"/>
      <c r="AH671" s="245"/>
      <c r="AI671" s="245"/>
    </row>
    <row r="672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  <c r="AB672" s="245"/>
      <c r="AC672" s="245"/>
      <c r="AD672" s="245"/>
      <c r="AE672" s="245"/>
      <c r="AF672" s="245"/>
      <c r="AG672" s="245"/>
      <c r="AH672" s="245"/>
      <c r="AI672" s="245"/>
    </row>
    <row r="673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  <c r="AB673" s="245"/>
      <c r="AC673" s="245"/>
      <c r="AD673" s="245"/>
      <c r="AE673" s="245"/>
      <c r="AF673" s="245"/>
      <c r="AG673" s="245"/>
      <c r="AH673" s="245"/>
      <c r="AI673" s="245"/>
    </row>
    <row r="674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  <c r="AB674" s="245"/>
      <c r="AC674" s="245"/>
      <c r="AD674" s="245"/>
      <c r="AE674" s="245"/>
      <c r="AF674" s="245"/>
      <c r="AG674" s="245"/>
      <c r="AH674" s="245"/>
      <c r="AI674" s="245"/>
    </row>
    <row r="675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  <c r="AB675" s="245"/>
      <c r="AC675" s="245"/>
      <c r="AD675" s="245"/>
      <c r="AE675" s="245"/>
      <c r="AF675" s="245"/>
      <c r="AG675" s="245"/>
      <c r="AH675" s="245"/>
      <c r="AI675" s="245"/>
    </row>
    <row r="67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  <c r="AB676" s="245"/>
      <c r="AC676" s="245"/>
      <c r="AD676" s="245"/>
      <c r="AE676" s="245"/>
      <c r="AF676" s="245"/>
      <c r="AG676" s="245"/>
      <c r="AH676" s="245"/>
      <c r="AI676" s="245"/>
    </row>
    <row r="677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  <c r="AB677" s="245"/>
      <c r="AC677" s="245"/>
      <c r="AD677" s="245"/>
      <c r="AE677" s="245"/>
      <c r="AF677" s="245"/>
      <c r="AG677" s="245"/>
      <c r="AH677" s="245"/>
      <c r="AI677" s="245"/>
    </row>
    <row r="678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  <c r="AB678" s="245"/>
      <c r="AC678" s="245"/>
      <c r="AD678" s="245"/>
      <c r="AE678" s="245"/>
      <c r="AF678" s="245"/>
      <c r="AG678" s="245"/>
      <c r="AH678" s="245"/>
      <c r="AI678" s="245"/>
    </row>
    <row r="679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  <c r="AB679" s="245"/>
      <c r="AC679" s="245"/>
      <c r="AD679" s="245"/>
      <c r="AE679" s="245"/>
      <c r="AF679" s="245"/>
      <c r="AG679" s="245"/>
      <c r="AH679" s="245"/>
      <c r="AI679" s="245"/>
    </row>
    <row r="68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  <c r="AB680" s="245"/>
      <c r="AC680" s="245"/>
      <c r="AD680" s="245"/>
      <c r="AE680" s="245"/>
      <c r="AF680" s="245"/>
      <c r="AG680" s="245"/>
      <c r="AH680" s="245"/>
      <c r="AI680" s="245"/>
    </row>
    <row r="681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  <c r="AB681" s="245"/>
      <c r="AC681" s="245"/>
      <c r="AD681" s="245"/>
      <c r="AE681" s="245"/>
      <c r="AF681" s="245"/>
      <c r="AG681" s="245"/>
      <c r="AH681" s="245"/>
      <c r="AI681" s="245"/>
    </row>
    <row r="682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  <c r="AB682" s="245"/>
      <c r="AC682" s="245"/>
      <c r="AD682" s="245"/>
      <c r="AE682" s="245"/>
      <c r="AF682" s="245"/>
      <c r="AG682" s="245"/>
      <c r="AH682" s="245"/>
      <c r="AI682" s="245"/>
    </row>
    <row r="683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  <c r="AB683" s="245"/>
      <c r="AC683" s="245"/>
      <c r="AD683" s="245"/>
      <c r="AE683" s="245"/>
      <c r="AF683" s="245"/>
      <c r="AG683" s="245"/>
      <c r="AH683" s="245"/>
      <c r="AI683" s="245"/>
    </row>
    <row r="684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  <c r="AB684" s="245"/>
      <c r="AC684" s="245"/>
      <c r="AD684" s="245"/>
      <c r="AE684" s="245"/>
      <c r="AF684" s="245"/>
      <c r="AG684" s="245"/>
      <c r="AH684" s="245"/>
      <c r="AI684" s="245"/>
    </row>
    <row r="685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  <c r="AB685" s="245"/>
      <c r="AC685" s="245"/>
      <c r="AD685" s="245"/>
      <c r="AE685" s="245"/>
      <c r="AF685" s="245"/>
      <c r="AG685" s="245"/>
      <c r="AH685" s="245"/>
      <c r="AI685" s="245"/>
    </row>
    <row r="68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  <c r="AD686" s="245"/>
      <c r="AE686" s="245"/>
      <c r="AF686" s="245"/>
      <c r="AG686" s="245"/>
      <c r="AH686" s="245"/>
      <c r="AI686" s="245"/>
    </row>
    <row r="687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  <c r="AB687" s="245"/>
      <c r="AC687" s="245"/>
      <c r="AD687" s="245"/>
      <c r="AE687" s="245"/>
      <c r="AF687" s="245"/>
      <c r="AG687" s="245"/>
      <c r="AH687" s="245"/>
      <c r="AI687" s="245"/>
    </row>
    <row r="688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  <c r="AB688" s="245"/>
      <c r="AC688" s="245"/>
      <c r="AD688" s="245"/>
      <c r="AE688" s="245"/>
      <c r="AF688" s="245"/>
      <c r="AG688" s="245"/>
      <c r="AH688" s="245"/>
      <c r="AI688" s="245"/>
    </row>
    <row r="689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  <c r="AB689" s="245"/>
      <c r="AC689" s="245"/>
      <c r="AD689" s="245"/>
      <c r="AE689" s="245"/>
      <c r="AF689" s="245"/>
      <c r="AG689" s="245"/>
      <c r="AH689" s="245"/>
      <c r="AI689" s="245"/>
    </row>
    <row r="69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  <c r="AB690" s="245"/>
      <c r="AC690" s="245"/>
      <c r="AD690" s="245"/>
      <c r="AE690" s="245"/>
      <c r="AF690" s="245"/>
      <c r="AG690" s="245"/>
      <c r="AH690" s="245"/>
      <c r="AI690" s="245"/>
    </row>
    <row r="691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  <c r="AB691" s="245"/>
      <c r="AC691" s="245"/>
      <c r="AD691" s="245"/>
      <c r="AE691" s="245"/>
      <c r="AF691" s="245"/>
      <c r="AG691" s="245"/>
      <c r="AH691" s="245"/>
      <c r="AI691" s="245"/>
    </row>
    <row r="692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  <c r="AB692" s="245"/>
      <c r="AC692" s="245"/>
      <c r="AD692" s="245"/>
      <c r="AE692" s="245"/>
      <c r="AF692" s="245"/>
      <c r="AG692" s="245"/>
      <c r="AH692" s="245"/>
      <c r="AI692" s="245"/>
    </row>
    <row r="693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  <c r="AB693" s="245"/>
      <c r="AC693" s="245"/>
      <c r="AD693" s="245"/>
      <c r="AE693" s="245"/>
      <c r="AF693" s="245"/>
      <c r="AG693" s="245"/>
      <c r="AH693" s="245"/>
      <c r="AI693" s="245"/>
    </row>
    <row r="694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  <c r="AB694" s="245"/>
      <c r="AC694" s="245"/>
      <c r="AD694" s="245"/>
      <c r="AE694" s="245"/>
      <c r="AF694" s="245"/>
      <c r="AG694" s="245"/>
      <c r="AH694" s="245"/>
      <c r="AI694" s="245"/>
    </row>
    <row r="695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  <c r="AB695" s="245"/>
      <c r="AC695" s="245"/>
      <c r="AD695" s="245"/>
      <c r="AE695" s="245"/>
      <c r="AF695" s="245"/>
      <c r="AG695" s="245"/>
      <c r="AH695" s="245"/>
      <c r="AI695" s="245"/>
    </row>
    <row r="69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  <c r="AB696" s="245"/>
      <c r="AC696" s="245"/>
      <c r="AD696" s="245"/>
      <c r="AE696" s="245"/>
      <c r="AF696" s="245"/>
      <c r="AG696" s="245"/>
      <c r="AH696" s="245"/>
      <c r="AI696" s="245"/>
    </row>
    <row r="697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  <c r="AB697" s="245"/>
      <c r="AC697" s="245"/>
      <c r="AD697" s="245"/>
      <c r="AE697" s="245"/>
      <c r="AF697" s="245"/>
      <c r="AG697" s="245"/>
      <c r="AH697" s="245"/>
      <c r="AI697" s="245"/>
    </row>
    <row r="698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  <c r="AB698" s="245"/>
      <c r="AC698" s="245"/>
      <c r="AD698" s="245"/>
      <c r="AE698" s="245"/>
      <c r="AF698" s="245"/>
      <c r="AG698" s="245"/>
      <c r="AH698" s="245"/>
      <c r="AI698" s="245"/>
    </row>
    <row r="699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  <c r="AB699" s="245"/>
      <c r="AC699" s="245"/>
      <c r="AD699" s="245"/>
      <c r="AE699" s="245"/>
      <c r="AF699" s="245"/>
      <c r="AG699" s="245"/>
      <c r="AH699" s="245"/>
      <c r="AI699" s="245"/>
    </row>
    <row r="70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  <c r="AB700" s="245"/>
      <c r="AC700" s="245"/>
      <c r="AD700" s="245"/>
      <c r="AE700" s="245"/>
      <c r="AF700" s="245"/>
      <c r="AG700" s="245"/>
      <c r="AH700" s="245"/>
      <c r="AI700" s="245"/>
    </row>
    <row r="701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  <c r="AB701" s="245"/>
      <c r="AC701" s="245"/>
      <c r="AD701" s="245"/>
      <c r="AE701" s="245"/>
      <c r="AF701" s="245"/>
      <c r="AG701" s="245"/>
      <c r="AH701" s="245"/>
      <c r="AI701" s="245"/>
    </row>
    <row r="702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  <c r="AB702" s="245"/>
      <c r="AC702" s="245"/>
      <c r="AD702" s="245"/>
      <c r="AE702" s="245"/>
      <c r="AF702" s="245"/>
      <c r="AG702" s="245"/>
      <c r="AH702" s="245"/>
      <c r="AI702" s="245"/>
    </row>
    <row r="703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  <c r="AB703" s="245"/>
      <c r="AC703" s="245"/>
      <c r="AD703" s="245"/>
      <c r="AE703" s="245"/>
      <c r="AF703" s="245"/>
      <c r="AG703" s="245"/>
      <c r="AH703" s="245"/>
      <c r="AI703" s="245"/>
    </row>
    <row r="704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  <c r="AB704" s="245"/>
      <c r="AC704" s="245"/>
      <c r="AD704" s="245"/>
      <c r="AE704" s="245"/>
      <c r="AF704" s="245"/>
      <c r="AG704" s="245"/>
      <c r="AH704" s="245"/>
      <c r="AI704" s="245"/>
    </row>
    <row r="705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  <c r="AB705" s="245"/>
      <c r="AC705" s="245"/>
      <c r="AD705" s="245"/>
      <c r="AE705" s="245"/>
      <c r="AF705" s="245"/>
      <c r="AG705" s="245"/>
      <c r="AH705" s="245"/>
      <c r="AI705" s="245"/>
    </row>
    <row r="70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  <c r="AB706" s="245"/>
      <c r="AC706" s="245"/>
      <c r="AD706" s="245"/>
      <c r="AE706" s="245"/>
      <c r="AF706" s="245"/>
      <c r="AG706" s="245"/>
      <c r="AH706" s="245"/>
      <c r="AI706" s="245"/>
    </row>
    <row r="707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  <c r="AB707" s="245"/>
      <c r="AC707" s="245"/>
      <c r="AD707" s="245"/>
      <c r="AE707" s="245"/>
      <c r="AF707" s="245"/>
      <c r="AG707" s="245"/>
      <c r="AH707" s="245"/>
      <c r="AI707" s="245"/>
    </row>
    <row r="708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  <c r="AD708" s="245"/>
      <c r="AE708" s="245"/>
      <c r="AF708" s="245"/>
      <c r="AG708" s="245"/>
      <c r="AH708" s="245"/>
      <c r="AI708" s="245"/>
    </row>
    <row r="709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  <c r="AB709" s="245"/>
      <c r="AC709" s="245"/>
      <c r="AD709" s="245"/>
      <c r="AE709" s="245"/>
      <c r="AF709" s="245"/>
      <c r="AG709" s="245"/>
      <c r="AH709" s="245"/>
      <c r="AI709" s="245"/>
    </row>
    <row r="71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  <c r="AB710" s="245"/>
      <c r="AC710" s="245"/>
      <c r="AD710" s="245"/>
      <c r="AE710" s="245"/>
      <c r="AF710" s="245"/>
      <c r="AG710" s="245"/>
      <c r="AH710" s="245"/>
      <c r="AI710" s="245"/>
    </row>
    <row r="711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  <c r="AB711" s="245"/>
      <c r="AC711" s="245"/>
      <c r="AD711" s="245"/>
      <c r="AE711" s="245"/>
      <c r="AF711" s="245"/>
      <c r="AG711" s="245"/>
      <c r="AH711" s="245"/>
      <c r="AI711" s="245"/>
    </row>
    <row r="712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  <c r="AB712" s="245"/>
      <c r="AC712" s="245"/>
      <c r="AD712" s="245"/>
      <c r="AE712" s="245"/>
      <c r="AF712" s="245"/>
      <c r="AG712" s="245"/>
      <c r="AH712" s="245"/>
      <c r="AI712" s="245"/>
    </row>
    <row r="713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  <c r="AB713" s="245"/>
      <c r="AC713" s="245"/>
      <c r="AD713" s="245"/>
      <c r="AE713" s="245"/>
      <c r="AF713" s="245"/>
      <c r="AG713" s="245"/>
      <c r="AH713" s="245"/>
      <c r="AI713" s="245"/>
    </row>
    <row r="714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  <c r="AB714" s="245"/>
      <c r="AC714" s="245"/>
      <c r="AD714" s="245"/>
      <c r="AE714" s="245"/>
      <c r="AF714" s="245"/>
      <c r="AG714" s="245"/>
      <c r="AH714" s="245"/>
      <c r="AI714" s="245"/>
    </row>
    <row r="715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  <c r="AB715" s="245"/>
      <c r="AC715" s="245"/>
      <c r="AD715" s="245"/>
      <c r="AE715" s="245"/>
      <c r="AF715" s="245"/>
      <c r="AG715" s="245"/>
      <c r="AH715" s="245"/>
      <c r="AI715" s="245"/>
    </row>
    <row r="71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  <c r="AB716" s="245"/>
      <c r="AC716" s="245"/>
      <c r="AD716" s="245"/>
      <c r="AE716" s="245"/>
      <c r="AF716" s="245"/>
      <c r="AG716" s="245"/>
      <c r="AH716" s="245"/>
      <c r="AI716" s="245"/>
    </row>
    <row r="717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  <c r="AB717" s="245"/>
      <c r="AC717" s="245"/>
      <c r="AD717" s="245"/>
      <c r="AE717" s="245"/>
      <c r="AF717" s="245"/>
      <c r="AG717" s="245"/>
      <c r="AH717" s="245"/>
      <c r="AI717" s="245"/>
    </row>
    <row r="718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  <c r="AE718" s="245"/>
      <c r="AF718" s="245"/>
      <c r="AG718" s="245"/>
      <c r="AH718" s="245"/>
      <c r="AI718" s="245"/>
    </row>
    <row r="719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  <c r="AB719" s="245"/>
      <c r="AC719" s="245"/>
      <c r="AD719" s="245"/>
      <c r="AE719" s="245"/>
      <c r="AF719" s="245"/>
      <c r="AG719" s="245"/>
      <c r="AH719" s="245"/>
      <c r="AI719" s="245"/>
    </row>
    <row r="72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  <c r="AB720" s="245"/>
      <c r="AC720" s="245"/>
      <c r="AD720" s="245"/>
      <c r="AE720" s="245"/>
      <c r="AF720" s="245"/>
      <c r="AG720" s="245"/>
      <c r="AH720" s="245"/>
      <c r="AI720" s="245"/>
    </row>
    <row r="721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  <c r="AB721" s="245"/>
      <c r="AC721" s="245"/>
      <c r="AD721" s="245"/>
      <c r="AE721" s="245"/>
      <c r="AF721" s="245"/>
      <c r="AG721" s="245"/>
      <c r="AH721" s="245"/>
      <c r="AI721" s="245"/>
    </row>
    <row r="722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  <c r="AB722" s="245"/>
      <c r="AC722" s="245"/>
      <c r="AD722" s="245"/>
      <c r="AE722" s="245"/>
      <c r="AF722" s="245"/>
      <c r="AG722" s="245"/>
      <c r="AH722" s="245"/>
      <c r="AI722" s="245"/>
    </row>
    <row r="723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  <c r="AB723" s="245"/>
      <c r="AC723" s="245"/>
      <c r="AD723" s="245"/>
      <c r="AE723" s="245"/>
      <c r="AF723" s="245"/>
      <c r="AG723" s="245"/>
      <c r="AH723" s="245"/>
      <c r="AI723" s="245"/>
    </row>
    <row r="724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  <c r="AB724" s="245"/>
      <c r="AC724" s="245"/>
      <c r="AD724" s="245"/>
      <c r="AE724" s="245"/>
      <c r="AF724" s="245"/>
      <c r="AG724" s="245"/>
      <c r="AH724" s="245"/>
      <c r="AI724" s="245"/>
    </row>
    <row r="725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  <c r="AB725" s="245"/>
      <c r="AC725" s="245"/>
      <c r="AD725" s="245"/>
      <c r="AE725" s="245"/>
      <c r="AF725" s="245"/>
      <c r="AG725" s="245"/>
      <c r="AH725" s="245"/>
      <c r="AI725" s="245"/>
    </row>
    <row r="7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  <c r="AB726" s="245"/>
      <c r="AC726" s="245"/>
      <c r="AD726" s="245"/>
      <c r="AE726" s="245"/>
      <c r="AF726" s="245"/>
      <c r="AG726" s="245"/>
      <c r="AH726" s="245"/>
      <c r="AI726" s="245"/>
    </row>
    <row r="727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  <c r="AB727" s="245"/>
      <c r="AC727" s="245"/>
      <c r="AD727" s="245"/>
      <c r="AE727" s="245"/>
      <c r="AF727" s="245"/>
      <c r="AG727" s="245"/>
      <c r="AH727" s="245"/>
      <c r="AI727" s="245"/>
    </row>
    <row r="728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  <c r="AB728" s="245"/>
      <c r="AC728" s="245"/>
      <c r="AD728" s="245"/>
      <c r="AE728" s="245"/>
      <c r="AF728" s="245"/>
      <c r="AG728" s="245"/>
      <c r="AH728" s="245"/>
      <c r="AI728" s="245"/>
    </row>
    <row r="729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  <c r="AB729" s="245"/>
      <c r="AC729" s="245"/>
      <c r="AD729" s="245"/>
      <c r="AE729" s="245"/>
      <c r="AF729" s="245"/>
      <c r="AG729" s="245"/>
      <c r="AH729" s="245"/>
      <c r="AI729" s="245"/>
    </row>
    <row r="7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  <c r="AB730" s="245"/>
      <c r="AC730" s="245"/>
      <c r="AD730" s="245"/>
      <c r="AE730" s="245"/>
      <c r="AF730" s="245"/>
      <c r="AG730" s="245"/>
      <c r="AH730" s="245"/>
      <c r="AI730" s="245"/>
    </row>
    <row r="731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  <c r="AB731" s="245"/>
      <c r="AC731" s="245"/>
      <c r="AD731" s="245"/>
      <c r="AE731" s="245"/>
      <c r="AF731" s="245"/>
      <c r="AG731" s="245"/>
      <c r="AH731" s="245"/>
      <c r="AI731" s="245"/>
    </row>
    <row r="732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  <c r="AB732" s="245"/>
      <c r="AC732" s="245"/>
      <c r="AD732" s="245"/>
      <c r="AE732" s="245"/>
      <c r="AF732" s="245"/>
      <c r="AG732" s="245"/>
      <c r="AH732" s="245"/>
      <c r="AI732" s="245"/>
    </row>
    <row r="733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  <c r="AB733" s="245"/>
      <c r="AC733" s="245"/>
      <c r="AD733" s="245"/>
      <c r="AE733" s="245"/>
      <c r="AF733" s="245"/>
      <c r="AG733" s="245"/>
      <c r="AH733" s="245"/>
      <c r="AI733" s="245"/>
    </row>
    <row r="734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  <c r="AB734" s="245"/>
      <c r="AC734" s="245"/>
      <c r="AD734" s="245"/>
      <c r="AE734" s="245"/>
      <c r="AF734" s="245"/>
      <c r="AG734" s="245"/>
      <c r="AH734" s="245"/>
      <c r="AI734" s="245"/>
    </row>
    <row r="735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  <c r="AB735" s="245"/>
      <c r="AC735" s="245"/>
      <c r="AD735" s="245"/>
      <c r="AE735" s="245"/>
      <c r="AF735" s="245"/>
      <c r="AG735" s="245"/>
      <c r="AH735" s="245"/>
      <c r="AI735" s="245"/>
    </row>
    <row r="73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  <c r="AB736" s="245"/>
      <c r="AC736" s="245"/>
      <c r="AD736" s="245"/>
      <c r="AE736" s="245"/>
      <c r="AF736" s="245"/>
      <c r="AG736" s="245"/>
      <c r="AH736" s="245"/>
      <c r="AI736" s="245"/>
    </row>
    <row r="737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  <c r="AB737" s="245"/>
      <c r="AC737" s="245"/>
      <c r="AD737" s="245"/>
      <c r="AE737" s="245"/>
      <c r="AF737" s="245"/>
      <c r="AG737" s="245"/>
      <c r="AH737" s="245"/>
      <c r="AI737" s="245"/>
    </row>
    <row r="738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  <c r="AB738" s="245"/>
      <c r="AC738" s="245"/>
      <c r="AD738" s="245"/>
      <c r="AE738" s="245"/>
      <c r="AF738" s="245"/>
      <c r="AG738" s="245"/>
      <c r="AH738" s="245"/>
      <c r="AI738" s="245"/>
    </row>
    <row r="739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  <c r="AB739" s="245"/>
      <c r="AC739" s="245"/>
      <c r="AD739" s="245"/>
      <c r="AE739" s="245"/>
      <c r="AF739" s="245"/>
      <c r="AG739" s="245"/>
      <c r="AH739" s="245"/>
      <c r="AI739" s="245"/>
    </row>
    <row r="74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  <c r="AB740" s="245"/>
      <c r="AC740" s="245"/>
      <c r="AD740" s="245"/>
      <c r="AE740" s="245"/>
      <c r="AF740" s="245"/>
      <c r="AG740" s="245"/>
      <c r="AH740" s="245"/>
      <c r="AI740" s="245"/>
    </row>
    <row r="741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  <c r="AB741" s="245"/>
      <c r="AC741" s="245"/>
      <c r="AD741" s="245"/>
      <c r="AE741" s="245"/>
      <c r="AF741" s="245"/>
      <c r="AG741" s="245"/>
      <c r="AH741" s="245"/>
      <c r="AI741" s="245"/>
    </row>
    <row r="742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  <c r="AB742" s="245"/>
      <c r="AC742" s="245"/>
      <c r="AD742" s="245"/>
      <c r="AE742" s="245"/>
      <c r="AF742" s="245"/>
      <c r="AG742" s="245"/>
      <c r="AH742" s="245"/>
      <c r="AI742" s="245"/>
    </row>
    <row r="743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  <c r="AB743" s="245"/>
      <c r="AC743" s="245"/>
      <c r="AD743" s="245"/>
      <c r="AE743" s="245"/>
      <c r="AF743" s="245"/>
      <c r="AG743" s="245"/>
      <c r="AH743" s="245"/>
      <c r="AI743" s="245"/>
    </row>
    <row r="744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  <c r="AB744" s="245"/>
      <c r="AC744" s="245"/>
      <c r="AD744" s="245"/>
      <c r="AE744" s="245"/>
      <c r="AF744" s="245"/>
      <c r="AG744" s="245"/>
      <c r="AH744" s="245"/>
      <c r="AI744" s="245"/>
    </row>
    <row r="745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  <c r="AB745" s="245"/>
      <c r="AC745" s="245"/>
      <c r="AD745" s="245"/>
      <c r="AE745" s="245"/>
      <c r="AF745" s="245"/>
      <c r="AG745" s="245"/>
      <c r="AH745" s="245"/>
      <c r="AI745" s="245"/>
    </row>
    <row r="74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  <c r="AB746" s="245"/>
      <c r="AC746" s="245"/>
      <c r="AD746" s="245"/>
      <c r="AE746" s="245"/>
      <c r="AF746" s="245"/>
      <c r="AG746" s="245"/>
      <c r="AH746" s="245"/>
      <c r="AI746" s="245"/>
    </row>
    <row r="747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  <c r="AB747" s="245"/>
      <c r="AC747" s="245"/>
      <c r="AD747" s="245"/>
      <c r="AE747" s="245"/>
      <c r="AF747" s="245"/>
      <c r="AG747" s="245"/>
      <c r="AH747" s="245"/>
      <c r="AI747" s="245"/>
    </row>
    <row r="748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  <c r="AB748" s="245"/>
      <c r="AC748" s="245"/>
      <c r="AD748" s="245"/>
      <c r="AE748" s="245"/>
      <c r="AF748" s="245"/>
      <c r="AG748" s="245"/>
      <c r="AH748" s="245"/>
      <c r="AI748" s="245"/>
    </row>
    <row r="749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  <c r="AB749" s="245"/>
      <c r="AC749" s="245"/>
      <c r="AD749" s="245"/>
      <c r="AE749" s="245"/>
      <c r="AF749" s="245"/>
      <c r="AG749" s="245"/>
      <c r="AH749" s="245"/>
      <c r="AI749" s="245"/>
    </row>
    <row r="75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  <c r="AB750" s="245"/>
      <c r="AC750" s="245"/>
      <c r="AD750" s="245"/>
      <c r="AE750" s="245"/>
      <c r="AF750" s="245"/>
      <c r="AG750" s="245"/>
      <c r="AH750" s="245"/>
      <c r="AI750" s="245"/>
    </row>
    <row r="751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  <c r="AB751" s="245"/>
      <c r="AC751" s="245"/>
      <c r="AD751" s="245"/>
      <c r="AE751" s="245"/>
      <c r="AF751" s="245"/>
      <c r="AG751" s="245"/>
      <c r="AH751" s="245"/>
      <c r="AI751" s="245"/>
    </row>
    <row r="752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  <c r="AB752" s="245"/>
      <c r="AC752" s="245"/>
      <c r="AD752" s="245"/>
      <c r="AE752" s="245"/>
      <c r="AF752" s="245"/>
      <c r="AG752" s="245"/>
      <c r="AH752" s="245"/>
      <c r="AI752" s="245"/>
    </row>
    <row r="753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  <c r="AB753" s="245"/>
      <c r="AC753" s="245"/>
      <c r="AD753" s="245"/>
      <c r="AE753" s="245"/>
      <c r="AF753" s="245"/>
      <c r="AG753" s="245"/>
      <c r="AH753" s="245"/>
      <c r="AI753" s="245"/>
    </row>
    <row r="754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  <c r="AB754" s="245"/>
      <c r="AC754" s="245"/>
      <c r="AD754" s="245"/>
      <c r="AE754" s="245"/>
      <c r="AF754" s="245"/>
      <c r="AG754" s="245"/>
      <c r="AH754" s="245"/>
      <c r="AI754" s="245"/>
    </row>
    <row r="755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  <c r="AB755" s="245"/>
      <c r="AC755" s="245"/>
      <c r="AD755" s="245"/>
      <c r="AE755" s="245"/>
      <c r="AF755" s="245"/>
      <c r="AG755" s="245"/>
      <c r="AH755" s="245"/>
      <c r="AI755" s="245"/>
    </row>
    <row r="75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  <c r="AE756" s="245"/>
      <c r="AF756" s="245"/>
      <c r="AG756" s="245"/>
      <c r="AH756" s="245"/>
      <c r="AI756" s="245"/>
    </row>
    <row r="757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  <c r="AB757" s="245"/>
      <c r="AC757" s="245"/>
      <c r="AD757" s="245"/>
      <c r="AE757" s="245"/>
      <c r="AF757" s="245"/>
      <c r="AG757" s="245"/>
      <c r="AH757" s="245"/>
      <c r="AI757" s="245"/>
    </row>
    <row r="758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  <c r="AB758" s="245"/>
      <c r="AC758" s="245"/>
      <c r="AD758" s="245"/>
      <c r="AE758" s="245"/>
      <c r="AF758" s="245"/>
      <c r="AG758" s="245"/>
      <c r="AH758" s="245"/>
      <c r="AI758" s="245"/>
    </row>
    <row r="759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  <c r="AB759" s="245"/>
      <c r="AC759" s="245"/>
      <c r="AD759" s="245"/>
      <c r="AE759" s="245"/>
      <c r="AF759" s="245"/>
      <c r="AG759" s="245"/>
      <c r="AH759" s="245"/>
      <c r="AI759" s="245"/>
    </row>
    <row r="76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  <c r="AB760" s="245"/>
      <c r="AC760" s="245"/>
      <c r="AD760" s="245"/>
      <c r="AE760" s="245"/>
      <c r="AF760" s="245"/>
      <c r="AG760" s="245"/>
      <c r="AH760" s="245"/>
      <c r="AI760" s="245"/>
    </row>
    <row r="761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  <c r="AB761" s="245"/>
      <c r="AC761" s="245"/>
      <c r="AD761" s="245"/>
      <c r="AE761" s="245"/>
      <c r="AF761" s="245"/>
      <c r="AG761" s="245"/>
      <c r="AH761" s="245"/>
      <c r="AI761" s="245"/>
    </row>
    <row r="762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  <c r="AB762" s="245"/>
      <c r="AC762" s="245"/>
      <c r="AD762" s="245"/>
      <c r="AE762" s="245"/>
      <c r="AF762" s="245"/>
      <c r="AG762" s="245"/>
      <c r="AH762" s="245"/>
      <c r="AI762" s="245"/>
    </row>
    <row r="763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  <c r="AB763" s="245"/>
      <c r="AC763" s="245"/>
      <c r="AD763" s="245"/>
      <c r="AE763" s="245"/>
      <c r="AF763" s="245"/>
      <c r="AG763" s="245"/>
      <c r="AH763" s="245"/>
      <c r="AI763" s="245"/>
    </row>
    <row r="764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  <c r="AB764" s="245"/>
      <c r="AC764" s="245"/>
      <c r="AD764" s="245"/>
      <c r="AE764" s="245"/>
      <c r="AF764" s="245"/>
      <c r="AG764" s="245"/>
      <c r="AH764" s="245"/>
      <c r="AI764" s="245"/>
    </row>
    <row r="765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  <c r="AB765" s="245"/>
      <c r="AC765" s="245"/>
      <c r="AD765" s="245"/>
      <c r="AE765" s="245"/>
      <c r="AF765" s="245"/>
      <c r="AG765" s="245"/>
      <c r="AH765" s="245"/>
      <c r="AI765" s="245"/>
    </row>
    <row r="76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  <c r="AB766" s="245"/>
      <c r="AC766" s="245"/>
      <c r="AD766" s="245"/>
      <c r="AE766" s="245"/>
      <c r="AF766" s="245"/>
      <c r="AG766" s="245"/>
      <c r="AH766" s="245"/>
      <c r="AI766" s="245"/>
    </row>
    <row r="767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  <c r="AB767" s="245"/>
      <c r="AC767" s="245"/>
      <c r="AD767" s="245"/>
      <c r="AE767" s="245"/>
      <c r="AF767" s="245"/>
      <c r="AG767" s="245"/>
      <c r="AH767" s="245"/>
      <c r="AI767" s="245"/>
    </row>
    <row r="768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  <c r="AB768" s="245"/>
      <c r="AC768" s="245"/>
      <c r="AD768" s="245"/>
      <c r="AE768" s="245"/>
      <c r="AF768" s="245"/>
      <c r="AG768" s="245"/>
      <c r="AH768" s="245"/>
      <c r="AI768" s="245"/>
    </row>
    <row r="769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  <c r="AB769" s="245"/>
      <c r="AC769" s="245"/>
      <c r="AD769" s="245"/>
      <c r="AE769" s="245"/>
      <c r="AF769" s="245"/>
      <c r="AG769" s="245"/>
      <c r="AH769" s="245"/>
      <c r="AI769" s="245"/>
    </row>
    <row r="77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  <c r="AB770" s="245"/>
      <c r="AC770" s="245"/>
      <c r="AD770" s="245"/>
      <c r="AE770" s="245"/>
      <c r="AF770" s="245"/>
      <c r="AG770" s="245"/>
      <c r="AH770" s="245"/>
      <c r="AI770" s="245"/>
    </row>
    <row r="771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  <c r="AB771" s="245"/>
      <c r="AC771" s="245"/>
      <c r="AD771" s="245"/>
      <c r="AE771" s="245"/>
      <c r="AF771" s="245"/>
      <c r="AG771" s="245"/>
      <c r="AH771" s="245"/>
      <c r="AI771" s="245"/>
    </row>
    <row r="772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  <c r="AB772" s="245"/>
      <c r="AC772" s="245"/>
      <c r="AD772" s="245"/>
      <c r="AE772" s="245"/>
      <c r="AF772" s="245"/>
      <c r="AG772" s="245"/>
      <c r="AH772" s="245"/>
      <c r="AI772" s="245"/>
    </row>
    <row r="773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  <c r="AB773" s="245"/>
      <c r="AC773" s="245"/>
      <c r="AD773" s="245"/>
      <c r="AE773" s="245"/>
      <c r="AF773" s="245"/>
      <c r="AG773" s="245"/>
      <c r="AH773" s="245"/>
      <c r="AI773" s="245"/>
    </row>
    <row r="774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  <c r="AB774" s="245"/>
      <c r="AC774" s="245"/>
      <c r="AD774" s="245"/>
      <c r="AE774" s="245"/>
      <c r="AF774" s="245"/>
      <c r="AG774" s="245"/>
      <c r="AH774" s="245"/>
      <c r="AI774" s="245"/>
    </row>
    <row r="775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  <c r="AB775" s="245"/>
      <c r="AC775" s="245"/>
      <c r="AD775" s="245"/>
      <c r="AE775" s="245"/>
      <c r="AF775" s="245"/>
      <c r="AG775" s="245"/>
      <c r="AH775" s="245"/>
      <c r="AI775" s="245"/>
    </row>
    <row r="77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  <c r="AB776" s="245"/>
      <c r="AC776" s="245"/>
      <c r="AD776" s="245"/>
      <c r="AE776" s="245"/>
      <c r="AF776" s="245"/>
      <c r="AG776" s="245"/>
      <c r="AH776" s="245"/>
      <c r="AI776" s="245"/>
    </row>
    <row r="777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  <c r="AB777" s="245"/>
      <c r="AC777" s="245"/>
      <c r="AD777" s="245"/>
      <c r="AE777" s="245"/>
      <c r="AF777" s="245"/>
      <c r="AG777" s="245"/>
      <c r="AH777" s="245"/>
      <c r="AI777" s="245"/>
    </row>
    <row r="778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  <c r="AB778" s="245"/>
      <c r="AC778" s="245"/>
      <c r="AD778" s="245"/>
      <c r="AE778" s="245"/>
      <c r="AF778" s="245"/>
      <c r="AG778" s="245"/>
      <c r="AH778" s="245"/>
      <c r="AI778" s="245"/>
    </row>
    <row r="779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  <c r="AB779" s="245"/>
      <c r="AC779" s="245"/>
      <c r="AD779" s="245"/>
      <c r="AE779" s="245"/>
      <c r="AF779" s="245"/>
      <c r="AG779" s="245"/>
      <c r="AH779" s="245"/>
      <c r="AI779" s="245"/>
    </row>
    <row r="78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  <c r="AB780" s="245"/>
      <c r="AC780" s="245"/>
      <c r="AD780" s="245"/>
      <c r="AE780" s="245"/>
      <c r="AF780" s="245"/>
      <c r="AG780" s="245"/>
      <c r="AH780" s="245"/>
      <c r="AI780" s="245"/>
    </row>
    <row r="781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  <c r="AB781" s="245"/>
      <c r="AC781" s="245"/>
      <c r="AD781" s="245"/>
      <c r="AE781" s="245"/>
      <c r="AF781" s="245"/>
      <c r="AG781" s="245"/>
      <c r="AH781" s="245"/>
      <c r="AI781" s="245"/>
    </row>
    <row r="782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  <c r="AB782" s="245"/>
      <c r="AC782" s="245"/>
      <c r="AD782" s="245"/>
      <c r="AE782" s="245"/>
      <c r="AF782" s="245"/>
      <c r="AG782" s="245"/>
      <c r="AH782" s="245"/>
      <c r="AI782" s="245"/>
    </row>
    <row r="783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  <c r="AB783" s="245"/>
      <c r="AC783" s="245"/>
      <c r="AD783" s="245"/>
      <c r="AE783" s="245"/>
      <c r="AF783" s="245"/>
      <c r="AG783" s="245"/>
      <c r="AH783" s="245"/>
      <c r="AI783" s="245"/>
    </row>
    <row r="784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  <c r="AB784" s="245"/>
      <c r="AC784" s="245"/>
      <c r="AD784" s="245"/>
      <c r="AE784" s="245"/>
      <c r="AF784" s="245"/>
      <c r="AG784" s="245"/>
      <c r="AH784" s="245"/>
      <c r="AI784" s="245"/>
    </row>
    <row r="785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  <c r="AB785" s="245"/>
      <c r="AC785" s="245"/>
      <c r="AD785" s="245"/>
      <c r="AE785" s="245"/>
      <c r="AF785" s="245"/>
      <c r="AG785" s="245"/>
      <c r="AH785" s="245"/>
      <c r="AI785" s="245"/>
    </row>
    <row r="78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  <c r="AB786" s="245"/>
      <c r="AC786" s="245"/>
      <c r="AD786" s="245"/>
      <c r="AE786" s="245"/>
      <c r="AF786" s="245"/>
      <c r="AG786" s="245"/>
      <c r="AH786" s="245"/>
      <c r="AI786" s="245"/>
    </row>
    <row r="787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  <c r="AB787" s="245"/>
      <c r="AC787" s="245"/>
      <c r="AD787" s="245"/>
      <c r="AE787" s="245"/>
      <c r="AF787" s="245"/>
      <c r="AG787" s="245"/>
      <c r="AH787" s="245"/>
      <c r="AI787" s="245"/>
    </row>
    <row r="788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  <c r="AB788" s="245"/>
      <c r="AC788" s="245"/>
      <c r="AD788" s="245"/>
      <c r="AE788" s="245"/>
      <c r="AF788" s="245"/>
      <c r="AG788" s="245"/>
      <c r="AH788" s="245"/>
      <c r="AI788" s="245"/>
    </row>
    <row r="789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  <c r="AB789" s="245"/>
      <c r="AC789" s="245"/>
      <c r="AD789" s="245"/>
      <c r="AE789" s="245"/>
      <c r="AF789" s="245"/>
      <c r="AG789" s="245"/>
      <c r="AH789" s="245"/>
      <c r="AI789" s="245"/>
    </row>
    <row r="79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  <c r="AB790" s="245"/>
      <c r="AC790" s="245"/>
      <c r="AD790" s="245"/>
      <c r="AE790" s="245"/>
      <c r="AF790" s="245"/>
      <c r="AG790" s="245"/>
      <c r="AH790" s="245"/>
      <c r="AI790" s="245"/>
    </row>
    <row r="791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  <c r="AB791" s="245"/>
      <c r="AC791" s="245"/>
      <c r="AD791" s="245"/>
      <c r="AE791" s="245"/>
      <c r="AF791" s="245"/>
      <c r="AG791" s="245"/>
      <c r="AH791" s="245"/>
      <c r="AI791" s="245"/>
    </row>
    <row r="792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  <c r="AB792" s="245"/>
      <c r="AC792" s="245"/>
      <c r="AD792" s="245"/>
      <c r="AE792" s="245"/>
      <c r="AF792" s="245"/>
      <c r="AG792" s="245"/>
      <c r="AH792" s="245"/>
      <c r="AI792" s="245"/>
    </row>
    <row r="793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  <c r="AB793" s="245"/>
      <c r="AC793" s="245"/>
      <c r="AD793" s="245"/>
      <c r="AE793" s="245"/>
      <c r="AF793" s="245"/>
      <c r="AG793" s="245"/>
      <c r="AH793" s="245"/>
      <c r="AI793" s="245"/>
    </row>
    <row r="794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  <c r="AB794" s="245"/>
      <c r="AC794" s="245"/>
      <c r="AD794" s="245"/>
      <c r="AE794" s="245"/>
      <c r="AF794" s="245"/>
      <c r="AG794" s="245"/>
      <c r="AH794" s="245"/>
      <c r="AI794" s="245"/>
    </row>
    <row r="795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  <c r="AB795" s="245"/>
      <c r="AC795" s="245"/>
      <c r="AD795" s="245"/>
      <c r="AE795" s="245"/>
      <c r="AF795" s="245"/>
      <c r="AG795" s="245"/>
      <c r="AH795" s="245"/>
      <c r="AI795" s="245"/>
    </row>
    <row r="79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  <c r="AB796" s="245"/>
      <c r="AC796" s="245"/>
      <c r="AD796" s="245"/>
      <c r="AE796" s="245"/>
      <c r="AF796" s="245"/>
      <c r="AG796" s="245"/>
      <c r="AH796" s="245"/>
      <c r="AI796" s="245"/>
    </row>
    <row r="797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  <c r="AB797" s="245"/>
      <c r="AC797" s="245"/>
      <c r="AD797" s="245"/>
      <c r="AE797" s="245"/>
      <c r="AF797" s="245"/>
      <c r="AG797" s="245"/>
      <c r="AH797" s="245"/>
      <c r="AI797" s="245"/>
    </row>
    <row r="798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  <c r="AB798" s="245"/>
      <c r="AC798" s="245"/>
      <c r="AD798" s="245"/>
      <c r="AE798" s="245"/>
      <c r="AF798" s="245"/>
      <c r="AG798" s="245"/>
      <c r="AH798" s="245"/>
      <c r="AI798" s="245"/>
    </row>
    <row r="799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  <c r="AB799" s="245"/>
      <c r="AC799" s="245"/>
      <c r="AD799" s="245"/>
      <c r="AE799" s="245"/>
      <c r="AF799" s="245"/>
      <c r="AG799" s="245"/>
      <c r="AH799" s="245"/>
      <c r="AI799" s="245"/>
    </row>
    <row r="80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  <c r="AB800" s="245"/>
      <c r="AC800" s="245"/>
      <c r="AD800" s="245"/>
      <c r="AE800" s="245"/>
      <c r="AF800" s="245"/>
      <c r="AG800" s="245"/>
      <c r="AH800" s="245"/>
      <c r="AI800" s="245"/>
    </row>
    <row r="801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  <c r="AB801" s="245"/>
      <c r="AC801" s="245"/>
      <c r="AD801" s="245"/>
      <c r="AE801" s="245"/>
      <c r="AF801" s="245"/>
      <c r="AG801" s="245"/>
      <c r="AH801" s="245"/>
      <c r="AI801" s="245"/>
    </row>
    <row r="802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  <c r="AB802" s="245"/>
      <c r="AC802" s="245"/>
      <c r="AD802" s="245"/>
      <c r="AE802" s="245"/>
      <c r="AF802" s="245"/>
      <c r="AG802" s="245"/>
      <c r="AH802" s="245"/>
      <c r="AI802" s="245"/>
    </row>
    <row r="803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  <c r="AB803" s="245"/>
      <c r="AC803" s="245"/>
      <c r="AD803" s="245"/>
      <c r="AE803" s="245"/>
      <c r="AF803" s="245"/>
      <c r="AG803" s="245"/>
      <c r="AH803" s="245"/>
      <c r="AI803" s="245"/>
    </row>
    <row r="804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  <c r="AB804" s="245"/>
      <c r="AC804" s="245"/>
      <c r="AD804" s="245"/>
      <c r="AE804" s="245"/>
      <c r="AF804" s="245"/>
      <c r="AG804" s="245"/>
      <c r="AH804" s="245"/>
      <c r="AI804" s="245"/>
    </row>
    <row r="805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  <c r="AB805" s="245"/>
      <c r="AC805" s="245"/>
      <c r="AD805" s="245"/>
      <c r="AE805" s="245"/>
      <c r="AF805" s="245"/>
      <c r="AG805" s="245"/>
      <c r="AH805" s="245"/>
      <c r="AI805" s="245"/>
    </row>
    <row r="80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  <c r="AB806" s="245"/>
      <c r="AC806" s="245"/>
      <c r="AD806" s="245"/>
      <c r="AE806" s="245"/>
      <c r="AF806" s="245"/>
      <c r="AG806" s="245"/>
      <c r="AH806" s="245"/>
      <c r="AI806" s="245"/>
    </row>
    <row r="807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  <c r="AB807" s="245"/>
      <c r="AC807" s="245"/>
      <c r="AD807" s="245"/>
      <c r="AE807" s="245"/>
      <c r="AF807" s="245"/>
      <c r="AG807" s="245"/>
      <c r="AH807" s="245"/>
      <c r="AI807" s="245"/>
    </row>
    <row r="808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  <c r="AB808" s="245"/>
      <c r="AC808" s="245"/>
      <c r="AD808" s="245"/>
      <c r="AE808" s="245"/>
      <c r="AF808" s="245"/>
      <c r="AG808" s="245"/>
      <c r="AH808" s="245"/>
      <c r="AI808" s="245"/>
    </row>
    <row r="809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  <c r="AE809" s="245"/>
      <c r="AF809" s="245"/>
      <c r="AG809" s="245"/>
      <c r="AH809" s="245"/>
      <c r="AI809" s="245"/>
    </row>
    <row r="81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  <c r="AB810" s="245"/>
      <c r="AC810" s="245"/>
      <c r="AD810" s="245"/>
      <c r="AE810" s="245"/>
      <c r="AF810" s="245"/>
      <c r="AG810" s="245"/>
      <c r="AH810" s="245"/>
      <c r="AI810" s="245"/>
    </row>
    <row r="811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  <c r="AB811" s="245"/>
      <c r="AC811" s="245"/>
      <c r="AD811" s="245"/>
      <c r="AE811" s="245"/>
      <c r="AF811" s="245"/>
      <c r="AG811" s="245"/>
      <c r="AH811" s="245"/>
      <c r="AI811" s="245"/>
    </row>
    <row r="812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  <c r="AB812" s="245"/>
      <c r="AC812" s="245"/>
      <c r="AD812" s="245"/>
      <c r="AE812" s="245"/>
      <c r="AF812" s="245"/>
      <c r="AG812" s="245"/>
      <c r="AH812" s="245"/>
      <c r="AI812" s="245"/>
    </row>
    <row r="813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  <c r="AB813" s="245"/>
      <c r="AC813" s="245"/>
      <c r="AD813" s="245"/>
      <c r="AE813" s="245"/>
      <c r="AF813" s="245"/>
      <c r="AG813" s="245"/>
      <c r="AH813" s="245"/>
      <c r="AI813" s="245"/>
    </row>
    <row r="814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  <c r="AB814" s="245"/>
      <c r="AC814" s="245"/>
      <c r="AD814" s="245"/>
      <c r="AE814" s="245"/>
      <c r="AF814" s="245"/>
      <c r="AG814" s="245"/>
      <c r="AH814" s="245"/>
      <c r="AI814" s="245"/>
    </row>
    <row r="815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  <c r="AB815" s="245"/>
      <c r="AC815" s="245"/>
      <c r="AD815" s="245"/>
      <c r="AE815" s="245"/>
      <c r="AF815" s="245"/>
      <c r="AG815" s="245"/>
      <c r="AH815" s="245"/>
      <c r="AI815" s="245"/>
    </row>
    <row r="81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  <c r="AB816" s="245"/>
      <c r="AC816" s="245"/>
      <c r="AD816" s="245"/>
      <c r="AE816" s="245"/>
      <c r="AF816" s="245"/>
      <c r="AG816" s="245"/>
      <c r="AH816" s="245"/>
      <c r="AI816" s="245"/>
    </row>
    <row r="817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  <c r="AB817" s="245"/>
      <c r="AC817" s="245"/>
      <c r="AD817" s="245"/>
      <c r="AE817" s="245"/>
      <c r="AF817" s="245"/>
      <c r="AG817" s="245"/>
      <c r="AH817" s="245"/>
      <c r="AI817" s="245"/>
    </row>
    <row r="818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  <c r="AB818" s="245"/>
      <c r="AC818" s="245"/>
      <c r="AD818" s="245"/>
      <c r="AE818" s="245"/>
      <c r="AF818" s="245"/>
      <c r="AG818" s="245"/>
      <c r="AH818" s="245"/>
      <c r="AI818" s="245"/>
    </row>
    <row r="819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  <c r="AB819" s="245"/>
      <c r="AC819" s="245"/>
      <c r="AD819" s="245"/>
      <c r="AE819" s="245"/>
      <c r="AF819" s="245"/>
      <c r="AG819" s="245"/>
      <c r="AH819" s="245"/>
      <c r="AI819" s="245"/>
    </row>
    <row r="82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  <c r="AB820" s="245"/>
      <c r="AC820" s="245"/>
      <c r="AD820" s="245"/>
      <c r="AE820" s="245"/>
      <c r="AF820" s="245"/>
      <c r="AG820" s="245"/>
      <c r="AH820" s="245"/>
      <c r="AI820" s="245"/>
    </row>
    <row r="821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  <c r="AB821" s="245"/>
      <c r="AC821" s="245"/>
      <c r="AD821" s="245"/>
      <c r="AE821" s="245"/>
      <c r="AF821" s="245"/>
      <c r="AG821" s="245"/>
      <c r="AH821" s="245"/>
      <c r="AI821" s="245"/>
    </row>
    <row r="822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  <c r="AB822" s="245"/>
      <c r="AC822" s="245"/>
      <c r="AD822" s="245"/>
      <c r="AE822" s="245"/>
      <c r="AF822" s="245"/>
      <c r="AG822" s="245"/>
      <c r="AH822" s="245"/>
      <c r="AI822" s="245"/>
    </row>
    <row r="823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  <c r="AB823" s="245"/>
      <c r="AC823" s="245"/>
      <c r="AD823" s="245"/>
      <c r="AE823" s="245"/>
      <c r="AF823" s="245"/>
      <c r="AG823" s="245"/>
      <c r="AH823" s="245"/>
      <c r="AI823" s="245"/>
    </row>
    <row r="824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  <c r="AB824" s="245"/>
      <c r="AC824" s="245"/>
      <c r="AD824" s="245"/>
      <c r="AE824" s="245"/>
      <c r="AF824" s="245"/>
      <c r="AG824" s="245"/>
      <c r="AH824" s="245"/>
      <c r="AI824" s="245"/>
    </row>
    <row r="825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  <c r="AB825" s="245"/>
      <c r="AC825" s="245"/>
      <c r="AD825" s="245"/>
      <c r="AE825" s="245"/>
      <c r="AF825" s="245"/>
      <c r="AG825" s="245"/>
      <c r="AH825" s="245"/>
      <c r="AI825" s="245"/>
    </row>
    <row r="8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  <c r="AB826" s="245"/>
      <c r="AC826" s="245"/>
      <c r="AD826" s="245"/>
      <c r="AE826" s="245"/>
      <c r="AF826" s="245"/>
      <c r="AG826" s="245"/>
      <c r="AH826" s="245"/>
      <c r="AI826" s="245"/>
    </row>
    <row r="827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  <c r="AB827" s="245"/>
      <c r="AC827" s="245"/>
      <c r="AD827" s="245"/>
      <c r="AE827" s="245"/>
      <c r="AF827" s="245"/>
      <c r="AG827" s="245"/>
      <c r="AH827" s="245"/>
      <c r="AI827" s="245"/>
    </row>
    <row r="828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  <c r="AB828" s="245"/>
      <c r="AC828" s="245"/>
      <c r="AD828" s="245"/>
      <c r="AE828" s="245"/>
      <c r="AF828" s="245"/>
      <c r="AG828" s="245"/>
      <c r="AH828" s="245"/>
      <c r="AI828" s="245"/>
    </row>
    <row r="829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  <c r="AB829" s="245"/>
      <c r="AC829" s="245"/>
      <c r="AD829" s="245"/>
      <c r="AE829" s="245"/>
      <c r="AF829" s="245"/>
      <c r="AG829" s="245"/>
      <c r="AH829" s="245"/>
      <c r="AI829" s="245"/>
    </row>
    <row r="8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  <c r="AB830" s="245"/>
      <c r="AC830" s="245"/>
      <c r="AD830" s="245"/>
      <c r="AE830" s="245"/>
      <c r="AF830" s="245"/>
      <c r="AG830" s="245"/>
      <c r="AH830" s="245"/>
      <c r="AI830" s="245"/>
    </row>
    <row r="831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  <c r="AB831" s="245"/>
      <c r="AC831" s="245"/>
      <c r="AD831" s="245"/>
      <c r="AE831" s="245"/>
      <c r="AF831" s="245"/>
      <c r="AG831" s="245"/>
      <c r="AH831" s="245"/>
      <c r="AI831" s="245"/>
    </row>
    <row r="832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  <c r="AB832" s="245"/>
      <c r="AC832" s="245"/>
      <c r="AD832" s="245"/>
      <c r="AE832" s="245"/>
      <c r="AF832" s="245"/>
      <c r="AG832" s="245"/>
      <c r="AH832" s="245"/>
      <c r="AI832" s="245"/>
    </row>
    <row r="833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  <c r="AB833" s="245"/>
      <c r="AC833" s="245"/>
      <c r="AD833" s="245"/>
      <c r="AE833" s="245"/>
      <c r="AF833" s="245"/>
      <c r="AG833" s="245"/>
      <c r="AH833" s="245"/>
      <c r="AI833" s="245"/>
    </row>
    <row r="834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  <c r="AB834" s="245"/>
      <c r="AC834" s="245"/>
      <c r="AD834" s="245"/>
      <c r="AE834" s="245"/>
      <c r="AF834" s="245"/>
      <c r="AG834" s="245"/>
      <c r="AH834" s="245"/>
      <c r="AI834" s="245"/>
    </row>
    <row r="835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  <c r="AB835" s="245"/>
      <c r="AC835" s="245"/>
      <c r="AD835" s="245"/>
      <c r="AE835" s="245"/>
      <c r="AF835" s="245"/>
      <c r="AG835" s="245"/>
      <c r="AH835" s="245"/>
      <c r="AI835" s="245"/>
    </row>
    <row r="83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  <c r="AB836" s="245"/>
      <c r="AC836" s="245"/>
      <c r="AD836" s="245"/>
      <c r="AE836" s="245"/>
      <c r="AF836" s="245"/>
      <c r="AG836" s="245"/>
      <c r="AH836" s="245"/>
      <c r="AI836" s="245"/>
    </row>
    <row r="837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  <c r="AB837" s="245"/>
      <c r="AC837" s="245"/>
      <c r="AD837" s="245"/>
      <c r="AE837" s="245"/>
      <c r="AF837" s="245"/>
      <c r="AG837" s="245"/>
      <c r="AH837" s="245"/>
      <c r="AI837" s="245"/>
    </row>
    <row r="838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  <c r="AB838" s="245"/>
      <c r="AC838" s="245"/>
      <c r="AD838" s="245"/>
      <c r="AE838" s="245"/>
      <c r="AF838" s="245"/>
      <c r="AG838" s="245"/>
      <c r="AH838" s="245"/>
      <c r="AI838" s="245"/>
    </row>
    <row r="839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  <c r="AB839" s="245"/>
      <c r="AC839" s="245"/>
      <c r="AD839" s="245"/>
      <c r="AE839" s="245"/>
      <c r="AF839" s="245"/>
      <c r="AG839" s="245"/>
      <c r="AH839" s="245"/>
      <c r="AI839" s="245"/>
    </row>
    <row r="84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  <c r="AB840" s="245"/>
      <c r="AC840" s="245"/>
      <c r="AD840" s="245"/>
      <c r="AE840" s="245"/>
      <c r="AF840" s="245"/>
      <c r="AG840" s="245"/>
      <c r="AH840" s="245"/>
      <c r="AI840" s="245"/>
    </row>
    <row r="841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  <c r="AB841" s="245"/>
      <c r="AC841" s="245"/>
      <c r="AD841" s="245"/>
      <c r="AE841" s="245"/>
      <c r="AF841" s="245"/>
      <c r="AG841" s="245"/>
      <c r="AH841" s="245"/>
      <c r="AI841" s="245"/>
    </row>
    <row r="842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  <c r="AB842" s="245"/>
      <c r="AC842" s="245"/>
      <c r="AD842" s="245"/>
      <c r="AE842" s="245"/>
      <c r="AF842" s="245"/>
      <c r="AG842" s="245"/>
      <c r="AH842" s="245"/>
      <c r="AI842" s="245"/>
    </row>
    <row r="843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  <c r="AB843" s="245"/>
      <c r="AC843" s="245"/>
      <c r="AD843" s="245"/>
      <c r="AE843" s="245"/>
      <c r="AF843" s="245"/>
      <c r="AG843" s="245"/>
      <c r="AH843" s="245"/>
      <c r="AI843" s="245"/>
    </row>
    <row r="844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  <c r="AB844" s="245"/>
      <c r="AC844" s="245"/>
      <c r="AD844" s="245"/>
      <c r="AE844" s="245"/>
      <c r="AF844" s="245"/>
      <c r="AG844" s="245"/>
      <c r="AH844" s="245"/>
      <c r="AI844" s="245"/>
    </row>
    <row r="845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  <c r="AB845" s="245"/>
      <c r="AC845" s="245"/>
      <c r="AD845" s="245"/>
      <c r="AE845" s="245"/>
      <c r="AF845" s="245"/>
      <c r="AG845" s="245"/>
      <c r="AH845" s="245"/>
      <c r="AI845" s="245"/>
    </row>
    <row r="84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  <c r="AB846" s="245"/>
      <c r="AC846" s="245"/>
      <c r="AD846" s="245"/>
      <c r="AE846" s="245"/>
      <c r="AF846" s="245"/>
      <c r="AG846" s="245"/>
      <c r="AH846" s="245"/>
      <c r="AI846" s="245"/>
    </row>
    <row r="847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  <c r="AB847" s="245"/>
      <c r="AC847" s="245"/>
      <c r="AD847" s="245"/>
      <c r="AE847" s="245"/>
      <c r="AF847" s="245"/>
      <c r="AG847" s="245"/>
      <c r="AH847" s="245"/>
      <c r="AI847" s="245"/>
    </row>
    <row r="848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  <c r="AB848" s="245"/>
      <c r="AC848" s="245"/>
      <c r="AD848" s="245"/>
      <c r="AE848" s="245"/>
      <c r="AF848" s="245"/>
      <c r="AG848" s="245"/>
      <c r="AH848" s="245"/>
      <c r="AI848" s="245"/>
    </row>
    <row r="849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  <c r="AB849" s="245"/>
      <c r="AC849" s="245"/>
      <c r="AD849" s="245"/>
      <c r="AE849" s="245"/>
      <c r="AF849" s="245"/>
      <c r="AG849" s="245"/>
      <c r="AH849" s="245"/>
      <c r="AI849" s="245"/>
    </row>
    <row r="85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  <c r="AB850" s="245"/>
      <c r="AC850" s="245"/>
      <c r="AD850" s="245"/>
      <c r="AE850" s="245"/>
      <c r="AF850" s="245"/>
      <c r="AG850" s="245"/>
      <c r="AH850" s="245"/>
      <c r="AI850" s="245"/>
    </row>
    <row r="851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  <c r="AB851" s="245"/>
      <c r="AC851" s="245"/>
      <c r="AD851" s="245"/>
      <c r="AE851" s="245"/>
      <c r="AF851" s="245"/>
      <c r="AG851" s="245"/>
      <c r="AH851" s="245"/>
      <c r="AI851" s="245"/>
    </row>
    <row r="852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  <c r="AB852" s="245"/>
      <c r="AC852" s="245"/>
      <c r="AD852" s="245"/>
      <c r="AE852" s="245"/>
      <c r="AF852" s="245"/>
      <c r="AG852" s="245"/>
      <c r="AH852" s="245"/>
      <c r="AI852" s="245"/>
    </row>
    <row r="853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  <c r="AB853" s="245"/>
      <c r="AC853" s="245"/>
      <c r="AD853" s="245"/>
      <c r="AE853" s="245"/>
      <c r="AF853" s="245"/>
      <c r="AG853" s="245"/>
      <c r="AH853" s="245"/>
      <c r="AI853" s="245"/>
    </row>
    <row r="854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  <c r="AB854" s="245"/>
      <c r="AC854" s="245"/>
      <c r="AD854" s="245"/>
      <c r="AE854" s="245"/>
      <c r="AF854" s="245"/>
      <c r="AG854" s="245"/>
      <c r="AH854" s="245"/>
      <c r="AI854" s="245"/>
    </row>
    <row r="855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  <c r="AB855" s="245"/>
      <c r="AC855" s="245"/>
      <c r="AD855" s="245"/>
      <c r="AE855" s="245"/>
      <c r="AF855" s="245"/>
      <c r="AG855" s="245"/>
      <c r="AH855" s="245"/>
      <c r="AI855" s="245"/>
    </row>
    <row r="85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  <c r="AB856" s="245"/>
      <c r="AC856" s="245"/>
      <c r="AD856" s="245"/>
      <c r="AE856" s="245"/>
      <c r="AF856" s="245"/>
      <c r="AG856" s="245"/>
      <c r="AH856" s="245"/>
      <c r="AI856" s="245"/>
    </row>
    <row r="857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  <c r="AB857" s="245"/>
      <c r="AC857" s="245"/>
      <c r="AD857" s="245"/>
      <c r="AE857" s="245"/>
      <c r="AF857" s="245"/>
      <c r="AG857" s="245"/>
      <c r="AH857" s="245"/>
      <c r="AI857" s="245"/>
    </row>
    <row r="858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  <c r="AB858" s="245"/>
      <c r="AC858" s="245"/>
      <c r="AD858" s="245"/>
      <c r="AE858" s="245"/>
      <c r="AF858" s="245"/>
      <c r="AG858" s="245"/>
      <c r="AH858" s="245"/>
      <c r="AI858" s="245"/>
    </row>
    <row r="859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  <c r="AB859" s="245"/>
      <c r="AC859" s="245"/>
      <c r="AD859" s="245"/>
      <c r="AE859" s="245"/>
      <c r="AF859" s="245"/>
      <c r="AG859" s="245"/>
      <c r="AH859" s="245"/>
      <c r="AI859" s="245"/>
    </row>
    <row r="86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  <c r="AB860" s="245"/>
      <c r="AC860" s="245"/>
      <c r="AD860" s="245"/>
      <c r="AE860" s="245"/>
      <c r="AF860" s="245"/>
      <c r="AG860" s="245"/>
      <c r="AH860" s="245"/>
      <c r="AI860" s="245"/>
    </row>
    <row r="861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  <c r="AE861" s="245"/>
      <c r="AF861" s="245"/>
      <c r="AG861" s="245"/>
      <c r="AH861" s="245"/>
      <c r="AI861" s="245"/>
    </row>
    <row r="862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  <c r="AB862" s="245"/>
      <c r="AC862" s="245"/>
      <c r="AD862" s="245"/>
      <c r="AE862" s="245"/>
      <c r="AF862" s="245"/>
      <c r="AG862" s="245"/>
      <c r="AH862" s="245"/>
      <c r="AI862" s="245"/>
    </row>
    <row r="863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  <c r="AB863" s="245"/>
      <c r="AC863" s="245"/>
      <c r="AD863" s="245"/>
      <c r="AE863" s="245"/>
      <c r="AF863" s="245"/>
      <c r="AG863" s="245"/>
      <c r="AH863" s="245"/>
      <c r="AI863" s="245"/>
    </row>
    <row r="864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  <c r="AB864" s="245"/>
      <c r="AC864" s="245"/>
      <c r="AD864" s="245"/>
      <c r="AE864" s="245"/>
      <c r="AF864" s="245"/>
      <c r="AG864" s="245"/>
      <c r="AH864" s="245"/>
      <c r="AI864" s="245"/>
    </row>
    <row r="865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  <c r="AB865" s="245"/>
      <c r="AC865" s="245"/>
      <c r="AD865" s="245"/>
      <c r="AE865" s="245"/>
      <c r="AF865" s="245"/>
      <c r="AG865" s="245"/>
      <c r="AH865" s="245"/>
      <c r="AI865" s="245"/>
    </row>
    <row r="86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  <c r="AB866" s="245"/>
      <c r="AC866" s="245"/>
      <c r="AD866" s="245"/>
      <c r="AE866" s="245"/>
      <c r="AF866" s="245"/>
      <c r="AG866" s="245"/>
      <c r="AH866" s="245"/>
      <c r="AI866" s="245"/>
    </row>
    <row r="867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  <c r="AB867" s="245"/>
      <c r="AC867" s="245"/>
      <c r="AD867" s="245"/>
      <c r="AE867" s="245"/>
      <c r="AF867" s="245"/>
      <c r="AG867" s="245"/>
      <c r="AH867" s="245"/>
      <c r="AI867" s="245"/>
    </row>
    <row r="868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  <c r="AB868" s="245"/>
      <c r="AC868" s="245"/>
      <c r="AD868" s="245"/>
      <c r="AE868" s="245"/>
      <c r="AF868" s="245"/>
      <c r="AG868" s="245"/>
      <c r="AH868" s="245"/>
      <c r="AI868" s="245"/>
    </row>
    <row r="869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  <c r="AB869" s="245"/>
      <c r="AC869" s="245"/>
      <c r="AD869" s="245"/>
      <c r="AE869" s="245"/>
      <c r="AF869" s="245"/>
      <c r="AG869" s="245"/>
      <c r="AH869" s="245"/>
      <c r="AI869" s="245"/>
    </row>
    <row r="87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  <c r="AB870" s="245"/>
      <c r="AC870" s="245"/>
      <c r="AD870" s="245"/>
      <c r="AE870" s="245"/>
      <c r="AF870" s="245"/>
      <c r="AG870" s="245"/>
      <c r="AH870" s="245"/>
      <c r="AI870" s="245"/>
    </row>
    <row r="871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  <c r="AB871" s="245"/>
      <c r="AC871" s="245"/>
      <c r="AD871" s="245"/>
      <c r="AE871" s="245"/>
      <c r="AF871" s="245"/>
      <c r="AG871" s="245"/>
      <c r="AH871" s="245"/>
      <c r="AI871" s="245"/>
    </row>
    <row r="872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  <c r="AB872" s="245"/>
      <c r="AC872" s="245"/>
      <c r="AD872" s="245"/>
      <c r="AE872" s="245"/>
      <c r="AF872" s="245"/>
      <c r="AG872" s="245"/>
      <c r="AH872" s="245"/>
      <c r="AI872" s="245"/>
    </row>
    <row r="873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  <c r="AB873" s="245"/>
      <c r="AC873" s="245"/>
      <c r="AD873" s="245"/>
      <c r="AE873" s="245"/>
      <c r="AF873" s="245"/>
      <c r="AG873" s="245"/>
      <c r="AH873" s="245"/>
      <c r="AI873" s="245"/>
    </row>
    <row r="874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  <c r="AB874" s="245"/>
      <c r="AC874" s="245"/>
      <c r="AD874" s="245"/>
      <c r="AE874" s="245"/>
      <c r="AF874" s="245"/>
      <c r="AG874" s="245"/>
      <c r="AH874" s="245"/>
      <c r="AI874" s="245"/>
    </row>
    <row r="875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  <c r="AB875" s="245"/>
      <c r="AC875" s="245"/>
      <c r="AD875" s="245"/>
      <c r="AE875" s="245"/>
      <c r="AF875" s="245"/>
      <c r="AG875" s="245"/>
      <c r="AH875" s="245"/>
      <c r="AI875" s="245"/>
    </row>
    <row r="87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  <c r="AB876" s="245"/>
      <c r="AC876" s="245"/>
      <c r="AD876" s="245"/>
      <c r="AE876" s="245"/>
      <c r="AF876" s="245"/>
      <c r="AG876" s="245"/>
      <c r="AH876" s="245"/>
      <c r="AI876" s="245"/>
    </row>
    <row r="877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  <c r="AB877" s="245"/>
      <c r="AC877" s="245"/>
      <c r="AD877" s="245"/>
      <c r="AE877" s="245"/>
      <c r="AF877" s="245"/>
      <c r="AG877" s="245"/>
      <c r="AH877" s="245"/>
      <c r="AI877" s="245"/>
    </row>
    <row r="878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  <c r="AB878" s="245"/>
      <c r="AC878" s="245"/>
      <c r="AD878" s="245"/>
      <c r="AE878" s="245"/>
      <c r="AF878" s="245"/>
      <c r="AG878" s="245"/>
      <c r="AH878" s="245"/>
      <c r="AI878" s="245"/>
    </row>
    <row r="879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  <c r="AB879" s="245"/>
      <c r="AC879" s="245"/>
      <c r="AD879" s="245"/>
      <c r="AE879" s="245"/>
      <c r="AF879" s="245"/>
      <c r="AG879" s="245"/>
      <c r="AH879" s="245"/>
      <c r="AI879" s="245"/>
    </row>
    <row r="88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  <c r="AB880" s="245"/>
      <c r="AC880" s="245"/>
      <c r="AD880" s="245"/>
      <c r="AE880" s="245"/>
      <c r="AF880" s="245"/>
      <c r="AG880" s="245"/>
      <c r="AH880" s="245"/>
      <c r="AI880" s="245"/>
    </row>
    <row r="881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  <c r="AB881" s="245"/>
      <c r="AC881" s="245"/>
      <c r="AD881" s="245"/>
      <c r="AE881" s="245"/>
      <c r="AF881" s="245"/>
      <c r="AG881" s="245"/>
      <c r="AH881" s="245"/>
      <c r="AI881" s="245"/>
    </row>
    <row r="882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  <c r="AB882" s="245"/>
      <c r="AC882" s="245"/>
      <c r="AD882" s="245"/>
      <c r="AE882" s="245"/>
      <c r="AF882" s="245"/>
      <c r="AG882" s="245"/>
      <c r="AH882" s="245"/>
      <c r="AI882" s="245"/>
    </row>
    <row r="883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  <c r="AB883" s="245"/>
      <c r="AC883" s="245"/>
      <c r="AD883" s="245"/>
      <c r="AE883" s="245"/>
      <c r="AF883" s="245"/>
      <c r="AG883" s="245"/>
      <c r="AH883" s="245"/>
      <c r="AI883" s="245"/>
    </row>
    <row r="884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  <c r="AB884" s="245"/>
      <c r="AC884" s="245"/>
      <c r="AD884" s="245"/>
      <c r="AE884" s="245"/>
      <c r="AF884" s="245"/>
      <c r="AG884" s="245"/>
      <c r="AH884" s="245"/>
      <c r="AI884" s="245"/>
    </row>
    <row r="885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  <c r="AB885" s="245"/>
      <c r="AC885" s="245"/>
      <c r="AD885" s="245"/>
      <c r="AE885" s="245"/>
      <c r="AF885" s="245"/>
      <c r="AG885" s="245"/>
      <c r="AH885" s="245"/>
      <c r="AI885" s="245"/>
    </row>
    <row r="88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  <c r="AB886" s="245"/>
      <c r="AC886" s="245"/>
      <c r="AD886" s="245"/>
      <c r="AE886" s="245"/>
      <c r="AF886" s="245"/>
      <c r="AG886" s="245"/>
      <c r="AH886" s="245"/>
      <c r="AI886" s="245"/>
    </row>
    <row r="887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  <c r="AB887" s="245"/>
      <c r="AC887" s="245"/>
      <c r="AD887" s="245"/>
      <c r="AE887" s="245"/>
      <c r="AF887" s="245"/>
      <c r="AG887" s="245"/>
      <c r="AH887" s="245"/>
      <c r="AI887" s="245"/>
    </row>
    <row r="888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  <c r="AB888" s="245"/>
      <c r="AC888" s="245"/>
      <c r="AD888" s="245"/>
      <c r="AE888" s="245"/>
      <c r="AF888" s="245"/>
      <c r="AG888" s="245"/>
      <c r="AH888" s="245"/>
      <c r="AI888" s="245"/>
    </row>
    <row r="889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  <c r="AB889" s="245"/>
      <c r="AC889" s="245"/>
      <c r="AD889" s="245"/>
      <c r="AE889" s="245"/>
      <c r="AF889" s="245"/>
      <c r="AG889" s="245"/>
      <c r="AH889" s="245"/>
      <c r="AI889" s="245"/>
    </row>
    <row r="89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  <c r="AB890" s="245"/>
      <c r="AC890" s="245"/>
      <c r="AD890" s="245"/>
      <c r="AE890" s="245"/>
      <c r="AF890" s="245"/>
      <c r="AG890" s="245"/>
      <c r="AH890" s="245"/>
      <c r="AI890" s="245"/>
    </row>
    <row r="891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  <c r="AB891" s="245"/>
      <c r="AC891" s="245"/>
      <c r="AD891" s="245"/>
      <c r="AE891" s="245"/>
      <c r="AF891" s="245"/>
      <c r="AG891" s="245"/>
      <c r="AH891" s="245"/>
      <c r="AI891" s="245"/>
    </row>
    <row r="892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  <c r="AB892" s="245"/>
      <c r="AC892" s="245"/>
      <c r="AD892" s="245"/>
      <c r="AE892" s="245"/>
      <c r="AF892" s="245"/>
      <c r="AG892" s="245"/>
      <c r="AH892" s="245"/>
      <c r="AI892" s="245"/>
    </row>
    <row r="893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  <c r="AB893" s="245"/>
      <c r="AC893" s="245"/>
      <c r="AD893" s="245"/>
      <c r="AE893" s="245"/>
      <c r="AF893" s="245"/>
      <c r="AG893" s="245"/>
      <c r="AH893" s="245"/>
      <c r="AI893" s="245"/>
    </row>
    <row r="894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  <c r="AB894" s="245"/>
      <c r="AC894" s="245"/>
      <c r="AD894" s="245"/>
      <c r="AE894" s="245"/>
      <c r="AF894" s="245"/>
      <c r="AG894" s="245"/>
      <c r="AH894" s="245"/>
      <c r="AI894" s="245"/>
    </row>
    <row r="895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  <c r="AD895" s="245"/>
      <c r="AE895" s="245"/>
      <c r="AF895" s="245"/>
      <c r="AG895" s="245"/>
      <c r="AH895" s="245"/>
      <c r="AI895" s="245"/>
    </row>
    <row r="89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  <c r="AB896" s="245"/>
      <c r="AC896" s="245"/>
      <c r="AD896" s="245"/>
      <c r="AE896" s="245"/>
      <c r="AF896" s="245"/>
      <c r="AG896" s="245"/>
      <c r="AH896" s="245"/>
      <c r="AI896" s="245"/>
    </row>
    <row r="897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  <c r="AB897" s="245"/>
      <c r="AC897" s="245"/>
      <c r="AD897" s="245"/>
      <c r="AE897" s="245"/>
      <c r="AF897" s="245"/>
      <c r="AG897" s="245"/>
      <c r="AH897" s="245"/>
      <c r="AI897" s="245"/>
    </row>
    <row r="898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  <c r="AB898" s="245"/>
      <c r="AC898" s="245"/>
      <c r="AD898" s="245"/>
      <c r="AE898" s="245"/>
      <c r="AF898" s="245"/>
      <c r="AG898" s="245"/>
      <c r="AH898" s="245"/>
      <c r="AI898" s="245"/>
    </row>
    <row r="899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  <c r="AD899" s="245"/>
      <c r="AE899" s="245"/>
      <c r="AF899" s="245"/>
      <c r="AG899" s="245"/>
      <c r="AH899" s="245"/>
      <c r="AI899" s="245"/>
    </row>
    <row r="90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  <c r="AB900" s="245"/>
      <c r="AC900" s="245"/>
      <c r="AD900" s="245"/>
      <c r="AE900" s="245"/>
      <c r="AF900" s="245"/>
      <c r="AG900" s="245"/>
      <c r="AH900" s="245"/>
      <c r="AI900" s="245"/>
    </row>
    <row r="901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  <c r="AB901" s="245"/>
      <c r="AC901" s="245"/>
      <c r="AD901" s="245"/>
      <c r="AE901" s="245"/>
      <c r="AF901" s="245"/>
      <c r="AG901" s="245"/>
      <c r="AH901" s="245"/>
      <c r="AI901" s="245"/>
    </row>
    <row r="902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  <c r="AB902" s="245"/>
      <c r="AC902" s="245"/>
      <c r="AD902" s="245"/>
      <c r="AE902" s="245"/>
      <c r="AF902" s="245"/>
      <c r="AG902" s="245"/>
      <c r="AH902" s="245"/>
      <c r="AI902" s="245"/>
    </row>
    <row r="903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  <c r="AB903" s="245"/>
      <c r="AC903" s="245"/>
      <c r="AD903" s="245"/>
      <c r="AE903" s="245"/>
      <c r="AF903" s="245"/>
      <c r="AG903" s="245"/>
      <c r="AH903" s="245"/>
      <c r="AI903" s="245"/>
    </row>
    <row r="904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  <c r="AB904" s="245"/>
      <c r="AC904" s="245"/>
      <c r="AD904" s="245"/>
      <c r="AE904" s="245"/>
      <c r="AF904" s="245"/>
      <c r="AG904" s="245"/>
      <c r="AH904" s="245"/>
      <c r="AI904" s="245"/>
    </row>
    <row r="905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  <c r="AB905" s="245"/>
      <c r="AC905" s="245"/>
      <c r="AD905" s="245"/>
      <c r="AE905" s="245"/>
      <c r="AF905" s="245"/>
      <c r="AG905" s="245"/>
      <c r="AH905" s="245"/>
      <c r="AI905" s="245"/>
    </row>
    <row r="90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  <c r="AB906" s="245"/>
      <c r="AC906" s="245"/>
      <c r="AD906" s="245"/>
      <c r="AE906" s="245"/>
      <c r="AF906" s="245"/>
      <c r="AG906" s="245"/>
      <c r="AH906" s="245"/>
      <c r="AI906" s="245"/>
    </row>
    <row r="907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  <c r="AB907" s="245"/>
      <c r="AC907" s="245"/>
      <c r="AD907" s="245"/>
      <c r="AE907" s="245"/>
      <c r="AF907" s="245"/>
      <c r="AG907" s="245"/>
      <c r="AH907" s="245"/>
      <c r="AI907" s="245"/>
    </row>
    <row r="908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  <c r="AB908" s="245"/>
      <c r="AC908" s="245"/>
      <c r="AD908" s="245"/>
      <c r="AE908" s="245"/>
      <c r="AF908" s="245"/>
      <c r="AG908" s="245"/>
      <c r="AH908" s="245"/>
      <c r="AI908" s="245"/>
    </row>
    <row r="909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  <c r="AB909" s="245"/>
      <c r="AC909" s="245"/>
      <c r="AD909" s="245"/>
      <c r="AE909" s="245"/>
      <c r="AF909" s="245"/>
      <c r="AG909" s="245"/>
      <c r="AH909" s="245"/>
      <c r="AI909" s="245"/>
    </row>
    <row r="91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  <c r="AB910" s="245"/>
      <c r="AC910" s="245"/>
      <c r="AD910" s="245"/>
      <c r="AE910" s="245"/>
      <c r="AF910" s="245"/>
      <c r="AG910" s="245"/>
      <c r="AH910" s="245"/>
      <c r="AI910" s="245"/>
    </row>
    <row r="911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  <c r="AB911" s="245"/>
      <c r="AC911" s="245"/>
      <c r="AD911" s="245"/>
      <c r="AE911" s="245"/>
      <c r="AF911" s="245"/>
      <c r="AG911" s="245"/>
      <c r="AH911" s="245"/>
      <c r="AI911" s="245"/>
    </row>
    <row r="912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  <c r="AB912" s="245"/>
      <c r="AC912" s="245"/>
      <c r="AD912" s="245"/>
      <c r="AE912" s="245"/>
      <c r="AF912" s="245"/>
      <c r="AG912" s="245"/>
      <c r="AH912" s="245"/>
      <c r="AI912" s="245"/>
    </row>
    <row r="913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  <c r="AB913" s="245"/>
      <c r="AC913" s="245"/>
      <c r="AD913" s="245"/>
      <c r="AE913" s="245"/>
      <c r="AF913" s="245"/>
      <c r="AG913" s="245"/>
      <c r="AH913" s="245"/>
      <c r="AI913" s="245"/>
    </row>
    <row r="914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  <c r="AB914" s="245"/>
      <c r="AC914" s="245"/>
      <c r="AD914" s="245"/>
      <c r="AE914" s="245"/>
      <c r="AF914" s="245"/>
      <c r="AG914" s="245"/>
      <c r="AH914" s="245"/>
      <c r="AI914" s="245"/>
    </row>
    <row r="915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  <c r="AB915" s="245"/>
      <c r="AC915" s="245"/>
      <c r="AD915" s="245"/>
      <c r="AE915" s="245"/>
      <c r="AF915" s="245"/>
      <c r="AG915" s="245"/>
      <c r="AH915" s="245"/>
      <c r="AI915" s="245"/>
    </row>
    <row r="91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  <c r="AB916" s="245"/>
      <c r="AC916" s="245"/>
      <c r="AD916" s="245"/>
      <c r="AE916" s="245"/>
      <c r="AF916" s="245"/>
      <c r="AG916" s="245"/>
      <c r="AH916" s="245"/>
      <c r="AI916" s="245"/>
    </row>
    <row r="917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  <c r="AB917" s="245"/>
      <c r="AC917" s="245"/>
      <c r="AD917" s="245"/>
      <c r="AE917" s="245"/>
      <c r="AF917" s="245"/>
      <c r="AG917" s="245"/>
      <c r="AH917" s="245"/>
      <c r="AI917" s="245"/>
    </row>
    <row r="918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  <c r="AE918" s="245"/>
      <c r="AF918" s="245"/>
      <c r="AG918" s="245"/>
      <c r="AH918" s="245"/>
      <c r="AI918" s="245"/>
    </row>
    <row r="919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  <c r="AB919" s="245"/>
      <c r="AC919" s="245"/>
      <c r="AD919" s="245"/>
      <c r="AE919" s="245"/>
      <c r="AF919" s="245"/>
      <c r="AG919" s="245"/>
      <c r="AH919" s="245"/>
      <c r="AI919" s="245"/>
    </row>
    <row r="92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  <c r="AB920" s="245"/>
      <c r="AC920" s="245"/>
      <c r="AD920" s="245"/>
      <c r="AE920" s="245"/>
      <c r="AF920" s="245"/>
      <c r="AG920" s="245"/>
      <c r="AH920" s="245"/>
      <c r="AI920" s="245"/>
    </row>
    <row r="921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  <c r="AB921" s="245"/>
      <c r="AC921" s="245"/>
      <c r="AD921" s="245"/>
      <c r="AE921" s="245"/>
      <c r="AF921" s="245"/>
      <c r="AG921" s="245"/>
      <c r="AH921" s="245"/>
      <c r="AI921" s="245"/>
    </row>
    <row r="922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  <c r="AB922" s="245"/>
      <c r="AC922" s="245"/>
      <c r="AD922" s="245"/>
      <c r="AE922" s="245"/>
      <c r="AF922" s="245"/>
      <c r="AG922" s="245"/>
      <c r="AH922" s="245"/>
      <c r="AI922" s="245"/>
    </row>
    <row r="923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  <c r="AB923" s="245"/>
      <c r="AC923" s="245"/>
      <c r="AD923" s="245"/>
      <c r="AE923" s="245"/>
      <c r="AF923" s="245"/>
      <c r="AG923" s="245"/>
      <c r="AH923" s="245"/>
      <c r="AI923" s="245"/>
    </row>
    <row r="924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  <c r="AB924" s="245"/>
      <c r="AC924" s="245"/>
      <c r="AD924" s="245"/>
      <c r="AE924" s="245"/>
      <c r="AF924" s="245"/>
      <c r="AG924" s="245"/>
      <c r="AH924" s="245"/>
      <c r="AI924" s="245"/>
    </row>
    <row r="925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  <c r="AB925" s="245"/>
      <c r="AC925" s="245"/>
      <c r="AD925" s="245"/>
      <c r="AE925" s="245"/>
      <c r="AF925" s="245"/>
      <c r="AG925" s="245"/>
      <c r="AH925" s="245"/>
      <c r="AI925" s="245"/>
    </row>
    <row r="9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  <c r="AB926" s="245"/>
      <c r="AC926" s="245"/>
      <c r="AD926" s="245"/>
      <c r="AE926" s="245"/>
      <c r="AF926" s="245"/>
      <c r="AG926" s="245"/>
      <c r="AH926" s="245"/>
      <c r="AI926" s="245"/>
    </row>
    <row r="927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  <c r="AB927" s="245"/>
      <c r="AC927" s="245"/>
      <c r="AD927" s="245"/>
      <c r="AE927" s="245"/>
      <c r="AF927" s="245"/>
      <c r="AG927" s="245"/>
      <c r="AH927" s="245"/>
      <c r="AI927" s="245"/>
    </row>
    <row r="928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  <c r="AB928" s="245"/>
      <c r="AC928" s="245"/>
      <c r="AD928" s="245"/>
      <c r="AE928" s="245"/>
      <c r="AF928" s="245"/>
      <c r="AG928" s="245"/>
      <c r="AH928" s="245"/>
      <c r="AI928" s="245"/>
    </row>
    <row r="929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  <c r="AB929" s="245"/>
      <c r="AC929" s="245"/>
      <c r="AD929" s="245"/>
      <c r="AE929" s="245"/>
      <c r="AF929" s="245"/>
      <c r="AG929" s="245"/>
      <c r="AH929" s="245"/>
      <c r="AI929" s="245"/>
    </row>
    <row r="9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  <c r="AB930" s="245"/>
      <c r="AC930" s="245"/>
      <c r="AD930" s="245"/>
      <c r="AE930" s="245"/>
      <c r="AF930" s="245"/>
      <c r="AG930" s="245"/>
      <c r="AH930" s="245"/>
      <c r="AI930" s="245"/>
    </row>
    <row r="931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  <c r="AB931" s="245"/>
      <c r="AC931" s="245"/>
      <c r="AD931" s="245"/>
      <c r="AE931" s="245"/>
      <c r="AF931" s="245"/>
      <c r="AG931" s="245"/>
      <c r="AH931" s="245"/>
      <c r="AI931" s="245"/>
    </row>
    <row r="932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  <c r="AB932" s="245"/>
      <c r="AC932" s="245"/>
      <c r="AD932" s="245"/>
      <c r="AE932" s="245"/>
      <c r="AF932" s="245"/>
      <c r="AG932" s="245"/>
      <c r="AH932" s="245"/>
      <c r="AI932" s="245"/>
    </row>
    <row r="933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  <c r="AB933" s="245"/>
      <c r="AC933" s="245"/>
      <c r="AD933" s="245"/>
      <c r="AE933" s="245"/>
      <c r="AF933" s="245"/>
      <c r="AG933" s="245"/>
      <c r="AH933" s="245"/>
      <c r="AI933" s="245"/>
    </row>
    <row r="934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  <c r="AB934" s="245"/>
      <c r="AC934" s="245"/>
      <c r="AD934" s="245"/>
      <c r="AE934" s="245"/>
      <c r="AF934" s="245"/>
      <c r="AG934" s="245"/>
      <c r="AH934" s="245"/>
      <c r="AI934" s="245"/>
    </row>
    <row r="935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  <c r="AB935" s="245"/>
      <c r="AC935" s="245"/>
      <c r="AD935" s="245"/>
      <c r="AE935" s="245"/>
      <c r="AF935" s="245"/>
      <c r="AG935" s="245"/>
      <c r="AH935" s="245"/>
      <c r="AI935" s="245"/>
    </row>
    <row r="93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  <c r="AB936" s="245"/>
      <c r="AC936" s="245"/>
      <c r="AD936" s="245"/>
      <c r="AE936" s="245"/>
      <c r="AF936" s="245"/>
      <c r="AG936" s="245"/>
      <c r="AH936" s="245"/>
      <c r="AI936" s="245"/>
    </row>
    <row r="937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  <c r="AB937" s="245"/>
      <c r="AC937" s="245"/>
      <c r="AD937" s="245"/>
      <c r="AE937" s="245"/>
      <c r="AF937" s="245"/>
      <c r="AG937" s="245"/>
      <c r="AH937" s="245"/>
      <c r="AI937" s="245"/>
    </row>
    <row r="938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  <c r="AB938" s="245"/>
      <c r="AC938" s="245"/>
      <c r="AD938" s="245"/>
      <c r="AE938" s="245"/>
      <c r="AF938" s="245"/>
      <c r="AG938" s="245"/>
      <c r="AH938" s="245"/>
      <c r="AI938" s="245"/>
    </row>
    <row r="939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  <c r="AB939" s="245"/>
      <c r="AC939" s="245"/>
      <c r="AD939" s="245"/>
      <c r="AE939" s="245"/>
      <c r="AF939" s="245"/>
      <c r="AG939" s="245"/>
      <c r="AH939" s="245"/>
      <c r="AI939" s="245"/>
    </row>
    <row r="94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  <c r="AB940" s="245"/>
      <c r="AC940" s="245"/>
      <c r="AD940" s="245"/>
      <c r="AE940" s="245"/>
      <c r="AF940" s="245"/>
      <c r="AG940" s="245"/>
      <c r="AH940" s="245"/>
      <c r="AI940" s="245"/>
    </row>
    <row r="941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  <c r="AB941" s="245"/>
      <c r="AC941" s="245"/>
      <c r="AD941" s="245"/>
      <c r="AE941" s="245"/>
      <c r="AF941" s="245"/>
      <c r="AG941" s="245"/>
      <c r="AH941" s="245"/>
      <c r="AI941" s="245"/>
    </row>
    <row r="942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  <c r="AB942" s="245"/>
      <c r="AC942" s="245"/>
      <c r="AD942" s="245"/>
      <c r="AE942" s="245"/>
      <c r="AF942" s="245"/>
      <c r="AG942" s="245"/>
      <c r="AH942" s="245"/>
      <c r="AI942" s="245"/>
    </row>
    <row r="943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  <c r="AB943" s="245"/>
      <c r="AC943" s="245"/>
      <c r="AD943" s="245"/>
      <c r="AE943" s="245"/>
      <c r="AF943" s="245"/>
      <c r="AG943" s="245"/>
      <c r="AH943" s="245"/>
      <c r="AI943" s="245"/>
    </row>
    <row r="944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  <c r="AB944" s="245"/>
      <c r="AC944" s="245"/>
      <c r="AD944" s="245"/>
      <c r="AE944" s="245"/>
      <c r="AF944" s="245"/>
      <c r="AG944" s="245"/>
      <c r="AH944" s="245"/>
      <c r="AI944" s="245"/>
    </row>
    <row r="945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  <c r="AB945" s="245"/>
      <c r="AC945" s="245"/>
      <c r="AD945" s="245"/>
      <c r="AE945" s="245"/>
      <c r="AF945" s="245"/>
      <c r="AG945" s="245"/>
      <c r="AH945" s="245"/>
      <c r="AI945" s="245"/>
    </row>
    <row r="94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  <c r="AB946" s="245"/>
      <c r="AC946" s="245"/>
      <c r="AD946" s="245"/>
      <c r="AE946" s="245"/>
      <c r="AF946" s="245"/>
      <c r="AG946" s="245"/>
      <c r="AH946" s="245"/>
      <c r="AI946" s="245"/>
    </row>
    <row r="947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  <c r="AB947" s="245"/>
      <c r="AC947" s="245"/>
      <c r="AD947" s="245"/>
      <c r="AE947" s="245"/>
      <c r="AF947" s="245"/>
      <c r="AG947" s="245"/>
      <c r="AH947" s="245"/>
      <c r="AI947" s="245"/>
    </row>
    <row r="948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  <c r="AB948" s="245"/>
      <c r="AC948" s="245"/>
      <c r="AD948" s="245"/>
      <c r="AE948" s="245"/>
      <c r="AF948" s="245"/>
      <c r="AG948" s="245"/>
      <c r="AH948" s="245"/>
      <c r="AI948" s="245"/>
    </row>
    <row r="949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  <c r="AB949" s="245"/>
      <c r="AC949" s="245"/>
      <c r="AD949" s="245"/>
      <c r="AE949" s="245"/>
      <c r="AF949" s="245"/>
      <c r="AG949" s="245"/>
      <c r="AH949" s="245"/>
      <c r="AI949" s="245"/>
    </row>
    <row r="95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  <c r="AB950" s="245"/>
      <c r="AC950" s="245"/>
      <c r="AD950" s="245"/>
      <c r="AE950" s="245"/>
      <c r="AF950" s="245"/>
      <c r="AG950" s="245"/>
      <c r="AH950" s="245"/>
      <c r="AI950" s="245"/>
    </row>
    <row r="951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  <c r="AB951" s="245"/>
      <c r="AC951" s="245"/>
      <c r="AD951" s="245"/>
      <c r="AE951" s="245"/>
      <c r="AF951" s="245"/>
      <c r="AG951" s="245"/>
      <c r="AH951" s="245"/>
      <c r="AI951" s="245"/>
    </row>
    <row r="952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  <c r="AB952" s="245"/>
      <c r="AC952" s="245"/>
      <c r="AD952" s="245"/>
      <c r="AE952" s="245"/>
      <c r="AF952" s="245"/>
      <c r="AG952" s="245"/>
      <c r="AH952" s="245"/>
      <c r="AI952" s="245"/>
    </row>
    <row r="953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  <c r="AB953" s="245"/>
      <c r="AC953" s="245"/>
      <c r="AD953" s="245"/>
      <c r="AE953" s="245"/>
      <c r="AF953" s="245"/>
      <c r="AG953" s="245"/>
      <c r="AH953" s="245"/>
      <c r="AI953" s="245"/>
    </row>
    <row r="954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  <c r="AB954" s="245"/>
      <c r="AC954" s="245"/>
      <c r="AD954" s="245"/>
      <c r="AE954" s="245"/>
      <c r="AF954" s="245"/>
      <c r="AG954" s="245"/>
      <c r="AH954" s="245"/>
      <c r="AI954" s="245"/>
    </row>
    <row r="955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  <c r="AB955" s="245"/>
      <c r="AC955" s="245"/>
      <c r="AD955" s="245"/>
      <c r="AE955" s="245"/>
      <c r="AF955" s="245"/>
      <c r="AG955" s="245"/>
      <c r="AH955" s="245"/>
      <c r="AI955" s="245"/>
    </row>
    <row r="95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  <c r="AB956" s="245"/>
      <c r="AC956" s="245"/>
      <c r="AD956" s="245"/>
      <c r="AE956" s="245"/>
      <c r="AF956" s="245"/>
      <c r="AG956" s="245"/>
      <c r="AH956" s="245"/>
      <c r="AI956" s="245"/>
    </row>
    <row r="957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  <c r="AB957" s="245"/>
      <c r="AC957" s="245"/>
      <c r="AD957" s="245"/>
      <c r="AE957" s="245"/>
      <c r="AF957" s="245"/>
      <c r="AG957" s="245"/>
      <c r="AH957" s="245"/>
      <c r="AI957" s="245"/>
    </row>
    <row r="958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  <c r="AB958" s="245"/>
      <c r="AC958" s="245"/>
      <c r="AD958" s="245"/>
      <c r="AE958" s="245"/>
      <c r="AF958" s="245"/>
      <c r="AG958" s="245"/>
      <c r="AH958" s="245"/>
      <c r="AI958" s="245"/>
    </row>
    <row r="959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  <c r="AB959" s="245"/>
      <c r="AC959" s="245"/>
      <c r="AD959" s="245"/>
      <c r="AE959" s="245"/>
      <c r="AF959" s="245"/>
      <c r="AG959" s="245"/>
      <c r="AH959" s="245"/>
      <c r="AI959" s="245"/>
    </row>
    <row r="96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  <c r="AB960" s="245"/>
      <c r="AC960" s="245"/>
      <c r="AD960" s="245"/>
      <c r="AE960" s="245"/>
      <c r="AF960" s="245"/>
      <c r="AG960" s="245"/>
      <c r="AH960" s="245"/>
      <c r="AI960" s="245"/>
    </row>
    <row r="961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  <c r="AB961" s="245"/>
      <c r="AC961" s="245"/>
      <c r="AD961" s="245"/>
      <c r="AE961" s="245"/>
      <c r="AF961" s="245"/>
      <c r="AG961" s="245"/>
      <c r="AH961" s="245"/>
      <c r="AI961" s="245"/>
    </row>
    <row r="962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  <c r="AB962" s="245"/>
      <c r="AC962" s="245"/>
      <c r="AD962" s="245"/>
      <c r="AE962" s="245"/>
      <c r="AF962" s="245"/>
      <c r="AG962" s="245"/>
      <c r="AH962" s="245"/>
      <c r="AI962" s="245"/>
    </row>
    <row r="963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  <c r="AB963" s="245"/>
      <c r="AC963" s="245"/>
      <c r="AD963" s="245"/>
      <c r="AE963" s="245"/>
      <c r="AF963" s="245"/>
      <c r="AG963" s="245"/>
      <c r="AH963" s="245"/>
      <c r="AI963" s="245"/>
    </row>
    <row r="964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  <c r="AB964" s="245"/>
      <c r="AC964" s="245"/>
      <c r="AD964" s="245"/>
      <c r="AE964" s="245"/>
      <c r="AF964" s="245"/>
      <c r="AG964" s="245"/>
      <c r="AH964" s="245"/>
      <c r="AI964" s="245"/>
    </row>
    <row r="965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  <c r="AB965" s="245"/>
      <c r="AC965" s="245"/>
      <c r="AD965" s="245"/>
      <c r="AE965" s="245"/>
      <c r="AF965" s="245"/>
      <c r="AG965" s="245"/>
      <c r="AH965" s="245"/>
      <c r="AI965" s="245"/>
    </row>
    <row r="96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  <c r="AB966" s="245"/>
      <c r="AC966" s="245"/>
      <c r="AD966" s="245"/>
      <c r="AE966" s="245"/>
      <c r="AF966" s="245"/>
      <c r="AG966" s="245"/>
      <c r="AH966" s="245"/>
      <c r="AI966" s="245"/>
    </row>
    <row r="967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  <c r="AB967" s="245"/>
      <c r="AC967" s="245"/>
      <c r="AD967" s="245"/>
      <c r="AE967" s="245"/>
      <c r="AF967" s="245"/>
      <c r="AG967" s="245"/>
      <c r="AH967" s="245"/>
      <c r="AI967" s="245"/>
    </row>
    <row r="968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  <c r="AB968" s="245"/>
      <c r="AC968" s="245"/>
      <c r="AD968" s="245"/>
      <c r="AE968" s="245"/>
      <c r="AF968" s="245"/>
      <c r="AG968" s="245"/>
      <c r="AH968" s="245"/>
      <c r="AI968" s="245"/>
    </row>
    <row r="969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  <c r="AB969" s="245"/>
      <c r="AC969" s="245"/>
      <c r="AD969" s="245"/>
      <c r="AE969" s="245"/>
      <c r="AF969" s="245"/>
      <c r="AG969" s="245"/>
      <c r="AH969" s="245"/>
      <c r="AI969" s="245"/>
    </row>
    <row r="97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  <c r="AE970" s="245"/>
      <c r="AF970" s="245"/>
      <c r="AG970" s="245"/>
      <c r="AH970" s="245"/>
      <c r="AI970" s="245"/>
    </row>
    <row r="971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  <c r="AB971" s="245"/>
      <c r="AC971" s="245"/>
      <c r="AD971" s="245"/>
      <c r="AE971" s="245"/>
      <c r="AF971" s="245"/>
      <c r="AG971" s="245"/>
      <c r="AH971" s="245"/>
      <c r="AI971" s="245"/>
    </row>
    <row r="972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  <c r="AB972" s="245"/>
      <c r="AC972" s="245"/>
      <c r="AD972" s="245"/>
      <c r="AE972" s="245"/>
      <c r="AF972" s="245"/>
      <c r="AG972" s="245"/>
      <c r="AH972" s="245"/>
      <c r="AI972" s="245"/>
    </row>
    <row r="973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  <c r="AB973" s="245"/>
      <c r="AC973" s="245"/>
      <c r="AD973" s="245"/>
      <c r="AE973" s="245"/>
      <c r="AF973" s="245"/>
      <c r="AG973" s="245"/>
      <c r="AH973" s="245"/>
      <c r="AI973" s="245"/>
    </row>
    <row r="974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  <c r="AB974" s="245"/>
      <c r="AC974" s="245"/>
      <c r="AD974" s="245"/>
      <c r="AE974" s="245"/>
      <c r="AF974" s="245"/>
      <c r="AG974" s="245"/>
      <c r="AH974" s="245"/>
      <c r="AI974" s="245"/>
    </row>
    <row r="975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  <c r="AB975" s="245"/>
      <c r="AC975" s="245"/>
      <c r="AD975" s="245"/>
      <c r="AE975" s="245"/>
      <c r="AF975" s="245"/>
      <c r="AG975" s="245"/>
      <c r="AH975" s="245"/>
      <c r="AI975" s="245"/>
    </row>
    <row r="97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  <c r="AB976" s="245"/>
      <c r="AC976" s="245"/>
      <c r="AD976" s="245"/>
      <c r="AE976" s="245"/>
      <c r="AF976" s="245"/>
      <c r="AG976" s="245"/>
      <c r="AH976" s="245"/>
      <c r="AI976" s="245"/>
    </row>
    <row r="977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  <c r="AB977" s="245"/>
      <c r="AC977" s="245"/>
      <c r="AD977" s="245"/>
      <c r="AE977" s="245"/>
      <c r="AF977" s="245"/>
      <c r="AG977" s="245"/>
      <c r="AH977" s="245"/>
      <c r="AI977" s="245"/>
    </row>
    <row r="978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  <c r="AB978" s="245"/>
      <c r="AC978" s="245"/>
      <c r="AD978" s="245"/>
      <c r="AE978" s="245"/>
      <c r="AF978" s="245"/>
      <c r="AG978" s="245"/>
      <c r="AH978" s="245"/>
      <c r="AI978" s="245"/>
    </row>
    <row r="979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  <c r="AB979" s="245"/>
      <c r="AC979" s="245"/>
      <c r="AD979" s="245"/>
      <c r="AE979" s="245"/>
      <c r="AF979" s="245"/>
      <c r="AG979" s="245"/>
      <c r="AH979" s="245"/>
      <c r="AI979" s="245"/>
    </row>
    <row r="98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  <c r="AB980" s="245"/>
      <c r="AC980" s="245"/>
      <c r="AD980" s="245"/>
      <c r="AE980" s="245"/>
      <c r="AF980" s="245"/>
      <c r="AG980" s="245"/>
      <c r="AH980" s="245"/>
      <c r="AI980" s="245"/>
    </row>
    <row r="981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  <c r="AB981" s="245"/>
      <c r="AC981" s="245"/>
      <c r="AD981" s="245"/>
      <c r="AE981" s="245"/>
      <c r="AF981" s="245"/>
      <c r="AG981" s="245"/>
      <c r="AH981" s="245"/>
      <c r="AI981" s="245"/>
    </row>
    <row r="982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  <c r="AB982" s="245"/>
      <c r="AC982" s="245"/>
      <c r="AD982" s="245"/>
      <c r="AE982" s="245"/>
      <c r="AF982" s="245"/>
      <c r="AG982" s="245"/>
      <c r="AH982" s="245"/>
      <c r="AI982" s="245"/>
    </row>
    <row r="983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  <c r="AB983" s="245"/>
      <c r="AC983" s="245"/>
      <c r="AD983" s="245"/>
      <c r="AE983" s="245"/>
      <c r="AF983" s="245"/>
      <c r="AG983" s="245"/>
      <c r="AH983" s="245"/>
      <c r="AI983" s="245"/>
    </row>
    <row r="984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  <c r="AB984" s="245"/>
      <c r="AC984" s="245"/>
      <c r="AD984" s="245"/>
      <c r="AE984" s="245"/>
      <c r="AF984" s="245"/>
      <c r="AG984" s="245"/>
      <c r="AH984" s="245"/>
      <c r="AI984" s="245"/>
    </row>
    <row r="985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  <c r="AB985" s="245"/>
      <c r="AC985" s="245"/>
      <c r="AD985" s="245"/>
      <c r="AE985" s="245"/>
      <c r="AF985" s="245"/>
      <c r="AG985" s="245"/>
      <c r="AH985" s="245"/>
      <c r="AI985" s="245"/>
    </row>
    <row r="986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  <c r="AB986" s="245"/>
      <c r="AC986" s="245"/>
      <c r="AD986" s="245"/>
      <c r="AE986" s="245"/>
      <c r="AF986" s="245"/>
      <c r="AG986" s="245"/>
      <c r="AH986" s="245"/>
      <c r="AI986" s="245"/>
    </row>
    <row r="987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  <c r="AB987" s="245"/>
      <c r="AC987" s="245"/>
      <c r="AD987" s="245"/>
      <c r="AE987" s="245"/>
      <c r="AF987" s="245"/>
      <c r="AG987" s="245"/>
      <c r="AH987" s="245"/>
      <c r="AI987" s="245"/>
    </row>
    <row r="988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  <c r="AB988" s="245"/>
      <c r="AC988" s="245"/>
      <c r="AD988" s="245"/>
      <c r="AE988" s="245"/>
      <c r="AF988" s="245"/>
      <c r="AG988" s="245"/>
      <c r="AH988" s="245"/>
      <c r="AI988" s="245"/>
    </row>
    <row r="989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  <c r="AB989" s="245"/>
      <c r="AC989" s="245"/>
      <c r="AD989" s="245"/>
      <c r="AE989" s="245"/>
      <c r="AF989" s="245"/>
      <c r="AG989" s="245"/>
      <c r="AH989" s="245"/>
      <c r="AI989" s="245"/>
    </row>
    <row r="990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  <c r="AB990" s="245"/>
      <c r="AC990" s="245"/>
      <c r="AD990" s="245"/>
      <c r="AE990" s="245"/>
      <c r="AF990" s="245"/>
      <c r="AG990" s="245"/>
      <c r="AH990" s="245"/>
      <c r="AI990" s="245"/>
    </row>
    <row r="991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  <c r="AB991" s="245"/>
      <c r="AC991" s="245"/>
      <c r="AD991" s="245"/>
      <c r="AE991" s="245"/>
      <c r="AF991" s="245"/>
      <c r="AG991" s="245"/>
      <c r="AH991" s="245"/>
      <c r="AI991" s="245"/>
    </row>
    <row r="992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  <c r="AB992" s="245"/>
      <c r="AC992" s="245"/>
      <c r="AD992" s="245"/>
      <c r="AE992" s="245"/>
      <c r="AF992" s="245"/>
      <c r="AG992" s="245"/>
      <c r="AH992" s="245"/>
      <c r="AI992" s="245"/>
    </row>
    <row r="993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  <c r="AB993" s="245"/>
      <c r="AC993" s="245"/>
      <c r="AD993" s="245"/>
      <c r="AE993" s="245"/>
      <c r="AF993" s="245"/>
      <c r="AG993" s="245"/>
      <c r="AH993" s="245"/>
      <c r="AI993" s="245"/>
    </row>
    <row r="994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  <c r="AB994" s="245"/>
      <c r="AC994" s="245"/>
      <c r="AD994" s="245"/>
      <c r="AE994" s="245"/>
      <c r="AF994" s="245"/>
      <c r="AG994" s="245"/>
      <c r="AH994" s="245"/>
      <c r="AI994" s="245"/>
    </row>
    <row r="995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  <c r="AB995" s="245"/>
      <c r="AC995" s="245"/>
      <c r="AD995" s="245"/>
      <c r="AE995" s="245"/>
      <c r="AF995" s="245"/>
      <c r="AG995" s="245"/>
      <c r="AH995" s="245"/>
      <c r="AI995" s="245"/>
    </row>
    <row r="996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  <c r="AB996" s="245"/>
      <c r="AC996" s="245"/>
      <c r="AD996" s="245"/>
      <c r="AE996" s="245"/>
      <c r="AF996" s="245"/>
      <c r="AG996" s="245"/>
      <c r="AH996" s="245"/>
      <c r="AI996" s="245"/>
    </row>
    <row r="997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  <c r="AB997" s="245"/>
      <c r="AC997" s="245"/>
      <c r="AD997" s="245"/>
      <c r="AE997" s="245"/>
      <c r="AF997" s="245"/>
      <c r="AG997" s="245"/>
      <c r="AH997" s="245"/>
      <c r="AI997" s="245"/>
    </row>
    <row r="998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  <c r="AB998" s="245"/>
      <c r="AC998" s="245"/>
      <c r="AD998" s="245"/>
      <c r="AE998" s="245"/>
      <c r="AF998" s="245"/>
      <c r="AG998" s="245"/>
      <c r="AH998" s="245"/>
      <c r="AI998" s="245"/>
    </row>
    <row r="999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  <c r="AB999" s="245"/>
      <c r="AC999" s="245"/>
      <c r="AD999" s="245"/>
      <c r="AE999" s="245"/>
      <c r="AF999" s="245"/>
      <c r="AG999" s="245"/>
      <c r="AH999" s="245"/>
      <c r="AI999" s="245"/>
    </row>
    <row r="1000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  <c r="AB1000" s="245"/>
      <c r="AC1000" s="245"/>
      <c r="AD1000" s="245"/>
      <c r="AE1000" s="245"/>
      <c r="AF1000" s="245"/>
      <c r="AG1000" s="245"/>
      <c r="AH1000" s="245"/>
      <c r="AI1000" s="245"/>
    </row>
  </sheetData>
  <mergeCells count="38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C31:P31"/>
    <mergeCell ref="B32:Y32"/>
    <mergeCell ref="B33:T33"/>
    <mergeCell ref="A36:F36"/>
    <mergeCell ref="G36:AD36"/>
    <mergeCell ref="C38:F38"/>
    <mergeCell ref="C39:F39"/>
    <mergeCell ref="C40:F40"/>
    <mergeCell ref="A41:F41"/>
    <mergeCell ref="C45:F45"/>
    <mergeCell ref="C37:F37"/>
    <mergeCell ref="G37:N37"/>
    <mergeCell ref="O37:V37"/>
    <mergeCell ref="W37:AD37"/>
    <mergeCell ref="G38:N43"/>
    <mergeCell ref="O38:V43"/>
    <mergeCell ref="W38:AD43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2021-03-25T16:44:31Z</dcterms:created>
  <dc:creator>compaq</dc:creator>
</cp:coreProperties>
</file>