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BAR R" sheetId="1" r:id="rId4"/>
    <sheet state="visible" name="ANAM" sheetId="2" r:id="rId5"/>
    <sheet state="visible" name="ABU S" sheetId="3" r:id="rId6"/>
    <sheet state="visible" name="ALMAS " sheetId="4" r:id="rId7"/>
    <sheet state="visible" name="ADAM" sheetId="5" r:id="rId8"/>
    <sheet state="visible" name="MAHRUS" sheetId="6" r:id="rId9"/>
    <sheet state="visible" name="ANDIK" sheetId="7" r:id="rId10"/>
    <sheet state="visible" name="LUCKY" sheetId="8" r:id="rId11"/>
    <sheet state="visible" name="MAULANA" sheetId="9" r:id="rId12"/>
    <sheet state="visible" name="IMAM" sheetId="10" r:id="rId13"/>
    <sheet state="visible" name="ARGA" sheetId="11" r:id="rId14"/>
    <sheet state="visible" name="IRUL" sheetId="12" r:id="rId15"/>
    <sheet state="visible" name="RENDY" sheetId="13" r:id="rId16"/>
    <sheet state="visible" name="FATHUR" sheetId="14" r:id="rId17"/>
    <sheet state="visible" name="PM Jogja " sheetId="15" r:id="rId18"/>
    <sheet state="visible" name="PM SOLO" sheetId="16" r:id="rId19"/>
    <sheet state="visible" name="TOMI" sheetId="17" r:id="rId20"/>
    <sheet state="visible" name="MAMAN" sheetId="18" r:id="rId21"/>
    <sheet state="visible" name="FARHAN" sheetId="19" r:id="rId22"/>
    <sheet state="visible" name="Jadwal Mobil" sheetId="20" r:id="rId23"/>
  </sheets>
  <definedNames>
    <definedName hidden="1" localSheetId="0" name="_xlnm._FilterDatabase">'AKBAR R'!$W$9:$Y$44</definedName>
    <definedName hidden="1" localSheetId="1" name="_xlnm._FilterDatabase">ANAM!$W$14:$Y$45</definedName>
    <definedName hidden="1" localSheetId="2" name="_xlnm._FilterDatabase">'ABU S'!$W$5:$Y$35</definedName>
    <definedName hidden="1" localSheetId="3" name="_xlnm._FilterDatabase">'ALMAS '!$W$6:$Y$34</definedName>
    <definedName hidden="1" localSheetId="4" name="_xlnm._FilterDatabase">ADAM!$W$9:$Y$38</definedName>
    <definedName hidden="1" localSheetId="5" name="_xlnm._FilterDatabase">MAHRUS!$W$9:$Y$35</definedName>
    <definedName hidden="1" localSheetId="6" name="_xlnm._FilterDatabase">ANDIK!$W$13:$Y$41</definedName>
    <definedName hidden="1" localSheetId="7" name="_xlnm._FilterDatabase">LUCKY!$W$13:$Z$42</definedName>
    <definedName hidden="1" localSheetId="17" name="_xlnm._FilterDatabase">MAMAN!$W$13:$Y$41</definedName>
  </definedNames>
  <calcPr/>
  <extLst>
    <ext uri="GoogleSheetsCustomDataVersion2">
      <go:sheetsCustomData xmlns:go="http://customooxmlschemas.google.com/" r:id="rId24" roundtripDataChecksum="e65xg1OI97s/r8wy8hYVmHEx1WI1w3mpdB1bO7FRba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0">
      <text>
        <t xml:space="preserve">======
ID#AAAB5lZfwuY
Quality Control    (2026-04-01 03:06:45)
Back up maman</t>
      </text>
    </comment>
  </commentList>
  <extLst>
    <ext uri="GoogleSheetsCustomDataVersion2">
      <go:sheetsCustomData xmlns:go="http://customooxmlschemas.google.com/" r:id="rId1" roundtripDataSignature="AMtx7mi6tDYmRuyOXsy7mNhwO8zjot78k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5">
      <text>
        <t xml:space="preserve">======
ID#AAAB5lZfwuU
Quality Control    (2025-10-30 03:50:19)
Adam</t>
      </text>
    </comment>
    <comment authorId="0" ref="I20">
      <text>
        <t xml:space="preserve">======
ID#AAAB5lZfwuc
Quality Control    (2025-10-30 03:43:04)
adam</t>
      </text>
    </comment>
    <comment authorId="0" ref="A16">
      <text>
        <t xml:space="preserve">======
ID#AAAB5lZfwuQ
Quality Control    (2025-09-11 07:57:42)
Adam</t>
      </text>
    </comment>
  </commentList>
  <extLst>
    <ext uri="GoogleSheetsCustomDataVersion2">
      <go:sheetsCustomData xmlns:go="http://customooxmlschemas.google.com/" r:id="rId1" roundtripDataSignature="AMtx7mjzgqb0eDwAnOCMbP6WSt1vU3Qjuw=="/>
    </ext>
  </extLst>
</comments>
</file>

<file path=xl/sharedStrings.xml><?xml version="1.0" encoding="utf-8"?>
<sst xmlns="http://schemas.openxmlformats.org/spreadsheetml/2006/main" count="4450" uniqueCount="531">
  <si>
    <t xml:space="preserve"> </t>
  </si>
  <si>
    <t>: ALI AKBAR</t>
  </si>
  <si>
    <t>JADWAL TEKNISI BULAN APRIL 2026</t>
  </si>
  <si>
    <t>SUPERVISOR</t>
  </si>
  <si>
    <t>: FAHMI</t>
  </si>
  <si>
    <t>TOTAL KUNJUNGAN</t>
  </si>
  <si>
    <t>JAM EFEKTIF</t>
  </si>
  <si>
    <t>SENIN</t>
  </si>
  <si>
    <t>SELASA</t>
  </si>
  <si>
    <t>RABU</t>
  </si>
  <si>
    <t>KAMIS</t>
  </si>
  <si>
    <t>JUMAT</t>
  </si>
  <si>
    <t>SABTU</t>
  </si>
  <si>
    <t>MINGGU</t>
  </si>
  <si>
    <t>GLORIA GP</t>
  </si>
  <si>
    <t>08.00-09.00</t>
  </si>
  <si>
    <t>RC</t>
  </si>
  <si>
    <t>BRAVO M</t>
  </si>
  <si>
    <t>09.00-10.00</t>
  </si>
  <si>
    <t>88 KDS</t>
  </si>
  <si>
    <t>10.00-13.00</t>
  </si>
  <si>
    <t>PRC</t>
  </si>
  <si>
    <t>OFF</t>
  </si>
  <si>
    <t>DAPUR RT</t>
  </si>
  <si>
    <t>No</t>
  </si>
  <si>
    <t>Client</t>
  </si>
  <si>
    <t>Kunjungan</t>
  </si>
  <si>
    <t>G.SUKO</t>
  </si>
  <si>
    <t>11.00-12.00</t>
  </si>
  <si>
    <t>LAMORA</t>
  </si>
  <si>
    <t>22.00-24.00</t>
  </si>
  <si>
    <t>PAK.YANS</t>
  </si>
  <si>
    <t>14.00-15.00</t>
  </si>
  <si>
    <t>AADK ARH</t>
  </si>
  <si>
    <t>IMPERIAL CHEF</t>
  </si>
  <si>
    <t>21.00-22.00</t>
  </si>
  <si>
    <t>AADK WIY</t>
  </si>
  <si>
    <t>ASIA CROFFLE</t>
  </si>
  <si>
    <t>ASINAN PTC</t>
  </si>
  <si>
    <t>TANG KITCHEN</t>
  </si>
  <si>
    <t>12.00-13.00</t>
  </si>
  <si>
    <t>BENHILL</t>
  </si>
  <si>
    <t>G.PACAR</t>
  </si>
  <si>
    <t>13.00-15.00</t>
  </si>
  <si>
    <t>BU ASTRID</t>
  </si>
  <si>
    <t>P. DANIEL</t>
  </si>
  <si>
    <t>SAGA DAR</t>
  </si>
  <si>
    <t>PC</t>
  </si>
  <si>
    <t>G.LOGISTIK YPK</t>
  </si>
  <si>
    <t>16.00-17.00</t>
  </si>
  <si>
    <t>13.00-16.00</t>
  </si>
  <si>
    <t>SHELL MAST</t>
  </si>
  <si>
    <t>00.00-01.00</t>
  </si>
  <si>
    <t>19.30-20.30</t>
  </si>
  <si>
    <t>BU CYNTHIA</t>
  </si>
  <si>
    <t>23.00-00.30</t>
  </si>
  <si>
    <t>23.00-02.00</t>
  </si>
  <si>
    <t>S-OUT</t>
  </si>
  <si>
    <t>GF. SUKO</t>
  </si>
  <si>
    <t>BU.MARIA</t>
  </si>
  <si>
    <t>01.30-03.00</t>
  </si>
  <si>
    <t>CV.DESEMBER</t>
  </si>
  <si>
    <t>CV.DMM</t>
  </si>
  <si>
    <t>G.KUPANG</t>
  </si>
  <si>
    <t>08.00-10.00</t>
  </si>
  <si>
    <t>HAVANA M</t>
  </si>
  <si>
    <t>22.30-23.30</t>
  </si>
  <si>
    <t>13.00-14.00</t>
  </si>
  <si>
    <t>21.00-24.00</t>
  </si>
  <si>
    <t>OFFICE SNC</t>
  </si>
  <si>
    <t>SPA</t>
  </si>
  <si>
    <t>10.00-12.00</t>
  </si>
  <si>
    <t>Keterangan:</t>
  </si>
  <si>
    <t>: END</t>
  </si>
  <si>
    <t>: HOLD</t>
  </si>
  <si>
    <t>: NEW</t>
  </si>
  <si>
    <t>Note:</t>
  </si>
  <si>
    <t>Bu Maria hutang 1 untuk bulan depan</t>
  </si>
  <si>
    <t>: RENEWAL</t>
  </si>
  <si>
    <t>TEKNISI</t>
  </si>
  <si>
    <t>: CHOIRUL ANAM</t>
  </si>
  <si>
    <t>:FAHMI</t>
  </si>
  <si>
    <t xml:space="preserve">: </t>
  </si>
  <si>
    <t xml:space="preserve">SABTU </t>
  </si>
  <si>
    <t xml:space="preserve">MINGGU </t>
  </si>
  <si>
    <t>CG KALIASIN</t>
  </si>
  <si>
    <t>06.30-07.30</t>
  </si>
  <si>
    <t>INST</t>
  </si>
  <si>
    <t>CENTIMETER</t>
  </si>
  <si>
    <t>CUTI</t>
  </si>
  <si>
    <t>SHUYI GM</t>
  </si>
  <si>
    <t>22.00-23.00</t>
  </si>
  <si>
    <t>CEK JADWAL</t>
  </si>
  <si>
    <t>SAISHO GWLAK</t>
  </si>
  <si>
    <t>21:30-22:30</t>
  </si>
  <si>
    <t xml:space="preserve">JUMAT </t>
  </si>
  <si>
    <t>A. PLASTIK 52</t>
  </si>
  <si>
    <t>08.30-10.30</t>
  </si>
  <si>
    <t>A. PLASTIK 27</t>
  </si>
  <si>
    <t>11.00-12.30</t>
  </si>
  <si>
    <t>P.HENDRIK</t>
  </si>
  <si>
    <t>PT.HCI</t>
  </si>
  <si>
    <t>CV.MANNA SDA</t>
  </si>
  <si>
    <t>P.STEVEN G</t>
  </si>
  <si>
    <t>SHUYI CWS</t>
  </si>
  <si>
    <t>AADK</t>
  </si>
  <si>
    <t>PT.CASA UTAMA</t>
  </si>
  <si>
    <t>16.30-18.00</t>
  </si>
  <si>
    <t>BENHIL SDA</t>
  </si>
  <si>
    <t>15.00-16.00</t>
  </si>
  <si>
    <t>ANEKA JASUMA</t>
  </si>
  <si>
    <t>DAYS SBY</t>
  </si>
  <si>
    <t>WIENA CATERING</t>
  </si>
  <si>
    <t xml:space="preserve">SPBU </t>
  </si>
  <si>
    <t>24.00-01.00</t>
  </si>
  <si>
    <t>21.30-22.30</t>
  </si>
  <si>
    <t>CV.KASABA</t>
  </si>
  <si>
    <t>DEMAND JS</t>
  </si>
  <si>
    <t xml:space="preserve">SENIN </t>
  </si>
  <si>
    <t xml:space="preserve">RABU </t>
  </si>
  <si>
    <t>CENTRAL AUTO P</t>
  </si>
  <si>
    <t>DOSIDO</t>
  </si>
  <si>
    <t xml:space="preserve">INDO REMPAH </t>
  </si>
  <si>
    <t>INS</t>
  </si>
  <si>
    <t xml:space="preserve">ICHIKAWA </t>
  </si>
  <si>
    <t>10.00-11.00</t>
  </si>
  <si>
    <t>SHELL WS</t>
  </si>
  <si>
    <t>GKI</t>
  </si>
  <si>
    <t>HAVANA SDA</t>
  </si>
  <si>
    <t>PRAMITA</t>
  </si>
  <si>
    <t>ISTANA D</t>
  </si>
  <si>
    <t>15.00-16.30</t>
  </si>
  <si>
    <t>OFFICE</t>
  </si>
  <si>
    <t>MEET</t>
  </si>
  <si>
    <t>08.00-16.00</t>
  </si>
  <si>
    <t>21.00-22.30</t>
  </si>
  <si>
    <t>:ABU SAMSUDIN</t>
  </si>
  <si>
    <t xml:space="preserve"> ING</t>
  </si>
  <si>
    <t>Mr.LEE</t>
  </si>
  <si>
    <t>LUMINOR JS</t>
  </si>
  <si>
    <t>10.00-14.00</t>
  </si>
  <si>
    <t>DRAGON HP TP</t>
  </si>
  <si>
    <t>LUMINOR SDA</t>
  </si>
  <si>
    <t>TANA TI</t>
  </si>
  <si>
    <t>PAK.MARIO</t>
  </si>
  <si>
    <t>PAK.ALEX</t>
  </si>
  <si>
    <t>JOY LEARNING</t>
  </si>
  <si>
    <t>ACAII TP</t>
  </si>
  <si>
    <t>12.00-16.00</t>
  </si>
  <si>
    <t>AYAM BERKAT</t>
  </si>
  <si>
    <t>16.30-19.00</t>
  </si>
  <si>
    <t>HARIS MOBIL</t>
  </si>
  <si>
    <t>STEAK WITH U</t>
  </si>
  <si>
    <t>22.00-01.00</t>
  </si>
  <si>
    <t>FEEL MATCHA TP</t>
  </si>
  <si>
    <t xml:space="preserve">  </t>
  </si>
  <si>
    <t>17.00-19.30</t>
  </si>
  <si>
    <t>GT</t>
  </si>
  <si>
    <t>: ANANDA AS</t>
  </si>
  <si>
    <t xml:space="preserve">FAHMI </t>
  </si>
  <si>
    <t xml:space="preserve"> JAM</t>
  </si>
  <si>
    <t>AADK BANDUNGAN</t>
  </si>
  <si>
    <t>AADK MUL</t>
  </si>
  <si>
    <t>PASAR KITA</t>
  </si>
  <si>
    <t>PT SEGAR</t>
  </si>
  <si>
    <t>12.30-14.00</t>
  </si>
  <si>
    <t>AADK TELOGOMAS</t>
  </si>
  <si>
    <t>RJS</t>
  </si>
  <si>
    <t>ACAII</t>
  </si>
  <si>
    <t>GRAHA CBA</t>
  </si>
  <si>
    <t>GF KALUTA</t>
  </si>
  <si>
    <t>ASINAN TP</t>
  </si>
  <si>
    <t>GF SUHAT</t>
  </si>
  <si>
    <t>KYUKA R</t>
  </si>
  <si>
    <t>22.00-23.30</t>
  </si>
  <si>
    <t>BEATUS</t>
  </si>
  <si>
    <t>BU AMELIA</t>
  </si>
  <si>
    <t>CKP MEER</t>
  </si>
  <si>
    <t>PT.SMB</t>
  </si>
  <si>
    <t>08.00-12.00</t>
  </si>
  <si>
    <t xml:space="preserve">KAMI GOHAN </t>
  </si>
  <si>
    <t>16.00-17.30</t>
  </si>
  <si>
    <t>STEPHANIE DH</t>
  </si>
  <si>
    <t>HACHIYA</t>
  </si>
  <si>
    <t>KEDAI BUBU</t>
  </si>
  <si>
    <t>19.00-20.00</t>
  </si>
  <si>
    <t>21.00-23.00</t>
  </si>
  <si>
    <t>HAVANNA JS</t>
  </si>
  <si>
    <t>TM GRAHA</t>
  </si>
  <si>
    <t>03.30-05.00</t>
  </si>
  <si>
    <t>SHELL MARG</t>
  </si>
  <si>
    <t>23.00-00.00</t>
  </si>
  <si>
    <t>KAMI GOHAN</t>
  </si>
  <si>
    <t>KEDAI BUBU H</t>
  </si>
  <si>
    <t>BU GLADYS</t>
  </si>
  <si>
    <t>09.00-11.00</t>
  </si>
  <si>
    <t>TONG TJIE R</t>
  </si>
  <si>
    <t>CSR</t>
  </si>
  <si>
    <t>12.00-14.00</t>
  </si>
  <si>
    <t>Note</t>
  </si>
  <si>
    <t>Bu Stephanie DH utang 1 untuk bulan ini</t>
  </si>
  <si>
    <t>: ADAM</t>
  </si>
  <si>
    <t>PAK REGGY</t>
  </si>
  <si>
    <t>BU LIE ING</t>
  </si>
  <si>
    <t>PAK DANIEL</t>
  </si>
  <si>
    <t>CIKAL</t>
  </si>
  <si>
    <t>15.00-18.00</t>
  </si>
  <si>
    <t>88 EK</t>
  </si>
  <si>
    <t>TONG JI SILOAM</t>
  </si>
  <si>
    <t>DAYS DH</t>
  </si>
  <si>
    <t>18.00-20.00</t>
  </si>
  <si>
    <t>TONG TJIE PTC</t>
  </si>
  <si>
    <t>AHYAT</t>
  </si>
  <si>
    <t>COMMOND G</t>
  </si>
  <si>
    <t>AIO</t>
  </si>
  <si>
    <t>ASINAN GM</t>
  </si>
  <si>
    <t>BU.LILY</t>
  </si>
  <si>
    <t>KAWAN SEDUH</t>
  </si>
  <si>
    <t>MOOS CAFE</t>
  </si>
  <si>
    <t>07.00-08.00</t>
  </si>
  <si>
    <t>OFFICE HCI</t>
  </si>
  <si>
    <t>06.30-08.00</t>
  </si>
  <si>
    <t>GOODFELLAS K</t>
  </si>
  <si>
    <t>TAEYUNGSUNG</t>
  </si>
  <si>
    <t>PAK PETER</t>
  </si>
  <si>
    <t>16.00-18.00</t>
  </si>
  <si>
    <t>DERM BEAUTY</t>
  </si>
  <si>
    <t>OKINAWA PM</t>
  </si>
  <si>
    <t>21.30-23.00</t>
  </si>
  <si>
    <t>PHOBABA GM</t>
  </si>
  <si>
    <t>SHELL VET</t>
  </si>
  <si>
    <t>DRAGON H P</t>
  </si>
  <si>
    <t>23.00-24.00</t>
  </si>
  <si>
    <t>NAMA</t>
  </si>
  <si>
    <t>: MAHRUS</t>
  </si>
  <si>
    <t xml:space="preserve">:FAHMI </t>
  </si>
  <si>
    <t>HIGA BOX</t>
  </si>
  <si>
    <t>BU.PUSPA</t>
  </si>
  <si>
    <t>AMARIS EM</t>
  </si>
  <si>
    <t>G. PAKUWON</t>
  </si>
  <si>
    <t>09.00-13.00</t>
  </si>
  <si>
    <t>WARE.H TM</t>
  </si>
  <si>
    <t>JAM</t>
  </si>
  <si>
    <t>KWANG T WAS</t>
  </si>
  <si>
    <t>MEDICELLE</t>
  </si>
  <si>
    <t>19.00-22.00</t>
  </si>
  <si>
    <t>R M P</t>
  </si>
  <si>
    <t>20.00-23.00</t>
  </si>
  <si>
    <t>TOKO KOPI</t>
  </si>
  <si>
    <t>B.GRACE</t>
  </si>
  <si>
    <t>BU.DIANA</t>
  </si>
  <si>
    <t>BU.LYLA</t>
  </si>
  <si>
    <t>SAISHO PEM</t>
  </si>
  <si>
    <t>CV KARINA</t>
  </si>
  <si>
    <t>KOPI 3 AWANG</t>
  </si>
  <si>
    <t>14.00-18.00</t>
  </si>
  <si>
    <t>XL MEDIA</t>
  </si>
  <si>
    <t>WALLET</t>
  </si>
  <si>
    <t>KOPI 3 SAWAH</t>
  </si>
  <si>
    <t>PT.SURYA T.L</t>
  </si>
  <si>
    <t>17.00-19.00</t>
  </si>
  <si>
    <t>DHDC</t>
  </si>
  <si>
    <t>KUWEH</t>
  </si>
  <si>
    <t>SHELL MER</t>
  </si>
  <si>
    <t>20.30-21.30</t>
  </si>
  <si>
    <t>GYOPO PIZZA</t>
  </si>
  <si>
    <t>PT.MING</t>
  </si>
  <si>
    <t>20.00-22.00</t>
  </si>
  <si>
    <t>HAVANA</t>
  </si>
  <si>
    <t>PAK NIXON</t>
  </si>
  <si>
    <t>22.30-24.30</t>
  </si>
  <si>
    <t>24.00-02.00</t>
  </si>
  <si>
    <t>PT.PAKAL</t>
  </si>
  <si>
    <t>16.30-17.30</t>
  </si>
  <si>
    <t>Cuti</t>
  </si>
  <si>
    <t>: ANDIK</t>
  </si>
  <si>
    <t>FAHMI</t>
  </si>
  <si>
    <t>PT.BISI</t>
  </si>
  <si>
    <t>BU FRANS</t>
  </si>
  <si>
    <t xml:space="preserve">PT HASKARA </t>
  </si>
  <si>
    <t>S-IN</t>
  </si>
  <si>
    <t>PT.BISI MOJO</t>
  </si>
  <si>
    <t>CV.MANNA</t>
  </si>
  <si>
    <t>S. HANDOYO</t>
  </si>
  <si>
    <t>VOILA21</t>
  </si>
  <si>
    <t>VOILA.ID</t>
  </si>
  <si>
    <t>ALURA</t>
  </si>
  <si>
    <t>VERT</t>
  </si>
  <si>
    <t>23.30-24.30</t>
  </si>
  <si>
    <t>88 EM</t>
  </si>
  <si>
    <t>BU ELLY</t>
  </si>
  <si>
    <t>11.30-12.30</t>
  </si>
  <si>
    <t>SUTRACO. B</t>
  </si>
  <si>
    <t>11.00-14.00</t>
  </si>
  <si>
    <t>P.HENGKY</t>
  </si>
  <si>
    <t>SUTRACO M-P</t>
  </si>
  <si>
    <t>17.00-18.00</t>
  </si>
  <si>
    <t>BU RINI</t>
  </si>
  <si>
    <t>TOKO KOPI JS</t>
  </si>
  <si>
    <t>22.30-24.00</t>
  </si>
  <si>
    <t>14.30-15.30</t>
  </si>
  <si>
    <t>SUJI PM</t>
  </si>
  <si>
    <t>HIGA AE</t>
  </si>
  <si>
    <t>HONEY POK</t>
  </si>
  <si>
    <t>07.30-09.00</t>
  </si>
  <si>
    <t>PAK FERNANDO</t>
  </si>
  <si>
    <t>P.VICTOR</t>
  </si>
  <si>
    <t>PT HASKARA</t>
  </si>
  <si>
    <t>PAK WINANDA</t>
  </si>
  <si>
    <t>SUTRACO. L</t>
  </si>
  <si>
    <t>PAK HENDRA</t>
  </si>
  <si>
    <t>TANAMERA TRUN</t>
  </si>
  <si>
    <t>23.30-01.00</t>
  </si>
  <si>
    <t>23.00-01.00</t>
  </si>
  <si>
    <t>Note: Stephanie Handoyo kurang 1</t>
  </si>
  <si>
    <t>LUCKY</t>
  </si>
  <si>
    <t>BDG</t>
  </si>
  <si>
    <t>CV. ANDALAN SK</t>
  </si>
  <si>
    <t>PAK EVAN</t>
  </si>
  <si>
    <t>15.00-19.00</t>
  </si>
  <si>
    <t>7 DERMAGA S</t>
  </si>
  <si>
    <t>TRISTAR</t>
  </si>
  <si>
    <t>PAK DANNY</t>
  </si>
  <si>
    <t>B. YENY</t>
  </si>
  <si>
    <t>SANTIKA</t>
  </si>
  <si>
    <t>PAK MECHAEL</t>
  </si>
  <si>
    <t>BU EDDY</t>
  </si>
  <si>
    <t>08.00-11.00</t>
  </si>
  <si>
    <t>TTD</t>
  </si>
  <si>
    <t>P. STEVEN</t>
  </si>
  <si>
    <t>DUTA BAYU</t>
  </si>
  <si>
    <t>XIO XIANG PTC</t>
  </si>
  <si>
    <t>21,00-22,00</t>
  </si>
  <si>
    <t>PAK WISNU</t>
  </si>
  <si>
    <t>23.30-01.30</t>
  </si>
  <si>
    <t>PHOBABA PM</t>
  </si>
  <si>
    <t>SON GA</t>
  </si>
  <si>
    <t>FEEL MATCHA WH</t>
  </si>
  <si>
    <t>HAVANA CIT</t>
  </si>
  <si>
    <t>PAK GEORGE</t>
  </si>
  <si>
    <t>PAK AWI</t>
  </si>
  <si>
    <t>22.15-23.15</t>
  </si>
  <si>
    <t>SAISHO PTC</t>
  </si>
  <si>
    <t>02.00-04.00</t>
  </si>
  <si>
    <t>PAK.WISNU</t>
  </si>
  <si>
    <t>MST</t>
  </si>
  <si>
    <t xml:space="preserve">TEKNISI </t>
  </si>
  <si>
    <t>MAULANA</t>
  </si>
  <si>
    <t>NAUNG GROUP</t>
  </si>
  <si>
    <t>BAGI KOPI</t>
  </si>
  <si>
    <t>MIST</t>
  </si>
  <si>
    <t>SPPG</t>
  </si>
  <si>
    <t>14.00-16.00</t>
  </si>
  <si>
    <r>
      <rPr>
        <rFont val="Times New Roman"/>
        <b/>
        <color rgb="FF000000"/>
        <sz val="11.0"/>
      </rPr>
      <t xml:space="preserve">TONGJIE TP </t>
    </r>
    <r>
      <rPr>
        <rFont val="Times New Roman"/>
        <b/>
        <color rgb="FF000000"/>
        <sz val="11.0"/>
      </rPr>
      <t>OP</t>
    </r>
  </si>
  <si>
    <t>BU VICA</t>
  </si>
  <si>
    <t>KAWAI</t>
  </si>
  <si>
    <t>17.30-18.30</t>
  </si>
  <si>
    <r>
      <rPr>
        <rFont val="Times New Roman"/>
        <b/>
        <color rgb="FF000000"/>
        <sz val="11.0"/>
      </rPr>
      <t xml:space="preserve">TONGJIE TP </t>
    </r>
    <r>
      <rPr>
        <rFont val="Times New Roman"/>
        <b/>
        <color rgb="FF000000"/>
        <sz val="11.0"/>
      </rPr>
      <t>OT</t>
    </r>
  </si>
  <si>
    <t xml:space="preserve">PAK HERI </t>
  </si>
  <si>
    <t>TONG JIE PCM</t>
  </si>
  <si>
    <t>BOBBIE BURGER</t>
  </si>
  <si>
    <t>STEP KIDS</t>
  </si>
  <si>
    <t xml:space="preserve">TRISTAR </t>
  </si>
  <si>
    <t>HONEY P TMR</t>
  </si>
  <si>
    <r>
      <rPr>
        <rFont val="Times New Roman"/>
        <b/>
        <color rgb="FF000000"/>
        <sz val="11.0"/>
      </rPr>
      <t xml:space="preserve">BUTTERMAN </t>
    </r>
    <r>
      <rPr>
        <rFont val="Times New Roman"/>
        <b/>
        <color rgb="FF000000"/>
        <sz val="11.0"/>
      </rPr>
      <t>G</t>
    </r>
  </si>
  <si>
    <t xml:space="preserve">PELABUHAN </t>
  </si>
  <si>
    <t>PHOBABA PCM</t>
  </si>
  <si>
    <r>
      <rPr>
        <rFont val="Times New Roman"/>
        <b/>
        <color rgb="FF000000"/>
        <sz val="11.0"/>
      </rPr>
      <t xml:space="preserve">BUTTERMAN </t>
    </r>
    <r>
      <rPr>
        <rFont val="Times New Roman"/>
        <b/>
        <color rgb="FF000000"/>
        <sz val="11.0"/>
      </rPr>
      <t>OT</t>
    </r>
  </si>
  <si>
    <t>ALBA</t>
  </si>
  <si>
    <t xml:space="preserve">PC </t>
  </si>
  <si>
    <t>KOPI 3 CIT</t>
  </si>
  <si>
    <t>BAGI KOPI M</t>
  </si>
  <si>
    <t>HONEY POK CWS</t>
  </si>
  <si>
    <t>Honey Pok TMR</t>
  </si>
  <si>
    <t>TONGJIE TP OP</t>
  </si>
  <si>
    <r>
      <rPr>
        <rFont val="Times New Roman"/>
        <color rgb="FF000000"/>
        <sz val="11.0"/>
      </rPr>
      <t xml:space="preserve">BUTTERMAN </t>
    </r>
    <r>
      <rPr>
        <rFont val="Times New Roman"/>
        <b/>
        <color rgb="FF000000"/>
        <sz val="11.0"/>
      </rPr>
      <t>OT</t>
    </r>
  </si>
  <si>
    <r>
      <rPr>
        <rFont val="Times New Roman"/>
        <b/>
        <color rgb="FF000000"/>
        <sz val="11.0"/>
      </rPr>
      <t xml:space="preserve">BUTTERMAN </t>
    </r>
    <r>
      <rPr>
        <rFont val="Times New Roman"/>
        <b/>
        <color rgb="FF000000"/>
        <sz val="11.0"/>
      </rPr>
      <t>G</t>
    </r>
  </si>
  <si>
    <r>
      <rPr>
        <rFont val="Times New Roman"/>
        <color rgb="FF000000"/>
        <sz val="11.0"/>
      </rPr>
      <t xml:space="preserve">BUTTERMAN </t>
    </r>
    <r>
      <rPr>
        <rFont val="Times New Roman"/>
        <b/>
        <color rgb="FF000000"/>
        <sz val="11.0"/>
      </rPr>
      <t>G</t>
    </r>
  </si>
  <si>
    <r>
      <rPr>
        <rFont val="Times New Roman"/>
        <b/>
        <color rgb="FF000000"/>
        <sz val="11.0"/>
      </rPr>
      <t xml:space="preserve">TONGJIE TP </t>
    </r>
    <r>
      <rPr>
        <rFont val="Times New Roman"/>
        <b/>
        <color rgb="FF000000"/>
        <sz val="11.0"/>
      </rPr>
      <t>OP</t>
    </r>
  </si>
  <si>
    <r>
      <rPr>
        <rFont val="Times New Roman"/>
        <b/>
        <color rgb="FF000000"/>
        <sz val="11.0"/>
      </rPr>
      <t xml:space="preserve">BUTTERMAN </t>
    </r>
    <r>
      <rPr>
        <rFont val="Times New Roman"/>
        <b/>
        <color rgb="FF000000"/>
        <sz val="11.0"/>
      </rPr>
      <t>OT</t>
    </r>
  </si>
  <si>
    <r>
      <rPr>
        <rFont val="Times New Roman"/>
        <b/>
        <color rgb="FF000000"/>
        <sz val="11.0"/>
      </rPr>
      <t xml:space="preserve">TONGJIE TP </t>
    </r>
    <r>
      <rPr>
        <rFont val="Times New Roman"/>
        <b/>
        <color rgb="FF000000"/>
        <sz val="11.0"/>
      </rPr>
      <t>OT</t>
    </r>
  </si>
  <si>
    <t>EURO CHAIR</t>
  </si>
  <si>
    <r>
      <rPr>
        <rFont val="Times New Roman"/>
        <b/>
        <color rgb="FF000000"/>
        <sz val="11.0"/>
      </rPr>
      <t xml:space="preserve">BUTTERMAN </t>
    </r>
    <r>
      <rPr>
        <rFont val="Times New Roman"/>
        <b/>
        <color rgb="FF000000"/>
        <sz val="11.0"/>
      </rPr>
      <t>G</t>
    </r>
  </si>
  <si>
    <r>
      <rPr>
        <rFont val="Times New Roman"/>
        <b/>
        <color rgb="FF000000"/>
        <sz val="11.0"/>
      </rPr>
      <t xml:space="preserve">BUTTERMAN </t>
    </r>
    <r>
      <rPr>
        <rFont val="Times New Roman"/>
        <b/>
        <color rgb="FF000000"/>
        <sz val="11.0"/>
      </rPr>
      <t>OT</t>
    </r>
  </si>
  <si>
    <r>
      <rPr>
        <rFont val="Times New Roman"/>
        <b/>
        <color rgb="FF000000"/>
        <sz val="11.0"/>
      </rPr>
      <t xml:space="preserve">BUTTERMAN </t>
    </r>
    <r>
      <rPr>
        <rFont val="Times New Roman"/>
        <b/>
        <color rgb="FF000000"/>
        <sz val="11.0"/>
      </rPr>
      <t>G</t>
    </r>
  </si>
  <si>
    <r>
      <rPr>
        <rFont val="Times New Roman"/>
        <b/>
        <color rgb="FF000000"/>
        <sz val="11.0"/>
      </rPr>
      <t xml:space="preserve">BUTTERMAN </t>
    </r>
    <r>
      <rPr>
        <rFont val="Times New Roman"/>
        <b/>
        <color rgb="FF000000"/>
        <sz val="11.0"/>
      </rPr>
      <t>OT</t>
    </r>
  </si>
  <si>
    <t>IMAM</t>
  </si>
  <si>
    <t>PAK BUDI</t>
  </si>
  <si>
    <t>09.00-16.00</t>
  </si>
  <si>
    <t>TC</t>
  </si>
  <si>
    <t>VASA</t>
  </si>
  <si>
    <t>SUP</t>
  </si>
  <si>
    <t>Fum &amp; PC</t>
  </si>
  <si>
    <t>20.00-04.00</t>
  </si>
  <si>
    <t>EL GRANDE</t>
  </si>
  <si>
    <t>GRAHA PADEL</t>
  </si>
  <si>
    <t>02.00-03.00</t>
  </si>
  <si>
    <t>CV OETOMO</t>
  </si>
  <si>
    <t>ARGA</t>
  </si>
  <si>
    <t>FUM &amp; PC</t>
  </si>
  <si>
    <t>JP</t>
  </si>
  <si>
    <t>10.00-18.00</t>
  </si>
  <si>
    <t>NICi PM 2 G</t>
  </si>
  <si>
    <t>21.00-21.30</t>
  </si>
  <si>
    <t>NICI PTC OP</t>
  </si>
  <si>
    <t>22.00.23.00</t>
  </si>
  <si>
    <t>22.00-02.00</t>
  </si>
  <si>
    <t>SUPRAMA</t>
  </si>
  <si>
    <t>HOME GROUND PADEL</t>
  </si>
  <si>
    <t>ALMA</t>
  </si>
  <si>
    <t>PLATINUM PADEL</t>
  </si>
  <si>
    <t>05.00-06.00</t>
  </si>
  <si>
    <t xml:space="preserve">GT </t>
  </si>
  <si>
    <t>PCM</t>
  </si>
  <si>
    <t>03.00-04.00</t>
  </si>
  <si>
    <t>TUBAN I</t>
  </si>
  <si>
    <t>BRAVO BJN</t>
  </si>
  <si>
    <t>BRAVO CEPU</t>
  </si>
  <si>
    <t>TUBAN II</t>
  </si>
  <si>
    <t>03.00-04.30</t>
  </si>
  <si>
    <t>RENDY</t>
  </si>
  <si>
    <t>TP</t>
  </si>
  <si>
    <t>07.00-10.00</t>
  </si>
  <si>
    <t>07.00-15.00</t>
  </si>
  <si>
    <t xml:space="preserve">TP </t>
  </si>
  <si>
    <t>SOGO</t>
  </si>
  <si>
    <t>KJJ HOME</t>
  </si>
  <si>
    <t xml:space="preserve">         </t>
  </si>
  <si>
    <t>FATHUR</t>
  </si>
  <si>
    <t>Tong Jie Mojo</t>
  </si>
  <si>
    <t>15.00-23.00</t>
  </si>
  <si>
    <t>JADWAL TEKNISI STAY
AREA PAKUWON JOGJA</t>
  </si>
  <si>
    <t>NOTE</t>
  </si>
  <si>
    <t xml:space="preserve">Per tanggal 10/11 Reliver DIY&amp;Jateng di gantikan Gilang </t>
  </si>
  <si>
    <t>NO</t>
  </si>
  <si>
    <t>R</t>
  </si>
  <si>
    <t>K</t>
  </si>
  <si>
    <t>J</t>
  </si>
  <si>
    <t>S</t>
  </si>
  <si>
    <t>M</t>
  </si>
  <si>
    <t>DANI J</t>
  </si>
  <si>
    <t>P</t>
  </si>
  <si>
    <t>X</t>
  </si>
  <si>
    <t>REZA</t>
  </si>
  <si>
    <t xml:space="preserve">GILANG </t>
  </si>
  <si>
    <t>FG</t>
  </si>
  <si>
    <t xml:space="preserve">RISKI </t>
  </si>
  <si>
    <t xml:space="preserve">   </t>
  </si>
  <si>
    <t>PAGI</t>
  </si>
  <si>
    <t>SIANG</t>
  </si>
  <si>
    <t>KETERANGAN</t>
  </si>
  <si>
    <t>Service Tecnician</t>
  </si>
  <si>
    <t>: PAGI ( 05.30-14.00 )</t>
  </si>
  <si>
    <t xml:space="preserve">ARGA </t>
  </si>
  <si>
    <t>DANI</t>
  </si>
  <si>
    <t>: SORE ( 14.30-23.00 )</t>
  </si>
  <si>
    <t>: JADWAL SEWAKTU-WAKTU DAPAT BERUBAH JIKA ADA TREATMENT TAMBAHAN DAN DALAM KEADAAN URGENT</t>
  </si>
  <si>
    <t>: UNTUK PELAKSANAAN GENERAL TREATMENT TETAP ADA PERBANTUAN SELAIN TEKNISI STAY</t>
  </si>
  <si>
    <t>SNC TEAM</t>
  </si>
  <si>
    <t>Surabaya, 22 Februari 2026</t>
  </si>
  <si>
    <t>Di buat</t>
  </si>
  <si>
    <t>Mengetahui</t>
  </si>
  <si>
    <t>Menyetujui</t>
  </si>
  <si>
    <t>Penanggung Jawab</t>
  </si>
  <si>
    <t xml:space="preserve">Fahmi Idris M.A </t>
  </si>
  <si>
    <t>Alexander Laurenzy</t>
  </si>
  <si>
    <t>081334227988</t>
  </si>
  <si>
    <t xml:space="preserve">Awita </t>
  </si>
  <si>
    <t xml:space="preserve">Regional Supervisor </t>
  </si>
  <si>
    <t>Area Manager</t>
  </si>
  <si>
    <t>Housekeeping</t>
  </si>
  <si>
    <t>JADWAL TEKNISI STAY
AREA PAKUWON  SOLO</t>
  </si>
  <si>
    <t>ADAM</t>
  </si>
  <si>
    <t>ST</t>
  </si>
  <si>
    <t>DANI S</t>
  </si>
  <si>
    <t>: PAGI ( 06.30-15.00 )</t>
  </si>
  <si>
    <t xml:space="preserve">ADAM </t>
  </si>
  <si>
    <t xml:space="preserve">: SPLIT </t>
  </si>
  <si>
    <t>: SPLIT (06.30-11.00-21.00-24.00) (GT)</t>
  </si>
  <si>
    <t xml:space="preserve"> Supervisor</t>
  </si>
  <si>
    <t>:RENDY</t>
  </si>
  <si>
    <t>JADWAL TEKNISI BULAN NOVEMBER 2025</t>
  </si>
  <si>
    <t>: FATHONY</t>
  </si>
  <si>
    <t>14.30-23.00</t>
  </si>
  <si>
    <t>SOGO TP</t>
  </si>
  <si>
    <t>19.00-20.30</t>
  </si>
  <si>
    <t>MDR</t>
  </si>
  <si>
    <t>PADEL</t>
  </si>
  <si>
    <t>SUP TP</t>
  </si>
  <si>
    <t>PADEL KEN</t>
  </si>
  <si>
    <t>SUPP</t>
  </si>
  <si>
    <t>PT.SGN</t>
  </si>
  <si>
    <t>17.00-20.00</t>
  </si>
  <si>
    <t>HIGA</t>
  </si>
  <si>
    <t>:</t>
  </si>
  <si>
    <t>ABU ALI CAFE</t>
  </si>
  <si>
    <t xml:space="preserve"> RC</t>
  </si>
  <si>
    <t>PAK ERIC</t>
  </si>
  <si>
    <t>KARYA MM</t>
  </si>
  <si>
    <t>PAK RAVEN</t>
  </si>
  <si>
    <t xml:space="preserve">PAK DANIEL </t>
  </si>
  <si>
    <t>24.00-03.00</t>
  </si>
  <si>
    <t>CLAY POT</t>
  </si>
  <si>
    <t>TONG TJIE PCM</t>
  </si>
  <si>
    <t>ANIN DITA</t>
  </si>
  <si>
    <t>DANDELION</t>
  </si>
  <si>
    <t>P.PETER</t>
  </si>
  <si>
    <t>07.00-08.30</t>
  </si>
  <si>
    <t>15.30-16.30</t>
  </si>
  <si>
    <t>PAK RICHIE</t>
  </si>
  <si>
    <t>MULLIGAN</t>
  </si>
  <si>
    <t>BU SHETLY</t>
  </si>
  <si>
    <t>KEEVIN</t>
  </si>
  <si>
    <t>PT HCI</t>
  </si>
  <si>
    <t>TTD CIKAL</t>
  </si>
  <si>
    <t>: PINDAH HARI</t>
  </si>
  <si>
    <t>FARHAN</t>
  </si>
  <si>
    <t>FATONY</t>
  </si>
  <si>
    <t>16.00-24.00</t>
  </si>
  <si>
    <t>Mobil</t>
  </si>
  <si>
    <t>JADWAL TEKNISI BULAN JULI 2025</t>
  </si>
  <si>
    <t xml:space="preserve">PT INTRACO </t>
  </si>
  <si>
    <t>LAOBAN</t>
  </si>
  <si>
    <t>PLN NPS</t>
  </si>
  <si>
    <t>PM</t>
  </si>
  <si>
    <t>3 RASA</t>
  </si>
  <si>
    <t>IHT SUPRAMA</t>
  </si>
  <si>
    <t xml:space="preserve">IHT </t>
  </si>
  <si>
    <t>SURVEY TC</t>
  </si>
  <si>
    <t>PAKUWON GRUP</t>
  </si>
  <si>
    <t>CHEMICAL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</si>
</sst>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\-mmm"/>
    <numFmt numFmtId="165" formatCode="_([$IDR]\ * #,##0.00_);_([$IDR]\ * \(#,##0.00\);_([$IDR]\ * &quot;-&quot;??_);_(@_)"/>
    <numFmt numFmtId="166" formatCode="d-mmm"/>
    <numFmt numFmtId="167" formatCode="_-[$IDR]\ * #,##0.00_-;\-[$IDR]\ * #,##0.00_-;_-[$IDR]\ * &quot;-&quot;??_-;_-@"/>
    <numFmt numFmtId="168" formatCode="mmmm\ yyyy"/>
  </numFmts>
  <fonts count="31">
    <font>
      <sz val="11.0"/>
      <color rgb="FF000000"/>
      <name val="Calibri"/>
      <scheme val="minor"/>
    </font>
    <font>
      <b/>
      <sz val="11.0"/>
      <color rgb="FF000000"/>
      <name val="Times New Roman"/>
    </font>
    <font>
      <b/>
      <sz val="10.0"/>
      <color rgb="FF000000"/>
      <name val="Times New Roman"/>
    </font>
    <font>
      <b/>
      <sz val="18.0"/>
      <color rgb="FF000000"/>
      <name val="Times New Roman"/>
    </font>
    <font>
      <sz val="11.0"/>
      <color rgb="FF000000"/>
      <name val="Calibri"/>
    </font>
    <font/>
    <font>
      <b/>
      <sz val="11.0"/>
      <color rgb="FFFF0000"/>
      <name val="Times New Roman"/>
    </font>
    <font>
      <b/>
      <sz val="11.0"/>
      <color rgb="FFFFFF00"/>
      <name val="Times New Roman"/>
    </font>
    <font>
      <b/>
      <sz val="11.0"/>
      <color rgb="FF000000"/>
      <name val="Calibri"/>
    </font>
    <font>
      <sz val="11.0"/>
      <color rgb="FF000000"/>
      <name val="Times New Roman"/>
    </font>
    <font>
      <b/>
      <sz val="18.0"/>
      <color rgb="FF000000"/>
      <name val="Tahoma"/>
    </font>
    <font>
      <b/>
      <sz val="8.0"/>
      <color rgb="FF000000"/>
      <name val="Tahoma"/>
    </font>
    <font>
      <sz val="8.0"/>
      <color rgb="FF000000"/>
      <name val="Tahoma"/>
    </font>
    <font>
      <sz val="12.0"/>
      <color rgb="FF000000"/>
      <name val="Calibri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8.0"/>
      <color rgb="FF000000"/>
      <name val="Times New Roman"/>
    </font>
    <font>
      <sz val="11.0"/>
      <color rgb="FF000000"/>
      <name val="Arial"/>
    </font>
    <font>
      <sz val="18.0"/>
      <color rgb="FF000000"/>
      <name val="Times New Roman"/>
    </font>
    <font>
      <sz val="18.0"/>
      <color rgb="FF000000"/>
      <name val="Tahoma"/>
    </font>
    <font>
      <b/>
      <sz val="11.0"/>
      <color rgb="FF000000"/>
      <name val="Arial"/>
    </font>
    <font>
      <b/>
      <sz val="10.0"/>
      <color rgb="FF000000"/>
      <name val="Arial"/>
    </font>
    <font>
      <sz val="10.0"/>
      <color rgb="FF000000"/>
      <name val="Times New Roman"/>
    </font>
    <font>
      <b/>
      <u/>
      <sz val="11.0"/>
      <color rgb="FF000000"/>
      <name val="Times New Roman"/>
    </font>
    <font>
      <b/>
      <sz val="11.0"/>
      <color rgb="FF0000FF"/>
      <name val="Times New Roman"/>
    </font>
    <font>
      <sz val="11.0"/>
      <color theme="1"/>
      <name val="Calibri"/>
    </font>
    <font>
      <sz val="11.0"/>
      <color rgb="FFFF0000"/>
      <name val="Calibri"/>
    </font>
    <font>
      <b/>
      <sz val="14.0"/>
      <color rgb="FF000000"/>
      <name val="Times New Roman"/>
    </font>
    <font>
      <b/>
      <sz val="13.0"/>
      <color rgb="FF000000"/>
      <name val="Times New Roman"/>
    </font>
    <font>
      <b/>
      <sz val="12.0"/>
      <color rgb="FFFF0000"/>
      <name val="Times New Roman"/>
    </font>
    <font>
      <b/>
      <sz val="12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B7B7B7"/>
        <bgColor rgb="FFB7B7B7"/>
      </patternFill>
    </fill>
    <fill>
      <patternFill patternType="solid">
        <fgColor rgb="FFF4AE83"/>
        <bgColor rgb="FFF4AE83"/>
      </patternFill>
    </fill>
    <fill>
      <patternFill patternType="solid">
        <fgColor rgb="FFFFC000"/>
        <bgColor rgb="FFFFC0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7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top style="thin">
        <color rgb="FF8EA9DB"/>
      </top>
    </border>
    <border>
      <right style="thin">
        <color rgb="FF8EA9DB"/>
      </right>
      <top style="thin">
        <color rgb="FF8EA9DB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A9DB"/>
      </left>
      <bottom style="thin">
        <color rgb="FF8EA9DB"/>
      </bottom>
    </border>
    <border>
      <left style="thin">
        <color rgb="FF8EA9DB"/>
      </left>
      <right/>
      <top/>
      <bottom style="thin">
        <color rgb="FF8EA9DB"/>
      </bottom>
    </border>
    <border>
      <right style="thin">
        <color rgb="FF8EA9DB"/>
      </right>
      <bottom style="thin">
        <color rgb="FF8EA9DB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  <top style="double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40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1" fillId="2" fontId="6" numFmtId="0" xfId="0" applyAlignment="1" applyBorder="1" applyFont="1">
      <alignment horizontal="center" vertical="bottom"/>
    </xf>
    <xf borderId="1" fillId="2" fontId="7" numFmtId="164" xfId="0" applyAlignment="1" applyBorder="1" applyFont="1" applyNumberFormat="1">
      <alignment horizontal="center" vertical="bottom"/>
    </xf>
    <xf borderId="4" fillId="2" fontId="7" numFmtId="164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1" fillId="2" fontId="1" numFmtId="164" xfId="0" applyAlignment="1" applyBorder="1" applyFont="1" applyNumberFormat="1">
      <alignment horizontal="center" vertical="bottom"/>
    </xf>
    <xf borderId="4" fillId="2" fontId="6" numFmtId="164" xfId="0" applyAlignment="1" applyBorder="1" applyFont="1" applyNumberFormat="1">
      <alignment horizontal="center" vertical="bottom"/>
    </xf>
    <xf borderId="7" fillId="0" fontId="1" numFmtId="164" xfId="0" applyAlignment="1" applyBorder="1" applyFont="1" applyNumberFormat="1">
      <alignment vertical="bottom"/>
    </xf>
    <xf borderId="8" fillId="0" fontId="1" numFmtId="164" xfId="0" applyAlignment="1" applyBorder="1" applyFont="1" applyNumberFormat="1">
      <alignment vertical="bottom"/>
    </xf>
    <xf borderId="9" fillId="3" fontId="4" numFmtId="0" xfId="0" applyAlignment="1" applyBorder="1" applyFill="1" applyFont="1">
      <alignment vertical="bottom"/>
    </xf>
    <xf borderId="3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0" fillId="4" fontId="1" numFmtId="0" xfId="0" applyAlignment="1" applyBorder="1" applyFill="1" applyFont="1">
      <alignment vertical="bottom"/>
    </xf>
    <xf borderId="10" fillId="0" fontId="1" numFmtId="0" xfId="0" applyAlignment="1" applyBorder="1" applyFont="1">
      <alignment vertical="bottom"/>
    </xf>
    <xf borderId="10" fillId="3" fontId="1" numFmtId="0" xfId="0" applyAlignment="1" applyBorder="1" applyFont="1">
      <alignment vertical="center"/>
    </xf>
    <xf borderId="1" fillId="5" fontId="1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vertical="bottom"/>
    </xf>
    <xf borderId="11" fillId="0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vertical="bottom"/>
    </xf>
    <xf borderId="11" fillId="0" fontId="4" numFmtId="0" xfId="0" applyAlignment="1" applyBorder="1" applyFont="1">
      <alignment horizontal="center" vertical="bottom"/>
    </xf>
    <xf borderId="14" fillId="0" fontId="9" numFmtId="0" xfId="0" applyAlignment="1" applyBorder="1" applyFont="1">
      <alignment vertical="bottom"/>
    </xf>
    <xf borderId="13" fillId="0" fontId="4" numFmtId="0" xfId="0" applyAlignment="1" applyBorder="1" applyFont="1">
      <alignment horizontal="center" vertical="bottom"/>
    </xf>
    <xf borderId="9" fillId="3" fontId="1" numFmtId="0" xfId="0" applyAlignment="1" applyBorder="1" applyFont="1">
      <alignment vertical="bottom"/>
    </xf>
    <xf borderId="9" fillId="6" fontId="1" numFmtId="0" xfId="0" applyAlignment="1" applyBorder="1" applyFill="1" applyFont="1">
      <alignment vertical="bottom"/>
    </xf>
    <xf borderId="10" fillId="3" fontId="1" numFmtId="0" xfId="0" applyAlignment="1" applyBorder="1" applyFont="1">
      <alignment vertical="bottom"/>
    </xf>
    <xf borderId="15" fillId="7" fontId="1" numFmtId="0" xfId="0" applyAlignment="1" applyBorder="1" applyFill="1" applyFont="1">
      <alignment horizontal="center" vertical="bottom"/>
    </xf>
    <xf borderId="4" fillId="7" fontId="1" numFmtId="0" xfId="0" applyAlignment="1" applyBorder="1" applyFont="1">
      <alignment horizontal="center" vertical="bottom"/>
    </xf>
    <xf borderId="4" fillId="7" fontId="6" numFmtId="0" xfId="0" applyAlignment="1" applyBorder="1" applyFont="1">
      <alignment horizontal="center" vertical="bottom"/>
    </xf>
    <xf borderId="15" fillId="7" fontId="1" numFmtId="164" xfId="0" applyAlignment="1" applyBorder="1" applyFont="1" applyNumberFormat="1">
      <alignment horizontal="center" vertical="bottom"/>
    </xf>
    <xf borderId="15" fillId="7" fontId="6" numFmtId="164" xfId="0" applyAlignment="1" applyBorder="1" applyFont="1" applyNumberFormat="1">
      <alignment horizontal="center" vertical="bottom"/>
    </xf>
    <xf borderId="16" fillId="3" fontId="1" numFmtId="0" xfId="0" applyAlignment="1" applyBorder="1" applyFont="1">
      <alignment vertical="bottom"/>
    </xf>
    <xf borderId="16" fillId="6" fontId="1" numFmtId="0" xfId="0" applyAlignment="1" applyBorder="1" applyFont="1">
      <alignment vertical="bottom"/>
    </xf>
    <xf borderId="8" fillId="0" fontId="1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bottom"/>
    </xf>
    <xf borderId="16" fillId="3" fontId="1" numFmtId="164" xfId="0" applyAlignment="1" applyBorder="1" applyFont="1" applyNumberFormat="1">
      <alignment vertical="bottom"/>
    </xf>
    <xf borderId="9" fillId="3" fontId="1" numFmtId="164" xfId="0" applyAlignment="1" applyBorder="1" applyFont="1" applyNumberFormat="1">
      <alignment vertical="bottom"/>
    </xf>
    <xf borderId="4" fillId="5" fontId="1" numFmtId="0" xfId="0" applyAlignment="1" applyBorder="1" applyFont="1">
      <alignment horizontal="center" vertical="bottom"/>
    </xf>
    <xf borderId="15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bottom"/>
    </xf>
    <xf borderId="15" fillId="2" fontId="1" numFmtId="164" xfId="0" applyAlignment="1" applyBorder="1" applyFont="1" applyNumberFormat="1">
      <alignment horizontal="center" vertical="bottom"/>
    </xf>
    <xf borderId="4" fillId="2" fontId="1" numFmtId="164" xfId="0" applyAlignment="1" applyBorder="1" applyFont="1" applyNumberFormat="1">
      <alignment horizontal="center" vertical="bottom"/>
    </xf>
    <xf borderId="14" fillId="3" fontId="9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17" fillId="0" fontId="1" numFmtId="0" xfId="0" applyAlignment="1" applyBorder="1" applyFont="1">
      <alignment vertical="center"/>
    </xf>
    <xf borderId="18" fillId="0" fontId="5" numFmtId="0" xfId="0" applyAlignment="1" applyBorder="1" applyFont="1">
      <alignment vertical="center"/>
    </xf>
    <xf borderId="10" fillId="6" fontId="1" numFmtId="0" xfId="0" applyAlignment="1" applyBorder="1" applyFont="1">
      <alignment vertical="bottom"/>
    </xf>
    <xf borderId="7" fillId="0" fontId="5" numFmtId="0" xfId="0" applyAlignment="1" applyBorder="1" applyFont="1">
      <alignment vertical="center"/>
    </xf>
    <xf borderId="15" fillId="8" fontId="1" numFmtId="164" xfId="0" applyAlignment="1" applyBorder="1" applyFill="1" applyFont="1" applyNumberFormat="1">
      <alignment horizontal="center" vertical="bottom"/>
    </xf>
    <xf borderId="4" fillId="8" fontId="1" numFmtId="164" xfId="0" applyAlignment="1" applyBorder="1" applyFont="1" applyNumberFormat="1">
      <alignment horizontal="center" vertical="bottom"/>
    </xf>
    <xf borderId="17" fillId="6" fontId="1" numFmtId="0" xfId="0" applyAlignment="1" applyBorder="1" applyFont="1">
      <alignment vertical="bottom"/>
    </xf>
    <xf borderId="9" fillId="6" fontId="1" numFmtId="164" xfId="0" applyAlignment="1" applyBorder="1" applyFont="1" applyNumberFormat="1">
      <alignment vertical="bottom"/>
    </xf>
    <xf borderId="12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center"/>
    </xf>
    <xf borderId="19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4" fillId="8" fontId="6" numFmtId="164" xfId="0" applyAlignment="1" applyBorder="1" applyFont="1" applyNumberFormat="1">
      <alignment horizontal="center" vertical="bottom"/>
    </xf>
    <xf borderId="0" fillId="0" fontId="9" numFmtId="0" xfId="0" applyAlignment="1" applyFont="1">
      <alignment horizontal="left" vertical="top"/>
    </xf>
    <xf borderId="0" fillId="0" fontId="2" numFmtId="165" xfId="0" applyAlignment="1" applyFont="1" applyNumberFormat="1">
      <alignment horizontal="center" vertical="bottom"/>
    </xf>
    <xf borderId="10" fillId="5" fontId="4" numFmtId="0" xfId="0" applyAlignment="1" applyBorder="1" applyFont="1">
      <alignment vertical="bottom"/>
    </xf>
    <xf borderId="20" fillId="3" fontId="4" numFmtId="0" xfId="0" applyAlignment="1" applyBorder="1" applyFont="1">
      <alignment vertical="bottom"/>
    </xf>
    <xf borderId="10" fillId="2" fontId="4" numFmtId="0" xfId="0" applyAlignment="1" applyBorder="1" applyFont="1">
      <alignment vertical="bottom"/>
    </xf>
    <xf borderId="10" fillId="9" fontId="4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10" fillId="6" fontId="4" numFmtId="0" xfId="0" applyAlignment="1" applyBorder="1" applyFont="1">
      <alignment vertical="bottom"/>
    </xf>
    <xf borderId="21" fillId="0" fontId="1" numFmtId="0" xfId="0" applyAlignment="1" applyBorder="1" applyFont="1">
      <alignment horizontal="left" vertical="bottom"/>
    </xf>
    <xf borderId="21" fillId="0" fontId="5" numFmtId="0" xfId="0" applyAlignment="1" applyBorder="1" applyFont="1">
      <alignment vertical="center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1" vertical="center" wrapText="0"/>
    </xf>
    <xf borderId="10" fillId="0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vertical="center"/>
    </xf>
    <xf borderId="10" fillId="3" fontId="2" numFmtId="0" xfId="0" applyAlignment="1" applyBorder="1" applyFont="1">
      <alignment horizontal="left" vertical="center"/>
    </xf>
    <xf borderId="10" fillId="0" fontId="2" numFmtId="0" xfId="0" applyAlignment="1" applyBorder="1" applyFont="1">
      <alignment horizontal="left" shrinkToFit="0" vertical="center" wrapText="1"/>
    </xf>
    <xf borderId="10" fillId="9" fontId="1" numFmtId="0" xfId="0" applyAlignment="1" applyBorder="1" applyFont="1">
      <alignment horizontal="left" vertical="center"/>
    </xf>
    <xf borderId="10" fillId="9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vertical="center"/>
    </xf>
    <xf borderId="0" fillId="0" fontId="8" numFmtId="0" xfId="0" applyAlignment="1" applyFont="1">
      <alignment vertical="bottom"/>
    </xf>
    <xf borderId="10" fillId="3" fontId="1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left" vertical="center"/>
    </xf>
    <xf borderId="1" fillId="7" fontId="1" numFmtId="0" xfId="0" applyAlignment="1" applyBorder="1" applyFont="1">
      <alignment horizontal="center" shrinkToFit="0" vertical="center" wrapText="1"/>
    </xf>
    <xf borderId="1" fillId="7" fontId="6" numFmtId="166" xfId="0" applyAlignment="1" applyBorder="1" applyFont="1" applyNumberFormat="1">
      <alignment horizontal="center" shrinkToFit="0" vertical="center" wrapText="1"/>
    </xf>
    <xf borderId="1" fillId="7" fontId="1" numFmtId="164" xfId="0" applyAlignment="1" applyBorder="1" applyFont="1" applyNumberFormat="1">
      <alignment horizontal="center" shrinkToFit="1" vertical="center" wrapText="0"/>
    </xf>
    <xf borderId="1" fillId="7" fontId="6" numFmtId="164" xfId="0" applyAlignment="1" applyBorder="1" applyFont="1" applyNumberFormat="1">
      <alignment horizontal="center" shrinkToFit="1" vertical="center" wrapText="0"/>
    </xf>
    <xf borderId="10" fillId="6" fontId="1" numFmtId="0" xfId="0" applyAlignment="1" applyBorder="1" applyFont="1">
      <alignment horizontal="left" vertical="center"/>
    </xf>
    <xf borderId="22" fillId="6" fontId="1" numFmtId="0" xfId="0" applyAlignment="1" applyBorder="1" applyFont="1">
      <alignment horizontal="left" vertical="center"/>
    </xf>
    <xf borderId="14" fillId="0" fontId="9" numFmtId="0" xfId="0" applyAlignment="1" applyBorder="1" applyFont="1">
      <alignment horizontal="center" vertical="bottom"/>
    </xf>
    <xf borderId="23" fillId="3" fontId="9" numFmtId="0" xfId="0" applyAlignment="1" applyBorder="1" applyFont="1">
      <alignment vertical="bottom"/>
    </xf>
    <xf borderId="24" fillId="3" fontId="1" numFmtId="0" xfId="0" applyAlignment="1" applyBorder="1" applyFont="1">
      <alignment vertical="bottom"/>
    </xf>
    <xf borderId="22" fillId="3" fontId="1" numFmtId="0" xfId="0" applyAlignment="1" applyBorder="1" applyFont="1">
      <alignment horizontal="left" vertical="center"/>
    </xf>
    <xf borderId="10" fillId="6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vertical="bottom"/>
    </xf>
    <xf borderId="25" fillId="3" fontId="1" numFmtId="0" xfId="0" applyAlignment="1" applyBorder="1" applyFont="1">
      <alignment vertical="bottom"/>
    </xf>
    <xf borderId="22" fillId="3" fontId="1" numFmtId="0" xfId="0" applyAlignment="1" applyBorder="1" applyFont="1">
      <alignment vertical="center"/>
    </xf>
    <xf borderId="26" fillId="0" fontId="9" numFmtId="0" xfId="0" applyAlignment="1" applyBorder="1" applyFont="1">
      <alignment vertical="bottom"/>
    </xf>
    <xf borderId="1" fillId="0" fontId="1" numFmtId="0" xfId="0" applyAlignment="1" applyBorder="1" applyFont="1">
      <alignment horizontal="left"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6" fillId="3" fontId="1" numFmtId="0" xfId="0" applyAlignment="1" applyBorder="1" applyFont="1">
      <alignment horizontal="left" vertical="center"/>
    </xf>
    <xf borderId="27" fillId="2" fontId="1" numFmtId="0" xfId="0" applyAlignment="1" applyBorder="1" applyFont="1">
      <alignment horizontal="left" shrinkToFit="0" vertical="center" wrapText="1"/>
    </xf>
    <xf borderId="24" fillId="2" fontId="1" numFmtId="0" xfId="0" applyAlignment="1" applyBorder="1" applyFont="1">
      <alignment vertical="bottom"/>
    </xf>
    <xf borderId="24" fillId="2" fontId="1" numFmtId="0" xfId="0" applyAlignment="1" applyBorder="1" applyFont="1">
      <alignment horizontal="left" shrinkToFit="0" vertical="center" wrapText="1"/>
    </xf>
    <xf borderId="25" fillId="3" fontId="1" numFmtId="0" xfId="0" applyAlignment="1" applyBorder="1" applyFont="1">
      <alignment shrinkToFit="0" vertical="bottom" wrapText="1"/>
    </xf>
    <xf borderId="28" fillId="2" fontId="1" numFmtId="0" xfId="0" applyAlignment="1" applyBorder="1" applyFont="1">
      <alignment horizontal="center" shrinkToFit="0" vertical="center" wrapText="1"/>
    </xf>
    <xf borderId="26" fillId="0" fontId="13" numFmtId="0" xfId="0" applyAlignment="1" applyBorder="1" applyFont="1">
      <alignment vertical="bottom"/>
    </xf>
    <xf borderId="28" fillId="2" fontId="1" numFmtId="164" xfId="0" applyAlignment="1" applyBorder="1" applyFont="1" applyNumberFormat="1">
      <alignment horizontal="center" shrinkToFit="1" vertical="center" wrapText="0"/>
    </xf>
    <xf borderId="1" fillId="2" fontId="6" numFmtId="164" xfId="0" applyAlignment="1" applyBorder="1" applyFont="1" applyNumberFormat="1">
      <alignment horizontal="center" shrinkToFit="1" vertical="center" wrapText="0"/>
    </xf>
    <xf borderId="7" fillId="0" fontId="1" numFmtId="0" xfId="0" applyAlignment="1" applyBorder="1" applyFont="1">
      <alignment horizontal="left" vertical="center"/>
    </xf>
    <xf borderId="29" fillId="3" fontId="1" numFmtId="0" xfId="0" applyAlignment="1" applyBorder="1" applyFont="1">
      <alignment vertical="center"/>
    </xf>
    <xf borderId="10" fillId="0" fontId="1" numFmtId="0" xfId="0" applyAlignment="1" applyBorder="1" applyFont="1">
      <alignment shrinkToFit="0" vertical="bottom" wrapText="1"/>
    </xf>
    <xf borderId="23" fillId="9" fontId="9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0" fillId="0" fontId="9" numFmtId="0" xfId="0" applyAlignment="1" applyFont="1">
      <alignment shrinkToFit="0" vertical="bottom" wrapText="1"/>
    </xf>
    <xf borderId="10" fillId="0" fontId="9" numFmtId="0" xfId="0" applyAlignment="1" applyBorder="1" applyFont="1">
      <alignment horizontal="left" vertical="center"/>
    </xf>
    <xf borderId="14" fillId="0" fontId="9" numFmtId="0" xfId="0" applyAlignment="1" applyBorder="1" applyFont="1">
      <alignment shrinkToFit="0" vertical="bottom" wrapText="1"/>
    </xf>
    <xf borderId="10" fillId="0" fontId="2" numFmtId="0" xfId="0" applyAlignment="1" applyBorder="1" applyFont="1">
      <alignment horizontal="left" vertical="center"/>
    </xf>
    <xf borderId="10" fillId="3" fontId="1" numFmtId="0" xfId="0" applyAlignment="1" applyBorder="1" applyFont="1">
      <alignment shrinkToFit="0" vertical="bottom" wrapText="1"/>
    </xf>
    <xf borderId="11" fillId="0" fontId="14" numFmtId="0" xfId="0" applyAlignment="1" applyBorder="1" applyFont="1">
      <alignment horizontal="center" vertical="bottom"/>
    </xf>
    <xf borderId="30" fillId="0" fontId="14" numFmtId="0" xfId="0" applyAlignment="1" applyBorder="1" applyFont="1">
      <alignment horizontal="center" vertical="bottom"/>
    </xf>
    <xf borderId="31" fillId="0" fontId="14" numFmtId="0" xfId="0" applyAlignment="1" applyBorder="1" applyFont="1">
      <alignment horizontal="center" vertical="bottom"/>
    </xf>
    <xf borderId="32" fillId="2" fontId="1" numFmtId="164" xfId="0" applyAlignment="1" applyBorder="1" applyFont="1" applyNumberFormat="1">
      <alignment horizontal="center" vertical="bottom"/>
    </xf>
    <xf borderId="33" fillId="0" fontId="5" numFmtId="0" xfId="0" applyAlignment="1" applyBorder="1" applyFont="1">
      <alignment vertical="center"/>
    </xf>
    <xf borderId="34" fillId="0" fontId="5" numFmtId="0" xfId="0" applyAlignment="1" applyBorder="1" applyFont="1">
      <alignment vertical="center"/>
    </xf>
    <xf borderId="32" fillId="2" fontId="6" numFmtId="164" xfId="0" applyAlignment="1" applyBorder="1" applyFont="1" applyNumberFormat="1">
      <alignment horizontal="center" vertical="bottom"/>
    </xf>
    <xf borderId="35" fillId="0" fontId="14" numFmtId="0" xfId="0" applyAlignment="1" applyBorder="1" applyFont="1">
      <alignment horizontal="center" vertical="bottom"/>
    </xf>
    <xf borderId="14" fillId="0" fontId="15" numFmtId="0" xfId="0" applyAlignment="1" applyBorder="1" applyFont="1">
      <alignment vertical="bottom"/>
    </xf>
    <xf borderId="14" fillId="0" fontId="15" numFmtId="0" xfId="0" applyAlignment="1" applyBorder="1" applyFont="1">
      <alignment horizontal="center" vertical="bottom"/>
    </xf>
    <xf borderId="24" fillId="3" fontId="1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vertical="bottom"/>
    </xf>
    <xf borderId="10" fillId="0" fontId="1" numFmtId="0" xfId="0" applyAlignment="1" applyBorder="1" applyFont="1">
      <alignment horizontal="left" vertical="bottom"/>
    </xf>
    <xf borderId="1" fillId="5" fontId="1" numFmtId="0" xfId="0" applyAlignment="1" applyBorder="1" applyFont="1">
      <alignment horizontal="center" shrinkToFit="0" vertical="center" wrapText="1"/>
    </xf>
    <xf borderId="10" fillId="9" fontId="1" numFmtId="0" xfId="0" applyAlignment="1" applyBorder="1" applyFont="1">
      <alignment vertical="bottom"/>
    </xf>
    <xf borderId="10" fillId="9" fontId="8" numFmtId="0" xfId="0" applyAlignment="1" applyBorder="1" applyFont="1">
      <alignment vertical="bottom"/>
    </xf>
    <xf borderId="14" fillId="9" fontId="9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4" fillId="0" fontId="1" numFmtId="0" xfId="0" applyAlignment="1" applyBorder="1" applyFont="1">
      <alignment shrinkToFit="0" vertical="bottom" wrapText="1"/>
    </xf>
    <xf borderId="10" fillId="3" fontId="9" numFmtId="0" xfId="0" applyAlignment="1" applyBorder="1" applyFont="1">
      <alignment horizontal="left" vertical="center"/>
    </xf>
    <xf borderId="14" fillId="0" fontId="14" numFmtId="0" xfId="0" applyAlignment="1" applyBorder="1" applyFont="1">
      <alignment vertical="bottom"/>
    </xf>
    <xf borderId="14" fillId="0" fontId="14" numFmtId="0" xfId="0" applyAlignment="1" applyBorder="1" applyFont="1">
      <alignment horizontal="center" vertical="bottom"/>
    </xf>
    <xf borderId="10" fillId="3" fontId="4" numFmtId="0" xfId="0" applyAlignment="1" applyBorder="1" applyFont="1">
      <alignment vertical="bottom"/>
    </xf>
    <xf borderId="25" fillId="3" fontId="4" numFmtId="0" xfId="0" applyAlignment="1" applyBorder="1" applyFont="1">
      <alignment vertical="bottom"/>
    </xf>
    <xf borderId="17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4" fillId="6" fontId="14" numFmtId="0" xfId="0" applyAlignment="1" applyBorder="1" applyFont="1">
      <alignment horizontal="center" vertical="bottom"/>
    </xf>
    <xf borderId="10" fillId="5" fontId="1" numFmtId="0" xfId="0" applyAlignment="1" applyBorder="1" applyFont="1">
      <alignment horizontal="left" shrinkToFit="0" vertical="center" wrapText="1"/>
    </xf>
    <xf borderId="10" fillId="3" fontId="2" numFmtId="0" xfId="0" applyAlignment="1" applyBorder="1" applyFont="1">
      <alignment horizontal="left" shrinkToFit="0" vertical="center" wrapText="1"/>
    </xf>
    <xf borderId="10" fillId="3" fontId="16" numFmtId="0" xfId="0" applyAlignment="1" applyBorder="1" applyFont="1">
      <alignment horizontal="left" shrinkToFit="0" vertical="center" wrapText="1"/>
    </xf>
    <xf borderId="0" fillId="0" fontId="2" numFmtId="167" xfId="0" applyAlignment="1" applyFont="1" applyNumberForma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" fillId="2" fontId="6" numFmtId="164" xfId="0" applyAlignment="1" applyBorder="1" applyFont="1" applyNumberFormat="1">
      <alignment horizontal="center" vertical="bottom"/>
    </xf>
    <xf borderId="14" fillId="9" fontId="1" numFmtId="0" xfId="0" applyAlignment="1" applyBorder="1" applyFont="1">
      <alignment horizontal="left"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vertical="bottom"/>
    </xf>
    <xf borderId="17" fillId="0" fontId="4" numFmtId="0" xfId="0" applyAlignment="1" applyBorder="1" applyFont="1">
      <alignment vertical="bottom"/>
    </xf>
    <xf borderId="9" fillId="3" fontId="17" numFmtId="0" xfId="0" applyAlignment="1" applyBorder="1" applyFont="1">
      <alignment vertical="bottom"/>
    </xf>
    <xf borderId="10" fillId="5" fontId="1" numFmtId="0" xfId="0" applyAlignment="1" applyBorder="1" applyFont="1">
      <alignment shrinkToFit="0" vertical="bottom" wrapText="1"/>
    </xf>
    <xf borderId="8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horizontal="center" shrinkToFit="0" vertical="bottom" wrapText="1"/>
    </xf>
    <xf borderId="10" fillId="3" fontId="1" numFmtId="0" xfId="0" applyAlignment="1" applyBorder="1" applyFont="1">
      <alignment horizontal="left" vertical="bottom"/>
    </xf>
    <xf borderId="20" fillId="3" fontId="1" numFmtId="0" xfId="0" applyAlignment="1" applyBorder="1" applyFont="1">
      <alignment vertical="bottom"/>
    </xf>
    <xf borderId="36" fillId="5" fontId="14" numFmtId="0" xfId="0" applyAlignment="1" applyBorder="1" applyFont="1">
      <alignment horizontal="center" vertical="bottom"/>
    </xf>
    <xf borderId="20" fillId="5" fontId="1" numFmtId="0" xfId="0" applyAlignment="1" applyBorder="1" applyFont="1">
      <alignment horizontal="left" shrinkToFit="0" vertical="center" wrapText="1"/>
    </xf>
    <xf borderId="14" fillId="5" fontId="14" numFmtId="0" xfId="0" applyAlignment="1" applyBorder="1" applyFont="1">
      <alignment horizontal="center" vertical="bottom"/>
    </xf>
    <xf borderId="20" fillId="5" fontId="14" numFmtId="0" xfId="0" applyAlignment="1" applyBorder="1" applyFont="1">
      <alignment vertical="bottom"/>
    </xf>
    <xf borderId="9" fillId="6" fontId="1" numFmtId="0" xfId="0" applyAlignment="1" applyBorder="1" applyFont="1">
      <alignment shrinkToFit="0" vertical="bottom" wrapText="1"/>
    </xf>
    <xf borderId="10" fillId="6" fontId="1" numFmtId="0" xfId="0" applyAlignment="1" applyBorder="1" applyFont="1">
      <alignment shrinkToFit="0" vertical="bottom" wrapText="1"/>
    </xf>
    <xf borderId="0" fillId="0" fontId="1" numFmtId="0" xfId="0" applyAlignment="1" applyFont="1">
      <alignment horizontal="left" vertical="top"/>
    </xf>
    <xf borderId="0" fillId="0" fontId="18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3" fontId="20" numFmtId="0" xfId="0" applyAlignment="1" applyBorder="1" applyFont="1">
      <alignment vertical="bottom"/>
    </xf>
    <xf borderId="10" fillId="3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vertical="bottom"/>
    </xf>
    <xf borderId="12" fillId="0" fontId="14" numFmtId="0" xfId="0" applyAlignment="1" applyBorder="1" applyFont="1">
      <alignment horizontal="center" vertical="bottom"/>
    </xf>
    <xf borderId="13" fillId="0" fontId="14" numFmtId="0" xfId="0" applyAlignment="1" applyBorder="1" applyFont="1">
      <alignment horizontal="center" vertical="bottom"/>
    </xf>
    <xf borderId="37" fillId="0" fontId="14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0" fillId="3" fontId="21" numFmtId="0" xfId="0" applyAlignment="1" applyBorder="1" applyFont="1">
      <alignment vertical="bottom"/>
    </xf>
    <xf borderId="17" fillId="0" fontId="1" numFmtId="0" xfId="0" applyAlignment="1" applyBorder="1" applyFont="1">
      <alignment horizontal="center" vertical="bottom"/>
    </xf>
    <xf borderId="1" fillId="8" fontId="1" numFmtId="0" xfId="0" applyAlignment="1" applyBorder="1" applyFont="1">
      <alignment horizontal="center" shrinkToFit="0" vertical="center" wrapText="1"/>
    </xf>
    <xf borderId="1" fillId="8" fontId="1" numFmtId="164" xfId="0" applyAlignment="1" applyBorder="1" applyFont="1" applyNumberFormat="1">
      <alignment horizontal="center" shrinkToFit="1" vertical="center" wrapText="0"/>
    </xf>
    <xf borderId="17" fillId="0" fontId="1" numFmtId="0" xfId="0" applyAlignment="1" applyBorder="1" applyFont="1">
      <alignment horizontal="center" vertical="center"/>
    </xf>
    <xf borderId="0" fillId="0" fontId="9" numFmtId="0" xfId="0" applyAlignment="1" applyFont="1">
      <alignment vertical="bottom"/>
    </xf>
    <xf borderId="10" fillId="0" fontId="20" numFmtId="0" xfId="0" applyAlignment="1" applyBorder="1" applyFont="1">
      <alignment vertical="bottom"/>
    </xf>
    <xf borderId="10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0" fillId="3" fontId="2" numFmtId="0" xfId="0" applyAlignment="1" applyBorder="1" applyFont="1">
      <alignment vertical="bottom"/>
    </xf>
    <xf borderId="28" fillId="7" fontId="6" numFmtId="166" xfId="0" applyAlignment="1" applyBorder="1" applyFont="1" applyNumberFormat="1">
      <alignment horizontal="center" shrinkToFit="0" vertical="center" wrapText="1"/>
    </xf>
    <xf borderId="28" fillId="7" fontId="1" numFmtId="164" xfId="0" applyAlignment="1" applyBorder="1" applyFont="1" applyNumberFormat="1">
      <alignment horizontal="center" shrinkToFit="1" vertical="center" wrapText="0"/>
    </xf>
    <xf borderId="24" fillId="3" fontId="2" numFmtId="0" xfId="0" applyAlignment="1" applyBorder="1" applyFont="1">
      <alignment shrinkToFit="0" vertical="center" wrapText="1"/>
    </xf>
    <xf borderId="38" fillId="3" fontId="2" numFmtId="0" xfId="0" applyAlignment="1" applyBorder="1" applyFont="1">
      <alignment shrinkToFit="0" vertical="center" wrapText="1"/>
    </xf>
    <xf borderId="10" fillId="3" fontId="22" numFmtId="0" xfId="0" applyAlignment="1" applyBorder="1" applyFont="1">
      <alignment horizontal="left" vertical="center"/>
    </xf>
    <xf borderId="10" fillId="3" fontId="1" numFmtId="0" xfId="0" applyAlignment="1" applyBorder="1" applyFont="1">
      <alignment horizontal="center" vertical="bottom"/>
    </xf>
    <xf borderId="10" fillId="10" fontId="1" numFmtId="0" xfId="0" applyAlignment="1" applyBorder="1" applyFill="1" applyFont="1">
      <alignment vertical="bottom"/>
    </xf>
    <xf borderId="1" fillId="5" fontId="1" numFmtId="0" xfId="0" applyAlignment="1" applyBorder="1" applyFont="1">
      <alignment horizontal="center" vertical="bottom"/>
    </xf>
    <xf borderId="14" fillId="0" fontId="8" numFmtId="0" xfId="0" applyAlignment="1" applyBorder="1" applyFont="1">
      <alignment vertical="bottom"/>
    </xf>
    <xf borderId="14" fillId="0" fontId="8" numFmtId="0" xfId="0" applyAlignment="1" applyBorder="1" applyFont="1">
      <alignment horizontal="center" vertical="bottom"/>
    </xf>
    <xf borderId="14" fillId="10" fontId="14" numFmtId="0" xfId="0" applyAlignment="1" applyBorder="1" applyFont="1">
      <alignment vertical="bottom"/>
    </xf>
    <xf borderId="14" fillId="10" fontId="14" numFmtId="0" xfId="0" applyAlignment="1" applyBorder="1" applyFont="1">
      <alignment horizontal="center" vertical="bottom"/>
    </xf>
    <xf borderId="10" fillId="3" fontId="4" numFmtId="0" xfId="0" applyAlignment="1" applyBorder="1" applyFont="1">
      <alignment horizontal="center" vertical="bottom"/>
    </xf>
    <xf borderId="14" fillId="3" fontId="14" numFmtId="0" xfId="0" applyAlignment="1" applyBorder="1" applyFont="1">
      <alignment vertical="bottom"/>
    </xf>
    <xf borderId="14" fillId="10" fontId="8" numFmtId="0" xfId="0" applyAlignment="1" applyBorder="1" applyFont="1">
      <alignment horizontal="center" vertical="bottom"/>
    </xf>
    <xf borderId="14" fillId="0" fontId="14" numFmtId="0" xfId="0" applyAlignment="1" applyBorder="1" applyFont="1">
      <alignment horizontal="left" shrinkToFit="0" vertical="center" wrapText="1"/>
    </xf>
    <xf borderId="14" fillId="0" fontId="15" numFmtId="0" xfId="0" applyAlignment="1" applyBorder="1" applyFont="1">
      <alignment shrinkToFit="0" vertical="bottom" wrapText="1"/>
    </xf>
    <xf borderId="17" fillId="3" fontId="1" numFmtId="0" xfId="0" applyAlignment="1" applyBorder="1" applyFont="1">
      <alignment horizontal="center" vertical="center"/>
    </xf>
    <xf borderId="14" fillId="9" fontId="14" numFmtId="0" xfId="0" applyAlignment="1" applyBorder="1" applyFont="1">
      <alignment vertical="bottom"/>
    </xf>
    <xf borderId="14" fillId="9" fontId="14" numFmtId="0" xfId="0" applyAlignment="1" applyBorder="1" applyFont="1">
      <alignment horizontal="center" vertical="bottom"/>
    </xf>
    <xf borderId="14" fillId="5" fontId="14" numFmtId="0" xfId="0" applyAlignment="1" applyBorder="1" applyFont="1">
      <alignment horizontal="left" shrinkToFit="0" vertical="center" wrapText="1"/>
    </xf>
    <xf borderId="14" fillId="5" fontId="8" numFmtId="0" xfId="0" applyAlignment="1" applyBorder="1" applyFont="1">
      <alignment horizontal="center" vertical="bottom"/>
    </xf>
    <xf borderId="14" fillId="5" fontId="1" numFmtId="0" xfId="0" applyAlignment="1" applyBorder="1" applyFont="1">
      <alignment vertical="bottom"/>
    </xf>
    <xf borderId="14" fillId="5" fontId="14" numFmtId="0" xfId="0" applyAlignment="1" applyBorder="1" applyFont="1">
      <alignment vertical="bottom"/>
    </xf>
    <xf borderId="14" fillId="0" fontId="1" numFmtId="0" xfId="0" applyAlignment="1" applyBorder="1" applyFont="1">
      <alignment horizontal="left" vertical="bottom"/>
    </xf>
    <xf borderId="14" fillId="9" fontId="8" numFmtId="0" xfId="0" applyAlignment="1" applyBorder="1" applyFont="1">
      <alignment horizontal="center" vertical="bottom"/>
    </xf>
    <xf borderId="10" fillId="3" fontId="14" numFmtId="0" xfId="0" applyAlignment="1" applyBorder="1" applyFont="1">
      <alignment vertical="bottom"/>
    </xf>
    <xf borderId="10" fillId="0" fontId="15" numFmtId="0" xfId="0" applyAlignment="1" applyBorder="1" applyFont="1">
      <alignment vertical="bottom"/>
    </xf>
    <xf borderId="10" fillId="0" fontId="14" numFmtId="0" xfId="0" applyAlignment="1" applyBorder="1" applyFont="1">
      <alignment vertical="bottom"/>
    </xf>
    <xf borderId="39" fillId="0" fontId="15" numFmtId="0" xfId="0" applyAlignment="1" applyBorder="1" applyFont="1">
      <alignment shrinkToFit="0" vertical="bottom" wrapText="1"/>
    </xf>
    <xf borderId="32" fillId="0" fontId="14" numFmtId="0" xfId="0" applyAlignment="1" applyBorder="1" applyFont="1">
      <alignment horizontal="center" vertical="bottom"/>
    </xf>
    <xf borderId="14" fillId="3" fontId="1" numFmtId="0" xfId="0" applyAlignment="1" applyBorder="1" applyFont="1">
      <alignment vertical="bottom"/>
    </xf>
    <xf borderId="34" fillId="0" fontId="14" numFmtId="0" xfId="0" applyAlignment="1" applyBorder="1" applyFont="1">
      <alignment horizontal="center" vertical="bottom"/>
    </xf>
    <xf borderId="26" fillId="0" fontId="14" numFmtId="0" xfId="0" applyAlignment="1" applyBorder="1" applyFont="1">
      <alignment horizontal="left" shrinkToFit="0" vertical="center" wrapText="1"/>
    </xf>
    <xf borderId="10" fillId="6" fontId="1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center" shrinkToFit="1" vertical="center" wrapText="0"/>
    </xf>
    <xf borderId="0" fillId="0" fontId="2" numFmtId="165" xfId="0" applyAlignment="1" applyFont="1" applyNumberFormat="1">
      <alignment horizontal="left" shrinkToFit="0" vertical="top" wrapText="1"/>
    </xf>
    <xf borderId="21" fillId="0" fontId="2" numFmtId="0" xfId="0" applyAlignment="1" applyBorder="1" applyFont="1">
      <alignment horizontal="left" shrinkToFit="0" vertical="top" wrapText="1"/>
    </xf>
    <xf borderId="10" fillId="3" fontId="23" numFmtId="0" xfId="0" applyAlignment="1" applyBorder="1" applyFont="1">
      <alignment vertical="bottom"/>
    </xf>
    <xf borderId="14" fillId="9" fontId="4" numFmtId="0" xfId="0" applyAlignment="1" applyBorder="1" applyFont="1">
      <alignment vertical="bottom"/>
    </xf>
    <xf borderId="10" fillId="5" fontId="1" numFmtId="0" xfId="0" applyAlignment="1" applyBorder="1" applyFont="1">
      <alignment vertical="bottom"/>
    </xf>
    <xf borderId="14" fillId="0" fontId="13" numFmtId="0" xfId="0" applyAlignment="1" applyBorder="1" applyFont="1">
      <alignment horizontal="center" vertical="bottom"/>
    </xf>
    <xf borderId="14" fillId="9" fontId="1" numFmtId="0" xfId="0" applyAlignment="1" applyBorder="1" applyFont="1">
      <alignment vertical="bottom"/>
    </xf>
    <xf borderId="10" fillId="3" fontId="24" numFmtId="0" xfId="0" applyAlignment="1" applyBorder="1" applyFont="1">
      <alignment vertical="bottom"/>
    </xf>
    <xf borderId="0" fillId="0" fontId="14" numFmtId="0" xfId="0" applyAlignment="1" applyFont="1">
      <alignment horizontal="center" vertical="bottom"/>
    </xf>
    <xf borderId="20" fillId="5" fontId="25" numFmtId="0" xfId="0" applyAlignment="1" applyBorder="1" applyFont="1">
      <alignment vertical="center"/>
    </xf>
    <xf borderId="24" fillId="2" fontId="1" numFmtId="0" xfId="0" applyAlignment="1" applyBorder="1" applyFont="1">
      <alignment vertical="center"/>
    </xf>
    <xf borderId="25" fillId="6" fontId="1" numFmtId="0" xfId="0" applyAlignment="1" applyBorder="1" applyFont="1">
      <alignment vertical="bottom"/>
    </xf>
    <xf borderId="10" fillId="11" fontId="1" numFmtId="0" xfId="0" applyAlignment="1" applyBorder="1" applyFill="1" applyFont="1">
      <alignment vertical="bottom"/>
    </xf>
    <xf borderId="10" fillId="3" fontId="26" numFmtId="0" xfId="0" applyAlignment="1" applyBorder="1" applyFont="1">
      <alignment vertical="bottom"/>
    </xf>
    <xf borderId="23" fillId="3" fontId="1" numFmtId="0" xfId="0" applyAlignment="1" applyBorder="1" applyFont="1">
      <alignment vertical="bottom"/>
    </xf>
    <xf borderId="26" fillId="0" fontId="1" numFmtId="0" xfId="0" applyAlignment="1" applyBorder="1" applyFont="1">
      <alignment vertical="bottom"/>
    </xf>
    <xf borderId="1" fillId="2" fontId="1" numFmtId="164" xfId="0" applyAlignment="1" applyBorder="1" applyFont="1" applyNumberFormat="1">
      <alignment vertical="bottom"/>
    </xf>
    <xf borderId="10" fillId="0" fontId="1" numFmtId="164" xfId="0" applyAlignment="1" applyBorder="1" applyFont="1" applyNumberFormat="1">
      <alignment vertical="bottom"/>
    </xf>
    <xf borderId="10" fillId="4" fontId="1" numFmtId="164" xfId="0" applyAlignment="1" applyBorder="1" applyFont="1" applyNumberFormat="1">
      <alignment vertical="bottom"/>
    </xf>
    <xf borderId="10" fillId="0" fontId="1" numFmtId="164" xfId="0" applyAlignment="1" applyBorder="1" applyFont="1" applyNumberFormat="1">
      <alignment shrinkToFit="0" vertical="bottom" wrapText="1"/>
    </xf>
    <xf borderId="10" fillId="3" fontId="1" numFmtId="164" xfId="0" applyAlignment="1" applyBorder="1" applyFont="1" applyNumberFormat="1">
      <alignment vertical="bottom"/>
    </xf>
    <xf borderId="10" fillId="9" fontId="1" numFmtId="164" xfId="0" applyAlignment="1" applyBorder="1" applyFont="1" applyNumberFormat="1">
      <alignment vertical="bottom"/>
    </xf>
    <xf borderId="10" fillId="9" fontId="1" numFmtId="164" xfId="0" applyAlignment="1" applyBorder="1" applyFont="1" applyNumberFormat="1">
      <alignment shrinkToFit="0" vertical="bottom" wrapText="1"/>
    </xf>
    <xf borderId="37" fillId="0" fontId="4" numFmtId="0" xfId="0" applyAlignment="1" applyBorder="1" applyFont="1">
      <alignment vertical="bottom"/>
    </xf>
    <xf borderId="10" fillId="9" fontId="1" numFmtId="0" xfId="0" applyAlignment="1" applyBorder="1" applyFont="1">
      <alignment shrinkToFit="0" vertical="bottom" wrapText="1"/>
    </xf>
    <xf borderId="14" fillId="0" fontId="17" numFmtId="0" xfId="0" applyAlignment="1" applyBorder="1" applyFont="1">
      <alignment vertical="bottom"/>
    </xf>
    <xf borderId="37" fillId="0" fontId="15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1" fillId="7" fontId="6" numFmtId="166" xfId="0" applyAlignment="1" applyBorder="1" applyFont="1" applyNumberFormat="1">
      <alignment horizontal="center" vertical="bottom"/>
    </xf>
    <xf borderId="14" fillId="9" fontId="17" numFmtId="0" xfId="0" applyAlignment="1" applyBorder="1" applyFont="1">
      <alignment vertical="bottom"/>
    </xf>
    <xf borderId="1" fillId="7" fontId="1" numFmtId="164" xfId="0" applyAlignment="1" applyBorder="1" applyFont="1" applyNumberFormat="1">
      <alignment horizontal="center" vertical="bottom"/>
    </xf>
    <xf borderId="1" fillId="7" fontId="6" numFmtId="164" xfId="0" applyAlignment="1" applyBorder="1" applyFont="1" applyNumberFormat="1">
      <alignment horizontal="center" vertical="bottom"/>
    </xf>
    <xf borderId="10" fillId="6" fontId="1" numFmtId="164" xfId="0" applyAlignment="1" applyBorder="1" applyFont="1" applyNumberFormat="1">
      <alignment vertical="bottom"/>
    </xf>
    <xf borderId="10" fillId="6" fontId="1" numFmtId="164" xfId="0" applyAlignment="1" applyBorder="1" applyFont="1" applyNumberFormat="1">
      <alignment shrinkToFit="0" vertical="bottom" wrapText="1"/>
    </xf>
    <xf borderId="14" fillId="3" fontId="9" numFmtId="0" xfId="0" applyAlignment="1" applyBorder="1" applyFont="1">
      <alignment shrinkToFit="0" vertical="bottom" wrapText="1"/>
    </xf>
    <xf borderId="1" fillId="5" fontId="1" numFmtId="164" xfId="0" applyAlignment="1" applyBorder="1" applyFont="1" applyNumberFormat="1">
      <alignment horizontal="center" vertical="bottom"/>
    </xf>
    <xf borderId="14" fillId="0" fontId="20" numFmtId="0" xfId="0" applyAlignment="1" applyBorder="1" applyFont="1">
      <alignment vertical="bottom"/>
    </xf>
    <xf borderId="1" fillId="8" fontId="1" numFmtId="164" xfId="0" applyAlignment="1" applyBorder="1" applyFont="1" applyNumberFormat="1">
      <alignment horizontal="center" vertical="bottom"/>
    </xf>
    <xf borderId="1" fillId="8" fontId="6" numFmtId="164" xfId="0" applyAlignment="1" applyBorder="1" applyFont="1" applyNumberFormat="1">
      <alignment horizontal="center" vertical="bottom"/>
    </xf>
    <xf borderId="10" fillId="3" fontId="1" numFmtId="164" xfId="0" applyAlignment="1" applyBorder="1" applyFont="1" applyNumberFormat="1">
      <alignment shrinkToFit="0" vertical="bottom" wrapText="1"/>
    </xf>
    <xf borderId="10" fillId="4" fontId="1" numFmtId="164" xfId="0" applyAlignment="1" applyBorder="1" applyFont="1" applyNumberFormat="1">
      <alignment shrinkToFit="0" vertical="bottom" wrapText="1"/>
    </xf>
    <xf borderId="10" fillId="4" fontId="1" numFmtId="0" xfId="0" applyAlignment="1" applyBorder="1" applyFont="1">
      <alignment shrinkToFit="0" vertical="bottom" wrapText="1"/>
    </xf>
    <xf borderId="0" fillId="0" fontId="4" numFmtId="0" xfId="0" applyAlignment="1" applyFont="1">
      <alignment horizontal="right" vertical="bottom"/>
    </xf>
    <xf borderId="14" fillId="6" fontId="20" numFmtId="0" xfId="0" applyAlignment="1" applyBorder="1" applyFont="1">
      <alignment vertical="bottom"/>
    </xf>
    <xf borderId="1" fillId="2" fontId="6" numFmtId="166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7" numFmtId="0" xfId="0" applyAlignment="1" applyFont="1">
      <alignment vertical="bottom"/>
    </xf>
    <xf borderId="0" fillId="0" fontId="17" numFmtId="165" xfId="0" applyAlignment="1" applyFont="1" applyNumberFormat="1">
      <alignment vertical="bottom"/>
    </xf>
    <xf borderId="21" fillId="0" fontId="1" numFmtId="0" xfId="0" applyAlignment="1" applyBorder="1" applyFont="1">
      <alignment vertical="bottom"/>
    </xf>
    <xf borderId="21" fillId="0" fontId="17" numFmtId="0" xfId="0" applyAlignment="1" applyBorder="1" applyFont="1">
      <alignment vertical="top"/>
    </xf>
    <xf borderId="21" fillId="0" fontId="17" numFmtId="0" xfId="0" applyAlignment="1" applyBorder="1" applyFont="1">
      <alignment vertical="bottom"/>
    </xf>
    <xf borderId="4" fillId="7" fontId="1" numFmtId="164" xfId="0" applyAlignment="1" applyBorder="1" applyFont="1" applyNumberFormat="1">
      <alignment horizontal="center" vertical="bottom"/>
    </xf>
    <xf borderId="4" fillId="7" fontId="6" numFmtId="164" xfId="0" applyAlignment="1" applyBorder="1" applyFont="1" applyNumberFormat="1">
      <alignment horizontal="center" vertical="bottom"/>
    </xf>
    <xf borderId="4" fillId="7" fontId="17" numFmtId="0" xfId="0" applyAlignment="1" applyBorder="1" applyFont="1">
      <alignment vertical="bottom"/>
    </xf>
    <xf borderId="4" fillId="7" fontId="17" numFmtId="164" xfId="0" applyAlignment="1" applyBorder="1" applyFont="1" applyNumberFormat="1">
      <alignment vertical="bottom"/>
    </xf>
    <xf borderId="8" fillId="0" fontId="17" numFmtId="0" xfId="0" applyAlignment="1" applyBorder="1" applyFont="1">
      <alignment vertical="bottom"/>
    </xf>
    <xf borderId="8" fillId="0" fontId="17" numFmtId="164" xfId="0" applyAlignment="1" applyBorder="1" applyFont="1" applyNumberFormat="1">
      <alignment vertical="bottom"/>
    </xf>
    <xf borderId="16" fillId="3" fontId="17" numFmtId="0" xfId="0" applyAlignment="1" applyBorder="1" applyFont="1">
      <alignment vertical="bottom"/>
    </xf>
    <xf borderId="16" fillId="9" fontId="1" numFmtId="0" xfId="0" applyAlignment="1" applyBorder="1" applyFont="1">
      <alignment vertical="bottom"/>
    </xf>
    <xf borderId="8" fillId="0" fontId="1" numFmtId="0" xfId="0" applyAlignment="1" applyBorder="1" applyFont="1">
      <alignment horizontal="left" vertical="bottom"/>
    </xf>
    <xf borderId="16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0" fillId="0" fontId="4" numFmtId="0" xfId="0" applyAlignment="1" applyFont="1">
      <alignment vertical="top"/>
    </xf>
    <xf borderId="0" fillId="0" fontId="27" numFmtId="0" xfId="0" applyAlignment="1" applyFont="1">
      <alignment horizontal="center" readingOrder="0" vertical="bottom"/>
    </xf>
    <xf borderId="14" fillId="3" fontId="28" numFmtId="0" xfId="0" applyAlignment="1" applyBorder="1" applyFont="1">
      <alignment vertical="bottom"/>
    </xf>
    <xf borderId="40" fillId="2" fontId="4" numFmtId="0" xfId="0" applyAlignment="1" applyBorder="1" applyFont="1">
      <alignment vertical="bottom"/>
    </xf>
    <xf borderId="41" fillId="0" fontId="5" numFmtId="0" xfId="0" applyAlignment="1" applyBorder="1" applyFont="1">
      <alignment vertical="center"/>
    </xf>
    <xf borderId="42" fillId="0" fontId="5" numFmtId="0" xfId="0" applyAlignment="1" applyBorder="1" applyFont="1">
      <alignment vertical="center"/>
    </xf>
    <xf borderId="43" fillId="12" fontId="14" numFmtId="168" xfId="0" applyAlignment="1" applyBorder="1" applyFill="1" applyFont="1" applyNumberFormat="1">
      <alignment horizontal="center" vertical="top"/>
    </xf>
    <xf borderId="20" fillId="3" fontId="4" numFmtId="168" xfId="0" applyAlignment="1" applyBorder="1" applyFont="1" applyNumberFormat="1">
      <alignment vertical="top"/>
    </xf>
    <xf borderId="39" fillId="13" fontId="14" numFmtId="0" xfId="0" applyAlignment="1" applyBorder="1" applyFill="1" applyFont="1">
      <alignment horizontal="center" vertical="bottom"/>
    </xf>
    <xf borderId="14" fillId="13" fontId="4" numFmtId="0" xfId="0" applyAlignment="1" applyBorder="1" applyFont="1">
      <alignment vertical="top"/>
    </xf>
    <xf borderId="14" fillId="13" fontId="14" numFmtId="0" xfId="0" applyAlignment="1" applyBorder="1" applyFont="1">
      <alignment horizontal="center" vertical="top"/>
    </xf>
    <xf borderId="14" fillId="13" fontId="29" numFmtId="0" xfId="0" applyAlignment="1" applyBorder="1" applyFont="1">
      <alignment horizontal="center" vertical="top"/>
    </xf>
    <xf borderId="44" fillId="13" fontId="29" numFmtId="0" xfId="0" applyAlignment="1" applyBorder="1" applyFont="1">
      <alignment horizontal="center" vertical="top"/>
    </xf>
    <xf borderId="14" fillId="0" fontId="4" numFmtId="0" xfId="0" applyAlignment="1" applyBorder="1" applyFont="1">
      <alignment vertical="top"/>
    </xf>
    <xf borderId="26" fillId="0" fontId="5" numFmtId="0" xfId="0" applyAlignment="1" applyBorder="1" applyFont="1">
      <alignment vertical="center"/>
    </xf>
    <xf borderId="20" fillId="3" fontId="4" numFmtId="0" xfId="0" applyAlignment="1" applyBorder="1" applyFont="1">
      <alignment vertical="top"/>
    </xf>
    <xf borderId="14" fillId="14" fontId="14" numFmtId="0" xfId="0" applyAlignment="1" applyBorder="1" applyFill="1" applyFont="1">
      <alignment horizontal="center" vertical="bottom"/>
    </xf>
    <xf borderId="14" fillId="14" fontId="14" numFmtId="0" xfId="0" applyAlignment="1" applyBorder="1" applyFont="1">
      <alignment vertical="bottom"/>
    </xf>
    <xf borderId="14" fillId="14" fontId="4" numFmtId="0" xfId="0" applyAlignment="1" applyBorder="1" applyFont="1">
      <alignment vertical="bottom"/>
    </xf>
    <xf borderId="14" fillId="14" fontId="29" numFmtId="0" xfId="0" applyAlignment="1" applyBorder="1" applyFont="1">
      <alignment horizontal="center" vertical="bottom"/>
    </xf>
    <xf borderId="14" fillId="14" fontId="30" numFmtId="0" xfId="0" applyAlignment="1" applyBorder="1" applyFont="1">
      <alignment horizontal="center" vertical="bottom"/>
    </xf>
    <xf borderId="14" fillId="0" fontId="30" numFmtId="0" xfId="0" applyAlignment="1" applyBorder="1" applyFont="1">
      <alignment horizontal="center" vertical="bottom"/>
    </xf>
    <xf borderId="14" fillId="15" fontId="14" numFmtId="0" xfId="0" applyAlignment="1" applyBorder="1" applyFill="1" applyFont="1">
      <alignment horizontal="center" vertical="bottom"/>
    </xf>
    <xf borderId="14" fillId="15" fontId="28" numFmtId="0" xfId="0" applyAlignment="1" applyBorder="1" applyFont="1">
      <alignment vertical="bottom"/>
    </xf>
    <xf borderId="14" fillId="15" fontId="4" numFmtId="0" xfId="0" applyAlignment="1" applyBorder="1" applyFont="1">
      <alignment vertical="bottom"/>
    </xf>
    <xf borderId="14" fillId="15" fontId="29" numFmtId="0" xfId="0" applyAlignment="1" applyBorder="1" applyFont="1">
      <alignment horizontal="center" vertical="bottom"/>
    </xf>
    <xf borderId="14" fillId="0" fontId="29" numFmtId="0" xfId="0" applyAlignment="1" applyBorder="1" applyFont="1">
      <alignment horizontal="center" vertical="bottom"/>
    </xf>
    <xf borderId="14" fillId="3" fontId="14" numFmtId="0" xfId="0" applyAlignment="1" applyBorder="1" applyFont="1">
      <alignment horizontal="center" vertical="bottom"/>
    </xf>
    <xf borderId="14" fillId="3" fontId="4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45" fillId="0" fontId="14" numFmtId="0" xfId="0" applyAlignment="1" applyBorder="1" applyFont="1">
      <alignment vertical="top"/>
    </xf>
    <xf borderId="46" fillId="0" fontId="4" numFmtId="0" xfId="0" applyAlignment="1" applyBorder="1" applyFont="1">
      <alignment vertical="top"/>
    </xf>
    <xf borderId="32" fillId="0" fontId="4" numFmtId="0" xfId="0" applyAlignment="1" applyBorder="1" applyFont="1">
      <alignment vertical="bottom"/>
    </xf>
    <xf borderId="46" fillId="0" fontId="14" numFmtId="0" xfId="0" applyAlignment="1" applyBorder="1" applyFont="1">
      <alignment horizontal="center" vertical="bottom"/>
    </xf>
    <xf borderId="46" fillId="0" fontId="5" numFmtId="0" xfId="0" applyAlignment="1" applyBorder="1" applyFont="1">
      <alignment vertical="center"/>
    </xf>
    <xf borderId="47" fillId="0" fontId="5" numFmtId="0" xfId="0" applyAlignment="1" applyBorder="1" applyFont="1">
      <alignment vertical="center"/>
    </xf>
    <xf borderId="48" fillId="0" fontId="14" numFmtId="0" xfId="0" applyAlignment="1" applyBorder="1" applyFont="1">
      <alignment horizontal="center" vertical="top"/>
    </xf>
    <xf borderId="49" fillId="0" fontId="14" numFmtId="0" xfId="0" applyAlignment="1" applyBorder="1" applyFont="1">
      <alignment vertical="top"/>
    </xf>
    <xf borderId="50" fillId="0" fontId="4" numFmtId="0" xfId="0" applyAlignment="1" applyBorder="1" applyFont="1">
      <alignment vertical="bottom"/>
    </xf>
    <xf borderId="50" fillId="0" fontId="5" numFmtId="0" xfId="0" applyAlignment="1" applyBorder="1" applyFont="1">
      <alignment vertical="center"/>
    </xf>
    <xf borderId="49" fillId="0" fontId="5" numFmtId="0" xfId="0" applyAlignment="1" applyBorder="1" applyFont="1">
      <alignment vertical="center"/>
    </xf>
    <xf borderId="51" fillId="0" fontId="14" numFmtId="0" xfId="0" applyAlignment="1" applyBorder="1" applyFont="1">
      <alignment horizontal="center" vertical="top"/>
    </xf>
    <xf borderId="52" fillId="0" fontId="5" numFmtId="0" xfId="0" applyAlignment="1" applyBorder="1" applyFont="1">
      <alignment vertical="center"/>
    </xf>
    <xf borderId="53" fillId="0" fontId="5" numFmtId="0" xfId="0" applyAlignment="1" applyBorder="1" applyFont="1">
      <alignment vertical="center"/>
    </xf>
    <xf borderId="48" fillId="0" fontId="29" numFmtId="0" xfId="0" applyAlignment="1" applyBorder="1" applyFont="1">
      <alignment horizontal="center" vertical="bottom"/>
    </xf>
    <xf borderId="49" fillId="0" fontId="29" numFmtId="0" xfId="0" applyAlignment="1" applyBorder="1" applyFont="1">
      <alignment vertical="bottom"/>
    </xf>
    <xf borderId="54" fillId="0" fontId="5" numFmtId="0" xfId="0" applyAlignment="1" applyBorder="1" applyFont="1">
      <alignment vertical="center"/>
    </xf>
    <xf borderId="55" fillId="0" fontId="5" numFmtId="0" xfId="0" applyAlignment="1" applyBorder="1" applyFont="1">
      <alignment vertical="center"/>
    </xf>
    <xf borderId="48" fillId="0" fontId="14" numFmtId="0" xfId="0" applyAlignment="1" applyBorder="1" applyFont="1">
      <alignment horizontal="center" vertical="bottom"/>
    </xf>
    <xf borderId="56" fillId="0" fontId="5" numFmtId="0" xfId="0" applyAlignment="1" applyBorder="1" applyFont="1">
      <alignment vertical="center"/>
    </xf>
    <xf borderId="0" fillId="0" fontId="14" numFmtId="0" xfId="0" applyAlignment="1" applyFont="1">
      <alignment vertical="bottom"/>
    </xf>
    <xf borderId="57" fillId="13" fontId="14" numFmtId="0" xfId="0" applyAlignment="1" applyBorder="1" applyFont="1">
      <alignment horizontal="center" vertical="bottom"/>
    </xf>
    <xf borderId="58" fillId="0" fontId="15" numFmtId="0" xfId="0" applyAlignment="1" applyBorder="1" applyFont="1">
      <alignment horizontal="center" vertical="bottom"/>
    </xf>
    <xf borderId="58" fillId="0" fontId="5" numFmtId="0" xfId="0" applyAlignment="1" applyBorder="1" applyFont="1">
      <alignment vertical="center"/>
    </xf>
    <xf borderId="59" fillId="0" fontId="5" numFmtId="0" xfId="0" applyAlignment="1" applyBorder="1" applyFont="1">
      <alignment vertical="center"/>
    </xf>
    <xf borderId="48" fillId="0" fontId="15" numFmtId="0" xfId="0" applyAlignment="1" applyBorder="1" applyFont="1">
      <alignment horizontal="right" vertical="bottom"/>
    </xf>
    <xf borderId="49" fillId="0" fontId="15" numFmtId="0" xfId="0" applyAlignment="1" applyBorder="1" applyFont="1">
      <alignment vertical="bottom"/>
    </xf>
    <xf borderId="46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60" fillId="0" fontId="4" numFmtId="0" xfId="0" applyAlignment="1" applyBorder="1" applyFont="1">
      <alignment vertical="bottom"/>
    </xf>
    <xf borderId="61" fillId="0" fontId="5" numFmtId="0" xfId="0" applyAlignment="1" applyBorder="1" applyFont="1">
      <alignment vertical="center"/>
    </xf>
    <xf borderId="62" fillId="0" fontId="5" numFmtId="0" xfId="0" applyAlignment="1" applyBorder="1" applyFont="1">
      <alignment vertical="center"/>
    </xf>
    <xf borderId="63" fillId="0" fontId="5" numFmtId="0" xfId="0" applyAlignment="1" applyBorder="1" applyFont="1">
      <alignment vertical="center"/>
    </xf>
    <xf borderId="48" fillId="0" fontId="4" numFmtId="0" xfId="0" applyAlignment="1" applyBorder="1" applyFont="1">
      <alignment vertical="bottom"/>
    </xf>
    <xf borderId="49" fillId="0" fontId="4" numFmtId="0" xfId="0" applyAlignment="1" applyBorder="1" applyFont="1">
      <alignment vertical="bottom"/>
    </xf>
    <xf borderId="52" fillId="0" fontId="15" numFmtId="0" xfId="0" applyAlignment="1" applyBorder="1" applyFont="1">
      <alignment horizontal="center" vertical="bottom"/>
    </xf>
    <xf borderId="64" fillId="0" fontId="5" numFmtId="0" xfId="0" applyAlignment="1" applyBorder="1" applyFont="1">
      <alignment vertical="center"/>
    </xf>
    <xf borderId="50" fillId="0" fontId="15" numFmtId="0" xfId="0" applyAlignment="1" applyBorder="1" applyFont="1">
      <alignment vertical="bottom"/>
    </xf>
    <xf quotePrefix="1" borderId="65" fillId="0" fontId="15" numFmtId="0" xfId="0" applyAlignment="1" applyBorder="1" applyFont="1">
      <alignment horizontal="center" vertical="bottom"/>
    </xf>
    <xf borderId="66" fillId="0" fontId="5" numFmtId="0" xfId="0" applyAlignment="1" applyBorder="1" applyFont="1">
      <alignment vertical="center"/>
    </xf>
    <xf borderId="67" fillId="0" fontId="5" numFmtId="0" xfId="0" applyAlignment="1" applyBorder="1" applyFont="1">
      <alignment vertical="center"/>
    </xf>
    <xf borderId="68" fillId="0" fontId="5" numFmtId="0" xfId="0" applyAlignment="1" applyBorder="1" applyFont="1">
      <alignment vertical="center"/>
    </xf>
    <xf borderId="46" fillId="0" fontId="4" numFmtId="0" xfId="0" applyAlignment="1" applyBorder="1" applyFont="1">
      <alignment vertical="bottom"/>
    </xf>
    <xf borderId="50" fillId="0" fontId="15" numFmtId="0" xfId="0" applyAlignment="1" applyBorder="1" applyFont="1">
      <alignment horizontal="center" vertical="bottom"/>
    </xf>
    <xf borderId="0" fillId="0" fontId="27" numFmtId="0" xfId="0" applyAlignment="1" applyFont="1">
      <alignment horizontal="center" vertical="bottom"/>
    </xf>
    <xf borderId="69" fillId="13" fontId="4" numFmtId="0" xfId="0" applyAlignment="1" applyBorder="1" applyFont="1">
      <alignment vertical="top"/>
    </xf>
    <xf borderId="14" fillId="15" fontId="14" numFmtId="0" xfId="0" applyAlignment="1" applyBorder="1" applyFont="1">
      <alignment vertical="bottom"/>
    </xf>
    <xf borderId="50" fillId="0" fontId="14" numFmtId="0" xfId="0" applyAlignment="1" applyBorder="1" applyFont="1">
      <alignment vertical="top"/>
    </xf>
    <xf borderId="1" fillId="0" fontId="4" numFmtId="0" xfId="0" applyAlignment="1" applyBorder="1" applyFont="1">
      <alignment vertical="bottom"/>
    </xf>
    <xf borderId="7" fillId="0" fontId="17" numFmtId="0" xfId="0" applyAlignment="1" applyBorder="1" applyFont="1">
      <alignment vertical="bottom"/>
    </xf>
    <xf borderId="7" fillId="0" fontId="20" numFmtId="0" xfId="0" applyAlignment="1" applyBorder="1" applyFont="1">
      <alignment vertical="bottom"/>
    </xf>
    <xf borderId="8" fillId="0" fontId="20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10" fillId="0" fontId="9" numFmtId="0" xfId="0" applyAlignment="1" applyBorder="1" applyFont="1">
      <alignment horizontal="left" vertical="bottom"/>
    </xf>
    <xf borderId="10" fillId="5" fontId="1" numFmtId="0" xfId="0" applyAlignment="1" applyBorder="1" applyFont="1">
      <alignment horizontal="left" vertical="bottom"/>
    </xf>
    <xf borderId="10" fillId="5" fontId="1" numFmtId="0" xfId="0" applyAlignment="1" applyBorder="1" applyFont="1">
      <alignment horizontal="center" vertical="bottom"/>
    </xf>
    <xf borderId="17" fillId="0" fontId="1" numFmtId="0" xfId="0" applyAlignment="1" applyBorder="1" applyFont="1">
      <alignment horizontal="left" vertical="center"/>
    </xf>
    <xf borderId="10" fillId="5" fontId="1" numFmtId="0" xfId="0" applyAlignment="1" applyBorder="1" applyFont="1">
      <alignment horizontal="center" vertical="center"/>
    </xf>
    <xf borderId="10" fillId="9" fontId="1" numFmtId="0" xfId="0" applyAlignment="1" applyBorder="1" applyFont="1">
      <alignment horizontal="center" vertical="bottom"/>
    </xf>
    <xf borderId="39" fillId="0" fontId="14" numFmtId="0" xfId="0" applyAlignment="1" applyBorder="1" applyFont="1">
      <alignment horizontal="center" vertical="bottom"/>
    </xf>
    <xf borderId="10" fillId="6" fontId="1" numFmtId="0" xfId="0" applyAlignment="1" applyBorder="1" applyFont="1">
      <alignment horizontal="center" vertical="bottom"/>
    </xf>
    <xf borderId="1" fillId="7" fontId="1" numFmtId="164" xfId="0" applyAlignment="1" applyBorder="1" applyFont="1" applyNumberFormat="1">
      <alignment horizontal="center" shrinkToFit="0" vertical="center" wrapText="1"/>
    </xf>
    <xf borderId="10" fillId="0" fontId="22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shrinkToFit="0" vertical="center" wrapText="1"/>
    </xf>
    <xf borderId="70" fillId="0" fontId="14" numFmtId="0" xfId="0" applyAlignment="1" applyBorder="1" applyFont="1">
      <alignment vertical="bottom"/>
    </xf>
    <xf borderId="1" fillId="0" fontId="1" numFmtId="0" xfId="0" applyAlignment="1" applyBorder="1" applyFont="1">
      <alignment horizontal="left" vertical="bottom"/>
    </xf>
    <xf borderId="25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76200</xdr:rowOff>
    </xdr:from>
    <xdr:ext cx="1371600" cy="876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133350</xdr:colOff>
      <xdr:row>36</xdr:row>
      <xdr:rowOff>209550</xdr:rowOff>
    </xdr:from>
    <xdr:ext cx="2686050" cy="11430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0</xdr:row>
      <xdr:rowOff>38100</xdr:rowOff>
    </xdr:from>
    <xdr:ext cx="1647825" cy="9525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36</xdr:row>
      <xdr:rowOff>180975</xdr:rowOff>
    </xdr:from>
    <xdr:ext cx="1685925" cy="12001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voila.id" TargetMode="External"/><Relationship Id="rId2" Type="http://schemas.openxmlformats.org/officeDocument/2006/relationships/hyperlink" Target="http://voila.id" TargetMode="External"/><Relationship Id="rId3" Type="http://schemas.openxmlformats.org/officeDocument/2006/relationships/hyperlink" Target="http://voila.id" TargetMode="External"/><Relationship Id="rId4" Type="http://schemas.openxmlformats.org/officeDocument/2006/relationships/hyperlink" Target="http://voila.id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2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8.0"/>
    <col customWidth="1" min="4" max="4" width="17.29"/>
    <col customWidth="1" min="5" max="5" width="11.43"/>
    <col customWidth="1" min="6" max="6" width="8.71"/>
    <col customWidth="1" min="7" max="7" width="15.0"/>
    <col customWidth="1" min="8" max="8" width="11.29"/>
    <col customWidth="1" min="9" max="9" width="7.86"/>
    <col customWidth="1" min="10" max="10" width="18.86"/>
    <col customWidth="1" min="11" max="11" width="11.43"/>
    <col customWidth="1" min="12" max="12" width="7.71"/>
    <col customWidth="1" min="13" max="13" width="17.57"/>
    <col customWidth="1" min="14" max="14" width="11.43"/>
    <col customWidth="1" min="15" max="15" width="7.14"/>
    <col customWidth="1" min="16" max="16" width="17.57"/>
    <col customWidth="1" min="17" max="17" width="11.86"/>
    <col customWidth="1" min="18" max="18" width="6.71"/>
    <col customWidth="1" min="19" max="19" width="11.71"/>
    <col customWidth="1" min="20" max="20" width="10.71"/>
    <col customWidth="1" min="21" max="21" width="5.71"/>
    <col customWidth="1" min="22" max="23" width="8.71"/>
    <col customWidth="1" min="24" max="24" width="19.0"/>
    <col customWidth="1" min="25" max="25" width="12.14"/>
    <col customWidth="1" min="26" max="26" width="14.0"/>
  </cols>
  <sheetData>
    <row r="1" ht="15.0" customHeight="1">
      <c r="A1" s="1" t="s">
        <v>0</v>
      </c>
      <c r="C1" s="2" t="s">
        <v>1</v>
      </c>
      <c r="F1" s="3"/>
      <c r="G1" s="4" t="s">
        <v>2</v>
      </c>
      <c r="Q1" s="3"/>
      <c r="W1" s="5"/>
      <c r="Y1" s="5"/>
    </row>
    <row r="2" ht="15.0" customHeight="1">
      <c r="A2" s="1" t="s">
        <v>3</v>
      </c>
      <c r="C2" s="6" t="s">
        <v>4</v>
      </c>
      <c r="F2" s="3"/>
      <c r="Q2" s="3"/>
      <c r="W2" s="5"/>
      <c r="Y2" s="5"/>
    </row>
    <row r="3" ht="15.0" customHeight="1">
      <c r="A3" s="1" t="s">
        <v>5</v>
      </c>
      <c r="F3" s="3"/>
      <c r="Q3" s="3"/>
      <c r="W3" s="5"/>
      <c r="Y3" s="5"/>
    </row>
    <row r="4" ht="15.0" customHeight="1">
      <c r="A4" s="1" t="s">
        <v>6</v>
      </c>
      <c r="C4" s="7"/>
      <c r="F4" s="3"/>
      <c r="G4" s="4"/>
      <c r="H4" s="4"/>
      <c r="I4" s="4"/>
      <c r="J4" s="4"/>
      <c r="K4" s="4"/>
      <c r="L4" s="4"/>
      <c r="M4" s="8"/>
      <c r="N4" s="4"/>
      <c r="O4" s="4"/>
      <c r="P4" s="4"/>
      <c r="Q4" s="3"/>
      <c r="W4" s="5"/>
      <c r="Y4" s="5"/>
    </row>
    <row r="5">
      <c r="A5" s="9" t="s">
        <v>7</v>
      </c>
      <c r="B5" s="10"/>
      <c r="C5" s="11"/>
      <c r="D5" s="9" t="s">
        <v>8</v>
      </c>
      <c r="E5" s="10"/>
      <c r="F5" s="11"/>
      <c r="G5" s="9" t="s">
        <v>9</v>
      </c>
      <c r="H5" s="10"/>
      <c r="I5" s="11"/>
      <c r="J5" s="9" t="s">
        <v>10</v>
      </c>
      <c r="K5" s="10"/>
      <c r="L5" s="11"/>
      <c r="M5" s="9" t="s">
        <v>11</v>
      </c>
      <c r="N5" s="10"/>
      <c r="O5" s="11"/>
      <c r="P5" s="9" t="s">
        <v>12</v>
      </c>
      <c r="Q5" s="10"/>
      <c r="R5" s="11"/>
      <c r="S5" s="12" t="s">
        <v>13</v>
      </c>
      <c r="T5" s="10"/>
      <c r="U5" s="11"/>
      <c r="W5" s="5"/>
      <c r="Y5" s="5"/>
    </row>
    <row r="6">
      <c r="A6" s="13"/>
      <c r="B6" s="10"/>
      <c r="C6" s="11"/>
      <c r="D6" s="14"/>
      <c r="E6" s="15"/>
      <c r="F6" s="16"/>
      <c r="G6" s="17">
        <v>46113.0</v>
      </c>
      <c r="H6" s="10"/>
      <c r="I6" s="11"/>
      <c r="J6" s="17">
        <v>46114.0</v>
      </c>
      <c r="K6" s="10"/>
      <c r="L6" s="11"/>
      <c r="M6" s="17">
        <v>46115.0</v>
      </c>
      <c r="N6" s="10"/>
      <c r="O6" s="11"/>
      <c r="P6" s="17">
        <v>46116.0</v>
      </c>
      <c r="Q6" s="10"/>
      <c r="R6" s="11"/>
      <c r="S6" s="18">
        <f>P6+1</f>
        <v>46117</v>
      </c>
      <c r="T6" s="15"/>
      <c r="U6" s="16"/>
      <c r="W6" s="5"/>
      <c r="Y6" s="5"/>
    </row>
    <row r="7">
      <c r="A7" s="19"/>
      <c r="B7" s="20"/>
      <c r="C7" s="20"/>
      <c r="D7" s="19"/>
      <c r="E7" s="20"/>
      <c r="F7" s="20"/>
      <c r="G7" s="21"/>
      <c r="H7" s="21"/>
      <c r="I7" s="21"/>
      <c r="J7" s="22"/>
      <c r="K7" s="22"/>
      <c r="L7" s="22"/>
      <c r="M7" s="19"/>
      <c r="N7" s="20"/>
      <c r="O7" s="20"/>
      <c r="P7" s="20"/>
      <c r="Q7" s="23"/>
      <c r="R7" s="20"/>
      <c r="S7" s="24"/>
      <c r="T7" s="24"/>
      <c r="U7" s="24"/>
      <c r="W7" s="5"/>
      <c r="Y7" s="5"/>
    </row>
    <row r="8">
      <c r="A8" s="23"/>
      <c r="B8" s="23"/>
      <c r="C8" s="23"/>
      <c r="D8" s="23"/>
      <c r="E8" s="23"/>
      <c r="F8" s="23"/>
      <c r="G8" s="21"/>
      <c r="H8" s="21"/>
      <c r="I8" s="21"/>
      <c r="J8" s="25" t="s">
        <v>14</v>
      </c>
      <c r="K8" s="25" t="s">
        <v>15</v>
      </c>
      <c r="L8" s="25" t="s">
        <v>16</v>
      </c>
      <c r="M8" s="23"/>
      <c r="N8" s="23"/>
      <c r="O8" s="23"/>
      <c r="P8" s="26" t="s">
        <v>17</v>
      </c>
      <c r="Q8" s="27" t="s">
        <v>18</v>
      </c>
      <c r="R8" s="26" t="s">
        <v>16</v>
      </c>
      <c r="S8" s="24"/>
      <c r="T8" s="24"/>
      <c r="U8" s="24"/>
      <c r="W8" s="5"/>
      <c r="Y8" s="5"/>
    </row>
    <row r="9" ht="15.75" customHeight="1">
      <c r="A9" s="23"/>
      <c r="B9" s="23"/>
      <c r="C9" s="23"/>
      <c r="D9" s="23"/>
      <c r="E9" s="23"/>
      <c r="F9" s="23"/>
      <c r="G9" s="21"/>
      <c r="H9" s="21"/>
      <c r="I9" s="21"/>
      <c r="J9" s="23" t="s">
        <v>19</v>
      </c>
      <c r="K9" s="23" t="s">
        <v>20</v>
      </c>
      <c r="L9" s="23" t="s">
        <v>21</v>
      </c>
      <c r="M9" s="28" t="s">
        <v>22</v>
      </c>
      <c r="N9" s="10"/>
      <c r="O9" s="11"/>
      <c r="P9" s="29" t="s">
        <v>23</v>
      </c>
      <c r="Q9" s="23"/>
      <c r="R9" s="23" t="s">
        <v>16</v>
      </c>
      <c r="S9" s="28" t="s">
        <v>22</v>
      </c>
      <c r="T9" s="10"/>
      <c r="U9" s="11"/>
      <c r="W9" s="30" t="s">
        <v>24</v>
      </c>
      <c r="X9" s="31" t="s">
        <v>25</v>
      </c>
      <c r="Y9" s="32" t="s">
        <v>26</v>
      </c>
    </row>
    <row r="10">
      <c r="A10" s="20"/>
      <c r="B10" s="23"/>
      <c r="C10" s="20"/>
      <c r="D10" s="20"/>
      <c r="E10" s="23"/>
      <c r="F10" s="20"/>
      <c r="G10" s="20" t="s">
        <v>27</v>
      </c>
      <c r="H10" s="20" t="s">
        <v>28</v>
      </c>
      <c r="I10" s="20" t="s">
        <v>16</v>
      </c>
      <c r="J10" s="22"/>
      <c r="K10" s="22"/>
      <c r="L10" s="22"/>
      <c r="M10" s="23"/>
      <c r="N10" s="23"/>
      <c r="O10" s="23"/>
      <c r="P10" s="29"/>
      <c r="Q10" s="26"/>
      <c r="R10" s="26"/>
      <c r="S10" s="24"/>
      <c r="T10" s="24"/>
      <c r="U10" s="24"/>
      <c r="W10" s="33">
        <v>1.0</v>
      </c>
      <c r="X10" s="34" t="s">
        <v>19</v>
      </c>
      <c r="Y10" s="35">
        <f t="shared" ref="Y10:Y38" si="1">COUNTIF($A$5:$U$52,X10)</f>
        <v>8</v>
      </c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 t="s">
        <v>29</v>
      </c>
      <c r="K11" s="36" t="s">
        <v>30</v>
      </c>
      <c r="L11" s="36" t="s">
        <v>21</v>
      </c>
      <c r="M11" s="23"/>
      <c r="N11" s="23"/>
      <c r="O11" s="23"/>
      <c r="P11" s="37" t="s">
        <v>31</v>
      </c>
      <c r="Q11" s="37" t="s">
        <v>32</v>
      </c>
      <c r="R11" s="37" t="s">
        <v>21</v>
      </c>
      <c r="S11" s="24"/>
      <c r="T11" s="24"/>
      <c r="U11" s="24"/>
      <c r="W11" s="33">
        <v>2.0</v>
      </c>
      <c r="X11" s="34" t="s">
        <v>33</v>
      </c>
      <c r="Y11" s="35">
        <f t="shared" si="1"/>
        <v>3</v>
      </c>
    </row>
    <row r="12" ht="15.0" customHeight="1">
      <c r="A12" s="23"/>
      <c r="B12" s="23"/>
      <c r="C12" s="23"/>
      <c r="D12" s="23"/>
      <c r="E12" s="23"/>
      <c r="F12" s="23"/>
      <c r="G12" s="23" t="s">
        <v>34</v>
      </c>
      <c r="H12" s="23" t="s">
        <v>35</v>
      </c>
      <c r="I12" s="23" t="s">
        <v>21</v>
      </c>
      <c r="J12" s="20"/>
      <c r="K12" s="20"/>
      <c r="L12" s="20"/>
      <c r="M12" s="23"/>
      <c r="N12" s="23"/>
      <c r="O12" s="23"/>
      <c r="P12" s="38"/>
      <c r="Q12" s="38"/>
      <c r="R12" s="38"/>
      <c r="S12" s="24"/>
      <c r="T12" s="24"/>
      <c r="U12" s="24"/>
      <c r="W12" s="33">
        <v>3.0</v>
      </c>
      <c r="X12" s="34" t="s">
        <v>36</v>
      </c>
      <c r="Y12" s="35">
        <f t="shared" si="1"/>
        <v>4</v>
      </c>
    </row>
    <row r="13" ht="15.75" customHeight="1">
      <c r="A13" s="39" t="s">
        <v>7</v>
      </c>
      <c r="B13" s="15"/>
      <c r="C13" s="16"/>
      <c r="D13" s="40" t="s">
        <v>8</v>
      </c>
      <c r="E13" s="15"/>
      <c r="F13" s="16"/>
      <c r="G13" s="40" t="s">
        <v>9</v>
      </c>
      <c r="H13" s="15"/>
      <c r="I13" s="16"/>
      <c r="J13" s="40" t="s">
        <v>10</v>
      </c>
      <c r="K13" s="15"/>
      <c r="L13" s="16"/>
      <c r="M13" s="40" t="s">
        <v>11</v>
      </c>
      <c r="N13" s="15"/>
      <c r="O13" s="16"/>
      <c r="P13" s="40" t="s">
        <v>12</v>
      </c>
      <c r="Q13" s="15"/>
      <c r="R13" s="16"/>
      <c r="S13" s="41" t="s">
        <v>13</v>
      </c>
      <c r="T13" s="15"/>
      <c r="U13" s="16"/>
      <c r="W13" s="33">
        <v>4.0</v>
      </c>
      <c r="X13" s="34" t="s">
        <v>37</v>
      </c>
      <c r="Y13" s="35">
        <f t="shared" si="1"/>
        <v>2</v>
      </c>
    </row>
    <row r="14">
      <c r="A14" s="42">
        <f>S6+1</f>
        <v>46118</v>
      </c>
      <c r="B14" s="15"/>
      <c r="C14" s="16"/>
      <c r="D14" s="42">
        <f>A14+1</f>
        <v>46119</v>
      </c>
      <c r="E14" s="15"/>
      <c r="F14" s="16"/>
      <c r="G14" s="42">
        <f>D14+1</f>
        <v>46120</v>
      </c>
      <c r="H14" s="15"/>
      <c r="I14" s="16"/>
      <c r="J14" s="42">
        <f>G14+1</f>
        <v>46121</v>
      </c>
      <c r="K14" s="15"/>
      <c r="L14" s="16"/>
      <c r="M14" s="42">
        <f>J14+1</f>
        <v>46122</v>
      </c>
      <c r="N14" s="15"/>
      <c r="O14" s="16"/>
      <c r="P14" s="42">
        <f>M14+1</f>
        <v>46123</v>
      </c>
      <c r="Q14" s="15"/>
      <c r="R14" s="16"/>
      <c r="S14" s="43">
        <f>P14+1</f>
        <v>46124</v>
      </c>
      <c r="T14" s="15"/>
      <c r="U14" s="16"/>
      <c r="W14" s="33">
        <v>5.0</v>
      </c>
      <c r="X14" s="34" t="s">
        <v>38</v>
      </c>
      <c r="Y14" s="35">
        <f t="shared" si="1"/>
        <v>3</v>
      </c>
    </row>
    <row r="15" ht="15.75" customHeight="1">
      <c r="A15" s="19"/>
      <c r="B15" s="20"/>
      <c r="C15" s="20"/>
      <c r="D15" s="19"/>
      <c r="E15" s="20"/>
      <c r="F15" s="20"/>
      <c r="G15" s="24"/>
      <c r="H15" s="24"/>
      <c r="I15" s="24"/>
      <c r="J15" s="23" t="s">
        <v>39</v>
      </c>
      <c r="K15" s="23" t="s">
        <v>40</v>
      </c>
      <c r="L15" s="23" t="s">
        <v>16</v>
      </c>
      <c r="M15" s="23"/>
      <c r="N15" s="23"/>
      <c r="O15" s="23"/>
      <c r="P15" s="44"/>
      <c r="Q15" s="36"/>
      <c r="R15" s="36"/>
      <c r="S15" s="24"/>
      <c r="T15" s="24"/>
      <c r="U15" s="24"/>
      <c r="W15" s="33">
        <v>6.0</v>
      </c>
      <c r="X15" s="34" t="s">
        <v>41</v>
      </c>
      <c r="Y15" s="35">
        <f t="shared" si="1"/>
        <v>3</v>
      </c>
    </row>
    <row r="16">
      <c r="A16" s="23" t="s">
        <v>42</v>
      </c>
      <c r="B16" s="23"/>
      <c r="C16" s="23" t="s">
        <v>16</v>
      </c>
      <c r="D16" s="45" t="s">
        <v>23</v>
      </c>
      <c r="E16" s="37" t="s">
        <v>28</v>
      </c>
      <c r="F16" s="37" t="s">
        <v>16</v>
      </c>
      <c r="G16" s="23" t="s">
        <v>29</v>
      </c>
      <c r="H16" s="20" t="s">
        <v>43</v>
      </c>
      <c r="I16" s="20" t="s">
        <v>21</v>
      </c>
      <c r="J16" s="23" t="s">
        <v>44</v>
      </c>
      <c r="K16" s="23" t="s">
        <v>32</v>
      </c>
      <c r="L16" s="23" t="s">
        <v>21</v>
      </c>
      <c r="M16" s="23"/>
      <c r="N16" s="46"/>
      <c r="O16" s="23"/>
      <c r="P16" s="44"/>
      <c r="Q16" s="36"/>
      <c r="R16" s="36"/>
      <c r="S16" s="47"/>
      <c r="T16" s="47"/>
      <c r="U16" s="47"/>
      <c r="W16" s="33">
        <v>7.0</v>
      </c>
      <c r="X16" s="34" t="s">
        <v>17</v>
      </c>
      <c r="Y16" s="35">
        <f t="shared" si="1"/>
        <v>2</v>
      </c>
    </row>
    <row r="17" ht="15.75" customHeight="1">
      <c r="A17" s="48" t="s">
        <v>45</v>
      </c>
      <c r="B17" s="36" t="s">
        <v>28</v>
      </c>
      <c r="C17" s="49" t="s">
        <v>21</v>
      </c>
      <c r="D17" s="23" t="s">
        <v>46</v>
      </c>
      <c r="E17" s="23" t="s">
        <v>35</v>
      </c>
      <c r="F17" s="23" t="s">
        <v>21</v>
      </c>
      <c r="G17" s="23" t="s">
        <v>38</v>
      </c>
      <c r="H17" s="23" t="s">
        <v>35</v>
      </c>
      <c r="I17" s="23" t="s">
        <v>47</v>
      </c>
      <c r="J17" s="29"/>
      <c r="K17" s="26"/>
      <c r="L17" s="26"/>
      <c r="M17" s="23" t="s">
        <v>48</v>
      </c>
      <c r="N17" s="23" t="s">
        <v>49</v>
      </c>
      <c r="O17" s="23" t="s">
        <v>21</v>
      </c>
      <c r="P17" s="26"/>
      <c r="Q17" s="27"/>
      <c r="R17" s="26"/>
      <c r="S17" s="50" t="s">
        <v>22</v>
      </c>
      <c r="T17" s="15"/>
      <c r="U17" s="16"/>
      <c r="W17" s="33">
        <v>8.0</v>
      </c>
      <c r="X17" s="34" t="s">
        <v>44</v>
      </c>
      <c r="Y17" s="35">
        <f t="shared" si="1"/>
        <v>2</v>
      </c>
    </row>
    <row r="18" ht="15.75" customHeight="1">
      <c r="A18" s="23" t="s">
        <v>19</v>
      </c>
      <c r="B18" s="23" t="s">
        <v>50</v>
      </c>
      <c r="C18" s="23" t="s">
        <v>21</v>
      </c>
      <c r="D18" s="37" t="s">
        <v>51</v>
      </c>
      <c r="E18" s="37" t="s">
        <v>52</v>
      </c>
      <c r="F18" s="37" t="s">
        <v>21</v>
      </c>
      <c r="G18" s="23" t="s">
        <v>51</v>
      </c>
      <c r="H18" s="36"/>
      <c r="I18" s="36" t="s">
        <v>21</v>
      </c>
      <c r="J18" s="49" t="s">
        <v>37</v>
      </c>
      <c r="K18" s="36" t="s">
        <v>35</v>
      </c>
      <c r="L18" s="49" t="s">
        <v>47</v>
      </c>
      <c r="M18" s="23" t="s">
        <v>41</v>
      </c>
      <c r="N18" s="23" t="s">
        <v>53</v>
      </c>
      <c r="O18" s="23" t="s">
        <v>21</v>
      </c>
      <c r="P18" s="44" t="s">
        <v>23</v>
      </c>
      <c r="Q18" s="36" t="s">
        <v>28</v>
      </c>
      <c r="R18" s="36" t="s">
        <v>16</v>
      </c>
      <c r="S18" s="24"/>
      <c r="T18" s="24"/>
      <c r="U18" s="24"/>
      <c r="W18" s="33">
        <v>9.0</v>
      </c>
      <c r="X18" s="34" t="s">
        <v>54</v>
      </c>
      <c r="Y18" s="35">
        <f t="shared" si="1"/>
        <v>0</v>
      </c>
    </row>
    <row r="19" ht="15.75" customHeight="1">
      <c r="A19" s="23"/>
      <c r="B19" s="23"/>
      <c r="C19" s="23"/>
      <c r="D19" s="37" t="s">
        <v>36</v>
      </c>
      <c r="E19" s="37"/>
      <c r="F19" s="37" t="s">
        <v>21</v>
      </c>
      <c r="G19" s="45" t="s">
        <v>33</v>
      </c>
      <c r="H19" s="37" t="s">
        <v>55</v>
      </c>
      <c r="I19" s="37" t="s">
        <v>21</v>
      </c>
      <c r="J19" s="23" t="s">
        <v>19</v>
      </c>
      <c r="K19" s="23" t="s">
        <v>56</v>
      </c>
      <c r="L19" s="23" t="s">
        <v>57</v>
      </c>
      <c r="M19" s="23" t="s">
        <v>58</v>
      </c>
      <c r="N19" s="26" t="s">
        <v>35</v>
      </c>
      <c r="O19" s="36" t="s">
        <v>21</v>
      </c>
      <c r="P19" s="26" t="s">
        <v>14</v>
      </c>
      <c r="Q19" s="26" t="s">
        <v>43</v>
      </c>
      <c r="R19" s="26" t="s">
        <v>16</v>
      </c>
      <c r="S19" s="24"/>
      <c r="T19" s="24"/>
      <c r="U19" s="24"/>
      <c r="W19" s="33">
        <v>10.0</v>
      </c>
      <c r="X19" s="34" t="s">
        <v>59</v>
      </c>
      <c r="Y19" s="35">
        <f t="shared" si="1"/>
        <v>3</v>
      </c>
    </row>
    <row r="20" ht="15.75" customHeight="1">
      <c r="A20" s="23"/>
      <c r="B20" s="23"/>
      <c r="C20" s="23"/>
      <c r="D20" s="29" t="s">
        <v>33</v>
      </c>
      <c r="E20" s="23"/>
      <c r="F20" s="23" t="s">
        <v>21</v>
      </c>
      <c r="G20" s="36" t="s">
        <v>36</v>
      </c>
      <c r="H20" s="36"/>
      <c r="I20" s="36" t="s">
        <v>21</v>
      </c>
      <c r="J20" s="23"/>
      <c r="K20" s="23"/>
      <c r="L20" s="23"/>
      <c r="M20" s="37" t="s">
        <v>36</v>
      </c>
      <c r="N20" s="37" t="s">
        <v>60</v>
      </c>
      <c r="O20" s="37" t="s">
        <v>21</v>
      </c>
      <c r="P20" s="24"/>
      <c r="Q20" s="24"/>
      <c r="R20" s="24"/>
      <c r="S20" s="24"/>
      <c r="T20" s="24"/>
      <c r="U20" s="24"/>
      <c r="W20" s="33">
        <v>11.0</v>
      </c>
      <c r="X20" s="34" t="s">
        <v>61</v>
      </c>
      <c r="Y20" s="35">
        <f t="shared" si="1"/>
        <v>3</v>
      </c>
    </row>
    <row r="21" ht="16.5" customHeight="1">
      <c r="A21" s="51" t="s">
        <v>7</v>
      </c>
      <c r="B21" s="15"/>
      <c r="C21" s="16"/>
      <c r="D21" s="52" t="s">
        <v>8</v>
      </c>
      <c r="E21" s="15"/>
      <c r="F21" s="16"/>
      <c r="G21" s="52" t="s">
        <v>9</v>
      </c>
      <c r="H21" s="15"/>
      <c r="I21" s="16"/>
      <c r="J21" s="52" t="s">
        <v>10</v>
      </c>
      <c r="K21" s="15"/>
      <c r="L21" s="16"/>
      <c r="M21" s="52" t="s">
        <v>11</v>
      </c>
      <c r="N21" s="15"/>
      <c r="O21" s="16"/>
      <c r="P21" s="52" t="s">
        <v>12</v>
      </c>
      <c r="Q21" s="15"/>
      <c r="R21" s="16"/>
      <c r="S21" s="53" t="s">
        <v>13</v>
      </c>
      <c r="T21" s="15"/>
      <c r="U21" s="16"/>
      <c r="W21" s="33">
        <v>12.0</v>
      </c>
      <c r="X21" s="34" t="s">
        <v>62</v>
      </c>
      <c r="Y21" s="35">
        <f t="shared" si="1"/>
        <v>3</v>
      </c>
    </row>
    <row r="22" ht="15.75" customHeight="1">
      <c r="A22" s="54">
        <f>S14+1</f>
        <v>46125</v>
      </c>
      <c r="B22" s="15"/>
      <c r="C22" s="16"/>
      <c r="D22" s="55">
        <f>A22+1</f>
        <v>46126</v>
      </c>
      <c r="E22" s="15"/>
      <c r="F22" s="16"/>
      <c r="G22" s="55">
        <f>D22+1</f>
        <v>46127</v>
      </c>
      <c r="H22" s="15"/>
      <c r="I22" s="16"/>
      <c r="J22" s="55">
        <f>G22+1</f>
        <v>46128</v>
      </c>
      <c r="K22" s="15"/>
      <c r="L22" s="16"/>
      <c r="M22" s="55">
        <f>J22+1</f>
        <v>46129</v>
      </c>
      <c r="N22" s="15"/>
      <c r="O22" s="16"/>
      <c r="P22" s="55">
        <f>M22+1</f>
        <v>46130</v>
      </c>
      <c r="Q22" s="15"/>
      <c r="R22" s="16"/>
      <c r="S22" s="18">
        <f>P22+1</f>
        <v>46131</v>
      </c>
      <c r="T22" s="15"/>
      <c r="U22" s="16"/>
      <c r="W22" s="33">
        <v>13.0</v>
      </c>
      <c r="X22" s="56" t="s">
        <v>23</v>
      </c>
      <c r="Y22" s="35">
        <f t="shared" si="1"/>
        <v>6</v>
      </c>
    </row>
    <row r="23" ht="15.75" customHeight="1">
      <c r="A23" s="23"/>
      <c r="B23" s="23"/>
      <c r="C23" s="23"/>
      <c r="D23" s="24"/>
      <c r="E23" s="24"/>
      <c r="F23" s="24"/>
      <c r="G23" s="22"/>
      <c r="H23" s="22"/>
      <c r="I23" s="22"/>
      <c r="J23" s="22"/>
      <c r="K23" s="22"/>
      <c r="L23" s="22"/>
      <c r="M23" s="57"/>
      <c r="N23" s="57"/>
      <c r="O23" s="57"/>
      <c r="P23" s="26" t="s">
        <v>17</v>
      </c>
      <c r="Q23" s="27" t="s">
        <v>18</v>
      </c>
      <c r="R23" s="23" t="s">
        <v>16</v>
      </c>
      <c r="S23" s="24"/>
      <c r="T23" s="24"/>
      <c r="U23" s="24"/>
      <c r="W23" s="33">
        <v>14.0</v>
      </c>
      <c r="X23" s="34" t="s">
        <v>63</v>
      </c>
      <c r="Y23" s="35">
        <f t="shared" si="1"/>
        <v>2</v>
      </c>
    </row>
    <row r="24" ht="15.75" customHeight="1">
      <c r="A24" s="23"/>
      <c r="B24" s="23"/>
      <c r="C24" s="23"/>
      <c r="D24" s="24"/>
      <c r="E24" s="24"/>
      <c r="F24" s="24"/>
      <c r="G24" s="22" t="s">
        <v>63</v>
      </c>
      <c r="H24" s="22" t="s">
        <v>64</v>
      </c>
      <c r="I24" s="22" t="s">
        <v>16</v>
      </c>
      <c r="J24" s="23" t="s">
        <v>42</v>
      </c>
      <c r="K24" s="23" t="s">
        <v>15</v>
      </c>
      <c r="L24" s="23" t="s">
        <v>16</v>
      </c>
      <c r="M24" s="26" t="s">
        <v>61</v>
      </c>
      <c r="N24" s="58"/>
      <c r="O24" s="26" t="s">
        <v>21</v>
      </c>
      <c r="P24" s="29"/>
      <c r="Q24" s="26"/>
      <c r="R24" s="26"/>
      <c r="S24" s="47"/>
      <c r="T24" s="47"/>
      <c r="U24" s="47"/>
      <c r="W24" s="33">
        <v>15.0</v>
      </c>
      <c r="X24" s="34" t="s">
        <v>48</v>
      </c>
      <c r="Y24" s="35">
        <f t="shared" si="1"/>
        <v>2</v>
      </c>
    </row>
    <row r="25" ht="15.75" customHeight="1">
      <c r="A25" s="48" t="s">
        <v>45</v>
      </c>
      <c r="B25" s="36" t="s">
        <v>28</v>
      </c>
      <c r="C25" s="49" t="s">
        <v>21</v>
      </c>
      <c r="D25" s="26" t="s">
        <v>19</v>
      </c>
      <c r="E25" s="22" t="s">
        <v>20</v>
      </c>
      <c r="F25" s="22" t="s">
        <v>21</v>
      </c>
      <c r="G25" s="20" t="s">
        <v>27</v>
      </c>
      <c r="H25" s="20" t="s">
        <v>28</v>
      </c>
      <c r="I25" s="20" t="s">
        <v>16</v>
      </c>
      <c r="J25" s="23" t="s">
        <v>19</v>
      </c>
      <c r="K25" s="23" t="s">
        <v>20</v>
      </c>
      <c r="L25" s="23" t="s">
        <v>21</v>
      </c>
      <c r="M25" s="38" t="s">
        <v>59</v>
      </c>
      <c r="N25" s="59"/>
      <c r="O25" s="26" t="s">
        <v>16</v>
      </c>
      <c r="P25" s="44" t="s">
        <v>23</v>
      </c>
      <c r="Q25" s="36"/>
      <c r="R25" s="36" t="s">
        <v>16</v>
      </c>
      <c r="S25" s="50" t="s">
        <v>22</v>
      </c>
      <c r="T25" s="15"/>
      <c r="U25" s="16"/>
      <c r="W25" s="33">
        <v>16.0</v>
      </c>
      <c r="X25" s="34" t="s">
        <v>42</v>
      </c>
      <c r="Y25" s="35">
        <f t="shared" si="1"/>
        <v>2</v>
      </c>
    </row>
    <row r="26" ht="15.75" customHeight="1">
      <c r="A26" s="23" t="s">
        <v>29</v>
      </c>
      <c r="B26" s="23" t="s">
        <v>43</v>
      </c>
      <c r="C26" s="23" t="s">
        <v>21</v>
      </c>
      <c r="D26" s="23"/>
      <c r="E26" s="23"/>
      <c r="F26" s="23"/>
      <c r="G26" s="21"/>
      <c r="H26" s="21"/>
      <c r="I26" s="21"/>
      <c r="J26" s="22"/>
      <c r="K26" s="22"/>
      <c r="L26" s="22"/>
      <c r="M26" s="60" t="s">
        <v>62</v>
      </c>
      <c r="N26" s="61"/>
      <c r="O26" s="60" t="s">
        <v>21</v>
      </c>
      <c r="P26" s="23" t="s">
        <v>38</v>
      </c>
      <c r="Q26" s="23" t="s">
        <v>35</v>
      </c>
      <c r="R26" s="23" t="s">
        <v>47</v>
      </c>
      <c r="S26" s="24"/>
      <c r="T26" s="24"/>
      <c r="U26" s="24"/>
      <c r="W26" s="33">
        <v>17.0</v>
      </c>
      <c r="X26" s="34" t="s">
        <v>27</v>
      </c>
      <c r="Y26" s="35">
        <f t="shared" si="1"/>
        <v>2</v>
      </c>
    </row>
    <row r="27" ht="15.75" customHeight="1">
      <c r="A27" s="23" t="s">
        <v>34</v>
      </c>
      <c r="B27" s="23" t="s">
        <v>35</v>
      </c>
      <c r="C27" s="23" t="s">
        <v>21</v>
      </c>
      <c r="D27" s="44" t="s">
        <v>65</v>
      </c>
      <c r="E27" s="36" t="s">
        <v>66</v>
      </c>
      <c r="F27" s="36" t="s">
        <v>21</v>
      </c>
      <c r="G27" s="23" t="s">
        <v>31</v>
      </c>
      <c r="H27" s="23" t="s">
        <v>32</v>
      </c>
      <c r="I27" s="23" t="s">
        <v>21</v>
      </c>
      <c r="J27" s="22"/>
      <c r="K27" s="22"/>
      <c r="L27" s="22"/>
      <c r="M27" s="45" t="s">
        <v>23</v>
      </c>
      <c r="N27" s="37" t="s">
        <v>67</v>
      </c>
      <c r="O27" s="37" t="s">
        <v>16</v>
      </c>
      <c r="P27" s="38"/>
      <c r="Q27" s="38"/>
      <c r="R27" s="38"/>
      <c r="S27" s="24"/>
      <c r="T27" s="24"/>
      <c r="U27" s="24"/>
      <c r="W27" s="33">
        <v>18.0</v>
      </c>
      <c r="X27" s="34" t="s">
        <v>58</v>
      </c>
      <c r="Y27" s="35">
        <f t="shared" si="1"/>
        <v>2</v>
      </c>
    </row>
    <row r="28" ht="15.75" customHeight="1">
      <c r="A28" s="36"/>
      <c r="B28" s="36"/>
      <c r="C28" s="36"/>
      <c r="D28" s="24"/>
      <c r="E28" s="24"/>
      <c r="F28" s="24"/>
      <c r="G28" s="23"/>
      <c r="H28" s="23"/>
      <c r="I28" s="36"/>
      <c r="J28" s="22"/>
      <c r="K28" s="22"/>
      <c r="L28" s="22"/>
      <c r="M28" s="26"/>
      <c r="N28" s="26"/>
      <c r="O28" s="26"/>
      <c r="P28" s="38"/>
      <c r="Q28" s="38"/>
      <c r="R28" s="38"/>
      <c r="S28" s="24"/>
      <c r="T28" s="24"/>
      <c r="U28" s="24"/>
      <c r="W28" s="33">
        <v>19.0</v>
      </c>
      <c r="X28" s="34" t="s">
        <v>14</v>
      </c>
      <c r="Y28" s="35">
        <f t="shared" si="1"/>
        <v>3</v>
      </c>
    </row>
    <row r="29" ht="15.75" customHeight="1">
      <c r="A29" s="39" t="s">
        <v>7</v>
      </c>
      <c r="B29" s="15"/>
      <c r="C29" s="16"/>
      <c r="D29" s="40" t="s">
        <v>8</v>
      </c>
      <c r="E29" s="15"/>
      <c r="F29" s="16"/>
      <c r="G29" s="40" t="s">
        <v>9</v>
      </c>
      <c r="H29" s="15"/>
      <c r="I29" s="16"/>
      <c r="J29" s="40" t="s">
        <v>10</v>
      </c>
      <c r="K29" s="15"/>
      <c r="L29" s="16"/>
      <c r="M29" s="40" t="s">
        <v>11</v>
      </c>
      <c r="N29" s="15"/>
      <c r="O29" s="16"/>
      <c r="P29" s="40" t="s">
        <v>12</v>
      </c>
      <c r="Q29" s="15"/>
      <c r="R29" s="16"/>
      <c r="S29" s="41" t="s">
        <v>13</v>
      </c>
      <c r="T29" s="15"/>
      <c r="U29" s="16"/>
      <c r="W29" s="33">
        <v>20.0</v>
      </c>
      <c r="X29" s="34" t="s">
        <v>65</v>
      </c>
      <c r="Y29" s="35">
        <f t="shared" si="1"/>
        <v>2</v>
      </c>
    </row>
    <row r="30" ht="15.75" customHeight="1">
      <c r="A30" s="62">
        <f>S22+1</f>
        <v>46132</v>
      </c>
      <c r="B30" s="15"/>
      <c r="C30" s="16"/>
      <c r="D30" s="63">
        <f>A30+1</f>
        <v>46133</v>
      </c>
      <c r="E30" s="15"/>
      <c r="F30" s="16"/>
      <c r="G30" s="63">
        <f>D30+1</f>
        <v>46134</v>
      </c>
      <c r="H30" s="15"/>
      <c r="I30" s="16"/>
      <c r="J30" s="63">
        <f>G30+1</f>
        <v>46135</v>
      </c>
      <c r="K30" s="15"/>
      <c r="L30" s="16"/>
      <c r="M30" s="63">
        <f>J30+1</f>
        <v>46136</v>
      </c>
      <c r="N30" s="15"/>
      <c r="O30" s="16"/>
      <c r="P30" s="63">
        <f>M30+1</f>
        <v>46137</v>
      </c>
      <c r="Q30" s="15"/>
      <c r="R30" s="16"/>
      <c r="S30" s="63">
        <f>P30+1</f>
        <v>46138</v>
      </c>
      <c r="T30" s="15"/>
      <c r="U30" s="16"/>
      <c r="W30" s="33">
        <v>21.0</v>
      </c>
      <c r="X30" s="34" t="s">
        <v>34</v>
      </c>
      <c r="Y30" s="35">
        <f t="shared" si="1"/>
        <v>2</v>
      </c>
    </row>
    <row r="31" ht="15.75" customHeight="1">
      <c r="A31" s="19"/>
      <c r="B31" s="20"/>
      <c r="C31" s="20"/>
      <c r="D31" s="60" t="s">
        <v>61</v>
      </c>
      <c r="E31" s="64" t="s">
        <v>43</v>
      </c>
      <c r="F31" s="60" t="s">
        <v>21</v>
      </c>
      <c r="G31" s="37" t="s">
        <v>39</v>
      </c>
      <c r="H31" s="37" t="s">
        <v>40</v>
      </c>
      <c r="I31" s="37" t="s">
        <v>16</v>
      </c>
      <c r="J31" s="23" t="s">
        <v>39</v>
      </c>
      <c r="K31" s="23"/>
      <c r="L31" s="23" t="s">
        <v>16</v>
      </c>
      <c r="M31" s="23" t="s">
        <v>48</v>
      </c>
      <c r="N31" s="23" t="s">
        <v>49</v>
      </c>
      <c r="O31" s="23" t="s">
        <v>21</v>
      </c>
      <c r="P31" s="44"/>
      <c r="Q31" s="36"/>
      <c r="R31" s="36"/>
      <c r="S31" s="24"/>
      <c r="T31" s="24"/>
      <c r="U31" s="24"/>
      <c r="W31" s="33">
        <v>22.0</v>
      </c>
      <c r="X31" s="34" t="s">
        <v>29</v>
      </c>
      <c r="Y31" s="35">
        <f t="shared" si="1"/>
        <v>5</v>
      </c>
    </row>
    <row r="32" ht="15.75" customHeight="1">
      <c r="A32" s="19"/>
      <c r="B32" s="20"/>
      <c r="C32" s="20"/>
      <c r="D32" s="60" t="s">
        <v>59</v>
      </c>
      <c r="E32" s="59"/>
      <c r="F32" s="60" t="s">
        <v>16</v>
      </c>
      <c r="G32" s="37" t="s">
        <v>29</v>
      </c>
      <c r="H32" s="37" t="s">
        <v>68</v>
      </c>
      <c r="I32" s="65" t="s">
        <v>21</v>
      </c>
      <c r="J32" s="23" t="s">
        <v>44</v>
      </c>
      <c r="K32" s="23" t="s">
        <v>32</v>
      </c>
      <c r="L32" s="23" t="s">
        <v>21</v>
      </c>
      <c r="M32" s="23"/>
      <c r="N32" s="23"/>
      <c r="O32" s="23"/>
      <c r="P32" s="44"/>
      <c r="Q32" s="36"/>
      <c r="R32" s="36"/>
      <c r="S32" s="47"/>
      <c r="T32" s="47"/>
      <c r="U32" s="47"/>
      <c r="W32" s="33">
        <v>23.0</v>
      </c>
      <c r="X32" s="34" t="s">
        <v>69</v>
      </c>
      <c r="Y32" s="35">
        <f t="shared" si="1"/>
        <v>0</v>
      </c>
    </row>
    <row r="33" ht="15.75" customHeight="1">
      <c r="A33" s="23" t="s">
        <v>19</v>
      </c>
      <c r="B33" s="23" t="s">
        <v>20</v>
      </c>
      <c r="C33" s="23" t="s">
        <v>21</v>
      </c>
      <c r="D33" s="60" t="s">
        <v>62</v>
      </c>
      <c r="E33" s="61"/>
      <c r="F33" s="60" t="s">
        <v>21</v>
      </c>
      <c r="G33" s="23" t="s">
        <v>38</v>
      </c>
      <c r="H33" s="23"/>
      <c r="I33" s="23" t="s">
        <v>47</v>
      </c>
      <c r="J33" s="29"/>
      <c r="K33" s="26"/>
      <c r="L33" s="26"/>
      <c r="M33" s="23" t="s">
        <v>41</v>
      </c>
      <c r="N33" s="23" t="s">
        <v>53</v>
      </c>
      <c r="O33" s="23" t="s">
        <v>21</v>
      </c>
      <c r="P33" s="26"/>
      <c r="Q33" s="27"/>
      <c r="R33" s="26"/>
      <c r="S33" s="50" t="s">
        <v>22</v>
      </c>
      <c r="T33" s="15"/>
      <c r="U33" s="16"/>
      <c r="W33" s="33">
        <v>24.0</v>
      </c>
      <c r="X33" s="34" t="s">
        <v>45</v>
      </c>
      <c r="Y33" s="35">
        <f t="shared" si="1"/>
        <v>3</v>
      </c>
    </row>
    <row r="34" ht="15.75" customHeight="1">
      <c r="A34" s="23"/>
      <c r="B34" s="23"/>
      <c r="C34" s="23"/>
      <c r="D34" s="23" t="s">
        <v>51</v>
      </c>
      <c r="E34" s="36" t="s">
        <v>52</v>
      </c>
      <c r="F34" s="36" t="s">
        <v>21</v>
      </c>
      <c r="G34" s="23"/>
      <c r="H34" s="23"/>
      <c r="I34" s="23"/>
      <c r="J34" s="49" t="s">
        <v>37</v>
      </c>
      <c r="K34" s="36" t="s">
        <v>35</v>
      </c>
      <c r="L34" s="49" t="s">
        <v>47</v>
      </c>
      <c r="M34" s="23" t="s">
        <v>58</v>
      </c>
      <c r="N34" s="26" t="s">
        <v>35</v>
      </c>
      <c r="O34" s="36" t="s">
        <v>21</v>
      </c>
      <c r="P34" s="44" t="s">
        <v>23</v>
      </c>
      <c r="Q34" s="36"/>
      <c r="R34" s="36" t="s">
        <v>16</v>
      </c>
      <c r="S34" s="24"/>
      <c r="T34" s="24"/>
      <c r="U34" s="24"/>
      <c r="W34" s="33">
        <v>25.0</v>
      </c>
      <c r="X34" s="34" t="s">
        <v>31</v>
      </c>
      <c r="Y34" s="35">
        <f t="shared" si="1"/>
        <v>2</v>
      </c>
    </row>
    <row r="35" ht="15.75" customHeight="1">
      <c r="A35" s="23" t="s">
        <v>46</v>
      </c>
      <c r="B35" s="23" t="s">
        <v>35</v>
      </c>
      <c r="C35" s="23" t="s">
        <v>21</v>
      </c>
      <c r="D35" s="23" t="s">
        <v>36</v>
      </c>
      <c r="E35" s="23" t="s">
        <v>60</v>
      </c>
      <c r="F35" s="36" t="s">
        <v>57</v>
      </c>
      <c r="G35" s="23"/>
      <c r="H35" s="23"/>
      <c r="I35" s="23"/>
      <c r="J35" s="23" t="s">
        <v>19</v>
      </c>
      <c r="K35" s="23" t="s">
        <v>56</v>
      </c>
      <c r="L35" s="23" t="s">
        <v>57</v>
      </c>
      <c r="M35" s="44"/>
      <c r="N35" s="36"/>
      <c r="O35" s="36"/>
      <c r="P35" s="26" t="s">
        <v>14</v>
      </c>
      <c r="Q35" s="26" t="s">
        <v>43</v>
      </c>
      <c r="R35" s="26" t="s">
        <v>16</v>
      </c>
      <c r="S35" s="24"/>
      <c r="T35" s="24"/>
      <c r="U35" s="24"/>
      <c r="W35" s="33">
        <v>26.0</v>
      </c>
      <c r="X35" s="34" t="s">
        <v>46</v>
      </c>
      <c r="Y35" s="35">
        <f t="shared" si="1"/>
        <v>2</v>
      </c>
    </row>
    <row r="36" ht="15.75" customHeight="1">
      <c r="A36" s="29" t="s">
        <v>33</v>
      </c>
      <c r="B36" s="23" t="s">
        <v>55</v>
      </c>
      <c r="C36" s="23" t="s">
        <v>57</v>
      </c>
      <c r="D36" s="23"/>
      <c r="E36" s="23"/>
      <c r="F36" s="23"/>
      <c r="G36" s="23"/>
      <c r="H36" s="23"/>
      <c r="I36" s="23"/>
      <c r="J36" s="23"/>
      <c r="K36" s="23"/>
      <c r="L36" s="36"/>
      <c r="M36" s="24"/>
      <c r="N36" s="24"/>
      <c r="O36" s="24"/>
      <c r="P36" s="44"/>
      <c r="Q36" s="36"/>
      <c r="R36" s="36"/>
      <c r="S36" s="21"/>
      <c r="T36" s="21"/>
      <c r="U36" s="21"/>
      <c r="W36" s="33">
        <v>27.0</v>
      </c>
      <c r="X36" s="34" t="s">
        <v>51</v>
      </c>
      <c r="Y36" s="35">
        <f t="shared" si="1"/>
        <v>3</v>
      </c>
    </row>
    <row r="37" ht="16.5" customHeight="1">
      <c r="A37" s="51" t="s">
        <v>7</v>
      </c>
      <c r="B37" s="15"/>
      <c r="C37" s="16"/>
      <c r="D37" s="52" t="s">
        <v>8</v>
      </c>
      <c r="E37" s="15"/>
      <c r="F37" s="16"/>
      <c r="G37" s="52" t="s">
        <v>9</v>
      </c>
      <c r="H37" s="15"/>
      <c r="I37" s="16"/>
      <c r="J37" s="52" t="s">
        <v>10</v>
      </c>
      <c r="K37" s="15"/>
      <c r="L37" s="16"/>
      <c r="M37" s="52"/>
      <c r="N37" s="15"/>
      <c r="O37" s="16"/>
      <c r="P37" s="52"/>
      <c r="Q37" s="15"/>
      <c r="R37" s="16"/>
      <c r="S37" s="53"/>
      <c r="T37" s="15"/>
      <c r="U37" s="16"/>
      <c r="W37" s="33">
        <v>28.0</v>
      </c>
      <c r="X37" s="34" t="s">
        <v>70</v>
      </c>
      <c r="Y37" s="35">
        <f t="shared" si="1"/>
        <v>0</v>
      </c>
    </row>
    <row r="38" ht="15.75" customHeight="1">
      <c r="A38" s="54">
        <f>S30+1</f>
        <v>46139</v>
      </c>
      <c r="B38" s="15"/>
      <c r="C38" s="16"/>
      <c r="D38" s="55">
        <f>A38+1</f>
        <v>46140</v>
      </c>
      <c r="E38" s="15"/>
      <c r="F38" s="16"/>
      <c r="G38" s="55">
        <f>D38+1</f>
        <v>46141</v>
      </c>
      <c r="H38" s="15"/>
      <c r="I38" s="16"/>
      <c r="J38" s="55">
        <f>G38+1</f>
        <v>46142</v>
      </c>
      <c r="K38" s="15"/>
      <c r="L38" s="16"/>
      <c r="M38" s="55"/>
      <c r="N38" s="15"/>
      <c r="O38" s="16"/>
      <c r="P38" s="55"/>
      <c r="Q38" s="15"/>
      <c r="R38" s="16"/>
      <c r="S38" s="55"/>
      <c r="T38" s="15"/>
      <c r="U38" s="16"/>
      <c r="V38" s="33">
        <v>29.0</v>
      </c>
      <c r="W38" s="33">
        <v>29.0</v>
      </c>
      <c r="X38" s="34" t="s">
        <v>39</v>
      </c>
      <c r="Y38" s="35">
        <f t="shared" si="1"/>
        <v>3</v>
      </c>
    </row>
    <row r="39" ht="15.75" customHeight="1">
      <c r="A39" s="23"/>
      <c r="B39" s="23"/>
      <c r="C39" s="23"/>
      <c r="D39" s="19"/>
      <c r="E39" s="20"/>
      <c r="F39" s="20"/>
      <c r="G39" s="19"/>
      <c r="H39" s="20"/>
      <c r="I39" s="20"/>
      <c r="J39" s="22"/>
      <c r="K39" s="22"/>
      <c r="L39" s="22"/>
      <c r="M39" s="19"/>
      <c r="N39" s="20"/>
      <c r="O39" s="20"/>
      <c r="P39" s="19"/>
      <c r="Q39" s="20"/>
      <c r="R39" s="20"/>
      <c r="S39" s="24"/>
      <c r="T39" s="24"/>
      <c r="U39" s="24"/>
      <c r="W39" s="33">
        <v>30.0</v>
      </c>
      <c r="X39" s="66"/>
      <c r="Y39" s="35"/>
    </row>
    <row r="40" ht="15.75" customHeight="1">
      <c r="A40" s="23"/>
      <c r="B40" s="23"/>
      <c r="C40" s="23"/>
      <c r="J40" s="22"/>
      <c r="K40" s="22"/>
      <c r="L40" s="22"/>
      <c r="M40" s="19"/>
      <c r="N40" s="20"/>
      <c r="O40" s="20"/>
      <c r="P40" s="19"/>
      <c r="Q40" s="20"/>
      <c r="R40" s="20"/>
      <c r="S40" s="47"/>
      <c r="T40" s="47"/>
      <c r="U40" s="47"/>
      <c r="W40" s="33">
        <v>31.0</v>
      </c>
      <c r="X40" s="66"/>
      <c r="Y40" s="35"/>
    </row>
    <row r="41" ht="15.75" customHeight="1">
      <c r="A41" s="48" t="s">
        <v>45</v>
      </c>
      <c r="B41" s="36" t="s">
        <v>28</v>
      </c>
      <c r="C41" s="49" t="s">
        <v>21</v>
      </c>
      <c r="D41" s="23" t="s">
        <v>19</v>
      </c>
      <c r="E41" s="23" t="s">
        <v>20</v>
      </c>
      <c r="F41" s="23" t="s">
        <v>21</v>
      </c>
      <c r="G41" s="22" t="s">
        <v>63</v>
      </c>
      <c r="H41" s="22" t="s">
        <v>71</v>
      </c>
      <c r="I41" s="22" t="s">
        <v>16</v>
      </c>
      <c r="J41" s="23" t="s">
        <v>61</v>
      </c>
      <c r="K41" s="67"/>
      <c r="L41" s="23" t="s">
        <v>21</v>
      </c>
      <c r="M41" s="19"/>
      <c r="N41" s="20"/>
      <c r="O41" s="20"/>
      <c r="P41" s="19"/>
      <c r="Q41" s="20"/>
      <c r="R41" s="20"/>
      <c r="S41" s="47"/>
      <c r="T41" s="47"/>
      <c r="U41" s="47"/>
      <c r="W41" s="33"/>
      <c r="X41" s="66"/>
      <c r="Y41" s="35"/>
    </row>
    <row r="42" ht="15.75" customHeight="1">
      <c r="A42" s="23" t="s">
        <v>29</v>
      </c>
      <c r="B42" s="23" t="s">
        <v>43</v>
      </c>
      <c r="C42" s="23" t="s">
        <v>21</v>
      </c>
      <c r="D42" s="44" t="s">
        <v>65</v>
      </c>
      <c r="E42" s="36" t="s">
        <v>66</v>
      </c>
      <c r="F42" s="36" t="s">
        <v>21</v>
      </c>
      <c r="G42" s="23" t="s">
        <v>41</v>
      </c>
      <c r="H42" s="23" t="s">
        <v>53</v>
      </c>
      <c r="I42" s="23" t="s">
        <v>21</v>
      </c>
      <c r="J42" s="36" t="s">
        <v>59</v>
      </c>
      <c r="K42" s="68"/>
      <c r="L42" s="23" t="s">
        <v>16</v>
      </c>
      <c r="M42" s="19"/>
      <c r="N42" s="20"/>
      <c r="O42" s="20"/>
      <c r="P42" s="19"/>
      <c r="Q42" s="20"/>
      <c r="R42" s="20"/>
      <c r="S42" s="47"/>
      <c r="T42" s="47"/>
      <c r="U42" s="47"/>
      <c r="W42" s="33"/>
      <c r="X42" s="66"/>
      <c r="Y42" s="35"/>
    </row>
    <row r="43" ht="15.75" customHeight="1">
      <c r="A43" s="23"/>
      <c r="B43" s="23"/>
      <c r="C43" s="23"/>
      <c r="G43" s="19"/>
      <c r="H43" s="20"/>
      <c r="I43" s="20"/>
      <c r="J43" s="45" t="s">
        <v>62</v>
      </c>
      <c r="K43" s="69"/>
      <c r="L43" s="60" t="s">
        <v>21</v>
      </c>
      <c r="M43" s="19"/>
      <c r="N43" s="20"/>
      <c r="O43" s="20"/>
      <c r="P43" s="19"/>
      <c r="Q43" s="20"/>
      <c r="R43" s="20"/>
      <c r="S43" s="24"/>
      <c r="T43" s="24"/>
      <c r="U43" s="24"/>
      <c r="W43" s="33"/>
      <c r="X43" s="66"/>
      <c r="Y43" s="35"/>
    </row>
    <row r="44" ht="15.75" customHeight="1">
      <c r="A44" s="23"/>
      <c r="B44" s="23"/>
      <c r="C44" s="23"/>
      <c r="D44" s="44"/>
      <c r="E44" s="36"/>
      <c r="F44" s="36"/>
      <c r="G44" s="19"/>
      <c r="H44" s="20"/>
      <c r="I44" s="20"/>
      <c r="J44" s="19"/>
      <c r="K44" s="20"/>
      <c r="L44" s="20"/>
      <c r="M44" s="19"/>
      <c r="N44" s="20"/>
      <c r="O44" s="20"/>
      <c r="P44" s="19"/>
      <c r="Q44" s="20"/>
      <c r="R44" s="20"/>
      <c r="S44" s="21"/>
      <c r="T44" s="21"/>
      <c r="U44" s="21"/>
      <c r="W44" s="33"/>
      <c r="Y44" s="5">
        <f>SUM(Y10:Y43)</f>
        <v>77</v>
      </c>
    </row>
    <row r="45" ht="15.75" customHeight="1">
      <c r="A45" s="39"/>
      <c r="B45" s="15"/>
      <c r="C45" s="16"/>
      <c r="D45" s="40"/>
      <c r="E45" s="15"/>
      <c r="F45" s="16"/>
      <c r="G45" s="40"/>
      <c r="H45" s="15"/>
      <c r="I45" s="16"/>
      <c r="J45" s="40"/>
      <c r="K45" s="15"/>
      <c r="L45" s="16"/>
      <c r="M45" s="40"/>
      <c r="N45" s="15"/>
      <c r="O45" s="16"/>
      <c r="P45" s="40"/>
      <c r="Q45" s="15"/>
      <c r="R45" s="16"/>
      <c r="S45" s="41"/>
      <c r="T45" s="15"/>
      <c r="U45" s="16"/>
      <c r="W45" s="5"/>
      <c r="Y45" s="5"/>
    </row>
    <row r="46" ht="15.75" customHeight="1">
      <c r="A46" s="62"/>
      <c r="B46" s="15"/>
      <c r="C46" s="16"/>
      <c r="D46" s="63"/>
      <c r="E46" s="15"/>
      <c r="F46" s="16"/>
      <c r="G46" s="63"/>
      <c r="H46" s="15"/>
      <c r="I46" s="16"/>
      <c r="J46" s="63"/>
      <c r="K46" s="15"/>
      <c r="L46" s="16"/>
      <c r="M46" s="63"/>
      <c r="N46" s="15"/>
      <c r="O46" s="16"/>
      <c r="P46" s="63"/>
      <c r="Q46" s="15"/>
      <c r="R46" s="16"/>
      <c r="S46" s="70"/>
      <c r="T46" s="15"/>
      <c r="U46" s="16"/>
      <c r="W46" s="5"/>
      <c r="Y46" s="5"/>
    </row>
    <row r="47" ht="15.75" customHeight="1">
      <c r="A47" s="19"/>
      <c r="B47" s="20"/>
      <c r="C47" s="20"/>
      <c r="D47" s="22"/>
      <c r="E47" s="22"/>
      <c r="F47" s="22"/>
      <c r="G47" s="22"/>
      <c r="H47" s="22"/>
      <c r="I47" s="22"/>
      <c r="J47" s="36"/>
      <c r="K47" s="36"/>
      <c r="L47" s="36"/>
      <c r="M47" s="44"/>
      <c r="N47" s="36"/>
      <c r="O47" s="36"/>
      <c r="P47" s="24"/>
      <c r="Q47" s="24"/>
      <c r="R47" s="24"/>
      <c r="S47" s="21"/>
      <c r="T47" s="21"/>
      <c r="U47" s="21"/>
      <c r="W47" s="5"/>
      <c r="Y47" s="5"/>
    </row>
    <row r="48" ht="15.75" customHeight="1">
      <c r="A48" s="48"/>
      <c r="B48" s="36"/>
      <c r="C48" s="49"/>
      <c r="D48" s="23"/>
      <c r="E48" s="23"/>
      <c r="F48" s="23"/>
      <c r="G48" s="22"/>
      <c r="H48" s="22"/>
      <c r="I48" s="22"/>
      <c r="J48" s="23"/>
      <c r="K48" s="23"/>
      <c r="L48" s="23"/>
      <c r="M48" s="23"/>
      <c r="N48" s="23"/>
      <c r="O48" s="23"/>
      <c r="P48" s="24"/>
      <c r="Q48" s="24"/>
      <c r="R48" s="24"/>
      <c r="S48" s="24"/>
      <c r="T48" s="24"/>
      <c r="U48" s="24"/>
      <c r="W48" s="5"/>
      <c r="Y48" s="5"/>
    </row>
    <row r="49" ht="15.75" customHeight="1">
      <c r="A49" s="23"/>
      <c r="B49" s="23"/>
      <c r="C49" s="23"/>
      <c r="D49" s="23"/>
      <c r="E49" s="23"/>
      <c r="F49" s="23"/>
      <c r="G49" s="20"/>
      <c r="H49" s="20"/>
      <c r="I49" s="20"/>
      <c r="J49" s="29"/>
      <c r="K49" s="23"/>
      <c r="L49" s="23"/>
      <c r="M49" s="23"/>
      <c r="N49" s="23"/>
      <c r="O49" s="23"/>
      <c r="P49" s="23"/>
      <c r="Q49" s="24"/>
      <c r="R49" s="23"/>
      <c r="S49" s="24"/>
      <c r="T49" s="24"/>
      <c r="U49" s="24"/>
      <c r="W49" s="5"/>
      <c r="Y49" s="5"/>
    </row>
    <row r="50" ht="15.75" customHeight="1">
      <c r="A50" s="23"/>
      <c r="B50" s="23"/>
      <c r="C50" s="23"/>
      <c r="D50" s="44"/>
      <c r="E50" s="36"/>
      <c r="F50" s="36"/>
      <c r="G50" s="23"/>
      <c r="H50" s="23"/>
      <c r="I50" s="23"/>
      <c r="J50" s="29"/>
      <c r="K50" s="23"/>
      <c r="L50" s="23"/>
      <c r="M50" s="23"/>
      <c r="N50" s="23"/>
      <c r="O50" s="23"/>
      <c r="P50" s="23"/>
      <c r="Q50" s="23"/>
      <c r="R50" s="23"/>
      <c r="S50" s="21"/>
      <c r="T50" s="21"/>
      <c r="U50" s="21"/>
      <c r="W50" s="5"/>
      <c r="Y50" s="5"/>
    </row>
    <row r="51" ht="15.75" customHeight="1">
      <c r="A51" s="29"/>
      <c r="B51" s="23"/>
      <c r="C51" s="23"/>
      <c r="D51" s="23"/>
      <c r="E51" s="23"/>
      <c r="F51" s="23"/>
      <c r="G51" s="21"/>
      <c r="H51" s="21"/>
      <c r="I51" s="21"/>
      <c r="J51" s="29"/>
      <c r="K51" s="23"/>
      <c r="L51" s="23"/>
      <c r="M51" s="23"/>
      <c r="N51" s="23"/>
      <c r="O51" s="36"/>
      <c r="P51" s="23"/>
      <c r="Q51" s="23"/>
      <c r="R51" s="36"/>
      <c r="S51" s="24"/>
      <c r="T51" s="24"/>
      <c r="U51" s="24"/>
      <c r="W51" s="5"/>
      <c r="Y51" s="5"/>
    </row>
    <row r="52" ht="15.75" customHeight="1">
      <c r="A52" s="23"/>
      <c r="B52" s="46"/>
      <c r="C52" s="23"/>
      <c r="D52" s="44"/>
      <c r="E52" s="36"/>
      <c r="F52" s="36"/>
      <c r="G52" s="23"/>
      <c r="H52" s="23"/>
      <c r="I52" s="36"/>
      <c r="J52" s="36"/>
      <c r="K52" s="36"/>
      <c r="L52" s="36"/>
      <c r="M52" s="23"/>
      <c r="N52" s="23"/>
      <c r="O52" s="23"/>
      <c r="P52" s="24"/>
      <c r="Q52" s="24"/>
      <c r="R52" s="24"/>
      <c r="S52" s="21"/>
      <c r="T52" s="21"/>
      <c r="U52" s="21"/>
      <c r="W52" s="5"/>
      <c r="Y52" s="5"/>
    </row>
    <row r="53" ht="15.75" customHeight="1">
      <c r="W53" s="5"/>
      <c r="Y53" s="5"/>
    </row>
    <row r="54" ht="15.75" customHeight="1">
      <c r="A54" s="71" t="s">
        <v>72</v>
      </c>
      <c r="B54" s="72"/>
      <c r="W54" s="5"/>
      <c r="Y54" s="5"/>
    </row>
    <row r="55" ht="15.75" customHeight="1">
      <c r="A55" s="73"/>
      <c r="B55" s="26" t="s">
        <v>73</v>
      </c>
      <c r="C55" s="57"/>
      <c r="D55" s="74"/>
      <c r="W55" s="5"/>
      <c r="Y55" s="5"/>
    </row>
    <row r="56" ht="15.75" customHeight="1">
      <c r="A56" s="75"/>
      <c r="B56" s="26" t="s">
        <v>74</v>
      </c>
      <c r="C56" s="57"/>
      <c r="W56" s="5"/>
      <c r="Y56" s="5"/>
    </row>
    <row r="57" ht="15.75" customHeight="1">
      <c r="A57" s="76"/>
      <c r="B57" s="26" t="s">
        <v>75</v>
      </c>
      <c r="C57" s="57"/>
      <c r="J57" s="77" t="s">
        <v>76</v>
      </c>
      <c r="K57" s="77" t="s">
        <v>77</v>
      </c>
      <c r="W57" s="5"/>
      <c r="Y57" s="5"/>
    </row>
    <row r="58" ht="15.75" customHeight="1">
      <c r="A58" s="78"/>
      <c r="B58" s="26" t="s">
        <v>78</v>
      </c>
      <c r="C58" s="57"/>
      <c r="W58" s="5"/>
      <c r="Y58" s="5"/>
    </row>
    <row r="59" ht="15.75" customHeight="1">
      <c r="W59" s="5"/>
      <c r="Y59" s="5"/>
    </row>
    <row r="60" ht="15.75" customHeight="1">
      <c r="W60" s="5"/>
      <c r="Y60" s="5"/>
    </row>
    <row r="61" ht="15.75" customHeight="1">
      <c r="W61" s="5"/>
      <c r="Y61" s="5"/>
    </row>
    <row r="62" ht="15.75" customHeight="1">
      <c r="W62" s="5"/>
      <c r="Y62" s="5"/>
    </row>
    <row r="63" ht="15.75" customHeight="1">
      <c r="W63" s="5"/>
      <c r="Y63" s="5"/>
    </row>
    <row r="64" ht="15.75" customHeight="1">
      <c r="W64" s="5"/>
      <c r="Y64" s="5"/>
    </row>
    <row r="65" ht="15.75" customHeight="1">
      <c r="W65" s="5"/>
      <c r="Y65" s="5"/>
    </row>
    <row r="66" ht="15.75" customHeight="1">
      <c r="W66" s="5"/>
      <c r="Y66" s="5"/>
    </row>
    <row r="67" ht="15.75" customHeight="1">
      <c r="W67" s="5"/>
      <c r="Y67" s="5"/>
    </row>
    <row r="68" ht="15.75" customHeight="1">
      <c r="W68" s="5"/>
      <c r="Y68" s="5"/>
    </row>
    <row r="69" ht="15.75" customHeight="1">
      <c r="W69" s="5"/>
      <c r="Y69" s="5"/>
    </row>
    <row r="70" ht="15.75" customHeight="1">
      <c r="W70" s="5"/>
      <c r="Y70" s="5"/>
    </row>
    <row r="71" ht="15.75" customHeight="1">
      <c r="W71" s="5"/>
      <c r="Y71" s="5"/>
    </row>
    <row r="72" ht="15.75" customHeight="1">
      <c r="W72" s="5"/>
      <c r="Y72" s="5"/>
    </row>
    <row r="73" ht="15.75" customHeight="1">
      <c r="W73" s="5"/>
      <c r="Y73" s="5"/>
    </row>
    <row r="74" ht="15.75" customHeight="1">
      <c r="W74" s="5"/>
      <c r="Y74" s="5"/>
    </row>
    <row r="75" ht="15.75" customHeight="1">
      <c r="W75" s="5"/>
      <c r="Y75" s="5"/>
    </row>
    <row r="76" ht="15.75" customHeight="1">
      <c r="W76" s="5"/>
      <c r="Y76" s="5"/>
    </row>
    <row r="77" ht="15.75" customHeight="1">
      <c r="W77" s="5"/>
      <c r="Y77" s="5"/>
    </row>
    <row r="78" ht="15.75" customHeight="1">
      <c r="W78" s="5"/>
      <c r="Y78" s="5"/>
    </row>
    <row r="79" ht="15.75" customHeight="1">
      <c r="W79" s="5"/>
      <c r="Y79" s="5"/>
    </row>
    <row r="80" ht="15.75" customHeight="1">
      <c r="W80" s="5"/>
      <c r="Y80" s="5"/>
    </row>
    <row r="81" ht="15.75" customHeight="1">
      <c r="W81" s="5"/>
      <c r="Y81" s="5"/>
    </row>
    <row r="82" ht="15.75" customHeight="1">
      <c r="W82" s="5"/>
      <c r="Y82" s="5"/>
    </row>
    <row r="83" ht="15.75" customHeight="1">
      <c r="W83" s="5"/>
      <c r="Y83" s="5"/>
    </row>
    <row r="84" ht="15.75" customHeight="1">
      <c r="W84" s="5"/>
      <c r="Y84" s="5"/>
    </row>
    <row r="85" ht="15.75" customHeight="1">
      <c r="W85" s="5"/>
      <c r="Y85" s="5"/>
    </row>
    <row r="86" ht="15.75" customHeight="1">
      <c r="W86" s="5"/>
      <c r="Y86" s="5"/>
    </row>
    <row r="87" ht="15.75" customHeight="1">
      <c r="W87" s="5"/>
      <c r="Y87" s="5"/>
    </row>
    <row r="88" ht="15.75" customHeight="1">
      <c r="W88" s="5"/>
      <c r="Y88" s="5"/>
    </row>
    <row r="89" ht="15.75" customHeight="1">
      <c r="W89" s="5"/>
      <c r="Y89" s="5"/>
    </row>
    <row r="90" ht="15.75" customHeight="1">
      <c r="W90" s="5"/>
      <c r="Y90" s="5"/>
    </row>
    <row r="91" ht="15.75" customHeight="1">
      <c r="W91" s="5"/>
      <c r="Y91" s="5"/>
    </row>
    <row r="92" ht="15.75" customHeight="1">
      <c r="W92" s="5"/>
      <c r="Y92" s="5"/>
    </row>
    <row r="93" ht="15.75" customHeight="1">
      <c r="W93" s="5"/>
      <c r="Y93" s="5"/>
    </row>
    <row r="94" ht="15.75" customHeight="1">
      <c r="W94" s="5"/>
      <c r="Y94" s="5"/>
    </row>
    <row r="95" ht="15.75" customHeight="1">
      <c r="W95" s="5"/>
      <c r="Y95" s="5"/>
    </row>
    <row r="96" ht="15.75" customHeight="1">
      <c r="W96" s="5"/>
      <c r="Y96" s="5"/>
    </row>
    <row r="97" ht="15.75" customHeight="1">
      <c r="W97" s="5"/>
      <c r="Y97" s="5"/>
    </row>
    <row r="98" ht="15.75" customHeight="1">
      <c r="W98" s="5"/>
      <c r="Y98" s="5"/>
    </row>
    <row r="99" ht="15.75" customHeight="1">
      <c r="W99" s="5"/>
      <c r="Y99" s="5"/>
    </row>
    <row r="100" ht="15.75" customHeight="1">
      <c r="W100" s="5"/>
      <c r="Y100" s="5"/>
    </row>
    <row r="101" ht="15.75" customHeight="1">
      <c r="W101" s="5"/>
      <c r="Y101" s="5"/>
    </row>
    <row r="102" ht="15.75" customHeight="1">
      <c r="W102" s="5"/>
      <c r="Y102" s="5"/>
    </row>
    <row r="103" ht="15.75" customHeight="1">
      <c r="W103" s="5"/>
      <c r="Y103" s="5"/>
    </row>
    <row r="104" ht="15.75" customHeight="1">
      <c r="W104" s="5"/>
      <c r="Y104" s="5"/>
    </row>
    <row r="105" ht="15.75" customHeight="1">
      <c r="W105" s="5"/>
      <c r="Y105" s="5"/>
    </row>
    <row r="106" ht="15.75" customHeight="1">
      <c r="W106" s="5"/>
      <c r="Y106" s="5"/>
    </row>
    <row r="107" ht="15.75" customHeight="1">
      <c r="W107" s="5"/>
      <c r="Y107" s="5"/>
    </row>
    <row r="108" ht="15.75" customHeight="1">
      <c r="W108" s="5"/>
      <c r="Y108" s="5"/>
    </row>
    <row r="109" ht="15.75" customHeight="1">
      <c r="W109" s="5"/>
      <c r="Y109" s="5"/>
    </row>
    <row r="110" ht="15.75" customHeight="1">
      <c r="W110" s="5"/>
      <c r="Y110" s="5"/>
    </row>
    <row r="111" ht="15.75" customHeight="1">
      <c r="W111" s="5"/>
      <c r="Y111" s="5"/>
    </row>
    <row r="112" ht="15.75" customHeight="1">
      <c r="W112" s="5"/>
      <c r="Y112" s="5"/>
    </row>
    <row r="113" ht="15.75" customHeight="1">
      <c r="W113" s="5"/>
      <c r="Y113" s="5"/>
    </row>
    <row r="114" ht="15.75" customHeight="1">
      <c r="W114" s="5"/>
      <c r="Y114" s="5"/>
    </row>
    <row r="115" ht="15.75" customHeight="1">
      <c r="W115" s="5"/>
      <c r="Y115" s="5"/>
    </row>
    <row r="116" ht="15.75" customHeight="1">
      <c r="W116" s="5"/>
      <c r="Y116" s="5"/>
    </row>
    <row r="117" ht="15.75" customHeight="1">
      <c r="W117" s="5"/>
      <c r="Y117" s="5"/>
    </row>
    <row r="118" ht="15.75" customHeight="1">
      <c r="W118" s="5"/>
      <c r="Y118" s="5"/>
    </row>
    <row r="119" ht="15.75" customHeight="1">
      <c r="W119" s="5"/>
      <c r="Y119" s="5"/>
    </row>
    <row r="120" ht="15.75" customHeight="1">
      <c r="W120" s="5"/>
      <c r="Y120" s="5"/>
    </row>
    <row r="121" ht="15.75" customHeight="1">
      <c r="W121" s="5"/>
      <c r="Y121" s="5"/>
    </row>
    <row r="122" ht="15.75" customHeight="1">
      <c r="W122" s="5"/>
      <c r="Y122" s="5"/>
    </row>
    <row r="123" ht="15.75" customHeight="1">
      <c r="W123" s="5"/>
      <c r="Y123" s="5"/>
    </row>
    <row r="124" ht="15.75" customHeight="1">
      <c r="W124" s="5"/>
      <c r="Y124" s="5"/>
    </row>
    <row r="125" ht="15.75" customHeight="1">
      <c r="W125" s="5"/>
      <c r="Y125" s="5"/>
    </row>
    <row r="126" ht="15.75" customHeight="1">
      <c r="W126" s="5"/>
      <c r="Y126" s="5"/>
    </row>
    <row r="127" ht="15.75" customHeight="1">
      <c r="W127" s="5"/>
      <c r="Y127" s="5"/>
    </row>
    <row r="128" ht="15.75" customHeight="1">
      <c r="W128" s="5"/>
      <c r="Y128" s="5"/>
    </row>
    <row r="129" ht="15.75" customHeight="1">
      <c r="W129" s="5"/>
      <c r="Y129" s="5"/>
    </row>
    <row r="130" ht="15.75" customHeight="1">
      <c r="W130" s="5"/>
      <c r="Y130" s="5"/>
    </row>
    <row r="131" ht="15.75" customHeight="1">
      <c r="W131" s="5"/>
      <c r="Y131" s="5"/>
    </row>
    <row r="132" ht="15.75" customHeight="1">
      <c r="W132" s="5"/>
      <c r="Y132" s="5"/>
    </row>
    <row r="133" ht="15.75" customHeight="1">
      <c r="W133" s="5"/>
      <c r="Y133" s="5"/>
    </row>
    <row r="134" ht="15.75" customHeight="1">
      <c r="W134" s="5"/>
      <c r="Y134" s="5"/>
    </row>
    <row r="135" ht="15.75" customHeight="1">
      <c r="W135" s="5"/>
      <c r="Y135" s="5"/>
    </row>
    <row r="136" ht="15.75" customHeight="1">
      <c r="W136" s="5"/>
      <c r="Y136" s="5"/>
    </row>
    <row r="137" ht="15.75" customHeight="1">
      <c r="W137" s="5"/>
      <c r="Y137" s="5"/>
    </row>
    <row r="138" ht="15.75" customHeight="1">
      <c r="W138" s="5"/>
      <c r="Y138" s="5"/>
    </row>
    <row r="139" ht="15.75" customHeight="1">
      <c r="W139" s="5"/>
      <c r="Y139" s="5"/>
    </row>
    <row r="140" ht="15.75" customHeight="1">
      <c r="W140" s="5"/>
      <c r="Y140" s="5"/>
    </row>
    <row r="141" ht="15.75" customHeight="1">
      <c r="W141" s="5"/>
      <c r="Y141" s="5"/>
    </row>
    <row r="142" ht="15.75" customHeight="1">
      <c r="W142" s="5"/>
      <c r="Y142" s="5"/>
    </row>
    <row r="143" ht="15.75" customHeight="1">
      <c r="W143" s="5"/>
      <c r="Y143" s="5"/>
    </row>
    <row r="144" ht="15.75" customHeight="1">
      <c r="W144" s="5"/>
      <c r="Y144" s="5"/>
    </row>
    <row r="145" ht="15.75" customHeight="1">
      <c r="W145" s="5"/>
      <c r="Y145" s="5"/>
    </row>
    <row r="146" ht="15.75" customHeight="1">
      <c r="W146" s="5"/>
      <c r="Y146" s="5"/>
    </row>
    <row r="147" ht="15.75" customHeight="1">
      <c r="W147" s="5"/>
      <c r="Y147" s="5"/>
    </row>
    <row r="148" ht="15.75" customHeight="1">
      <c r="W148" s="5"/>
      <c r="Y148" s="5"/>
    </row>
    <row r="149" ht="15.75" customHeight="1">
      <c r="W149" s="5"/>
      <c r="Y149" s="5"/>
    </row>
    <row r="150" ht="15.75" customHeight="1">
      <c r="W150" s="5"/>
      <c r="Y150" s="5"/>
    </row>
    <row r="151" ht="15.75" customHeight="1">
      <c r="W151" s="5"/>
      <c r="Y151" s="5"/>
    </row>
    <row r="152" ht="15.75" customHeight="1">
      <c r="W152" s="5"/>
      <c r="Y152" s="5"/>
    </row>
    <row r="153" ht="15.75" customHeight="1">
      <c r="W153" s="5"/>
      <c r="Y153" s="5"/>
    </row>
    <row r="154" ht="15.75" customHeight="1">
      <c r="W154" s="5"/>
      <c r="Y154" s="5"/>
    </row>
    <row r="155" ht="15.75" customHeight="1">
      <c r="W155" s="5"/>
      <c r="Y155" s="5"/>
    </row>
    <row r="156" ht="15.75" customHeight="1">
      <c r="W156" s="5"/>
      <c r="Y156" s="5"/>
    </row>
    <row r="157" ht="15.75" customHeight="1">
      <c r="W157" s="5"/>
      <c r="Y157" s="5"/>
    </row>
    <row r="158" ht="15.75" customHeight="1">
      <c r="W158" s="5"/>
      <c r="Y158" s="5"/>
    </row>
    <row r="159" ht="15.75" customHeight="1">
      <c r="W159" s="5"/>
      <c r="Y159" s="5"/>
    </row>
    <row r="160" ht="15.75" customHeight="1">
      <c r="W160" s="5"/>
      <c r="Y160" s="5"/>
    </row>
    <row r="161" ht="15.75" customHeight="1">
      <c r="W161" s="5"/>
      <c r="Y161" s="5"/>
    </row>
    <row r="162" ht="15.75" customHeight="1">
      <c r="W162" s="5"/>
      <c r="Y162" s="5"/>
    </row>
    <row r="163" ht="15.75" customHeight="1">
      <c r="W163" s="5"/>
      <c r="Y163" s="5"/>
    </row>
    <row r="164" ht="15.75" customHeight="1">
      <c r="W164" s="5"/>
      <c r="Y164" s="5"/>
    </row>
    <row r="165" ht="15.75" customHeight="1">
      <c r="W165" s="5"/>
      <c r="Y165" s="5"/>
    </row>
    <row r="166" ht="15.75" customHeight="1">
      <c r="W166" s="5"/>
      <c r="Y166" s="5"/>
    </row>
    <row r="167" ht="15.75" customHeight="1">
      <c r="W167" s="5"/>
      <c r="Y167" s="5"/>
    </row>
    <row r="168" ht="15.75" customHeight="1">
      <c r="W168" s="5"/>
      <c r="Y168" s="5"/>
    </row>
    <row r="169" ht="15.75" customHeight="1">
      <c r="W169" s="5"/>
      <c r="Y169" s="5"/>
    </row>
    <row r="170" ht="15.75" customHeight="1">
      <c r="W170" s="5"/>
      <c r="Y170" s="5"/>
    </row>
    <row r="171" ht="15.75" customHeight="1">
      <c r="W171" s="5"/>
      <c r="Y171" s="5"/>
    </row>
    <row r="172" ht="15.75" customHeight="1">
      <c r="W172" s="5"/>
      <c r="Y172" s="5"/>
    </row>
    <row r="173" ht="15.75" customHeight="1">
      <c r="W173" s="5"/>
      <c r="Y173" s="5"/>
    </row>
    <row r="174" ht="15.75" customHeight="1">
      <c r="W174" s="5"/>
      <c r="Y174" s="5"/>
    </row>
    <row r="175" ht="15.75" customHeight="1">
      <c r="W175" s="5"/>
      <c r="Y175" s="5"/>
    </row>
    <row r="176" ht="15.75" customHeight="1">
      <c r="W176" s="5"/>
      <c r="Y176" s="5"/>
    </row>
    <row r="177" ht="15.75" customHeight="1">
      <c r="W177" s="5"/>
      <c r="Y177" s="5"/>
    </row>
    <row r="178" ht="15.75" customHeight="1">
      <c r="W178" s="5"/>
      <c r="Y178" s="5"/>
    </row>
    <row r="179" ht="15.75" customHeight="1">
      <c r="W179" s="5"/>
      <c r="Y179" s="5"/>
    </row>
    <row r="180" ht="15.75" customHeight="1">
      <c r="W180" s="5"/>
      <c r="Y180" s="5"/>
    </row>
    <row r="181" ht="15.75" customHeight="1">
      <c r="W181" s="5"/>
      <c r="Y181" s="5"/>
    </row>
    <row r="182" ht="15.75" customHeight="1">
      <c r="W182" s="5"/>
      <c r="Y182" s="5"/>
    </row>
    <row r="183" ht="15.75" customHeight="1">
      <c r="W183" s="5"/>
      <c r="Y183" s="5"/>
    </row>
    <row r="184" ht="15.75" customHeight="1">
      <c r="W184" s="5"/>
      <c r="Y184" s="5"/>
    </row>
    <row r="185" ht="15.75" customHeight="1">
      <c r="W185" s="5"/>
      <c r="Y185" s="5"/>
    </row>
    <row r="186" ht="15.75" customHeight="1">
      <c r="W186" s="5"/>
      <c r="Y186" s="5"/>
    </row>
    <row r="187" ht="15.75" customHeight="1">
      <c r="W187" s="5"/>
      <c r="Y187" s="5"/>
    </row>
    <row r="188" ht="15.75" customHeight="1">
      <c r="W188" s="5"/>
      <c r="Y188" s="5"/>
    </row>
    <row r="189" ht="15.75" customHeight="1">
      <c r="W189" s="5"/>
      <c r="Y189" s="5"/>
    </row>
    <row r="190" ht="15.75" customHeight="1">
      <c r="W190" s="5"/>
      <c r="Y190" s="5"/>
    </row>
    <row r="191" ht="15.75" customHeight="1">
      <c r="W191" s="5"/>
      <c r="Y191" s="5"/>
    </row>
    <row r="192" ht="15.75" customHeight="1">
      <c r="W192" s="5"/>
      <c r="Y192" s="5"/>
    </row>
    <row r="193" ht="15.75" customHeight="1">
      <c r="W193" s="5"/>
      <c r="Y193" s="5"/>
    </row>
    <row r="194" ht="15.75" customHeight="1">
      <c r="W194" s="5"/>
      <c r="Y194" s="5"/>
    </row>
    <row r="195" ht="15.75" customHeight="1">
      <c r="W195" s="5"/>
      <c r="Y195" s="5"/>
    </row>
    <row r="196" ht="15.75" customHeight="1">
      <c r="W196" s="5"/>
      <c r="Y196" s="5"/>
    </row>
    <row r="197" ht="15.75" customHeight="1">
      <c r="W197" s="5"/>
      <c r="Y197" s="5"/>
    </row>
    <row r="198" ht="15.75" customHeight="1">
      <c r="W198" s="5"/>
      <c r="Y198" s="5"/>
    </row>
    <row r="199" ht="15.75" customHeight="1">
      <c r="W199" s="5"/>
      <c r="Y199" s="5"/>
    </row>
    <row r="200" ht="15.75" customHeight="1">
      <c r="W200" s="5"/>
      <c r="Y200" s="5"/>
    </row>
    <row r="201" ht="15.75" customHeight="1">
      <c r="W201" s="5"/>
      <c r="Y201" s="5"/>
    </row>
    <row r="202" ht="15.75" customHeight="1">
      <c r="W202" s="5"/>
      <c r="Y202" s="5"/>
    </row>
    <row r="203" ht="15.75" customHeight="1">
      <c r="W203" s="5"/>
      <c r="Y203" s="5"/>
    </row>
    <row r="204" ht="15.75" customHeight="1">
      <c r="W204" s="5"/>
      <c r="Y204" s="5"/>
    </row>
    <row r="205" ht="15.75" customHeight="1">
      <c r="W205" s="5"/>
      <c r="Y205" s="5"/>
    </row>
    <row r="206" ht="15.75" customHeight="1">
      <c r="W206" s="5"/>
      <c r="Y206" s="5"/>
    </row>
    <row r="207" ht="15.75" customHeight="1">
      <c r="W207" s="5"/>
      <c r="Y207" s="5"/>
    </row>
    <row r="208" ht="15.75" customHeight="1">
      <c r="W208" s="5"/>
      <c r="Y208" s="5"/>
    </row>
    <row r="209" ht="15.75" customHeight="1">
      <c r="W209" s="5"/>
      <c r="Y209" s="5"/>
    </row>
    <row r="210" ht="15.75" customHeight="1">
      <c r="W210" s="5"/>
      <c r="Y210" s="5"/>
    </row>
    <row r="211" ht="15.75" customHeight="1">
      <c r="W211" s="5"/>
      <c r="Y211" s="5"/>
    </row>
    <row r="212" ht="15.75" customHeight="1">
      <c r="W212" s="5"/>
      <c r="Y212" s="5"/>
    </row>
    <row r="213" ht="15.75" customHeight="1">
      <c r="W213" s="5"/>
      <c r="Y213" s="5"/>
    </row>
    <row r="214" ht="15.75" customHeight="1">
      <c r="W214" s="5"/>
      <c r="Y214" s="5"/>
    </row>
    <row r="215" ht="15.75" customHeight="1">
      <c r="W215" s="5"/>
      <c r="Y215" s="5"/>
    </row>
    <row r="216" ht="15.75" customHeight="1">
      <c r="W216" s="5"/>
      <c r="Y216" s="5"/>
    </row>
    <row r="217" ht="15.75" customHeight="1">
      <c r="W217" s="5"/>
      <c r="Y217" s="5"/>
    </row>
    <row r="218" ht="15.75" customHeight="1">
      <c r="W218" s="5"/>
      <c r="Y218" s="5"/>
    </row>
    <row r="219" ht="15.75" customHeight="1">
      <c r="W219" s="5"/>
      <c r="Y219" s="5"/>
    </row>
    <row r="220" ht="15.75" customHeight="1">
      <c r="W220" s="5"/>
      <c r="Y220" s="5"/>
    </row>
    <row r="221" ht="15.75" customHeight="1">
      <c r="W221" s="5"/>
      <c r="Y221" s="5"/>
    </row>
    <row r="222" ht="15.75" customHeight="1">
      <c r="W222" s="5"/>
      <c r="Y222" s="5"/>
    </row>
    <row r="223" ht="15.75" customHeight="1">
      <c r="W223" s="5"/>
      <c r="Y223" s="5"/>
    </row>
    <row r="224" ht="15.75" customHeight="1">
      <c r="W224" s="5"/>
      <c r="Y224" s="5"/>
    </row>
    <row r="225" ht="15.75" customHeight="1">
      <c r="W225" s="5"/>
      <c r="Y225" s="5"/>
    </row>
    <row r="226" ht="15.75" customHeight="1">
      <c r="W226" s="5"/>
      <c r="Y226" s="5"/>
    </row>
    <row r="227" ht="15.75" customHeight="1">
      <c r="W227" s="5"/>
      <c r="Y227" s="5"/>
    </row>
    <row r="228" ht="15.75" customHeight="1">
      <c r="W228" s="5"/>
      <c r="Y228" s="5"/>
    </row>
    <row r="229" ht="15.75" customHeight="1">
      <c r="W229" s="5"/>
      <c r="Y229" s="5"/>
    </row>
    <row r="230" ht="15.75" customHeight="1">
      <c r="W230" s="5"/>
      <c r="Y230" s="5"/>
    </row>
    <row r="231" ht="15.75" customHeight="1">
      <c r="W231" s="5"/>
      <c r="Y231" s="5"/>
    </row>
    <row r="232" ht="15.75" customHeight="1">
      <c r="W232" s="5"/>
      <c r="Y232" s="5"/>
    </row>
    <row r="233" ht="15.75" customHeight="1">
      <c r="W233" s="5"/>
      <c r="Y233" s="5"/>
    </row>
    <row r="234" ht="15.75" customHeight="1">
      <c r="W234" s="5"/>
      <c r="Y234" s="5"/>
    </row>
    <row r="235" ht="15.75" customHeight="1">
      <c r="W235" s="5"/>
      <c r="Y235" s="5"/>
    </row>
    <row r="236" ht="15.75" customHeight="1">
      <c r="W236" s="5"/>
      <c r="Y236" s="5"/>
    </row>
    <row r="237" ht="15.75" customHeight="1">
      <c r="W237" s="5"/>
      <c r="Y237" s="5"/>
    </row>
    <row r="238" ht="15.75" customHeight="1">
      <c r="W238" s="5"/>
      <c r="Y238" s="5"/>
    </row>
    <row r="239" ht="15.75" customHeight="1">
      <c r="W239" s="5"/>
      <c r="Y239" s="5"/>
    </row>
    <row r="240" ht="15.75" customHeight="1">
      <c r="W240" s="5"/>
      <c r="Y240" s="5"/>
    </row>
    <row r="241" ht="15.75" customHeight="1">
      <c r="W241" s="5"/>
      <c r="Y241" s="5"/>
    </row>
    <row r="242" ht="15.75" customHeight="1">
      <c r="W242" s="5"/>
      <c r="Y242" s="5"/>
    </row>
    <row r="243" ht="15.75" customHeight="1">
      <c r="W243" s="5"/>
      <c r="Y243" s="5"/>
    </row>
    <row r="244" ht="15.75" customHeight="1">
      <c r="W244" s="5"/>
      <c r="Y244" s="5"/>
    </row>
    <row r="245" ht="15.75" customHeight="1">
      <c r="W245" s="5"/>
      <c r="Y245" s="5"/>
    </row>
    <row r="246" ht="15.75" customHeight="1">
      <c r="W246" s="5"/>
      <c r="Y246" s="5"/>
    </row>
    <row r="247" ht="15.75" customHeight="1">
      <c r="W247" s="5"/>
      <c r="Y247" s="5"/>
    </row>
    <row r="248" ht="15.75" customHeight="1">
      <c r="W248" s="5"/>
      <c r="Y248" s="5"/>
    </row>
    <row r="249" ht="15.75" customHeight="1">
      <c r="W249" s="5"/>
      <c r="Y249" s="5"/>
    </row>
    <row r="250" ht="15.75" customHeight="1">
      <c r="W250" s="5"/>
      <c r="Y250" s="5"/>
    </row>
    <row r="251" ht="15.75" customHeight="1">
      <c r="W251" s="5"/>
      <c r="Y251" s="5"/>
    </row>
    <row r="252" ht="15.75" customHeight="1">
      <c r="W252" s="5"/>
      <c r="Y252" s="5"/>
    </row>
    <row r="253" ht="15.75" customHeight="1">
      <c r="W253" s="5"/>
      <c r="Y253" s="5"/>
    </row>
    <row r="254" ht="15.75" customHeight="1">
      <c r="W254" s="5"/>
      <c r="Y254" s="5"/>
    </row>
    <row r="255" ht="15.75" customHeight="1">
      <c r="W255" s="5"/>
      <c r="Y255" s="5"/>
    </row>
    <row r="256" ht="15.75" customHeight="1">
      <c r="W256" s="5"/>
      <c r="Y256" s="5"/>
    </row>
    <row r="257" ht="15.75" customHeight="1">
      <c r="W257" s="5"/>
      <c r="Y257" s="5"/>
    </row>
    <row r="258" ht="15.75" customHeight="1">
      <c r="W258" s="5"/>
      <c r="Y258" s="5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9:$Y$44"/>
  <mergeCells count="101">
    <mergeCell ref="A21:C21"/>
    <mergeCell ref="A22:C22"/>
    <mergeCell ref="D22:F22"/>
    <mergeCell ref="G22:I22"/>
    <mergeCell ref="J22:L22"/>
    <mergeCell ref="M22:O22"/>
    <mergeCell ref="P22:R22"/>
    <mergeCell ref="S22:U22"/>
    <mergeCell ref="P29:R29"/>
    <mergeCell ref="S29:U29"/>
    <mergeCell ref="M21:O21"/>
    <mergeCell ref="P21:R21"/>
    <mergeCell ref="N24:N26"/>
    <mergeCell ref="S25:U25"/>
    <mergeCell ref="A29:C29"/>
    <mergeCell ref="D29:F29"/>
    <mergeCell ref="G29:I29"/>
    <mergeCell ref="P30:R30"/>
    <mergeCell ref="S30:U30"/>
    <mergeCell ref="S33:U33"/>
    <mergeCell ref="J29:L29"/>
    <mergeCell ref="M29:O29"/>
    <mergeCell ref="D30:F30"/>
    <mergeCell ref="G30:I30"/>
    <mergeCell ref="J30:L30"/>
    <mergeCell ref="M30:O30"/>
    <mergeCell ref="E31:E33"/>
    <mergeCell ref="A30:C30"/>
    <mergeCell ref="D37:F37"/>
    <mergeCell ref="G37:I37"/>
    <mergeCell ref="J37:L37"/>
    <mergeCell ref="M37:O37"/>
    <mergeCell ref="P37:R37"/>
    <mergeCell ref="S37:U37"/>
    <mergeCell ref="A37:C37"/>
    <mergeCell ref="A38:C38"/>
    <mergeCell ref="D38:F38"/>
    <mergeCell ref="G38:I38"/>
    <mergeCell ref="M38:O38"/>
    <mergeCell ref="P38:R38"/>
    <mergeCell ref="S38:U38"/>
    <mergeCell ref="A46:C46"/>
    <mergeCell ref="D46:F46"/>
    <mergeCell ref="G46:I46"/>
    <mergeCell ref="J46:L46"/>
    <mergeCell ref="M46:O46"/>
    <mergeCell ref="B54:D54"/>
    <mergeCell ref="J38:L38"/>
    <mergeCell ref="K41:K43"/>
    <mergeCell ref="A45:C45"/>
    <mergeCell ref="D45:F45"/>
    <mergeCell ref="G45:I45"/>
    <mergeCell ref="J45:L45"/>
    <mergeCell ref="M45:O45"/>
    <mergeCell ref="A1:B1"/>
    <mergeCell ref="C1:E1"/>
    <mergeCell ref="G1:P3"/>
    <mergeCell ref="A2:B2"/>
    <mergeCell ref="C2:E2"/>
    <mergeCell ref="A3:B3"/>
    <mergeCell ref="C4:E4"/>
    <mergeCell ref="A4:B4"/>
    <mergeCell ref="D5:F5"/>
    <mergeCell ref="G5:I5"/>
    <mergeCell ref="J5:L5"/>
    <mergeCell ref="M5:O5"/>
    <mergeCell ref="P5:R5"/>
    <mergeCell ref="S5:U5"/>
    <mergeCell ref="A5:C5"/>
    <mergeCell ref="A6:C6"/>
    <mergeCell ref="D6:F6"/>
    <mergeCell ref="G6:I6"/>
    <mergeCell ref="J6:L6"/>
    <mergeCell ref="P6:R6"/>
    <mergeCell ref="S6:U6"/>
    <mergeCell ref="A13:C13"/>
    <mergeCell ref="A14:C14"/>
    <mergeCell ref="D14:F14"/>
    <mergeCell ref="G14:I14"/>
    <mergeCell ref="J14:L14"/>
    <mergeCell ref="M14:O14"/>
    <mergeCell ref="P14:R14"/>
    <mergeCell ref="S14:U14"/>
    <mergeCell ref="M6:O6"/>
    <mergeCell ref="M9:O9"/>
    <mergeCell ref="S9:U9"/>
    <mergeCell ref="D13:F13"/>
    <mergeCell ref="G13:I13"/>
    <mergeCell ref="J13:L13"/>
    <mergeCell ref="S13:U13"/>
    <mergeCell ref="M13:O13"/>
    <mergeCell ref="P13:R13"/>
    <mergeCell ref="S17:U17"/>
    <mergeCell ref="D21:F21"/>
    <mergeCell ref="G21:I21"/>
    <mergeCell ref="J21:L21"/>
    <mergeCell ref="S21:U21"/>
    <mergeCell ref="P45:R45"/>
    <mergeCell ref="S45:U45"/>
    <mergeCell ref="P46:R46"/>
    <mergeCell ref="S46:U46"/>
  </mergeCells>
  <printOptions horizontalCentered="1" verticalCentered="1"/>
  <pageMargins bottom="0.0" footer="0.0" header="0.0" left="0.0" right="0.0" top="0.0"/>
  <pageSetup fitToHeight="0" paperSize="1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1.43"/>
    <col customWidth="1" min="3" max="3" width="6.57"/>
    <col customWidth="1" min="4" max="4" width="21.57"/>
    <col customWidth="1" min="5" max="5" width="11.71"/>
    <col customWidth="1" min="6" max="6" width="7.57"/>
    <col customWidth="1" min="7" max="7" width="20.71"/>
    <col customWidth="1" min="8" max="8" width="11.71"/>
    <col customWidth="1" min="9" max="9" width="7.86"/>
    <col customWidth="1" min="10" max="10" width="18.29"/>
    <col customWidth="1" min="11" max="11" width="12.43"/>
    <col customWidth="1" min="12" max="12" width="5.57"/>
    <col customWidth="1" min="13" max="13" width="18.29"/>
    <col customWidth="1" min="14" max="14" width="12.29"/>
    <col customWidth="1" min="15" max="15" width="5.57"/>
    <col customWidth="1" min="16" max="16" width="19.86"/>
    <col customWidth="1" min="17" max="17" width="11.43"/>
    <col customWidth="1" min="18" max="18" width="7.71"/>
    <col customWidth="1" min="19" max="19" width="11.29"/>
    <col customWidth="1" min="20" max="20" width="11.57"/>
    <col customWidth="1" min="21" max="21" width="9.86"/>
    <col customWidth="1" min="22" max="23" width="8.71"/>
    <col customWidth="1" min="24" max="24" width="19.71"/>
    <col customWidth="1" min="25" max="25" width="14.29"/>
    <col customWidth="1" min="26" max="26" width="8.71"/>
  </cols>
  <sheetData>
    <row r="1" ht="15.0" customHeight="1">
      <c r="A1" s="1" t="s">
        <v>79</v>
      </c>
      <c r="C1" s="2" t="s">
        <v>80</v>
      </c>
      <c r="F1" s="3"/>
      <c r="G1" s="4" t="s">
        <v>2</v>
      </c>
      <c r="Q1" s="3"/>
    </row>
    <row r="2" ht="15.0" customHeight="1">
      <c r="A2" s="1" t="s">
        <v>3</v>
      </c>
      <c r="C2" s="6" t="s">
        <v>81</v>
      </c>
      <c r="F2" s="3"/>
      <c r="Q2" s="3"/>
    </row>
    <row r="3" ht="15.0" customHeight="1">
      <c r="A3" s="1" t="s">
        <v>5</v>
      </c>
      <c r="C3" s="2" t="s">
        <v>82</v>
      </c>
      <c r="F3" s="3"/>
      <c r="Q3" s="3"/>
    </row>
    <row r="4" ht="15.0" customHeight="1">
      <c r="A4" s="79" t="s">
        <v>6</v>
      </c>
      <c r="B4" s="80"/>
      <c r="C4" s="2" t="s">
        <v>82</v>
      </c>
      <c r="F4" s="3"/>
      <c r="G4" s="3"/>
      <c r="H4" s="3"/>
      <c r="I4" s="3"/>
      <c r="J4" s="3"/>
      <c r="K4" s="3"/>
      <c r="L4" s="3"/>
      <c r="M4" s="3"/>
      <c r="N4" s="3"/>
      <c r="O4" s="81"/>
      <c r="P4" s="82"/>
      <c r="Q4" s="83"/>
    </row>
    <row r="5" ht="15.75" customHeight="1">
      <c r="A5" s="84"/>
      <c r="B5" s="10"/>
      <c r="C5" s="11"/>
      <c r="D5" s="84"/>
      <c r="E5" s="10"/>
      <c r="F5" s="11"/>
      <c r="G5" s="9" t="s">
        <v>9</v>
      </c>
      <c r="H5" s="10"/>
      <c r="I5" s="11"/>
      <c r="J5" s="84" t="s">
        <v>10</v>
      </c>
      <c r="K5" s="10"/>
      <c r="L5" s="11"/>
      <c r="M5" s="84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>
      <c r="A6" s="86"/>
      <c r="B6" s="10"/>
      <c r="C6" s="11"/>
      <c r="D6" s="86"/>
      <c r="E6" s="10"/>
      <c r="F6" s="11"/>
      <c r="G6" s="17">
        <v>46113.0</v>
      </c>
      <c r="H6" s="10"/>
      <c r="I6" s="11"/>
      <c r="J6" s="17">
        <v>46114.0</v>
      </c>
      <c r="K6" s="10"/>
      <c r="L6" s="11"/>
      <c r="M6" s="17">
        <v>46115.0</v>
      </c>
      <c r="N6" s="10"/>
      <c r="O6" s="11"/>
      <c r="P6" s="17">
        <v>46116.0</v>
      </c>
      <c r="Q6" s="10"/>
      <c r="R6" s="11"/>
      <c r="S6" s="17">
        <v>46117.0</v>
      </c>
      <c r="T6" s="10"/>
      <c r="U6" s="11"/>
      <c r="W6" s="77">
        <f>COUNTA(#REF!,#REF!,M13:M26,#REF!,G7:G12,#REF!,#REF!,#REF!,#REF!,P13:P14,S15:S20,P24,M7:M12,#REF!,J7:J12,#REF!,D23:D28,A18:A20,D31:D36,#REF!,J15:J20,P13:P14,#REF!,D39:D44,G17:G36,J31:J36,M29:M38)</f>
        <v>68</v>
      </c>
    </row>
    <row r="7">
      <c r="A7" s="87"/>
      <c r="B7" s="87"/>
      <c r="C7" s="87"/>
      <c r="D7" s="87"/>
      <c r="E7" s="87"/>
      <c r="F7" s="87"/>
      <c r="G7" s="88"/>
      <c r="H7" s="88"/>
      <c r="I7" s="87"/>
      <c r="M7" s="87"/>
      <c r="N7" s="87"/>
      <c r="O7" s="87"/>
      <c r="P7" s="87"/>
      <c r="Q7" s="87"/>
      <c r="R7" s="87"/>
      <c r="S7" s="89"/>
      <c r="T7" s="90"/>
      <c r="U7" s="90"/>
    </row>
    <row r="8">
      <c r="A8" s="88"/>
      <c r="B8" s="88"/>
      <c r="C8" s="88"/>
      <c r="D8" s="88"/>
      <c r="E8" s="88"/>
      <c r="F8" s="88"/>
      <c r="G8" s="91" t="s">
        <v>85</v>
      </c>
      <c r="H8" s="91" t="s">
        <v>86</v>
      </c>
      <c r="I8" s="92" t="s">
        <v>87</v>
      </c>
      <c r="J8" s="88" t="s">
        <v>88</v>
      </c>
      <c r="K8" s="22" t="s">
        <v>40</v>
      </c>
      <c r="L8" s="93" t="s">
        <v>16</v>
      </c>
      <c r="M8" s="88"/>
      <c r="N8" s="88"/>
      <c r="O8" s="88"/>
      <c r="P8" s="87"/>
      <c r="Q8" s="87"/>
      <c r="R8" s="87"/>
      <c r="S8" s="89"/>
      <c r="T8" s="90"/>
      <c r="U8" s="90"/>
    </row>
    <row r="9">
      <c r="A9" s="88"/>
      <c r="B9" s="88"/>
      <c r="C9" s="88"/>
      <c r="D9" s="88"/>
      <c r="E9" s="88"/>
      <c r="F9" s="88"/>
      <c r="G9" s="88"/>
      <c r="H9" s="88"/>
      <c r="I9" s="87"/>
      <c r="J9" s="88"/>
      <c r="K9" s="88"/>
      <c r="L9" s="88"/>
      <c r="M9" s="28" t="s">
        <v>22</v>
      </c>
      <c r="N9" s="10"/>
      <c r="O9" s="11"/>
      <c r="P9" s="84" t="s">
        <v>89</v>
      </c>
      <c r="Q9" s="10"/>
      <c r="R9" s="11"/>
      <c r="S9" s="28" t="s">
        <v>22</v>
      </c>
      <c r="T9" s="10"/>
      <c r="U9" s="11"/>
    </row>
    <row r="10">
      <c r="A10" s="87"/>
      <c r="B10" s="87"/>
      <c r="C10" s="87"/>
      <c r="D10" s="87"/>
      <c r="E10" s="87"/>
      <c r="F10" s="87"/>
      <c r="G10" s="88"/>
      <c r="H10" s="88"/>
      <c r="I10" s="87"/>
      <c r="J10" s="87" t="s">
        <v>90</v>
      </c>
      <c r="K10" s="87" t="s">
        <v>91</v>
      </c>
      <c r="L10" s="87" t="s">
        <v>21</v>
      </c>
      <c r="M10" s="87"/>
      <c r="N10" s="87"/>
      <c r="O10" s="87"/>
      <c r="P10" s="88"/>
      <c r="Q10" s="88"/>
      <c r="R10" s="87"/>
      <c r="S10" s="89"/>
      <c r="T10" s="90"/>
      <c r="U10" s="90"/>
      <c r="W10" s="94" t="s">
        <v>92</v>
      </c>
    </row>
    <row r="11">
      <c r="A11" s="87"/>
      <c r="B11" s="87"/>
      <c r="C11" s="87"/>
      <c r="D11" s="87"/>
      <c r="E11" s="87"/>
      <c r="F11" s="87"/>
      <c r="G11" s="87" t="s">
        <v>93</v>
      </c>
      <c r="H11" s="87" t="s">
        <v>94</v>
      </c>
      <c r="I11" s="87" t="s">
        <v>47</v>
      </c>
      <c r="J11" s="87"/>
      <c r="K11" s="87"/>
      <c r="L11" s="87"/>
      <c r="M11" s="87"/>
      <c r="N11" s="87"/>
      <c r="O11" s="87"/>
      <c r="P11" s="88"/>
      <c r="Q11" s="88"/>
      <c r="R11" s="87"/>
      <c r="S11" s="89"/>
      <c r="T11" s="90"/>
      <c r="U11" s="90"/>
    </row>
    <row r="12">
      <c r="A12" s="88"/>
      <c r="B12" s="88"/>
      <c r="C12" s="88"/>
      <c r="D12" s="88"/>
      <c r="E12" s="88"/>
      <c r="F12" s="88"/>
      <c r="G12" s="87"/>
      <c r="H12" s="87"/>
      <c r="I12" s="87"/>
      <c r="J12" s="88"/>
      <c r="K12" s="88"/>
      <c r="L12" s="88"/>
      <c r="M12" s="88"/>
      <c r="N12" s="88"/>
      <c r="O12" s="88"/>
      <c r="P12" s="95"/>
      <c r="Q12" s="95"/>
      <c r="R12" s="96"/>
      <c r="S12" s="89"/>
      <c r="T12" s="90"/>
      <c r="U12" s="90"/>
    </row>
    <row r="13" ht="15.75" customHeight="1">
      <c r="A13" s="97" t="s">
        <v>7</v>
      </c>
      <c r="B13" s="10"/>
      <c r="C13" s="11"/>
      <c r="D13" s="97" t="s">
        <v>8</v>
      </c>
      <c r="E13" s="10"/>
      <c r="F13" s="11"/>
      <c r="G13" s="97" t="s">
        <v>9</v>
      </c>
      <c r="H13" s="10"/>
      <c r="I13" s="11"/>
      <c r="J13" s="97" t="s">
        <v>10</v>
      </c>
      <c r="K13" s="10"/>
      <c r="L13" s="11"/>
      <c r="M13" s="97" t="s">
        <v>95</v>
      </c>
      <c r="N13" s="10"/>
      <c r="O13" s="11"/>
      <c r="P13" s="97" t="s">
        <v>83</v>
      </c>
      <c r="Q13" s="10"/>
      <c r="R13" s="11"/>
      <c r="S13" s="98" t="s">
        <v>13</v>
      </c>
      <c r="T13" s="10"/>
      <c r="U13" s="11"/>
    </row>
    <row r="14">
      <c r="A14" s="99">
        <f>S6+1</f>
        <v>46118</v>
      </c>
      <c r="B14" s="10"/>
      <c r="C14" s="11"/>
      <c r="D14" s="99">
        <f>A14+1</f>
        <v>46119</v>
      </c>
      <c r="E14" s="10"/>
      <c r="F14" s="11"/>
      <c r="G14" s="99">
        <f>D14+1</f>
        <v>46120</v>
      </c>
      <c r="H14" s="10"/>
      <c r="I14" s="11"/>
      <c r="J14" s="99">
        <f>G14+1</f>
        <v>46121</v>
      </c>
      <c r="K14" s="10"/>
      <c r="L14" s="11"/>
      <c r="M14" s="99">
        <f>J14+1</f>
        <v>46122</v>
      </c>
      <c r="N14" s="10"/>
      <c r="O14" s="11"/>
      <c r="P14" s="99">
        <f>M14+1</f>
        <v>46123</v>
      </c>
      <c r="Q14" s="10"/>
      <c r="R14" s="11"/>
      <c r="S14" s="100">
        <f>P14+1</f>
        <v>46124</v>
      </c>
      <c r="T14" s="10"/>
      <c r="U14" s="11"/>
      <c r="W14" s="34" t="s">
        <v>24</v>
      </c>
      <c r="X14" s="34" t="s">
        <v>25</v>
      </c>
      <c r="Y14" s="34" t="s">
        <v>26</v>
      </c>
    </row>
    <row r="15">
      <c r="A15" s="87"/>
      <c r="B15" s="87"/>
      <c r="C15" s="87"/>
      <c r="D15" s="88"/>
      <c r="E15" s="88"/>
      <c r="F15" s="87"/>
      <c r="G15" s="101" t="s">
        <v>96</v>
      </c>
      <c r="H15" s="101" t="s">
        <v>97</v>
      </c>
      <c r="I15" s="102" t="s">
        <v>21</v>
      </c>
      <c r="J15" s="88"/>
      <c r="K15" s="88"/>
      <c r="L15" s="88"/>
      <c r="M15" s="87"/>
      <c r="N15" s="87"/>
      <c r="O15" s="87"/>
      <c r="P15" s="87"/>
      <c r="Q15" s="87"/>
      <c r="R15" s="87"/>
      <c r="S15" s="87"/>
      <c r="T15" s="87"/>
      <c r="U15" s="87"/>
      <c r="W15" s="103">
        <v>1.0</v>
      </c>
      <c r="X15" s="104" t="s">
        <v>98</v>
      </c>
      <c r="Y15" s="103">
        <f t="shared" ref="Y15:Y42" si="1">COUNTIF($A$5:$U$52,X15)</f>
        <v>5</v>
      </c>
    </row>
    <row r="16">
      <c r="A16" s="88"/>
      <c r="B16" s="88"/>
      <c r="C16" s="88"/>
      <c r="D16" s="105"/>
      <c r="E16" s="105"/>
      <c r="F16" s="105"/>
      <c r="G16" s="101" t="s">
        <v>98</v>
      </c>
      <c r="H16" s="101" t="s">
        <v>99</v>
      </c>
      <c r="I16" s="102" t="s">
        <v>21</v>
      </c>
      <c r="J16" s="87" t="s">
        <v>100</v>
      </c>
      <c r="K16" s="87" t="s">
        <v>28</v>
      </c>
      <c r="L16" s="88" t="s">
        <v>16</v>
      </c>
      <c r="M16" s="87"/>
      <c r="N16" s="87"/>
      <c r="O16" s="87"/>
      <c r="P16" s="88" t="s">
        <v>88</v>
      </c>
      <c r="Q16" s="22" t="s">
        <v>40</v>
      </c>
      <c r="R16" s="93" t="s">
        <v>16</v>
      </c>
      <c r="S16" s="88"/>
      <c r="T16" s="88"/>
      <c r="U16" s="88"/>
      <c r="W16" s="103">
        <v>2.0</v>
      </c>
      <c r="X16" s="104" t="s">
        <v>96</v>
      </c>
      <c r="Y16" s="103">
        <f t="shared" si="1"/>
        <v>5</v>
      </c>
    </row>
    <row r="17">
      <c r="A17" s="96" t="s">
        <v>96</v>
      </c>
      <c r="B17" s="96" t="s">
        <v>0</v>
      </c>
      <c r="C17" s="106" t="s">
        <v>21</v>
      </c>
      <c r="D17" s="38" t="s">
        <v>101</v>
      </c>
      <c r="E17" s="38" t="s">
        <v>43</v>
      </c>
      <c r="F17" s="87" t="s">
        <v>16</v>
      </c>
      <c r="G17" s="87" t="s">
        <v>102</v>
      </c>
      <c r="H17" s="87" t="s">
        <v>67</v>
      </c>
      <c r="I17" s="87" t="s">
        <v>16</v>
      </c>
      <c r="J17" s="107" t="s">
        <v>103</v>
      </c>
      <c r="K17" s="107" t="s">
        <v>32</v>
      </c>
      <c r="L17" s="107" t="s">
        <v>16</v>
      </c>
      <c r="M17" s="26"/>
      <c r="N17" s="26"/>
      <c r="O17" s="108"/>
      <c r="P17" s="88" t="s">
        <v>104</v>
      </c>
      <c r="Q17" s="87" t="s">
        <v>35</v>
      </c>
      <c r="R17" s="87" t="s">
        <v>47</v>
      </c>
      <c r="S17" s="28" t="s">
        <v>22</v>
      </c>
      <c r="T17" s="10"/>
      <c r="U17" s="11"/>
      <c r="W17" s="103">
        <v>3.0</v>
      </c>
      <c r="X17" s="104" t="s">
        <v>105</v>
      </c>
      <c r="Y17" s="103">
        <f t="shared" si="1"/>
        <v>2</v>
      </c>
    </row>
    <row r="18">
      <c r="A18" s="96" t="s">
        <v>98</v>
      </c>
      <c r="B18" s="96"/>
      <c r="C18" s="106" t="s">
        <v>21</v>
      </c>
      <c r="D18" s="87" t="s">
        <v>106</v>
      </c>
      <c r="E18" s="87" t="s">
        <v>107</v>
      </c>
      <c r="F18" s="87" t="s">
        <v>21</v>
      </c>
      <c r="G18" s="109" t="s">
        <v>108</v>
      </c>
      <c r="H18" s="88" t="s">
        <v>109</v>
      </c>
      <c r="I18" s="38" t="s">
        <v>16</v>
      </c>
      <c r="J18" s="96"/>
      <c r="K18" s="96"/>
      <c r="L18" s="110"/>
      <c r="M18" s="91" t="s">
        <v>85</v>
      </c>
      <c r="N18" s="91" t="s">
        <v>66</v>
      </c>
      <c r="O18" s="92" t="s">
        <v>21</v>
      </c>
      <c r="P18" s="88"/>
      <c r="Q18" s="87"/>
      <c r="R18" s="87"/>
      <c r="S18" s="87"/>
      <c r="T18" s="87"/>
      <c r="U18" s="87"/>
      <c r="W18" s="103">
        <v>4.0</v>
      </c>
      <c r="X18" s="111" t="s">
        <v>110</v>
      </c>
      <c r="Y18" s="103">
        <f t="shared" si="1"/>
        <v>2</v>
      </c>
    </row>
    <row r="19">
      <c r="A19" s="87" t="s">
        <v>103</v>
      </c>
      <c r="B19" s="87"/>
      <c r="C19" s="112" t="s">
        <v>16</v>
      </c>
      <c r="D19" s="96" t="s">
        <v>111</v>
      </c>
      <c r="E19" s="96"/>
      <c r="F19" s="96" t="s">
        <v>21</v>
      </c>
      <c r="G19" s="113" t="s">
        <v>112</v>
      </c>
      <c r="H19" s="113" t="s">
        <v>18</v>
      </c>
      <c r="I19" s="113" t="s">
        <v>16</v>
      </c>
      <c r="J19" s="87" t="s">
        <v>113</v>
      </c>
      <c r="K19" s="87" t="s">
        <v>49</v>
      </c>
      <c r="L19" s="87" t="s">
        <v>21</v>
      </c>
      <c r="M19" s="88" t="s">
        <v>105</v>
      </c>
      <c r="N19" s="88" t="s">
        <v>114</v>
      </c>
      <c r="O19" s="93" t="s">
        <v>47</v>
      </c>
      <c r="P19" s="88"/>
      <c r="Q19" s="87"/>
      <c r="R19" s="87"/>
      <c r="S19" s="87"/>
      <c r="T19" s="87"/>
      <c r="U19" s="87"/>
      <c r="W19" s="103">
        <v>5.0</v>
      </c>
      <c r="X19" s="111" t="s">
        <v>108</v>
      </c>
      <c r="Y19" s="103">
        <f t="shared" si="1"/>
        <v>2</v>
      </c>
      <c r="Z19" s="77"/>
    </row>
    <row r="20">
      <c r="A20" s="101" t="s">
        <v>111</v>
      </c>
      <c r="B20" s="101" t="s">
        <v>115</v>
      </c>
      <c r="C20" s="101" t="s">
        <v>21</v>
      </c>
      <c r="D20" s="114"/>
      <c r="E20" s="114"/>
      <c r="F20" s="114"/>
      <c r="G20" s="115" t="s">
        <v>116</v>
      </c>
      <c r="H20" s="116" t="s">
        <v>67</v>
      </c>
      <c r="I20" s="117" t="s">
        <v>16</v>
      </c>
      <c r="J20" s="87" t="s">
        <v>117</v>
      </c>
      <c r="K20" s="87" t="s">
        <v>115</v>
      </c>
      <c r="L20" s="87" t="s">
        <v>21</v>
      </c>
      <c r="M20" s="88"/>
      <c r="N20" s="88"/>
      <c r="O20" s="87"/>
      <c r="P20" s="96"/>
      <c r="Q20" s="109"/>
      <c r="R20" s="118"/>
      <c r="S20" s="88"/>
      <c r="T20" s="88"/>
      <c r="U20" s="88"/>
      <c r="W20" s="103">
        <v>6.0</v>
      </c>
      <c r="X20" s="111" t="s">
        <v>88</v>
      </c>
      <c r="Y20" s="103">
        <f t="shared" si="1"/>
        <v>4</v>
      </c>
    </row>
    <row r="21" ht="15.75" customHeight="1">
      <c r="A21" s="84" t="s">
        <v>118</v>
      </c>
      <c r="B21" s="10"/>
      <c r="C21" s="11"/>
      <c r="D21" s="84" t="s">
        <v>8</v>
      </c>
      <c r="E21" s="10"/>
      <c r="F21" s="11"/>
      <c r="G21" s="84" t="s">
        <v>119</v>
      </c>
      <c r="H21" s="10"/>
      <c r="I21" s="11"/>
      <c r="J21" s="119" t="s">
        <v>10</v>
      </c>
      <c r="K21" s="10"/>
      <c r="L21" s="11"/>
      <c r="M21" s="84" t="s">
        <v>11</v>
      </c>
      <c r="N21" s="10"/>
      <c r="O21" s="11"/>
      <c r="P21" s="84" t="s">
        <v>83</v>
      </c>
      <c r="Q21" s="10"/>
      <c r="R21" s="11"/>
      <c r="S21" s="85" t="s">
        <v>84</v>
      </c>
      <c r="T21" s="10"/>
      <c r="U21" s="11"/>
      <c r="W21" s="103">
        <v>7.0</v>
      </c>
      <c r="X21" s="120" t="s">
        <v>120</v>
      </c>
      <c r="Y21" s="103">
        <f t="shared" si="1"/>
        <v>2</v>
      </c>
    </row>
    <row r="22" ht="15.75" customHeight="1">
      <c r="A22" s="86">
        <f>S14+1</f>
        <v>46125</v>
      </c>
      <c r="B22" s="10"/>
      <c r="C22" s="11"/>
      <c r="D22" s="86">
        <f>A22+1</f>
        <v>46126</v>
      </c>
      <c r="E22" s="10"/>
      <c r="F22" s="11"/>
      <c r="G22" s="86">
        <f>D22+1</f>
        <v>46127</v>
      </c>
      <c r="H22" s="10"/>
      <c r="I22" s="11"/>
      <c r="J22" s="121">
        <f>G22+1</f>
        <v>46128</v>
      </c>
      <c r="K22" s="10"/>
      <c r="L22" s="11"/>
      <c r="M22" s="86">
        <f>J22+1</f>
        <v>46129</v>
      </c>
      <c r="N22" s="10"/>
      <c r="O22" s="11"/>
      <c r="P22" s="86">
        <f>M22+1</f>
        <v>46130</v>
      </c>
      <c r="Q22" s="10"/>
      <c r="R22" s="11"/>
      <c r="S22" s="122">
        <f>P22+1</f>
        <v>46131</v>
      </c>
      <c r="T22" s="10"/>
      <c r="U22" s="11"/>
      <c r="W22" s="103">
        <v>8.0</v>
      </c>
      <c r="X22" s="111" t="s">
        <v>116</v>
      </c>
      <c r="Y22" s="103">
        <f t="shared" si="1"/>
        <v>2</v>
      </c>
    </row>
    <row r="23" ht="15.75" customHeight="1">
      <c r="A23" s="88" t="s">
        <v>96</v>
      </c>
      <c r="B23" s="88" t="s">
        <v>97</v>
      </c>
      <c r="C23" s="88" t="s">
        <v>21</v>
      </c>
      <c r="D23" s="95"/>
      <c r="E23" s="95"/>
      <c r="F23" s="95"/>
      <c r="G23" s="123"/>
      <c r="H23" s="114"/>
      <c r="I23" s="124"/>
      <c r="J23" s="88"/>
      <c r="K23" s="96"/>
      <c r="L23" s="110"/>
      <c r="M23" s="87"/>
      <c r="N23" s="87"/>
      <c r="O23" s="87"/>
      <c r="P23" s="88" t="s">
        <v>121</v>
      </c>
      <c r="Q23" s="87" t="s">
        <v>15</v>
      </c>
      <c r="R23" s="87" t="s">
        <v>47</v>
      </c>
      <c r="S23" s="89"/>
      <c r="T23" s="90"/>
      <c r="U23" s="90"/>
      <c r="W23" s="103">
        <v>9.0</v>
      </c>
      <c r="X23" s="111" t="s">
        <v>102</v>
      </c>
      <c r="Y23" s="103">
        <f t="shared" si="1"/>
        <v>2</v>
      </c>
    </row>
    <row r="24" ht="15.75" customHeight="1">
      <c r="A24" s="88" t="s">
        <v>98</v>
      </c>
      <c r="B24" s="88" t="s">
        <v>99</v>
      </c>
      <c r="C24" s="88" t="s">
        <v>21</v>
      </c>
      <c r="D24" s="95"/>
      <c r="E24" s="95"/>
      <c r="F24" s="95"/>
      <c r="G24" s="87"/>
      <c r="H24" s="87"/>
      <c r="I24" s="87"/>
      <c r="J24" s="88"/>
      <c r="K24" s="88"/>
      <c r="L24" s="88"/>
      <c r="M24" s="87"/>
      <c r="N24" s="87"/>
      <c r="O24" s="87"/>
      <c r="P24" s="88"/>
      <c r="Q24" s="88"/>
      <c r="R24" s="88"/>
      <c r="S24" s="89"/>
      <c r="T24" s="90"/>
      <c r="U24" s="90"/>
      <c r="W24" s="103">
        <v>10.0</v>
      </c>
      <c r="X24" s="104" t="s">
        <v>111</v>
      </c>
      <c r="Y24" s="103">
        <f t="shared" si="1"/>
        <v>3</v>
      </c>
    </row>
    <row r="25" ht="15.75" customHeight="1">
      <c r="A25" s="87"/>
      <c r="B25" s="87"/>
      <c r="C25" s="87"/>
      <c r="D25" s="88" t="s">
        <v>110</v>
      </c>
      <c r="E25" s="87" t="s">
        <v>71</v>
      </c>
      <c r="F25" s="87" t="s">
        <v>16</v>
      </c>
      <c r="G25" s="107" t="s">
        <v>122</v>
      </c>
      <c r="H25" s="107" t="s">
        <v>40</v>
      </c>
      <c r="I25" s="107" t="s">
        <v>123</v>
      </c>
      <c r="J25" s="125" t="s">
        <v>124</v>
      </c>
      <c r="K25" s="125" t="s">
        <v>125</v>
      </c>
      <c r="L25" s="125" t="s">
        <v>47</v>
      </c>
      <c r="M25" s="91" t="s">
        <v>85</v>
      </c>
      <c r="N25" s="91" t="s">
        <v>86</v>
      </c>
      <c r="O25" s="92" t="s">
        <v>21</v>
      </c>
      <c r="P25" s="88" t="s">
        <v>88</v>
      </c>
      <c r="Q25" s="22" t="s">
        <v>28</v>
      </c>
      <c r="R25" s="93" t="s">
        <v>16</v>
      </c>
      <c r="S25" s="28" t="s">
        <v>22</v>
      </c>
      <c r="T25" s="10"/>
      <c r="U25" s="11"/>
      <c r="W25" s="103">
        <v>11.0</v>
      </c>
      <c r="X25" s="111" t="s">
        <v>117</v>
      </c>
      <c r="Y25" s="103">
        <f t="shared" si="1"/>
        <v>2</v>
      </c>
    </row>
    <row r="26" ht="15.75" customHeight="1">
      <c r="A26" s="96" t="s">
        <v>126</v>
      </c>
      <c r="B26" s="96" t="s">
        <v>91</v>
      </c>
      <c r="C26" s="96" t="s">
        <v>21</v>
      </c>
      <c r="D26" s="87" t="s">
        <v>122</v>
      </c>
      <c r="E26" s="87"/>
      <c r="F26" s="87" t="s">
        <v>123</v>
      </c>
      <c r="G26" s="125" t="s">
        <v>120</v>
      </c>
      <c r="H26" s="125" t="s">
        <v>49</v>
      </c>
      <c r="I26" s="125" t="s">
        <v>16</v>
      </c>
      <c r="J26" s="88"/>
      <c r="K26" s="88"/>
      <c r="L26" s="88"/>
      <c r="M26" s="88" t="s">
        <v>127</v>
      </c>
      <c r="N26" s="88" t="s">
        <v>43</v>
      </c>
      <c r="O26" s="93" t="s">
        <v>16</v>
      </c>
      <c r="P26" s="88"/>
      <c r="Q26" s="88"/>
      <c r="R26" s="87"/>
      <c r="S26" s="89"/>
      <c r="T26" s="90"/>
      <c r="U26" s="90"/>
      <c r="W26" s="103">
        <v>13.0</v>
      </c>
      <c r="X26" s="126" t="s">
        <v>121</v>
      </c>
      <c r="Y26" s="103">
        <f t="shared" si="1"/>
        <v>2</v>
      </c>
    </row>
    <row r="27" ht="15.75" customHeight="1">
      <c r="A27" s="87"/>
      <c r="B27" s="87"/>
      <c r="C27" s="87"/>
      <c r="D27" s="96" t="s">
        <v>128</v>
      </c>
      <c r="E27" s="96" t="s">
        <v>66</v>
      </c>
      <c r="F27" s="96" t="s">
        <v>47</v>
      </c>
      <c r="G27" s="87"/>
      <c r="H27" s="87"/>
      <c r="I27" s="87"/>
      <c r="J27" s="96" t="s">
        <v>129</v>
      </c>
      <c r="K27" s="96" t="s">
        <v>32</v>
      </c>
      <c r="L27" s="110" t="s">
        <v>16</v>
      </c>
      <c r="M27" s="26"/>
      <c r="N27" s="26"/>
      <c r="O27" s="108"/>
      <c r="P27" s="87" t="s">
        <v>130</v>
      </c>
      <c r="Q27" s="88" t="s">
        <v>131</v>
      </c>
      <c r="R27" s="88" t="s">
        <v>47</v>
      </c>
      <c r="S27" s="89"/>
      <c r="T27" s="90"/>
      <c r="U27" s="90"/>
      <c r="W27" s="103">
        <v>14.0</v>
      </c>
      <c r="X27" s="111" t="s">
        <v>127</v>
      </c>
      <c r="Y27" s="103">
        <f t="shared" si="1"/>
        <v>2</v>
      </c>
    </row>
    <row r="28" ht="15.75" customHeight="1">
      <c r="A28" s="87"/>
      <c r="B28" s="87"/>
      <c r="C28" s="87"/>
      <c r="D28" s="87"/>
      <c r="E28" s="87"/>
      <c r="F28" s="87"/>
      <c r="G28" s="87" t="s">
        <v>93</v>
      </c>
      <c r="H28" s="87" t="s">
        <v>94</v>
      </c>
      <c r="I28" s="87" t="s">
        <v>47</v>
      </c>
      <c r="J28" s="87" t="s">
        <v>90</v>
      </c>
      <c r="K28" s="87" t="s">
        <v>91</v>
      </c>
      <c r="L28" s="87" t="s">
        <v>21</v>
      </c>
      <c r="M28" s="26"/>
      <c r="N28" s="26"/>
      <c r="O28" s="108"/>
      <c r="P28" s="45" t="s">
        <v>69</v>
      </c>
      <c r="Q28" s="60" t="s">
        <v>49</v>
      </c>
      <c r="R28" s="60" t="s">
        <v>47</v>
      </c>
      <c r="S28" s="89"/>
      <c r="T28" s="90"/>
      <c r="U28" s="90"/>
      <c r="W28" s="103">
        <v>15.0</v>
      </c>
      <c r="X28" s="111" t="s">
        <v>128</v>
      </c>
      <c r="Y28" s="103">
        <f t="shared" si="1"/>
        <v>2</v>
      </c>
    </row>
    <row r="29" ht="15.75" customHeight="1">
      <c r="A29" s="97" t="s">
        <v>118</v>
      </c>
      <c r="B29" s="10"/>
      <c r="C29" s="11"/>
      <c r="D29" s="97" t="s">
        <v>8</v>
      </c>
      <c r="E29" s="10"/>
      <c r="F29" s="11"/>
      <c r="G29" s="97" t="s">
        <v>119</v>
      </c>
      <c r="H29" s="10"/>
      <c r="I29" s="11"/>
      <c r="J29" s="97" t="s">
        <v>10</v>
      </c>
      <c r="K29" s="10"/>
      <c r="L29" s="11"/>
      <c r="M29" s="97" t="s">
        <v>11</v>
      </c>
      <c r="N29" s="10"/>
      <c r="O29" s="11"/>
      <c r="P29" s="97" t="s">
        <v>83</v>
      </c>
      <c r="Q29" s="10"/>
      <c r="R29" s="11"/>
      <c r="S29" s="98" t="s">
        <v>84</v>
      </c>
      <c r="T29" s="10"/>
      <c r="U29" s="11"/>
      <c r="W29" s="103">
        <v>16.0</v>
      </c>
      <c r="X29" s="125" t="s">
        <v>124</v>
      </c>
      <c r="Y29" s="103">
        <f t="shared" si="1"/>
        <v>2</v>
      </c>
    </row>
    <row r="30" ht="15.75" customHeight="1">
      <c r="A30" s="99">
        <f>S22+1</f>
        <v>46132</v>
      </c>
      <c r="B30" s="10"/>
      <c r="C30" s="11"/>
      <c r="D30" s="99">
        <f>A30+1</f>
        <v>46133</v>
      </c>
      <c r="E30" s="10"/>
      <c r="F30" s="11"/>
      <c r="G30" s="99">
        <f>D30+1</f>
        <v>46134</v>
      </c>
      <c r="H30" s="10"/>
      <c r="I30" s="11"/>
      <c r="J30" s="99">
        <f>G30+1</f>
        <v>46135</v>
      </c>
      <c r="K30" s="10"/>
      <c r="L30" s="11"/>
      <c r="M30" s="99">
        <f>J30+1</f>
        <v>46136</v>
      </c>
      <c r="N30" s="10"/>
      <c r="O30" s="11"/>
      <c r="P30" s="99">
        <f>M30+1</f>
        <v>46137</v>
      </c>
      <c r="Q30" s="10"/>
      <c r="R30" s="11"/>
      <c r="S30" s="100">
        <f>P30+1</f>
        <v>46138</v>
      </c>
      <c r="T30" s="10"/>
      <c r="U30" s="11"/>
      <c r="W30" s="103">
        <v>17.0</v>
      </c>
      <c r="X30" s="104" t="s">
        <v>130</v>
      </c>
      <c r="Y30" s="103">
        <f t="shared" si="1"/>
        <v>1</v>
      </c>
    </row>
    <row r="31" ht="15.75" customHeight="1">
      <c r="A31" s="96" t="s">
        <v>96</v>
      </c>
      <c r="B31" s="96" t="s">
        <v>97</v>
      </c>
      <c r="C31" s="96" t="s">
        <v>21</v>
      </c>
      <c r="D31" s="88"/>
      <c r="E31" s="88"/>
      <c r="F31" s="87"/>
      <c r="G31" s="113" t="s">
        <v>112</v>
      </c>
      <c r="H31" s="113" t="s">
        <v>18</v>
      </c>
      <c r="I31" s="113" t="s">
        <v>16</v>
      </c>
      <c r="J31" s="26"/>
      <c r="K31" s="26"/>
      <c r="L31" s="26"/>
      <c r="M31" s="87"/>
      <c r="N31" s="87"/>
      <c r="O31" s="87"/>
      <c r="P31" s="87"/>
      <c r="Q31" s="87"/>
      <c r="R31" s="87"/>
      <c r="S31" s="95"/>
      <c r="T31" s="95"/>
      <c r="U31" s="95"/>
      <c r="W31" s="103">
        <v>18.0</v>
      </c>
      <c r="X31" s="111" t="s">
        <v>100</v>
      </c>
      <c r="Y31" s="103">
        <f t="shared" si="1"/>
        <v>2</v>
      </c>
    </row>
    <row r="32" ht="15.75" customHeight="1">
      <c r="A32" s="96" t="s">
        <v>98</v>
      </c>
      <c r="B32" s="96" t="s">
        <v>99</v>
      </c>
      <c r="C32" s="96" t="s">
        <v>21</v>
      </c>
      <c r="D32" s="88"/>
      <c r="E32" s="88"/>
      <c r="F32" s="87"/>
      <c r="G32" s="87" t="s">
        <v>102</v>
      </c>
      <c r="H32" s="87" t="s">
        <v>28</v>
      </c>
      <c r="I32" s="87" t="s">
        <v>16</v>
      </c>
      <c r="J32" s="87" t="s">
        <v>100</v>
      </c>
      <c r="K32" s="87" t="s">
        <v>125</v>
      </c>
      <c r="L32" s="88" t="s">
        <v>16</v>
      </c>
      <c r="M32" s="87"/>
      <c r="N32" s="87"/>
      <c r="O32" s="87"/>
      <c r="P32" s="87"/>
      <c r="Q32" s="87"/>
      <c r="R32" s="87"/>
      <c r="S32" s="95"/>
      <c r="T32" s="95"/>
      <c r="U32" s="95"/>
      <c r="W32" s="103">
        <v>19.0</v>
      </c>
      <c r="X32" s="111" t="s">
        <v>103</v>
      </c>
      <c r="Y32" s="103">
        <f t="shared" si="1"/>
        <v>3</v>
      </c>
    </row>
    <row r="33" ht="15.75" customHeight="1">
      <c r="A33" s="87" t="s">
        <v>103</v>
      </c>
      <c r="B33" s="87" t="s">
        <v>32</v>
      </c>
      <c r="C33" s="87" t="s">
        <v>16</v>
      </c>
      <c r="D33" s="38" t="s">
        <v>101</v>
      </c>
      <c r="E33" s="38" t="s">
        <v>43</v>
      </c>
      <c r="F33" s="87" t="s">
        <v>16</v>
      </c>
      <c r="G33" s="87"/>
      <c r="H33" s="87"/>
      <c r="I33" s="87"/>
      <c r="J33" s="87"/>
      <c r="K33" s="87"/>
      <c r="L33" s="87"/>
      <c r="M33" s="26" t="s">
        <v>132</v>
      </c>
      <c r="N33" s="26" t="s">
        <v>43</v>
      </c>
      <c r="O33" s="108" t="s">
        <v>133</v>
      </c>
      <c r="P33" s="88" t="s">
        <v>88</v>
      </c>
      <c r="Q33" s="22" t="s">
        <v>40</v>
      </c>
      <c r="R33" s="93" t="s">
        <v>16</v>
      </c>
      <c r="S33" s="28" t="s">
        <v>22</v>
      </c>
      <c r="T33" s="10"/>
      <c r="U33" s="11"/>
      <c r="W33" s="103">
        <v>20.0</v>
      </c>
      <c r="X33" s="104" t="s">
        <v>129</v>
      </c>
      <c r="Y33" s="103">
        <f t="shared" si="1"/>
        <v>2</v>
      </c>
    </row>
    <row r="34" ht="15.75" customHeight="1">
      <c r="A34" s="96"/>
      <c r="B34" s="87"/>
      <c r="C34" s="87"/>
      <c r="D34" s="87" t="s">
        <v>106</v>
      </c>
      <c r="E34" s="87" t="s">
        <v>107</v>
      </c>
      <c r="F34" s="87" t="s">
        <v>21</v>
      </c>
      <c r="G34" s="113" t="s">
        <v>116</v>
      </c>
      <c r="H34" s="127" t="s">
        <v>67</v>
      </c>
      <c r="I34" s="127" t="s">
        <v>16</v>
      </c>
      <c r="J34" s="88"/>
      <c r="K34" s="87"/>
      <c r="L34" s="87"/>
      <c r="M34" s="91" t="s">
        <v>85</v>
      </c>
      <c r="N34" s="91" t="s">
        <v>66</v>
      </c>
      <c r="O34" s="92" t="s">
        <v>21</v>
      </c>
      <c r="P34" s="87"/>
      <c r="Q34" s="87"/>
      <c r="R34" s="87"/>
      <c r="S34" s="87"/>
      <c r="T34" s="87"/>
      <c r="U34" s="87"/>
      <c r="W34" s="103">
        <v>21.0</v>
      </c>
      <c r="X34" s="111" t="s">
        <v>106</v>
      </c>
      <c r="Y34" s="103">
        <f t="shared" si="1"/>
        <v>2</v>
      </c>
    </row>
    <row r="35" ht="15.75" customHeight="1">
      <c r="A35" s="96"/>
      <c r="B35" s="96"/>
      <c r="C35" s="110"/>
      <c r="D35" s="88"/>
      <c r="E35" s="88"/>
      <c r="F35" s="87"/>
      <c r="G35" s="38" t="s">
        <v>108</v>
      </c>
      <c r="H35" s="88" t="s">
        <v>109</v>
      </c>
      <c r="I35" s="26" t="s">
        <v>16</v>
      </c>
      <c r="J35" s="87" t="s">
        <v>113</v>
      </c>
      <c r="K35" s="87" t="s">
        <v>49</v>
      </c>
      <c r="L35" s="87" t="s">
        <v>21</v>
      </c>
      <c r="M35" s="88" t="s">
        <v>105</v>
      </c>
      <c r="N35" s="88" t="s">
        <v>114</v>
      </c>
      <c r="O35" s="93" t="s">
        <v>47</v>
      </c>
      <c r="P35" s="88" t="s">
        <v>104</v>
      </c>
      <c r="Q35" s="87" t="s">
        <v>35</v>
      </c>
      <c r="R35" s="87" t="s">
        <v>47</v>
      </c>
      <c r="S35" s="96"/>
      <c r="T35" s="96"/>
      <c r="U35" s="96"/>
      <c r="W35" s="103">
        <v>22.0</v>
      </c>
      <c r="X35" s="111" t="s">
        <v>101</v>
      </c>
      <c r="Y35" s="103">
        <f t="shared" si="1"/>
        <v>2</v>
      </c>
      <c r="Z35" s="77">
        <v>0.0</v>
      </c>
    </row>
    <row r="36" ht="15.75" customHeight="1">
      <c r="A36" s="96"/>
      <c r="B36" s="96"/>
      <c r="C36" s="110"/>
      <c r="D36" s="96" t="s">
        <v>111</v>
      </c>
      <c r="E36" s="96" t="s">
        <v>115</v>
      </c>
      <c r="F36" s="96" t="s">
        <v>21</v>
      </c>
      <c r="G36" s="87"/>
      <c r="H36" s="87"/>
      <c r="I36" s="87"/>
      <c r="J36" s="87" t="s">
        <v>117</v>
      </c>
      <c r="K36" s="87" t="s">
        <v>115</v>
      </c>
      <c r="L36" s="87" t="s">
        <v>21</v>
      </c>
      <c r="M36" s="88"/>
      <c r="N36" s="88"/>
      <c r="O36" s="87"/>
      <c r="P36" s="87"/>
      <c r="Q36" s="87"/>
      <c r="R36" s="87"/>
      <c r="S36" s="88"/>
      <c r="T36" s="88"/>
      <c r="U36" s="88"/>
      <c r="W36" s="103">
        <v>23.0</v>
      </c>
      <c r="X36" s="111" t="s">
        <v>93</v>
      </c>
      <c r="Y36" s="103">
        <f t="shared" si="1"/>
        <v>2</v>
      </c>
    </row>
    <row r="37" ht="15.75" customHeight="1">
      <c r="A37" s="84" t="s">
        <v>118</v>
      </c>
      <c r="B37" s="10"/>
      <c r="C37" s="11"/>
      <c r="D37" s="84" t="s">
        <v>8</v>
      </c>
      <c r="E37" s="10"/>
      <c r="F37" s="11"/>
      <c r="G37" s="84" t="s">
        <v>119</v>
      </c>
      <c r="H37" s="10"/>
      <c r="I37" s="11"/>
      <c r="J37" s="84" t="s">
        <v>10</v>
      </c>
      <c r="K37" s="10"/>
      <c r="L37" s="11"/>
      <c r="M37" s="84"/>
      <c r="N37" s="10"/>
      <c r="O37" s="11"/>
      <c r="P37" s="84"/>
      <c r="Q37" s="10"/>
      <c r="R37" s="11"/>
      <c r="S37" s="85"/>
      <c r="T37" s="10"/>
      <c r="U37" s="11"/>
      <c r="W37" s="103">
        <v>24.0</v>
      </c>
      <c r="X37" s="111" t="s">
        <v>126</v>
      </c>
      <c r="Y37" s="103">
        <f t="shared" si="1"/>
        <v>2</v>
      </c>
    </row>
    <row r="38" ht="15.75" customHeight="1">
      <c r="A38" s="86">
        <f>S30+1</f>
        <v>46139</v>
      </c>
      <c r="B38" s="10"/>
      <c r="C38" s="11"/>
      <c r="D38" s="86">
        <f>A38+1</f>
        <v>46140</v>
      </c>
      <c r="E38" s="10"/>
      <c r="F38" s="11"/>
      <c r="G38" s="86">
        <f>D38+1</f>
        <v>46141</v>
      </c>
      <c r="H38" s="10"/>
      <c r="I38" s="11"/>
      <c r="J38" s="86">
        <f>G38+1</f>
        <v>46142</v>
      </c>
      <c r="K38" s="10"/>
      <c r="L38" s="11"/>
      <c r="M38" s="86"/>
      <c r="N38" s="10"/>
      <c r="O38" s="11"/>
      <c r="P38" s="86"/>
      <c r="Q38" s="10"/>
      <c r="R38" s="11"/>
      <c r="S38" s="122"/>
      <c r="T38" s="10"/>
      <c r="U38" s="11"/>
      <c r="W38" s="103">
        <v>25.0</v>
      </c>
      <c r="X38" s="126" t="s">
        <v>104</v>
      </c>
      <c r="Y38" s="103">
        <f t="shared" si="1"/>
        <v>2</v>
      </c>
    </row>
    <row r="39" ht="15.75" customHeight="1">
      <c r="A39" s="88"/>
      <c r="B39" s="88"/>
      <c r="C39" s="88"/>
      <c r="D39" s="95"/>
      <c r="E39" s="95"/>
      <c r="F39" s="95"/>
      <c r="G39" s="88" t="s">
        <v>121</v>
      </c>
      <c r="H39" s="87" t="s">
        <v>15</v>
      </c>
      <c r="I39" s="87" t="s">
        <v>47</v>
      </c>
      <c r="J39" s="96"/>
      <c r="K39" s="96"/>
      <c r="L39" s="96"/>
      <c r="M39" s="26"/>
      <c r="N39" s="26"/>
      <c r="O39" s="108"/>
      <c r="P39" s="95"/>
      <c r="Q39" s="95"/>
      <c r="R39" s="95"/>
      <c r="S39" s="87"/>
      <c r="T39" s="87"/>
      <c r="U39" s="87"/>
      <c r="W39" s="103">
        <v>26.0</v>
      </c>
      <c r="X39" s="126" t="s">
        <v>90</v>
      </c>
      <c r="Y39" s="103">
        <f t="shared" si="1"/>
        <v>2</v>
      </c>
    </row>
    <row r="40" ht="15.75" customHeight="1">
      <c r="A40" s="88"/>
      <c r="B40" s="88"/>
      <c r="C40" s="88"/>
      <c r="D40" s="95"/>
      <c r="E40" s="95"/>
      <c r="F40" s="95"/>
      <c r="G40" s="88" t="s">
        <v>127</v>
      </c>
      <c r="H40" s="96" t="s">
        <v>71</v>
      </c>
      <c r="I40" s="110" t="s">
        <v>16</v>
      </c>
      <c r="J40" s="87" t="s">
        <v>124</v>
      </c>
      <c r="K40" s="87" t="s">
        <v>125</v>
      </c>
      <c r="L40" s="87" t="s">
        <v>47</v>
      </c>
      <c r="M40" s="96"/>
      <c r="N40" s="96"/>
      <c r="O40" s="96"/>
      <c r="P40" s="23"/>
      <c r="Q40" s="23"/>
      <c r="R40" s="23"/>
      <c r="S40" s="88"/>
      <c r="T40" s="88"/>
      <c r="U40" s="88"/>
      <c r="W40" s="103">
        <v>29.0</v>
      </c>
      <c r="X40" s="128" t="s">
        <v>113</v>
      </c>
      <c r="Y40" s="103">
        <f t="shared" si="1"/>
        <v>2</v>
      </c>
    </row>
    <row r="41" ht="15.75" customHeight="1">
      <c r="A41" s="26" t="s">
        <v>96</v>
      </c>
      <c r="B41" s="26" t="s">
        <v>97</v>
      </c>
      <c r="C41" s="26" t="s">
        <v>21</v>
      </c>
      <c r="D41" s="88" t="s">
        <v>110</v>
      </c>
      <c r="E41" s="87" t="s">
        <v>71</v>
      </c>
      <c r="F41" s="87" t="s">
        <v>16</v>
      </c>
      <c r="G41" s="125" t="s">
        <v>120</v>
      </c>
      <c r="H41" s="125" t="s">
        <v>67</v>
      </c>
      <c r="I41" s="125" t="s">
        <v>16</v>
      </c>
      <c r="J41" s="38" t="s">
        <v>132</v>
      </c>
      <c r="K41" s="38" t="s">
        <v>134</v>
      </c>
      <c r="L41" s="110"/>
      <c r="M41" s="90"/>
      <c r="N41" s="90"/>
      <c r="O41" s="90"/>
      <c r="P41" s="87"/>
      <c r="Q41" s="87"/>
      <c r="R41" s="87"/>
      <c r="S41" s="28" t="s">
        <v>22</v>
      </c>
      <c r="T41" s="10"/>
      <c r="U41" s="11"/>
      <c r="W41" s="103">
        <v>27.0</v>
      </c>
      <c r="X41" s="34" t="s">
        <v>112</v>
      </c>
      <c r="Y41" s="103">
        <f t="shared" si="1"/>
        <v>2</v>
      </c>
    </row>
    <row r="42" ht="15.75" customHeight="1">
      <c r="A42" s="26" t="s">
        <v>98</v>
      </c>
      <c r="B42" s="26" t="s">
        <v>99</v>
      </c>
      <c r="C42" s="26" t="s">
        <v>21</v>
      </c>
      <c r="D42" s="87" t="s">
        <v>122</v>
      </c>
      <c r="E42" s="87" t="s">
        <v>67</v>
      </c>
      <c r="F42" s="87" t="s">
        <v>16</v>
      </c>
      <c r="G42" s="87"/>
      <c r="H42" s="87"/>
      <c r="I42" s="87"/>
      <c r="J42" s="88" t="s">
        <v>129</v>
      </c>
      <c r="K42" s="88" t="s">
        <v>135</v>
      </c>
      <c r="L42" s="87" t="s">
        <v>21</v>
      </c>
      <c r="M42" s="90"/>
      <c r="N42" s="90"/>
      <c r="O42" s="90"/>
      <c r="P42" s="87"/>
      <c r="Q42" s="87"/>
      <c r="R42" s="87"/>
      <c r="S42" s="87"/>
      <c r="T42" s="87"/>
      <c r="U42" s="87"/>
      <c r="W42" s="103">
        <v>30.0</v>
      </c>
      <c r="X42" s="91" t="s">
        <v>85</v>
      </c>
      <c r="Y42" s="103">
        <f t="shared" si="1"/>
        <v>4</v>
      </c>
    </row>
    <row r="43" ht="15.75" customHeight="1">
      <c r="A43" s="125"/>
      <c r="B43" s="125"/>
      <c r="C43" s="125"/>
      <c r="D43" s="96" t="s">
        <v>128</v>
      </c>
      <c r="E43" s="96" t="s">
        <v>66</v>
      </c>
      <c r="F43" s="96" t="s">
        <v>0</v>
      </c>
      <c r="G43" s="88"/>
      <c r="H43" s="88"/>
      <c r="I43" s="129"/>
      <c r="J43" s="88"/>
      <c r="K43" s="88"/>
      <c r="L43" s="88"/>
      <c r="M43" s="90"/>
      <c r="N43" s="90"/>
      <c r="O43" s="90"/>
      <c r="P43" s="96"/>
      <c r="Q43" s="96"/>
      <c r="R43" s="96"/>
      <c r="S43" s="87"/>
      <c r="T43" s="87"/>
      <c r="U43" s="87"/>
      <c r="W43" s="103">
        <v>28.0</v>
      </c>
      <c r="X43" s="34"/>
      <c r="Y43" s="103"/>
    </row>
    <row r="44" ht="15.75" customHeight="1">
      <c r="A44" s="26" t="s">
        <v>126</v>
      </c>
      <c r="B44" s="26" t="s">
        <v>91</v>
      </c>
      <c r="C44" s="26" t="s">
        <v>21</v>
      </c>
      <c r="D44" s="87"/>
      <c r="E44" s="87"/>
      <c r="F44" s="87"/>
      <c r="G44" s="88"/>
      <c r="H44" s="88"/>
      <c r="I44" s="129"/>
      <c r="J44" s="87"/>
      <c r="K44" s="58"/>
      <c r="L44" s="87"/>
      <c r="M44" s="90"/>
      <c r="N44" s="90"/>
      <c r="O44" s="90"/>
      <c r="P44" s="96"/>
      <c r="Q44" s="96"/>
      <c r="R44" s="96"/>
      <c r="S44" s="88"/>
      <c r="T44" s="88"/>
      <c r="U44" s="88"/>
      <c r="W44" s="103">
        <v>31.0</v>
      </c>
      <c r="X44" s="130"/>
      <c r="Y44" s="103"/>
    </row>
    <row r="45" ht="15.75" customHeight="1">
      <c r="A45" s="97"/>
      <c r="B45" s="10"/>
      <c r="C45" s="11"/>
      <c r="D45" s="97"/>
      <c r="E45" s="10"/>
      <c r="F45" s="11"/>
      <c r="G45" s="97"/>
      <c r="H45" s="10"/>
      <c r="I45" s="11"/>
      <c r="J45" s="97"/>
      <c r="K45" s="10"/>
      <c r="L45" s="11"/>
      <c r="M45" s="97"/>
      <c r="N45" s="10"/>
      <c r="O45" s="11"/>
      <c r="P45" s="97"/>
      <c r="Q45" s="10"/>
      <c r="R45" s="11"/>
      <c r="S45" s="98"/>
      <c r="T45" s="10"/>
      <c r="U45" s="11"/>
      <c r="W45" s="103">
        <v>12.0</v>
      </c>
      <c r="X45" s="34"/>
      <c r="Y45" s="103"/>
    </row>
    <row r="46" ht="15.75" customHeight="1">
      <c r="A46" s="99"/>
      <c r="B46" s="10"/>
      <c r="C46" s="11"/>
      <c r="D46" s="99"/>
      <c r="E46" s="10"/>
      <c r="F46" s="11"/>
      <c r="G46" s="99"/>
      <c r="H46" s="10"/>
      <c r="I46" s="11"/>
      <c r="J46" s="99"/>
      <c r="K46" s="10"/>
      <c r="L46" s="11"/>
      <c r="M46" s="99"/>
      <c r="N46" s="10"/>
      <c r="O46" s="11"/>
      <c r="P46" s="99"/>
      <c r="Q46" s="10"/>
      <c r="R46" s="11"/>
      <c r="S46" s="99"/>
      <c r="T46" s="10"/>
      <c r="U46" s="11"/>
      <c r="W46" s="103">
        <v>32.0</v>
      </c>
      <c r="X46" s="34"/>
      <c r="Y46" s="103"/>
    </row>
    <row r="47" ht="15.75" customHeight="1">
      <c r="A47" s="87"/>
      <c r="B47" s="87"/>
      <c r="C47" s="87"/>
      <c r="D47" s="87"/>
      <c r="E47" s="87"/>
      <c r="F47" s="88"/>
      <c r="G47" s="87"/>
      <c r="H47" s="87"/>
      <c r="I47" s="87"/>
      <c r="J47" s="95"/>
      <c r="K47" s="95"/>
      <c r="L47" s="95"/>
      <c r="M47" s="87"/>
      <c r="N47" s="87"/>
      <c r="O47" s="87"/>
      <c r="P47" s="87"/>
      <c r="Q47" s="87"/>
      <c r="R47" s="87"/>
      <c r="S47" s="89"/>
      <c r="T47" s="89"/>
      <c r="U47" s="89"/>
      <c r="W47" s="103">
        <v>33.0</v>
      </c>
      <c r="X47" s="87"/>
      <c r="Y47" s="103"/>
    </row>
    <row r="48" ht="15.75" customHeight="1">
      <c r="A48" s="88"/>
      <c r="B48" s="88"/>
      <c r="C48" s="88"/>
      <c r="D48" s="26"/>
      <c r="E48" s="26"/>
      <c r="F48" s="26"/>
      <c r="G48" s="88"/>
      <c r="H48" s="88"/>
      <c r="I48" s="87"/>
      <c r="J48" s="23"/>
      <c r="K48" s="23"/>
      <c r="L48" s="23"/>
      <c r="M48" s="87"/>
      <c r="N48" s="87"/>
      <c r="O48" s="87"/>
      <c r="P48" s="88"/>
      <c r="Q48" s="88"/>
      <c r="R48" s="87"/>
      <c r="S48" s="131"/>
      <c r="T48" s="131"/>
      <c r="U48" s="131"/>
    </row>
    <row r="49" ht="15.75" customHeight="1">
      <c r="A49" s="88"/>
      <c r="B49" s="88"/>
      <c r="C49" s="88"/>
      <c r="D49" s="38"/>
      <c r="E49" s="38"/>
      <c r="F49" s="38"/>
      <c r="G49" s="96"/>
      <c r="H49" s="96"/>
      <c r="I49" s="110"/>
      <c r="J49" s="87"/>
      <c r="K49" s="87"/>
      <c r="L49" s="87"/>
      <c r="M49" s="23"/>
      <c r="N49" s="23"/>
      <c r="O49" s="23"/>
      <c r="P49" s="88"/>
      <c r="Q49" s="88"/>
      <c r="R49" s="93"/>
      <c r="S49" s="89"/>
      <c r="T49" s="89"/>
      <c r="U49" s="89"/>
      <c r="Y49" s="77">
        <f>SUM(Y15:Y48)</f>
        <v>67</v>
      </c>
    </row>
    <row r="50" ht="15.75" customHeight="1">
      <c r="A50" s="87"/>
      <c r="B50" s="87"/>
      <c r="C50" s="87"/>
      <c r="D50" s="23"/>
      <c r="E50" s="23"/>
      <c r="F50" s="23"/>
      <c r="G50" s="87"/>
      <c r="H50" s="87"/>
      <c r="I50" s="87"/>
      <c r="J50" s="87"/>
      <c r="K50" s="87"/>
      <c r="L50" s="87"/>
      <c r="M50" s="132"/>
      <c r="N50" s="132"/>
      <c r="O50" s="132"/>
      <c r="P50" s="88"/>
      <c r="Q50" s="88"/>
      <c r="R50" s="93"/>
      <c r="S50" s="131"/>
      <c r="T50" s="131"/>
      <c r="U50" s="131"/>
    </row>
    <row r="51" ht="15.75" customHeight="1">
      <c r="A51" s="87"/>
      <c r="B51" s="87"/>
      <c r="C51" s="87"/>
      <c r="D51" s="96"/>
      <c r="E51" s="96"/>
      <c r="F51" s="96"/>
      <c r="G51" s="96"/>
      <c r="H51" s="96"/>
      <c r="I51" s="110"/>
      <c r="J51" s="96"/>
      <c r="K51" s="96"/>
      <c r="L51" s="96"/>
      <c r="M51" s="87"/>
      <c r="N51" s="87"/>
      <c r="O51" s="87"/>
      <c r="P51" s="88"/>
      <c r="Q51" s="88"/>
      <c r="R51" s="93"/>
      <c r="S51" s="89"/>
      <c r="T51" s="89"/>
      <c r="U51" s="89"/>
    </row>
    <row r="52" ht="15.75" customHeight="1">
      <c r="A52" s="88"/>
      <c r="B52" s="88"/>
      <c r="C52" s="88"/>
      <c r="D52" s="88"/>
      <c r="E52" s="88"/>
      <c r="F52" s="129"/>
      <c r="G52" s="96"/>
      <c r="H52" s="96"/>
      <c r="I52" s="110"/>
      <c r="J52" s="96"/>
      <c r="K52" s="96"/>
      <c r="L52" s="96"/>
      <c r="M52" s="87"/>
      <c r="N52" s="87"/>
      <c r="O52" s="87"/>
      <c r="P52" s="87"/>
      <c r="Q52" s="88"/>
      <c r="R52" s="87"/>
      <c r="S52" s="131"/>
      <c r="T52" s="131"/>
      <c r="U52" s="131"/>
    </row>
    <row r="53" ht="15.75" customHeight="1"/>
    <row r="54" ht="15.75" customHeight="1"/>
    <row r="55" ht="15.75" customHeight="1">
      <c r="A55" s="71" t="s">
        <v>72</v>
      </c>
      <c r="B55" s="72"/>
    </row>
    <row r="56" ht="15.75" customHeight="1">
      <c r="A56" s="73"/>
      <c r="B56" s="26" t="s">
        <v>73</v>
      </c>
      <c r="C56" s="57"/>
      <c r="D56" s="74"/>
    </row>
    <row r="57" ht="15.75" customHeight="1">
      <c r="A57" s="75"/>
      <c r="B57" s="26" t="s">
        <v>74</v>
      </c>
      <c r="C57" s="57"/>
    </row>
    <row r="58" ht="15.75" customHeight="1">
      <c r="A58" s="76"/>
      <c r="B58" s="26" t="s">
        <v>75</v>
      </c>
      <c r="C58" s="57"/>
    </row>
    <row r="59" ht="15.75" customHeight="1">
      <c r="A59" s="78"/>
      <c r="B59" s="26" t="s">
        <v>78</v>
      </c>
      <c r="C59" s="5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4:$Y$45"/>
  <mergeCells count="101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P22:R22"/>
    <mergeCell ref="P29:R29"/>
    <mergeCell ref="S29:U29"/>
    <mergeCell ref="S22:U22"/>
    <mergeCell ref="S25:U25"/>
    <mergeCell ref="A29:C29"/>
    <mergeCell ref="D29:F29"/>
    <mergeCell ref="G29:I29"/>
    <mergeCell ref="J29:L29"/>
    <mergeCell ref="M29:O29"/>
    <mergeCell ref="D30:F30"/>
    <mergeCell ref="G30:I30"/>
    <mergeCell ref="J30:L30"/>
    <mergeCell ref="M30:O30"/>
    <mergeCell ref="P30:R30"/>
    <mergeCell ref="S30:U30"/>
    <mergeCell ref="S33:U33"/>
    <mergeCell ref="A30:C30"/>
    <mergeCell ref="D37:F37"/>
    <mergeCell ref="G37:I37"/>
    <mergeCell ref="J37:L37"/>
    <mergeCell ref="M37:O37"/>
    <mergeCell ref="P37:R37"/>
    <mergeCell ref="S37:U37"/>
    <mergeCell ref="S38:U38"/>
    <mergeCell ref="S41:U41"/>
    <mergeCell ref="A37:C37"/>
    <mergeCell ref="A38:C38"/>
    <mergeCell ref="D38:F38"/>
    <mergeCell ref="G38:I38"/>
    <mergeCell ref="J38:L38"/>
    <mergeCell ref="M38:O38"/>
    <mergeCell ref="P38:R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P9:R9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7:U17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</mergeCells>
  <printOptions horizontalCentered="1" verticalCentered="1"/>
  <pageMargins bottom="0.0" footer="0.0" header="0.0" left="0.0" right="0.0" top="0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57"/>
    <col customWidth="1" min="3" max="3" width="8.14"/>
    <col customWidth="1" min="4" max="4" width="19.86"/>
    <col customWidth="1" min="5" max="5" width="11.57"/>
    <col customWidth="1" min="6" max="6" width="6.14"/>
    <col customWidth="1" min="7" max="7" width="19.29"/>
    <col customWidth="1" min="8" max="8" width="11.57"/>
    <col customWidth="1" min="9" max="9" width="7.43"/>
    <col customWidth="1" min="10" max="10" width="18.86"/>
    <col customWidth="1" min="11" max="11" width="11.57"/>
    <col customWidth="1" min="12" max="12" width="7.57"/>
    <col customWidth="1" min="13" max="13" width="16.71"/>
    <col customWidth="1" min="14" max="14" width="11.43"/>
    <col customWidth="1" min="15" max="15" width="7.71"/>
    <col customWidth="1" min="16" max="16" width="10.0"/>
    <col customWidth="1" min="17" max="17" width="8.14"/>
    <col customWidth="1" min="18" max="18" width="7.43"/>
    <col customWidth="1" min="19" max="19" width="19.0"/>
    <col customWidth="1" min="20" max="20" width="11.57"/>
    <col customWidth="1" min="21" max="21" width="8.43"/>
    <col customWidth="1" min="22" max="22" width="8.71"/>
    <col customWidth="1" min="23" max="23" width="4.0"/>
    <col customWidth="1" min="24" max="24" width="18.86"/>
    <col customWidth="1" min="25" max="25" width="12.29"/>
    <col customWidth="1" min="26" max="26" width="14.0"/>
  </cols>
  <sheetData>
    <row r="1" ht="22.5" customHeight="1">
      <c r="A1" s="1" t="s">
        <v>79</v>
      </c>
      <c r="C1" s="6" t="s">
        <v>136</v>
      </c>
      <c r="F1" s="3"/>
      <c r="G1" s="4" t="s">
        <v>2</v>
      </c>
      <c r="Q1" s="3"/>
    </row>
    <row r="2">
      <c r="A2" s="1" t="s">
        <v>3</v>
      </c>
      <c r="C2" s="6" t="s">
        <v>81</v>
      </c>
      <c r="F2" s="3"/>
      <c r="Q2" s="3"/>
    </row>
    <row r="3">
      <c r="A3" s="1" t="s">
        <v>5</v>
      </c>
      <c r="C3" s="2" t="s">
        <v>82</v>
      </c>
      <c r="F3" s="3"/>
      <c r="Q3" s="3"/>
    </row>
    <row r="4">
      <c r="A4" s="79" t="s">
        <v>6</v>
      </c>
      <c r="B4" s="80"/>
      <c r="C4" s="2" t="s">
        <v>82</v>
      </c>
      <c r="F4" s="3"/>
      <c r="G4" s="3"/>
      <c r="H4" s="3"/>
      <c r="I4" s="3"/>
      <c r="J4" s="3"/>
      <c r="K4" s="3"/>
      <c r="L4" s="3"/>
      <c r="M4" s="3"/>
      <c r="N4" s="3"/>
      <c r="O4" s="81"/>
      <c r="P4" s="82"/>
      <c r="Q4" s="83"/>
    </row>
    <row r="5">
      <c r="A5" s="84" t="s">
        <v>118</v>
      </c>
      <c r="B5" s="10"/>
      <c r="C5" s="11"/>
      <c r="D5" s="84" t="s">
        <v>8</v>
      </c>
      <c r="E5" s="10"/>
      <c r="F5" s="11"/>
      <c r="G5" s="84" t="s">
        <v>119</v>
      </c>
      <c r="H5" s="10"/>
      <c r="I5" s="11"/>
      <c r="J5" s="84" t="s">
        <v>10</v>
      </c>
      <c r="K5" s="10"/>
      <c r="L5" s="11"/>
      <c r="M5" s="84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  <c r="W5" s="133" t="s">
        <v>24</v>
      </c>
      <c r="X5" s="134" t="s">
        <v>137</v>
      </c>
      <c r="Y5" s="135" t="s">
        <v>26</v>
      </c>
    </row>
    <row r="6">
      <c r="A6" s="86"/>
      <c r="B6" s="10"/>
      <c r="C6" s="11"/>
      <c r="D6" s="86"/>
      <c r="E6" s="10"/>
      <c r="F6" s="11"/>
      <c r="G6" s="136">
        <v>46113.0</v>
      </c>
      <c r="H6" s="137"/>
      <c r="I6" s="138"/>
      <c r="J6" s="136">
        <v>46114.0</v>
      </c>
      <c r="K6" s="137"/>
      <c r="L6" s="138"/>
      <c r="M6" s="139">
        <v>46115.0</v>
      </c>
      <c r="N6" s="137"/>
      <c r="O6" s="138"/>
      <c r="P6" s="136">
        <v>46116.0</v>
      </c>
      <c r="Q6" s="137"/>
      <c r="R6" s="138"/>
      <c r="S6" s="136">
        <v>46117.0</v>
      </c>
      <c r="T6" s="137"/>
      <c r="U6" s="138"/>
      <c r="W6" s="140">
        <v>1.0</v>
      </c>
      <c r="X6" s="141" t="s">
        <v>138</v>
      </c>
      <c r="Y6" s="142">
        <f t="shared" ref="Y6:Y12" si="1">COUNTIF($A$5:$U$51,X6)</f>
        <v>1</v>
      </c>
    </row>
    <row r="7">
      <c r="A7" s="143"/>
      <c r="B7" s="143"/>
      <c r="C7" s="143"/>
      <c r="D7" s="143"/>
      <c r="E7" s="143"/>
      <c r="F7" s="143"/>
      <c r="G7" s="95"/>
      <c r="H7" s="95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W7" s="140">
        <v>2.0</v>
      </c>
      <c r="X7" s="144"/>
      <c r="Y7" s="142">
        <f t="shared" si="1"/>
        <v>0</v>
      </c>
    </row>
    <row r="8">
      <c r="A8" s="95"/>
      <c r="B8" s="95"/>
      <c r="C8" s="95"/>
      <c r="D8" s="145"/>
      <c r="E8" s="145"/>
      <c r="F8" s="145"/>
      <c r="G8" s="95" t="s">
        <v>139</v>
      </c>
      <c r="H8" s="95" t="s">
        <v>140</v>
      </c>
      <c r="I8" s="95" t="s">
        <v>21</v>
      </c>
      <c r="J8" s="143"/>
      <c r="K8" s="143"/>
      <c r="L8" s="143"/>
      <c r="M8" s="95"/>
      <c r="N8" s="95"/>
      <c r="O8" s="95"/>
      <c r="P8" s="143"/>
      <c r="Q8" s="143"/>
      <c r="R8" s="143"/>
      <c r="S8" s="143"/>
      <c r="T8" s="143"/>
      <c r="U8" s="143"/>
      <c r="W8" s="140">
        <v>3.0</v>
      </c>
      <c r="X8" s="141" t="s">
        <v>141</v>
      </c>
      <c r="Y8" s="142">
        <f t="shared" si="1"/>
        <v>4</v>
      </c>
    </row>
    <row r="9">
      <c r="A9" s="23"/>
      <c r="B9" s="95"/>
      <c r="C9" s="95"/>
      <c r="D9" s="95"/>
      <c r="E9" s="95"/>
      <c r="F9" s="95"/>
      <c r="G9" s="38"/>
      <c r="H9" s="38"/>
      <c r="I9" s="38"/>
      <c r="J9" s="95" t="s">
        <v>142</v>
      </c>
      <c r="K9" s="95" t="s">
        <v>140</v>
      </c>
      <c r="L9" s="95" t="s">
        <v>21</v>
      </c>
      <c r="M9" s="146" t="s">
        <v>22</v>
      </c>
      <c r="N9" s="10"/>
      <c r="O9" s="11"/>
      <c r="P9" s="146" t="s">
        <v>22</v>
      </c>
      <c r="Q9" s="10"/>
      <c r="R9" s="11"/>
      <c r="S9" s="84" t="s">
        <v>89</v>
      </c>
      <c r="T9" s="10"/>
      <c r="U9" s="11"/>
      <c r="W9" s="140">
        <v>4.0</v>
      </c>
      <c r="X9" s="141" t="s">
        <v>143</v>
      </c>
      <c r="Y9" s="142">
        <f t="shared" si="1"/>
        <v>2</v>
      </c>
    </row>
    <row r="10">
      <c r="A10" s="23"/>
      <c r="B10" s="95"/>
      <c r="C10" s="95"/>
      <c r="D10" s="38"/>
      <c r="E10" s="38"/>
      <c r="F10" s="38"/>
      <c r="G10" s="38"/>
      <c r="H10" s="38"/>
      <c r="I10" s="38"/>
      <c r="J10" s="143"/>
      <c r="K10" s="143"/>
      <c r="L10" s="143"/>
      <c r="M10" s="23"/>
      <c r="N10" s="95"/>
      <c r="O10" s="95"/>
      <c r="P10" s="95"/>
      <c r="Q10" s="95"/>
      <c r="R10" s="95"/>
      <c r="S10" s="95"/>
      <c r="T10" s="95"/>
      <c r="U10" s="95"/>
      <c r="W10" s="140">
        <v>5.0</v>
      </c>
      <c r="X10" s="141" t="s">
        <v>139</v>
      </c>
      <c r="Y10" s="142">
        <f t="shared" si="1"/>
        <v>16</v>
      </c>
    </row>
    <row r="11">
      <c r="A11" s="87"/>
      <c r="B11" s="87"/>
      <c r="C11" s="87"/>
      <c r="D11" s="38"/>
      <c r="E11" s="38"/>
      <c r="F11" s="38"/>
      <c r="G11" s="87" t="s">
        <v>144</v>
      </c>
      <c r="H11" s="87" t="s">
        <v>109</v>
      </c>
      <c r="I11" s="87" t="s">
        <v>16</v>
      </c>
      <c r="J11" s="143"/>
      <c r="K11" s="143"/>
      <c r="L11" s="143"/>
      <c r="M11" s="87"/>
      <c r="N11" s="87"/>
      <c r="O11" s="87"/>
      <c r="P11" s="95"/>
      <c r="Q11" s="95"/>
      <c r="R11" s="95"/>
      <c r="S11" s="95"/>
      <c r="T11" s="95"/>
      <c r="U11" s="95"/>
      <c r="W11" s="140">
        <v>6.0</v>
      </c>
      <c r="X11" s="141" t="s">
        <v>142</v>
      </c>
      <c r="Y11" s="142">
        <f t="shared" si="1"/>
        <v>16</v>
      </c>
    </row>
    <row r="12">
      <c r="A12" s="95"/>
      <c r="B12" s="95"/>
      <c r="C12" s="95"/>
      <c r="D12" s="95"/>
      <c r="E12" s="95"/>
      <c r="F12" s="95"/>
      <c r="G12" s="38"/>
      <c r="H12" s="38"/>
      <c r="I12" s="38"/>
      <c r="J12" s="38" t="s">
        <v>141</v>
      </c>
      <c r="K12" s="38"/>
      <c r="L12" s="38" t="s">
        <v>47</v>
      </c>
      <c r="M12" s="95"/>
      <c r="N12" s="95"/>
      <c r="O12" s="95"/>
      <c r="P12" s="95"/>
      <c r="Q12" s="95"/>
      <c r="R12" s="95"/>
      <c r="S12" s="95"/>
      <c r="T12" s="95"/>
      <c r="U12" s="143"/>
      <c r="W12" s="140">
        <v>7.0</v>
      </c>
      <c r="X12" s="141" t="s">
        <v>145</v>
      </c>
      <c r="Y12" s="142">
        <f t="shared" si="1"/>
        <v>2</v>
      </c>
    </row>
    <row r="13">
      <c r="A13" s="97" t="s">
        <v>7</v>
      </c>
      <c r="B13" s="10"/>
      <c r="C13" s="11"/>
      <c r="D13" s="97" t="s">
        <v>8</v>
      </c>
      <c r="E13" s="10"/>
      <c r="F13" s="11"/>
      <c r="G13" s="97" t="s">
        <v>9</v>
      </c>
      <c r="H13" s="10"/>
      <c r="I13" s="11"/>
      <c r="J13" s="97" t="s">
        <v>10</v>
      </c>
      <c r="K13" s="10"/>
      <c r="L13" s="11"/>
      <c r="M13" s="97" t="s">
        <v>95</v>
      </c>
      <c r="N13" s="10"/>
      <c r="O13" s="11"/>
      <c r="P13" s="97" t="s">
        <v>83</v>
      </c>
      <c r="Q13" s="10"/>
      <c r="R13" s="11"/>
      <c r="S13" s="98" t="s">
        <v>13</v>
      </c>
      <c r="T13" s="10"/>
      <c r="U13" s="11"/>
      <c r="W13" s="140">
        <v>8.0</v>
      </c>
      <c r="X13" s="144"/>
      <c r="Y13" s="144"/>
    </row>
    <row r="14">
      <c r="A14" s="99">
        <f>S6+1</f>
        <v>46118</v>
      </c>
      <c r="B14" s="10"/>
      <c r="C14" s="11"/>
      <c r="D14" s="99">
        <f>A14+1</f>
        <v>46119</v>
      </c>
      <c r="E14" s="10"/>
      <c r="F14" s="11"/>
      <c r="G14" s="99">
        <f>D14+1</f>
        <v>46120</v>
      </c>
      <c r="H14" s="10"/>
      <c r="I14" s="11"/>
      <c r="J14" s="99">
        <f>G14+1</f>
        <v>46121</v>
      </c>
      <c r="K14" s="10"/>
      <c r="L14" s="11"/>
      <c r="M14" s="99">
        <f>J14+1</f>
        <v>46122</v>
      </c>
      <c r="N14" s="10"/>
      <c r="O14" s="11"/>
      <c r="P14" s="99">
        <f>M14+1</f>
        <v>46123</v>
      </c>
      <c r="Q14" s="10"/>
      <c r="R14" s="11"/>
      <c r="S14" s="100">
        <f>P14+1</f>
        <v>46124</v>
      </c>
      <c r="T14" s="10"/>
      <c r="U14" s="11"/>
      <c r="W14" s="140">
        <v>9.0</v>
      </c>
      <c r="X14" s="141" t="s">
        <v>144</v>
      </c>
      <c r="Y14" s="142">
        <f t="shared" ref="Y14:Y34" si="2">COUNTIF($A$5:$U$51,X14)</f>
        <v>3</v>
      </c>
    </row>
    <row r="15">
      <c r="A15" s="95" t="s">
        <v>145</v>
      </c>
      <c r="B15" s="95" t="s">
        <v>125</v>
      </c>
      <c r="C15" s="95" t="s">
        <v>21</v>
      </c>
      <c r="D15" s="95"/>
      <c r="E15" s="95"/>
      <c r="F15" s="95"/>
      <c r="G15" s="95"/>
      <c r="H15" s="95"/>
      <c r="I15" s="118"/>
      <c r="J15" s="95"/>
      <c r="K15" s="95"/>
      <c r="L15" s="118"/>
      <c r="M15" s="95"/>
      <c r="N15" s="95"/>
      <c r="O15" s="118"/>
      <c r="P15" s="143"/>
      <c r="Q15" s="143"/>
      <c r="R15" s="143"/>
      <c r="S15" s="147" t="s">
        <v>146</v>
      </c>
      <c r="T15" s="148" t="s">
        <v>18</v>
      </c>
      <c r="U15" s="148" t="s">
        <v>47</v>
      </c>
      <c r="W15" s="140">
        <v>10.0</v>
      </c>
      <c r="X15" s="141" t="s">
        <v>147</v>
      </c>
      <c r="Y15" s="142">
        <f t="shared" si="2"/>
        <v>2</v>
      </c>
    </row>
    <row r="16">
      <c r="A16" s="23"/>
      <c r="B16" s="23"/>
      <c r="C16" s="23"/>
      <c r="D16" s="95"/>
      <c r="E16" s="95"/>
      <c r="F16" s="118"/>
      <c r="G16" s="95" t="s">
        <v>139</v>
      </c>
      <c r="H16" s="95" t="s">
        <v>140</v>
      </c>
      <c r="I16" s="95" t="s">
        <v>21</v>
      </c>
      <c r="J16" s="95"/>
      <c r="K16" s="95"/>
      <c r="L16" s="95"/>
      <c r="M16" s="95"/>
      <c r="N16" s="95"/>
      <c r="O16" s="118"/>
      <c r="P16" s="143"/>
      <c r="Q16" s="143"/>
      <c r="R16" s="143"/>
      <c r="S16" s="95"/>
      <c r="T16" s="95"/>
      <c r="U16" s="118"/>
      <c r="W16" s="140">
        <v>11.0</v>
      </c>
      <c r="X16" s="149" t="s">
        <v>146</v>
      </c>
      <c r="Y16" s="142">
        <f t="shared" si="2"/>
        <v>2</v>
      </c>
    </row>
    <row r="17">
      <c r="A17" s="95" t="s">
        <v>139</v>
      </c>
      <c r="B17" s="95" t="s">
        <v>148</v>
      </c>
      <c r="C17" s="95" t="s">
        <v>21</v>
      </c>
      <c r="D17" s="143" t="s">
        <v>142</v>
      </c>
      <c r="E17" s="143" t="s">
        <v>140</v>
      </c>
      <c r="F17" s="143" t="s">
        <v>21</v>
      </c>
      <c r="G17" s="26" t="s">
        <v>149</v>
      </c>
      <c r="H17" s="26" t="s">
        <v>150</v>
      </c>
      <c r="I17" s="125" t="s">
        <v>47</v>
      </c>
      <c r="J17" s="95" t="s">
        <v>142</v>
      </c>
      <c r="K17" s="95" t="s">
        <v>140</v>
      </c>
      <c r="L17" s="95" t="s">
        <v>21</v>
      </c>
      <c r="M17" s="95" t="s">
        <v>139</v>
      </c>
      <c r="N17" s="95" t="s">
        <v>140</v>
      </c>
      <c r="O17" s="95" t="s">
        <v>21</v>
      </c>
      <c r="P17" s="146" t="s">
        <v>22</v>
      </c>
      <c r="Q17" s="10"/>
      <c r="R17" s="11"/>
      <c r="S17" s="95" t="s">
        <v>142</v>
      </c>
      <c r="T17" s="95" t="s">
        <v>148</v>
      </c>
      <c r="U17" s="95" t="s">
        <v>21</v>
      </c>
      <c r="W17" s="140">
        <v>12.0</v>
      </c>
      <c r="X17" s="144"/>
      <c r="Y17" s="142">
        <f t="shared" si="2"/>
        <v>0</v>
      </c>
    </row>
    <row r="18">
      <c r="A18" s="150" t="s">
        <v>151</v>
      </c>
      <c r="B18" s="150" t="s">
        <v>109</v>
      </c>
      <c r="C18" s="151" t="s">
        <v>16</v>
      </c>
      <c r="D18" s="95"/>
      <c r="E18" s="95"/>
      <c r="F18" s="118"/>
      <c r="G18" s="26" t="s">
        <v>152</v>
      </c>
      <c r="H18" s="26" t="s">
        <v>115</v>
      </c>
      <c r="I18" s="87" t="s">
        <v>21</v>
      </c>
      <c r="J18" s="38"/>
      <c r="K18" s="38"/>
      <c r="L18" s="38"/>
      <c r="M18" s="95"/>
      <c r="N18" s="95"/>
      <c r="P18" s="95"/>
      <c r="Q18" s="95"/>
      <c r="R18" s="95"/>
      <c r="S18" s="26"/>
      <c r="T18" s="26"/>
      <c r="U18" s="125"/>
      <c r="W18" s="140">
        <v>13.0</v>
      </c>
      <c r="X18" s="141" t="s">
        <v>149</v>
      </c>
      <c r="Y18" s="142">
        <f t="shared" si="2"/>
        <v>4</v>
      </c>
    </row>
    <row r="19" ht="15.0" customHeight="1">
      <c r="A19" s="95"/>
      <c r="B19" s="95"/>
      <c r="C19" s="95"/>
      <c r="D19" s="26" t="s">
        <v>147</v>
      </c>
      <c r="E19" s="26" t="s">
        <v>35</v>
      </c>
      <c r="F19" s="26" t="s">
        <v>47</v>
      </c>
      <c r="G19" s="38"/>
      <c r="H19" s="38"/>
      <c r="I19" s="38"/>
      <c r="J19" s="95"/>
      <c r="K19" s="95"/>
      <c r="L19" s="152"/>
      <c r="M19" s="95" t="s">
        <v>142</v>
      </c>
      <c r="N19" s="95" t="s">
        <v>153</v>
      </c>
      <c r="O19" s="95" t="s">
        <v>21</v>
      </c>
      <c r="P19" s="95"/>
      <c r="Q19" s="95"/>
      <c r="R19" s="95"/>
      <c r="S19" s="95" t="s">
        <v>139</v>
      </c>
      <c r="T19" s="95" t="s">
        <v>153</v>
      </c>
      <c r="U19" s="95" t="s">
        <v>57</v>
      </c>
      <c r="W19" s="140">
        <v>14.0</v>
      </c>
      <c r="X19" s="34" t="s">
        <v>152</v>
      </c>
      <c r="Y19" s="142">
        <f t="shared" si="2"/>
        <v>2</v>
      </c>
    </row>
    <row r="20" ht="15.0" customHeight="1">
      <c r="A20" s="95"/>
      <c r="B20" s="95"/>
      <c r="C20" s="95"/>
      <c r="D20" s="26" t="s">
        <v>154</v>
      </c>
      <c r="E20" s="26" t="s">
        <v>91</v>
      </c>
      <c r="F20" s="26" t="s">
        <v>47</v>
      </c>
      <c r="G20" s="95"/>
      <c r="H20" s="95"/>
      <c r="I20" s="95"/>
      <c r="J20" s="26" t="s">
        <v>143</v>
      </c>
      <c r="K20" s="26" t="s">
        <v>115</v>
      </c>
      <c r="L20" s="26" t="s">
        <v>21</v>
      </c>
      <c r="M20" s="95"/>
      <c r="N20" s="95"/>
      <c r="O20" s="118"/>
      <c r="P20" s="95"/>
      <c r="Q20" s="95"/>
      <c r="R20" s="95"/>
      <c r="S20" s="95"/>
      <c r="T20" s="95"/>
      <c r="U20" s="95"/>
      <c r="W20" s="140">
        <v>15.0</v>
      </c>
      <c r="X20" s="34" t="s">
        <v>151</v>
      </c>
      <c r="Y20" s="142">
        <f t="shared" si="2"/>
        <v>4</v>
      </c>
    </row>
    <row r="21" ht="15.75" customHeight="1">
      <c r="A21" s="84" t="s">
        <v>118</v>
      </c>
      <c r="B21" s="10"/>
      <c r="C21" s="11"/>
      <c r="D21" s="84" t="s">
        <v>8</v>
      </c>
      <c r="E21" s="10"/>
      <c r="F21" s="11"/>
      <c r="G21" s="84" t="s">
        <v>119</v>
      </c>
      <c r="H21" s="10"/>
      <c r="I21" s="11"/>
      <c r="J21" s="84" t="s">
        <v>10</v>
      </c>
      <c r="K21" s="10"/>
      <c r="L21" s="11"/>
      <c r="M21" s="84" t="s">
        <v>11</v>
      </c>
      <c r="N21" s="10"/>
      <c r="O21" s="11"/>
      <c r="P21" s="84" t="s">
        <v>83</v>
      </c>
      <c r="Q21" s="10"/>
      <c r="R21" s="11"/>
      <c r="S21" s="85" t="s">
        <v>84</v>
      </c>
      <c r="T21" s="10"/>
      <c r="U21" s="11"/>
      <c r="W21" s="140">
        <v>16.0</v>
      </c>
      <c r="X21" s="153"/>
      <c r="Y21" s="154">
        <f t="shared" si="2"/>
        <v>0</v>
      </c>
    </row>
    <row r="22" ht="15.75" customHeight="1">
      <c r="A22" s="86">
        <f>S14+1</f>
        <v>46125</v>
      </c>
      <c r="B22" s="10"/>
      <c r="C22" s="11"/>
      <c r="D22" s="86">
        <f>A22+1</f>
        <v>46126</v>
      </c>
      <c r="E22" s="10"/>
      <c r="F22" s="11"/>
      <c r="G22" s="86">
        <f>D22+1</f>
        <v>46127</v>
      </c>
      <c r="H22" s="10"/>
      <c r="I22" s="11"/>
      <c r="J22" s="86">
        <f>G22+1</f>
        <v>46128</v>
      </c>
      <c r="K22" s="10"/>
      <c r="L22" s="11"/>
      <c r="M22" s="86">
        <f>J22+1</f>
        <v>46129</v>
      </c>
      <c r="N22" s="10"/>
      <c r="O22" s="11"/>
      <c r="P22" s="86">
        <f>M22+1</f>
        <v>46130</v>
      </c>
      <c r="Q22" s="10"/>
      <c r="R22" s="11"/>
      <c r="S22" s="122">
        <f>P22+1</f>
        <v>46131</v>
      </c>
      <c r="T22" s="10"/>
      <c r="U22" s="11"/>
      <c r="W22" s="140">
        <v>17.0</v>
      </c>
      <c r="X22" s="153"/>
      <c r="Y22" s="154">
        <f t="shared" si="2"/>
        <v>0</v>
      </c>
    </row>
    <row r="23" ht="15.75" customHeight="1">
      <c r="A23" s="23"/>
      <c r="B23" s="23"/>
      <c r="C23" s="23"/>
      <c r="D23" s="95"/>
      <c r="E23" s="95"/>
      <c r="F23" s="95"/>
      <c r="G23" s="143"/>
      <c r="H23" s="143"/>
      <c r="I23" s="143"/>
      <c r="J23" s="143"/>
      <c r="K23" s="143"/>
      <c r="L23" s="143"/>
      <c r="M23" s="95"/>
      <c r="N23" s="95"/>
      <c r="O23" s="118"/>
      <c r="P23" s="143"/>
      <c r="Q23" s="143"/>
      <c r="R23" s="143"/>
      <c r="S23" s="95"/>
      <c r="T23" s="95"/>
      <c r="U23" s="95"/>
      <c r="W23" s="140">
        <v>18.0</v>
      </c>
      <c r="X23" s="153"/>
      <c r="Y23" s="154">
        <f t="shared" si="2"/>
        <v>0</v>
      </c>
    </row>
    <row r="24" ht="15.75" customHeight="1">
      <c r="A24" s="23"/>
      <c r="B24" s="23"/>
      <c r="C24" s="23"/>
      <c r="D24" s="95"/>
      <c r="E24" s="95"/>
      <c r="F24" s="95"/>
      <c r="G24" s="145"/>
      <c r="H24" s="145"/>
      <c r="I24" s="145"/>
      <c r="J24" s="143"/>
      <c r="K24" s="143"/>
      <c r="L24" s="143"/>
      <c r="M24" s="95" t="s">
        <v>139</v>
      </c>
      <c r="N24" s="95" t="s">
        <v>140</v>
      </c>
      <c r="O24" s="95" t="s">
        <v>21</v>
      </c>
      <c r="P24" s="143"/>
      <c r="Q24" s="143"/>
      <c r="R24" s="143"/>
      <c r="S24" s="87" t="s">
        <v>138</v>
      </c>
      <c r="T24" s="87" t="s">
        <v>18</v>
      </c>
      <c r="U24" s="87" t="s">
        <v>16</v>
      </c>
      <c r="W24" s="140">
        <v>19.0</v>
      </c>
      <c r="X24" s="153"/>
      <c r="Y24" s="154">
        <f t="shared" si="2"/>
        <v>0</v>
      </c>
    </row>
    <row r="25" ht="15.75" customHeight="1">
      <c r="A25" s="95" t="s">
        <v>139</v>
      </c>
      <c r="B25" s="95" t="s">
        <v>148</v>
      </c>
      <c r="C25" s="95" t="s">
        <v>21</v>
      </c>
      <c r="D25" s="95"/>
      <c r="E25" s="95"/>
      <c r="F25" s="95"/>
      <c r="G25" s="95" t="s">
        <v>139</v>
      </c>
      <c r="H25" s="95" t="s">
        <v>140</v>
      </c>
      <c r="I25" s="95" t="s">
        <v>21</v>
      </c>
      <c r="J25" s="95" t="s">
        <v>142</v>
      </c>
      <c r="K25" s="95" t="s">
        <v>140</v>
      </c>
      <c r="L25" s="95" t="s">
        <v>21</v>
      </c>
      <c r="M25" s="95"/>
      <c r="N25" s="95"/>
      <c r="O25" s="95"/>
      <c r="P25" s="146" t="s">
        <v>22</v>
      </c>
      <c r="Q25" s="10"/>
      <c r="R25" s="11"/>
      <c r="S25" s="87"/>
      <c r="T25" s="87"/>
      <c r="U25" s="87"/>
      <c r="W25" s="140">
        <v>20.0</v>
      </c>
      <c r="X25" s="153"/>
      <c r="Y25" s="154">
        <f t="shared" si="2"/>
        <v>0</v>
      </c>
    </row>
    <row r="26" ht="15.75" customHeight="1">
      <c r="A26" s="95"/>
      <c r="B26" s="95"/>
      <c r="C26" s="95"/>
      <c r="D26" s="87" t="s">
        <v>142</v>
      </c>
      <c r="E26" s="87" t="s">
        <v>140</v>
      </c>
      <c r="F26" s="87" t="s">
        <v>21</v>
      </c>
      <c r="G26" s="95"/>
      <c r="H26" s="95"/>
      <c r="I26" s="95"/>
      <c r="J26" s="87"/>
      <c r="K26" s="87"/>
      <c r="L26" s="87"/>
      <c r="M26" s="95" t="s">
        <v>142</v>
      </c>
      <c r="N26" s="95" t="s">
        <v>153</v>
      </c>
      <c r="O26" s="95" t="s">
        <v>57</v>
      </c>
      <c r="P26" s="95"/>
      <c r="Q26" s="95"/>
      <c r="R26" s="95"/>
      <c r="S26" s="95" t="s">
        <v>142</v>
      </c>
      <c r="T26" s="95" t="s">
        <v>148</v>
      </c>
      <c r="U26" s="95" t="s">
        <v>21</v>
      </c>
      <c r="W26" s="140">
        <v>21.0</v>
      </c>
      <c r="X26" s="153"/>
      <c r="Y26" s="154">
        <f t="shared" si="2"/>
        <v>0</v>
      </c>
    </row>
    <row r="27" ht="15.75" customHeight="1">
      <c r="A27" s="26" t="s">
        <v>151</v>
      </c>
      <c r="B27" s="26" t="s">
        <v>109</v>
      </c>
      <c r="C27" s="125" t="s">
        <v>16</v>
      </c>
      <c r="D27" s="87" t="s">
        <v>144</v>
      </c>
      <c r="E27" s="87" t="s">
        <v>109</v>
      </c>
      <c r="F27" s="87" t="s">
        <v>16</v>
      </c>
      <c r="G27" s="26" t="s">
        <v>149</v>
      </c>
      <c r="H27" s="26" t="s">
        <v>150</v>
      </c>
      <c r="I27" s="125" t="s">
        <v>47</v>
      </c>
      <c r="J27" s="87"/>
      <c r="K27" s="87"/>
      <c r="L27" s="87"/>
      <c r="M27" s="95"/>
      <c r="N27" s="95"/>
      <c r="O27" s="95"/>
      <c r="P27" s="95"/>
      <c r="Q27" s="95"/>
      <c r="R27" s="95"/>
      <c r="S27" s="95" t="s">
        <v>139</v>
      </c>
      <c r="T27" s="95" t="s">
        <v>153</v>
      </c>
      <c r="U27" s="95" t="s">
        <v>21</v>
      </c>
      <c r="W27" s="140">
        <v>22.0</v>
      </c>
      <c r="X27" s="153"/>
      <c r="Y27" s="154">
        <f t="shared" si="2"/>
        <v>0</v>
      </c>
    </row>
    <row r="28" ht="15.75" customHeight="1">
      <c r="A28" s="95"/>
      <c r="B28" s="95"/>
      <c r="C28" s="23"/>
      <c r="D28" s="60" t="s">
        <v>141</v>
      </c>
      <c r="E28" s="60" t="s">
        <v>115</v>
      </c>
      <c r="F28" s="60" t="s">
        <v>47</v>
      </c>
      <c r="G28" s="95"/>
      <c r="H28" s="95"/>
      <c r="I28" s="95"/>
      <c r="J28" s="38" t="s">
        <v>141</v>
      </c>
      <c r="K28" s="38"/>
      <c r="L28" s="38" t="s">
        <v>47</v>
      </c>
      <c r="M28" s="95"/>
      <c r="N28" s="95"/>
      <c r="O28" s="152"/>
      <c r="P28" s="95"/>
      <c r="Q28" s="95"/>
      <c r="R28" s="95"/>
      <c r="S28" s="95"/>
      <c r="T28" s="95"/>
      <c r="U28" s="95"/>
      <c r="W28" s="140">
        <v>23.0</v>
      </c>
      <c r="X28" s="153"/>
      <c r="Y28" s="154">
        <f t="shared" si="2"/>
        <v>0</v>
      </c>
    </row>
    <row r="29" ht="15.75" customHeight="1">
      <c r="A29" s="97" t="s">
        <v>118</v>
      </c>
      <c r="B29" s="10"/>
      <c r="C29" s="11"/>
      <c r="D29" s="97" t="s">
        <v>8</v>
      </c>
      <c r="E29" s="10"/>
      <c r="F29" s="11"/>
      <c r="G29" s="97" t="s">
        <v>119</v>
      </c>
      <c r="H29" s="10"/>
      <c r="I29" s="11"/>
      <c r="J29" s="97" t="s">
        <v>10</v>
      </c>
      <c r="K29" s="10"/>
      <c r="L29" s="11"/>
      <c r="M29" s="97" t="s">
        <v>95</v>
      </c>
      <c r="N29" s="10"/>
      <c r="O29" s="11"/>
      <c r="P29" s="97" t="s">
        <v>83</v>
      </c>
      <c r="Q29" s="10"/>
      <c r="R29" s="11"/>
      <c r="S29" s="98" t="s">
        <v>13</v>
      </c>
      <c r="T29" s="10"/>
      <c r="U29" s="11"/>
      <c r="W29" s="140">
        <v>24.0</v>
      </c>
      <c r="X29" s="153"/>
      <c r="Y29" s="154">
        <f t="shared" si="2"/>
        <v>0</v>
      </c>
    </row>
    <row r="30" ht="15.75" customHeight="1">
      <c r="A30" s="99">
        <f>S22+1</f>
        <v>46132</v>
      </c>
      <c r="B30" s="10"/>
      <c r="C30" s="11"/>
      <c r="D30" s="99">
        <f>A30+1</f>
        <v>46133</v>
      </c>
      <c r="E30" s="10"/>
      <c r="F30" s="11"/>
      <c r="G30" s="99">
        <f>D30+1</f>
        <v>46134</v>
      </c>
      <c r="H30" s="10"/>
      <c r="I30" s="11"/>
      <c r="J30" s="99">
        <f>G30+1</f>
        <v>46135</v>
      </c>
      <c r="K30" s="10"/>
      <c r="L30" s="11"/>
      <c r="M30" s="99">
        <f>J30+1</f>
        <v>46136</v>
      </c>
      <c r="N30" s="10"/>
      <c r="O30" s="11"/>
      <c r="P30" s="99">
        <f>M30+1</f>
        <v>46137</v>
      </c>
      <c r="Q30" s="10"/>
      <c r="R30" s="11"/>
      <c r="S30" s="100">
        <f>P30+1</f>
        <v>46138</v>
      </c>
      <c r="T30" s="10"/>
      <c r="U30" s="11"/>
      <c r="W30" s="140">
        <v>25.0</v>
      </c>
      <c r="X30" s="153"/>
      <c r="Y30" s="154">
        <f t="shared" si="2"/>
        <v>0</v>
      </c>
    </row>
    <row r="31" ht="15.75" customHeight="1">
      <c r="A31" s="23"/>
      <c r="B31" s="23"/>
      <c r="C31" s="23"/>
      <c r="D31" s="87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145"/>
      <c r="P31" s="143"/>
      <c r="Q31" s="143"/>
      <c r="R31" s="143"/>
      <c r="S31" s="147" t="s">
        <v>146</v>
      </c>
      <c r="T31" s="148" t="s">
        <v>18</v>
      </c>
      <c r="U31" s="148" t="s">
        <v>47</v>
      </c>
      <c r="W31" s="140">
        <v>26.0</v>
      </c>
      <c r="X31" s="153"/>
      <c r="Y31" s="154">
        <f t="shared" si="2"/>
        <v>0</v>
      </c>
    </row>
    <row r="32" ht="15.75" customHeight="1">
      <c r="A32" s="95" t="s">
        <v>145</v>
      </c>
      <c r="B32" s="95" t="s">
        <v>125</v>
      </c>
      <c r="C32" s="95" t="s">
        <v>21</v>
      </c>
      <c r="D32" s="95"/>
      <c r="E32" s="95"/>
      <c r="F32" s="95"/>
      <c r="G32" s="143"/>
      <c r="H32" s="143"/>
      <c r="I32" s="143"/>
      <c r="J32" s="95"/>
      <c r="K32" s="95"/>
      <c r="L32" s="95"/>
      <c r="M32" s="95" t="s">
        <v>139</v>
      </c>
      <c r="N32" s="95" t="s">
        <v>140</v>
      </c>
      <c r="O32" s="95" t="s">
        <v>21</v>
      </c>
      <c r="P32" s="143"/>
      <c r="Q32" s="143"/>
      <c r="R32" s="143"/>
      <c r="S32" s="95" t="s">
        <v>142</v>
      </c>
      <c r="T32" s="95" t="s">
        <v>148</v>
      </c>
      <c r="U32" s="95" t="s">
        <v>21</v>
      </c>
      <c r="W32" s="140">
        <v>27.0</v>
      </c>
      <c r="X32" s="153"/>
      <c r="Y32" s="154">
        <f t="shared" si="2"/>
        <v>0</v>
      </c>
    </row>
    <row r="33" ht="15.75" customHeight="1">
      <c r="A33" s="95" t="s">
        <v>139</v>
      </c>
      <c r="B33" s="95" t="s">
        <v>148</v>
      </c>
      <c r="C33" s="95" t="s">
        <v>21</v>
      </c>
      <c r="D33" s="95" t="s">
        <v>142</v>
      </c>
      <c r="E33" s="95" t="s">
        <v>140</v>
      </c>
      <c r="F33" s="95" t="s">
        <v>21</v>
      </c>
      <c r="G33" s="95" t="s">
        <v>139</v>
      </c>
      <c r="H33" s="95" t="s">
        <v>140</v>
      </c>
      <c r="I33" s="95" t="s">
        <v>21</v>
      </c>
      <c r="J33" s="95" t="s">
        <v>142</v>
      </c>
      <c r="K33" s="95" t="s">
        <v>140</v>
      </c>
      <c r="L33" s="95" t="s">
        <v>21</v>
      </c>
      <c r="M33" s="95"/>
      <c r="N33" s="95"/>
      <c r="O33" s="95"/>
      <c r="P33" s="146" t="s">
        <v>22</v>
      </c>
      <c r="Q33" s="10"/>
      <c r="R33" s="11"/>
      <c r="S33" s="143"/>
      <c r="T33" s="143"/>
      <c r="U33" s="143"/>
      <c r="W33" s="140">
        <v>28.0</v>
      </c>
      <c r="X33" s="153"/>
      <c r="Y33" s="154">
        <f t="shared" si="2"/>
        <v>0</v>
      </c>
    </row>
    <row r="34" ht="15.0" customHeight="1">
      <c r="A34" s="150" t="s">
        <v>151</v>
      </c>
      <c r="B34" s="150" t="s">
        <v>109</v>
      </c>
      <c r="C34" s="151" t="s">
        <v>16</v>
      </c>
      <c r="D34" s="95"/>
      <c r="E34" s="95"/>
      <c r="F34" s="145"/>
      <c r="G34" s="26"/>
      <c r="H34" s="26"/>
      <c r="I34" s="125"/>
      <c r="J34" s="95"/>
      <c r="K34" s="95"/>
      <c r="L34" s="95"/>
      <c r="M34" s="95" t="s">
        <v>142</v>
      </c>
      <c r="N34" s="95" t="s">
        <v>153</v>
      </c>
      <c r="O34" s="95" t="s">
        <v>21</v>
      </c>
      <c r="P34" s="95" t="s">
        <v>155</v>
      </c>
      <c r="Q34" s="95"/>
      <c r="R34" s="95"/>
      <c r="S34" s="95" t="s">
        <v>139</v>
      </c>
      <c r="T34" s="95" t="s">
        <v>153</v>
      </c>
      <c r="U34" s="95" t="s">
        <v>57</v>
      </c>
      <c r="W34" s="140">
        <v>29.0</v>
      </c>
      <c r="X34" s="153"/>
      <c r="Y34" s="154">
        <f t="shared" si="2"/>
        <v>0</v>
      </c>
    </row>
    <row r="35" ht="15.75" customHeight="1">
      <c r="A35" s="23"/>
      <c r="B35" s="23"/>
      <c r="C35" s="23"/>
      <c r="D35" s="26" t="s">
        <v>147</v>
      </c>
      <c r="E35" s="26" t="s">
        <v>35</v>
      </c>
      <c r="F35" s="26" t="s">
        <v>47</v>
      </c>
      <c r="G35" s="26" t="s">
        <v>149</v>
      </c>
      <c r="H35" s="26" t="s">
        <v>156</v>
      </c>
      <c r="I35" s="125" t="s">
        <v>47</v>
      </c>
      <c r="J35" s="26" t="s">
        <v>143</v>
      </c>
      <c r="K35" s="26" t="s">
        <v>115</v>
      </c>
      <c r="L35" s="26" t="s">
        <v>21</v>
      </c>
      <c r="M35" s="95"/>
      <c r="N35" s="95"/>
      <c r="O35" s="154"/>
      <c r="P35" s="95"/>
      <c r="Q35" s="95"/>
      <c r="R35" s="95"/>
      <c r="S35" s="143"/>
      <c r="T35" s="143"/>
      <c r="Y35" s="5">
        <f>SUM(Y6:Y34)</f>
        <v>58</v>
      </c>
    </row>
    <row r="36" ht="14.25" customHeight="1">
      <c r="A36" s="95"/>
      <c r="B36" s="95"/>
      <c r="C36" s="95"/>
      <c r="D36" s="26" t="s">
        <v>154</v>
      </c>
      <c r="E36" s="26" t="s">
        <v>91</v>
      </c>
      <c r="F36" s="26" t="s">
        <v>47</v>
      </c>
      <c r="G36" s="26" t="s">
        <v>152</v>
      </c>
      <c r="H36" s="26" t="s">
        <v>115</v>
      </c>
      <c r="I36" s="87" t="s">
        <v>21</v>
      </c>
      <c r="J36" s="26"/>
      <c r="K36" s="26"/>
      <c r="L36" s="125"/>
      <c r="M36" s="95"/>
      <c r="N36" s="95"/>
      <c r="O36" s="152"/>
      <c r="P36" s="95"/>
      <c r="Q36" s="95"/>
      <c r="R36" s="95"/>
      <c r="S36" s="95"/>
      <c r="T36" s="95"/>
      <c r="U36" s="95"/>
    </row>
    <row r="37" ht="15.75" customHeight="1">
      <c r="A37" s="84" t="s">
        <v>118</v>
      </c>
      <c r="B37" s="10"/>
      <c r="C37" s="11"/>
      <c r="D37" s="84" t="s">
        <v>8</v>
      </c>
      <c r="E37" s="10"/>
      <c r="F37" s="11"/>
      <c r="G37" s="84" t="s">
        <v>119</v>
      </c>
      <c r="H37" s="10"/>
      <c r="I37" s="11"/>
      <c r="J37" s="84" t="s">
        <v>10</v>
      </c>
      <c r="K37" s="10"/>
      <c r="L37" s="11"/>
      <c r="M37" s="84"/>
      <c r="N37" s="10"/>
      <c r="O37" s="11"/>
      <c r="P37" s="84"/>
      <c r="Q37" s="10"/>
      <c r="R37" s="11"/>
      <c r="S37" s="85"/>
      <c r="T37" s="10"/>
      <c r="U37" s="11"/>
    </row>
    <row r="38" ht="15.75" customHeight="1">
      <c r="A38" s="86">
        <f>S30+1</f>
        <v>46139</v>
      </c>
      <c r="B38" s="10"/>
      <c r="C38" s="11"/>
      <c r="D38" s="86">
        <f>A38+1</f>
        <v>46140</v>
      </c>
      <c r="E38" s="10"/>
      <c r="F38" s="11"/>
      <c r="G38" s="86">
        <f>D38+1</f>
        <v>46141</v>
      </c>
      <c r="H38" s="10"/>
      <c r="I38" s="11"/>
      <c r="J38" s="86">
        <f>G38+1</f>
        <v>46142</v>
      </c>
      <c r="K38" s="10"/>
      <c r="L38" s="11"/>
      <c r="M38" s="86"/>
      <c r="N38" s="10"/>
      <c r="O38" s="11"/>
      <c r="P38" s="86"/>
      <c r="Q38" s="10"/>
      <c r="R38" s="11"/>
      <c r="S38" s="122"/>
      <c r="T38" s="10"/>
      <c r="U38" s="11"/>
    </row>
    <row r="39" ht="15.75" customHeight="1">
      <c r="A39" s="23"/>
      <c r="B39" s="23"/>
      <c r="C39" s="23"/>
      <c r="D39" s="95"/>
      <c r="E39" s="95"/>
      <c r="F39" s="95"/>
      <c r="G39" s="155"/>
      <c r="H39" s="155"/>
      <c r="I39" s="156"/>
      <c r="J39" s="95"/>
      <c r="K39" s="95"/>
      <c r="L39" s="95"/>
      <c r="M39" s="87"/>
      <c r="N39" s="87"/>
      <c r="O39" s="87"/>
      <c r="P39" s="157"/>
      <c r="Q39" s="157"/>
      <c r="R39" s="157"/>
      <c r="S39" s="90"/>
      <c r="T39" s="90"/>
      <c r="U39" s="90"/>
    </row>
    <row r="40" ht="15.75" customHeight="1">
      <c r="A40" s="23"/>
      <c r="B40" s="23"/>
      <c r="C40" s="23"/>
      <c r="D40" s="95"/>
      <c r="E40" s="95"/>
      <c r="F40" s="95"/>
      <c r="G40" s="155"/>
      <c r="H40" s="155"/>
      <c r="I40" s="155"/>
      <c r="J40" s="95" t="s">
        <v>142</v>
      </c>
      <c r="K40" s="95" t="s">
        <v>148</v>
      </c>
      <c r="L40" s="95" t="s">
        <v>21</v>
      </c>
      <c r="M40" s="87"/>
      <c r="N40" s="87"/>
      <c r="O40" s="87"/>
      <c r="P40" s="157"/>
      <c r="Q40" s="157"/>
      <c r="R40" s="157"/>
      <c r="S40" s="90"/>
      <c r="T40" s="90"/>
      <c r="U40" s="90"/>
    </row>
    <row r="41" ht="15.75" customHeight="1">
      <c r="A41" s="95" t="s">
        <v>139</v>
      </c>
      <c r="B41" s="95" t="s">
        <v>148</v>
      </c>
      <c r="C41" s="95" t="s">
        <v>21</v>
      </c>
      <c r="D41" s="95" t="s">
        <v>142</v>
      </c>
      <c r="E41" s="95" t="s">
        <v>140</v>
      </c>
      <c r="F41" s="95" t="s">
        <v>21</v>
      </c>
      <c r="G41" s="132" t="s">
        <v>139</v>
      </c>
      <c r="H41" s="132" t="s">
        <v>140</v>
      </c>
      <c r="I41" s="132" t="s">
        <v>21</v>
      </c>
      <c r="J41" s="95"/>
      <c r="K41" s="95"/>
      <c r="L41" s="95"/>
      <c r="M41" s="87"/>
      <c r="N41" s="87"/>
      <c r="O41" s="87"/>
      <c r="P41" s="158"/>
      <c r="Q41" s="10"/>
      <c r="R41" s="11"/>
      <c r="S41" s="90"/>
      <c r="T41" s="90"/>
      <c r="U41" s="90"/>
    </row>
    <row r="42" ht="15.75" customHeight="1">
      <c r="A42" s="95"/>
      <c r="B42" s="95"/>
      <c r="C42" s="159" t="s">
        <v>157</v>
      </c>
      <c r="D42" s="160" t="s">
        <v>144</v>
      </c>
      <c r="E42" s="160" t="s">
        <v>109</v>
      </c>
      <c r="F42" s="160" t="s">
        <v>16</v>
      </c>
      <c r="G42" s="155"/>
      <c r="H42" s="155"/>
      <c r="I42" s="155"/>
      <c r="J42" s="95" t="s">
        <v>139</v>
      </c>
      <c r="K42" s="95" t="s">
        <v>153</v>
      </c>
      <c r="L42" s="95" t="s">
        <v>21</v>
      </c>
      <c r="M42" s="95"/>
      <c r="N42" s="95"/>
      <c r="O42" s="95"/>
      <c r="P42" s="95" t="s">
        <v>155</v>
      </c>
      <c r="Q42" s="95"/>
      <c r="R42" s="95"/>
      <c r="S42" s="161"/>
      <c r="T42" s="161"/>
      <c r="U42" s="161"/>
    </row>
    <row r="43" ht="15.75" customHeight="1">
      <c r="A43" s="150" t="s">
        <v>151</v>
      </c>
      <c r="B43" s="150" t="s">
        <v>109</v>
      </c>
      <c r="C43" s="151" t="s">
        <v>16</v>
      </c>
      <c r="D43" s="26" t="s">
        <v>149</v>
      </c>
      <c r="E43" s="26" t="s">
        <v>150</v>
      </c>
      <c r="F43" s="125" t="s">
        <v>47</v>
      </c>
      <c r="G43" s="132" t="s">
        <v>142</v>
      </c>
      <c r="H43" s="132" t="s">
        <v>153</v>
      </c>
      <c r="I43" s="132" t="s">
        <v>57</v>
      </c>
      <c r="J43" s="95"/>
      <c r="K43" s="95"/>
      <c r="L43" s="95"/>
      <c r="M43" s="95"/>
      <c r="N43" s="95"/>
      <c r="O43" s="95"/>
      <c r="P43" s="95"/>
      <c r="Q43" s="95"/>
      <c r="R43" s="95"/>
      <c r="S43" s="161"/>
      <c r="T43" s="161"/>
      <c r="U43" s="162"/>
    </row>
    <row r="44" ht="15.75" customHeight="1">
      <c r="A44" s="95"/>
      <c r="B44" s="95"/>
      <c r="C44" s="23"/>
      <c r="D44" s="60" t="s">
        <v>141</v>
      </c>
      <c r="E44" s="60" t="s">
        <v>115</v>
      </c>
      <c r="F44" s="60" t="s">
        <v>47</v>
      </c>
      <c r="G44" s="15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161"/>
      <c r="T44" s="161"/>
      <c r="U44" s="161"/>
    </row>
    <row r="45" ht="15.75" customHeight="1">
      <c r="A45" s="97"/>
      <c r="B45" s="10"/>
      <c r="C45" s="11"/>
      <c r="D45" s="97"/>
      <c r="E45" s="10"/>
      <c r="F45" s="11"/>
      <c r="G45" s="97"/>
      <c r="H45" s="10"/>
      <c r="I45" s="11"/>
      <c r="J45" s="97"/>
      <c r="K45" s="10"/>
      <c r="L45" s="11"/>
      <c r="M45" s="97"/>
      <c r="N45" s="10"/>
      <c r="O45" s="11"/>
      <c r="P45" s="97"/>
      <c r="Q45" s="10"/>
      <c r="R45" s="11"/>
      <c r="S45" s="98"/>
      <c r="T45" s="10"/>
      <c r="U45" s="11"/>
    </row>
    <row r="46" ht="15.75" customHeight="1">
      <c r="A46" s="99"/>
      <c r="B46" s="10"/>
      <c r="C46" s="11"/>
      <c r="D46" s="99"/>
      <c r="E46" s="10"/>
      <c r="F46" s="11"/>
      <c r="G46" s="99"/>
      <c r="H46" s="10"/>
      <c r="I46" s="11"/>
      <c r="J46" s="99"/>
      <c r="K46" s="10"/>
      <c r="L46" s="11"/>
      <c r="M46" s="99"/>
      <c r="N46" s="10"/>
      <c r="O46" s="11"/>
      <c r="P46" s="99"/>
      <c r="Q46" s="10"/>
      <c r="R46" s="11"/>
      <c r="S46" s="100"/>
      <c r="T46" s="10"/>
      <c r="U46" s="11"/>
    </row>
    <row r="47" ht="15.75" customHeight="1">
      <c r="A47" s="143"/>
      <c r="B47" s="143"/>
      <c r="C47" s="143"/>
      <c r="D47" s="95"/>
      <c r="E47" s="95"/>
      <c r="F47" s="95"/>
      <c r="G47" s="143"/>
      <c r="H47" s="143"/>
      <c r="I47" s="143"/>
      <c r="J47" s="95"/>
      <c r="K47" s="95"/>
      <c r="L47" s="118"/>
      <c r="M47" s="95"/>
      <c r="N47" s="95"/>
      <c r="O47" s="118"/>
      <c r="P47" s="143"/>
      <c r="Q47" s="143"/>
      <c r="R47" s="143"/>
      <c r="S47" s="161"/>
      <c r="T47" s="161"/>
      <c r="U47" s="161"/>
    </row>
    <row r="48" ht="15.75" customHeight="1">
      <c r="A48" s="95"/>
      <c r="B48" s="95"/>
      <c r="C48" s="95"/>
      <c r="D48" s="23"/>
      <c r="E48" s="23"/>
      <c r="F48" s="23"/>
      <c r="G48" s="145"/>
      <c r="H48" s="145"/>
      <c r="I48" s="145"/>
      <c r="J48" s="95"/>
      <c r="K48" s="95"/>
      <c r="L48" s="95"/>
      <c r="M48" s="95"/>
      <c r="N48" s="95"/>
      <c r="O48" s="95"/>
      <c r="P48" s="143"/>
      <c r="Q48" s="143"/>
      <c r="R48" s="143"/>
      <c r="S48" s="161"/>
      <c r="T48" s="161"/>
      <c r="U48" s="161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143"/>
      <c r="Q49" s="143"/>
      <c r="R49" s="143"/>
      <c r="S49" s="161"/>
      <c r="T49" s="161"/>
      <c r="U49" s="161"/>
    </row>
    <row r="50" ht="15.75" customHeight="1">
      <c r="A50" s="95"/>
      <c r="B50" s="95"/>
      <c r="C50" s="95"/>
      <c r="D50" s="38"/>
      <c r="E50" s="38"/>
      <c r="F50" s="38"/>
      <c r="G50" s="38"/>
      <c r="H50" s="38"/>
      <c r="I50" s="38"/>
      <c r="J50" s="38"/>
      <c r="K50" s="38"/>
      <c r="L50" s="38"/>
      <c r="M50" s="95"/>
      <c r="N50" s="95"/>
      <c r="O50" s="95"/>
      <c r="P50" s="95"/>
      <c r="Q50" s="95"/>
      <c r="R50" s="95"/>
      <c r="S50" s="161"/>
      <c r="T50" s="161"/>
      <c r="U50" s="161"/>
    </row>
    <row r="51" ht="15.75" customHeight="1">
      <c r="A51" s="87"/>
      <c r="B51" s="87"/>
      <c r="C51" s="87"/>
      <c r="D51" s="23"/>
      <c r="E51" s="23"/>
      <c r="F51" s="23"/>
      <c r="G51" s="38"/>
      <c r="H51" s="38"/>
      <c r="I51" s="38"/>
      <c r="J51" s="87"/>
      <c r="K51" s="87"/>
      <c r="L51" s="87"/>
      <c r="M51" s="95"/>
      <c r="N51" s="95"/>
      <c r="O51" s="95"/>
      <c r="P51" s="95"/>
      <c r="Q51" s="95"/>
      <c r="R51" s="95"/>
      <c r="S51" s="161"/>
      <c r="T51" s="161"/>
      <c r="U51" s="162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5"/>
      <c r="J52" s="38"/>
      <c r="K52" s="38"/>
      <c r="L52" s="38"/>
      <c r="M52" s="95"/>
      <c r="N52" s="95"/>
      <c r="O52" s="152"/>
      <c r="P52" s="95"/>
      <c r="Q52" s="95"/>
      <c r="R52" s="95"/>
      <c r="S52" s="161"/>
      <c r="T52" s="161"/>
      <c r="U52" s="161"/>
    </row>
    <row r="53" ht="15.75" customHeight="1"/>
    <row r="54" ht="15.75" customHeight="1"/>
    <row r="55" ht="15.75" customHeight="1">
      <c r="A55" s="71" t="s">
        <v>72</v>
      </c>
      <c r="B55" s="72"/>
    </row>
    <row r="56" ht="15.75" customHeight="1">
      <c r="A56" s="73"/>
      <c r="B56" s="26" t="s">
        <v>73</v>
      </c>
      <c r="C56" s="57"/>
      <c r="D56" s="74"/>
    </row>
    <row r="57" ht="15.75" customHeight="1">
      <c r="A57" s="75"/>
      <c r="B57" s="26" t="s">
        <v>74</v>
      </c>
      <c r="C57" s="57"/>
    </row>
    <row r="58" ht="15.75" customHeight="1">
      <c r="A58" s="76"/>
      <c r="B58" s="26" t="s">
        <v>75</v>
      </c>
      <c r="C58" s="57"/>
    </row>
    <row r="59" ht="15.75" customHeight="1">
      <c r="A59" s="78"/>
      <c r="B59" s="26" t="s">
        <v>78</v>
      </c>
      <c r="C59" s="5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5:$Y$35"/>
  <mergeCells count="101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S22:U22"/>
    <mergeCell ref="P22:R22"/>
    <mergeCell ref="P25:R25"/>
    <mergeCell ref="A29:C29"/>
    <mergeCell ref="D29:F29"/>
    <mergeCell ref="G29:I29"/>
    <mergeCell ref="J29:L29"/>
    <mergeCell ref="M29:O29"/>
    <mergeCell ref="A30:C30"/>
    <mergeCell ref="D30:F30"/>
    <mergeCell ref="G30:I30"/>
    <mergeCell ref="J30:L30"/>
    <mergeCell ref="M30:O30"/>
    <mergeCell ref="P30:R30"/>
    <mergeCell ref="P33:R33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P41:R41"/>
    <mergeCell ref="A38:C38"/>
    <mergeCell ref="D45:F45"/>
    <mergeCell ref="G45:I45"/>
    <mergeCell ref="J45:L45"/>
    <mergeCell ref="M45:O45"/>
    <mergeCell ref="P45:R45"/>
    <mergeCell ref="S45:U45"/>
    <mergeCell ref="A46:C46"/>
    <mergeCell ref="B55:D55"/>
    <mergeCell ref="A45:C45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P9:R9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P17:R17"/>
    <mergeCell ref="P29:R29"/>
    <mergeCell ref="S29:U29"/>
    <mergeCell ref="S30:U30"/>
  </mergeCells>
  <printOptions/>
  <pageMargins bottom="0.15" footer="0.0" header="0.0" left="0.46" right="0.34" top="0.28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1.57"/>
    <col customWidth="1" min="3" max="3" width="7.29"/>
    <col customWidth="1" min="4" max="4" width="16.86"/>
    <col customWidth="1" min="5" max="5" width="11.71"/>
    <col customWidth="1" min="6" max="6" width="6.86"/>
    <col customWidth="1" min="7" max="7" width="17.43"/>
    <col customWidth="1" min="8" max="8" width="11.43"/>
    <col customWidth="1" min="9" max="9" width="7.71"/>
    <col customWidth="1" min="10" max="10" width="25.43"/>
    <col customWidth="1" min="11" max="11" width="11.43"/>
    <col customWidth="1" min="12" max="12" width="7.0"/>
    <col customWidth="1" min="13" max="13" width="25.43"/>
    <col customWidth="1" min="14" max="14" width="11.43"/>
    <col customWidth="1" min="15" max="15" width="7.71"/>
    <col customWidth="1" min="16" max="16" width="15.29"/>
    <col customWidth="1" min="17" max="17" width="13.57"/>
    <col customWidth="1" min="18" max="18" width="9.29"/>
    <col customWidth="1" min="19" max="19" width="13.43"/>
    <col customWidth="1" min="20" max="20" width="10.86"/>
    <col customWidth="1" min="21" max="21" width="9.0"/>
    <col customWidth="1" min="22" max="23" width="8.71"/>
    <col customWidth="1" min="24" max="24" width="19.0"/>
    <col customWidth="1" min="25" max="25" width="12.29"/>
    <col customWidth="1" min="26" max="26" width="14.86"/>
    <col customWidth="1" min="27" max="27" width="8.71"/>
  </cols>
  <sheetData>
    <row r="1" ht="15.75" customHeight="1">
      <c r="A1" s="1" t="s">
        <v>155</v>
      </c>
      <c r="C1" s="2" t="s">
        <v>158</v>
      </c>
      <c r="F1" s="3"/>
      <c r="G1" s="4" t="s">
        <v>2</v>
      </c>
      <c r="Q1" s="3"/>
    </row>
    <row r="2" ht="15.75" customHeight="1">
      <c r="A2" s="1" t="s">
        <v>3</v>
      </c>
      <c r="C2" s="6" t="s">
        <v>159</v>
      </c>
      <c r="F2" s="3"/>
      <c r="Q2" s="3"/>
    </row>
    <row r="3" ht="15.75" customHeight="1">
      <c r="A3" s="1" t="s">
        <v>5</v>
      </c>
      <c r="C3" s="163"/>
      <c r="F3" s="3"/>
      <c r="Q3" s="3"/>
    </row>
    <row r="4" ht="15.75" customHeight="1">
      <c r="A4" s="79" t="s">
        <v>6</v>
      </c>
      <c r="B4" s="80"/>
      <c r="C4" s="164" t="s">
        <v>160</v>
      </c>
      <c r="D4" s="80"/>
      <c r="E4" s="3"/>
      <c r="F4" s="3"/>
      <c r="Q4" s="3"/>
    </row>
    <row r="5" ht="15.75" customHeight="1">
      <c r="A5" s="2"/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3"/>
    </row>
    <row r="6" ht="15.75" customHeight="1">
      <c r="A6" s="84"/>
      <c r="B6" s="10"/>
      <c r="C6" s="11"/>
      <c r="D6" s="84"/>
      <c r="E6" s="10"/>
      <c r="F6" s="11"/>
      <c r="G6" s="9" t="s">
        <v>9</v>
      </c>
      <c r="H6" s="10"/>
      <c r="I6" s="11"/>
      <c r="J6" s="84" t="s">
        <v>10</v>
      </c>
      <c r="K6" s="10"/>
      <c r="L6" s="11"/>
      <c r="M6" s="85" t="s">
        <v>11</v>
      </c>
      <c r="N6" s="10"/>
      <c r="O6" s="11"/>
      <c r="P6" s="84" t="s">
        <v>83</v>
      </c>
      <c r="Q6" s="10"/>
      <c r="R6" s="11"/>
      <c r="S6" s="85" t="s">
        <v>84</v>
      </c>
      <c r="T6" s="10"/>
      <c r="U6" s="11"/>
      <c r="W6" s="133" t="s">
        <v>24</v>
      </c>
      <c r="X6" s="134" t="s">
        <v>137</v>
      </c>
      <c r="Y6" s="135" t="s">
        <v>26</v>
      </c>
    </row>
    <row r="7" ht="15.75" customHeight="1">
      <c r="A7" s="86"/>
      <c r="B7" s="10"/>
      <c r="C7" s="11"/>
      <c r="D7" s="86"/>
      <c r="E7" s="10"/>
      <c r="F7" s="11"/>
      <c r="G7" s="17">
        <v>46113.0</v>
      </c>
      <c r="H7" s="10"/>
      <c r="I7" s="11"/>
      <c r="J7" s="17">
        <v>46114.0</v>
      </c>
      <c r="K7" s="10"/>
      <c r="L7" s="11"/>
      <c r="M7" s="165">
        <v>46115.0</v>
      </c>
      <c r="N7" s="10"/>
      <c r="O7" s="11"/>
      <c r="P7" s="17">
        <v>46116.0</v>
      </c>
      <c r="Q7" s="10"/>
      <c r="R7" s="11"/>
      <c r="S7" s="17">
        <v>46117.0</v>
      </c>
      <c r="T7" s="10"/>
      <c r="U7" s="11"/>
      <c r="W7" s="140">
        <v>17.0</v>
      </c>
      <c r="X7" s="144" t="s">
        <v>161</v>
      </c>
      <c r="Y7" s="154">
        <f t="shared" ref="Y7:Y30" si="1">COUNTIF($A$5:$U$47,X7)</f>
        <v>2</v>
      </c>
      <c r="Z7" s="77" t="s">
        <v>161</v>
      </c>
      <c r="AA7" s="77">
        <v>2.0</v>
      </c>
    </row>
    <row r="8" ht="15.75" customHeight="1">
      <c r="A8" s="87"/>
      <c r="B8" s="87"/>
      <c r="C8" s="87"/>
      <c r="D8" s="87"/>
      <c r="E8" s="87"/>
      <c r="F8" s="87"/>
      <c r="G8" s="87"/>
      <c r="H8" s="87"/>
      <c r="I8" s="87"/>
      <c r="J8" s="125" t="s">
        <v>161</v>
      </c>
      <c r="K8" s="125" t="s">
        <v>125</v>
      </c>
      <c r="L8" s="125" t="s">
        <v>16</v>
      </c>
      <c r="M8" s="95"/>
      <c r="N8" s="95"/>
      <c r="O8" s="95"/>
      <c r="P8" s="36"/>
      <c r="Q8" s="38"/>
      <c r="R8" s="38"/>
      <c r="S8" s="95"/>
      <c r="T8" s="95"/>
      <c r="U8" s="95"/>
      <c r="W8" s="140">
        <v>25.0</v>
      </c>
      <c r="X8" s="166" t="s">
        <v>162</v>
      </c>
      <c r="Y8" s="154">
        <f t="shared" si="1"/>
        <v>2</v>
      </c>
      <c r="Z8" s="77" t="s">
        <v>162</v>
      </c>
      <c r="AA8" s="77">
        <v>2.0</v>
      </c>
    </row>
    <row r="9" ht="15.75" customHeight="1">
      <c r="A9" s="87"/>
      <c r="B9" s="87"/>
      <c r="C9" s="87"/>
      <c r="D9" s="87"/>
      <c r="E9" s="87"/>
      <c r="F9" s="87"/>
      <c r="G9" s="87"/>
      <c r="H9" s="87"/>
      <c r="I9" s="87"/>
      <c r="J9" s="38" t="s">
        <v>163</v>
      </c>
      <c r="K9" s="125" t="s">
        <v>28</v>
      </c>
      <c r="L9" s="125" t="s">
        <v>16</v>
      </c>
      <c r="M9" s="95"/>
      <c r="N9" s="95"/>
      <c r="O9" s="95"/>
      <c r="P9" s="96" t="s">
        <v>164</v>
      </c>
      <c r="Q9" s="109" t="s">
        <v>165</v>
      </c>
      <c r="R9" s="110" t="s">
        <v>21</v>
      </c>
      <c r="S9" s="95"/>
      <c r="T9" s="95"/>
      <c r="U9" s="95"/>
      <c r="W9" s="140"/>
      <c r="X9" s="144" t="s">
        <v>166</v>
      </c>
      <c r="Y9" s="154">
        <f t="shared" si="1"/>
        <v>2</v>
      </c>
      <c r="Z9" s="77" t="s">
        <v>166</v>
      </c>
      <c r="AA9" s="77">
        <v>2.0</v>
      </c>
    </row>
    <row r="10" ht="15.75" customHeight="1">
      <c r="A10" s="95"/>
      <c r="B10" s="95"/>
      <c r="C10" s="95"/>
      <c r="D10" s="95"/>
      <c r="E10" s="95"/>
      <c r="F10" s="95"/>
      <c r="G10" s="88" t="s">
        <v>167</v>
      </c>
      <c r="H10" s="150" t="s">
        <v>43</v>
      </c>
      <c r="I10" s="88" t="s">
        <v>16</v>
      </c>
      <c r="J10" s="125" t="s">
        <v>166</v>
      </c>
      <c r="K10" s="125" t="s">
        <v>40</v>
      </c>
      <c r="L10" s="125" t="s">
        <v>16</v>
      </c>
      <c r="M10" s="146" t="s">
        <v>22</v>
      </c>
      <c r="N10" s="10"/>
      <c r="O10" s="11"/>
      <c r="P10" s="38"/>
      <c r="Q10" s="26"/>
      <c r="R10" s="95"/>
      <c r="S10" s="146" t="s">
        <v>22</v>
      </c>
      <c r="T10" s="10"/>
      <c r="U10" s="11"/>
      <c r="W10" s="140">
        <v>21.0</v>
      </c>
      <c r="X10" s="153" t="s">
        <v>168</v>
      </c>
      <c r="Y10" s="154">
        <f t="shared" si="1"/>
        <v>2</v>
      </c>
      <c r="Z10" s="77" t="s">
        <v>168</v>
      </c>
      <c r="AA10" s="77">
        <v>2.0</v>
      </c>
    </row>
    <row r="11" ht="15.75" customHeight="1">
      <c r="A11" s="95"/>
      <c r="B11" s="95"/>
      <c r="C11" s="95"/>
      <c r="D11" s="95"/>
      <c r="E11" s="95"/>
      <c r="F11" s="95"/>
      <c r="G11" s="26" t="s">
        <v>169</v>
      </c>
      <c r="H11" s="26" t="s">
        <v>49</v>
      </c>
      <c r="I11" s="95" t="s">
        <v>16</v>
      </c>
      <c r="J11" s="26" t="s">
        <v>170</v>
      </c>
      <c r="K11" s="125" t="s">
        <v>67</v>
      </c>
      <c r="L11" s="125" t="s">
        <v>16</v>
      </c>
      <c r="M11" s="95"/>
      <c r="N11" s="95"/>
      <c r="O11" s="95"/>
      <c r="P11" s="38"/>
      <c r="Q11" s="26"/>
      <c r="R11" s="95"/>
      <c r="S11" s="95"/>
      <c r="T11" s="95"/>
      <c r="U11" s="95"/>
      <c r="W11" s="140">
        <v>6.0</v>
      </c>
      <c r="X11" s="153" t="s">
        <v>171</v>
      </c>
      <c r="Y11" s="154">
        <f t="shared" si="1"/>
        <v>2</v>
      </c>
      <c r="Z11" s="77" t="s">
        <v>171</v>
      </c>
      <c r="AA11" s="77">
        <v>3.0</v>
      </c>
    </row>
    <row r="12" ht="15.75" customHeight="1">
      <c r="A12" s="95"/>
      <c r="B12" s="95"/>
      <c r="C12" s="95"/>
      <c r="D12" s="95"/>
      <c r="E12" s="95"/>
      <c r="F12" s="95"/>
      <c r="G12" s="95"/>
      <c r="H12" s="95"/>
      <c r="I12" s="95"/>
      <c r="J12" s="26" t="s">
        <v>172</v>
      </c>
      <c r="K12" s="125" t="s">
        <v>109</v>
      </c>
      <c r="L12" s="125" t="s">
        <v>16</v>
      </c>
      <c r="M12" s="95"/>
      <c r="N12" s="95"/>
      <c r="O12" s="95"/>
      <c r="P12" s="95" t="s">
        <v>173</v>
      </c>
      <c r="Q12" s="95" t="s">
        <v>174</v>
      </c>
      <c r="R12" s="95" t="s">
        <v>21</v>
      </c>
      <c r="S12" s="95"/>
      <c r="T12" s="95"/>
      <c r="U12" s="95"/>
      <c r="W12" s="140">
        <v>7.0</v>
      </c>
      <c r="X12" s="153" t="s">
        <v>175</v>
      </c>
      <c r="Y12" s="154">
        <f t="shared" si="1"/>
        <v>4</v>
      </c>
      <c r="Z12" s="77" t="s">
        <v>175</v>
      </c>
      <c r="AA12" s="77">
        <v>5.0</v>
      </c>
    </row>
    <row r="13" ht="15.75" customHeight="1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87" t="s">
        <v>162</v>
      </c>
      <c r="Q13" s="87" t="s">
        <v>52</v>
      </c>
      <c r="R13" s="87" t="s">
        <v>47</v>
      </c>
      <c r="S13" s="95"/>
      <c r="T13" s="95"/>
      <c r="U13" s="95"/>
      <c r="W13" s="140"/>
      <c r="X13" s="144" t="s">
        <v>176</v>
      </c>
      <c r="Y13" s="154">
        <f t="shared" si="1"/>
        <v>2</v>
      </c>
      <c r="Z13" s="77" t="s">
        <v>176</v>
      </c>
      <c r="AA13" s="77">
        <v>2.0</v>
      </c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95"/>
      <c r="N14" s="95"/>
      <c r="O14" s="95"/>
      <c r="P14" s="95"/>
      <c r="Q14" s="95"/>
      <c r="R14" s="95"/>
      <c r="S14" s="95"/>
      <c r="T14" s="95"/>
      <c r="U14" s="95"/>
      <c r="W14" s="140"/>
      <c r="X14" s="144" t="s">
        <v>177</v>
      </c>
      <c r="Y14" s="154">
        <f t="shared" si="1"/>
        <v>5</v>
      </c>
      <c r="Z14" s="77" t="s">
        <v>177</v>
      </c>
      <c r="AA14" s="77">
        <v>4.0</v>
      </c>
    </row>
    <row r="15" ht="15.75" customHeight="1">
      <c r="A15" s="97" t="s">
        <v>118</v>
      </c>
      <c r="B15" s="10"/>
      <c r="C15" s="11"/>
      <c r="D15" s="97" t="s">
        <v>8</v>
      </c>
      <c r="E15" s="10"/>
      <c r="F15" s="11"/>
      <c r="G15" s="97" t="s">
        <v>119</v>
      </c>
      <c r="H15" s="10"/>
      <c r="I15" s="11"/>
      <c r="J15" s="97" t="s">
        <v>10</v>
      </c>
      <c r="K15" s="10"/>
      <c r="L15" s="11"/>
      <c r="M15" s="97" t="s">
        <v>95</v>
      </c>
      <c r="N15" s="10"/>
      <c r="O15" s="11"/>
      <c r="P15" s="97" t="s">
        <v>83</v>
      </c>
      <c r="Q15" s="10"/>
      <c r="R15" s="11"/>
      <c r="S15" s="167" t="s">
        <v>13</v>
      </c>
      <c r="T15" s="10"/>
      <c r="U15" s="11"/>
      <c r="W15" s="140">
        <v>20.0</v>
      </c>
      <c r="X15" s="153" t="s">
        <v>170</v>
      </c>
      <c r="Y15" s="154">
        <f t="shared" si="1"/>
        <v>2</v>
      </c>
      <c r="Z15" s="77" t="s">
        <v>170</v>
      </c>
      <c r="AA15" s="77">
        <v>2.0</v>
      </c>
    </row>
    <row r="16" ht="15.75" customHeight="1">
      <c r="A16" s="99">
        <f>S7+1</f>
        <v>46118</v>
      </c>
      <c r="B16" s="10"/>
      <c r="C16" s="11"/>
      <c r="D16" s="99">
        <f>A16+1</f>
        <v>46119</v>
      </c>
      <c r="E16" s="10"/>
      <c r="F16" s="11"/>
      <c r="G16" s="99">
        <f>D16+1</f>
        <v>46120</v>
      </c>
      <c r="H16" s="10"/>
      <c r="I16" s="11"/>
      <c r="J16" s="99">
        <f>G16+1</f>
        <v>46121</v>
      </c>
      <c r="K16" s="10"/>
      <c r="L16" s="11"/>
      <c r="M16" s="99">
        <f>J16+1</f>
        <v>46122</v>
      </c>
      <c r="N16" s="10"/>
      <c r="O16" s="11"/>
      <c r="P16" s="99">
        <f>M16+1</f>
        <v>46123</v>
      </c>
      <c r="Q16" s="10"/>
      <c r="R16" s="11"/>
      <c r="S16" s="100">
        <f>P16+1</f>
        <v>46124</v>
      </c>
      <c r="T16" s="10"/>
      <c r="U16" s="11"/>
      <c r="W16" s="140">
        <v>9.0</v>
      </c>
      <c r="X16" s="150" t="s">
        <v>172</v>
      </c>
      <c r="Y16" s="154">
        <f t="shared" si="1"/>
        <v>2</v>
      </c>
      <c r="Z16" s="77" t="s">
        <v>172</v>
      </c>
      <c r="AA16" s="77">
        <v>2.0</v>
      </c>
    </row>
    <row r="17" ht="15.75" customHeight="1">
      <c r="A17" s="168" t="s">
        <v>178</v>
      </c>
      <c r="B17" s="168" t="s">
        <v>179</v>
      </c>
      <c r="C17" s="169"/>
      <c r="D17" s="145" t="s">
        <v>176</v>
      </c>
      <c r="E17" s="145" t="s">
        <v>67</v>
      </c>
      <c r="F17" s="145" t="s">
        <v>47</v>
      </c>
      <c r="G17" s="95"/>
      <c r="H17" s="95"/>
      <c r="I17" s="95"/>
      <c r="J17" s="87"/>
      <c r="K17" s="87"/>
      <c r="L17" s="87"/>
      <c r="M17" s="170"/>
      <c r="N17" s="170"/>
      <c r="O17" s="170"/>
      <c r="P17" s="87"/>
      <c r="Q17" s="87"/>
      <c r="R17" s="87"/>
      <c r="W17" s="140">
        <v>16.0</v>
      </c>
      <c r="X17" s="153" t="s">
        <v>169</v>
      </c>
      <c r="Y17" s="154">
        <f t="shared" si="1"/>
        <v>2</v>
      </c>
      <c r="Z17" s="77" t="s">
        <v>169</v>
      </c>
      <c r="AA17" s="77">
        <v>2.0</v>
      </c>
    </row>
    <row r="18" ht="15.75" customHeight="1">
      <c r="A18" s="26" t="s">
        <v>180</v>
      </c>
      <c r="B18" s="26" t="s">
        <v>32</v>
      </c>
      <c r="C18" s="26" t="s">
        <v>47</v>
      </c>
      <c r="D18" s="171" t="s">
        <v>177</v>
      </c>
      <c r="E18" s="171" t="s">
        <v>181</v>
      </c>
      <c r="F18" s="171" t="s">
        <v>21</v>
      </c>
      <c r="G18" s="87" t="s">
        <v>182</v>
      </c>
      <c r="H18" s="87" t="s">
        <v>125</v>
      </c>
      <c r="I18" s="87" t="s">
        <v>16</v>
      </c>
      <c r="J18" s="36" t="s">
        <v>163</v>
      </c>
      <c r="K18" s="172" t="s">
        <v>109</v>
      </c>
      <c r="L18" s="172" t="s">
        <v>16</v>
      </c>
      <c r="M18" s="171" t="s">
        <v>177</v>
      </c>
      <c r="N18" s="171" t="s">
        <v>181</v>
      </c>
      <c r="O18" s="171" t="s">
        <v>21</v>
      </c>
      <c r="P18" s="38"/>
      <c r="Q18" s="38"/>
      <c r="R18" s="38"/>
      <c r="S18" s="95"/>
      <c r="T18" s="95"/>
      <c r="U18" s="95"/>
      <c r="W18" s="140">
        <v>5.0</v>
      </c>
      <c r="X18" s="153" t="s">
        <v>183</v>
      </c>
      <c r="Y18" s="154">
        <f t="shared" si="1"/>
        <v>4</v>
      </c>
      <c r="Z18" s="77" t="s">
        <v>183</v>
      </c>
      <c r="AA18" s="77">
        <v>4.0</v>
      </c>
    </row>
    <row r="19" ht="15.75" customHeight="1">
      <c r="A19" s="29"/>
      <c r="B19" s="44"/>
      <c r="C19" s="44"/>
      <c r="D19" s="88" t="s">
        <v>184</v>
      </c>
      <c r="E19" s="22" t="s">
        <v>185</v>
      </c>
      <c r="F19" s="173" t="s">
        <v>16</v>
      </c>
      <c r="G19" s="88" t="s">
        <v>167</v>
      </c>
      <c r="H19" s="150" t="s">
        <v>43</v>
      </c>
      <c r="I19" s="88" t="s">
        <v>16</v>
      </c>
      <c r="J19" s="36" t="s">
        <v>65</v>
      </c>
      <c r="K19" s="172" t="s">
        <v>66</v>
      </c>
      <c r="L19" s="172" t="s">
        <v>47</v>
      </c>
      <c r="M19" s="88" t="s">
        <v>171</v>
      </c>
      <c r="N19" s="88" t="s">
        <v>35</v>
      </c>
      <c r="O19" s="88" t="s">
        <v>47</v>
      </c>
      <c r="P19" s="96" t="s">
        <v>164</v>
      </c>
      <c r="Q19" s="109" t="s">
        <v>165</v>
      </c>
      <c r="R19" s="110" t="s">
        <v>21</v>
      </c>
      <c r="S19" s="174" t="s">
        <v>22</v>
      </c>
      <c r="T19" s="10"/>
      <c r="U19" s="11"/>
      <c r="W19" s="140">
        <v>13.0</v>
      </c>
      <c r="X19" s="153" t="s">
        <v>65</v>
      </c>
      <c r="Y19" s="154">
        <f t="shared" si="1"/>
        <v>2</v>
      </c>
      <c r="Z19" s="77" t="s">
        <v>65</v>
      </c>
      <c r="AA19" s="77">
        <v>2.0</v>
      </c>
    </row>
    <row r="20" ht="15.75" customHeight="1">
      <c r="A20" s="87" t="s">
        <v>168</v>
      </c>
      <c r="B20" s="87" t="s">
        <v>115</v>
      </c>
      <c r="C20" s="87" t="s">
        <v>47</v>
      </c>
      <c r="D20" s="145" t="s">
        <v>183</v>
      </c>
      <c r="E20" s="145" t="s">
        <v>135</v>
      </c>
      <c r="F20" s="145" t="s">
        <v>47</v>
      </c>
      <c r="G20" s="95" t="s">
        <v>175</v>
      </c>
      <c r="H20" s="95" t="s">
        <v>186</v>
      </c>
      <c r="I20" s="95" t="s">
        <v>21</v>
      </c>
      <c r="J20" s="24"/>
      <c r="K20" s="24"/>
      <c r="L20" s="24"/>
      <c r="M20" s="87"/>
      <c r="N20" s="95"/>
      <c r="O20" s="95"/>
      <c r="P20" s="87"/>
      <c r="Q20" s="87"/>
      <c r="R20" s="87"/>
      <c r="S20" s="95"/>
      <c r="T20" s="95"/>
      <c r="U20" s="95"/>
      <c r="W20" s="140">
        <v>1.0</v>
      </c>
      <c r="X20" s="150" t="s">
        <v>187</v>
      </c>
      <c r="Y20" s="154">
        <f t="shared" si="1"/>
        <v>2</v>
      </c>
      <c r="Z20" s="77" t="s">
        <v>187</v>
      </c>
      <c r="AA20" s="77">
        <v>2.0</v>
      </c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36"/>
      <c r="K21" s="172"/>
      <c r="L21" s="172"/>
      <c r="M21" s="26" t="s">
        <v>188</v>
      </c>
      <c r="N21" s="26" t="s">
        <v>189</v>
      </c>
      <c r="O21" s="38" t="s">
        <v>21</v>
      </c>
      <c r="P21" s="87" t="s">
        <v>190</v>
      </c>
      <c r="Q21" s="95" t="s">
        <v>191</v>
      </c>
      <c r="R21" s="95" t="s">
        <v>47</v>
      </c>
      <c r="S21" s="95"/>
      <c r="T21" s="95"/>
      <c r="U21" s="95"/>
      <c r="W21" s="140"/>
      <c r="X21" s="26" t="s">
        <v>180</v>
      </c>
      <c r="Y21" s="154">
        <f t="shared" si="1"/>
        <v>4</v>
      </c>
      <c r="Z21" s="77" t="s">
        <v>192</v>
      </c>
      <c r="AA21" s="77">
        <v>5.0</v>
      </c>
    </row>
    <row r="22" ht="15.75" customHeight="1">
      <c r="A22" s="84" t="s">
        <v>118</v>
      </c>
      <c r="B22" s="10"/>
      <c r="C22" s="11"/>
      <c r="D22" s="84" t="s">
        <v>8</v>
      </c>
      <c r="E22" s="10"/>
      <c r="F22" s="11"/>
      <c r="G22" s="84" t="s">
        <v>119</v>
      </c>
      <c r="H22" s="10"/>
      <c r="I22" s="11"/>
      <c r="J22" s="84" t="s">
        <v>10</v>
      </c>
      <c r="K22" s="10"/>
      <c r="L22" s="11"/>
      <c r="M22" s="84" t="s">
        <v>11</v>
      </c>
      <c r="N22" s="10"/>
      <c r="O22" s="11"/>
      <c r="P22" s="84" t="s">
        <v>83</v>
      </c>
      <c r="Q22" s="10"/>
      <c r="R22" s="11"/>
      <c r="S22" s="85" t="s">
        <v>84</v>
      </c>
      <c r="T22" s="10"/>
      <c r="U22" s="11"/>
      <c r="W22" s="140"/>
      <c r="X22" s="88" t="s">
        <v>184</v>
      </c>
      <c r="Y22" s="154">
        <f t="shared" si="1"/>
        <v>2</v>
      </c>
      <c r="Z22" s="77" t="s">
        <v>193</v>
      </c>
      <c r="AA22" s="77">
        <v>3.0</v>
      </c>
    </row>
    <row r="23" ht="15.75" customHeight="1">
      <c r="A23" s="86">
        <f>S16+1</f>
        <v>46125</v>
      </c>
      <c r="B23" s="10"/>
      <c r="C23" s="11"/>
      <c r="D23" s="86">
        <f>A23+1</f>
        <v>46126</v>
      </c>
      <c r="E23" s="10"/>
      <c r="F23" s="11"/>
      <c r="G23" s="86">
        <f>D23+1</f>
        <v>46127</v>
      </c>
      <c r="H23" s="10"/>
      <c r="I23" s="11"/>
      <c r="J23" s="86">
        <f>G23+1</f>
        <v>46128</v>
      </c>
      <c r="K23" s="10"/>
      <c r="L23" s="11"/>
      <c r="M23" s="86">
        <f>J23+1</f>
        <v>46129</v>
      </c>
      <c r="N23" s="10"/>
      <c r="O23" s="11"/>
      <c r="P23" s="86">
        <f>M23+1</f>
        <v>46130</v>
      </c>
      <c r="Q23" s="10"/>
      <c r="R23" s="11"/>
      <c r="S23" s="122">
        <f>P23+1</f>
        <v>46131</v>
      </c>
      <c r="T23" s="10"/>
      <c r="U23" s="11"/>
      <c r="W23" s="140">
        <v>2.0</v>
      </c>
      <c r="X23" s="150" t="s">
        <v>173</v>
      </c>
      <c r="Y23" s="154">
        <f t="shared" si="1"/>
        <v>2</v>
      </c>
      <c r="Z23" s="77" t="s">
        <v>173</v>
      </c>
      <c r="AA23" s="77">
        <v>2.0</v>
      </c>
    </row>
    <row r="24" ht="15.75" customHeight="1">
      <c r="A24" s="95"/>
      <c r="B24" s="95"/>
      <c r="C24" s="95"/>
      <c r="D24" s="95"/>
      <c r="E24" s="95"/>
      <c r="F24" s="95"/>
      <c r="G24" s="87"/>
      <c r="H24" s="87"/>
      <c r="I24" s="87"/>
      <c r="J24" s="125" t="s">
        <v>161</v>
      </c>
      <c r="K24" s="125" t="s">
        <v>125</v>
      </c>
      <c r="L24" s="125" t="s">
        <v>16</v>
      </c>
      <c r="M24" s="36"/>
      <c r="N24" s="172"/>
      <c r="O24" s="172"/>
      <c r="P24" s="21"/>
      <c r="Q24" s="155"/>
      <c r="R24" s="155"/>
      <c r="S24" s="95"/>
      <c r="T24" s="95"/>
      <c r="U24" s="95"/>
      <c r="W24" s="140">
        <v>12.0</v>
      </c>
      <c r="X24" s="153" t="s">
        <v>163</v>
      </c>
      <c r="Y24" s="154">
        <f t="shared" si="1"/>
        <v>4</v>
      </c>
      <c r="Z24" s="77" t="s">
        <v>163</v>
      </c>
      <c r="AA24" s="77">
        <v>4.0</v>
      </c>
    </row>
    <row r="25" ht="15.75" customHeight="1">
      <c r="A25" s="26" t="s">
        <v>178</v>
      </c>
      <c r="B25" s="26" t="s">
        <v>179</v>
      </c>
      <c r="C25" s="57"/>
      <c r="D25" s="95"/>
      <c r="E25" s="95"/>
      <c r="F25" s="95"/>
      <c r="G25" s="87"/>
      <c r="H25" s="87"/>
      <c r="I25" s="87"/>
      <c r="J25" s="38" t="s">
        <v>163</v>
      </c>
      <c r="K25" s="125" t="s">
        <v>28</v>
      </c>
      <c r="L25" s="125" t="s">
        <v>16</v>
      </c>
      <c r="M25" s="36" t="s">
        <v>194</v>
      </c>
      <c r="N25" s="172"/>
      <c r="O25" s="172" t="s">
        <v>47</v>
      </c>
      <c r="P25" s="21"/>
      <c r="Q25" s="155"/>
      <c r="R25" s="155"/>
      <c r="S25" s="95"/>
      <c r="T25" s="95"/>
      <c r="U25" s="95"/>
      <c r="W25" s="140">
        <v>11.0</v>
      </c>
      <c r="X25" s="153" t="s">
        <v>178</v>
      </c>
      <c r="Y25" s="154">
        <f t="shared" si="1"/>
        <v>4</v>
      </c>
      <c r="Z25" s="77" t="s">
        <v>178</v>
      </c>
      <c r="AA25" s="77">
        <v>4.0</v>
      </c>
    </row>
    <row r="26" ht="15.75" customHeight="1">
      <c r="A26" s="26" t="s">
        <v>180</v>
      </c>
      <c r="B26" s="26" t="s">
        <v>32</v>
      </c>
      <c r="C26" s="26" t="s">
        <v>47</v>
      </c>
      <c r="D26" s="95" t="s">
        <v>175</v>
      </c>
      <c r="E26" s="95" t="s">
        <v>195</v>
      </c>
      <c r="F26" s="95" t="s">
        <v>21</v>
      </c>
      <c r="G26" s="87" t="s">
        <v>182</v>
      </c>
      <c r="H26" s="87" t="s">
        <v>125</v>
      </c>
      <c r="I26" s="87" t="s">
        <v>16</v>
      </c>
      <c r="J26" s="125" t="s">
        <v>166</v>
      </c>
      <c r="K26" s="125" t="s">
        <v>40</v>
      </c>
      <c r="L26" s="125" t="s">
        <v>16</v>
      </c>
      <c r="M26" s="107" t="s">
        <v>182</v>
      </c>
      <c r="N26" s="107"/>
      <c r="O26" s="107" t="s">
        <v>16</v>
      </c>
      <c r="P26" s="96" t="s">
        <v>164</v>
      </c>
      <c r="Q26" s="109" t="s">
        <v>165</v>
      </c>
      <c r="R26" s="110" t="s">
        <v>21</v>
      </c>
      <c r="S26" s="174" t="s">
        <v>22</v>
      </c>
      <c r="T26" s="10"/>
      <c r="U26" s="11"/>
      <c r="W26" s="140">
        <v>10.0</v>
      </c>
      <c r="X26" s="153" t="s">
        <v>167</v>
      </c>
      <c r="Y26" s="154">
        <f t="shared" si="1"/>
        <v>4</v>
      </c>
      <c r="Z26" s="77" t="s">
        <v>167</v>
      </c>
      <c r="AA26" s="77">
        <v>4.0</v>
      </c>
    </row>
    <row r="27" ht="15.75" customHeight="1">
      <c r="A27" s="87" t="s">
        <v>196</v>
      </c>
      <c r="B27" s="87" t="s">
        <v>174</v>
      </c>
      <c r="C27" s="87" t="s">
        <v>21</v>
      </c>
      <c r="D27" s="145" t="s">
        <v>176</v>
      </c>
      <c r="E27" s="145" t="s">
        <v>67</v>
      </c>
      <c r="F27" s="145" t="s">
        <v>47</v>
      </c>
      <c r="G27" s="88" t="s">
        <v>167</v>
      </c>
      <c r="H27" s="150" t="s">
        <v>43</v>
      </c>
      <c r="I27" s="88" t="s">
        <v>16</v>
      </c>
      <c r="J27" s="26" t="s">
        <v>170</v>
      </c>
      <c r="K27" s="125" t="s">
        <v>67</v>
      </c>
      <c r="L27" s="125" t="s">
        <v>16</v>
      </c>
      <c r="M27" s="175" t="s">
        <v>187</v>
      </c>
      <c r="N27" s="38" t="s">
        <v>91</v>
      </c>
      <c r="O27" s="38" t="s">
        <v>47</v>
      </c>
      <c r="P27" s="21"/>
      <c r="Q27" s="155"/>
      <c r="R27" s="155"/>
      <c r="S27" s="95"/>
      <c r="T27" s="95"/>
      <c r="U27" s="95"/>
      <c r="W27" s="140">
        <v>24.0</v>
      </c>
      <c r="X27" s="153" t="s">
        <v>190</v>
      </c>
      <c r="Y27" s="154">
        <f t="shared" si="1"/>
        <v>2</v>
      </c>
      <c r="Z27" s="77" t="s">
        <v>190</v>
      </c>
      <c r="AA27" s="77">
        <v>2.0</v>
      </c>
    </row>
    <row r="28" ht="15.75" customHeight="1">
      <c r="A28" s="95"/>
      <c r="B28" s="95"/>
      <c r="C28" s="95"/>
      <c r="D28" s="171" t="s">
        <v>177</v>
      </c>
      <c r="E28" s="171" t="s">
        <v>181</v>
      </c>
      <c r="F28" s="171" t="s">
        <v>21</v>
      </c>
      <c r="G28" s="26" t="s">
        <v>169</v>
      </c>
      <c r="H28" s="26" t="s">
        <v>49</v>
      </c>
      <c r="I28" s="95" t="s">
        <v>16</v>
      </c>
      <c r="J28" s="26" t="s">
        <v>172</v>
      </c>
      <c r="K28" s="125" t="s">
        <v>109</v>
      </c>
      <c r="L28" s="125" t="s">
        <v>16</v>
      </c>
      <c r="M28" s="87"/>
      <c r="N28" s="87"/>
      <c r="O28" s="87"/>
      <c r="P28" s="95" t="s">
        <v>173</v>
      </c>
      <c r="Q28" s="95" t="s">
        <v>174</v>
      </c>
      <c r="R28" s="95" t="s">
        <v>21</v>
      </c>
      <c r="S28" s="95"/>
      <c r="T28" s="95"/>
      <c r="U28" s="95"/>
      <c r="W28" s="140"/>
      <c r="X28" s="144" t="s">
        <v>182</v>
      </c>
      <c r="Y28" s="154">
        <f t="shared" si="1"/>
        <v>7</v>
      </c>
      <c r="Z28" s="77" t="s">
        <v>182</v>
      </c>
      <c r="AA28" s="77">
        <v>4.0</v>
      </c>
    </row>
    <row r="29" ht="15.75" customHeight="1">
      <c r="A29" s="95"/>
      <c r="B29" s="95"/>
      <c r="C29" s="95"/>
      <c r="D29" s="175" t="s">
        <v>183</v>
      </c>
      <c r="E29" s="175" t="s">
        <v>135</v>
      </c>
      <c r="F29" s="175" t="s">
        <v>47</v>
      </c>
      <c r="G29" s="95"/>
      <c r="H29" s="95"/>
      <c r="I29" s="95"/>
      <c r="J29" s="87"/>
      <c r="K29" s="87"/>
      <c r="L29" s="87"/>
      <c r="M29" s="87"/>
      <c r="N29" s="87"/>
      <c r="O29" s="87"/>
      <c r="P29" s="87" t="s">
        <v>162</v>
      </c>
      <c r="Q29" s="87" t="s">
        <v>52</v>
      </c>
      <c r="R29" s="87" t="s">
        <v>47</v>
      </c>
      <c r="S29" s="95"/>
      <c r="T29" s="95"/>
      <c r="U29" s="95"/>
      <c r="W29" s="140">
        <v>4.0</v>
      </c>
      <c r="X29" s="176" t="s">
        <v>188</v>
      </c>
      <c r="Y29" s="154">
        <f t="shared" si="1"/>
        <v>2</v>
      </c>
      <c r="Z29" s="77" t="s">
        <v>188</v>
      </c>
      <c r="AA29" s="77">
        <v>2.0</v>
      </c>
    </row>
    <row r="30" ht="15.75" customHeight="1">
      <c r="A30" s="95"/>
      <c r="B30" s="95"/>
      <c r="C30" s="95"/>
      <c r="D30" s="95"/>
      <c r="E30" s="95"/>
      <c r="F30" s="95"/>
      <c r="G30" s="95"/>
      <c r="H30" s="95"/>
      <c r="I30" s="95"/>
      <c r="J30" s="23"/>
      <c r="K30" s="172"/>
      <c r="L30" s="172"/>
      <c r="M30" s="87"/>
      <c r="N30" s="87"/>
      <c r="O30" s="87"/>
      <c r="P30" s="155"/>
      <c r="Q30" s="155"/>
      <c r="R30" s="155"/>
      <c r="S30" s="95"/>
      <c r="T30" s="95"/>
      <c r="U30" s="95"/>
      <c r="W30" s="140">
        <v>22.0</v>
      </c>
      <c r="X30" s="6" t="s">
        <v>196</v>
      </c>
      <c r="Y30" s="154">
        <f t="shared" si="1"/>
        <v>2</v>
      </c>
      <c r="Z30" s="77" t="s">
        <v>196</v>
      </c>
      <c r="AA30" s="77">
        <v>2.0</v>
      </c>
    </row>
    <row r="31" ht="15.75" customHeight="1">
      <c r="A31" s="97" t="s">
        <v>118</v>
      </c>
      <c r="B31" s="10"/>
      <c r="C31" s="11"/>
      <c r="D31" s="97" t="s">
        <v>8</v>
      </c>
      <c r="E31" s="10"/>
      <c r="F31" s="11"/>
      <c r="G31" s="97" t="s">
        <v>119</v>
      </c>
      <c r="H31" s="10"/>
      <c r="I31" s="11"/>
      <c r="J31" s="97" t="s">
        <v>10</v>
      </c>
      <c r="K31" s="10"/>
      <c r="L31" s="11"/>
      <c r="M31" s="97" t="s">
        <v>11</v>
      </c>
      <c r="N31" s="10"/>
      <c r="O31" s="11"/>
      <c r="P31" s="97" t="s">
        <v>83</v>
      </c>
      <c r="Q31" s="10"/>
      <c r="R31" s="11"/>
      <c r="S31" s="98" t="s">
        <v>84</v>
      </c>
      <c r="T31" s="10"/>
      <c r="U31" s="11"/>
      <c r="W31" s="177"/>
      <c r="X31" s="178"/>
      <c r="Y31" s="179"/>
    </row>
    <row r="32" ht="15.75" customHeight="1">
      <c r="A32" s="99">
        <f>S23+1</f>
        <v>46132</v>
      </c>
      <c r="B32" s="10"/>
      <c r="C32" s="11"/>
      <c r="D32" s="99">
        <f>A32+1</f>
        <v>46133</v>
      </c>
      <c r="E32" s="10"/>
      <c r="F32" s="11"/>
      <c r="G32" s="99">
        <f>D32+1</f>
        <v>46134</v>
      </c>
      <c r="H32" s="10"/>
      <c r="I32" s="11"/>
      <c r="J32" s="99">
        <f>G32+1</f>
        <v>46135</v>
      </c>
      <c r="K32" s="10"/>
      <c r="L32" s="11"/>
      <c r="M32" s="99">
        <f>J32+1</f>
        <v>46136</v>
      </c>
      <c r="N32" s="10"/>
      <c r="O32" s="11"/>
      <c r="P32" s="99">
        <f>M32+1</f>
        <v>46137</v>
      </c>
      <c r="Q32" s="10"/>
      <c r="R32" s="11"/>
      <c r="S32" s="100">
        <f>P32+1</f>
        <v>46138</v>
      </c>
      <c r="T32" s="10"/>
      <c r="U32" s="11"/>
      <c r="W32" s="177"/>
      <c r="X32" s="180"/>
      <c r="Y32" s="179"/>
    </row>
    <row r="33" ht="15.75" customHeight="1">
      <c r="A33" s="26" t="s">
        <v>178</v>
      </c>
      <c r="B33" s="26" t="s">
        <v>179</v>
      </c>
      <c r="C33" s="57"/>
      <c r="D33" s="107" t="s">
        <v>182</v>
      </c>
      <c r="E33" s="107" t="s">
        <v>125</v>
      </c>
      <c r="F33" s="107" t="s">
        <v>16</v>
      </c>
      <c r="G33" s="95"/>
      <c r="H33" s="95"/>
      <c r="I33" s="95"/>
      <c r="J33" s="170"/>
      <c r="K33" s="170"/>
      <c r="L33" s="170"/>
      <c r="M33" s="170"/>
      <c r="N33" s="170"/>
      <c r="O33" s="170"/>
      <c r="P33" s="95"/>
      <c r="Q33" s="95"/>
      <c r="R33" s="95"/>
      <c r="S33" s="95"/>
      <c r="T33" s="95"/>
      <c r="U33" s="95"/>
      <c r="W33" s="177"/>
      <c r="X33" s="180"/>
      <c r="Y33" s="179"/>
    </row>
    <row r="34" ht="15.75" customHeight="1">
      <c r="A34" s="26" t="s">
        <v>180</v>
      </c>
      <c r="B34" s="26" t="s">
        <v>32</v>
      </c>
      <c r="C34" s="26" t="s">
        <v>47</v>
      </c>
      <c r="D34" s="171" t="s">
        <v>177</v>
      </c>
      <c r="E34" s="171" t="s">
        <v>181</v>
      </c>
      <c r="F34" s="171" t="s">
        <v>21</v>
      </c>
      <c r="G34" s="37" t="s">
        <v>194</v>
      </c>
      <c r="H34" s="181" t="s">
        <v>28</v>
      </c>
      <c r="I34" s="181" t="s">
        <v>47</v>
      </c>
      <c r="J34" s="36" t="s">
        <v>163</v>
      </c>
      <c r="K34" s="172" t="s">
        <v>109</v>
      </c>
      <c r="L34" s="172" t="s">
        <v>16</v>
      </c>
      <c r="M34" s="26" t="s">
        <v>132</v>
      </c>
      <c r="N34" s="26" t="s">
        <v>43</v>
      </c>
      <c r="O34" s="108" t="s">
        <v>133</v>
      </c>
      <c r="P34" s="96" t="s">
        <v>164</v>
      </c>
      <c r="Q34" s="109" t="s">
        <v>165</v>
      </c>
      <c r="R34" s="110" t="s">
        <v>21</v>
      </c>
      <c r="S34" s="174" t="s">
        <v>22</v>
      </c>
      <c r="T34" s="10"/>
      <c r="U34" s="11"/>
      <c r="W34" s="140"/>
      <c r="X34" s="153"/>
      <c r="Y34" s="154">
        <f>COUNTIF($A$5:$U$47,X34)</f>
        <v>0</v>
      </c>
    </row>
    <row r="35" ht="15.75" customHeight="1">
      <c r="A35" s="26"/>
      <c r="B35" s="38"/>
      <c r="C35" s="38"/>
      <c r="D35" s="88" t="s">
        <v>184</v>
      </c>
      <c r="E35" s="22" t="s">
        <v>185</v>
      </c>
      <c r="F35" s="173" t="s">
        <v>16</v>
      </c>
      <c r="G35" s="87" t="s">
        <v>182</v>
      </c>
      <c r="H35" s="87"/>
      <c r="I35" s="87" t="s">
        <v>16</v>
      </c>
      <c r="J35" s="36" t="s">
        <v>65</v>
      </c>
      <c r="K35" s="172" t="s">
        <v>66</v>
      </c>
      <c r="L35" s="172" t="s">
        <v>47</v>
      </c>
      <c r="M35" s="88" t="s">
        <v>171</v>
      </c>
      <c r="N35" s="88" t="s">
        <v>35</v>
      </c>
      <c r="O35" s="88" t="s">
        <v>47</v>
      </c>
      <c r="P35" s="87"/>
      <c r="Q35" s="87"/>
      <c r="R35" s="87"/>
      <c r="S35" s="95"/>
      <c r="T35" s="95"/>
      <c r="U35" s="95"/>
      <c r="W35" s="140"/>
      <c r="X35" s="153"/>
      <c r="Y35" s="154"/>
    </row>
    <row r="36" ht="15.75" customHeight="1">
      <c r="A36" s="87" t="s">
        <v>168</v>
      </c>
      <c r="B36" s="87" t="s">
        <v>115</v>
      </c>
      <c r="C36" s="87" t="s">
        <v>47</v>
      </c>
      <c r="D36" s="145" t="s">
        <v>183</v>
      </c>
      <c r="E36" s="145" t="s">
        <v>135</v>
      </c>
      <c r="F36" s="145" t="s">
        <v>47</v>
      </c>
      <c r="G36" s="88" t="s">
        <v>167</v>
      </c>
      <c r="H36" s="150" t="s">
        <v>43</v>
      </c>
      <c r="I36" s="88" t="s">
        <v>16</v>
      </c>
      <c r="J36" s="24"/>
      <c r="K36" s="24"/>
      <c r="L36" s="24"/>
      <c r="M36" s="170"/>
      <c r="N36" s="170"/>
      <c r="O36" s="170"/>
      <c r="P36" s="87" t="s">
        <v>190</v>
      </c>
      <c r="Q36" s="95" t="s">
        <v>191</v>
      </c>
      <c r="R36" s="95" t="s">
        <v>47</v>
      </c>
      <c r="S36" s="95"/>
      <c r="T36" s="95"/>
      <c r="U36" s="95"/>
      <c r="Y36" s="77">
        <f>SUM(Y7:Y35)</f>
        <v>68</v>
      </c>
    </row>
    <row r="37" ht="15.75" customHeight="1">
      <c r="A37" s="87"/>
      <c r="B37" s="87"/>
      <c r="C37" s="87"/>
      <c r="D37" s="87"/>
      <c r="E37" s="87"/>
      <c r="F37" s="87"/>
      <c r="G37" s="87" t="s">
        <v>175</v>
      </c>
      <c r="H37" s="87" t="s">
        <v>186</v>
      </c>
      <c r="I37" s="87" t="s">
        <v>21</v>
      </c>
      <c r="J37" s="36"/>
      <c r="K37" s="172"/>
      <c r="L37" s="172"/>
      <c r="M37" s="26" t="s">
        <v>188</v>
      </c>
      <c r="N37" s="26" t="s">
        <v>189</v>
      </c>
      <c r="O37" s="26" t="s">
        <v>21</v>
      </c>
      <c r="P37" s="87"/>
      <c r="Q37" s="87"/>
      <c r="R37" s="87"/>
      <c r="S37" s="95"/>
      <c r="T37" s="95"/>
      <c r="U37" s="95"/>
    </row>
    <row r="38" ht="15.75" customHeight="1">
      <c r="A38" s="84" t="s">
        <v>118</v>
      </c>
      <c r="B38" s="10"/>
      <c r="C38" s="11"/>
      <c r="D38" s="84" t="s">
        <v>8</v>
      </c>
      <c r="E38" s="10"/>
      <c r="F38" s="11"/>
      <c r="G38" s="84" t="s">
        <v>119</v>
      </c>
      <c r="H38" s="10"/>
      <c r="I38" s="11"/>
      <c r="J38" s="84" t="s">
        <v>10</v>
      </c>
      <c r="K38" s="10"/>
      <c r="L38" s="11"/>
      <c r="M38" s="84"/>
      <c r="N38" s="10"/>
      <c r="O38" s="11"/>
      <c r="P38" s="84"/>
      <c r="Q38" s="10"/>
      <c r="R38" s="11"/>
      <c r="S38" s="85"/>
      <c r="T38" s="10"/>
      <c r="U38" s="11"/>
    </row>
    <row r="39" ht="15.75" customHeight="1">
      <c r="A39" s="86">
        <f>S32+1</f>
        <v>46139</v>
      </c>
      <c r="B39" s="10"/>
      <c r="C39" s="11"/>
      <c r="D39" s="86">
        <f>A39+1</f>
        <v>46140</v>
      </c>
      <c r="E39" s="10"/>
      <c r="F39" s="11"/>
      <c r="G39" s="86">
        <f>D39+1</f>
        <v>46141</v>
      </c>
      <c r="H39" s="10"/>
      <c r="I39" s="11"/>
      <c r="J39" s="86">
        <f>G39+1</f>
        <v>46142</v>
      </c>
      <c r="K39" s="10"/>
      <c r="L39" s="11"/>
      <c r="M39" s="86"/>
      <c r="N39" s="10"/>
      <c r="O39" s="11"/>
      <c r="P39" s="86"/>
      <c r="Q39" s="10"/>
      <c r="R39" s="11"/>
      <c r="S39" s="122"/>
      <c r="T39" s="10"/>
      <c r="U39" s="11"/>
    </row>
    <row r="40" ht="15.75" customHeight="1">
      <c r="D40" s="95"/>
      <c r="E40" s="95"/>
      <c r="F40" s="95"/>
      <c r="G40" s="87"/>
      <c r="H40" s="87"/>
      <c r="I40" s="87"/>
      <c r="J40" s="87"/>
      <c r="K40" s="87"/>
      <c r="L40" s="87"/>
      <c r="M40" s="170"/>
      <c r="N40" s="170"/>
      <c r="O40" s="170"/>
      <c r="P40" s="170"/>
      <c r="Q40" s="170"/>
      <c r="R40" s="170"/>
      <c r="S40" s="95"/>
      <c r="T40" s="95"/>
      <c r="U40" s="95"/>
    </row>
    <row r="41" ht="15.75" customHeight="1">
      <c r="A41" s="182" t="s">
        <v>182</v>
      </c>
      <c r="B41" s="182"/>
      <c r="C41" s="182" t="s">
        <v>16</v>
      </c>
      <c r="D41" s="95"/>
      <c r="E41" s="95"/>
      <c r="F41" s="95"/>
      <c r="G41" s="87"/>
      <c r="H41" s="87"/>
      <c r="I41" s="87"/>
      <c r="J41" s="87"/>
      <c r="K41" s="87"/>
      <c r="L41" s="87"/>
      <c r="M41" s="170"/>
      <c r="N41" s="170"/>
      <c r="O41" s="170"/>
      <c r="P41" s="170"/>
      <c r="Q41" s="170"/>
      <c r="R41" s="170"/>
      <c r="S41" s="95"/>
      <c r="T41" s="95"/>
      <c r="U41" s="95"/>
    </row>
    <row r="42" ht="15.75" customHeight="1">
      <c r="A42" s="26" t="s">
        <v>180</v>
      </c>
      <c r="B42" s="26" t="s">
        <v>32</v>
      </c>
      <c r="C42" s="26" t="s">
        <v>47</v>
      </c>
      <c r="D42" s="95" t="s">
        <v>175</v>
      </c>
      <c r="E42" s="95" t="s">
        <v>195</v>
      </c>
      <c r="F42" s="95" t="s">
        <v>21</v>
      </c>
      <c r="G42" s="87" t="s">
        <v>182</v>
      </c>
      <c r="H42" s="87" t="s">
        <v>125</v>
      </c>
      <c r="I42" s="87" t="s">
        <v>16</v>
      </c>
      <c r="J42" s="38" t="s">
        <v>197</v>
      </c>
      <c r="K42" s="38" t="s">
        <v>18</v>
      </c>
      <c r="L42" s="87"/>
      <c r="M42" s="170"/>
      <c r="N42" s="170"/>
      <c r="O42" s="170"/>
      <c r="P42" s="170"/>
      <c r="Q42" s="170"/>
      <c r="R42" s="170"/>
      <c r="S42" s="95"/>
      <c r="T42" s="95"/>
      <c r="U42" s="95"/>
    </row>
    <row r="43" ht="15.75" customHeight="1">
      <c r="A43" s="26" t="s">
        <v>178</v>
      </c>
      <c r="B43" s="26" t="s">
        <v>179</v>
      </c>
      <c r="C43" s="57"/>
      <c r="D43" s="95"/>
      <c r="E43" s="95"/>
      <c r="F43" s="95"/>
      <c r="G43" s="87" t="s">
        <v>132</v>
      </c>
      <c r="H43" s="87" t="s">
        <v>198</v>
      </c>
      <c r="I43" s="87" t="s">
        <v>16</v>
      </c>
      <c r="J43" s="87"/>
      <c r="K43" s="87"/>
      <c r="L43" s="87"/>
      <c r="M43" s="170"/>
      <c r="N43" s="170"/>
      <c r="O43" s="170"/>
      <c r="P43" s="170"/>
      <c r="Q43" s="170"/>
      <c r="R43" s="170"/>
      <c r="S43" s="95"/>
      <c r="T43" s="95"/>
      <c r="U43" s="95"/>
    </row>
    <row r="44" ht="15.75" customHeight="1">
      <c r="A44" s="87" t="s">
        <v>196</v>
      </c>
      <c r="B44" s="87" t="s">
        <v>174</v>
      </c>
      <c r="C44" s="87" t="s">
        <v>21</v>
      </c>
      <c r="D44" s="171" t="s">
        <v>177</v>
      </c>
      <c r="E44" s="171" t="s">
        <v>181</v>
      </c>
      <c r="F44" s="171" t="s">
        <v>21</v>
      </c>
      <c r="G44" s="175" t="s">
        <v>187</v>
      </c>
      <c r="H44" s="38" t="s">
        <v>91</v>
      </c>
      <c r="I44" s="38" t="s">
        <v>47</v>
      </c>
      <c r="J44" s="87"/>
      <c r="K44" s="87"/>
      <c r="L44" s="87"/>
      <c r="M44" s="170"/>
      <c r="N44" s="170"/>
      <c r="O44" s="170"/>
      <c r="P44" s="170"/>
      <c r="Q44" s="170"/>
      <c r="R44" s="170"/>
      <c r="S44" s="95"/>
      <c r="T44" s="95"/>
      <c r="U44" s="95"/>
    </row>
    <row r="45" ht="15.75" customHeight="1">
      <c r="A45" s="95"/>
      <c r="B45" s="95"/>
      <c r="C45" s="95"/>
      <c r="D45" s="145" t="s">
        <v>183</v>
      </c>
      <c r="E45" s="145" t="s">
        <v>135</v>
      </c>
      <c r="F45" s="145" t="s">
        <v>47</v>
      </c>
      <c r="G45" s="95"/>
      <c r="H45" s="95"/>
      <c r="I45" s="95"/>
      <c r="J45" s="87"/>
      <c r="K45" s="87"/>
      <c r="L45" s="87"/>
      <c r="M45" s="170"/>
      <c r="N45" s="170"/>
      <c r="O45" s="170"/>
      <c r="P45" s="170"/>
      <c r="Q45" s="170"/>
      <c r="R45" s="170"/>
      <c r="S45" s="95"/>
      <c r="T45" s="95"/>
      <c r="U45" s="95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5"/>
      <c r="J46" s="87"/>
      <c r="K46" s="87"/>
      <c r="L46" s="87"/>
      <c r="M46" s="170"/>
      <c r="N46" s="170"/>
      <c r="O46" s="170"/>
      <c r="P46" s="170"/>
      <c r="Q46" s="170"/>
      <c r="R46" s="170"/>
      <c r="S46" s="95"/>
      <c r="T46" s="95"/>
      <c r="U46" s="95"/>
    </row>
    <row r="47" ht="15.75" customHeight="1">
      <c r="A47" s="97"/>
      <c r="B47" s="10"/>
      <c r="C47" s="11"/>
      <c r="D47" s="97"/>
      <c r="E47" s="10"/>
      <c r="F47" s="11"/>
      <c r="G47" s="97"/>
      <c r="H47" s="10"/>
      <c r="I47" s="11"/>
      <c r="J47" s="97"/>
      <c r="K47" s="10"/>
      <c r="L47" s="11"/>
      <c r="M47" s="97"/>
      <c r="N47" s="10"/>
      <c r="O47" s="11"/>
      <c r="P47" s="97"/>
      <c r="Q47" s="10"/>
      <c r="R47" s="11"/>
      <c r="S47" s="98"/>
      <c r="T47" s="10"/>
      <c r="U47" s="11"/>
    </row>
    <row r="48" ht="15.75" customHeight="1">
      <c r="A48" s="99"/>
      <c r="B48" s="10"/>
      <c r="C48" s="11"/>
      <c r="D48" s="99"/>
      <c r="E48" s="10"/>
      <c r="F48" s="11"/>
      <c r="G48" s="99"/>
      <c r="H48" s="10"/>
      <c r="I48" s="11"/>
      <c r="J48" s="99"/>
      <c r="K48" s="10"/>
      <c r="L48" s="11"/>
      <c r="M48" s="99"/>
      <c r="N48" s="10"/>
      <c r="O48" s="11"/>
      <c r="P48" s="99"/>
      <c r="Q48" s="10"/>
      <c r="R48" s="11"/>
      <c r="S48" s="99"/>
      <c r="T48" s="10"/>
      <c r="U48" s="11"/>
    </row>
    <row r="49" ht="15.75" customHeight="1">
      <c r="A49" s="87"/>
      <c r="B49" s="87"/>
      <c r="C49" s="87"/>
      <c r="D49" s="95"/>
      <c r="E49" s="95"/>
      <c r="F49" s="95"/>
      <c r="G49" s="87"/>
      <c r="H49" s="87"/>
      <c r="I49" s="87"/>
      <c r="J49" s="95"/>
      <c r="K49" s="95"/>
      <c r="L49" s="95"/>
      <c r="M49" s="95"/>
      <c r="N49" s="95"/>
      <c r="O49" s="95"/>
      <c r="P49" s="95"/>
      <c r="Q49" s="87"/>
      <c r="R49" s="87"/>
      <c r="S49" s="95"/>
      <c r="T49" s="87"/>
      <c r="U49" s="87"/>
    </row>
    <row r="50" ht="15.75" customHeight="1">
      <c r="A50" s="87"/>
      <c r="B50" s="87"/>
      <c r="C50" s="87"/>
      <c r="D50" s="95"/>
      <c r="E50" s="95"/>
      <c r="F50" s="95"/>
      <c r="G50" s="87"/>
      <c r="H50" s="87"/>
      <c r="I50" s="87"/>
      <c r="J50" s="95"/>
      <c r="K50" s="95"/>
      <c r="L50" s="95"/>
      <c r="M50" s="95"/>
      <c r="N50" s="95"/>
      <c r="O50" s="95"/>
      <c r="P50" s="95"/>
      <c r="Q50" s="87"/>
      <c r="R50" s="129"/>
      <c r="S50" s="95"/>
      <c r="T50" s="87"/>
      <c r="U50" s="129"/>
    </row>
    <row r="51" ht="15.75" customHeight="1">
      <c r="A51" s="95"/>
      <c r="B51" s="95"/>
      <c r="C51" s="95"/>
      <c r="D51" s="95"/>
      <c r="E51" s="95"/>
      <c r="F51" s="95"/>
      <c r="G51" s="87"/>
      <c r="H51" s="87"/>
      <c r="I51" s="87"/>
      <c r="J51" s="95"/>
      <c r="K51" s="95"/>
      <c r="L51" s="95"/>
      <c r="M51" s="95"/>
      <c r="N51" s="95"/>
      <c r="O51" s="95"/>
      <c r="P51" s="95"/>
      <c r="Q51" s="87"/>
      <c r="R51" s="88"/>
      <c r="S51" s="95"/>
      <c r="T51" s="87"/>
      <c r="U51" s="88"/>
    </row>
    <row r="52" ht="15.75" customHeight="1">
      <c r="A52" s="95"/>
      <c r="B52" s="95"/>
      <c r="C52" s="95"/>
      <c r="D52" s="95"/>
      <c r="E52" s="95"/>
      <c r="F52" s="95"/>
      <c r="G52" s="87"/>
      <c r="H52" s="87"/>
      <c r="I52" s="87"/>
      <c r="J52" s="95"/>
      <c r="K52" s="95"/>
      <c r="L52" s="95"/>
      <c r="M52" s="95"/>
      <c r="N52" s="95"/>
      <c r="O52" s="95"/>
      <c r="P52" s="95"/>
      <c r="Q52" s="87"/>
      <c r="R52" s="88"/>
      <c r="S52" s="95"/>
      <c r="T52" s="87"/>
      <c r="U52" s="88"/>
    </row>
    <row r="53" ht="15.75" customHeight="1">
      <c r="A53" s="95"/>
      <c r="B53" s="95"/>
      <c r="C53" s="95"/>
      <c r="D53" s="95"/>
      <c r="E53" s="95"/>
      <c r="F53" s="95"/>
      <c r="G53" s="87"/>
      <c r="H53" s="87"/>
      <c r="I53" s="87"/>
      <c r="J53" s="95"/>
      <c r="K53" s="95"/>
      <c r="L53" s="95"/>
      <c r="M53" s="95"/>
      <c r="N53" s="95"/>
      <c r="O53" s="95"/>
      <c r="P53" s="95"/>
      <c r="Q53" s="87"/>
      <c r="R53" s="129"/>
      <c r="S53" s="95"/>
      <c r="T53" s="87"/>
      <c r="U53" s="129"/>
    </row>
    <row r="54" ht="15.75" customHeight="1">
      <c r="A54" s="95"/>
      <c r="B54" s="95"/>
      <c r="C54" s="95"/>
      <c r="D54" s="95"/>
      <c r="E54" s="95"/>
      <c r="F54" s="95"/>
      <c r="G54" s="87"/>
      <c r="H54" s="87"/>
      <c r="I54" s="87"/>
      <c r="J54" s="95"/>
      <c r="K54" s="95"/>
      <c r="L54" s="95"/>
      <c r="M54" s="95"/>
      <c r="N54" s="95"/>
      <c r="O54" s="95"/>
      <c r="P54" s="95"/>
      <c r="Q54" s="95"/>
      <c r="R54" s="96"/>
      <c r="S54" s="95"/>
      <c r="T54" s="95"/>
      <c r="U54" s="96"/>
    </row>
    <row r="55" ht="15.75" customHeight="1">
      <c r="A55" s="87"/>
      <c r="B55" s="87"/>
      <c r="C55" s="87"/>
      <c r="D55" s="95"/>
      <c r="E55" s="95"/>
      <c r="F55" s="95"/>
      <c r="G55" s="87"/>
      <c r="H55" s="95"/>
      <c r="I55" s="95"/>
      <c r="J55" s="95"/>
      <c r="K55" s="95"/>
      <c r="L55" s="95"/>
      <c r="M55" s="95"/>
      <c r="N55" s="95"/>
      <c r="O55" s="95"/>
      <c r="P55" s="95"/>
      <c r="Q55" s="87"/>
      <c r="R55" s="129"/>
      <c r="S55" s="95"/>
      <c r="T55" s="87"/>
      <c r="U55" s="129"/>
    </row>
    <row r="56" ht="15.75" customHeight="1">
      <c r="A56" s="183"/>
      <c r="B56" s="72"/>
    </row>
    <row r="57" ht="15.75" customHeight="1"/>
    <row r="58" ht="15.75" customHeight="1">
      <c r="A58" s="71" t="s">
        <v>72</v>
      </c>
      <c r="B58" s="72"/>
    </row>
    <row r="59" ht="15.75" customHeight="1">
      <c r="A59" s="73"/>
      <c r="B59" s="26" t="s">
        <v>73</v>
      </c>
      <c r="C59" s="57"/>
      <c r="D59" s="74"/>
      <c r="G59" s="77" t="s">
        <v>199</v>
      </c>
      <c r="H59" s="77" t="s">
        <v>200</v>
      </c>
    </row>
    <row r="60" ht="15.75" customHeight="1">
      <c r="A60" s="75"/>
      <c r="B60" s="26" t="s">
        <v>74</v>
      </c>
      <c r="C60" s="57"/>
    </row>
    <row r="61" ht="15.75" customHeight="1">
      <c r="A61" s="76"/>
      <c r="B61" s="26" t="s">
        <v>75</v>
      </c>
      <c r="C61" s="57"/>
    </row>
    <row r="62" ht="15.75" customHeight="1">
      <c r="A62" s="78"/>
      <c r="B62" s="26" t="s">
        <v>78</v>
      </c>
      <c r="C62" s="5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6:$Y$34"/>
  <mergeCells count="100">
    <mergeCell ref="A16:C16"/>
    <mergeCell ref="D22:F22"/>
    <mergeCell ref="G22:I22"/>
    <mergeCell ref="J22:L22"/>
    <mergeCell ref="M22:O22"/>
    <mergeCell ref="P22:R22"/>
    <mergeCell ref="S22:U22"/>
    <mergeCell ref="A22:C22"/>
    <mergeCell ref="A23:C23"/>
    <mergeCell ref="D23:F23"/>
    <mergeCell ref="G23:I23"/>
    <mergeCell ref="J23:L23"/>
    <mergeCell ref="M23:O23"/>
    <mergeCell ref="P23:R23"/>
    <mergeCell ref="P31:R31"/>
    <mergeCell ref="S31:U31"/>
    <mergeCell ref="S23:U23"/>
    <mergeCell ref="S26:U26"/>
    <mergeCell ref="A31:C31"/>
    <mergeCell ref="D31:F31"/>
    <mergeCell ref="G31:I31"/>
    <mergeCell ref="J31:L31"/>
    <mergeCell ref="M31:O31"/>
    <mergeCell ref="D32:F32"/>
    <mergeCell ref="G32:I32"/>
    <mergeCell ref="J32:L32"/>
    <mergeCell ref="M32:O32"/>
    <mergeCell ref="P32:R32"/>
    <mergeCell ref="S32:U32"/>
    <mergeCell ref="S34:U34"/>
    <mergeCell ref="A32:C32"/>
    <mergeCell ref="D38:F38"/>
    <mergeCell ref="G38:I38"/>
    <mergeCell ref="J38:L38"/>
    <mergeCell ref="M38:O38"/>
    <mergeCell ref="P38:R38"/>
    <mergeCell ref="S38:U38"/>
    <mergeCell ref="A38:C38"/>
    <mergeCell ref="D39:F39"/>
    <mergeCell ref="G39:I39"/>
    <mergeCell ref="J39:L39"/>
    <mergeCell ref="M39:O39"/>
    <mergeCell ref="P39:R39"/>
    <mergeCell ref="S39:U39"/>
    <mergeCell ref="A39:C39"/>
    <mergeCell ref="D47:F47"/>
    <mergeCell ref="G47:I47"/>
    <mergeCell ref="J47:L47"/>
    <mergeCell ref="M47:O47"/>
    <mergeCell ref="P47:R47"/>
    <mergeCell ref="S47:U47"/>
    <mergeCell ref="A1:B1"/>
    <mergeCell ref="C1:E1"/>
    <mergeCell ref="G1:P4"/>
    <mergeCell ref="A2:B2"/>
    <mergeCell ref="C2:E2"/>
    <mergeCell ref="A3:B3"/>
    <mergeCell ref="C3:E3"/>
    <mergeCell ref="P6:R6"/>
    <mergeCell ref="S6:U6"/>
    <mergeCell ref="M10:O10"/>
    <mergeCell ref="S10:U10"/>
    <mergeCell ref="A7:C7"/>
    <mergeCell ref="D7:F7"/>
    <mergeCell ref="G7:I7"/>
    <mergeCell ref="J7:L7"/>
    <mergeCell ref="M7:O7"/>
    <mergeCell ref="P7:R7"/>
    <mergeCell ref="S7:U7"/>
    <mergeCell ref="A4:B4"/>
    <mergeCell ref="C4:D4"/>
    <mergeCell ref="A6:C6"/>
    <mergeCell ref="D6:F6"/>
    <mergeCell ref="G6:I6"/>
    <mergeCell ref="J6:L6"/>
    <mergeCell ref="M6:O6"/>
    <mergeCell ref="A15:C15"/>
    <mergeCell ref="D15:F15"/>
    <mergeCell ref="G15:I15"/>
    <mergeCell ref="J15:L15"/>
    <mergeCell ref="M15:O15"/>
    <mergeCell ref="P15:R15"/>
    <mergeCell ref="S15:U15"/>
    <mergeCell ref="D16:F16"/>
    <mergeCell ref="G16:I16"/>
    <mergeCell ref="J16:L16"/>
    <mergeCell ref="M16:O16"/>
    <mergeCell ref="P16:R16"/>
    <mergeCell ref="S16:U16"/>
    <mergeCell ref="S19:U19"/>
    <mergeCell ref="A48:C48"/>
    <mergeCell ref="B56:D56"/>
    <mergeCell ref="B58:D58"/>
    <mergeCell ref="A47:C47"/>
    <mergeCell ref="D48:F48"/>
    <mergeCell ref="G48:I48"/>
    <mergeCell ref="J48:L48"/>
    <mergeCell ref="M48:O48"/>
    <mergeCell ref="P48:R48"/>
    <mergeCell ref="S48:U48"/>
  </mergeCells>
  <printOptions horizontalCentered="1" verticalCentered="1"/>
  <pageMargins bottom="0.0" footer="0.0" header="0.0" left="0.0" right="0.0" top="0.0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2.57"/>
    <col customWidth="1" min="3" max="3" width="7.86"/>
    <col customWidth="1" min="4" max="4" width="19.29"/>
    <col customWidth="1" min="5" max="5" width="11.43"/>
    <col customWidth="1" min="6" max="6" width="7.43"/>
    <col customWidth="1" min="7" max="7" width="22.43"/>
    <col customWidth="1" min="8" max="8" width="11.43"/>
    <col customWidth="1" min="9" max="9" width="7.14"/>
    <col customWidth="1" min="10" max="10" width="17.0"/>
    <col customWidth="1" min="11" max="11" width="11.43"/>
    <col customWidth="1" min="12" max="12" width="7.71"/>
    <col customWidth="1" min="13" max="13" width="20.86"/>
    <col customWidth="1" min="14" max="14" width="11.43"/>
    <col customWidth="1" min="15" max="15" width="7.71"/>
    <col customWidth="1" min="16" max="16" width="17.29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14.0"/>
  </cols>
  <sheetData>
    <row r="1" ht="16.5" customHeight="1">
      <c r="A1" s="1" t="s">
        <v>79</v>
      </c>
      <c r="C1" s="2" t="s">
        <v>201</v>
      </c>
      <c r="F1" s="184"/>
      <c r="G1" s="4" t="s">
        <v>2</v>
      </c>
      <c r="Q1" s="184"/>
    </row>
    <row r="2">
      <c r="A2" s="1" t="s">
        <v>3</v>
      </c>
      <c r="C2" s="6" t="s">
        <v>81</v>
      </c>
      <c r="F2" s="184"/>
      <c r="Q2" s="184"/>
    </row>
    <row r="3">
      <c r="A3" s="1" t="s">
        <v>5</v>
      </c>
      <c r="C3" s="2" t="s">
        <v>82</v>
      </c>
      <c r="F3" s="184"/>
      <c r="Q3" s="184"/>
    </row>
    <row r="4">
      <c r="A4" s="79" t="s">
        <v>6</v>
      </c>
      <c r="B4" s="80"/>
      <c r="C4" s="2" t="s">
        <v>82</v>
      </c>
      <c r="F4" s="184"/>
      <c r="G4" s="184"/>
      <c r="H4" s="184"/>
      <c r="I4" s="184"/>
      <c r="J4" s="184"/>
      <c r="K4" s="184"/>
      <c r="L4" s="184"/>
      <c r="M4" s="184"/>
      <c r="N4" s="184"/>
      <c r="O4" s="185"/>
      <c r="P4" s="186"/>
      <c r="Q4" s="83"/>
    </row>
    <row r="5">
      <c r="A5" s="84" t="s">
        <v>118</v>
      </c>
      <c r="B5" s="10"/>
      <c r="C5" s="11"/>
      <c r="D5" s="84" t="s">
        <v>8</v>
      </c>
      <c r="E5" s="10"/>
      <c r="F5" s="11"/>
      <c r="G5" s="9" t="s">
        <v>9</v>
      </c>
      <c r="H5" s="10"/>
      <c r="I5" s="11"/>
      <c r="J5" s="84" t="s">
        <v>10</v>
      </c>
      <c r="K5" s="10"/>
      <c r="L5" s="11"/>
      <c r="M5" s="84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>
      <c r="A6" s="86"/>
      <c r="B6" s="10"/>
      <c r="C6" s="11"/>
      <c r="D6" s="86"/>
      <c r="E6" s="10"/>
      <c r="F6" s="11"/>
      <c r="G6" s="17">
        <v>46113.0</v>
      </c>
      <c r="H6" s="10"/>
      <c r="I6" s="11"/>
      <c r="J6" s="17">
        <v>46114.0</v>
      </c>
      <c r="K6" s="10"/>
      <c r="L6" s="11"/>
      <c r="M6" s="17">
        <v>46115.0</v>
      </c>
      <c r="N6" s="10"/>
      <c r="O6" s="11"/>
      <c r="P6" s="17">
        <v>46116.0</v>
      </c>
      <c r="Q6" s="10"/>
      <c r="R6" s="11"/>
      <c r="S6" s="17">
        <v>46117.0</v>
      </c>
      <c r="T6" s="10"/>
      <c r="U6" s="11"/>
    </row>
    <row r="7">
      <c r="A7" s="187"/>
      <c r="B7" s="187"/>
      <c r="C7" s="187"/>
      <c r="D7" s="187"/>
      <c r="E7" s="187"/>
      <c r="F7" s="187"/>
      <c r="G7" s="26"/>
      <c r="H7" s="26"/>
      <c r="I7" s="26"/>
      <c r="J7" s="38"/>
      <c r="K7" s="26"/>
      <c r="L7" s="26"/>
      <c r="M7" s="187"/>
      <c r="N7" s="187"/>
      <c r="O7" s="187"/>
      <c r="P7" s="26"/>
      <c r="Q7" s="26"/>
      <c r="R7" s="26"/>
      <c r="S7" s="188"/>
      <c r="T7" s="188"/>
      <c r="U7" s="188"/>
    </row>
    <row r="8">
      <c r="A8" s="187"/>
      <c r="B8" s="187"/>
      <c r="C8" s="187"/>
      <c r="D8" s="187"/>
      <c r="E8" s="187"/>
      <c r="F8" s="187"/>
      <c r="G8" s="26"/>
      <c r="H8" s="26"/>
      <c r="I8" s="26"/>
      <c r="J8" s="38"/>
      <c r="K8" s="26"/>
      <c r="L8" s="26"/>
      <c r="M8" s="187"/>
      <c r="N8" s="187"/>
      <c r="O8" s="187"/>
      <c r="P8" s="26" t="s">
        <v>202</v>
      </c>
      <c r="Q8" s="26"/>
      <c r="R8" s="26" t="s">
        <v>16</v>
      </c>
      <c r="S8" s="189" t="s">
        <v>22</v>
      </c>
      <c r="T8" s="10"/>
      <c r="U8" s="11"/>
    </row>
    <row r="9">
      <c r="A9" s="187"/>
      <c r="B9" s="187"/>
      <c r="C9" s="187"/>
      <c r="D9" s="187"/>
      <c r="E9" s="187"/>
      <c r="F9" s="187"/>
      <c r="G9" s="26" t="s">
        <v>203</v>
      </c>
      <c r="H9" s="26" t="s">
        <v>32</v>
      </c>
      <c r="I9" s="26" t="s">
        <v>21</v>
      </c>
      <c r="J9" s="38"/>
      <c r="K9" s="26"/>
      <c r="L9" s="26"/>
      <c r="M9" s="187"/>
      <c r="N9" s="187"/>
      <c r="O9" s="187"/>
      <c r="P9" s="26" t="s">
        <v>204</v>
      </c>
      <c r="Q9" s="26"/>
      <c r="R9" s="26" t="s">
        <v>21</v>
      </c>
      <c r="S9" s="190"/>
      <c r="T9" s="190"/>
      <c r="U9" s="190"/>
      <c r="W9" s="133" t="s">
        <v>24</v>
      </c>
      <c r="X9" s="191" t="s">
        <v>137</v>
      </c>
      <c r="Y9" s="192" t="s">
        <v>26</v>
      </c>
    </row>
    <row r="10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9" t="s">
        <v>22</v>
      </c>
      <c r="N10" s="10"/>
      <c r="O10" s="11"/>
      <c r="P10" s="26" t="s">
        <v>205</v>
      </c>
      <c r="Q10" s="26" t="s">
        <v>206</v>
      </c>
      <c r="R10" s="26" t="s">
        <v>21</v>
      </c>
      <c r="S10" s="161"/>
      <c r="T10" s="161"/>
      <c r="U10" s="161"/>
      <c r="W10" s="140">
        <v>10.0</v>
      </c>
      <c r="X10" s="141" t="s">
        <v>207</v>
      </c>
      <c r="Y10" s="193">
        <f t="shared" ref="Y10:Y32" si="1">COUNTIF($A$5:$U$51,X10)</f>
        <v>8</v>
      </c>
    </row>
    <row r="11">
      <c r="A11" s="187"/>
      <c r="B11" s="187"/>
      <c r="C11" s="187"/>
      <c r="D11" s="187"/>
      <c r="E11" s="187"/>
      <c r="F11" s="187"/>
      <c r="G11" s="26" t="s">
        <v>208</v>
      </c>
      <c r="H11" s="194" t="s">
        <v>35</v>
      </c>
      <c r="I11" s="26" t="s">
        <v>21</v>
      </c>
      <c r="J11" s="26" t="s">
        <v>209</v>
      </c>
      <c r="K11" s="195" t="s">
        <v>210</v>
      </c>
      <c r="L11" s="26" t="s">
        <v>21</v>
      </c>
      <c r="M11" s="187"/>
      <c r="N11" s="187"/>
      <c r="O11" s="187"/>
      <c r="P11" s="87" t="s">
        <v>211</v>
      </c>
      <c r="Q11" s="87" t="s">
        <v>115</v>
      </c>
      <c r="R11" s="87" t="s">
        <v>21</v>
      </c>
      <c r="S11" s="95"/>
      <c r="T11" s="95"/>
      <c r="U11" s="95"/>
      <c r="W11" s="140">
        <v>12.0</v>
      </c>
      <c r="X11" s="141" t="s">
        <v>212</v>
      </c>
      <c r="Y11" s="193">
        <f t="shared" si="1"/>
        <v>4</v>
      </c>
    </row>
    <row r="12">
      <c r="A12" s="95"/>
      <c r="B12" s="95"/>
      <c r="C12" s="95"/>
      <c r="D12" s="95"/>
      <c r="E12" s="95"/>
      <c r="F12" s="95"/>
      <c r="G12" s="26" t="s">
        <v>207</v>
      </c>
      <c r="H12" s="26" t="s">
        <v>56</v>
      </c>
      <c r="I12" s="26" t="s">
        <v>21</v>
      </c>
      <c r="J12" s="26" t="s">
        <v>213</v>
      </c>
      <c r="K12" s="194" t="s">
        <v>115</v>
      </c>
      <c r="L12" s="26" t="s">
        <v>21</v>
      </c>
      <c r="M12" s="95"/>
      <c r="N12" s="95"/>
      <c r="O12" s="95"/>
      <c r="P12" s="95"/>
      <c r="Q12" s="95"/>
      <c r="R12" s="95"/>
      <c r="S12" s="161"/>
      <c r="T12" s="161"/>
      <c r="U12" s="161"/>
      <c r="W12" s="140">
        <v>6.0</v>
      </c>
      <c r="X12" s="34" t="s">
        <v>214</v>
      </c>
      <c r="Y12" s="193">
        <f t="shared" si="1"/>
        <v>2</v>
      </c>
    </row>
    <row r="13">
      <c r="A13" s="97" t="s">
        <v>7</v>
      </c>
      <c r="B13" s="10"/>
      <c r="C13" s="11"/>
      <c r="D13" s="97" t="s">
        <v>8</v>
      </c>
      <c r="E13" s="10"/>
      <c r="F13" s="11"/>
      <c r="G13" s="97" t="s">
        <v>9</v>
      </c>
      <c r="H13" s="10"/>
      <c r="I13" s="11"/>
      <c r="J13" s="97" t="s">
        <v>10</v>
      </c>
      <c r="K13" s="10"/>
      <c r="L13" s="11"/>
      <c r="M13" s="97" t="s">
        <v>95</v>
      </c>
      <c r="N13" s="10"/>
      <c r="O13" s="11"/>
      <c r="P13" s="97" t="s">
        <v>83</v>
      </c>
      <c r="Q13" s="10"/>
      <c r="R13" s="11"/>
      <c r="S13" s="98" t="s">
        <v>13</v>
      </c>
      <c r="T13" s="10"/>
      <c r="U13" s="11"/>
      <c r="W13" s="140">
        <v>13.0</v>
      </c>
      <c r="X13" s="141" t="s">
        <v>215</v>
      </c>
      <c r="Y13" s="193">
        <f t="shared" si="1"/>
        <v>2</v>
      </c>
    </row>
    <row r="14">
      <c r="A14" s="99">
        <f>S6+1</f>
        <v>46118</v>
      </c>
      <c r="B14" s="10"/>
      <c r="C14" s="11"/>
      <c r="D14" s="99">
        <f>A14+1</f>
        <v>46119</v>
      </c>
      <c r="E14" s="10"/>
      <c r="F14" s="11"/>
      <c r="G14" s="99">
        <f>D14+1</f>
        <v>46120</v>
      </c>
      <c r="H14" s="10"/>
      <c r="I14" s="11"/>
      <c r="J14" s="99">
        <f>G14+1</f>
        <v>46121</v>
      </c>
      <c r="K14" s="10"/>
      <c r="L14" s="11"/>
      <c r="M14" s="99">
        <f>J14+1</f>
        <v>46122</v>
      </c>
      <c r="N14" s="10"/>
      <c r="O14" s="11"/>
      <c r="P14" s="99">
        <f>M14+1</f>
        <v>46123</v>
      </c>
      <c r="Q14" s="10"/>
      <c r="R14" s="11"/>
      <c r="S14" s="100">
        <f>P14+1</f>
        <v>46124</v>
      </c>
      <c r="T14" s="10"/>
      <c r="U14" s="11"/>
      <c r="W14" s="140">
        <v>15.0</v>
      </c>
      <c r="X14" s="141" t="s">
        <v>203</v>
      </c>
      <c r="Y14" s="193">
        <f t="shared" si="1"/>
        <v>2</v>
      </c>
    </row>
    <row r="15">
      <c r="A15" s="187"/>
      <c r="B15" s="187"/>
      <c r="C15" s="187"/>
      <c r="D15" s="187"/>
      <c r="E15" s="187"/>
      <c r="F15" s="187"/>
      <c r="G15" s="26" t="s">
        <v>207</v>
      </c>
      <c r="H15" s="26" t="s">
        <v>20</v>
      </c>
      <c r="I15" s="26" t="s">
        <v>21</v>
      </c>
      <c r="J15" s="38"/>
      <c r="K15" s="26"/>
      <c r="L15" s="26"/>
      <c r="M15" s="187"/>
      <c r="N15" s="187"/>
      <c r="O15" s="187"/>
      <c r="P15" s="26"/>
      <c r="Q15" s="196"/>
      <c r="R15" s="145"/>
      <c r="S15" s="188"/>
      <c r="T15" s="188"/>
      <c r="U15" s="188"/>
      <c r="W15" s="140">
        <v>25.0</v>
      </c>
      <c r="X15" s="130" t="s">
        <v>216</v>
      </c>
      <c r="Y15" s="193">
        <f t="shared" si="1"/>
        <v>2</v>
      </c>
    </row>
    <row r="16">
      <c r="A16" s="95" t="s">
        <v>217</v>
      </c>
      <c r="B16" s="95" t="s">
        <v>15</v>
      </c>
      <c r="C16" s="95" t="s">
        <v>16</v>
      </c>
      <c r="D16" s="125" t="s">
        <v>218</v>
      </c>
      <c r="E16" s="125" t="s">
        <v>219</v>
      </c>
      <c r="F16" s="125" t="s">
        <v>21</v>
      </c>
      <c r="G16" s="26" t="s">
        <v>220</v>
      </c>
      <c r="H16" s="145" t="s">
        <v>32</v>
      </c>
      <c r="I16" s="145" t="s">
        <v>16</v>
      </c>
      <c r="J16" s="26" t="s">
        <v>213</v>
      </c>
      <c r="K16" s="194" t="s">
        <v>221</v>
      </c>
      <c r="L16" s="26" t="s">
        <v>21</v>
      </c>
      <c r="M16" s="26" t="s">
        <v>202</v>
      </c>
      <c r="N16" s="26" t="s">
        <v>28</v>
      </c>
      <c r="O16" s="26" t="s">
        <v>16</v>
      </c>
      <c r="P16" s="26" t="s">
        <v>222</v>
      </c>
      <c r="Q16" s="196" t="s">
        <v>125</v>
      </c>
      <c r="R16" s="145" t="s">
        <v>16</v>
      </c>
      <c r="S16" s="189" t="s">
        <v>22</v>
      </c>
      <c r="T16" s="10"/>
      <c r="U16" s="11"/>
      <c r="W16" s="140">
        <v>16.0</v>
      </c>
      <c r="X16" s="141" t="s">
        <v>205</v>
      </c>
      <c r="Y16" s="193">
        <f t="shared" si="1"/>
        <v>4</v>
      </c>
    </row>
    <row r="17">
      <c r="A17" s="26" t="s">
        <v>207</v>
      </c>
      <c r="B17" s="26" t="s">
        <v>20</v>
      </c>
      <c r="C17" s="26" t="s">
        <v>21</v>
      </c>
      <c r="D17" s="26" t="s">
        <v>214</v>
      </c>
      <c r="E17" s="194" t="s">
        <v>125</v>
      </c>
      <c r="F17" s="26" t="s">
        <v>47</v>
      </c>
      <c r="G17" s="125" t="s">
        <v>223</v>
      </c>
      <c r="H17" s="125" t="s">
        <v>115</v>
      </c>
      <c r="I17" s="125" t="s">
        <v>21</v>
      </c>
      <c r="J17" s="26" t="s">
        <v>224</v>
      </c>
      <c r="K17" s="26" t="s">
        <v>125</v>
      </c>
      <c r="L17" s="26" t="s">
        <v>16</v>
      </c>
      <c r="M17" s="26"/>
      <c r="N17" s="26"/>
      <c r="O17" s="26"/>
      <c r="P17" s="161"/>
      <c r="Q17" s="161"/>
      <c r="R17" s="161"/>
      <c r="S17" s="26"/>
      <c r="T17" s="190"/>
      <c r="U17" s="190"/>
      <c r="W17" s="140">
        <v>17.0</v>
      </c>
      <c r="X17" s="141" t="s">
        <v>213</v>
      </c>
      <c r="Y17" s="193">
        <f t="shared" si="1"/>
        <v>4</v>
      </c>
    </row>
    <row r="18">
      <c r="A18" s="95" t="s">
        <v>212</v>
      </c>
      <c r="B18" s="197" t="s">
        <v>225</v>
      </c>
      <c r="C18" s="187" t="s">
        <v>21</v>
      </c>
      <c r="D18" s="60" t="s">
        <v>204</v>
      </c>
      <c r="E18" s="60" t="s">
        <v>67</v>
      </c>
      <c r="F18" s="60" t="s">
        <v>21</v>
      </c>
      <c r="G18" s="187"/>
      <c r="H18" s="187"/>
      <c r="I18" s="187"/>
      <c r="J18" s="26" t="s">
        <v>226</v>
      </c>
      <c r="K18" s="26" t="s">
        <v>40</v>
      </c>
      <c r="L18" s="26" t="s">
        <v>16</v>
      </c>
      <c r="M18" s="38" t="s">
        <v>227</v>
      </c>
      <c r="N18" s="38" t="s">
        <v>228</v>
      </c>
      <c r="O18" s="38" t="s">
        <v>21</v>
      </c>
      <c r="P18" s="26" t="s">
        <v>205</v>
      </c>
      <c r="Q18" s="26" t="s">
        <v>206</v>
      </c>
      <c r="R18" s="26" t="s">
        <v>21</v>
      </c>
      <c r="S18" s="161"/>
      <c r="T18" s="161"/>
      <c r="U18" s="161"/>
      <c r="W18" s="140">
        <v>18.0</v>
      </c>
      <c r="X18" s="141" t="s">
        <v>209</v>
      </c>
      <c r="Y18" s="193">
        <f t="shared" si="1"/>
        <v>2</v>
      </c>
    </row>
    <row r="19" ht="15.0" customHeight="1">
      <c r="A19" s="95"/>
      <c r="B19" s="95"/>
      <c r="C19" s="95"/>
      <c r="D19" s="26" t="s">
        <v>229</v>
      </c>
      <c r="E19" s="198" t="s">
        <v>30</v>
      </c>
      <c r="F19" s="26" t="s">
        <v>21</v>
      </c>
      <c r="G19" s="187"/>
      <c r="H19" s="187"/>
      <c r="I19" s="187"/>
      <c r="J19" s="26" t="s">
        <v>230</v>
      </c>
      <c r="K19" s="194" t="s">
        <v>91</v>
      </c>
      <c r="L19" s="26" t="s">
        <v>47</v>
      </c>
      <c r="M19" s="187"/>
      <c r="N19" s="187"/>
      <c r="O19" s="187"/>
      <c r="P19" s="161"/>
      <c r="Q19" s="161"/>
      <c r="R19" s="161"/>
      <c r="S19" s="95"/>
      <c r="T19" s="95"/>
      <c r="U19" s="95"/>
      <c r="W19" s="140">
        <v>27.0</v>
      </c>
      <c r="X19" s="34" t="s">
        <v>226</v>
      </c>
      <c r="Y19" s="193">
        <f t="shared" si="1"/>
        <v>3</v>
      </c>
    </row>
    <row r="20" ht="15.0" customHeight="1">
      <c r="A20" s="95"/>
      <c r="B20" s="95"/>
      <c r="C20" s="95"/>
      <c r="D20" s="26" t="s">
        <v>215</v>
      </c>
      <c r="E20" s="61"/>
      <c r="F20" s="26" t="s">
        <v>47</v>
      </c>
      <c r="G20" s="26"/>
      <c r="H20" s="145"/>
      <c r="I20" s="26"/>
      <c r="J20" s="26"/>
      <c r="K20" s="26"/>
      <c r="L20" s="26"/>
      <c r="M20" s="95"/>
      <c r="N20" s="95"/>
      <c r="O20" s="95"/>
      <c r="P20" s="161"/>
      <c r="Q20" s="161"/>
      <c r="R20" s="161"/>
      <c r="S20" s="161"/>
      <c r="T20" s="161"/>
      <c r="U20" s="161"/>
      <c r="W20" s="140">
        <v>19.0</v>
      </c>
      <c r="X20" s="141" t="s">
        <v>231</v>
      </c>
      <c r="Y20" s="193">
        <f t="shared" si="1"/>
        <v>2</v>
      </c>
    </row>
    <row r="21" ht="15.75" customHeight="1">
      <c r="A21" s="84" t="s">
        <v>118</v>
      </c>
      <c r="B21" s="10"/>
      <c r="C21" s="11"/>
      <c r="D21" s="84" t="s">
        <v>8</v>
      </c>
      <c r="E21" s="10"/>
      <c r="F21" s="11"/>
      <c r="G21" s="84" t="s">
        <v>119</v>
      </c>
      <c r="H21" s="10"/>
      <c r="I21" s="11"/>
      <c r="J21" s="84" t="s">
        <v>10</v>
      </c>
      <c r="K21" s="10"/>
      <c r="L21" s="11"/>
      <c r="M21" s="84" t="s">
        <v>11</v>
      </c>
      <c r="N21" s="10"/>
      <c r="O21" s="11"/>
      <c r="P21" s="84" t="s">
        <v>83</v>
      </c>
      <c r="Q21" s="10"/>
      <c r="R21" s="11"/>
      <c r="S21" s="85" t="s">
        <v>84</v>
      </c>
      <c r="T21" s="10"/>
      <c r="U21" s="11"/>
      <c r="W21" s="140">
        <v>21.0</v>
      </c>
      <c r="X21" s="141" t="s">
        <v>222</v>
      </c>
      <c r="Y21" s="193">
        <f t="shared" si="1"/>
        <v>2</v>
      </c>
    </row>
    <row r="22" ht="15.75" customHeight="1">
      <c r="A22" s="86">
        <f>S14+1</f>
        <v>46125</v>
      </c>
      <c r="B22" s="10"/>
      <c r="C22" s="11"/>
      <c r="D22" s="86">
        <f>A22+1</f>
        <v>46126</v>
      </c>
      <c r="E22" s="10"/>
      <c r="F22" s="11"/>
      <c r="G22" s="86">
        <f>D22+1</f>
        <v>46127</v>
      </c>
      <c r="H22" s="10"/>
      <c r="I22" s="11"/>
      <c r="J22" s="86">
        <f>G22+1</f>
        <v>46128</v>
      </c>
      <c r="K22" s="10"/>
      <c r="L22" s="11"/>
      <c r="M22" s="86">
        <f>J22+1</f>
        <v>46129</v>
      </c>
      <c r="N22" s="10"/>
      <c r="O22" s="11"/>
      <c r="P22" s="86">
        <f>M22+1</f>
        <v>46130</v>
      </c>
      <c r="Q22" s="10"/>
      <c r="R22" s="11"/>
      <c r="S22" s="122">
        <f>P22+1</f>
        <v>46131</v>
      </c>
      <c r="T22" s="10"/>
      <c r="U22" s="11"/>
      <c r="W22" s="140">
        <v>26.0</v>
      </c>
      <c r="X22" s="34" t="s">
        <v>217</v>
      </c>
      <c r="Y22" s="193">
        <f t="shared" si="1"/>
        <v>4</v>
      </c>
    </row>
    <row r="23" ht="15.75" customHeight="1">
      <c r="A23" s="187"/>
      <c r="B23" s="187"/>
      <c r="C23" s="187"/>
      <c r="D23" s="187"/>
      <c r="E23" s="187"/>
      <c r="F23" s="187"/>
      <c r="G23" s="26"/>
      <c r="H23" s="26"/>
      <c r="I23" s="26"/>
      <c r="J23" s="38"/>
      <c r="K23" s="26"/>
      <c r="L23" s="26"/>
      <c r="M23" s="187"/>
      <c r="N23" s="187"/>
      <c r="O23" s="187"/>
      <c r="P23" s="26"/>
      <c r="Q23" s="26"/>
      <c r="R23" s="26"/>
      <c r="S23" s="26"/>
      <c r="T23" s="26"/>
      <c r="U23" s="26"/>
      <c r="W23" s="140">
        <v>4.0</v>
      </c>
      <c r="X23" s="141" t="s">
        <v>218</v>
      </c>
      <c r="Y23" s="193">
        <f t="shared" si="1"/>
        <v>4</v>
      </c>
    </row>
    <row r="24" ht="15.75" customHeight="1">
      <c r="A24" s="95" t="s">
        <v>217</v>
      </c>
      <c r="B24" s="95" t="s">
        <v>15</v>
      </c>
      <c r="C24" s="95" t="s">
        <v>16</v>
      </c>
      <c r="D24" s="187"/>
      <c r="E24" s="187"/>
      <c r="F24" s="187"/>
      <c r="G24" s="26"/>
      <c r="H24" s="26"/>
      <c r="I24" s="26"/>
      <c r="J24" s="38"/>
      <c r="K24" s="26"/>
      <c r="L24" s="26"/>
      <c r="M24" s="60" t="s">
        <v>202</v>
      </c>
      <c r="N24" s="60" t="s">
        <v>28</v>
      </c>
      <c r="O24" s="60" t="s">
        <v>16</v>
      </c>
      <c r="P24" s="26" t="s">
        <v>202</v>
      </c>
      <c r="Q24" s="26"/>
      <c r="R24" s="26" t="s">
        <v>16</v>
      </c>
      <c r="S24" s="26"/>
      <c r="T24" s="26"/>
      <c r="U24" s="26"/>
      <c r="W24" s="140">
        <v>14.0</v>
      </c>
      <c r="X24" s="141" t="s">
        <v>227</v>
      </c>
      <c r="Y24" s="193">
        <f t="shared" si="1"/>
        <v>2</v>
      </c>
    </row>
    <row r="25" ht="15.75" customHeight="1">
      <c r="A25" s="26" t="s">
        <v>207</v>
      </c>
      <c r="B25" s="26" t="s">
        <v>20</v>
      </c>
      <c r="C25" s="26" t="s">
        <v>21</v>
      </c>
      <c r="D25" s="38" t="s">
        <v>216</v>
      </c>
      <c r="E25" s="38" t="s">
        <v>32</v>
      </c>
      <c r="F25" s="38" t="s">
        <v>21</v>
      </c>
      <c r="G25" s="26" t="s">
        <v>203</v>
      </c>
      <c r="H25" s="26" t="s">
        <v>32</v>
      </c>
      <c r="I25" s="26" t="s">
        <v>21</v>
      </c>
      <c r="J25" s="187"/>
      <c r="K25" s="187"/>
      <c r="L25" s="187"/>
      <c r="M25" s="26" t="s">
        <v>204</v>
      </c>
      <c r="N25" s="26"/>
      <c r="O25" s="26" t="s">
        <v>21</v>
      </c>
      <c r="P25" s="60" t="s">
        <v>226</v>
      </c>
      <c r="Q25" s="60" t="s">
        <v>40</v>
      </c>
      <c r="R25" s="60" t="s">
        <v>16</v>
      </c>
      <c r="S25" s="189" t="s">
        <v>22</v>
      </c>
      <c r="T25" s="10"/>
      <c r="U25" s="11"/>
      <c r="W25" s="140">
        <v>11.0</v>
      </c>
      <c r="X25" s="26" t="s">
        <v>204</v>
      </c>
      <c r="Y25" s="193">
        <f t="shared" si="1"/>
        <v>4</v>
      </c>
    </row>
    <row r="26" ht="15.75" customHeight="1">
      <c r="A26" s="95" t="s">
        <v>212</v>
      </c>
      <c r="B26" s="197" t="s">
        <v>225</v>
      </c>
      <c r="C26" s="187" t="s">
        <v>21</v>
      </c>
      <c r="D26" s="38" t="s">
        <v>218</v>
      </c>
      <c r="E26" s="38" t="s">
        <v>174</v>
      </c>
      <c r="F26" s="38" t="s">
        <v>21</v>
      </c>
      <c r="G26" s="187"/>
      <c r="H26" s="187"/>
      <c r="I26" s="187"/>
      <c r="J26" s="26" t="s">
        <v>209</v>
      </c>
      <c r="K26" s="195" t="s">
        <v>210</v>
      </c>
      <c r="L26" s="26" t="s">
        <v>21</v>
      </c>
      <c r="M26" s="107" t="s">
        <v>211</v>
      </c>
      <c r="N26" s="107" t="s">
        <v>115</v>
      </c>
      <c r="O26" s="107" t="s">
        <v>21</v>
      </c>
      <c r="P26" s="26" t="s">
        <v>205</v>
      </c>
      <c r="Q26" s="26" t="s">
        <v>206</v>
      </c>
      <c r="R26" s="26" t="s">
        <v>21</v>
      </c>
      <c r="S26" s="132"/>
      <c r="T26" s="132"/>
      <c r="U26" s="132"/>
      <c r="W26" s="140">
        <v>29.0</v>
      </c>
      <c r="X26" s="34" t="s">
        <v>224</v>
      </c>
      <c r="Y26" s="193">
        <f t="shared" si="1"/>
        <v>2</v>
      </c>
    </row>
    <row r="27" ht="15.75" customHeight="1">
      <c r="A27" s="26" t="s">
        <v>231</v>
      </c>
      <c r="B27" s="26" t="s">
        <v>91</v>
      </c>
      <c r="C27" s="26" t="s">
        <v>47</v>
      </c>
      <c r="D27" s="187"/>
      <c r="E27" s="187"/>
      <c r="F27" s="187"/>
      <c r="G27" s="26" t="s">
        <v>208</v>
      </c>
      <c r="H27" s="194" t="s">
        <v>91</v>
      </c>
      <c r="I27" s="26" t="s">
        <v>21</v>
      </c>
      <c r="J27" s="26" t="s">
        <v>213</v>
      </c>
      <c r="K27" s="194" t="s">
        <v>115</v>
      </c>
      <c r="L27" s="26" t="s">
        <v>21</v>
      </c>
      <c r="M27" s="187"/>
      <c r="N27" s="187"/>
      <c r="O27" s="187"/>
      <c r="P27" s="92" t="s">
        <v>211</v>
      </c>
      <c r="Q27" s="92"/>
      <c r="R27" s="92" t="s">
        <v>21</v>
      </c>
      <c r="S27" s="161"/>
      <c r="T27" s="161"/>
      <c r="U27" s="161"/>
      <c r="W27" s="140">
        <v>22.0</v>
      </c>
      <c r="X27" s="34" t="s">
        <v>202</v>
      </c>
      <c r="Y27" s="193">
        <f t="shared" si="1"/>
        <v>5</v>
      </c>
    </row>
    <row r="28" ht="15.75" customHeight="1">
      <c r="A28" s="95"/>
      <c r="B28" s="95"/>
      <c r="C28" s="95"/>
      <c r="D28" s="95"/>
      <c r="E28" s="95"/>
      <c r="F28" s="95"/>
      <c r="G28" s="26" t="s">
        <v>207</v>
      </c>
      <c r="H28" s="26" t="s">
        <v>56</v>
      </c>
      <c r="I28" s="26" t="s">
        <v>21</v>
      </c>
      <c r="J28" s="26"/>
      <c r="K28" s="26"/>
      <c r="L28" s="26"/>
      <c r="M28" s="95"/>
      <c r="N28" s="95"/>
      <c r="O28" s="95"/>
      <c r="P28" s="26"/>
      <c r="Q28" s="26"/>
      <c r="R28" s="26"/>
      <c r="S28" s="161"/>
      <c r="T28" s="161"/>
      <c r="U28" s="161"/>
      <c r="W28" s="140">
        <v>23.0</v>
      </c>
      <c r="X28" s="141" t="s">
        <v>229</v>
      </c>
      <c r="Y28" s="193">
        <f t="shared" si="1"/>
        <v>2</v>
      </c>
    </row>
    <row r="29" ht="15.75" customHeight="1">
      <c r="A29" s="97" t="s">
        <v>118</v>
      </c>
      <c r="B29" s="10"/>
      <c r="C29" s="11"/>
      <c r="D29" s="97" t="s">
        <v>8</v>
      </c>
      <c r="E29" s="10"/>
      <c r="F29" s="11"/>
      <c r="G29" s="97" t="s">
        <v>119</v>
      </c>
      <c r="H29" s="10"/>
      <c r="I29" s="11"/>
      <c r="J29" s="97" t="s">
        <v>10</v>
      </c>
      <c r="K29" s="10"/>
      <c r="L29" s="11"/>
      <c r="M29" s="97" t="s">
        <v>95</v>
      </c>
      <c r="N29" s="10"/>
      <c r="O29" s="11"/>
      <c r="P29" s="199" t="s">
        <v>83</v>
      </c>
      <c r="Q29" s="10"/>
      <c r="R29" s="11"/>
      <c r="S29" s="98" t="s">
        <v>13</v>
      </c>
      <c r="T29" s="10"/>
      <c r="U29" s="11"/>
      <c r="W29" s="140">
        <v>24.0</v>
      </c>
      <c r="X29" s="141" t="s">
        <v>230</v>
      </c>
      <c r="Y29" s="193">
        <f t="shared" si="1"/>
        <v>2</v>
      </c>
    </row>
    <row r="30" ht="15.75" customHeight="1">
      <c r="A30" s="99">
        <f>S22+1</f>
        <v>46132</v>
      </c>
      <c r="B30" s="10"/>
      <c r="C30" s="11"/>
      <c r="D30" s="99">
        <f>A30+1</f>
        <v>46133</v>
      </c>
      <c r="E30" s="10"/>
      <c r="F30" s="11"/>
      <c r="G30" s="99">
        <f>D30+1</f>
        <v>46134</v>
      </c>
      <c r="H30" s="10"/>
      <c r="I30" s="11"/>
      <c r="J30" s="99">
        <f>G30+1</f>
        <v>46135</v>
      </c>
      <c r="K30" s="10"/>
      <c r="L30" s="11"/>
      <c r="M30" s="99">
        <f>J30+1</f>
        <v>46136</v>
      </c>
      <c r="N30" s="10"/>
      <c r="O30" s="11"/>
      <c r="P30" s="200">
        <f>M30+1</f>
        <v>46137</v>
      </c>
      <c r="Q30" s="10"/>
      <c r="R30" s="11"/>
      <c r="S30" s="100">
        <f>P30+1</f>
        <v>46138</v>
      </c>
      <c r="T30" s="10"/>
      <c r="U30" s="11"/>
      <c r="W30" s="140">
        <v>7.0</v>
      </c>
      <c r="X30" s="130" t="s">
        <v>223</v>
      </c>
      <c r="Y30" s="193">
        <f t="shared" si="1"/>
        <v>2</v>
      </c>
    </row>
    <row r="31" ht="15.75" customHeight="1">
      <c r="A31" s="187"/>
      <c r="B31" s="187"/>
      <c r="C31" s="187"/>
      <c r="D31" s="125" t="s">
        <v>218</v>
      </c>
      <c r="E31" s="125" t="s">
        <v>219</v>
      </c>
      <c r="F31" s="125" t="s">
        <v>21</v>
      </c>
      <c r="G31" s="26" t="s">
        <v>207</v>
      </c>
      <c r="H31" s="26" t="s">
        <v>20</v>
      </c>
      <c r="I31" s="26" t="s">
        <v>21</v>
      </c>
      <c r="J31" s="26" t="s">
        <v>213</v>
      </c>
      <c r="K31" s="194" t="s">
        <v>221</v>
      </c>
      <c r="L31" s="26" t="s">
        <v>21</v>
      </c>
      <c r="M31" s="187"/>
      <c r="N31" s="187"/>
      <c r="O31" s="187"/>
      <c r="P31" s="188"/>
      <c r="Q31" s="188"/>
      <c r="R31" s="188"/>
      <c r="S31" s="26"/>
      <c r="T31" s="26"/>
      <c r="U31" s="26"/>
      <c r="W31" s="140">
        <v>8.0</v>
      </c>
      <c r="X31" s="34" t="s">
        <v>208</v>
      </c>
      <c r="Y31" s="193">
        <f t="shared" si="1"/>
        <v>2</v>
      </c>
    </row>
    <row r="32" ht="15.75" customHeight="1">
      <c r="A32" s="95" t="s">
        <v>217</v>
      </c>
      <c r="B32" s="95" t="s">
        <v>15</v>
      </c>
      <c r="C32" s="95" t="s">
        <v>16</v>
      </c>
      <c r="D32" s="26" t="s">
        <v>214</v>
      </c>
      <c r="E32" s="194" t="s">
        <v>125</v>
      </c>
      <c r="F32" s="26" t="s">
        <v>47</v>
      </c>
      <c r="G32" s="26" t="s">
        <v>220</v>
      </c>
      <c r="H32" s="145" t="s">
        <v>32</v>
      </c>
      <c r="I32" s="145" t="s">
        <v>16</v>
      </c>
      <c r="J32" s="26" t="s">
        <v>224</v>
      </c>
      <c r="K32" s="26" t="s">
        <v>125</v>
      </c>
      <c r="L32" s="26" t="s">
        <v>16</v>
      </c>
      <c r="M32" s="26" t="s">
        <v>202</v>
      </c>
      <c r="N32" s="26" t="s">
        <v>28</v>
      </c>
      <c r="O32" s="26" t="s">
        <v>16</v>
      </c>
      <c r="P32" s="26" t="s">
        <v>222</v>
      </c>
      <c r="Q32" s="196" t="s">
        <v>125</v>
      </c>
      <c r="R32" s="145" t="s">
        <v>16</v>
      </c>
      <c r="S32" s="189" t="s">
        <v>22</v>
      </c>
      <c r="T32" s="10"/>
      <c r="U32" s="11"/>
      <c r="W32" s="140">
        <v>1.0</v>
      </c>
      <c r="X32" s="130" t="s">
        <v>211</v>
      </c>
      <c r="Y32" s="193">
        <f t="shared" si="1"/>
        <v>3</v>
      </c>
    </row>
    <row r="33" ht="15.75" customHeight="1">
      <c r="A33" s="26" t="s">
        <v>207</v>
      </c>
      <c r="B33" s="26" t="s">
        <v>20</v>
      </c>
      <c r="C33" s="26" t="s">
        <v>21</v>
      </c>
      <c r="D33" s="60" t="s">
        <v>204</v>
      </c>
      <c r="E33" s="60" t="s">
        <v>67</v>
      </c>
      <c r="F33" s="60" t="s">
        <v>21</v>
      </c>
      <c r="G33" s="125" t="s">
        <v>223</v>
      </c>
      <c r="H33" s="125" t="s">
        <v>115</v>
      </c>
      <c r="I33" s="125" t="s">
        <v>21</v>
      </c>
      <c r="J33" s="26" t="s">
        <v>226</v>
      </c>
      <c r="K33" s="26"/>
      <c r="L33" s="26" t="s">
        <v>16</v>
      </c>
      <c r="M33" s="26" t="s">
        <v>132</v>
      </c>
      <c r="N33" s="26" t="s">
        <v>43</v>
      </c>
      <c r="O33" s="108" t="s">
        <v>133</v>
      </c>
      <c r="P33" s="188"/>
      <c r="Q33" s="188"/>
      <c r="R33" s="188"/>
      <c r="S33" s="190"/>
      <c r="T33" s="190"/>
      <c r="U33" s="190"/>
      <c r="W33" s="140">
        <v>28.0</v>
      </c>
      <c r="X33" s="34"/>
      <c r="Y33" s="193"/>
    </row>
    <row r="34" ht="15.0" customHeight="1">
      <c r="A34" s="95" t="s">
        <v>212</v>
      </c>
      <c r="B34" s="197" t="s">
        <v>225</v>
      </c>
      <c r="C34" s="187" t="s">
        <v>21</v>
      </c>
      <c r="D34" s="26" t="s">
        <v>229</v>
      </c>
      <c r="E34" s="201" t="s">
        <v>30</v>
      </c>
      <c r="F34" s="26" t="s">
        <v>21</v>
      </c>
      <c r="G34" s="187"/>
      <c r="H34" s="187"/>
      <c r="I34" s="187"/>
      <c r="J34" s="26" t="s">
        <v>230</v>
      </c>
      <c r="K34" s="194" t="s">
        <v>91</v>
      </c>
      <c r="L34" s="26" t="s">
        <v>47</v>
      </c>
      <c r="M34" s="38" t="s">
        <v>227</v>
      </c>
      <c r="N34" s="38" t="s">
        <v>228</v>
      </c>
      <c r="O34" s="38" t="s">
        <v>21</v>
      </c>
      <c r="P34" s="188"/>
      <c r="Q34" s="188"/>
      <c r="R34" s="188"/>
      <c r="S34" s="161"/>
      <c r="T34" s="161"/>
      <c r="U34" s="161"/>
      <c r="W34" s="140"/>
      <c r="X34" s="141"/>
      <c r="Y34" s="193"/>
    </row>
    <row r="35" ht="15.75" customHeight="1">
      <c r="A35" s="95"/>
      <c r="B35" s="95"/>
      <c r="C35" s="95"/>
      <c r="D35" s="26" t="s">
        <v>215</v>
      </c>
      <c r="E35" s="61"/>
      <c r="F35" s="26" t="s">
        <v>47</v>
      </c>
      <c r="G35" s="187" t="s">
        <v>155</v>
      </c>
      <c r="H35" s="187"/>
      <c r="I35" s="187"/>
      <c r="J35" s="38"/>
      <c r="K35" s="38"/>
      <c r="L35" s="38"/>
      <c r="M35" s="187"/>
      <c r="N35" s="187"/>
      <c r="O35" s="187"/>
      <c r="P35" s="26" t="s">
        <v>205</v>
      </c>
      <c r="Q35" s="26" t="s">
        <v>206</v>
      </c>
      <c r="R35" s="26" t="s">
        <v>21</v>
      </c>
      <c r="S35" s="161"/>
      <c r="T35" s="161"/>
      <c r="U35" s="161"/>
      <c r="W35" s="140"/>
      <c r="X35" s="202"/>
      <c r="Y35" s="193"/>
    </row>
    <row r="36" ht="14.25" customHeight="1">
      <c r="A36" s="95"/>
      <c r="B36" s="95"/>
      <c r="C36" s="95"/>
      <c r="D36" s="95"/>
      <c r="E36" s="95"/>
      <c r="F36" s="95"/>
      <c r="G36" s="26"/>
      <c r="H36" s="145"/>
      <c r="I36" s="26"/>
      <c r="J36" s="26"/>
      <c r="K36" s="26"/>
      <c r="L36" s="26"/>
      <c r="M36" s="95"/>
      <c r="N36" s="95"/>
      <c r="O36" s="95"/>
      <c r="P36" s="161"/>
      <c r="Q36" s="161"/>
      <c r="R36" s="89"/>
      <c r="S36" s="161"/>
      <c r="T36" s="161"/>
      <c r="U36" s="161"/>
      <c r="W36" s="140">
        <v>3.0</v>
      </c>
      <c r="X36" s="144"/>
      <c r="Y36" s="193">
        <f t="shared" ref="Y36:Y38" si="2">COUNTIF($A$5:$U$51,X36)</f>
        <v>0</v>
      </c>
    </row>
    <row r="37" ht="15.75" customHeight="1">
      <c r="A37" s="84" t="s">
        <v>118</v>
      </c>
      <c r="B37" s="10"/>
      <c r="C37" s="11"/>
      <c r="D37" s="84" t="s">
        <v>8</v>
      </c>
      <c r="E37" s="10"/>
      <c r="F37" s="11"/>
      <c r="G37" s="84" t="s">
        <v>119</v>
      </c>
      <c r="H37" s="10"/>
      <c r="I37" s="11"/>
      <c r="J37" s="84" t="s">
        <v>10</v>
      </c>
      <c r="K37" s="10"/>
      <c r="L37" s="11"/>
      <c r="M37" s="84"/>
      <c r="N37" s="10"/>
      <c r="O37" s="11"/>
      <c r="P37" s="84"/>
      <c r="Q37" s="10"/>
      <c r="R37" s="11"/>
      <c r="S37" s="85"/>
      <c r="T37" s="10"/>
      <c r="U37" s="11"/>
      <c r="W37" s="140">
        <v>9.0</v>
      </c>
      <c r="X37" s="144"/>
      <c r="Y37" s="193">
        <f t="shared" si="2"/>
        <v>0</v>
      </c>
    </row>
    <row r="38" ht="15.75" customHeight="1">
      <c r="A38" s="86">
        <f>S30+1</f>
        <v>46139</v>
      </c>
      <c r="B38" s="10"/>
      <c r="C38" s="11"/>
      <c r="D38" s="86">
        <f>A38+1</f>
        <v>46140</v>
      </c>
      <c r="E38" s="10"/>
      <c r="F38" s="11"/>
      <c r="G38" s="86">
        <f>D38+1</f>
        <v>46141</v>
      </c>
      <c r="H38" s="10"/>
      <c r="I38" s="11"/>
      <c r="J38" s="86">
        <f>G38+1</f>
        <v>46142</v>
      </c>
      <c r="K38" s="10"/>
      <c r="L38" s="11"/>
      <c r="M38" s="86"/>
      <c r="N38" s="10"/>
      <c r="O38" s="11"/>
      <c r="P38" s="86"/>
      <c r="Q38" s="10"/>
      <c r="R38" s="11"/>
      <c r="S38" s="122"/>
      <c r="T38" s="10"/>
      <c r="U38" s="11"/>
      <c r="W38" s="140">
        <v>20.0</v>
      </c>
      <c r="X38" s="144"/>
      <c r="Y38" s="193">
        <f t="shared" si="2"/>
        <v>0</v>
      </c>
    </row>
    <row r="39" ht="15.75" customHeight="1">
      <c r="A39" s="187"/>
      <c r="B39" s="187"/>
      <c r="C39" s="187"/>
      <c r="D39" s="187"/>
      <c r="E39" s="187"/>
      <c r="F39" s="187"/>
      <c r="G39" s="26"/>
      <c r="H39" s="145"/>
      <c r="I39" s="26"/>
      <c r="J39" s="38"/>
      <c r="K39" s="26"/>
      <c r="L39" s="26"/>
      <c r="M39" s="203"/>
      <c r="N39" s="203"/>
      <c r="O39" s="203"/>
      <c r="P39" s="204"/>
      <c r="Q39" s="204"/>
      <c r="R39" s="204"/>
      <c r="S39" s="204"/>
      <c r="T39" s="204"/>
      <c r="U39" s="204"/>
    </row>
    <row r="40" ht="15.75" customHeight="1">
      <c r="A40" s="95" t="s">
        <v>217</v>
      </c>
      <c r="B40" s="95" t="s">
        <v>15</v>
      </c>
      <c r="C40" s="95" t="s">
        <v>16</v>
      </c>
      <c r="D40" s="187"/>
      <c r="E40" s="187"/>
      <c r="F40" s="187"/>
      <c r="G40" s="26"/>
      <c r="H40" s="145"/>
      <c r="I40" s="26"/>
      <c r="J40" s="38"/>
      <c r="K40" s="26"/>
      <c r="L40" s="26"/>
      <c r="M40" s="203"/>
      <c r="N40" s="203"/>
      <c r="O40" s="203"/>
      <c r="P40" s="204"/>
      <c r="Q40" s="204"/>
      <c r="R40" s="204"/>
      <c r="S40" s="205"/>
      <c r="T40" s="10"/>
      <c r="U40" s="11"/>
    </row>
    <row r="41" ht="15.75" customHeight="1">
      <c r="A41" s="26" t="s">
        <v>207</v>
      </c>
      <c r="B41" s="26" t="s">
        <v>20</v>
      </c>
      <c r="C41" s="26" t="s">
        <v>21</v>
      </c>
      <c r="D41" s="38" t="s">
        <v>216</v>
      </c>
      <c r="E41" s="38" t="s">
        <v>32</v>
      </c>
      <c r="F41" s="38" t="s">
        <v>21</v>
      </c>
      <c r="G41" s="87" t="s">
        <v>132</v>
      </c>
      <c r="H41" s="87" t="s">
        <v>198</v>
      </c>
      <c r="I41" s="87" t="s">
        <v>16</v>
      </c>
      <c r="J41" s="38" t="s">
        <v>0</v>
      </c>
      <c r="K41" s="38" t="s">
        <v>134</v>
      </c>
      <c r="L41" s="26"/>
      <c r="M41" s="203"/>
      <c r="N41" s="203"/>
      <c r="O41" s="203"/>
      <c r="P41" s="204"/>
      <c r="Q41" s="204"/>
      <c r="R41" s="204"/>
      <c r="S41" s="190"/>
      <c r="T41" s="190"/>
      <c r="U41" s="190"/>
    </row>
    <row r="42" ht="15.75" customHeight="1">
      <c r="A42" s="95" t="s">
        <v>212</v>
      </c>
      <c r="B42" s="197" t="s">
        <v>225</v>
      </c>
      <c r="C42" s="187" t="s">
        <v>21</v>
      </c>
      <c r="D42" s="38" t="s">
        <v>218</v>
      </c>
      <c r="E42" s="38" t="s">
        <v>232</v>
      </c>
      <c r="F42" s="38" t="s">
        <v>21</v>
      </c>
      <c r="G42" s="26"/>
      <c r="H42" s="145"/>
      <c r="I42" s="26"/>
      <c r="J42" s="38"/>
      <c r="K42" s="26"/>
      <c r="L42" s="26"/>
      <c r="M42" s="187"/>
      <c r="N42" s="187"/>
      <c r="O42" s="187"/>
      <c r="P42" s="206"/>
      <c r="Q42" s="190"/>
      <c r="R42" s="161"/>
      <c r="S42" s="161"/>
      <c r="T42" s="161"/>
      <c r="U42" s="161"/>
    </row>
    <row r="43" ht="15.75" customHeight="1">
      <c r="A43" s="26" t="s">
        <v>231</v>
      </c>
      <c r="B43" s="26" t="s">
        <v>91</v>
      </c>
      <c r="C43" s="26" t="s">
        <v>47</v>
      </c>
      <c r="D43" s="187"/>
      <c r="E43" s="187"/>
      <c r="F43" s="187"/>
      <c r="G43" s="26"/>
      <c r="H43" s="145"/>
      <c r="I43" s="26"/>
      <c r="J43" s="38"/>
      <c r="K43" s="26"/>
      <c r="L43" s="26"/>
      <c r="P43" s="38"/>
      <c r="Q43" s="38"/>
      <c r="R43" s="38"/>
      <c r="S43" s="95"/>
      <c r="T43" s="95"/>
      <c r="U43" s="95"/>
    </row>
    <row r="44" ht="15.75" customHeight="1">
      <c r="A44" s="95"/>
      <c r="B44" s="95"/>
      <c r="C44" s="95"/>
      <c r="D44" s="95"/>
      <c r="E44" s="95"/>
      <c r="F44" s="95"/>
      <c r="G44" s="26"/>
      <c r="H44" s="145"/>
      <c r="I44" s="26"/>
      <c r="J44" s="38"/>
      <c r="K44" s="26"/>
      <c r="L44" s="26"/>
      <c r="M44" s="95"/>
      <c r="N44" s="95"/>
      <c r="O44" s="95"/>
      <c r="P44" s="161"/>
      <c r="Q44" s="161"/>
      <c r="R44" s="161"/>
      <c r="S44" s="161"/>
      <c r="T44" s="161"/>
      <c r="U44" s="161"/>
    </row>
    <row r="45" ht="15.75" customHeight="1">
      <c r="A45" s="97"/>
      <c r="B45" s="10"/>
      <c r="C45" s="11"/>
      <c r="D45" s="97"/>
      <c r="E45" s="10"/>
      <c r="F45" s="11"/>
      <c r="G45" s="97"/>
      <c r="H45" s="10"/>
      <c r="I45" s="11"/>
      <c r="J45" s="97"/>
      <c r="K45" s="10"/>
      <c r="L45" s="11"/>
      <c r="M45" s="97"/>
      <c r="N45" s="10"/>
      <c r="O45" s="11"/>
      <c r="P45" s="97"/>
      <c r="Q45" s="10"/>
      <c r="R45" s="11"/>
      <c r="S45" s="207"/>
      <c r="T45" s="10"/>
      <c r="U45" s="11"/>
    </row>
    <row r="46" ht="15.75" customHeight="1">
      <c r="A46" s="99"/>
      <c r="B46" s="10"/>
      <c r="C46" s="11"/>
      <c r="D46" s="99"/>
      <c r="E46" s="10"/>
      <c r="F46" s="11"/>
      <c r="G46" s="99"/>
      <c r="H46" s="10"/>
      <c r="I46" s="11"/>
      <c r="J46" s="99"/>
      <c r="K46" s="10"/>
      <c r="L46" s="11"/>
      <c r="M46" s="99"/>
      <c r="N46" s="10"/>
      <c r="O46" s="11"/>
      <c r="P46" s="99"/>
      <c r="Q46" s="10"/>
      <c r="R46" s="11"/>
      <c r="S46" s="208"/>
      <c r="T46" s="10"/>
      <c r="U46" s="11"/>
    </row>
    <row r="47" ht="15.75" customHeight="1">
      <c r="A47" s="209"/>
      <c r="B47" s="209"/>
      <c r="C47" s="209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210"/>
      <c r="Q47" s="210"/>
      <c r="R47" s="210"/>
      <c r="S47" s="161"/>
      <c r="T47" s="161"/>
      <c r="U47" s="161"/>
    </row>
    <row r="48" ht="15.75" customHeight="1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209"/>
      <c r="Q48" s="209"/>
      <c r="R48" s="209"/>
      <c r="S48" s="161"/>
      <c r="T48" s="161"/>
      <c r="U48" s="161"/>
    </row>
    <row r="49" ht="15.75" customHeight="1">
      <c r="A49" s="38"/>
      <c r="B49" s="38"/>
      <c r="C49" s="38"/>
      <c r="D49" s="161"/>
      <c r="E49" s="161"/>
      <c r="F49" s="161"/>
      <c r="G49" s="161"/>
      <c r="H49" s="161"/>
      <c r="I49" s="161"/>
      <c r="J49" s="26"/>
      <c r="K49" s="145"/>
      <c r="L49" s="161"/>
      <c r="M49" s="161"/>
      <c r="N49" s="161"/>
      <c r="O49" s="161"/>
      <c r="P49" s="209"/>
      <c r="Q49" s="209"/>
      <c r="R49" s="209"/>
      <c r="S49" s="161"/>
      <c r="T49" s="161"/>
      <c r="U49" s="161"/>
    </row>
    <row r="50" ht="15.75" customHeight="1">
      <c r="A50" s="95"/>
      <c r="B50" s="95"/>
      <c r="C50" s="95"/>
      <c r="D50" s="38"/>
      <c r="E50" s="38"/>
      <c r="F50" s="38"/>
      <c r="G50" s="206"/>
      <c r="H50" s="206"/>
      <c r="I50" s="206"/>
      <c r="J50" s="161"/>
      <c r="K50" s="161"/>
      <c r="L50" s="161"/>
      <c r="M50" s="161"/>
      <c r="N50" s="161"/>
      <c r="O50" s="161"/>
      <c r="P50" s="206"/>
      <c r="Q50" s="190"/>
      <c r="R50" s="161"/>
      <c r="S50" s="161"/>
      <c r="T50" s="161"/>
      <c r="U50" s="161"/>
    </row>
    <row r="51" ht="15.75" customHeight="1">
      <c r="A51" s="161"/>
      <c r="B51" s="161"/>
      <c r="C51" s="161"/>
      <c r="D51" s="29"/>
      <c r="E51" s="23"/>
      <c r="F51" s="23"/>
      <c r="G51" s="161"/>
      <c r="H51" s="161"/>
      <c r="I51" s="161"/>
      <c r="J51" s="161"/>
      <c r="K51" s="161"/>
      <c r="L51" s="162"/>
      <c r="M51" s="161"/>
      <c r="N51" s="161"/>
      <c r="O51" s="162"/>
      <c r="P51" s="38"/>
      <c r="Q51" s="38"/>
      <c r="R51" s="38"/>
      <c r="S51" s="161"/>
      <c r="T51" s="161"/>
      <c r="U51" s="162"/>
    </row>
    <row r="52" ht="15.75" customHeight="1">
      <c r="A52" s="161"/>
      <c r="B52" s="161"/>
      <c r="C52" s="161"/>
      <c r="D52" s="161"/>
      <c r="E52" s="161"/>
      <c r="F52" s="161"/>
      <c r="G52" s="161"/>
      <c r="H52" s="161"/>
      <c r="I52" s="21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</row>
    <row r="53" ht="15.75" customHeight="1"/>
    <row r="54" ht="15.75" customHeight="1"/>
    <row r="55" ht="15.75" customHeight="1">
      <c r="A55" s="71" t="s">
        <v>72</v>
      </c>
      <c r="B55" s="72"/>
    </row>
    <row r="56" ht="15.75" customHeight="1">
      <c r="A56" s="73"/>
      <c r="B56" s="26" t="s">
        <v>73</v>
      </c>
      <c r="C56" s="57"/>
      <c r="D56" s="74"/>
    </row>
    <row r="57" ht="15.75" customHeight="1">
      <c r="A57" s="75"/>
      <c r="B57" s="26" t="s">
        <v>74</v>
      </c>
      <c r="C57" s="57"/>
    </row>
    <row r="58" ht="15.75" customHeight="1">
      <c r="A58" s="76"/>
      <c r="B58" s="26" t="s">
        <v>75</v>
      </c>
      <c r="C58" s="5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9:$Y$38"/>
  <mergeCells count="102">
    <mergeCell ref="A14:C14"/>
    <mergeCell ref="G14:I14"/>
    <mergeCell ref="J14:L14"/>
    <mergeCell ref="M14:O14"/>
    <mergeCell ref="P14:R14"/>
    <mergeCell ref="S14:U14"/>
    <mergeCell ref="S16:U16"/>
    <mergeCell ref="D14:F14"/>
    <mergeCell ref="E19:E20"/>
    <mergeCell ref="A21:C21"/>
    <mergeCell ref="D21:F21"/>
    <mergeCell ref="G21:I21"/>
    <mergeCell ref="J21:L21"/>
    <mergeCell ref="M21:O21"/>
    <mergeCell ref="A29:C29"/>
    <mergeCell ref="D29:F29"/>
    <mergeCell ref="G29:I29"/>
    <mergeCell ref="J29:L29"/>
    <mergeCell ref="M29:O29"/>
    <mergeCell ref="P29:R29"/>
    <mergeCell ref="S29:U29"/>
    <mergeCell ref="A30:C30"/>
    <mergeCell ref="G30:I30"/>
    <mergeCell ref="J30:L30"/>
    <mergeCell ref="M30:O30"/>
    <mergeCell ref="P30:R30"/>
    <mergeCell ref="S30:U30"/>
    <mergeCell ref="S32:U32"/>
    <mergeCell ref="P37:R37"/>
    <mergeCell ref="S37:U37"/>
    <mergeCell ref="S40:U40"/>
    <mergeCell ref="A38:C38"/>
    <mergeCell ref="D38:F38"/>
    <mergeCell ref="G38:I38"/>
    <mergeCell ref="J38:L38"/>
    <mergeCell ref="M38:O38"/>
    <mergeCell ref="P38:R38"/>
    <mergeCell ref="S38:U38"/>
    <mergeCell ref="D30:F30"/>
    <mergeCell ref="E34:E35"/>
    <mergeCell ref="A37:C37"/>
    <mergeCell ref="D37:F37"/>
    <mergeCell ref="G37:I37"/>
    <mergeCell ref="J37:L37"/>
    <mergeCell ref="M37:O37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M10:O10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P21:R21"/>
    <mergeCell ref="S21:U21"/>
    <mergeCell ref="S25:U25"/>
    <mergeCell ref="A22:C22"/>
    <mergeCell ref="D22:F22"/>
    <mergeCell ref="G22:I22"/>
    <mergeCell ref="J22:L22"/>
    <mergeCell ref="M22:O22"/>
    <mergeCell ref="P22:R22"/>
    <mergeCell ref="S22:U22"/>
  </mergeCells>
  <printOptions/>
  <pageMargins bottom="0.15" footer="0.0" header="0.0" left="0.46" right="0.34" top="0.28"/>
  <pageSetup fitToHeight="0" paperSize="11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1.43"/>
    <col customWidth="1" min="3" max="3" width="9.29"/>
    <col customWidth="1" min="4" max="4" width="17.57"/>
    <col customWidth="1" min="5" max="5" width="13.14"/>
    <col customWidth="1" min="6" max="6" width="7.71"/>
    <col customWidth="1" min="7" max="7" width="18.57"/>
    <col customWidth="1" min="8" max="8" width="11.14"/>
    <col customWidth="1" min="9" max="9" width="7.71"/>
    <col customWidth="1" min="10" max="10" width="16.43"/>
    <col customWidth="1" min="11" max="11" width="11.71"/>
    <col customWidth="1" min="12" max="12" width="7.71"/>
    <col customWidth="1" min="13" max="13" width="17.71"/>
    <col customWidth="1" min="14" max="14" width="11.43"/>
    <col customWidth="1" min="15" max="15" width="7.71"/>
    <col customWidth="1" min="16" max="16" width="15.0"/>
    <col customWidth="1" min="17" max="17" width="11.43"/>
    <col customWidth="1" min="18" max="19" width="7.71"/>
    <col customWidth="1" min="20" max="20" width="7.57"/>
    <col customWidth="1" min="21" max="21" width="7.43"/>
    <col customWidth="1" min="22" max="23" width="8.71"/>
    <col customWidth="1" min="24" max="24" width="19.0"/>
    <col customWidth="1" min="25" max="25" width="15.14"/>
    <col customWidth="1" min="26" max="28" width="8.71"/>
  </cols>
  <sheetData>
    <row r="1">
      <c r="A1" s="1" t="s">
        <v>233</v>
      </c>
      <c r="C1" s="6" t="s">
        <v>234</v>
      </c>
      <c r="F1" s="3"/>
      <c r="G1" s="4" t="s">
        <v>2</v>
      </c>
      <c r="Q1" s="4"/>
    </row>
    <row r="2">
      <c r="A2" s="1" t="s">
        <v>3</v>
      </c>
      <c r="C2" s="6" t="s">
        <v>235</v>
      </c>
      <c r="F2" s="3"/>
      <c r="Q2" s="4"/>
    </row>
    <row r="3">
      <c r="A3" s="1" t="s">
        <v>5</v>
      </c>
      <c r="C3" s="163"/>
      <c r="F3" s="3"/>
      <c r="Q3" s="4"/>
    </row>
    <row r="4">
      <c r="A4" s="79" t="s">
        <v>6</v>
      </c>
      <c r="B4" s="80"/>
      <c r="C4" s="164"/>
      <c r="D4" s="80"/>
      <c r="E4" s="3"/>
      <c r="F4" s="3"/>
      <c r="G4" s="3"/>
      <c r="H4" s="3"/>
      <c r="I4" s="3"/>
      <c r="J4" s="3"/>
      <c r="K4" s="3"/>
      <c r="L4" s="3"/>
      <c r="M4" s="3"/>
      <c r="N4" s="3"/>
      <c r="O4" s="81"/>
      <c r="P4" s="82"/>
      <c r="Q4" s="82"/>
    </row>
    <row r="5" ht="15.75" customHeight="1">
      <c r="A5" s="84" t="s">
        <v>118</v>
      </c>
      <c r="B5" s="10"/>
      <c r="C5" s="11"/>
      <c r="D5" s="84" t="s">
        <v>8</v>
      </c>
      <c r="E5" s="10"/>
      <c r="F5" s="11"/>
      <c r="G5" s="9" t="s">
        <v>9</v>
      </c>
      <c r="H5" s="10"/>
      <c r="I5" s="11"/>
      <c r="J5" s="84" t="s">
        <v>10</v>
      </c>
      <c r="K5" s="10"/>
      <c r="L5" s="11"/>
      <c r="M5" s="85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  <c r="W5" s="77" t="s">
        <v>155</v>
      </c>
    </row>
    <row r="6">
      <c r="A6" s="17"/>
      <c r="B6" s="10"/>
      <c r="C6" s="11"/>
      <c r="D6" s="86"/>
      <c r="E6" s="10"/>
      <c r="F6" s="11"/>
      <c r="G6" s="17">
        <v>46113.0</v>
      </c>
      <c r="H6" s="10"/>
      <c r="I6" s="11"/>
      <c r="J6" s="54">
        <f>G6+1</f>
        <v>46114</v>
      </c>
      <c r="K6" s="15"/>
      <c r="L6" s="16"/>
      <c r="M6" s="54">
        <f>J6+1</f>
        <v>46115</v>
      </c>
      <c r="N6" s="15"/>
      <c r="O6" s="16"/>
      <c r="P6" s="17">
        <v>46116.0</v>
      </c>
      <c r="Q6" s="10"/>
      <c r="R6" s="11"/>
      <c r="S6" s="17">
        <v>46117.0</v>
      </c>
      <c r="T6" s="10"/>
      <c r="U6" s="11"/>
      <c r="W6" s="77">
        <f>COUNTA(#REF!,#REF!,#REF!,#REF!,#REF!,#REF!,#REF!,P25:P28,D19:D24,#REF!,#REF!,#REF!,M16:M20,P31:P36,A15:A20,D27:D32,G20:G24,#REF!,P7:P12,A23:A28,D35:D40,J30:J32,J19:J24)</f>
        <v>46</v>
      </c>
    </row>
    <row r="7">
      <c r="A7" s="38"/>
      <c r="B7" s="38"/>
      <c r="C7" s="38"/>
      <c r="D7" s="38"/>
      <c r="E7" s="38"/>
      <c r="F7" s="38"/>
      <c r="G7" s="38" t="s">
        <v>236</v>
      </c>
      <c r="H7" s="38" t="s">
        <v>28</v>
      </c>
      <c r="I7" s="38" t="s">
        <v>16</v>
      </c>
      <c r="J7" s="38"/>
      <c r="K7" s="38"/>
      <c r="L7" s="38"/>
      <c r="M7" s="155"/>
      <c r="N7" s="155"/>
      <c r="O7" s="57"/>
      <c r="P7" s="38"/>
      <c r="Q7" s="212"/>
      <c r="R7" s="38"/>
      <c r="S7" s="155"/>
      <c r="T7" s="155"/>
      <c r="U7" s="57"/>
    </row>
    <row r="8">
      <c r="A8" s="38"/>
      <c r="B8" s="38"/>
      <c r="C8" s="38"/>
      <c r="D8" s="38"/>
      <c r="E8" s="38"/>
      <c r="F8" s="38"/>
      <c r="G8" s="26" t="s">
        <v>237</v>
      </c>
      <c r="H8" s="26" t="s">
        <v>32</v>
      </c>
      <c r="I8" s="26" t="s">
        <v>21</v>
      </c>
      <c r="J8" s="213" t="s">
        <v>238</v>
      </c>
      <c r="K8" s="213" t="s">
        <v>20</v>
      </c>
      <c r="L8" s="213" t="s">
        <v>21</v>
      </c>
      <c r="M8" s="155"/>
      <c r="N8" s="155"/>
      <c r="O8" s="155"/>
      <c r="P8" s="38" t="s">
        <v>239</v>
      </c>
      <c r="Q8" s="212" t="s">
        <v>240</v>
      </c>
      <c r="R8" s="38" t="s">
        <v>16</v>
      </c>
      <c r="S8" s="155"/>
      <c r="T8" s="155"/>
      <c r="U8" s="155"/>
    </row>
    <row r="9">
      <c r="A9" s="38"/>
      <c r="B9" s="38"/>
      <c r="C9" s="38"/>
      <c r="D9" s="38"/>
      <c r="E9" s="38"/>
      <c r="F9" s="38"/>
      <c r="G9" s="26" t="s">
        <v>241</v>
      </c>
      <c r="H9" s="26" t="s">
        <v>49</v>
      </c>
      <c r="I9" s="26" t="s">
        <v>21</v>
      </c>
      <c r="J9" s="38"/>
      <c r="K9" s="38"/>
      <c r="L9" s="38"/>
      <c r="M9" s="214" t="s">
        <v>22</v>
      </c>
      <c r="N9" s="10"/>
      <c r="O9" s="11"/>
      <c r="P9" s="26"/>
      <c r="Q9" s="26"/>
      <c r="R9" s="26"/>
      <c r="S9" s="214" t="s">
        <v>22</v>
      </c>
      <c r="T9" s="10"/>
      <c r="U9" s="11"/>
      <c r="W9" s="153" t="s">
        <v>24</v>
      </c>
      <c r="X9" s="153" t="s">
        <v>25</v>
      </c>
      <c r="Y9" s="154" t="s">
        <v>26</v>
      </c>
      <c r="Z9" s="215" t="s">
        <v>242</v>
      </c>
    </row>
    <row r="10">
      <c r="A10" s="38"/>
      <c r="B10" s="38"/>
      <c r="C10" s="38"/>
      <c r="D10" s="38"/>
      <c r="E10" s="38"/>
      <c r="F10" s="38"/>
      <c r="G10" s="26"/>
      <c r="H10" s="26"/>
      <c r="I10" s="26"/>
      <c r="J10" s="26" t="s">
        <v>243</v>
      </c>
      <c r="K10" s="26"/>
      <c r="L10" s="26" t="s">
        <v>21</v>
      </c>
      <c r="M10" s="155"/>
      <c r="N10" s="155"/>
      <c r="O10" s="155"/>
      <c r="P10" s="38" t="s">
        <v>244</v>
      </c>
      <c r="Q10" s="212" t="s">
        <v>245</v>
      </c>
      <c r="R10" s="38" t="s">
        <v>21</v>
      </c>
      <c r="S10" s="155"/>
      <c r="T10" s="155"/>
      <c r="U10" s="155"/>
      <c r="W10" s="154">
        <v>2.0</v>
      </c>
      <c r="X10" s="153" t="s">
        <v>212</v>
      </c>
      <c r="Y10" s="154">
        <f t="shared" ref="Y10:Y40" si="1">COUNTIF($A$5:$U$52,X10)</f>
        <v>4</v>
      </c>
      <c r="Z10" s="216">
        <f t="shared" ref="Z10:Z40" si="2">COUNTIF($A$5:$U$51,X10)</f>
        <v>4</v>
      </c>
      <c r="AA10" s="141" t="s">
        <v>212</v>
      </c>
      <c r="AB10" s="77">
        <v>4.0</v>
      </c>
    </row>
    <row r="11">
      <c r="A11" s="38"/>
      <c r="B11" s="38"/>
      <c r="C11" s="38"/>
      <c r="D11" s="38"/>
      <c r="E11" s="38"/>
      <c r="F11" s="38"/>
      <c r="G11" s="38" t="s">
        <v>246</v>
      </c>
      <c r="H11" s="38" t="s">
        <v>247</v>
      </c>
      <c r="I11" s="38" t="s">
        <v>21</v>
      </c>
      <c r="J11" s="26" t="s">
        <v>248</v>
      </c>
      <c r="K11" s="26" t="s">
        <v>232</v>
      </c>
      <c r="L11" s="26" t="s">
        <v>21</v>
      </c>
      <c r="M11" s="155"/>
      <c r="N11" s="155"/>
      <c r="O11" s="155"/>
      <c r="P11" s="155"/>
      <c r="Q11" s="155"/>
      <c r="R11" s="155"/>
      <c r="S11" s="155"/>
      <c r="T11" s="155"/>
      <c r="U11" s="155"/>
      <c r="W11" s="154">
        <v>3.0</v>
      </c>
      <c r="X11" s="217" t="s">
        <v>238</v>
      </c>
      <c r="Y11" s="218">
        <f t="shared" si="1"/>
        <v>7</v>
      </c>
      <c r="Z11" s="216">
        <f t="shared" si="2"/>
        <v>7</v>
      </c>
      <c r="AA11" s="141" t="s">
        <v>238</v>
      </c>
      <c r="AB11" s="77">
        <v>9.0</v>
      </c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87"/>
      <c r="K12" s="87"/>
      <c r="L12" s="87"/>
      <c r="M12" s="155"/>
      <c r="N12" s="155"/>
      <c r="O12" s="155"/>
      <c r="P12" s="155"/>
      <c r="Q12" s="219"/>
      <c r="R12" s="155"/>
      <c r="S12" s="155"/>
      <c r="T12" s="155"/>
      <c r="U12" s="155"/>
      <c r="W12" s="154">
        <v>4.0</v>
      </c>
      <c r="X12" s="220" t="s">
        <v>249</v>
      </c>
      <c r="Y12" s="154">
        <f t="shared" si="1"/>
        <v>2</v>
      </c>
      <c r="Z12" s="221">
        <f t="shared" si="2"/>
        <v>2</v>
      </c>
      <c r="AA12" s="141" t="s">
        <v>249</v>
      </c>
      <c r="AB12" s="77">
        <v>2.0</v>
      </c>
    </row>
    <row r="13" ht="15.75" customHeight="1">
      <c r="A13" s="97" t="s">
        <v>7</v>
      </c>
      <c r="B13" s="10"/>
      <c r="C13" s="11"/>
      <c r="D13" s="97" t="s">
        <v>8</v>
      </c>
      <c r="E13" s="10"/>
      <c r="F13" s="11"/>
      <c r="G13" s="97" t="s">
        <v>9</v>
      </c>
      <c r="H13" s="10"/>
      <c r="I13" s="11"/>
      <c r="J13" s="97" t="s">
        <v>10</v>
      </c>
      <c r="K13" s="10"/>
      <c r="L13" s="11"/>
      <c r="M13" s="97" t="s">
        <v>95</v>
      </c>
      <c r="N13" s="10"/>
      <c r="O13" s="11"/>
      <c r="P13" s="97" t="s">
        <v>83</v>
      </c>
      <c r="Q13" s="10"/>
      <c r="R13" s="11"/>
      <c r="S13" s="98" t="s">
        <v>13</v>
      </c>
      <c r="T13" s="10"/>
      <c r="U13" s="11"/>
      <c r="W13" s="154">
        <v>5.0</v>
      </c>
      <c r="X13" s="153" t="s">
        <v>250</v>
      </c>
      <c r="Y13" s="154">
        <f t="shared" si="1"/>
        <v>3</v>
      </c>
      <c r="Z13" s="216">
        <f t="shared" si="2"/>
        <v>3</v>
      </c>
      <c r="AA13" s="141" t="s">
        <v>250</v>
      </c>
      <c r="AB13" s="77">
        <v>3.0</v>
      </c>
    </row>
    <row r="14" ht="20.25" customHeight="1">
      <c r="A14" s="99">
        <f>S6+1</f>
        <v>46118</v>
      </c>
      <c r="B14" s="10"/>
      <c r="C14" s="11"/>
      <c r="D14" s="99">
        <f>A14+1</f>
        <v>46119</v>
      </c>
      <c r="E14" s="10"/>
      <c r="F14" s="11"/>
      <c r="G14" s="99">
        <f>D14+1</f>
        <v>46120</v>
      </c>
      <c r="H14" s="10"/>
      <c r="I14" s="11"/>
      <c r="J14" s="99">
        <f>G14+1</f>
        <v>46121</v>
      </c>
      <c r="K14" s="10"/>
      <c r="L14" s="11"/>
      <c r="M14" s="99">
        <f>J14+1</f>
        <v>46122</v>
      </c>
      <c r="N14" s="10"/>
      <c r="O14" s="11"/>
      <c r="P14" s="99">
        <f>M14+1</f>
        <v>46123</v>
      </c>
      <c r="Q14" s="10"/>
      <c r="R14" s="11"/>
      <c r="S14" s="100">
        <f>P14+1</f>
        <v>46124</v>
      </c>
      <c r="T14" s="10"/>
      <c r="U14" s="11"/>
      <c r="W14" s="154">
        <v>6.0</v>
      </c>
      <c r="X14" s="222" t="s">
        <v>251</v>
      </c>
      <c r="Y14" s="154">
        <f t="shared" si="1"/>
        <v>2</v>
      </c>
      <c r="Z14" s="216">
        <f t="shared" si="2"/>
        <v>2</v>
      </c>
      <c r="AA14" s="223" t="s">
        <v>251</v>
      </c>
      <c r="AB14" s="77">
        <v>2.0</v>
      </c>
    </row>
    <row r="15">
      <c r="A15" s="95"/>
      <c r="B15" s="95"/>
      <c r="C15" s="95"/>
      <c r="D15" s="145" t="s">
        <v>252</v>
      </c>
      <c r="E15" s="145" t="s">
        <v>219</v>
      </c>
      <c r="F15" s="145" t="s">
        <v>47</v>
      </c>
      <c r="G15" s="38"/>
      <c r="H15" s="38"/>
      <c r="I15" s="38"/>
      <c r="J15" s="145"/>
      <c r="K15" s="145"/>
      <c r="L15" s="145"/>
      <c r="M15" s="38"/>
      <c r="N15" s="38"/>
      <c r="O15" s="38"/>
      <c r="P15" s="38"/>
      <c r="Q15" s="38"/>
      <c r="R15" s="38"/>
      <c r="S15" s="155"/>
      <c r="T15" s="155"/>
      <c r="U15" s="57"/>
      <c r="W15" s="154">
        <v>7.0</v>
      </c>
      <c r="X15" s="153" t="s">
        <v>237</v>
      </c>
      <c r="Y15" s="154">
        <f t="shared" si="1"/>
        <v>2</v>
      </c>
      <c r="Z15" s="216">
        <f t="shared" si="2"/>
        <v>2</v>
      </c>
      <c r="AA15" s="141" t="s">
        <v>237</v>
      </c>
      <c r="AB15" s="77">
        <v>3.0</v>
      </c>
    </row>
    <row r="16">
      <c r="A16" s="26" t="s">
        <v>253</v>
      </c>
      <c r="B16" s="38" t="s">
        <v>28</v>
      </c>
      <c r="C16" s="38" t="s">
        <v>16</v>
      </c>
      <c r="D16" s="213" t="s">
        <v>238</v>
      </c>
      <c r="E16" s="213" t="s">
        <v>20</v>
      </c>
      <c r="F16" s="213" t="s">
        <v>21</v>
      </c>
      <c r="G16" s="38" t="s">
        <v>236</v>
      </c>
      <c r="H16" s="38" t="s">
        <v>28</v>
      </c>
      <c r="I16" s="38" t="s">
        <v>16</v>
      </c>
      <c r="J16" s="26" t="s">
        <v>248</v>
      </c>
      <c r="K16" s="58" t="s">
        <v>18</v>
      </c>
      <c r="L16" s="58" t="s">
        <v>21</v>
      </c>
      <c r="M16" s="38" t="s">
        <v>254</v>
      </c>
      <c r="N16" s="201" t="s">
        <v>255</v>
      </c>
      <c r="O16" s="224" t="s">
        <v>16</v>
      </c>
      <c r="P16" s="38" t="s">
        <v>239</v>
      </c>
      <c r="Q16" s="212" t="s">
        <v>240</v>
      </c>
      <c r="R16" s="38" t="s">
        <v>16</v>
      </c>
      <c r="S16" s="155"/>
      <c r="T16" s="155"/>
      <c r="U16" s="155"/>
      <c r="W16" s="154">
        <v>8.0</v>
      </c>
      <c r="X16" s="153" t="s">
        <v>253</v>
      </c>
      <c r="Y16" s="154">
        <f t="shared" si="1"/>
        <v>2</v>
      </c>
      <c r="Z16" s="216">
        <f t="shared" si="2"/>
        <v>2</v>
      </c>
      <c r="AA16" s="141" t="s">
        <v>253</v>
      </c>
      <c r="AB16" s="77">
        <v>2.0</v>
      </c>
    </row>
    <row r="17">
      <c r="A17" s="38"/>
      <c r="B17" s="38"/>
      <c r="C17" s="38"/>
      <c r="D17" s="38" t="s">
        <v>256</v>
      </c>
      <c r="E17" s="38" t="s">
        <v>109</v>
      </c>
      <c r="F17" s="38" t="s">
        <v>16</v>
      </c>
      <c r="G17" s="26" t="s">
        <v>250</v>
      </c>
      <c r="H17" s="26" t="s">
        <v>67</v>
      </c>
      <c r="I17" s="26" t="s">
        <v>47</v>
      </c>
      <c r="J17" s="26" t="s">
        <v>257</v>
      </c>
      <c r="K17" s="26" t="s">
        <v>28</v>
      </c>
      <c r="L17" s="26" t="s">
        <v>21</v>
      </c>
      <c r="M17" s="38" t="s">
        <v>258</v>
      </c>
      <c r="N17" s="61"/>
      <c r="O17" s="61"/>
      <c r="P17" s="26" t="s">
        <v>259</v>
      </c>
      <c r="Q17" s="194" t="s">
        <v>260</v>
      </c>
      <c r="R17" s="26" t="s">
        <v>47</v>
      </c>
      <c r="S17" s="214" t="s">
        <v>22</v>
      </c>
      <c r="T17" s="10"/>
      <c r="U17" s="11"/>
      <c r="W17" s="154">
        <v>24.0</v>
      </c>
      <c r="X17" s="225" t="s">
        <v>261</v>
      </c>
      <c r="Y17" s="226">
        <f t="shared" si="1"/>
        <v>2</v>
      </c>
      <c r="Z17" s="216">
        <f t="shared" si="2"/>
        <v>2</v>
      </c>
      <c r="AA17" s="141" t="s">
        <v>261</v>
      </c>
      <c r="AB17" s="77">
        <v>2.0</v>
      </c>
    </row>
    <row r="18">
      <c r="A18" s="145" t="s">
        <v>212</v>
      </c>
      <c r="B18" s="145" t="s">
        <v>225</v>
      </c>
      <c r="C18" s="145" t="s">
        <v>21</v>
      </c>
      <c r="D18" s="38"/>
      <c r="E18" s="38"/>
      <c r="F18" s="38"/>
      <c r="G18" s="38"/>
      <c r="H18" s="38"/>
      <c r="I18" s="38"/>
      <c r="J18" s="26" t="s">
        <v>262</v>
      </c>
      <c r="K18" s="26" t="s">
        <v>67</v>
      </c>
      <c r="L18" s="26" t="s">
        <v>16</v>
      </c>
      <c r="M18" s="38"/>
      <c r="N18" s="38"/>
      <c r="O18" s="38"/>
      <c r="P18" s="38" t="s">
        <v>244</v>
      </c>
      <c r="Q18" s="212" t="s">
        <v>68</v>
      </c>
      <c r="R18" s="38" t="s">
        <v>21</v>
      </c>
      <c r="S18" s="155"/>
      <c r="T18" s="155"/>
      <c r="U18" s="155"/>
      <c r="W18" s="154">
        <v>9.0</v>
      </c>
      <c r="X18" s="153" t="s">
        <v>239</v>
      </c>
      <c r="Y18" s="154">
        <f t="shared" si="1"/>
        <v>3</v>
      </c>
      <c r="Z18" s="216">
        <f t="shared" si="2"/>
        <v>3</v>
      </c>
      <c r="AA18" s="141" t="s">
        <v>239</v>
      </c>
      <c r="AB18" s="77">
        <v>2.0</v>
      </c>
    </row>
    <row r="19" ht="21.0" customHeight="1">
      <c r="A19" s="38"/>
      <c r="B19" s="38"/>
      <c r="C19" s="38"/>
      <c r="D19" s="147" t="s">
        <v>263</v>
      </c>
      <c r="E19" s="147"/>
      <c r="F19" s="147" t="s">
        <v>21</v>
      </c>
      <c r="G19" s="38"/>
      <c r="H19" s="38"/>
      <c r="I19" s="38"/>
      <c r="J19" s="60" t="s">
        <v>243</v>
      </c>
      <c r="K19" s="60" t="s">
        <v>264</v>
      </c>
      <c r="L19" s="60" t="s">
        <v>21</v>
      </c>
      <c r="M19" s="145"/>
      <c r="N19" s="145"/>
      <c r="O19" s="145"/>
      <c r="P19" s="38"/>
      <c r="Q19" s="38"/>
      <c r="R19" s="38"/>
      <c r="S19" s="155"/>
      <c r="T19" s="155"/>
      <c r="U19" s="155"/>
      <c r="W19" s="179">
        <v>10.0</v>
      </c>
      <c r="X19" s="227" t="s">
        <v>265</v>
      </c>
      <c r="Y19" s="179">
        <f t="shared" si="1"/>
        <v>0</v>
      </c>
      <c r="Z19" s="228">
        <f t="shared" si="2"/>
        <v>0</v>
      </c>
      <c r="AA19" s="223" t="s">
        <v>265</v>
      </c>
      <c r="AB19" s="77">
        <v>0.0</v>
      </c>
    </row>
    <row r="20">
      <c r="A20" s="38" t="s">
        <v>266</v>
      </c>
      <c r="B20" s="38" t="s">
        <v>267</v>
      </c>
      <c r="C20" s="38" t="s">
        <v>21</v>
      </c>
      <c r="D20" s="38"/>
      <c r="E20" s="38"/>
      <c r="F20" s="38"/>
      <c r="G20" s="38" t="s">
        <v>246</v>
      </c>
      <c r="H20" s="38" t="s">
        <v>247</v>
      </c>
      <c r="I20" s="38" t="s">
        <v>57</v>
      </c>
      <c r="J20" s="26" t="s">
        <v>268</v>
      </c>
      <c r="K20" s="26" t="s">
        <v>66</v>
      </c>
      <c r="L20" s="26" t="s">
        <v>47</v>
      </c>
      <c r="M20" s="38"/>
      <c r="N20" s="38"/>
      <c r="O20" s="38"/>
      <c r="P20" s="26"/>
      <c r="Q20" s="26"/>
      <c r="R20" s="26"/>
      <c r="S20" s="155"/>
      <c r="T20" s="155"/>
      <c r="U20" s="155"/>
      <c r="W20" s="154">
        <v>11.0</v>
      </c>
      <c r="X20" s="153" t="s">
        <v>268</v>
      </c>
      <c r="Y20" s="154">
        <f t="shared" si="1"/>
        <v>5</v>
      </c>
      <c r="Z20" s="216">
        <f t="shared" si="2"/>
        <v>5</v>
      </c>
      <c r="AA20" s="141" t="s">
        <v>268</v>
      </c>
      <c r="AB20" s="77">
        <v>2.0</v>
      </c>
    </row>
    <row r="21" ht="15.75" customHeight="1">
      <c r="A21" s="84" t="s">
        <v>118</v>
      </c>
      <c r="B21" s="10"/>
      <c r="C21" s="11"/>
      <c r="D21" s="84" t="s">
        <v>8</v>
      </c>
      <c r="E21" s="10"/>
      <c r="F21" s="11"/>
      <c r="G21" s="84" t="s">
        <v>119</v>
      </c>
      <c r="H21" s="10"/>
      <c r="I21" s="11"/>
      <c r="J21" s="84" t="s">
        <v>10</v>
      </c>
      <c r="K21" s="10"/>
      <c r="L21" s="11"/>
      <c r="M21" s="84" t="s">
        <v>95</v>
      </c>
      <c r="N21" s="10"/>
      <c r="O21" s="11"/>
      <c r="P21" s="84" t="s">
        <v>83</v>
      </c>
      <c r="Q21" s="10"/>
      <c r="R21" s="11"/>
      <c r="S21" s="85" t="s">
        <v>13</v>
      </c>
      <c r="T21" s="10"/>
      <c r="U21" s="11"/>
      <c r="W21" s="154">
        <v>12.0</v>
      </c>
      <c r="X21" s="153" t="s">
        <v>254</v>
      </c>
      <c r="Y21" s="154">
        <f t="shared" si="1"/>
        <v>2</v>
      </c>
      <c r="Z21" s="216">
        <f t="shared" si="2"/>
        <v>2</v>
      </c>
      <c r="AA21" s="141" t="s">
        <v>254</v>
      </c>
      <c r="AB21" s="77">
        <v>2.0</v>
      </c>
    </row>
    <row r="22" ht="15.75" customHeight="1">
      <c r="A22" s="86">
        <f>S14+1</f>
        <v>46125</v>
      </c>
      <c r="B22" s="10"/>
      <c r="C22" s="11"/>
      <c r="D22" s="86">
        <f>A22+1</f>
        <v>46126</v>
      </c>
      <c r="E22" s="10"/>
      <c r="F22" s="11"/>
      <c r="G22" s="86">
        <f>D22+1</f>
        <v>46127</v>
      </c>
      <c r="H22" s="10"/>
      <c r="I22" s="11"/>
      <c r="J22" s="86">
        <f>G22+1</f>
        <v>46128</v>
      </c>
      <c r="K22" s="10"/>
      <c r="L22" s="11"/>
      <c r="M22" s="86">
        <f>J22+1</f>
        <v>46129</v>
      </c>
      <c r="N22" s="10"/>
      <c r="O22" s="11"/>
      <c r="P22" s="86">
        <f>M22+1</f>
        <v>46130</v>
      </c>
      <c r="Q22" s="10"/>
      <c r="R22" s="11"/>
      <c r="S22" s="86">
        <f>P22+1</f>
        <v>46131</v>
      </c>
      <c r="T22" s="10"/>
      <c r="U22" s="11"/>
      <c r="W22" s="154">
        <v>13.0</v>
      </c>
      <c r="X22" s="153" t="s">
        <v>258</v>
      </c>
      <c r="Y22" s="154">
        <f t="shared" si="1"/>
        <v>2</v>
      </c>
      <c r="Z22" s="216">
        <f t="shared" si="2"/>
        <v>2</v>
      </c>
      <c r="AA22" s="141" t="s">
        <v>258</v>
      </c>
      <c r="AB22" s="77">
        <v>2.0</v>
      </c>
    </row>
    <row r="23" ht="15.75" customHeight="1">
      <c r="A23" s="38"/>
      <c r="B23" s="38"/>
      <c r="C23" s="38"/>
      <c r="D23" s="38"/>
      <c r="E23" s="38"/>
      <c r="F23" s="38"/>
      <c r="G23" s="26"/>
      <c r="H23" s="26"/>
      <c r="I23" s="26"/>
      <c r="J23" s="38"/>
      <c r="K23" s="38"/>
      <c r="L23" s="38"/>
      <c r="M23" s="38"/>
      <c r="N23" s="38"/>
      <c r="O23" s="38"/>
      <c r="P23" s="38"/>
      <c r="Q23" s="212"/>
      <c r="R23" s="38"/>
      <c r="S23" s="155"/>
      <c r="T23" s="155"/>
      <c r="U23" s="57"/>
      <c r="W23" s="154">
        <v>14.0</v>
      </c>
      <c r="X23" s="153" t="s">
        <v>262</v>
      </c>
      <c r="Y23" s="154">
        <f t="shared" si="1"/>
        <v>2</v>
      </c>
      <c r="Z23" s="216">
        <f t="shared" si="2"/>
        <v>2</v>
      </c>
      <c r="AA23" s="141" t="s">
        <v>262</v>
      </c>
      <c r="AB23" s="77">
        <v>2.0</v>
      </c>
    </row>
    <row r="24" ht="15.75" customHeight="1">
      <c r="A24" s="38" t="s">
        <v>266</v>
      </c>
      <c r="B24" s="38" t="s">
        <v>71</v>
      </c>
      <c r="C24" s="38" t="s">
        <v>21</v>
      </c>
      <c r="D24" s="38"/>
      <c r="E24" s="38"/>
      <c r="F24" s="38"/>
      <c r="G24" s="38" t="s">
        <v>236</v>
      </c>
      <c r="H24" s="38" t="s">
        <v>28</v>
      </c>
      <c r="I24" s="38" t="s">
        <v>16</v>
      </c>
      <c r="J24" s="213" t="s">
        <v>238</v>
      </c>
      <c r="K24" s="213" t="s">
        <v>20</v>
      </c>
      <c r="L24" s="213" t="s">
        <v>21</v>
      </c>
      <c r="M24" s="38"/>
      <c r="N24" s="38"/>
      <c r="O24" s="38"/>
      <c r="P24" s="38"/>
      <c r="Q24" s="212"/>
      <c r="R24" s="38"/>
      <c r="S24" s="155"/>
      <c r="T24" s="155"/>
      <c r="U24" s="155"/>
      <c r="W24" s="154">
        <v>15.0</v>
      </c>
      <c r="X24" s="222" t="s">
        <v>243</v>
      </c>
      <c r="Y24" s="154">
        <f t="shared" si="1"/>
        <v>3</v>
      </c>
      <c r="Z24" s="216">
        <f t="shared" si="2"/>
        <v>3</v>
      </c>
      <c r="AA24" s="223" t="s">
        <v>243</v>
      </c>
      <c r="AB24" s="77">
        <v>2.0</v>
      </c>
    </row>
    <row r="25" ht="15.75" customHeight="1">
      <c r="A25" s="38"/>
      <c r="B25" s="38"/>
      <c r="C25" s="38"/>
      <c r="D25" s="213" t="s">
        <v>238</v>
      </c>
      <c r="E25" s="213" t="s">
        <v>20</v>
      </c>
      <c r="F25" s="213" t="s">
        <v>21</v>
      </c>
      <c r="G25" s="26" t="s">
        <v>237</v>
      </c>
      <c r="H25" s="26" t="s">
        <v>32</v>
      </c>
      <c r="I25" s="26" t="s">
        <v>21</v>
      </c>
      <c r="J25" s="60" t="s">
        <v>268</v>
      </c>
      <c r="K25" s="60"/>
      <c r="L25" s="60" t="s">
        <v>47</v>
      </c>
      <c r="M25" s="26" t="s">
        <v>251</v>
      </c>
      <c r="N25" s="38" t="s">
        <v>28</v>
      </c>
      <c r="O25" s="38" t="s">
        <v>47</v>
      </c>
      <c r="P25" s="60" t="s">
        <v>250</v>
      </c>
      <c r="Q25" s="60" t="s">
        <v>67</v>
      </c>
      <c r="R25" s="60" t="s">
        <v>47</v>
      </c>
      <c r="S25" s="214" t="s">
        <v>22</v>
      </c>
      <c r="T25" s="10"/>
      <c r="U25" s="11"/>
      <c r="W25" s="154">
        <v>16.0</v>
      </c>
      <c r="X25" s="153" t="s">
        <v>244</v>
      </c>
      <c r="Y25" s="154">
        <f t="shared" si="1"/>
        <v>4</v>
      </c>
      <c r="Z25" s="216">
        <f t="shared" si="2"/>
        <v>4</v>
      </c>
      <c r="AA25" s="141" t="s">
        <v>244</v>
      </c>
      <c r="AB25" s="77">
        <v>4.0</v>
      </c>
    </row>
    <row r="26" ht="15.75" customHeight="1">
      <c r="A26" s="145" t="s">
        <v>212</v>
      </c>
      <c r="B26" s="145" t="s">
        <v>225</v>
      </c>
      <c r="C26" s="145" t="s">
        <v>21</v>
      </c>
      <c r="D26" s="38" t="s">
        <v>256</v>
      </c>
      <c r="E26" s="38" t="s">
        <v>109</v>
      </c>
      <c r="F26" s="38" t="s">
        <v>16</v>
      </c>
      <c r="G26" s="26" t="s">
        <v>241</v>
      </c>
      <c r="H26" s="26" t="s">
        <v>49</v>
      </c>
      <c r="I26" s="26" t="s">
        <v>21</v>
      </c>
      <c r="J26" s="26" t="s">
        <v>243</v>
      </c>
      <c r="K26" s="26" t="s">
        <v>264</v>
      </c>
      <c r="L26" s="26" t="s">
        <v>21</v>
      </c>
      <c r="M26" s="38" t="s">
        <v>249</v>
      </c>
      <c r="N26" s="26" t="s">
        <v>67</v>
      </c>
      <c r="O26" s="38" t="s">
        <v>21</v>
      </c>
      <c r="P26" s="38" t="s">
        <v>244</v>
      </c>
      <c r="Q26" s="212" t="s">
        <v>245</v>
      </c>
      <c r="R26" s="38" t="s">
        <v>21</v>
      </c>
      <c r="S26" s="155"/>
      <c r="T26" s="155"/>
      <c r="U26" s="155"/>
      <c r="W26" s="179">
        <v>25.0</v>
      </c>
      <c r="X26" s="229" t="s">
        <v>269</v>
      </c>
      <c r="Y26" s="179">
        <f t="shared" si="1"/>
        <v>0</v>
      </c>
      <c r="Z26" s="228">
        <f t="shared" si="2"/>
        <v>0</v>
      </c>
      <c r="AA26" s="34" t="s">
        <v>269</v>
      </c>
      <c r="AB26" s="77">
        <v>0.0</v>
      </c>
    </row>
    <row r="27" ht="15.75" customHeight="1">
      <c r="A27" s="26" t="s">
        <v>261</v>
      </c>
      <c r="B27" s="194" t="s">
        <v>270</v>
      </c>
      <c r="C27" s="145" t="s">
        <v>47</v>
      </c>
      <c r="D27" s="26"/>
      <c r="E27" s="194"/>
      <c r="F27" s="26"/>
      <c r="G27" s="38" t="s">
        <v>246</v>
      </c>
      <c r="H27" s="38" t="s">
        <v>247</v>
      </c>
      <c r="I27" s="38" t="s">
        <v>21</v>
      </c>
      <c r="J27" s="26" t="s">
        <v>248</v>
      </c>
      <c r="K27" s="26" t="s">
        <v>232</v>
      </c>
      <c r="L27" s="26" t="s">
        <v>21</v>
      </c>
      <c r="M27" s="38"/>
      <c r="N27" s="38"/>
      <c r="O27" s="38"/>
      <c r="P27" s="155"/>
      <c r="Q27" s="219"/>
      <c r="R27" s="155"/>
      <c r="S27" s="155"/>
      <c r="T27" s="155"/>
      <c r="U27" s="155"/>
      <c r="W27" s="154">
        <v>18.0</v>
      </c>
      <c r="X27" s="153" t="s">
        <v>266</v>
      </c>
      <c r="Y27" s="154">
        <f t="shared" si="1"/>
        <v>4</v>
      </c>
      <c r="Z27" s="216">
        <f t="shared" si="2"/>
        <v>4</v>
      </c>
      <c r="AA27" s="141" t="s">
        <v>266</v>
      </c>
      <c r="AB27" s="77">
        <v>4.0</v>
      </c>
    </row>
    <row r="28" ht="15.75" customHeight="1">
      <c r="A28" s="95"/>
      <c r="B28" s="95"/>
      <c r="C28" s="95"/>
      <c r="D28" s="26" t="s">
        <v>268</v>
      </c>
      <c r="E28" s="26"/>
      <c r="F28" s="26" t="s">
        <v>47</v>
      </c>
      <c r="G28" s="38"/>
      <c r="H28" s="38"/>
      <c r="I28" s="38"/>
      <c r="J28" s="87"/>
      <c r="K28" s="87"/>
      <c r="L28" s="87"/>
      <c r="M28" s="213" t="s">
        <v>238</v>
      </c>
      <c r="N28" s="213" t="s">
        <v>271</v>
      </c>
      <c r="O28" s="213" t="s">
        <v>57</v>
      </c>
      <c r="P28" s="155"/>
      <c r="Q28" s="219"/>
      <c r="R28" s="155"/>
      <c r="S28" s="155"/>
      <c r="T28" s="155"/>
      <c r="U28" s="155"/>
      <c r="W28" s="179">
        <v>19.0</v>
      </c>
      <c r="X28" s="230" t="s">
        <v>272</v>
      </c>
      <c r="Y28" s="179">
        <f t="shared" si="1"/>
        <v>0</v>
      </c>
      <c r="Z28" s="228">
        <f t="shared" si="2"/>
        <v>0</v>
      </c>
      <c r="AA28" s="144"/>
    </row>
    <row r="29" ht="15.75" customHeight="1">
      <c r="A29" s="97" t="s">
        <v>118</v>
      </c>
      <c r="B29" s="10"/>
      <c r="C29" s="11"/>
      <c r="D29" s="97" t="s">
        <v>8</v>
      </c>
      <c r="E29" s="10"/>
      <c r="F29" s="11"/>
      <c r="G29" s="97" t="s">
        <v>119</v>
      </c>
      <c r="H29" s="10"/>
      <c r="I29" s="11"/>
      <c r="J29" s="97" t="s">
        <v>10</v>
      </c>
      <c r="K29" s="10"/>
      <c r="L29" s="11"/>
      <c r="M29" s="97" t="s">
        <v>95</v>
      </c>
      <c r="N29" s="10"/>
      <c r="O29" s="11"/>
      <c r="P29" s="97" t="s">
        <v>83</v>
      </c>
      <c r="Q29" s="10"/>
      <c r="R29" s="11"/>
      <c r="S29" s="167" t="s">
        <v>13</v>
      </c>
      <c r="T29" s="10"/>
      <c r="U29" s="11"/>
      <c r="W29" s="154">
        <v>20.0</v>
      </c>
      <c r="X29" s="153" t="s">
        <v>259</v>
      </c>
      <c r="Y29" s="154">
        <f t="shared" si="1"/>
        <v>2</v>
      </c>
      <c r="Z29" s="216">
        <f t="shared" si="2"/>
        <v>2</v>
      </c>
      <c r="AA29" s="141" t="s">
        <v>259</v>
      </c>
      <c r="AB29" s="77">
        <v>2.0</v>
      </c>
    </row>
    <row r="30" ht="15.75" customHeight="1">
      <c r="A30" s="99">
        <f>S22+1</f>
        <v>46132</v>
      </c>
      <c r="B30" s="10"/>
      <c r="C30" s="11"/>
      <c r="D30" s="99">
        <f>A30+1</f>
        <v>46133</v>
      </c>
      <c r="E30" s="10"/>
      <c r="F30" s="11"/>
      <c r="G30" s="99">
        <f>D30+1</f>
        <v>46134</v>
      </c>
      <c r="H30" s="10"/>
      <c r="I30" s="11"/>
      <c r="J30" s="99">
        <f>G30+1</f>
        <v>46135</v>
      </c>
      <c r="K30" s="10"/>
      <c r="L30" s="11"/>
      <c r="M30" s="99">
        <f>J30+1</f>
        <v>46136</v>
      </c>
      <c r="N30" s="10"/>
      <c r="O30" s="11"/>
      <c r="P30" s="99">
        <f>M30+1</f>
        <v>46137</v>
      </c>
      <c r="Q30" s="10"/>
      <c r="R30" s="11"/>
      <c r="S30" s="100">
        <f>P30+1</f>
        <v>46138</v>
      </c>
      <c r="T30" s="10"/>
      <c r="U30" s="11"/>
      <c r="W30" s="154">
        <v>21.0</v>
      </c>
      <c r="X30" s="153" t="s">
        <v>246</v>
      </c>
      <c r="Y30" s="154">
        <f t="shared" si="1"/>
        <v>4</v>
      </c>
      <c r="Z30" s="216">
        <f t="shared" si="2"/>
        <v>4</v>
      </c>
      <c r="AA30" s="141" t="s">
        <v>246</v>
      </c>
      <c r="AB30" s="77">
        <v>4.0</v>
      </c>
    </row>
    <row r="31" ht="15.75" customHeight="1">
      <c r="A31" s="38"/>
      <c r="B31" s="38"/>
      <c r="C31" s="38"/>
      <c r="D31" s="145"/>
      <c r="E31" s="145"/>
      <c r="F31" s="145"/>
      <c r="G31" s="38"/>
      <c r="H31" s="38"/>
      <c r="I31" s="38"/>
      <c r="J31" s="145"/>
      <c r="K31" s="145"/>
      <c r="L31" s="145"/>
      <c r="M31" s="38"/>
      <c r="N31" s="38"/>
      <c r="O31" s="38"/>
      <c r="P31" s="38"/>
      <c r="Q31" s="38"/>
      <c r="R31" s="38"/>
      <c r="S31" s="155"/>
      <c r="T31" s="155"/>
      <c r="U31" s="57"/>
      <c r="W31" s="154">
        <v>26.0</v>
      </c>
      <c r="X31" s="231" t="s">
        <v>252</v>
      </c>
      <c r="Y31" s="154">
        <f t="shared" si="1"/>
        <v>3</v>
      </c>
      <c r="Z31" s="216">
        <f t="shared" si="2"/>
        <v>3</v>
      </c>
      <c r="AA31" s="34" t="s">
        <v>252</v>
      </c>
      <c r="AB31" s="77">
        <v>2.0</v>
      </c>
    </row>
    <row r="32" ht="15.75" customHeight="1">
      <c r="A32" s="26" t="s">
        <v>253</v>
      </c>
      <c r="B32" s="38" t="s">
        <v>28</v>
      </c>
      <c r="C32" s="38" t="s">
        <v>16</v>
      </c>
      <c r="D32" s="145" t="s">
        <v>252</v>
      </c>
      <c r="E32" s="145"/>
      <c r="F32" s="145" t="s">
        <v>47</v>
      </c>
      <c r="G32" s="38" t="s">
        <v>236</v>
      </c>
      <c r="H32" s="38" t="s">
        <v>28</v>
      </c>
      <c r="I32" s="38" t="s">
        <v>16</v>
      </c>
      <c r="J32" s="145"/>
      <c r="K32" s="145"/>
      <c r="L32" s="145"/>
      <c r="M32" s="38" t="s">
        <v>254</v>
      </c>
      <c r="N32" s="201" t="s">
        <v>255</v>
      </c>
      <c r="O32" s="224" t="s">
        <v>16</v>
      </c>
      <c r="P32" s="38" t="s">
        <v>239</v>
      </c>
      <c r="Q32" s="212" t="s">
        <v>240</v>
      </c>
      <c r="R32" s="38" t="s">
        <v>16</v>
      </c>
      <c r="S32" s="155"/>
      <c r="T32" s="155"/>
      <c r="U32" s="155"/>
      <c r="W32" s="154">
        <v>22.0</v>
      </c>
      <c r="X32" s="153" t="s">
        <v>248</v>
      </c>
      <c r="Y32" s="154">
        <f t="shared" si="1"/>
        <v>4</v>
      </c>
      <c r="Z32" s="216">
        <f t="shared" si="2"/>
        <v>4</v>
      </c>
      <c r="AA32" s="141" t="s">
        <v>248</v>
      </c>
      <c r="AB32" s="77">
        <v>4.0</v>
      </c>
    </row>
    <row r="33" ht="15.0" customHeight="1">
      <c r="A33" s="38"/>
      <c r="B33" s="38"/>
      <c r="C33" s="38"/>
      <c r="D33" s="213" t="s">
        <v>238</v>
      </c>
      <c r="E33" s="213" t="s">
        <v>20</v>
      </c>
      <c r="F33" s="213" t="s">
        <v>21</v>
      </c>
      <c r="G33" s="26" t="s">
        <v>250</v>
      </c>
      <c r="H33" s="26"/>
      <c r="I33" s="26" t="s">
        <v>47</v>
      </c>
      <c r="J33" s="26" t="s">
        <v>248</v>
      </c>
      <c r="K33" s="58" t="s">
        <v>18</v>
      </c>
      <c r="L33" s="58" t="s">
        <v>21</v>
      </c>
      <c r="M33" s="38" t="s">
        <v>258</v>
      </c>
      <c r="N33" s="61"/>
      <c r="O33" s="61"/>
      <c r="P33" s="26" t="s">
        <v>259</v>
      </c>
      <c r="Q33" s="194" t="s">
        <v>260</v>
      </c>
      <c r="R33" s="26" t="s">
        <v>47</v>
      </c>
      <c r="S33" s="214" t="s">
        <v>22</v>
      </c>
      <c r="T33" s="10"/>
      <c r="U33" s="11"/>
      <c r="W33" s="154">
        <v>23.0</v>
      </c>
      <c r="X33" s="153" t="s">
        <v>257</v>
      </c>
      <c r="Y33" s="154">
        <f t="shared" si="1"/>
        <v>2</v>
      </c>
      <c r="Z33" s="232">
        <f t="shared" si="2"/>
        <v>2</v>
      </c>
      <c r="AA33" s="141" t="s">
        <v>257</v>
      </c>
      <c r="AB33" s="77">
        <v>2.0</v>
      </c>
    </row>
    <row r="34" ht="15.75" customHeight="1">
      <c r="A34" s="145" t="s">
        <v>212</v>
      </c>
      <c r="B34" s="145" t="s">
        <v>225</v>
      </c>
      <c r="C34" s="145" t="s">
        <v>21</v>
      </c>
      <c r="D34" s="38" t="s">
        <v>256</v>
      </c>
      <c r="E34" s="38" t="s">
        <v>109</v>
      </c>
      <c r="F34" s="38" t="s">
        <v>16</v>
      </c>
      <c r="G34" s="60" t="s">
        <v>268</v>
      </c>
      <c r="H34" s="60"/>
      <c r="I34" s="60" t="s">
        <v>47</v>
      </c>
      <c r="J34" s="26" t="s">
        <v>257</v>
      </c>
      <c r="K34" s="26" t="s">
        <v>28</v>
      </c>
      <c r="L34" s="26" t="s">
        <v>21</v>
      </c>
      <c r="M34" s="95"/>
      <c r="N34" s="95"/>
      <c r="O34" s="95"/>
      <c r="P34" s="38" t="s">
        <v>244</v>
      </c>
      <c r="Q34" s="212" t="s">
        <v>68</v>
      </c>
      <c r="R34" s="38" t="s">
        <v>21</v>
      </c>
      <c r="S34" s="155"/>
      <c r="T34" s="155"/>
      <c r="U34" s="155"/>
      <c r="W34" s="154">
        <v>17.0</v>
      </c>
      <c r="X34" s="233" t="s">
        <v>241</v>
      </c>
      <c r="Y34" s="154">
        <f t="shared" si="1"/>
        <v>2</v>
      </c>
      <c r="Z34" s="216">
        <f t="shared" si="2"/>
        <v>2</v>
      </c>
      <c r="AA34" s="234" t="s">
        <v>241</v>
      </c>
      <c r="AB34" s="77">
        <v>2.0</v>
      </c>
    </row>
    <row r="35" ht="15.75" customHeight="1">
      <c r="A35" s="38" t="s">
        <v>266</v>
      </c>
      <c r="B35" s="38" t="s">
        <v>267</v>
      </c>
      <c r="C35" s="38" t="s">
        <v>21</v>
      </c>
      <c r="D35" s="38"/>
      <c r="E35" s="38"/>
      <c r="F35" s="38"/>
      <c r="G35" s="38"/>
      <c r="H35" s="38"/>
      <c r="I35" s="38"/>
      <c r="J35" s="26" t="s">
        <v>262</v>
      </c>
      <c r="K35" s="26" t="s">
        <v>67</v>
      </c>
      <c r="L35" s="26" t="s">
        <v>16</v>
      </c>
      <c r="M35" s="38"/>
      <c r="N35" s="38"/>
      <c r="O35" s="38"/>
      <c r="P35" s="38"/>
      <c r="Q35" s="38"/>
      <c r="R35" s="38"/>
      <c r="S35" s="155"/>
      <c r="T35" s="155"/>
      <c r="U35" s="155"/>
      <c r="W35" s="154">
        <v>1.0</v>
      </c>
      <c r="X35" s="235" t="s">
        <v>256</v>
      </c>
      <c r="Y35" s="154">
        <f t="shared" si="1"/>
        <v>4</v>
      </c>
      <c r="Z35" s="232">
        <f t="shared" si="2"/>
        <v>4</v>
      </c>
      <c r="AA35" s="234" t="s">
        <v>256</v>
      </c>
      <c r="AB35" s="77">
        <v>5.0</v>
      </c>
    </row>
    <row r="36" ht="15.75" customHeight="1">
      <c r="A36" s="38"/>
      <c r="B36" s="38"/>
      <c r="C36" s="38"/>
      <c r="D36" s="38"/>
      <c r="E36" s="38"/>
      <c r="F36" s="38"/>
      <c r="G36" s="38" t="s">
        <v>246</v>
      </c>
      <c r="H36" s="38" t="s">
        <v>247</v>
      </c>
      <c r="I36" s="38" t="s">
        <v>57</v>
      </c>
      <c r="J36" s="60" t="s">
        <v>268</v>
      </c>
      <c r="K36" s="60" t="s">
        <v>273</v>
      </c>
      <c r="L36" s="60" t="s">
        <v>47</v>
      </c>
      <c r="M36" s="38"/>
      <c r="N36" s="38"/>
      <c r="O36" s="38"/>
      <c r="P36" s="26"/>
      <c r="Q36" s="26"/>
      <c r="R36" s="26"/>
      <c r="S36" s="155"/>
      <c r="T36" s="155"/>
      <c r="U36" s="155"/>
      <c r="W36" s="154">
        <v>27.0</v>
      </c>
      <c r="X36" s="236" t="s">
        <v>236</v>
      </c>
      <c r="Y36" s="154">
        <f t="shared" si="1"/>
        <v>4</v>
      </c>
      <c r="Z36" s="216">
        <f t="shared" si="2"/>
        <v>4</v>
      </c>
      <c r="AA36" s="236" t="s">
        <v>236</v>
      </c>
      <c r="AB36" s="77">
        <v>6.0</v>
      </c>
    </row>
    <row r="37" ht="15.75" customHeight="1">
      <c r="A37" s="84" t="s">
        <v>118</v>
      </c>
      <c r="B37" s="10"/>
      <c r="C37" s="11"/>
      <c r="D37" s="84" t="s">
        <v>8</v>
      </c>
      <c r="E37" s="10"/>
      <c r="F37" s="11"/>
      <c r="G37" s="84" t="s">
        <v>119</v>
      </c>
      <c r="H37" s="10"/>
      <c r="I37" s="11"/>
      <c r="J37" s="84" t="s">
        <v>10</v>
      </c>
      <c r="K37" s="10"/>
      <c r="L37" s="11"/>
      <c r="M37" s="84"/>
      <c r="N37" s="10"/>
      <c r="O37" s="11"/>
      <c r="P37" s="84"/>
      <c r="Q37" s="10"/>
      <c r="R37" s="11"/>
      <c r="S37" s="85"/>
      <c r="T37" s="10"/>
      <c r="U37" s="11"/>
      <c r="W37" s="237">
        <v>28.0</v>
      </c>
      <c r="X37" s="238"/>
      <c r="Y37" s="239">
        <f t="shared" si="1"/>
        <v>0</v>
      </c>
      <c r="Z37" s="232">
        <f t="shared" si="2"/>
        <v>0</v>
      </c>
    </row>
    <row r="38" ht="15.75" customHeight="1">
      <c r="A38" s="86">
        <f>S30+1</f>
        <v>46139</v>
      </c>
      <c r="B38" s="10"/>
      <c r="C38" s="11"/>
      <c r="D38" s="86">
        <f>A38+1</f>
        <v>46140</v>
      </c>
      <c r="E38" s="10"/>
      <c r="F38" s="11"/>
      <c r="G38" s="86">
        <f>D38+1</f>
        <v>46141</v>
      </c>
      <c r="H38" s="10"/>
      <c r="I38" s="11"/>
      <c r="J38" s="86">
        <f>G38+1</f>
        <v>46142</v>
      </c>
      <c r="K38" s="10"/>
      <c r="L38" s="11"/>
      <c r="M38" s="86"/>
      <c r="N38" s="10"/>
      <c r="O38" s="11"/>
      <c r="P38" s="86"/>
      <c r="Q38" s="10"/>
      <c r="R38" s="11"/>
      <c r="S38" s="122"/>
      <c r="T38" s="10"/>
      <c r="U38" s="11"/>
      <c r="W38" s="154">
        <v>29.0</v>
      </c>
      <c r="X38" s="240"/>
      <c r="Y38" s="154">
        <f t="shared" si="1"/>
        <v>0</v>
      </c>
      <c r="Z38" s="216">
        <f t="shared" si="2"/>
        <v>0</v>
      </c>
    </row>
    <row r="39" ht="15.75" customHeight="1">
      <c r="A39" s="38"/>
      <c r="B39" s="38"/>
      <c r="C39" s="38"/>
      <c r="D39" s="38"/>
      <c r="E39" s="38"/>
      <c r="F39" s="38"/>
      <c r="G39" s="241" t="s">
        <v>252</v>
      </c>
      <c r="H39" s="241" t="s">
        <v>219</v>
      </c>
      <c r="I39" s="241" t="s">
        <v>47</v>
      </c>
      <c r="J39" s="38"/>
      <c r="K39" s="38"/>
      <c r="L39" s="38"/>
      <c r="M39" s="38"/>
      <c r="N39" s="38"/>
      <c r="O39" s="38"/>
      <c r="P39" s="38"/>
      <c r="Q39" s="38"/>
      <c r="R39" s="38"/>
      <c r="S39" s="161"/>
      <c r="T39" s="161"/>
      <c r="U39" s="161"/>
      <c r="W39" s="154">
        <v>30.0</v>
      </c>
      <c r="X39" s="222"/>
      <c r="Y39" s="154">
        <f t="shared" si="1"/>
        <v>0</v>
      </c>
      <c r="Z39" s="232">
        <f t="shared" si="2"/>
        <v>0</v>
      </c>
    </row>
    <row r="40" ht="15.75" customHeight="1">
      <c r="A40" s="38" t="s">
        <v>266</v>
      </c>
      <c r="B40" s="38" t="s">
        <v>71</v>
      </c>
      <c r="C40" s="38" t="s">
        <v>21</v>
      </c>
      <c r="D40" s="213" t="s">
        <v>238</v>
      </c>
      <c r="E40" s="213" t="s">
        <v>20</v>
      </c>
      <c r="F40" s="213" t="s">
        <v>21</v>
      </c>
      <c r="G40" s="38" t="s">
        <v>249</v>
      </c>
      <c r="H40" s="26" t="s">
        <v>18</v>
      </c>
      <c r="I40" s="38" t="s">
        <v>21</v>
      </c>
      <c r="J40" s="38"/>
      <c r="K40" s="38"/>
      <c r="L40" s="38"/>
      <c r="M40" s="38"/>
      <c r="N40" s="38"/>
      <c r="O40" s="38"/>
      <c r="P40" s="38"/>
      <c r="Q40" s="38"/>
      <c r="R40" s="38"/>
      <c r="S40" s="161"/>
      <c r="T40" s="161"/>
      <c r="U40" s="161"/>
      <c r="W40" s="154">
        <v>31.0</v>
      </c>
      <c r="X40" s="222"/>
      <c r="Y40" s="154">
        <f t="shared" si="1"/>
        <v>0</v>
      </c>
      <c r="Z40" s="216">
        <f t="shared" si="2"/>
        <v>0</v>
      </c>
    </row>
    <row r="41" ht="15.75" customHeight="1">
      <c r="A41" s="38"/>
      <c r="B41" s="38"/>
      <c r="C41" s="38"/>
      <c r="D41" s="38" t="s">
        <v>256</v>
      </c>
      <c r="E41" s="38" t="s">
        <v>109</v>
      </c>
      <c r="F41" s="38" t="s">
        <v>16</v>
      </c>
      <c r="G41" s="26" t="s">
        <v>251</v>
      </c>
      <c r="H41" s="38" t="s">
        <v>28</v>
      </c>
      <c r="I41" s="38" t="s">
        <v>47</v>
      </c>
      <c r="J41" s="242" t="s">
        <v>274</v>
      </c>
      <c r="K41" s="10"/>
      <c r="L41" s="11"/>
      <c r="M41" s="38"/>
      <c r="N41" s="38"/>
      <c r="O41" s="38"/>
      <c r="P41" s="38"/>
      <c r="Q41" s="38"/>
      <c r="R41" s="38"/>
      <c r="S41" s="161"/>
      <c r="T41" s="161"/>
      <c r="U41" s="161"/>
    </row>
    <row r="42" ht="15.75" customHeight="1">
      <c r="A42" s="145" t="s">
        <v>212</v>
      </c>
      <c r="B42" s="145" t="s">
        <v>225</v>
      </c>
      <c r="C42" s="145" t="s">
        <v>21</v>
      </c>
      <c r="D42" s="26"/>
      <c r="E42" s="26"/>
      <c r="F42" s="26"/>
      <c r="G42" s="38" t="s">
        <v>132</v>
      </c>
      <c r="H42" s="38" t="s">
        <v>67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161"/>
      <c r="T42" s="161"/>
      <c r="U42" s="161"/>
    </row>
    <row r="43" ht="15.75" customHeight="1">
      <c r="A43" s="26" t="s">
        <v>261</v>
      </c>
      <c r="B43" s="194" t="s">
        <v>270</v>
      </c>
      <c r="C43" s="145" t="s">
        <v>47</v>
      </c>
      <c r="D43" s="26"/>
      <c r="E43" s="26"/>
      <c r="F43" s="26"/>
      <c r="G43" s="60" t="s">
        <v>263</v>
      </c>
      <c r="H43" s="60" t="s">
        <v>35</v>
      </c>
      <c r="I43" s="60" t="s">
        <v>21</v>
      </c>
      <c r="J43" s="38"/>
      <c r="K43" s="38"/>
      <c r="L43" s="38"/>
      <c r="M43" s="38"/>
      <c r="N43" s="38"/>
      <c r="O43" s="38"/>
      <c r="P43" s="38"/>
      <c r="Q43" s="38"/>
      <c r="R43" s="38"/>
      <c r="S43" s="161"/>
      <c r="T43" s="161"/>
      <c r="U43" s="161"/>
      <c r="Y43" s="77">
        <f t="shared" ref="Y43:Z43" si="3">SUM(Y10:Y42)</f>
        <v>74</v>
      </c>
      <c r="Z43" s="77">
        <f t="shared" si="3"/>
        <v>74</v>
      </c>
    </row>
    <row r="44" ht="15.75" customHeight="1">
      <c r="A44" s="38"/>
      <c r="B44" s="38"/>
      <c r="C44" s="38"/>
      <c r="D44" s="26"/>
      <c r="E44" s="26"/>
      <c r="F44" s="26"/>
      <c r="G44" s="38"/>
      <c r="H44" s="26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90"/>
      <c r="T44" s="90"/>
      <c r="U44" s="90"/>
    </row>
    <row r="45" ht="15.75" customHeight="1">
      <c r="A45" s="97"/>
      <c r="B45" s="10"/>
      <c r="C45" s="11"/>
      <c r="D45" s="97"/>
      <c r="E45" s="10"/>
      <c r="F45" s="11"/>
      <c r="G45" s="97"/>
      <c r="H45" s="10"/>
      <c r="I45" s="11"/>
      <c r="J45" s="97"/>
      <c r="K45" s="10"/>
      <c r="L45" s="11"/>
      <c r="M45" s="97"/>
      <c r="N45" s="10"/>
      <c r="O45" s="11"/>
      <c r="P45" s="97"/>
      <c r="Q45" s="10"/>
      <c r="R45" s="11"/>
      <c r="S45" s="97"/>
      <c r="T45" s="10"/>
      <c r="U45" s="11"/>
    </row>
    <row r="46" ht="15.75" customHeight="1">
      <c r="A46" s="99"/>
      <c r="B46" s="10"/>
      <c r="C46" s="11"/>
      <c r="D46" s="99"/>
      <c r="E46" s="10"/>
      <c r="F46" s="11"/>
      <c r="G46" s="99"/>
      <c r="H46" s="10"/>
      <c r="I46" s="11"/>
      <c r="J46" s="99"/>
      <c r="K46" s="10"/>
      <c r="L46" s="11"/>
      <c r="M46" s="99"/>
      <c r="N46" s="10"/>
      <c r="O46" s="11"/>
      <c r="P46" s="99"/>
      <c r="Q46" s="10"/>
      <c r="R46" s="11"/>
      <c r="S46" s="99"/>
      <c r="T46" s="10"/>
      <c r="U46" s="11"/>
    </row>
    <row r="47" ht="15.75" customHeight="1">
      <c r="A47" s="155"/>
      <c r="B47" s="155"/>
      <c r="C47" s="57"/>
      <c r="D47" s="26"/>
      <c r="E47" s="26"/>
      <c r="F47" s="26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161"/>
      <c r="T47" s="161"/>
      <c r="U47" s="161"/>
    </row>
    <row r="48" ht="15.75" customHeight="1">
      <c r="A48" s="155"/>
      <c r="B48" s="155"/>
      <c r="C48" s="155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161"/>
      <c r="T48" s="161"/>
      <c r="U48" s="161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26"/>
      <c r="Q49" s="26"/>
      <c r="R49" s="145"/>
      <c r="S49" s="161"/>
      <c r="T49" s="161"/>
      <c r="U49" s="161"/>
    </row>
    <row r="50" ht="15.75" customHeight="1">
      <c r="A50" s="155"/>
      <c r="B50" s="155"/>
      <c r="C50" s="155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161"/>
      <c r="T50" s="161"/>
      <c r="U50" s="161"/>
    </row>
    <row r="51" ht="15.75" customHeight="1">
      <c r="A51" s="155"/>
      <c r="B51" s="155"/>
      <c r="C51" s="155"/>
      <c r="D51" s="161"/>
      <c r="E51" s="161"/>
      <c r="F51" s="161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161"/>
      <c r="T51" s="161"/>
      <c r="U51" s="161"/>
    </row>
    <row r="52" ht="15.75" customHeight="1">
      <c r="A52" s="155"/>
      <c r="B52" s="155"/>
      <c r="C52" s="155"/>
      <c r="D52" s="90"/>
      <c r="E52" s="90"/>
      <c r="F52" s="90"/>
      <c r="G52" s="38"/>
      <c r="H52" s="38"/>
      <c r="I52" s="38"/>
      <c r="J52" s="155"/>
      <c r="K52" s="155"/>
      <c r="L52" s="155"/>
      <c r="M52" s="38"/>
      <c r="N52" s="38"/>
      <c r="O52" s="38"/>
      <c r="P52" s="155"/>
      <c r="Q52" s="155"/>
      <c r="R52" s="155"/>
      <c r="S52" s="90"/>
      <c r="T52" s="90"/>
      <c r="U52" s="90"/>
    </row>
    <row r="53" ht="15.75" customHeight="1"/>
    <row r="54" ht="15.75" customHeight="1"/>
    <row r="55" ht="15.75" customHeight="1">
      <c r="A55" s="71" t="s">
        <v>72</v>
      </c>
      <c r="B55" s="72"/>
    </row>
    <row r="56" ht="15.75" customHeight="1">
      <c r="A56" s="73"/>
      <c r="B56" s="26" t="s">
        <v>73</v>
      </c>
      <c r="C56" s="57"/>
      <c r="D56" s="74"/>
      <c r="I56" s="94"/>
    </row>
    <row r="57" ht="15.75" customHeight="1">
      <c r="A57" s="75"/>
      <c r="B57" s="26" t="s">
        <v>74</v>
      </c>
      <c r="C57" s="57"/>
    </row>
    <row r="58" ht="15.75" customHeight="1">
      <c r="A58" s="76"/>
      <c r="B58" s="26" t="s">
        <v>75</v>
      </c>
      <c r="C58" s="57"/>
    </row>
    <row r="59" ht="15.75" customHeight="1">
      <c r="A59" s="78"/>
      <c r="B59" s="26" t="s">
        <v>78</v>
      </c>
      <c r="C59" s="5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9:$Y$35"/>
  <mergeCells count="104">
    <mergeCell ref="G21:I21"/>
    <mergeCell ref="J21:L21"/>
    <mergeCell ref="J22:L22"/>
    <mergeCell ref="M22:O22"/>
    <mergeCell ref="P22:R22"/>
    <mergeCell ref="S22:U22"/>
    <mergeCell ref="A21:C21"/>
    <mergeCell ref="P21:R21"/>
    <mergeCell ref="S21:U21"/>
    <mergeCell ref="A22:C22"/>
    <mergeCell ref="D21:F21"/>
    <mergeCell ref="D22:F22"/>
    <mergeCell ref="G22:I22"/>
    <mergeCell ref="N16:N17"/>
    <mergeCell ref="O16:O17"/>
    <mergeCell ref="S17:U17"/>
    <mergeCell ref="J14:L14"/>
    <mergeCell ref="D14:F14"/>
    <mergeCell ref="M14:O14"/>
    <mergeCell ref="A13:C13"/>
    <mergeCell ref="M13:O13"/>
    <mergeCell ref="P13:R13"/>
    <mergeCell ref="S13:U13"/>
    <mergeCell ref="A14:C14"/>
    <mergeCell ref="P14:R14"/>
    <mergeCell ref="S14:U14"/>
    <mergeCell ref="J13:L13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S9:U9"/>
    <mergeCell ref="M6:O6"/>
    <mergeCell ref="A6:C6"/>
    <mergeCell ref="D6:F6"/>
    <mergeCell ref="G6:I6"/>
    <mergeCell ref="J6:L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M21:O21"/>
    <mergeCell ref="S25:U25"/>
    <mergeCell ref="D13:F13"/>
    <mergeCell ref="G13:I13"/>
    <mergeCell ref="G14:I14"/>
    <mergeCell ref="D45:F45"/>
    <mergeCell ref="D46:F46"/>
    <mergeCell ref="G45:I45"/>
    <mergeCell ref="G46:I46"/>
    <mergeCell ref="J45:L45"/>
    <mergeCell ref="J46:L46"/>
    <mergeCell ref="A37:C37"/>
    <mergeCell ref="A38:C38"/>
    <mergeCell ref="B55:D55"/>
    <mergeCell ref="G38:I38"/>
    <mergeCell ref="J38:L38"/>
    <mergeCell ref="D38:F38"/>
    <mergeCell ref="J41:L41"/>
    <mergeCell ref="M30:O30"/>
    <mergeCell ref="P30:R30"/>
    <mergeCell ref="N32:N33"/>
    <mergeCell ref="O32:O33"/>
    <mergeCell ref="S33:U33"/>
    <mergeCell ref="G30:I30"/>
    <mergeCell ref="J30:L30"/>
    <mergeCell ref="M38:O38"/>
    <mergeCell ref="P38:R38"/>
    <mergeCell ref="S38:U38"/>
    <mergeCell ref="M37:O37"/>
    <mergeCell ref="P37:R37"/>
    <mergeCell ref="S37:U37"/>
    <mergeCell ref="D37:F37"/>
    <mergeCell ref="G37:I37"/>
    <mergeCell ref="J37:L37"/>
    <mergeCell ref="M46:O46"/>
    <mergeCell ref="P46:R46"/>
    <mergeCell ref="A45:C45"/>
    <mergeCell ref="M45:O45"/>
    <mergeCell ref="P45:R45"/>
    <mergeCell ref="S45:U45"/>
    <mergeCell ref="A46:C46"/>
    <mergeCell ref="S46:U46"/>
    <mergeCell ref="G29:I29"/>
    <mergeCell ref="D29:F29"/>
    <mergeCell ref="A29:C29"/>
    <mergeCell ref="M29:O29"/>
    <mergeCell ref="P29:R29"/>
    <mergeCell ref="S29:U29"/>
    <mergeCell ref="A30:C30"/>
    <mergeCell ref="S30:U30"/>
    <mergeCell ref="J29:L29"/>
    <mergeCell ref="D30:F30"/>
  </mergeCells>
  <printOptions/>
  <pageMargins bottom="0.3167068834137669" footer="0.0" header="0.0" left="0.20002540005080013" right="0.25003175006350015" top="0.21669418338836682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1.57"/>
    <col customWidth="1" min="3" max="3" width="8.14"/>
    <col customWidth="1" min="4" max="4" width="17.57"/>
    <col customWidth="1" min="5" max="5" width="11.57"/>
    <col customWidth="1" min="6" max="6" width="9.86"/>
    <col customWidth="1" min="7" max="7" width="15.43"/>
    <col customWidth="1" min="8" max="8" width="11.43"/>
    <col customWidth="1" min="9" max="9" width="7.0"/>
    <col customWidth="1" min="10" max="10" width="20.29"/>
    <col customWidth="1" min="11" max="11" width="11.57"/>
    <col customWidth="1" min="12" max="12" width="5.57"/>
    <col customWidth="1" min="13" max="13" width="19.86"/>
    <col customWidth="1" min="14" max="14" width="11.57"/>
    <col customWidth="1" min="15" max="15" width="7.29"/>
    <col customWidth="1" min="16" max="16" width="18.43"/>
    <col customWidth="1" min="17" max="17" width="11.57"/>
    <col customWidth="1" min="18" max="18" width="5.57"/>
    <col customWidth="1" min="19" max="19" width="18.14"/>
    <col customWidth="1" min="20" max="20" width="11.57"/>
    <col customWidth="1" min="21" max="21" width="7.14"/>
    <col customWidth="1" min="22" max="23" width="8.71"/>
    <col customWidth="1" min="24" max="24" width="21.43"/>
    <col customWidth="1" min="25" max="25" width="15.14"/>
    <col customWidth="1" min="26" max="26" width="15.29"/>
    <col customWidth="1" min="27" max="27" width="8.71"/>
  </cols>
  <sheetData>
    <row r="1" ht="15.75" customHeight="1">
      <c r="A1" s="1"/>
      <c r="C1" s="7" t="s">
        <v>275</v>
      </c>
      <c r="F1" s="3"/>
      <c r="G1" s="4" t="s">
        <v>2</v>
      </c>
      <c r="Q1" s="3"/>
    </row>
    <row r="2" ht="15.75" customHeight="1">
      <c r="A2" s="1" t="s">
        <v>3</v>
      </c>
      <c r="C2" s="6" t="s">
        <v>276</v>
      </c>
      <c r="F2" s="3"/>
      <c r="Q2" s="3"/>
    </row>
    <row r="3" ht="15.75" customHeight="1">
      <c r="A3" s="1" t="s">
        <v>5</v>
      </c>
      <c r="C3" s="243"/>
      <c r="F3" s="3"/>
      <c r="Q3" s="3"/>
    </row>
    <row r="4" ht="15.75" customHeight="1">
      <c r="A4" s="79" t="s">
        <v>6</v>
      </c>
      <c r="B4" s="80"/>
      <c r="C4" s="244"/>
      <c r="D4" s="80"/>
      <c r="E4" s="3"/>
      <c r="F4" s="3"/>
      <c r="G4" s="3"/>
      <c r="H4" s="3"/>
      <c r="I4" s="3"/>
      <c r="J4" s="3"/>
      <c r="K4" s="3"/>
      <c r="L4" s="3"/>
      <c r="M4" s="3"/>
      <c r="N4" s="3"/>
      <c r="O4" s="81"/>
      <c r="P4" s="82"/>
      <c r="Q4" s="83"/>
    </row>
    <row r="5" ht="15.75" customHeight="1">
      <c r="A5" s="84"/>
      <c r="B5" s="10"/>
      <c r="C5" s="11"/>
      <c r="D5" s="84"/>
      <c r="E5" s="10"/>
      <c r="F5" s="11"/>
      <c r="G5" s="9" t="s">
        <v>9</v>
      </c>
      <c r="H5" s="10"/>
      <c r="I5" s="11"/>
      <c r="J5" s="84" t="s">
        <v>10</v>
      </c>
      <c r="K5" s="10"/>
      <c r="L5" s="11"/>
      <c r="M5" s="85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 ht="15.75" customHeight="1">
      <c r="A6" s="17"/>
      <c r="B6" s="10"/>
      <c r="C6" s="11"/>
      <c r="D6" s="86"/>
      <c r="E6" s="10"/>
      <c r="F6" s="11"/>
      <c r="G6" s="17">
        <v>46113.0</v>
      </c>
      <c r="H6" s="10"/>
      <c r="I6" s="11"/>
      <c r="J6" s="17">
        <v>46114.0</v>
      </c>
      <c r="K6" s="10"/>
      <c r="L6" s="11"/>
      <c r="M6" s="165">
        <v>46115.0</v>
      </c>
      <c r="N6" s="10"/>
      <c r="O6" s="11"/>
      <c r="P6" s="17">
        <v>46116.0</v>
      </c>
      <c r="Q6" s="10"/>
      <c r="R6" s="11"/>
      <c r="S6" s="17">
        <v>46117.0</v>
      </c>
      <c r="T6" s="10"/>
      <c r="U6" s="11"/>
      <c r="W6" s="77">
        <f>COUNTA(#REF!,M7:M17,P31:P36,S13:S14,#REF!,#REF!,M15:M17,P7:P12,#REF!,A15:A20,D15:D20,#REF!,#REF!,P15:P20,S7:S12,S7:S11,A23:A25,D23:D28,M31:M36,M39:M44,S15:S20,A31:A36,D39,#REF!)</f>
        <v>51</v>
      </c>
    </row>
    <row r="7" ht="15.75" customHeight="1">
      <c r="A7" s="155"/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38"/>
      <c r="Q7" s="38"/>
      <c r="R7" s="38"/>
      <c r="S7" s="38"/>
      <c r="T7" s="38"/>
      <c r="U7" s="38"/>
    </row>
    <row r="8" ht="15.75" customHeight="1">
      <c r="A8" s="38"/>
      <c r="B8" s="38"/>
      <c r="C8" s="38"/>
      <c r="D8" s="155"/>
      <c r="E8" s="155"/>
      <c r="F8" s="155"/>
      <c r="G8" s="26" t="s">
        <v>277</v>
      </c>
      <c r="H8" s="26" t="s">
        <v>195</v>
      </c>
      <c r="I8" s="26" t="s">
        <v>16</v>
      </c>
      <c r="J8" s="155"/>
      <c r="K8" s="155"/>
      <c r="L8" s="155"/>
      <c r="M8" s="155"/>
      <c r="N8" s="155"/>
      <c r="O8" s="155"/>
      <c r="P8" s="26" t="s">
        <v>278</v>
      </c>
      <c r="Q8" s="26" t="s">
        <v>28</v>
      </c>
      <c r="R8" s="26" t="s">
        <v>16</v>
      </c>
      <c r="S8" s="26" t="s">
        <v>279</v>
      </c>
      <c r="T8" s="26" t="s">
        <v>195</v>
      </c>
      <c r="U8" s="26" t="s">
        <v>280</v>
      </c>
    </row>
    <row r="9" ht="15.75" customHeight="1">
      <c r="A9" s="38"/>
      <c r="B9" s="38"/>
      <c r="C9" s="38"/>
      <c r="D9" s="38"/>
      <c r="E9" s="38"/>
      <c r="F9" s="38"/>
      <c r="G9" s="26" t="s">
        <v>281</v>
      </c>
      <c r="H9" s="26" t="s">
        <v>50</v>
      </c>
      <c r="I9" s="26" t="s">
        <v>16</v>
      </c>
      <c r="J9" s="214" t="s">
        <v>22</v>
      </c>
      <c r="K9" s="10"/>
      <c r="L9" s="11"/>
      <c r="M9" s="214" t="s">
        <v>22</v>
      </c>
      <c r="N9" s="10"/>
      <c r="O9" s="11"/>
      <c r="P9" s="38" t="s">
        <v>282</v>
      </c>
      <c r="Q9" s="38" t="s">
        <v>67</v>
      </c>
      <c r="R9" s="38" t="s">
        <v>21</v>
      </c>
      <c r="S9" s="38"/>
      <c r="T9" s="38"/>
      <c r="U9" s="38"/>
    </row>
    <row r="10" ht="15.75" customHeight="1">
      <c r="A10" s="38"/>
      <c r="B10" s="38"/>
      <c r="C10" s="38"/>
      <c r="D10" s="38"/>
      <c r="E10" s="38"/>
      <c r="F10" s="38"/>
      <c r="G10" s="26"/>
      <c r="H10" s="26"/>
      <c r="I10" s="26"/>
      <c r="J10" s="155"/>
      <c r="K10" s="155"/>
      <c r="L10" s="155"/>
      <c r="M10" s="155"/>
      <c r="N10" s="155"/>
      <c r="O10" s="155"/>
      <c r="P10" s="25" t="s">
        <v>283</v>
      </c>
      <c r="Q10" s="25"/>
      <c r="R10" s="25" t="s">
        <v>47</v>
      </c>
      <c r="S10" s="38" t="s">
        <v>284</v>
      </c>
      <c r="T10" s="38" t="s">
        <v>35</v>
      </c>
      <c r="U10" s="38" t="s">
        <v>16</v>
      </c>
    </row>
    <row r="11" ht="15.75" customHeight="1">
      <c r="A11" s="38"/>
      <c r="B11" s="38"/>
      <c r="C11" s="38"/>
      <c r="D11" s="38"/>
      <c r="E11" s="38"/>
      <c r="F11" s="38"/>
      <c r="G11" s="26"/>
      <c r="H11" s="26"/>
      <c r="I11" s="26"/>
      <c r="J11" s="155"/>
      <c r="K11" s="155"/>
      <c r="L11" s="155"/>
      <c r="M11" s="155"/>
      <c r="N11" s="155"/>
      <c r="O11" s="155"/>
      <c r="P11" s="38"/>
      <c r="Q11" s="38"/>
      <c r="R11" s="38"/>
      <c r="S11" s="245" t="s">
        <v>285</v>
      </c>
      <c r="T11" s="212" t="s">
        <v>91</v>
      </c>
      <c r="U11" s="212" t="s">
        <v>21</v>
      </c>
    </row>
    <row r="12" ht="15.75" customHeight="1">
      <c r="A12" s="38"/>
      <c r="B12" s="38"/>
      <c r="C12" s="38"/>
      <c r="D12" s="38"/>
      <c r="E12" s="38"/>
      <c r="F12" s="38"/>
      <c r="G12" s="155"/>
      <c r="H12" s="155"/>
      <c r="I12" s="155"/>
      <c r="J12" s="155"/>
      <c r="K12" s="155"/>
      <c r="L12" s="155"/>
      <c r="M12" s="155"/>
      <c r="N12" s="155"/>
      <c r="O12" s="155"/>
      <c r="P12" s="26" t="s">
        <v>286</v>
      </c>
      <c r="Q12" s="26" t="s">
        <v>232</v>
      </c>
      <c r="R12" s="26" t="s">
        <v>21</v>
      </c>
      <c r="S12" s="26" t="s">
        <v>287</v>
      </c>
      <c r="T12" s="194" t="s">
        <v>288</v>
      </c>
      <c r="U12" s="26" t="s">
        <v>21</v>
      </c>
    </row>
    <row r="13" ht="15.75" customHeight="1">
      <c r="A13" s="97" t="s">
        <v>7</v>
      </c>
      <c r="B13" s="10"/>
      <c r="C13" s="11"/>
      <c r="D13" s="97" t="s">
        <v>8</v>
      </c>
      <c r="E13" s="10"/>
      <c r="F13" s="11"/>
      <c r="G13" s="97" t="s">
        <v>9</v>
      </c>
      <c r="H13" s="10"/>
      <c r="I13" s="11"/>
      <c r="J13" s="97" t="s">
        <v>10</v>
      </c>
      <c r="K13" s="10"/>
      <c r="L13" s="11"/>
      <c r="M13" s="97" t="s">
        <v>95</v>
      </c>
      <c r="N13" s="10"/>
      <c r="O13" s="11"/>
      <c r="P13" s="97" t="s">
        <v>83</v>
      </c>
      <c r="Q13" s="10"/>
      <c r="R13" s="11"/>
      <c r="S13" s="98" t="s">
        <v>13</v>
      </c>
      <c r="T13" s="10"/>
      <c r="U13" s="11"/>
      <c r="W13" s="153" t="s">
        <v>24</v>
      </c>
      <c r="X13" s="153" t="s">
        <v>25</v>
      </c>
      <c r="Y13" s="154" t="s">
        <v>26</v>
      </c>
    </row>
    <row r="14" ht="15.75" customHeight="1">
      <c r="A14" s="99">
        <f>S6+1</f>
        <v>46118</v>
      </c>
      <c r="B14" s="10"/>
      <c r="C14" s="11"/>
      <c r="D14" s="99">
        <f>A14+1</f>
        <v>46119</v>
      </c>
      <c r="E14" s="10"/>
      <c r="F14" s="11"/>
      <c r="G14" s="99">
        <f>D14+1</f>
        <v>46120</v>
      </c>
      <c r="H14" s="10"/>
      <c r="I14" s="11"/>
      <c r="J14" s="99">
        <f>G14+1</f>
        <v>46121</v>
      </c>
      <c r="K14" s="10"/>
      <c r="L14" s="11"/>
      <c r="M14" s="99">
        <f>J14+1</f>
        <v>46122</v>
      </c>
      <c r="N14" s="10"/>
      <c r="O14" s="11"/>
      <c r="P14" s="99">
        <f>M14+1</f>
        <v>46123</v>
      </c>
      <c r="Q14" s="10"/>
      <c r="R14" s="11"/>
      <c r="S14" s="100">
        <f>P14+1</f>
        <v>46124</v>
      </c>
      <c r="T14" s="10"/>
      <c r="U14" s="11"/>
      <c r="W14" s="154">
        <v>2.0</v>
      </c>
      <c r="X14" s="220" t="s">
        <v>289</v>
      </c>
      <c r="Y14" s="154">
        <f t="shared" ref="Y14:Y37" si="1">COUNTIF($A$5:$U$52,X14)</f>
        <v>8</v>
      </c>
      <c r="Z14" s="141" t="s">
        <v>289</v>
      </c>
      <c r="AA14" s="142">
        <v>8.0</v>
      </c>
    </row>
    <row r="15" ht="15.75" customHeight="1">
      <c r="A15" s="38"/>
      <c r="B15" s="38"/>
      <c r="C15" s="38"/>
      <c r="D15" s="38"/>
      <c r="E15" s="38"/>
      <c r="F15" s="38"/>
      <c r="G15" s="155"/>
      <c r="H15" s="155"/>
      <c r="I15" s="155"/>
      <c r="J15" s="57"/>
      <c r="K15" s="57"/>
      <c r="L15" s="57"/>
      <c r="M15" s="26"/>
      <c r="N15" s="26"/>
      <c r="O15" s="26"/>
      <c r="P15" s="26"/>
      <c r="Q15" s="26"/>
      <c r="R15" s="26"/>
      <c r="S15" s="38"/>
      <c r="T15" s="38"/>
      <c r="U15" s="38"/>
      <c r="W15" s="154">
        <v>3.0</v>
      </c>
      <c r="X15" s="153" t="s">
        <v>286</v>
      </c>
      <c r="Y15" s="154">
        <f t="shared" si="1"/>
        <v>4</v>
      </c>
      <c r="Z15" s="141" t="s">
        <v>286</v>
      </c>
      <c r="AA15" s="142">
        <v>4.0</v>
      </c>
    </row>
    <row r="16" ht="15.75" customHeight="1">
      <c r="A16" s="38" t="s">
        <v>289</v>
      </c>
      <c r="B16" s="38" t="s">
        <v>20</v>
      </c>
      <c r="C16" s="38" t="s">
        <v>21</v>
      </c>
      <c r="D16" s="38" t="s">
        <v>132</v>
      </c>
      <c r="E16" s="38"/>
      <c r="F16" s="38"/>
      <c r="G16" s="155"/>
      <c r="H16" s="155"/>
      <c r="I16" s="155"/>
      <c r="J16" s="26" t="s">
        <v>281</v>
      </c>
      <c r="K16" s="26" t="s">
        <v>240</v>
      </c>
      <c r="L16" s="26" t="s">
        <v>16</v>
      </c>
      <c r="M16" s="26"/>
      <c r="N16" s="26"/>
      <c r="O16" s="26"/>
      <c r="P16" s="26" t="s">
        <v>278</v>
      </c>
      <c r="Q16" s="26" t="s">
        <v>28</v>
      </c>
      <c r="R16" s="26" t="s">
        <v>16</v>
      </c>
      <c r="S16" s="38" t="s">
        <v>286</v>
      </c>
      <c r="T16" s="38" t="s">
        <v>15</v>
      </c>
      <c r="U16" s="38" t="s">
        <v>21</v>
      </c>
      <c r="W16" s="154">
        <v>6.0</v>
      </c>
      <c r="X16" s="34" t="s">
        <v>290</v>
      </c>
      <c r="Y16" s="154">
        <f t="shared" si="1"/>
        <v>2</v>
      </c>
      <c r="Z16" s="34" t="s">
        <v>290</v>
      </c>
      <c r="AA16" s="142">
        <v>1.0</v>
      </c>
    </row>
    <row r="17" ht="15.75" customHeight="1">
      <c r="A17" s="38"/>
      <c r="B17" s="38"/>
      <c r="C17" s="38"/>
      <c r="D17" s="38" t="s">
        <v>290</v>
      </c>
      <c r="E17" s="38" t="s">
        <v>291</v>
      </c>
      <c r="F17" s="38" t="s">
        <v>16</v>
      </c>
      <c r="G17" s="214" t="s">
        <v>22</v>
      </c>
      <c r="H17" s="10"/>
      <c r="I17" s="11"/>
      <c r="J17" s="26" t="s">
        <v>277</v>
      </c>
      <c r="K17" s="26" t="s">
        <v>109</v>
      </c>
      <c r="L17" s="26" t="s">
        <v>16</v>
      </c>
      <c r="M17" s="26" t="s">
        <v>292</v>
      </c>
      <c r="N17" s="26" t="s">
        <v>28</v>
      </c>
      <c r="O17" s="22" t="s">
        <v>21</v>
      </c>
      <c r="P17" s="26"/>
      <c r="Q17" s="26"/>
      <c r="R17" s="26"/>
      <c r="S17" s="26" t="s">
        <v>289</v>
      </c>
      <c r="T17" s="26" t="s">
        <v>293</v>
      </c>
      <c r="U17" s="26" t="s">
        <v>21</v>
      </c>
      <c r="W17" s="154">
        <v>4.0</v>
      </c>
      <c r="X17" s="153" t="s">
        <v>278</v>
      </c>
      <c r="Y17" s="154">
        <f t="shared" si="1"/>
        <v>4</v>
      </c>
      <c r="Z17" s="141" t="s">
        <v>278</v>
      </c>
      <c r="AA17" s="142">
        <v>4.0</v>
      </c>
    </row>
    <row r="18" ht="15.75" customHeight="1">
      <c r="A18" s="38"/>
      <c r="B18" s="38"/>
      <c r="C18" s="38"/>
      <c r="D18" s="38" t="s">
        <v>294</v>
      </c>
      <c r="E18" s="38" t="s">
        <v>67</v>
      </c>
      <c r="F18" s="38" t="s">
        <v>16</v>
      </c>
      <c r="G18" s="155"/>
      <c r="H18" s="155"/>
      <c r="I18" s="155"/>
      <c r="J18" s="26"/>
      <c r="K18" s="26"/>
      <c r="L18" s="26"/>
      <c r="M18" s="147" t="s">
        <v>295</v>
      </c>
      <c r="N18" s="147" t="s">
        <v>67</v>
      </c>
      <c r="O18" s="147" t="s">
        <v>16</v>
      </c>
      <c r="P18" s="60" t="s">
        <v>283</v>
      </c>
      <c r="Q18" s="60" t="s">
        <v>296</v>
      </c>
      <c r="R18" s="60" t="s">
        <v>47</v>
      </c>
      <c r="S18" s="26"/>
      <c r="T18" s="26"/>
      <c r="U18" s="38"/>
      <c r="W18" s="154">
        <v>5.0</v>
      </c>
      <c r="X18" s="220" t="s">
        <v>297</v>
      </c>
      <c r="Y18" s="154">
        <f t="shared" si="1"/>
        <v>2</v>
      </c>
      <c r="Z18" s="141" t="s">
        <v>297</v>
      </c>
      <c r="AA18" s="142">
        <v>2.0</v>
      </c>
    </row>
    <row r="19" ht="15.75" customHeight="1">
      <c r="A19" s="38" t="s">
        <v>298</v>
      </c>
      <c r="B19" s="38" t="s">
        <v>299</v>
      </c>
      <c r="C19" s="38" t="s">
        <v>21</v>
      </c>
      <c r="D19" s="38" t="s">
        <v>297</v>
      </c>
      <c r="E19" s="38" t="s">
        <v>300</v>
      </c>
      <c r="F19" s="38" t="s">
        <v>16</v>
      </c>
      <c r="G19" s="155"/>
      <c r="H19" s="155"/>
      <c r="I19" s="155"/>
      <c r="J19" s="26"/>
      <c r="K19" s="26"/>
      <c r="L19" s="26"/>
      <c r="M19" s="26"/>
      <c r="N19" s="26"/>
      <c r="O19" s="26"/>
      <c r="P19" s="87" t="s">
        <v>301</v>
      </c>
      <c r="Q19" s="87" t="s">
        <v>115</v>
      </c>
      <c r="R19" s="87" t="s">
        <v>47</v>
      </c>
      <c r="S19" s="245" t="s">
        <v>285</v>
      </c>
      <c r="T19" s="212" t="s">
        <v>91</v>
      </c>
      <c r="U19" s="212" t="s">
        <v>21</v>
      </c>
      <c r="W19" s="154">
        <v>8.0</v>
      </c>
      <c r="X19" s="220" t="s">
        <v>282</v>
      </c>
      <c r="Y19" s="154">
        <f t="shared" si="1"/>
        <v>2</v>
      </c>
      <c r="Z19" s="141" t="s">
        <v>282</v>
      </c>
      <c r="AA19" s="142">
        <v>2.0</v>
      </c>
    </row>
    <row r="20" ht="15.75" customHeight="1">
      <c r="A20" s="38"/>
      <c r="B20" s="109"/>
      <c r="C20" s="38"/>
      <c r="D20" s="155"/>
      <c r="E20" s="155"/>
      <c r="F20" s="155"/>
      <c r="G20" s="155"/>
      <c r="H20" s="155"/>
      <c r="I20" s="155"/>
      <c r="J20" s="57"/>
      <c r="K20" s="57"/>
      <c r="L20" s="57"/>
      <c r="M20" s="26" t="s">
        <v>302</v>
      </c>
      <c r="N20" s="26" t="s">
        <v>228</v>
      </c>
      <c r="O20" s="26" t="s">
        <v>21</v>
      </c>
      <c r="P20" s="26"/>
      <c r="Q20" s="26"/>
      <c r="R20" s="26"/>
      <c r="S20" s="26" t="s">
        <v>287</v>
      </c>
      <c r="T20" s="194" t="s">
        <v>288</v>
      </c>
      <c r="U20" s="26" t="s">
        <v>21</v>
      </c>
      <c r="W20" s="154">
        <v>9.0</v>
      </c>
      <c r="X20" s="220" t="s">
        <v>302</v>
      </c>
      <c r="Y20" s="154">
        <f t="shared" si="1"/>
        <v>2</v>
      </c>
      <c r="Z20" s="141" t="s">
        <v>302</v>
      </c>
      <c r="AA20" s="142">
        <v>2.0</v>
      </c>
    </row>
    <row r="21" ht="15.75" customHeight="1">
      <c r="A21" s="84" t="s">
        <v>118</v>
      </c>
      <c r="B21" s="10"/>
      <c r="C21" s="11"/>
      <c r="D21" s="84" t="s">
        <v>8</v>
      </c>
      <c r="E21" s="10"/>
      <c r="F21" s="11"/>
      <c r="G21" s="84" t="s">
        <v>119</v>
      </c>
      <c r="H21" s="10"/>
      <c r="I21" s="11"/>
      <c r="J21" s="84" t="s">
        <v>10</v>
      </c>
      <c r="K21" s="10"/>
      <c r="L21" s="11"/>
      <c r="M21" s="84" t="s">
        <v>95</v>
      </c>
      <c r="N21" s="10"/>
      <c r="O21" s="11"/>
      <c r="P21" s="84" t="s">
        <v>83</v>
      </c>
      <c r="Q21" s="10"/>
      <c r="R21" s="11"/>
      <c r="S21" s="85" t="s">
        <v>13</v>
      </c>
      <c r="T21" s="10"/>
      <c r="U21" s="11"/>
      <c r="W21" s="154">
        <v>10.0</v>
      </c>
      <c r="X21" s="153" t="s">
        <v>303</v>
      </c>
      <c r="Y21" s="154">
        <f t="shared" si="1"/>
        <v>2</v>
      </c>
      <c r="Z21" s="141" t="s">
        <v>303</v>
      </c>
      <c r="AA21" s="142">
        <v>2.0</v>
      </c>
    </row>
    <row r="22" ht="15.75" customHeight="1">
      <c r="A22" s="86">
        <f>S14+1</f>
        <v>46125</v>
      </c>
      <c r="B22" s="10"/>
      <c r="C22" s="11"/>
      <c r="D22" s="86">
        <f>A22+1</f>
        <v>46126</v>
      </c>
      <c r="E22" s="10"/>
      <c r="F22" s="11"/>
      <c r="G22" s="86">
        <f>D22+1</f>
        <v>46127</v>
      </c>
      <c r="H22" s="10"/>
      <c r="I22" s="11"/>
      <c r="J22" s="86">
        <f>G22+1</f>
        <v>46128</v>
      </c>
      <c r="K22" s="10"/>
      <c r="L22" s="11"/>
      <c r="M22" s="86">
        <f>J22+1</f>
        <v>46129</v>
      </c>
      <c r="N22" s="10"/>
      <c r="O22" s="11"/>
      <c r="P22" s="86">
        <f>M22+1</f>
        <v>46130</v>
      </c>
      <c r="Q22" s="10"/>
      <c r="R22" s="11"/>
      <c r="S22" s="122">
        <f>P22+1</f>
        <v>46131</v>
      </c>
      <c r="T22" s="10"/>
      <c r="U22" s="11"/>
      <c r="W22" s="154">
        <v>12.0</v>
      </c>
      <c r="X22" s="220" t="s">
        <v>294</v>
      </c>
      <c r="Y22" s="154">
        <f t="shared" si="1"/>
        <v>2</v>
      </c>
      <c r="Z22" s="246"/>
      <c r="AA22" s="142">
        <v>0.0</v>
      </c>
    </row>
    <row r="23" ht="15.75" customHeight="1">
      <c r="A23" s="38" t="s">
        <v>298</v>
      </c>
      <c r="B23" s="38" t="s">
        <v>304</v>
      </c>
      <c r="C23" s="38" t="s">
        <v>21</v>
      </c>
      <c r="D23" s="26"/>
      <c r="E23" s="26"/>
      <c r="F23" s="26"/>
      <c r="G23" s="155"/>
      <c r="H23" s="155"/>
      <c r="I23" s="155"/>
      <c r="J23" s="57"/>
      <c r="K23" s="57"/>
      <c r="L23" s="57"/>
      <c r="M23" s="26" t="s">
        <v>305</v>
      </c>
      <c r="N23" s="26" t="s">
        <v>18</v>
      </c>
      <c r="O23" s="26" t="s">
        <v>47</v>
      </c>
      <c r="P23" s="26" t="s">
        <v>278</v>
      </c>
      <c r="Q23" s="26" t="s">
        <v>28</v>
      </c>
      <c r="R23" s="26" t="s">
        <v>16</v>
      </c>
      <c r="S23" s="38"/>
      <c r="T23" s="38"/>
      <c r="U23" s="38"/>
      <c r="W23" s="154">
        <v>13.0</v>
      </c>
      <c r="X23" s="220" t="s">
        <v>306</v>
      </c>
      <c r="Y23" s="154">
        <f t="shared" si="1"/>
        <v>2</v>
      </c>
      <c r="Z23" s="141" t="s">
        <v>294</v>
      </c>
      <c r="AA23" s="142">
        <v>2.0</v>
      </c>
    </row>
    <row r="24" ht="15.75" customHeight="1">
      <c r="A24" s="38" t="s">
        <v>289</v>
      </c>
      <c r="B24" s="38" t="s">
        <v>20</v>
      </c>
      <c r="C24" s="38" t="s">
        <v>21</v>
      </c>
      <c r="D24" s="26"/>
      <c r="E24" s="26"/>
      <c r="F24" s="26"/>
      <c r="G24" s="155"/>
      <c r="H24" s="155"/>
      <c r="I24" s="155"/>
      <c r="J24" s="57"/>
      <c r="K24" s="57"/>
      <c r="L24" s="57"/>
      <c r="M24" s="57"/>
      <c r="N24" s="57"/>
      <c r="O24" s="57"/>
      <c r="P24" s="38" t="s">
        <v>282</v>
      </c>
      <c r="Q24" s="38" t="s">
        <v>67</v>
      </c>
      <c r="R24" s="38" t="s">
        <v>21</v>
      </c>
      <c r="S24" s="26" t="s">
        <v>307</v>
      </c>
      <c r="T24" s="26" t="s">
        <v>195</v>
      </c>
      <c r="U24" s="26" t="s">
        <v>280</v>
      </c>
      <c r="W24" s="154">
        <v>1.0</v>
      </c>
      <c r="X24" s="225" t="s">
        <v>308</v>
      </c>
      <c r="Y24" s="154">
        <f t="shared" si="1"/>
        <v>1</v>
      </c>
      <c r="Z24" s="141" t="s">
        <v>306</v>
      </c>
      <c r="AA24" s="142">
        <v>1.0</v>
      </c>
    </row>
    <row r="25" ht="15.75" customHeight="1">
      <c r="A25" s="38" t="s">
        <v>306</v>
      </c>
      <c r="B25" s="38"/>
      <c r="C25" s="38" t="s">
        <v>47</v>
      </c>
      <c r="D25" s="84" t="s">
        <v>89</v>
      </c>
      <c r="E25" s="10"/>
      <c r="F25" s="11"/>
      <c r="G25" s="214" t="s">
        <v>22</v>
      </c>
      <c r="H25" s="10"/>
      <c r="I25" s="11"/>
      <c r="J25" s="57"/>
      <c r="K25" s="57"/>
      <c r="L25" s="57"/>
      <c r="M25" s="26" t="s">
        <v>309</v>
      </c>
      <c r="N25" s="26" t="s">
        <v>28</v>
      </c>
      <c r="O25" s="26" t="s">
        <v>16</v>
      </c>
      <c r="P25" s="247" t="s">
        <v>308</v>
      </c>
      <c r="Q25" s="247" t="s">
        <v>109</v>
      </c>
      <c r="R25" s="247" t="s">
        <v>21</v>
      </c>
      <c r="S25" s="38"/>
      <c r="T25" s="38"/>
      <c r="U25" s="38"/>
      <c r="W25" s="154">
        <v>14.0</v>
      </c>
      <c r="X25" s="220" t="s">
        <v>307</v>
      </c>
      <c r="Y25" s="154">
        <f t="shared" si="1"/>
        <v>1</v>
      </c>
      <c r="Z25" s="141" t="s">
        <v>310</v>
      </c>
      <c r="AA25" s="142">
        <v>1.0</v>
      </c>
    </row>
    <row r="26" ht="15.75" customHeight="1">
      <c r="A26" s="26" t="s">
        <v>303</v>
      </c>
      <c r="B26" s="26" t="s">
        <v>35</v>
      </c>
      <c r="C26" s="22" t="s">
        <v>47</v>
      </c>
      <c r="D26" s="38"/>
      <c r="E26" s="26"/>
      <c r="F26" s="38"/>
      <c r="G26" s="155"/>
      <c r="H26" s="155"/>
      <c r="I26" s="155"/>
      <c r="J26" s="26" t="s">
        <v>281</v>
      </c>
      <c r="K26" s="26" t="s">
        <v>240</v>
      </c>
      <c r="L26" s="26" t="s">
        <v>16</v>
      </c>
      <c r="M26" s="26" t="s">
        <v>292</v>
      </c>
      <c r="N26" s="26" t="s">
        <v>67</v>
      </c>
      <c r="O26" s="26" t="s">
        <v>16</v>
      </c>
      <c r="P26" s="60" t="s">
        <v>306</v>
      </c>
      <c r="Q26" s="60" t="s">
        <v>109</v>
      </c>
      <c r="R26" s="60" t="s">
        <v>47</v>
      </c>
      <c r="S26" s="38" t="s">
        <v>284</v>
      </c>
      <c r="T26" s="38" t="s">
        <v>35</v>
      </c>
      <c r="U26" s="38" t="s">
        <v>16</v>
      </c>
      <c r="W26" s="154">
        <v>15.0</v>
      </c>
      <c r="X26" s="153" t="s">
        <v>277</v>
      </c>
      <c r="Y26" s="154">
        <f t="shared" si="1"/>
        <v>4</v>
      </c>
      <c r="Z26" s="141" t="s">
        <v>308</v>
      </c>
      <c r="AA26" s="142">
        <v>1.0</v>
      </c>
    </row>
    <row r="27" ht="15.75" customHeight="1">
      <c r="A27" s="26" t="s">
        <v>311</v>
      </c>
      <c r="B27" s="26" t="s">
        <v>312</v>
      </c>
      <c r="C27" s="26" t="s">
        <v>21</v>
      </c>
      <c r="D27" s="38"/>
      <c r="E27" s="38"/>
      <c r="F27" s="38"/>
      <c r="G27" s="155"/>
      <c r="H27" s="155"/>
      <c r="I27" s="155"/>
      <c r="J27" s="26" t="s">
        <v>277</v>
      </c>
      <c r="K27" s="26" t="s">
        <v>109</v>
      </c>
      <c r="L27" s="26" t="s">
        <v>16</v>
      </c>
      <c r="M27" s="26" t="s">
        <v>289</v>
      </c>
      <c r="N27" s="26" t="s">
        <v>313</v>
      </c>
      <c r="O27" s="26" t="s">
        <v>21</v>
      </c>
      <c r="P27" s="60" t="s">
        <v>283</v>
      </c>
      <c r="Q27" s="60"/>
      <c r="R27" s="60" t="s">
        <v>47</v>
      </c>
      <c r="S27" s="245" t="s">
        <v>285</v>
      </c>
      <c r="T27" s="212" t="s">
        <v>91</v>
      </c>
      <c r="U27" s="212" t="s">
        <v>21</v>
      </c>
      <c r="W27" s="248">
        <v>26.0</v>
      </c>
      <c r="X27" s="249" t="s">
        <v>281</v>
      </c>
      <c r="Y27" s="154">
        <f t="shared" si="1"/>
        <v>4</v>
      </c>
      <c r="Z27" s="34" t="s">
        <v>279</v>
      </c>
      <c r="AA27" s="142">
        <v>2.0</v>
      </c>
    </row>
    <row r="28" ht="15.75" customHeight="1">
      <c r="A28" s="38"/>
      <c r="B28" s="38"/>
      <c r="C28" s="38"/>
      <c r="D28" s="38"/>
      <c r="E28" s="38"/>
      <c r="F28" s="38"/>
      <c r="G28" s="38"/>
      <c r="H28" s="155"/>
      <c r="I28" s="155"/>
      <c r="J28" s="26"/>
      <c r="K28" s="26"/>
      <c r="L28" s="26"/>
      <c r="M28" s="26"/>
      <c r="N28" s="26"/>
      <c r="O28" s="26"/>
      <c r="P28" s="26" t="s">
        <v>286</v>
      </c>
      <c r="Q28" s="26" t="s">
        <v>232</v>
      </c>
      <c r="R28" s="26" t="s">
        <v>21</v>
      </c>
      <c r="S28" s="26" t="s">
        <v>287</v>
      </c>
      <c r="T28" s="194" t="s">
        <v>288</v>
      </c>
      <c r="U28" s="26" t="s">
        <v>21</v>
      </c>
      <c r="W28" s="154">
        <v>16.0</v>
      </c>
      <c r="X28" s="150" t="s">
        <v>283</v>
      </c>
      <c r="Y28" s="154">
        <f t="shared" si="1"/>
        <v>4</v>
      </c>
      <c r="Z28" s="141" t="s">
        <v>277</v>
      </c>
      <c r="AA28" s="142">
        <v>4.0</v>
      </c>
    </row>
    <row r="29" ht="15.75" customHeight="1">
      <c r="A29" s="97" t="s">
        <v>118</v>
      </c>
      <c r="B29" s="10"/>
      <c r="C29" s="11"/>
      <c r="D29" s="97" t="s">
        <v>8</v>
      </c>
      <c r="E29" s="10"/>
      <c r="F29" s="11"/>
      <c r="G29" s="97" t="s">
        <v>119</v>
      </c>
      <c r="H29" s="10"/>
      <c r="I29" s="11"/>
      <c r="J29" s="97" t="s">
        <v>10</v>
      </c>
      <c r="K29" s="10"/>
      <c r="L29" s="11"/>
      <c r="M29" s="97" t="s">
        <v>95</v>
      </c>
      <c r="N29" s="10"/>
      <c r="O29" s="11"/>
      <c r="P29" s="97" t="s">
        <v>83</v>
      </c>
      <c r="Q29" s="10"/>
      <c r="R29" s="11"/>
      <c r="S29" s="98" t="s">
        <v>13</v>
      </c>
      <c r="T29" s="10"/>
      <c r="U29" s="11"/>
      <c r="W29" s="154">
        <v>17.0</v>
      </c>
      <c r="X29" s="222" t="s">
        <v>301</v>
      </c>
      <c r="Y29" s="154">
        <f t="shared" si="1"/>
        <v>2</v>
      </c>
      <c r="Z29" s="34" t="s">
        <v>281</v>
      </c>
      <c r="AA29" s="142">
        <v>4.0</v>
      </c>
    </row>
    <row r="30" ht="15.75" customHeight="1">
      <c r="A30" s="99">
        <f>S22+1</f>
        <v>46132</v>
      </c>
      <c r="B30" s="10"/>
      <c r="C30" s="11"/>
      <c r="D30" s="99">
        <f>A30+1</f>
        <v>46133</v>
      </c>
      <c r="E30" s="10"/>
      <c r="F30" s="11"/>
      <c r="G30" s="99">
        <f>D30+1</f>
        <v>46134</v>
      </c>
      <c r="H30" s="10"/>
      <c r="I30" s="11"/>
      <c r="J30" s="99">
        <f>G30+1</f>
        <v>46135</v>
      </c>
      <c r="K30" s="10"/>
      <c r="L30" s="11"/>
      <c r="M30" s="99">
        <f>J30+1</f>
        <v>46136</v>
      </c>
      <c r="N30" s="10"/>
      <c r="O30" s="11"/>
      <c r="P30" s="99">
        <f>M30+1</f>
        <v>46137</v>
      </c>
      <c r="Q30" s="10"/>
      <c r="R30" s="11"/>
      <c r="S30" s="100">
        <f>P30+1</f>
        <v>46138</v>
      </c>
      <c r="T30" s="10"/>
      <c r="U30" s="11"/>
      <c r="W30" s="154">
        <v>7.0</v>
      </c>
      <c r="X30" s="150" t="s">
        <v>295</v>
      </c>
      <c r="Y30" s="154">
        <f t="shared" si="1"/>
        <v>2</v>
      </c>
      <c r="Z30" s="34" t="s">
        <v>283</v>
      </c>
      <c r="AA30" s="142">
        <v>2.0</v>
      </c>
    </row>
    <row r="31" ht="15.75" customHeight="1">
      <c r="A31" s="250"/>
      <c r="B31" s="250"/>
      <c r="C31" s="26"/>
      <c r="D31" s="38"/>
      <c r="E31" s="38"/>
      <c r="F31" s="38"/>
      <c r="G31" s="155"/>
      <c r="H31" s="155"/>
      <c r="I31" s="155"/>
      <c r="J31" s="57"/>
      <c r="K31" s="57"/>
      <c r="L31" s="57"/>
      <c r="M31" s="155"/>
      <c r="N31" s="155"/>
      <c r="O31" s="155"/>
      <c r="P31" s="38"/>
      <c r="Q31" s="38"/>
      <c r="R31" s="38"/>
      <c r="S31" s="38" t="s">
        <v>286</v>
      </c>
      <c r="T31" s="38" t="s">
        <v>15</v>
      </c>
      <c r="U31" s="38" t="s">
        <v>21</v>
      </c>
      <c r="W31" s="154">
        <v>18.0</v>
      </c>
      <c r="X31" s="220" t="s">
        <v>292</v>
      </c>
      <c r="Y31" s="154">
        <f t="shared" si="1"/>
        <v>4</v>
      </c>
      <c r="Z31" s="223" t="s">
        <v>301</v>
      </c>
      <c r="AA31" s="142">
        <v>2.0</v>
      </c>
    </row>
    <row r="32" ht="15.75" customHeight="1">
      <c r="A32" s="38" t="s">
        <v>289</v>
      </c>
      <c r="B32" s="38" t="s">
        <v>20</v>
      </c>
      <c r="C32" s="38" t="s">
        <v>21</v>
      </c>
      <c r="D32" s="38" t="s">
        <v>290</v>
      </c>
      <c r="E32" s="38" t="s">
        <v>28</v>
      </c>
      <c r="F32" s="38" t="s">
        <v>16</v>
      </c>
      <c r="G32" s="155"/>
      <c r="H32" s="155"/>
      <c r="I32" s="155"/>
      <c r="J32" s="26" t="s">
        <v>281</v>
      </c>
      <c r="K32" s="26" t="s">
        <v>240</v>
      </c>
      <c r="L32" s="26" t="s">
        <v>16</v>
      </c>
      <c r="M32" s="26" t="s">
        <v>292</v>
      </c>
      <c r="N32" s="26" t="s">
        <v>28</v>
      </c>
      <c r="O32" s="22" t="s">
        <v>21</v>
      </c>
      <c r="P32" s="38"/>
      <c r="Q32" s="38"/>
      <c r="R32" s="38"/>
      <c r="S32" s="26" t="s">
        <v>289</v>
      </c>
      <c r="T32" s="26" t="s">
        <v>293</v>
      </c>
      <c r="U32" s="26" t="s">
        <v>21</v>
      </c>
      <c r="W32" s="154">
        <v>19.0</v>
      </c>
      <c r="X32" s="153" t="s">
        <v>309</v>
      </c>
      <c r="Y32" s="154">
        <f t="shared" si="1"/>
        <v>1</v>
      </c>
      <c r="Z32" s="141" t="s">
        <v>292</v>
      </c>
      <c r="AA32" s="142">
        <v>4.0</v>
      </c>
    </row>
    <row r="33" ht="15.75" customHeight="1">
      <c r="B33" s="26"/>
      <c r="C33" s="26"/>
      <c r="D33" s="38" t="s">
        <v>294</v>
      </c>
      <c r="E33" s="38" t="s">
        <v>67</v>
      </c>
      <c r="F33" s="38" t="s">
        <v>16</v>
      </c>
      <c r="G33" s="214" t="s">
        <v>22</v>
      </c>
      <c r="H33" s="10"/>
      <c r="I33" s="11"/>
      <c r="J33" s="26" t="s">
        <v>277</v>
      </c>
      <c r="K33" s="26" t="s">
        <v>109</v>
      </c>
      <c r="L33" s="26" t="s">
        <v>16</v>
      </c>
      <c r="M33" s="147" t="s">
        <v>295</v>
      </c>
      <c r="N33" s="147" t="s">
        <v>67</v>
      </c>
      <c r="O33" s="147" t="s">
        <v>16</v>
      </c>
      <c r="P33" s="26" t="s">
        <v>278</v>
      </c>
      <c r="Q33" s="26" t="s">
        <v>28</v>
      </c>
      <c r="R33" s="26" t="s">
        <v>16</v>
      </c>
      <c r="S33" s="26"/>
      <c r="T33" s="26"/>
      <c r="U33" s="26"/>
      <c r="W33" s="154">
        <v>20.0</v>
      </c>
      <c r="X33" s="220" t="s">
        <v>311</v>
      </c>
      <c r="Y33" s="154">
        <f t="shared" si="1"/>
        <v>2</v>
      </c>
      <c r="Z33" s="141" t="s">
        <v>309</v>
      </c>
      <c r="AA33" s="142">
        <v>0.0</v>
      </c>
    </row>
    <row r="34" ht="15.75" customHeight="1">
      <c r="A34" s="26"/>
      <c r="B34" s="26"/>
      <c r="C34" s="26"/>
      <c r="D34" s="38" t="s">
        <v>297</v>
      </c>
      <c r="E34" s="38" t="s">
        <v>300</v>
      </c>
      <c r="F34" s="38" t="s">
        <v>16</v>
      </c>
      <c r="G34" s="155"/>
      <c r="H34" s="155"/>
      <c r="I34" s="155"/>
      <c r="J34" s="26"/>
      <c r="K34" s="26"/>
      <c r="L34" s="26"/>
      <c r="M34" s="38"/>
      <c r="N34" s="38"/>
      <c r="O34" s="22"/>
      <c r="P34" s="26"/>
      <c r="Q34" s="26"/>
      <c r="R34" s="26"/>
      <c r="S34" s="26"/>
      <c r="T34" s="26"/>
      <c r="U34" s="26"/>
      <c r="W34" s="154">
        <v>21.0</v>
      </c>
      <c r="X34" s="220" t="s">
        <v>298</v>
      </c>
      <c r="Y34" s="154">
        <f t="shared" si="1"/>
        <v>4</v>
      </c>
      <c r="Z34" s="141" t="s">
        <v>311</v>
      </c>
      <c r="AA34" s="142">
        <v>2.0</v>
      </c>
    </row>
    <row r="35" ht="15.75" customHeight="1">
      <c r="A35" s="38" t="s">
        <v>298</v>
      </c>
      <c r="B35" s="38" t="s">
        <v>299</v>
      </c>
      <c r="C35" s="38" t="s">
        <v>21</v>
      </c>
      <c r="D35" s="38"/>
      <c r="E35" s="38"/>
      <c r="F35" s="38"/>
      <c r="G35" s="155"/>
      <c r="H35" s="155"/>
      <c r="I35" s="155"/>
      <c r="J35" s="26"/>
      <c r="K35" s="26"/>
      <c r="L35" s="26"/>
      <c r="M35" s="38" t="s">
        <v>302</v>
      </c>
      <c r="N35" s="38" t="s">
        <v>228</v>
      </c>
      <c r="O35" s="38" t="s">
        <v>21</v>
      </c>
      <c r="P35" s="60" t="s">
        <v>283</v>
      </c>
      <c r="Q35" s="60" t="s">
        <v>296</v>
      </c>
      <c r="R35" s="60" t="s">
        <v>47</v>
      </c>
      <c r="S35" s="245" t="s">
        <v>285</v>
      </c>
      <c r="T35" s="212" t="s">
        <v>91</v>
      </c>
      <c r="U35" s="212" t="s">
        <v>21</v>
      </c>
      <c r="W35" s="154">
        <v>22.0</v>
      </c>
      <c r="X35" s="220" t="s">
        <v>287</v>
      </c>
      <c r="Y35" s="154">
        <f t="shared" si="1"/>
        <v>4</v>
      </c>
      <c r="Z35" s="141" t="s">
        <v>298</v>
      </c>
      <c r="AA35" s="142">
        <v>4.0</v>
      </c>
    </row>
    <row r="36" ht="15.75" customHeight="1">
      <c r="A36" s="38"/>
      <c r="B36" s="109"/>
      <c r="C36" s="38"/>
      <c r="D36" s="38"/>
      <c r="E36" s="38"/>
      <c r="F36" s="38"/>
      <c r="G36" s="155"/>
      <c r="H36" s="155"/>
      <c r="I36" s="155"/>
      <c r="J36" s="57"/>
      <c r="K36" s="57"/>
      <c r="L36" s="57"/>
      <c r="M36" s="38"/>
      <c r="N36" s="38"/>
      <c r="O36" s="22"/>
      <c r="P36" s="95" t="s">
        <v>301</v>
      </c>
      <c r="Q36" s="95" t="s">
        <v>115</v>
      </c>
      <c r="R36" s="95" t="s">
        <v>47</v>
      </c>
      <c r="S36" s="26" t="s">
        <v>287</v>
      </c>
      <c r="T36" s="194" t="s">
        <v>288</v>
      </c>
      <c r="U36" s="26" t="s">
        <v>21</v>
      </c>
      <c r="W36" s="154">
        <v>23.0</v>
      </c>
      <c r="X36" s="220" t="s">
        <v>285</v>
      </c>
      <c r="Y36" s="154">
        <f t="shared" si="1"/>
        <v>4</v>
      </c>
      <c r="Z36" s="141" t="s">
        <v>287</v>
      </c>
      <c r="AA36" s="142">
        <v>4.0</v>
      </c>
    </row>
    <row r="37" ht="15.75" customHeight="1">
      <c r="A37" s="84" t="s">
        <v>118</v>
      </c>
      <c r="B37" s="10"/>
      <c r="C37" s="11"/>
      <c r="D37" s="84" t="s">
        <v>8</v>
      </c>
      <c r="E37" s="10"/>
      <c r="F37" s="11"/>
      <c r="G37" s="84" t="s">
        <v>119</v>
      </c>
      <c r="H37" s="10"/>
      <c r="I37" s="11"/>
      <c r="J37" s="84" t="s">
        <v>10</v>
      </c>
      <c r="K37" s="10"/>
      <c r="L37" s="11"/>
      <c r="M37" s="84"/>
      <c r="N37" s="10"/>
      <c r="O37" s="11"/>
      <c r="P37" s="84"/>
      <c r="Q37" s="10"/>
      <c r="R37" s="11"/>
      <c r="S37" s="85"/>
      <c r="T37" s="10"/>
      <c r="U37" s="11"/>
      <c r="W37" s="154">
        <v>24.0</v>
      </c>
      <c r="X37" s="220" t="s">
        <v>284</v>
      </c>
      <c r="Y37" s="154">
        <f t="shared" si="1"/>
        <v>2</v>
      </c>
      <c r="Z37" s="141" t="s">
        <v>285</v>
      </c>
      <c r="AA37" s="142">
        <v>0.0</v>
      </c>
    </row>
    <row r="38" ht="15.75" customHeight="1">
      <c r="A38" s="86">
        <f>S30+1</f>
        <v>46139</v>
      </c>
      <c r="B38" s="10"/>
      <c r="C38" s="11"/>
      <c r="D38" s="86">
        <f>A38+1</f>
        <v>46140</v>
      </c>
      <c r="E38" s="10"/>
      <c r="F38" s="11"/>
      <c r="G38" s="86">
        <f>D38+1</f>
        <v>46141</v>
      </c>
      <c r="H38" s="10"/>
      <c r="I38" s="11"/>
      <c r="J38" s="86">
        <f>G38+1</f>
        <v>46142</v>
      </c>
      <c r="K38" s="10"/>
      <c r="L38" s="11"/>
      <c r="M38" s="86"/>
      <c r="N38" s="10"/>
      <c r="O38" s="11"/>
      <c r="P38" s="86"/>
      <c r="Q38" s="10"/>
      <c r="R38" s="11"/>
      <c r="S38" s="86"/>
      <c r="T38" s="10"/>
      <c r="U38" s="11"/>
      <c r="W38" s="179"/>
      <c r="X38" s="230"/>
      <c r="Y38" s="179"/>
      <c r="Z38" s="141" t="s">
        <v>284</v>
      </c>
      <c r="AA38" s="142">
        <v>2.0</v>
      </c>
    </row>
    <row r="39" ht="15.75" customHeight="1">
      <c r="A39" s="38"/>
      <c r="B39" s="109"/>
      <c r="C39" s="38"/>
      <c r="D39" s="38" t="s">
        <v>298</v>
      </c>
      <c r="E39" s="26" t="s">
        <v>304</v>
      </c>
      <c r="F39" s="38" t="s">
        <v>21</v>
      </c>
      <c r="G39" s="95"/>
      <c r="H39" s="95"/>
      <c r="I39" s="95"/>
      <c r="J39" s="57"/>
      <c r="K39" s="57"/>
      <c r="L39" s="57"/>
      <c r="M39" s="38"/>
      <c r="N39" s="38"/>
      <c r="O39" s="38"/>
      <c r="P39" s="38"/>
      <c r="Q39" s="38"/>
      <c r="R39" s="38"/>
      <c r="S39" s="95"/>
      <c r="T39" s="95"/>
      <c r="U39" s="95"/>
      <c r="W39" s="179"/>
      <c r="X39" s="230"/>
      <c r="Y39" s="179"/>
    </row>
    <row r="40" ht="15.75" customHeight="1">
      <c r="A40" s="38" t="s">
        <v>289</v>
      </c>
      <c r="B40" s="38" t="s">
        <v>20</v>
      </c>
      <c r="C40" s="38" t="s">
        <v>21</v>
      </c>
      <c r="D40" s="26" t="s">
        <v>292</v>
      </c>
      <c r="E40" s="26" t="s">
        <v>125</v>
      </c>
      <c r="F40" s="26" t="s">
        <v>21</v>
      </c>
      <c r="G40" s="95"/>
      <c r="H40" s="95"/>
      <c r="I40" s="95"/>
      <c r="J40" s="38" t="s">
        <v>132</v>
      </c>
      <c r="K40" s="38" t="s">
        <v>134</v>
      </c>
      <c r="L40" s="38"/>
      <c r="M40" s="38"/>
      <c r="N40" s="38"/>
      <c r="O40" s="38"/>
      <c r="P40" s="38"/>
      <c r="Q40" s="38"/>
      <c r="R40" s="38"/>
      <c r="S40" s="95"/>
      <c r="T40" s="95"/>
      <c r="U40" s="95"/>
      <c r="W40" s="154">
        <v>27.0</v>
      </c>
      <c r="X40" s="153"/>
      <c r="Y40" s="154">
        <f t="shared" ref="Y40:Y41" si="2">COUNTIF($A$5:$U$52,X40)</f>
        <v>0</v>
      </c>
    </row>
    <row r="41" ht="15.75" customHeight="1">
      <c r="A41" s="26"/>
      <c r="B41" s="26"/>
      <c r="C41" s="26"/>
      <c r="D41" s="95"/>
      <c r="E41" s="95"/>
      <c r="F41" s="95"/>
      <c r="G41" s="214" t="s">
        <v>22</v>
      </c>
      <c r="H41" s="10"/>
      <c r="I41" s="11"/>
      <c r="J41" s="242" t="s">
        <v>274</v>
      </c>
      <c r="K41" s="10"/>
      <c r="L41" s="11"/>
      <c r="M41" s="38"/>
      <c r="N41" s="38"/>
      <c r="O41" s="38"/>
      <c r="P41" s="38"/>
      <c r="Q41" s="38"/>
      <c r="R41" s="38"/>
      <c r="S41" s="95"/>
      <c r="T41" s="95"/>
      <c r="U41" s="95"/>
      <c r="W41" s="248">
        <v>28.0</v>
      </c>
      <c r="X41" s="220"/>
      <c r="Y41" s="154">
        <f t="shared" si="2"/>
        <v>0</v>
      </c>
    </row>
    <row r="42" ht="15.75" customHeight="1">
      <c r="A42" s="38"/>
      <c r="B42" s="38"/>
      <c r="C42" s="38"/>
      <c r="D42" s="95"/>
      <c r="E42" s="95"/>
      <c r="F42" s="95"/>
      <c r="G42" s="95"/>
      <c r="H42" s="95"/>
      <c r="I42" s="95"/>
      <c r="J42" s="57"/>
      <c r="K42" s="57"/>
      <c r="L42" s="57"/>
      <c r="M42" s="38"/>
      <c r="N42" s="38"/>
      <c r="O42" s="38"/>
      <c r="P42" s="38"/>
      <c r="Q42" s="38"/>
      <c r="R42" s="38"/>
      <c r="S42" s="95"/>
      <c r="T42" s="95"/>
      <c r="U42" s="95"/>
    </row>
    <row r="43" ht="15.75" customHeight="1">
      <c r="A43" s="26" t="s">
        <v>303</v>
      </c>
      <c r="B43" s="26" t="s">
        <v>35</v>
      </c>
      <c r="C43" s="22" t="s">
        <v>47</v>
      </c>
      <c r="D43" s="26" t="s">
        <v>289</v>
      </c>
      <c r="E43" s="26" t="s">
        <v>313</v>
      </c>
      <c r="F43" s="26" t="s">
        <v>21</v>
      </c>
      <c r="G43" s="95"/>
      <c r="H43" s="95"/>
      <c r="I43" s="95"/>
      <c r="J43" s="57"/>
      <c r="K43" s="57"/>
      <c r="L43" s="57"/>
      <c r="M43" s="38"/>
      <c r="N43" s="38"/>
      <c r="O43" s="38"/>
      <c r="P43" s="38"/>
      <c r="Q43" s="38"/>
      <c r="R43" s="38"/>
      <c r="S43" s="95"/>
      <c r="T43" s="95"/>
      <c r="U43" s="95"/>
      <c r="W43" s="251"/>
      <c r="Y43" s="251">
        <f>SUM(Y14:Y42)</f>
        <v>69</v>
      </c>
    </row>
    <row r="44" ht="15.75" customHeight="1">
      <c r="A44" s="26" t="s">
        <v>311</v>
      </c>
      <c r="B44" s="26" t="s">
        <v>312</v>
      </c>
      <c r="C44" s="26" t="s">
        <v>21</v>
      </c>
      <c r="D44" s="95"/>
      <c r="E44" s="95"/>
      <c r="F44" s="95"/>
      <c r="G44" s="95"/>
      <c r="H44" s="95"/>
      <c r="I44" s="95"/>
      <c r="J44" s="57"/>
      <c r="K44" s="57"/>
      <c r="L44" s="57"/>
      <c r="M44" s="38"/>
      <c r="N44" s="38"/>
      <c r="O44" s="38"/>
      <c r="P44" s="38"/>
      <c r="Q44" s="38"/>
      <c r="R44" s="38"/>
      <c r="S44" s="95"/>
      <c r="T44" s="95"/>
      <c r="U44" s="95"/>
    </row>
    <row r="45" ht="15.75" customHeight="1">
      <c r="A45" s="97"/>
      <c r="B45" s="10"/>
      <c r="C45" s="11"/>
      <c r="D45" s="97"/>
      <c r="E45" s="10"/>
      <c r="F45" s="11"/>
      <c r="G45" s="97"/>
      <c r="H45" s="10"/>
      <c r="I45" s="11"/>
      <c r="J45" s="97"/>
      <c r="K45" s="10"/>
      <c r="L45" s="11"/>
      <c r="M45" s="97"/>
      <c r="N45" s="10"/>
      <c r="O45" s="11"/>
      <c r="P45" s="97"/>
      <c r="Q45" s="10"/>
      <c r="R45" s="11"/>
      <c r="S45" s="98"/>
      <c r="T45" s="10"/>
      <c r="U45" s="11"/>
    </row>
    <row r="46" ht="15.75" customHeight="1">
      <c r="A46" s="99"/>
      <c r="B46" s="10"/>
      <c r="C46" s="11"/>
      <c r="D46" s="99"/>
      <c r="E46" s="10"/>
      <c r="F46" s="11"/>
      <c r="G46" s="99"/>
      <c r="H46" s="10"/>
      <c r="I46" s="11"/>
      <c r="J46" s="99"/>
      <c r="K46" s="10"/>
      <c r="L46" s="11"/>
      <c r="M46" s="99"/>
      <c r="N46" s="10"/>
      <c r="O46" s="11"/>
      <c r="P46" s="99"/>
      <c r="Q46" s="10"/>
      <c r="R46" s="11"/>
      <c r="S46" s="100"/>
      <c r="T46" s="10"/>
      <c r="U46" s="11"/>
      <c r="W46" s="251"/>
      <c r="Y46" s="251"/>
    </row>
    <row r="47" ht="15.75" customHeight="1">
      <c r="A47" s="38"/>
      <c r="B47" s="38"/>
      <c r="C47" s="38"/>
      <c r="D47" s="38"/>
      <c r="E47" s="38"/>
      <c r="F47" s="38"/>
      <c r="G47" s="95"/>
      <c r="H47" s="95"/>
      <c r="I47" s="95"/>
      <c r="J47" s="38"/>
      <c r="K47" s="38"/>
      <c r="L47" s="38"/>
      <c r="M47" s="26"/>
      <c r="N47" s="26"/>
      <c r="O47" s="26"/>
    </row>
    <row r="48" ht="15.75" customHeight="1">
      <c r="A48" s="38"/>
      <c r="B48" s="38"/>
      <c r="C48" s="38"/>
      <c r="D48" s="38"/>
      <c r="E48" s="38"/>
      <c r="F48" s="38"/>
      <c r="G48" s="95"/>
      <c r="H48" s="95"/>
      <c r="I48" s="95"/>
      <c r="J48" s="95"/>
      <c r="K48" s="95"/>
      <c r="L48" s="95"/>
      <c r="M48" s="38"/>
      <c r="N48" s="38"/>
      <c r="O48" s="38"/>
    </row>
    <row r="49" ht="15.75" customHeight="1">
      <c r="A49" s="38"/>
      <c r="B49" s="38"/>
      <c r="C49" s="38"/>
      <c r="D49" s="38"/>
      <c r="E49" s="38"/>
      <c r="F49" s="38"/>
      <c r="G49" s="95"/>
      <c r="H49" s="95"/>
      <c r="I49" s="95"/>
      <c r="J49" s="95"/>
      <c r="K49" s="95"/>
      <c r="L49" s="95"/>
      <c r="M49" s="26"/>
      <c r="N49" s="26"/>
      <c r="O49" s="26"/>
      <c r="W49" s="251"/>
      <c r="Y49" s="251"/>
    </row>
    <row r="50" ht="15.75" customHeight="1">
      <c r="A50" s="38"/>
      <c r="B50" s="38"/>
      <c r="C50" s="38"/>
      <c r="D50" s="155"/>
      <c r="E50" s="155"/>
      <c r="F50" s="155"/>
      <c r="G50" s="95"/>
      <c r="H50" s="95"/>
      <c r="I50" s="95"/>
      <c r="J50" s="38"/>
      <c r="K50" s="38"/>
      <c r="L50" s="38"/>
      <c r="M50" s="26"/>
      <c r="N50" s="26"/>
      <c r="O50" s="26"/>
    </row>
    <row r="51" ht="15.75" customHeight="1">
      <c r="A51" s="38"/>
      <c r="B51" s="38"/>
      <c r="C51" s="38"/>
      <c r="D51" s="155"/>
      <c r="E51" s="155"/>
      <c r="F51" s="155"/>
      <c r="G51" s="95"/>
      <c r="H51" s="95"/>
      <c r="I51" s="95"/>
      <c r="J51" s="95"/>
      <c r="K51" s="95"/>
      <c r="L51" s="95"/>
      <c r="M51" s="38"/>
      <c r="N51" s="109"/>
      <c r="O51" s="109"/>
      <c r="W51" s="251"/>
      <c r="Y51" s="251"/>
    </row>
    <row r="52" ht="15.75" customHeight="1">
      <c r="A52" s="38"/>
      <c r="B52" s="38"/>
      <c r="C52" s="38"/>
      <c r="D52" s="155"/>
      <c r="E52" s="155"/>
      <c r="F52" s="155"/>
      <c r="G52" s="95"/>
      <c r="H52" s="95"/>
      <c r="I52" s="95"/>
      <c r="J52" s="95"/>
      <c r="K52" s="95"/>
      <c r="L52" s="95"/>
      <c r="M52" s="29"/>
      <c r="N52" s="23"/>
      <c r="O52" s="23"/>
    </row>
    <row r="53" ht="15.75" customHeight="1"/>
    <row r="54" ht="15.75" customHeight="1"/>
    <row r="55" ht="15.75" customHeight="1">
      <c r="A55" s="71" t="s">
        <v>72</v>
      </c>
      <c r="B55" s="72"/>
    </row>
    <row r="56" ht="15.75" customHeight="1">
      <c r="A56" s="73"/>
      <c r="B56" s="26" t="s">
        <v>73</v>
      </c>
      <c r="C56" s="57"/>
      <c r="D56" s="74"/>
    </row>
    <row r="57" ht="15.75" customHeight="1">
      <c r="A57" s="75"/>
      <c r="B57" s="26" t="s">
        <v>74</v>
      </c>
      <c r="C57" s="57"/>
      <c r="W57" s="251"/>
      <c r="Y57" s="251"/>
    </row>
    <row r="58" ht="15.75" customHeight="1">
      <c r="A58" s="76"/>
      <c r="B58" s="26" t="s">
        <v>75</v>
      </c>
      <c r="C58" s="57"/>
      <c r="K58" s="252" t="s">
        <v>314</v>
      </c>
    </row>
    <row r="59" ht="15.75" customHeight="1">
      <c r="A59" s="78"/>
      <c r="B59" s="26" t="s">
        <v>78</v>
      </c>
      <c r="C59" s="5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W67" s="251"/>
      <c r="Y67" s="25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W73" s="251"/>
      <c r="Y73" s="251"/>
    </row>
    <row r="74" ht="15.75" customHeight="1"/>
    <row r="75" ht="15.75" customHeight="1">
      <c r="W75" s="251"/>
      <c r="Y75" s="251"/>
    </row>
    <row r="76" ht="15.75" customHeight="1"/>
    <row r="77" ht="15.75" customHeight="1"/>
    <row r="78" ht="15.75" customHeight="1"/>
    <row r="79" ht="15.75" customHeight="1">
      <c r="W79" s="251"/>
      <c r="Y79" s="251"/>
    </row>
    <row r="80" ht="15.75" customHeight="1"/>
    <row r="81" ht="15.75" customHeight="1"/>
    <row r="82" ht="15.75" customHeight="1"/>
    <row r="83" ht="15.75" customHeight="1">
      <c r="W83" s="251"/>
      <c r="Y83" s="251"/>
    </row>
    <row r="84" ht="15.75" customHeight="1"/>
    <row r="85" ht="15.75" customHeight="1">
      <c r="W85" s="251"/>
      <c r="Y85" s="251"/>
    </row>
    <row r="86" ht="15.75" customHeight="1">
      <c r="W86" s="251"/>
      <c r="Y86" s="251"/>
    </row>
    <row r="87" ht="15.75" customHeight="1">
      <c r="W87" s="251"/>
      <c r="Y87" s="25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41"/>
  <mergeCells count="102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G22:I22"/>
    <mergeCell ref="J22:L22"/>
    <mergeCell ref="M22:O22"/>
    <mergeCell ref="P22:R22"/>
    <mergeCell ref="S22:U22"/>
    <mergeCell ref="D22:F22"/>
    <mergeCell ref="D25:F25"/>
    <mergeCell ref="G25:I25"/>
    <mergeCell ref="A29:C29"/>
    <mergeCell ref="D29:F29"/>
    <mergeCell ref="G29:I29"/>
    <mergeCell ref="J29:L29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30:C30"/>
    <mergeCell ref="D30:F30"/>
    <mergeCell ref="G30:I30"/>
    <mergeCell ref="J30:L30"/>
    <mergeCell ref="G33:I33"/>
    <mergeCell ref="A37:C37"/>
    <mergeCell ref="D37:F37"/>
    <mergeCell ref="P45:R45"/>
    <mergeCell ref="S45:U45"/>
    <mergeCell ref="A46:C46"/>
    <mergeCell ref="D46:F46"/>
    <mergeCell ref="G46:I46"/>
    <mergeCell ref="J46:L46"/>
    <mergeCell ref="M46:O46"/>
    <mergeCell ref="P46:R46"/>
    <mergeCell ref="S46:U46"/>
    <mergeCell ref="G41:I41"/>
    <mergeCell ref="J41:L41"/>
    <mergeCell ref="A45:C45"/>
    <mergeCell ref="D45:F45"/>
    <mergeCell ref="G45:I45"/>
    <mergeCell ref="J45:L45"/>
    <mergeCell ref="M45:O45"/>
    <mergeCell ref="B55:D5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J9:L9"/>
    <mergeCell ref="M9:O9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G17:I17"/>
    <mergeCell ref="M29:O29"/>
    <mergeCell ref="P29:R29"/>
    <mergeCell ref="S29:U29"/>
    <mergeCell ref="M30:O30"/>
    <mergeCell ref="P30:R30"/>
    <mergeCell ref="S30:U30"/>
  </mergeCells>
  <hyperlinks>
    <hyperlink r:id="rId1" ref="S11"/>
    <hyperlink r:id="rId2" ref="S19"/>
    <hyperlink r:id="rId3" ref="S27"/>
    <hyperlink r:id="rId4" ref="S35"/>
  </hyperlinks>
  <printOptions horizontalCentered="1" verticalCentered="1"/>
  <pageMargins bottom="0.0" footer="0.0" header="0.0" left="0.0" right="0.0" top="0.0"/>
  <pageSetup paperSize="9" orientation="landscape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5.57"/>
    <col customWidth="1" min="4" max="4" width="18.86"/>
    <col customWidth="1" min="5" max="5" width="11.71"/>
    <col customWidth="1" min="6" max="6" width="6.14"/>
    <col customWidth="1" min="7" max="7" width="18.43"/>
    <col customWidth="1" min="8" max="8" width="11.43"/>
    <col customWidth="1" min="9" max="9" width="8.57"/>
    <col customWidth="1" min="10" max="10" width="18.86"/>
    <col customWidth="1" min="11" max="11" width="11.57"/>
    <col customWidth="1" min="12" max="12" width="7.71"/>
    <col customWidth="1" min="13" max="13" width="20.86"/>
    <col customWidth="1" min="14" max="14" width="11.57"/>
    <col customWidth="1" min="15" max="15" width="7.43"/>
    <col customWidth="1" min="16" max="16" width="16.71"/>
    <col customWidth="1" min="17" max="17" width="11.43"/>
    <col customWidth="1" min="18" max="18" width="7.43"/>
    <col customWidth="1" min="19" max="19" width="10.43"/>
    <col customWidth="1" min="20" max="20" width="11.57"/>
    <col customWidth="1" min="21" max="21" width="5.57"/>
    <col customWidth="1" min="22" max="23" width="8.71"/>
    <col customWidth="1" min="24" max="24" width="18.86"/>
    <col customWidth="1" min="25" max="25" width="15.14"/>
    <col customWidth="1" min="26" max="26" width="8.71"/>
  </cols>
  <sheetData>
    <row r="1" ht="15.75" customHeight="1">
      <c r="A1" s="1" t="s">
        <v>79</v>
      </c>
      <c r="C1" s="7" t="s">
        <v>315</v>
      </c>
      <c r="F1" s="3"/>
      <c r="G1" s="4" t="s">
        <v>2</v>
      </c>
      <c r="Q1" s="3"/>
    </row>
    <row r="2" ht="15.75" customHeight="1">
      <c r="A2" s="1" t="s">
        <v>3</v>
      </c>
      <c r="C2" s="6" t="s">
        <v>276</v>
      </c>
      <c r="F2" s="3"/>
      <c r="Q2" s="3"/>
    </row>
    <row r="3" ht="15.75" customHeight="1">
      <c r="A3" s="1" t="s">
        <v>5</v>
      </c>
      <c r="C3" s="243"/>
      <c r="F3" s="3"/>
      <c r="Q3" s="3"/>
    </row>
    <row r="4" ht="15.75" customHeight="1">
      <c r="A4" s="79" t="s">
        <v>6</v>
      </c>
      <c r="B4" s="80"/>
      <c r="C4" s="244"/>
      <c r="D4" s="80"/>
      <c r="E4" s="3"/>
      <c r="F4" s="3"/>
      <c r="G4" s="3"/>
      <c r="H4" s="3"/>
      <c r="I4" s="3"/>
      <c r="J4" s="3"/>
      <c r="K4" s="3"/>
      <c r="L4" s="3"/>
      <c r="M4" s="3"/>
      <c r="N4" s="3"/>
      <c r="O4" s="81"/>
      <c r="P4" s="82"/>
      <c r="Q4" s="83"/>
    </row>
    <row r="5" ht="15.75" customHeight="1">
      <c r="A5" s="84"/>
      <c r="B5" s="10"/>
      <c r="C5" s="11"/>
      <c r="D5" s="84"/>
      <c r="E5" s="10"/>
      <c r="F5" s="11"/>
      <c r="G5" s="84" t="s">
        <v>119</v>
      </c>
      <c r="H5" s="10"/>
      <c r="I5" s="11"/>
      <c r="J5" s="84" t="s">
        <v>10</v>
      </c>
      <c r="K5" s="10"/>
      <c r="L5" s="11"/>
      <c r="M5" s="84" t="s">
        <v>95</v>
      </c>
      <c r="N5" s="10"/>
      <c r="O5" s="11"/>
      <c r="P5" s="84" t="s">
        <v>83</v>
      </c>
      <c r="Q5" s="10"/>
      <c r="R5" s="11"/>
      <c r="S5" s="85" t="s">
        <v>13</v>
      </c>
      <c r="T5" s="10"/>
      <c r="U5" s="11"/>
    </row>
    <row r="6" ht="15.75" customHeight="1">
      <c r="A6" s="17"/>
      <c r="B6" s="10"/>
      <c r="C6" s="11"/>
      <c r="D6" s="86"/>
      <c r="E6" s="10"/>
      <c r="F6" s="11"/>
      <c r="G6" s="86">
        <v>46113.0</v>
      </c>
      <c r="H6" s="10"/>
      <c r="I6" s="11"/>
      <c r="J6" s="86">
        <v>46114.0</v>
      </c>
      <c r="K6" s="10"/>
      <c r="L6" s="11"/>
      <c r="M6" s="86">
        <v>46115.0</v>
      </c>
      <c r="N6" s="10"/>
      <c r="O6" s="11"/>
      <c r="P6" s="86">
        <v>46116.0</v>
      </c>
      <c r="Q6" s="10"/>
      <c r="R6" s="11"/>
      <c r="S6" s="122">
        <f>P6+1</f>
        <v>46117</v>
      </c>
      <c r="T6" s="10"/>
      <c r="U6" s="11"/>
      <c r="V6" s="77">
        <f>COUNTA(#REF!,M23:M28,P31:P36,#REF!,D15:D19,D7:D12,#REF!,P7:P12,A24:A28,#REF!,#REF!,#REF!,M13:M14,P23:P28,D23:D28,G15:G20,J16:J25,#REF!,#REF!,A32:A36,D31:D35,G23:G28,J25:J28,#REF!)</f>
        <v>56</v>
      </c>
    </row>
    <row r="7" ht="15.75" customHeight="1">
      <c r="A7" s="26"/>
      <c r="B7" s="26"/>
      <c r="C7" s="26"/>
      <c r="D7" s="23"/>
      <c r="E7" s="58"/>
      <c r="F7" s="23"/>
      <c r="G7" s="38" t="s">
        <v>316</v>
      </c>
      <c r="H7" s="38" t="s">
        <v>20</v>
      </c>
      <c r="I7" s="38" t="s">
        <v>21</v>
      </c>
      <c r="J7" s="38"/>
      <c r="K7" s="38"/>
      <c r="L7" s="38"/>
      <c r="M7" s="38"/>
      <c r="N7" s="38"/>
      <c r="O7" s="38"/>
      <c r="P7" s="23"/>
      <c r="Q7" s="58"/>
      <c r="R7" s="23"/>
      <c r="S7" s="155"/>
      <c r="T7" s="155"/>
      <c r="U7" s="155"/>
    </row>
    <row r="8" ht="15.75" customHeight="1">
      <c r="A8" s="26"/>
      <c r="B8" s="26"/>
      <c r="C8" s="26"/>
      <c r="D8" s="23"/>
      <c r="E8" s="58"/>
      <c r="F8" s="23"/>
      <c r="G8" s="38"/>
      <c r="H8" s="38"/>
      <c r="I8" s="38"/>
      <c r="J8" s="38"/>
      <c r="K8" s="38"/>
      <c r="L8" s="38"/>
      <c r="M8" s="38"/>
      <c r="N8" s="38"/>
      <c r="O8" s="38"/>
      <c r="P8" s="84" t="s">
        <v>89</v>
      </c>
      <c r="Q8" s="10"/>
      <c r="R8" s="11"/>
      <c r="S8" s="155"/>
      <c r="T8" s="155"/>
      <c r="U8" s="155"/>
    </row>
    <row r="9" ht="15.75" customHeight="1">
      <c r="A9" s="26"/>
      <c r="B9" s="26"/>
      <c r="C9" s="26"/>
      <c r="D9" s="38"/>
      <c r="E9" s="38"/>
      <c r="F9" s="38"/>
      <c r="G9" s="26" t="s">
        <v>317</v>
      </c>
      <c r="H9" s="26" t="s">
        <v>32</v>
      </c>
      <c r="I9" s="26" t="s">
        <v>21</v>
      </c>
      <c r="J9" s="38"/>
      <c r="K9" s="38"/>
      <c r="L9" s="38"/>
      <c r="M9" s="214" t="s">
        <v>22</v>
      </c>
      <c r="N9" s="10"/>
      <c r="O9" s="11"/>
      <c r="P9" s="26"/>
      <c r="Q9" s="38"/>
      <c r="R9" s="38"/>
      <c r="S9" s="214" t="s">
        <v>22</v>
      </c>
      <c r="T9" s="10"/>
      <c r="U9" s="11"/>
    </row>
    <row r="10" ht="15.75" customHeight="1">
      <c r="A10" s="26"/>
      <c r="B10" s="26"/>
      <c r="C10" s="26"/>
      <c r="D10" s="23"/>
      <c r="E10" s="58"/>
      <c r="F10" s="23"/>
      <c r="G10" s="127" t="s">
        <v>318</v>
      </c>
      <c r="H10" s="253" t="s">
        <v>296</v>
      </c>
      <c r="I10" s="127" t="s">
        <v>47</v>
      </c>
      <c r="J10" s="38" t="s">
        <v>316</v>
      </c>
      <c r="K10" s="26" t="s">
        <v>313</v>
      </c>
      <c r="L10" s="26" t="s">
        <v>280</v>
      </c>
      <c r="M10" s="26"/>
      <c r="N10" s="58"/>
      <c r="O10" s="26"/>
      <c r="P10" s="38" t="s">
        <v>205</v>
      </c>
      <c r="Q10" s="26" t="s">
        <v>319</v>
      </c>
      <c r="R10" s="38" t="s">
        <v>21</v>
      </c>
      <c r="S10" s="155"/>
      <c r="T10" s="155"/>
      <c r="U10" s="155"/>
    </row>
    <row r="11" ht="15.75" customHeight="1">
      <c r="A11" s="26"/>
      <c r="B11" s="26"/>
      <c r="C11" s="26"/>
      <c r="D11" s="23"/>
      <c r="E11" s="58"/>
      <c r="F11" s="23"/>
      <c r="G11" s="38"/>
      <c r="H11" s="38"/>
      <c r="I11" s="38"/>
      <c r="J11" s="26"/>
      <c r="K11" s="26"/>
      <c r="L11" s="26"/>
      <c r="M11" s="26"/>
      <c r="N11" s="26"/>
      <c r="O11" s="26"/>
      <c r="P11" s="26"/>
      <c r="Q11" s="38"/>
      <c r="R11" s="38"/>
      <c r="S11" s="155"/>
      <c r="T11" s="155"/>
      <c r="U11" s="155"/>
    </row>
    <row r="12" ht="15.75" customHeight="1">
      <c r="A12" s="155"/>
      <c r="B12" s="155"/>
      <c r="C12" s="155"/>
      <c r="D12" s="26"/>
      <c r="E12" s="26"/>
      <c r="F12" s="26"/>
      <c r="G12" s="26"/>
      <c r="H12" s="26"/>
      <c r="I12" s="26"/>
      <c r="J12" s="155"/>
      <c r="K12" s="155"/>
      <c r="L12" s="155"/>
      <c r="M12" s="155"/>
      <c r="N12" s="155"/>
      <c r="O12" s="155"/>
      <c r="P12" s="26"/>
      <c r="Q12" s="26"/>
      <c r="R12" s="26"/>
      <c r="S12" s="155"/>
      <c r="T12" s="155"/>
      <c r="U12" s="155"/>
    </row>
    <row r="13" ht="15.75" customHeight="1">
      <c r="A13" s="97" t="s">
        <v>7</v>
      </c>
      <c r="B13" s="10"/>
      <c r="C13" s="11"/>
      <c r="D13" s="97" t="s">
        <v>8</v>
      </c>
      <c r="E13" s="10"/>
      <c r="F13" s="11"/>
      <c r="G13" s="97" t="s">
        <v>9</v>
      </c>
      <c r="H13" s="10"/>
      <c r="I13" s="11"/>
      <c r="J13" s="97" t="s">
        <v>10</v>
      </c>
      <c r="K13" s="10"/>
      <c r="L13" s="11"/>
      <c r="M13" s="97" t="s">
        <v>95</v>
      </c>
      <c r="N13" s="10"/>
      <c r="O13" s="11"/>
      <c r="P13" s="97" t="s">
        <v>83</v>
      </c>
      <c r="Q13" s="10"/>
      <c r="R13" s="11"/>
      <c r="S13" s="98" t="s">
        <v>13</v>
      </c>
      <c r="T13" s="10"/>
      <c r="U13" s="11"/>
      <c r="W13" s="153" t="s">
        <v>24</v>
      </c>
      <c r="X13" s="153" t="s">
        <v>25</v>
      </c>
      <c r="Y13" s="154" t="s">
        <v>26</v>
      </c>
    </row>
    <row r="14" ht="15.75" customHeight="1">
      <c r="A14" s="99">
        <f>S6+1</f>
        <v>46118</v>
      </c>
      <c r="B14" s="10"/>
      <c r="C14" s="11"/>
      <c r="D14" s="99">
        <f>A14+1</f>
        <v>46119</v>
      </c>
      <c r="E14" s="10"/>
      <c r="F14" s="11"/>
      <c r="G14" s="99">
        <f>D14+1</f>
        <v>46120</v>
      </c>
      <c r="H14" s="10"/>
      <c r="I14" s="11"/>
      <c r="J14" s="99">
        <f>G14+1</f>
        <v>46121</v>
      </c>
      <c r="K14" s="10"/>
      <c r="L14" s="11"/>
      <c r="M14" s="99">
        <f>J14+1</f>
        <v>46122</v>
      </c>
      <c r="N14" s="10"/>
      <c r="O14" s="11"/>
      <c r="P14" s="99">
        <f>M14+1</f>
        <v>46123</v>
      </c>
      <c r="Q14" s="10"/>
      <c r="R14" s="11"/>
      <c r="S14" s="100">
        <f>P14+1</f>
        <v>46124</v>
      </c>
      <c r="T14" s="10"/>
      <c r="U14" s="11"/>
      <c r="W14" s="154">
        <v>21.0</v>
      </c>
      <c r="X14" s="34" t="s">
        <v>320</v>
      </c>
      <c r="Y14" s="154">
        <f t="shared" ref="Y14:Y35" si="1">COUNTIF($A$5:$U$52,X14)</f>
        <v>4</v>
      </c>
      <c r="Z14" s="34"/>
    </row>
    <row r="15" ht="15.75" customHeight="1">
      <c r="A15" s="38"/>
      <c r="B15" s="58"/>
      <c r="C15" s="38"/>
      <c r="D15" s="38" t="s">
        <v>321</v>
      </c>
      <c r="E15" s="26" t="s">
        <v>18</v>
      </c>
      <c r="F15" s="26" t="s">
        <v>21</v>
      </c>
      <c r="G15" s="38" t="s">
        <v>316</v>
      </c>
      <c r="H15" s="38" t="s">
        <v>20</v>
      </c>
      <c r="I15" s="38" t="s">
        <v>21</v>
      </c>
      <c r="J15" s="38"/>
      <c r="K15" s="38"/>
      <c r="L15" s="38"/>
      <c r="M15" s="57"/>
      <c r="N15" s="57"/>
      <c r="O15" s="57"/>
      <c r="P15" s="38" t="s">
        <v>322</v>
      </c>
      <c r="Q15" s="38" t="s">
        <v>40</v>
      </c>
      <c r="R15" s="38" t="s">
        <v>16</v>
      </c>
      <c r="S15" s="155"/>
      <c r="T15" s="155"/>
      <c r="U15" s="155"/>
      <c r="W15" s="154">
        <v>1.0</v>
      </c>
      <c r="X15" s="150" t="s">
        <v>323</v>
      </c>
      <c r="Y15" s="154">
        <f t="shared" si="1"/>
        <v>2</v>
      </c>
      <c r="Z15" s="111"/>
    </row>
    <row r="16" ht="15.75" customHeight="1">
      <c r="A16" s="22" t="s">
        <v>324</v>
      </c>
      <c r="B16" s="26"/>
      <c r="C16" s="26" t="s">
        <v>21</v>
      </c>
      <c r="D16" s="60" t="s">
        <v>325</v>
      </c>
      <c r="E16" s="60" t="s">
        <v>28</v>
      </c>
      <c r="F16" s="60" t="s">
        <v>16</v>
      </c>
      <c r="G16" s="38" t="s">
        <v>326</v>
      </c>
      <c r="H16" s="38" t="s">
        <v>32</v>
      </c>
      <c r="I16" s="38" t="s">
        <v>16</v>
      </c>
      <c r="J16" s="254" t="s">
        <v>324</v>
      </c>
      <c r="K16" s="60" t="s">
        <v>327</v>
      </c>
      <c r="L16" s="60" t="s">
        <v>21</v>
      </c>
      <c r="M16" s="57"/>
      <c r="N16" s="57"/>
      <c r="O16" s="57"/>
      <c r="P16" s="26" t="s">
        <v>323</v>
      </c>
      <c r="Q16" s="26" t="s">
        <v>67</v>
      </c>
      <c r="R16" s="26" t="s">
        <v>16</v>
      </c>
      <c r="S16" s="155"/>
      <c r="T16" s="155"/>
      <c r="U16" s="155"/>
      <c r="W16" s="154">
        <v>2.0</v>
      </c>
      <c r="X16" s="150" t="s">
        <v>316</v>
      </c>
      <c r="Y16" s="154">
        <f t="shared" si="1"/>
        <v>11</v>
      </c>
      <c r="Z16" s="111"/>
    </row>
    <row r="17" ht="15.75" customHeight="1">
      <c r="A17" s="26" t="s">
        <v>325</v>
      </c>
      <c r="B17" s="26"/>
      <c r="C17" s="26" t="s">
        <v>16</v>
      </c>
      <c r="D17" s="255" t="s">
        <v>205</v>
      </c>
      <c r="E17" s="255"/>
      <c r="F17" s="255" t="s">
        <v>328</v>
      </c>
      <c r="G17" s="127" t="s">
        <v>318</v>
      </c>
      <c r="H17" s="253" t="s">
        <v>296</v>
      </c>
      <c r="I17" s="127" t="s">
        <v>47</v>
      </c>
      <c r="J17" s="60" t="s">
        <v>205</v>
      </c>
      <c r="K17" s="60" t="s">
        <v>32</v>
      </c>
      <c r="L17" s="60" t="s">
        <v>328</v>
      </c>
      <c r="M17" s="26" t="s">
        <v>324</v>
      </c>
      <c r="N17" s="26" t="s">
        <v>206</v>
      </c>
      <c r="O17" s="26" t="s">
        <v>21</v>
      </c>
      <c r="P17" s="38"/>
      <c r="Q17" s="38"/>
      <c r="R17" s="38"/>
      <c r="S17" s="214" t="s">
        <v>22</v>
      </c>
      <c r="T17" s="10"/>
      <c r="U17" s="11"/>
      <c r="W17" s="154">
        <v>3.0</v>
      </c>
      <c r="X17" s="150" t="s">
        <v>326</v>
      </c>
      <c r="Y17" s="154">
        <f t="shared" si="1"/>
        <v>2</v>
      </c>
      <c r="Z17" s="111"/>
    </row>
    <row r="18" ht="15.75" customHeight="1">
      <c r="A18" s="25" t="s">
        <v>329</v>
      </c>
      <c r="B18" s="25"/>
      <c r="C18" s="25" t="s">
        <v>21</v>
      </c>
      <c r="D18" s="38" t="s">
        <v>330</v>
      </c>
      <c r="E18" s="38" t="s">
        <v>40</v>
      </c>
      <c r="F18" s="38" t="s">
        <v>16</v>
      </c>
      <c r="G18" s="38"/>
      <c r="H18" s="58"/>
      <c r="I18" s="38"/>
      <c r="J18" s="150" t="s">
        <v>320</v>
      </c>
      <c r="K18" s="26" t="s">
        <v>228</v>
      </c>
      <c r="L18" s="26" t="s">
        <v>21</v>
      </c>
      <c r="M18" s="26" t="s">
        <v>331</v>
      </c>
      <c r="N18" s="58" t="s">
        <v>332</v>
      </c>
      <c r="O18" s="26" t="s">
        <v>47</v>
      </c>
      <c r="P18" s="38" t="s">
        <v>205</v>
      </c>
      <c r="Q18" s="26" t="s">
        <v>319</v>
      </c>
      <c r="R18" s="38" t="s">
        <v>21</v>
      </c>
      <c r="S18" s="155"/>
      <c r="T18" s="155"/>
      <c r="U18" s="155"/>
      <c r="W18" s="154">
        <v>5.0</v>
      </c>
      <c r="X18" s="150" t="s">
        <v>205</v>
      </c>
      <c r="Y18" s="154">
        <f t="shared" si="1"/>
        <v>7</v>
      </c>
      <c r="Z18" s="111"/>
    </row>
    <row r="19" ht="15.75" customHeight="1">
      <c r="A19" s="23" t="s">
        <v>333</v>
      </c>
      <c r="B19" s="58" t="s">
        <v>40</v>
      </c>
      <c r="C19" s="23" t="s">
        <v>21</v>
      </c>
      <c r="D19" s="60" t="s">
        <v>329</v>
      </c>
      <c r="E19" s="60" t="s">
        <v>32</v>
      </c>
      <c r="F19" s="60" t="s">
        <v>21</v>
      </c>
      <c r="G19" s="38"/>
      <c r="H19" s="38"/>
      <c r="I19" s="38"/>
      <c r="J19" s="26" t="s">
        <v>316</v>
      </c>
      <c r="K19" s="26" t="s">
        <v>334</v>
      </c>
      <c r="L19" s="26" t="s">
        <v>280</v>
      </c>
      <c r="M19" s="26" t="s">
        <v>335</v>
      </c>
      <c r="N19" s="58" t="s">
        <v>91</v>
      </c>
      <c r="O19" s="26" t="s">
        <v>21</v>
      </c>
      <c r="P19" s="26"/>
      <c r="Q19" s="26"/>
      <c r="R19" s="26"/>
      <c r="S19" s="155"/>
      <c r="T19" s="155"/>
      <c r="U19" s="155"/>
      <c r="W19" s="154">
        <v>4.0</v>
      </c>
      <c r="X19" s="150" t="s">
        <v>317</v>
      </c>
      <c r="Y19" s="154">
        <f t="shared" si="1"/>
        <v>3</v>
      </c>
      <c r="Z19" s="111"/>
    </row>
    <row r="20" ht="15.75" customHeight="1">
      <c r="A20" s="155"/>
      <c r="B20" s="155"/>
      <c r="C20" s="155"/>
      <c r="D20" s="38" t="s">
        <v>336</v>
      </c>
      <c r="E20" s="38" t="s">
        <v>115</v>
      </c>
      <c r="F20" s="38" t="s">
        <v>21</v>
      </c>
      <c r="G20" s="26"/>
      <c r="H20" s="26"/>
      <c r="I20" s="26"/>
      <c r="J20" s="26"/>
      <c r="K20" s="26"/>
      <c r="L20" s="26"/>
      <c r="M20" s="26"/>
      <c r="N20" s="26"/>
      <c r="O20" s="26"/>
      <c r="P20" s="155"/>
      <c r="Q20" s="155"/>
      <c r="R20" s="155"/>
      <c r="S20" s="256"/>
      <c r="T20" s="256"/>
      <c r="U20" s="256"/>
      <c r="W20" s="154">
        <v>6.0</v>
      </c>
      <c r="X20" s="150" t="s">
        <v>330</v>
      </c>
      <c r="Y20" s="154">
        <f t="shared" si="1"/>
        <v>3</v>
      </c>
      <c r="Z20" s="111"/>
    </row>
    <row r="21" ht="15.75" customHeight="1">
      <c r="A21" s="84" t="s">
        <v>118</v>
      </c>
      <c r="B21" s="10"/>
      <c r="C21" s="11"/>
      <c r="D21" s="84" t="s">
        <v>8</v>
      </c>
      <c r="E21" s="10"/>
      <c r="F21" s="11"/>
      <c r="G21" s="84" t="s">
        <v>119</v>
      </c>
      <c r="H21" s="10"/>
      <c r="I21" s="11"/>
      <c r="J21" s="84" t="s">
        <v>10</v>
      </c>
      <c r="K21" s="10"/>
      <c r="L21" s="11"/>
      <c r="M21" s="84" t="s">
        <v>95</v>
      </c>
      <c r="N21" s="10"/>
      <c r="O21" s="11"/>
      <c r="P21" s="84" t="s">
        <v>83</v>
      </c>
      <c r="Q21" s="10"/>
      <c r="R21" s="11"/>
      <c r="S21" s="85" t="s">
        <v>13</v>
      </c>
      <c r="T21" s="10"/>
      <c r="U21" s="11"/>
      <c r="W21" s="154">
        <v>18.0</v>
      </c>
      <c r="X21" s="150" t="s">
        <v>337</v>
      </c>
      <c r="Y21" s="154">
        <f t="shared" si="1"/>
        <v>3</v>
      </c>
      <c r="Z21" s="111"/>
    </row>
    <row r="22" ht="15.75" customHeight="1">
      <c r="A22" s="86">
        <f>S14+1</f>
        <v>46125</v>
      </c>
      <c r="B22" s="10"/>
      <c r="C22" s="11"/>
      <c r="D22" s="86">
        <f>A22+1</f>
        <v>46126</v>
      </c>
      <c r="E22" s="10"/>
      <c r="F22" s="11"/>
      <c r="G22" s="86">
        <f>D22+1</f>
        <v>46127</v>
      </c>
      <c r="H22" s="10"/>
      <c r="I22" s="11"/>
      <c r="J22" s="86">
        <f>G22+1</f>
        <v>46128</v>
      </c>
      <c r="K22" s="10"/>
      <c r="L22" s="11"/>
      <c r="M22" s="86">
        <f>J22+1</f>
        <v>46129</v>
      </c>
      <c r="N22" s="10"/>
      <c r="O22" s="11"/>
      <c r="P22" s="86">
        <f>M22+1</f>
        <v>46130</v>
      </c>
      <c r="Q22" s="10"/>
      <c r="R22" s="11"/>
      <c r="S22" s="122">
        <f>P22+1</f>
        <v>46131</v>
      </c>
      <c r="T22" s="10"/>
      <c r="U22" s="11"/>
      <c r="W22" s="154">
        <v>7.0</v>
      </c>
      <c r="X22" s="150" t="s">
        <v>338</v>
      </c>
      <c r="Y22" s="154">
        <f t="shared" si="1"/>
        <v>2</v>
      </c>
      <c r="Z22" s="111"/>
    </row>
    <row r="23" ht="15.75" customHeight="1">
      <c r="A23" s="22" t="s">
        <v>324</v>
      </c>
      <c r="B23" s="26" t="s">
        <v>327</v>
      </c>
      <c r="C23" s="26" t="s">
        <v>21</v>
      </c>
      <c r="D23" s="38" t="s">
        <v>321</v>
      </c>
      <c r="E23" s="26" t="s">
        <v>18</v>
      </c>
      <c r="F23" s="26" t="s">
        <v>21</v>
      </c>
      <c r="G23" s="38" t="s">
        <v>316</v>
      </c>
      <c r="H23" s="38" t="s">
        <v>20</v>
      </c>
      <c r="I23" s="38" t="s">
        <v>21</v>
      </c>
      <c r="J23" s="57"/>
      <c r="K23" s="57"/>
      <c r="L23" s="57"/>
      <c r="M23" s="23"/>
      <c r="N23" s="58"/>
      <c r="O23" s="23"/>
      <c r="P23" s="57"/>
      <c r="Q23" s="57"/>
      <c r="R23" s="57"/>
      <c r="S23" s="155"/>
      <c r="T23" s="155"/>
      <c r="U23" s="155"/>
      <c r="W23" s="154">
        <v>8.0</v>
      </c>
      <c r="X23" s="150" t="s">
        <v>329</v>
      </c>
      <c r="Y23" s="154">
        <f t="shared" si="1"/>
        <v>5</v>
      </c>
      <c r="Z23" s="111"/>
    </row>
    <row r="24" ht="15.75" customHeight="1">
      <c r="A24" s="38"/>
      <c r="B24" s="26"/>
      <c r="C24" s="38"/>
      <c r="D24" s="60" t="s">
        <v>317</v>
      </c>
      <c r="E24" s="60" t="s">
        <v>28</v>
      </c>
      <c r="F24" s="60" t="s">
        <v>21</v>
      </c>
      <c r="G24" s="60" t="s">
        <v>339</v>
      </c>
      <c r="H24" s="254" t="s">
        <v>32</v>
      </c>
      <c r="I24" s="254" t="s">
        <v>47</v>
      </c>
      <c r="J24" s="150" t="s">
        <v>320</v>
      </c>
      <c r="K24" s="26" t="s">
        <v>18</v>
      </c>
      <c r="L24" s="26" t="s">
        <v>21</v>
      </c>
      <c r="M24" s="23"/>
      <c r="N24" s="58"/>
      <c r="O24" s="23"/>
      <c r="P24" s="57"/>
      <c r="Q24" s="57"/>
      <c r="R24" s="57"/>
      <c r="S24" s="155"/>
      <c r="T24" s="155"/>
      <c r="U24" s="155"/>
      <c r="W24" s="154">
        <v>9.0</v>
      </c>
      <c r="X24" s="150" t="s">
        <v>340</v>
      </c>
      <c r="Y24" s="154">
        <f t="shared" si="1"/>
        <v>3</v>
      </c>
      <c r="Z24" s="111"/>
    </row>
    <row r="25" ht="15.75" customHeight="1">
      <c r="A25" s="26" t="s">
        <v>329</v>
      </c>
      <c r="B25" s="26" t="s">
        <v>67</v>
      </c>
      <c r="C25" s="26" t="s">
        <v>21</v>
      </c>
      <c r="D25" s="26" t="s">
        <v>340</v>
      </c>
      <c r="E25" s="38"/>
      <c r="F25" s="38" t="s">
        <v>21</v>
      </c>
      <c r="G25" s="26" t="s">
        <v>317</v>
      </c>
      <c r="H25" s="26"/>
      <c r="I25" s="26" t="s">
        <v>21</v>
      </c>
      <c r="J25" s="60" t="s">
        <v>340</v>
      </c>
      <c r="K25" s="60" t="s">
        <v>40</v>
      </c>
      <c r="L25" s="60" t="s">
        <v>21</v>
      </c>
      <c r="M25" s="26" t="s">
        <v>337</v>
      </c>
      <c r="N25" s="26" t="s">
        <v>185</v>
      </c>
      <c r="O25" s="26" t="s">
        <v>21</v>
      </c>
      <c r="P25" s="60" t="s">
        <v>330</v>
      </c>
      <c r="Q25" s="60" t="s">
        <v>40</v>
      </c>
      <c r="R25" s="60" t="s">
        <v>16</v>
      </c>
      <c r="S25" s="214" t="s">
        <v>22</v>
      </c>
      <c r="T25" s="10"/>
      <c r="U25" s="11"/>
      <c r="W25" s="154">
        <v>11.0</v>
      </c>
      <c r="X25" s="150" t="s">
        <v>322</v>
      </c>
      <c r="Y25" s="154">
        <f t="shared" si="1"/>
        <v>2</v>
      </c>
      <c r="Z25" s="111"/>
    </row>
    <row r="26" ht="15.75" customHeight="1">
      <c r="A26" s="57"/>
      <c r="B26" s="57"/>
      <c r="C26" s="57"/>
      <c r="D26" s="38" t="s">
        <v>339</v>
      </c>
      <c r="E26" s="109"/>
      <c r="F26" s="109" t="s">
        <v>47</v>
      </c>
      <c r="G26" s="127" t="s">
        <v>318</v>
      </c>
      <c r="H26" s="253" t="s">
        <v>296</v>
      </c>
      <c r="I26" s="127" t="s">
        <v>47</v>
      </c>
      <c r="J26" s="38" t="s">
        <v>338</v>
      </c>
      <c r="K26" s="38" t="s">
        <v>341</v>
      </c>
      <c r="L26" s="38" t="s">
        <v>47</v>
      </c>
      <c r="M26" s="26" t="s">
        <v>342</v>
      </c>
      <c r="N26" s="58" t="s">
        <v>115</v>
      </c>
      <c r="O26" s="26" t="s">
        <v>47</v>
      </c>
      <c r="P26" s="38" t="s">
        <v>205</v>
      </c>
      <c r="Q26" s="38" t="s">
        <v>319</v>
      </c>
      <c r="R26" s="38" t="s">
        <v>21</v>
      </c>
      <c r="S26" s="155"/>
      <c r="T26" s="155"/>
      <c r="U26" s="155"/>
      <c r="W26" s="154">
        <v>12.0</v>
      </c>
      <c r="X26" s="34" t="s">
        <v>318</v>
      </c>
      <c r="Y26" s="154">
        <f t="shared" si="1"/>
        <v>4</v>
      </c>
      <c r="Z26" s="111"/>
    </row>
    <row r="27" ht="15.75" customHeight="1">
      <c r="A27" s="26"/>
      <c r="B27" s="26"/>
      <c r="C27" s="26"/>
      <c r="D27" s="38" t="s">
        <v>336</v>
      </c>
      <c r="E27" s="38" t="s">
        <v>115</v>
      </c>
      <c r="F27" s="38" t="s">
        <v>21</v>
      </c>
      <c r="G27" s="38"/>
      <c r="H27" s="38"/>
      <c r="I27" s="38"/>
      <c r="J27" s="38" t="s">
        <v>316</v>
      </c>
      <c r="K27" s="26" t="s">
        <v>313</v>
      </c>
      <c r="L27" s="26" t="s">
        <v>280</v>
      </c>
      <c r="M27" s="26" t="s">
        <v>316</v>
      </c>
      <c r="N27" s="26"/>
      <c r="O27" s="26" t="s">
        <v>57</v>
      </c>
      <c r="P27" s="26"/>
      <c r="Q27" s="26"/>
      <c r="R27" s="26"/>
      <c r="S27" s="155"/>
      <c r="T27" s="155"/>
      <c r="U27" s="155"/>
      <c r="W27" s="154">
        <v>20.0</v>
      </c>
      <c r="X27" s="150" t="s">
        <v>339</v>
      </c>
      <c r="Y27" s="154">
        <f t="shared" si="1"/>
        <v>3</v>
      </c>
      <c r="Z27" s="111"/>
    </row>
    <row r="28" ht="15.75" customHeight="1">
      <c r="A28" s="57"/>
      <c r="B28" s="57"/>
      <c r="C28" s="57"/>
      <c r="D28" s="57"/>
      <c r="E28" s="57"/>
      <c r="F28" s="57"/>
      <c r="G28" s="26"/>
      <c r="H28" s="26"/>
      <c r="I28" s="26"/>
      <c r="J28" s="26" t="s">
        <v>324</v>
      </c>
      <c r="K28" s="26" t="s">
        <v>343</v>
      </c>
      <c r="L28" s="26" t="s">
        <v>21</v>
      </c>
      <c r="M28" s="26"/>
      <c r="N28" s="26"/>
      <c r="O28" s="26"/>
      <c r="P28" s="155"/>
      <c r="Q28" s="155"/>
      <c r="R28" s="155"/>
      <c r="S28" s="155"/>
      <c r="T28" s="155"/>
      <c r="U28" s="155"/>
      <c r="W28" s="154">
        <v>14.0</v>
      </c>
      <c r="X28" s="150"/>
      <c r="Y28" s="154">
        <f t="shared" si="1"/>
        <v>0</v>
      </c>
      <c r="Z28" s="111"/>
    </row>
    <row r="29" ht="15.75" customHeight="1">
      <c r="A29" s="97" t="s">
        <v>118</v>
      </c>
      <c r="B29" s="10"/>
      <c r="C29" s="11"/>
      <c r="D29" s="97" t="s">
        <v>8</v>
      </c>
      <c r="E29" s="10"/>
      <c r="F29" s="11"/>
      <c r="G29" s="97" t="s">
        <v>119</v>
      </c>
      <c r="H29" s="10"/>
      <c r="I29" s="11"/>
      <c r="J29" s="97" t="s">
        <v>10</v>
      </c>
      <c r="K29" s="10"/>
      <c r="L29" s="11"/>
      <c r="M29" s="97" t="s">
        <v>95</v>
      </c>
      <c r="N29" s="10"/>
      <c r="O29" s="11"/>
      <c r="P29" s="97" t="s">
        <v>83</v>
      </c>
      <c r="Q29" s="10"/>
      <c r="R29" s="11"/>
      <c r="S29" s="167" t="s">
        <v>13</v>
      </c>
      <c r="T29" s="10"/>
      <c r="U29" s="11"/>
      <c r="W29" s="154">
        <v>17.0</v>
      </c>
      <c r="X29" s="150" t="s">
        <v>344</v>
      </c>
      <c r="Y29" s="154">
        <f t="shared" si="1"/>
        <v>0</v>
      </c>
      <c r="Z29" s="111"/>
    </row>
    <row r="30" ht="15.75" customHeight="1">
      <c r="A30" s="99">
        <f>S22+1</f>
        <v>46132</v>
      </c>
      <c r="B30" s="10"/>
      <c r="C30" s="11"/>
      <c r="D30" s="99">
        <f>A30+1</f>
        <v>46133</v>
      </c>
      <c r="E30" s="10"/>
      <c r="F30" s="11"/>
      <c r="G30" s="99">
        <f>D30+1</f>
        <v>46134</v>
      </c>
      <c r="H30" s="10"/>
      <c r="I30" s="11"/>
      <c r="J30" s="99">
        <f>G30+1</f>
        <v>46135</v>
      </c>
      <c r="K30" s="10"/>
      <c r="L30" s="11"/>
      <c r="M30" s="99">
        <f>J30+1</f>
        <v>46136</v>
      </c>
      <c r="N30" s="10"/>
      <c r="O30" s="11"/>
      <c r="P30" s="99">
        <f>M30+1</f>
        <v>46137</v>
      </c>
      <c r="Q30" s="10"/>
      <c r="R30" s="11"/>
      <c r="S30" s="100">
        <f>P30+1</f>
        <v>46138</v>
      </c>
      <c r="T30" s="10"/>
      <c r="U30" s="11"/>
      <c r="W30" s="154">
        <v>23.0</v>
      </c>
      <c r="X30" s="150" t="s">
        <v>335</v>
      </c>
      <c r="Y30" s="154">
        <f t="shared" si="1"/>
        <v>2</v>
      </c>
      <c r="Z30" s="257"/>
    </row>
    <row r="31" ht="15.75" customHeight="1">
      <c r="A31" s="22" t="s">
        <v>324</v>
      </c>
      <c r="B31" s="26" t="s">
        <v>327</v>
      </c>
      <c r="C31" s="26" t="s">
        <v>21</v>
      </c>
      <c r="D31" s="38" t="s">
        <v>321</v>
      </c>
      <c r="E31" s="26" t="s">
        <v>18</v>
      </c>
      <c r="F31" s="26" t="s">
        <v>21</v>
      </c>
      <c r="G31" s="38" t="s">
        <v>316</v>
      </c>
      <c r="H31" s="38" t="s">
        <v>20</v>
      </c>
      <c r="I31" s="38" t="s">
        <v>21</v>
      </c>
      <c r="J31" s="38"/>
      <c r="K31" s="38"/>
      <c r="L31" s="38"/>
      <c r="M31" s="57"/>
      <c r="N31" s="57"/>
      <c r="O31" s="57"/>
      <c r="P31" s="38"/>
      <c r="Q31" s="26"/>
      <c r="R31" s="38"/>
      <c r="S31" s="155"/>
      <c r="T31" s="155"/>
      <c r="U31" s="155"/>
      <c r="W31" s="154">
        <v>19.0</v>
      </c>
      <c r="X31" s="150" t="s">
        <v>342</v>
      </c>
      <c r="Y31" s="154">
        <f t="shared" si="1"/>
        <v>2</v>
      </c>
      <c r="Z31" s="111"/>
    </row>
    <row r="32" ht="15.75" customHeight="1">
      <c r="A32" s="26" t="s">
        <v>325</v>
      </c>
      <c r="B32" s="26" t="s">
        <v>40</v>
      </c>
      <c r="C32" s="26" t="s">
        <v>16</v>
      </c>
      <c r="D32" s="38" t="s">
        <v>330</v>
      </c>
      <c r="E32" s="38"/>
      <c r="F32" s="38" t="s">
        <v>16</v>
      </c>
      <c r="G32" s="38" t="s">
        <v>326</v>
      </c>
      <c r="H32" s="38" t="s">
        <v>32</v>
      </c>
      <c r="I32" s="38" t="s">
        <v>16</v>
      </c>
      <c r="J32" s="26"/>
      <c r="K32" s="26"/>
      <c r="L32" s="26"/>
      <c r="M32" s="26" t="s">
        <v>132</v>
      </c>
      <c r="N32" s="26" t="s">
        <v>43</v>
      </c>
      <c r="O32" s="108" t="s">
        <v>133</v>
      </c>
      <c r="P32" s="26" t="s">
        <v>323</v>
      </c>
      <c r="Q32" s="26" t="s">
        <v>125</v>
      </c>
      <c r="R32" s="26" t="s">
        <v>16</v>
      </c>
      <c r="S32" s="155"/>
      <c r="T32" s="155"/>
      <c r="U32" s="155"/>
      <c r="W32" s="154">
        <v>13.0</v>
      </c>
      <c r="X32" s="258" t="s">
        <v>324</v>
      </c>
      <c r="Y32" s="154">
        <f t="shared" si="1"/>
        <v>8</v>
      </c>
      <c r="Z32" s="111"/>
    </row>
    <row r="33" ht="15.75" customHeight="1">
      <c r="A33" s="38"/>
      <c r="B33" s="57"/>
      <c r="C33" s="57"/>
      <c r="D33" s="38"/>
      <c r="E33" s="26"/>
      <c r="F33" s="38"/>
      <c r="G33" s="127" t="s">
        <v>318</v>
      </c>
      <c r="H33" s="253" t="s">
        <v>296</v>
      </c>
      <c r="I33" s="127" t="s">
        <v>47</v>
      </c>
      <c r="J33" s="150" t="s">
        <v>320</v>
      </c>
      <c r="K33" s="26" t="s">
        <v>91</v>
      </c>
      <c r="L33" s="26" t="s">
        <v>21</v>
      </c>
      <c r="M33" s="26" t="s">
        <v>324</v>
      </c>
      <c r="N33" s="26" t="s">
        <v>206</v>
      </c>
      <c r="O33" s="26" t="s">
        <v>21</v>
      </c>
      <c r="P33" s="38" t="s">
        <v>322</v>
      </c>
      <c r="Q33" s="38" t="s">
        <v>40</v>
      </c>
      <c r="R33" s="38" t="s">
        <v>16</v>
      </c>
      <c r="S33" s="214" t="s">
        <v>22</v>
      </c>
      <c r="T33" s="10"/>
      <c r="U33" s="11"/>
      <c r="W33" s="154">
        <v>10.0</v>
      </c>
      <c r="X33" s="150" t="s">
        <v>336</v>
      </c>
      <c r="Y33" s="154">
        <f t="shared" si="1"/>
        <v>4</v>
      </c>
      <c r="Z33" s="111"/>
    </row>
    <row r="34" ht="15.75" customHeight="1">
      <c r="A34" s="38"/>
      <c r="B34" s="57"/>
      <c r="C34" s="57"/>
      <c r="D34" s="38" t="s">
        <v>336</v>
      </c>
      <c r="E34" s="38" t="s">
        <v>115</v>
      </c>
      <c r="F34" s="38" t="s">
        <v>21</v>
      </c>
      <c r="G34" s="38"/>
      <c r="H34" s="58"/>
      <c r="I34" s="38"/>
      <c r="J34" s="26" t="s">
        <v>316</v>
      </c>
      <c r="K34" s="26" t="s">
        <v>334</v>
      </c>
      <c r="L34" s="26" t="s">
        <v>345</v>
      </c>
      <c r="M34" s="26" t="s">
        <v>331</v>
      </c>
      <c r="N34" s="58" t="s">
        <v>332</v>
      </c>
      <c r="O34" s="26" t="s">
        <v>47</v>
      </c>
      <c r="P34" s="38" t="s">
        <v>205</v>
      </c>
      <c r="Q34" s="26" t="s">
        <v>319</v>
      </c>
      <c r="R34" s="38" t="s">
        <v>21</v>
      </c>
      <c r="S34" s="155"/>
      <c r="T34" s="155"/>
      <c r="U34" s="155"/>
      <c r="W34" s="154">
        <v>15.0</v>
      </c>
      <c r="X34" s="111" t="s">
        <v>321</v>
      </c>
      <c r="Y34" s="154">
        <f t="shared" si="1"/>
        <v>5</v>
      </c>
      <c r="Z34" s="111"/>
    </row>
    <row r="35" ht="15.75" customHeight="1">
      <c r="A35" s="26"/>
      <c r="B35" s="26"/>
      <c r="C35" s="26"/>
      <c r="D35" s="60" t="s">
        <v>316</v>
      </c>
      <c r="E35" s="60" t="s">
        <v>313</v>
      </c>
      <c r="F35" s="60" t="s">
        <v>57</v>
      </c>
      <c r="G35" s="26"/>
      <c r="H35" s="26"/>
      <c r="I35" s="26"/>
      <c r="J35" s="38"/>
      <c r="K35" s="26"/>
      <c r="L35" s="26"/>
      <c r="M35" s="26" t="s">
        <v>335</v>
      </c>
      <c r="N35" s="58" t="s">
        <v>228</v>
      </c>
      <c r="O35" s="26" t="s">
        <v>21</v>
      </c>
      <c r="P35" s="38"/>
      <c r="Q35" s="38"/>
      <c r="R35" s="38"/>
      <c r="S35" s="155"/>
      <c r="T35" s="155"/>
      <c r="U35" s="155"/>
      <c r="W35" s="154">
        <v>16.0</v>
      </c>
      <c r="X35" s="34" t="s">
        <v>331</v>
      </c>
      <c r="Y35" s="154">
        <f t="shared" si="1"/>
        <v>2</v>
      </c>
      <c r="Z35" s="111"/>
    </row>
    <row r="36" ht="15.75" customHeight="1">
      <c r="A36" s="155"/>
      <c r="B36" s="155"/>
      <c r="C36" s="155"/>
      <c r="D36" s="38"/>
      <c r="E36" s="26"/>
      <c r="F36" s="38"/>
      <c r="G36" s="26"/>
      <c r="H36" s="26"/>
      <c r="I36" s="26"/>
      <c r="J36" s="38"/>
      <c r="K36" s="26"/>
      <c r="L36" s="26"/>
      <c r="M36" s="26"/>
      <c r="N36" s="26"/>
      <c r="O36" s="26"/>
      <c r="P36" s="26"/>
      <c r="Q36" s="26"/>
      <c r="R36" s="26"/>
      <c r="S36" s="155"/>
      <c r="T36" s="155"/>
      <c r="U36" s="155"/>
      <c r="W36" s="154">
        <v>22.0</v>
      </c>
      <c r="X36" s="34"/>
      <c r="Y36" s="154"/>
      <c r="Z36" s="34"/>
    </row>
    <row r="37" ht="15.75" customHeight="1">
      <c r="A37" s="84" t="s">
        <v>118</v>
      </c>
      <c r="B37" s="10"/>
      <c r="C37" s="11"/>
      <c r="D37" s="84" t="s">
        <v>8</v>
      </c>
      <c r="E37" s="10"/>
      <c r="F37" s="11"/>
      <c r="G37" s="84" t="s">
        <v>119</v>
      </c>
      <c r="H37" s="10"/>
      <c r="I37" s="11"/>
      <c r="J37" s="84" t="s">
        <v>10</v>
      </c>
      <c r="K37" s="10"/>
      <c r="L37" s="11"/>
      <c r="M37" s="84"/>
      <c r="N37" s="10"/>
      <c r="O37" s="11"/>
      <c r="P37" s="84"/>
      <c r="Q37" s="10"/>
      <c r="R37" s="11"/>
      <c r="S37" s="85"/>
      <c r="T37" s="10"/>
      <c r="U37" s="11"/>
      <c r="W37" s="154">
        <v>24.0</v>
      </c>
      <c r="X37" s="150"/>
      <c r="Y37" s="154">
        <f t="shared" ref="Y37:Y41" si="2">COUNTIF($A$5:$U$52,X37)</f>
        <v>0</v>
      </c>
    </row>
    <row r="38" ht="15.75" customHeight="1">
      <c r="A38" s="86">
        <f>S30+1</f>
        <v>46139</v>
      </c>
      <c r="B38" s="10"/>
      <c r="C38" s="11"/>
      <c r="D38" s="86">
        <f>A38+1</f>
        <v>46140</v>
      </c>
      <c r="E38" s="10"/>
      <c r="F38" s="11"/>
      <c r="G38" s="86">
        <f>D38+1</f>
        <v>46141</v>
      </c>
      <c r="H38" s="10"/>
      <c r="I38" s="11"/>
      <c r="J38" s="86">
        <f>G38+1</f>
        <v>46142</v>
      </c>
      <c r="K38" s="10"/>
      <c r="L38" s="11"/>
      <c r="M38" s="86"/>
      <c r="N38" s="10"/>
      <c r="O38" s="11"/>
      <c r="P38" s="86"/>
      <c r="Q38" s="10"/>
      <c r="R38" s="11"/>
      <c r="S38" s="86"/>
      <c r="T38" s="10"/>
      <c r="U38" s="11"/>
      <c r="W38" s="154">
        <v>25.0</v>
      </c>
      <c r="X38" s="150"/>
      <c r="Y38" s="154">
        <f t="shared" si="2"/>
        <v>0</v>
      </c>
    </row>
    <row r="39" ht="15.75" customHeight="1">
      <c r="G39" s="26"/>
      <c r="H39" s="195"/>
      <c r="I39" s="26"/>
      <c r="J39" s="60" t="s">
        <v>321</v>
      </c>
      <c r="K39" s="60" t="s">
        <v>18</v>
      </c>
      <c r="L39" s="60" t="s">
        <v>21</v>
      </c>
      <c r="M39" s="38"/>
      <c r="N39" s="38"/>
      <c r="O39" s="38"/>
      <c r="P39" s="38"/>
      <c r="Q39" s="38"/>
      <c r="R39" s="38"/>
      <c r="S39" s="155"/>
      <c r="T39" s="155"/>
      <c r="U39" s="155"/>
      <c r="W39" s="154">
        <v>26.0</v>
      </c>
      <c r="X39" s="150"/>
      <c r="Y39" s="154">
        <f t="shared" si="2"/>
        <v>0</v>
      </c>
    </row>
    <row r="40" ht="15.75" customHeight="1">
      <c r="A40" s="22" t="s">
        <v>324</v>
      </c>
      <c r="B40" s="26" t="s">
        <v>327</v>
      </c>
      <c r="C40" s="26" t="s">
        <v>21</v>
      </c>
      <c r="D40" s="38" t="s">
        <v>321</v>
      </c>
      <c r="E40" s="26"/>
      <c r="F40" s="26" t="s">
        <v>21</v>
      </c>
      <c r="G40" s="60" t="s">
        <v>320</v>
      </c>
      <c r="H40" s="60" t="s">
        <v>18</v>
      </c>
      <c r="I40" s="60" t="s">
        <v>21</v>
      </c>
      <c r="J40" s="60" t="s">
        <v>329</v>
      </c>
      <c r="K40" s="60" t="s">
        <v>67</v>
      </c>
      <c r="L40" s="60" t="s">
        <v>21</v>
      </c>
      <c r="M40" s="38"/>
      <c r="N40" s="38"/>
      <c r="O40" s="38"/>
      <c r="P40" s="38"/>
      <c r="Q40" s="38"/>
      <c r="R40" s="38"/>
      <c r="S40" s="155"/>
      <c r="T40" s="155"/>
      <c r="U40" s="155"/>
      <c r="W40" s="154">
        <v>27.0</v>
      </c>
      <c r="X40" s="150"/>
      <c r="Y40" s="154">
        <f t="shared" si="2"/>
        <v>0</v>
      </c>
    </row>
    <row r="41" ht="15.75" customHeight="1">
      <c r="A41" s="26" t="s">
        <v>329</v>
      </c>
      <c r="B41" s="26"/>
      <c r="C41" s="26" t="s">
        <v>21</v>
      </c>
      <c r="D41" s="26" t="s">
        <v>340</v>
      </c>
      <c r="E41" s="38" t="s">
        <v>40</v>
      </c>
      <c r="F41" s="38" t="s">
        <v>21</v>
      </c>
      <c r="G41" s="87" t="s">
        <v>132</v>
      </c>
      <c r="H41" s="87" t="s">
        <v>198</v>
      </c>
      <c r="I41" s="87" t="s">
        <v>16</v>
      </c>
      <c r="J41" s="60" t="s">
        <v>337</v>
      </c>
      <c r="K41" s="60" t="s">
        <v>109</v>
      </c>
      <c r="L41" s="60" t="s">
        <v>21</v>
      </c>
      <c r="M41" s="38"/>
      <c r="N41" s="38"/>
      <c r="O41" s="38"/>
      <c r="P41" s="38"/>
      <c r="Q41" s="38"/>
      <c r="R41" s="38"/>
      <c r="S41" s="155"/>
      <c r="T41" s="155"/>
      <c r="U41" s="155"/>
      <c r="W41" s="154">
        <v>28.0</v>
      </c>
      <c r="X41" s="150"/>
      <c r="Y41" s="154">
        <f t="shared" si="2"/>
        <v>0</v>
      </c>
    </row>
    <row r="42" ht="15.75" customHeight="1">
      <c r="A42" s="26"/>
      <c r="B42" s="26"/>
      <c r="C42" s="26"/>
      <c r="D42" s="38" t="s">
        <v>339</v>
      </c>
      <c r="E42" s="109" t="s">
        <v>32</v>
      </c>
      <c r="F42" s="109" t="s">
        <v>47</v>
      </c>
      <c r="G42" s="26" t="s">
        <v>337</v>
      </c>
      <c r="H42" s="26"/>
      <c r="I42" s="26" t="s">
        <v>21</v>
      </c>
      <c r="J42" s="38" t="s">
        <v>338</v>
      </c>
      <c r="K42" s="38" t="s">
        <v>341</v>
      </c>
      <c r="L42" s="38" t="s">
        <v>47</v>
      </c>
      <c r="M42" s="38"/>
      <c r="N42" s="38"/>
      <c r="O42" s="38"/>
      <c r="P42" s="38"/>
      <c r="Q42" s="38"/>
      <c r="R42" s="38"/>
      <c r="S42" s="155"/>
      <c r="T42" s="155"/>
      <c r="U42" s="155"/>
      <c r="Y42" s="77">
        <f>SUM(Y14:Y41)</f>
        <v>77</v>
      </c>
    </row>
    <row r="43" ht="15.75" customHeight="1">
      <c r="A43" s="38" t="s">
        <v>205</v>
      </c>
      <c r="B43" s="26" t="s">
        <v>109</v>
      </c>
      <c r="C43" s="38" t="s">
        <v>328</v>
      </c>
      <c r="D43" s="38" t="s">
        <v>336</v>
      </c>
      <c r="E43" s="38" t="s">
        <v>115</v>
      </c>
      <c r="F43" s="38" t="s">
        <v>21</v>
      </c>
      <c r="G43" s="26" t="s">
        <v>342</v>
      </c>
      <c r="H43" s="195" t="s">
        <v>115</v>
      </c>
      <c r="I43" s="26" t="s">
        <v>47</v>
      </c>
      <c r="J43" s="26" t="s">
        <v>316</v>
      </c>
      <c r="K43" s="26" t="s">
        <v>313</v>
      </c>
      <c r="L43" s="26" t="s">
        <v>57</v>
      </c>
      <c r="M43" s="38"/>
      <c r="N43" s="38"/>
      <c r="O43" s="38"/>
      <c r="P43" s="38"/>
      <c r="Q43" s="38"/>
      <c r="R43" s="38"/>
      <c r="S43" s="155"/>
      <c r="T43" s="155"/>
      <c r="U43" s="155"/>
    </row>
    <row r="44" ht="15.75" customHeight="1">
      <c r="A44" s="57"/>
      <c r="B44" s="57"/>
      <c r="C44" s="57"/>
      <c r="D44" s="155"/>
      <c r="E44" s="155"/>
      <c r="F44" s="155"/>
      <c r="G44" s="26"/>
      <c r="H44" s="26"/>
      <c r="I44" s="26"/>
      <c r="J44" s="26"/>
      <c r="K44" s="26"/>
      <c r="L44" s="26"/>
      <c r="M44" s="38"/>
      <c r="N44" s="38"/>
      <c r="O44" s="38"/>
      <c r="P44" s="38"/>
      <c r="Q44" s="38"/>
      <c r="R44" s="38"/>
      <c r="S44" s="155"/>
      <c r="T44" s="155"/>
      <c r="U44" s="155"/>
    </row>
    <row r="45" ht="15.75" customHeight="1">
      <c r="A45" s="97"/>
      <c r="B45" s="10"/>
      <c r="C45" s="11"/>
      <c r="D45" s="97"/>
      <c r="E45" s="10"/>
      <c r="F45" s="11"/>
      <c r="G45" s="97"/>
      <c r="H45" s="10"/>
      <c r="I45" s="11"/>
      <c r="J45" s="97"/>
      <c r="K45" s="10"/>
      <c r="L45" s="11"/>
      <c r="M45" s="97"/>
      <c r="N45" s="10"/>
      <c r="O45" s="11"/>
      <c r="P45" s="97"/>
      <c r="Q45" s="10"/>
      <c r="R45" s="11"/>
      <c r="S45" s="98"/>
      <c r="T45" s="10"/>
      <c r="U45" s="11"/>
    </row>
    <row r="46" ht="15.75" customHeight="1">
      <c r="A46" s="99"/>
      <c r="B46" s="10"/>
      <c r="C46" s="11"/>
      <c r="D46" s="99"/>
      <c r="E46" s="10"/>
      <c r="F46" s="11"/>
      <c r="G46" s="99"/>
      <c r="H46" s="10"/>
      <c r="I46" s="11"/>
      <c r="J46" s="99"/>
      <c r="K46" s="10"/>
      <c r="L46" s="11"/>
      <c r="M46" s="99"/>
      <c r="N46" s="10"/>
      <c r="O46" s="11"/>
      <c r="P46" s="99"/>
      <c r="Q46" s="10"/>
      <c r="R46" s="11"/>
      <c r="S46" s="99"/>
      <c r="T46" s="10"/>
      <c r="U46" s="11"/>
    </row>
    <row r="47" ht="15.75" customHeight="1">
      <c r="A47" s="57"/>
      <c r="B47" s="57"/>
      <c r="C47" s="57"/>
      <c r="D47" s="57"/>
      <c r="E47" s="57"/>
      <c r="F47" s="57"/>
      <c r="G47" s="38"/>
      <c r="H47" s="38"/>
      <c r="I47" s="38"/>
      <c r="J47" s="38"/>
      <c r="K47" s="26"/>
      <c r="L47" s="26"/>
      <c r="M47" s="38"/>
      <c r="N47" s="22"/>
      <c r="O47" s="22"/>
      <c r="P47" s="38"/>
      <c r="Q47" s="38"/>
      <c r="R47" s="38"/>
      <c r="S47" s="161"/>
      <c r="T47" s="161"/>
      <c r="U47" s="161"/>
    </row>
    <row r="48" ht="15.75" customHeight="1">
      <c r="A48" s="57"/>
      <c r="B48" s="57"/>
      <c r="C48" s="57"/>
      <c r="D48" s="57"/>
      <c r="E48" s="57"/>
      <c r="F48" s="57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161"/>
      <c r="T48" s="161"/>
      <c r="U48" s="161"/>
    </row>
    <row r="49" ht="15.75" customHeight="1">
      <c r="A49" s="57"/>
      <c r="B49" s="57"/>
      <c r="C49" s="57"/>
      <c r="D49" s="26"/>
      <c r="E49" s="26"/>
      <c r="F49" s="26"/>
      <c r="G49" s="38"/>
      <c r="H49" s="38"/>
      <c r="I49" s="38"/>
      <c r="J49" s="38"/>
      <c r="K49" s="26"/>
      <c r="L49" s="26"/>
      <c r="M49" s="38"/>
      <c r="N49" s="38"/>
      <c r="O49" s="38"/>
      <c r="P49" s="38"/>
      <c r="Q49" s="38"/>
      <c r="R49" s="38"/>
      <c r="S49" s="161"/>
      <c r="T49" s="161"/>
      <c r="U49" s="161"/>
    </row>
    <row r="50" ht="15.75" customHeight="1">
      <c r="A50" s="26"/>
      <c r="B50" s="26"/>
      <c r="C50" s="26"/>
      <c r="D50" s="26"/>
      <c r="E50" s="26"/>
      <c r="F50" s="26"/>
      <c r="G50" s="38"/>
      <c r="H50" s="58"/>
      <c r="I50" s="38"/>
      <c r="J50" s="38"/>
      <c r="K50" s="26"/>
      <c r="L50" s="26"/>
      <c r="M50" s="38"/>
      <c r="N50" s="38"/>
      <c r="O50" s="38"/>
      <c r="P50" s="38"/>
      <c r="Q50" s="38"/>
      <c r="R50" s="38"/>
      <c r="S50" s="161"/>
      <c r="T50" s="161"/>
      <c r="U50" s="161"/>
    </row>
    <row r="51" ht="15.75" customHeight="1">
      <c r="A51" s="26"/>
      <c r="B51" s="58"/>
      <c r="C51" s="26"/>
      <c r="D51" s="38"/>
      <c r="E51" s="38"/>
      <c r="F51" s="38"/>
      <c r="G51" s="23"/>
      <c r="H51" s="58"/>
      <c r="I51" s="23"/>
      <c r="J51" s="38"/>
      <c r="K51" s="38"/>
      <c r="L51" s="38"/>
      <c r="M51" s="23"/>
      <c r="N51" s="38"/>
      <c r="O51" s="23"/>
      <c r="P51" s="38"/>
      <c r="Q51" s="38"/>
      <c r="R51" s="38"/>
      <c r="S51" s="161"/>
      <c r="T51" s="161"/>
      <c r="U51" s="162"/>
    </row>
    <row r="52" ht="15.75" customHeight="1">
      <c r="A52" s="57"/>
      <c r="B52" s="57"/>
      <c r="C52" s="57"/>
      <c r="D52" s="26"/>
      <c r="E52" s="26"/>
      <c r="F52" s="26"/>
      <c r="G52" s="155"/>
      <c r="H52" s="155"/>
      <c r="I52" s="155"/>
      <c r="J52" s="26"/>
      <c r="K52" s="26"/>
      <c r="L52" s="26"/>
      <c r="M52" s="26"/>
      <c r="N52" s="26"/>
      <c r="O52" s="26"/>
      <c r="P52" s="26"/>
      <c r="Q52" s="26"/>
      <c r="R52" s="26"/>
      <c r="S52" s="161"/>
      <c r="T52" s="161"/>
      <c r="U52" s="161"/>
    </row>
    <row r="53" ht="15.75" customHeight="1">
      <c r="A53" s="183"/>
      <c r="B53" s="72"/>
    </row>
    <row r="54" ht="15.75" customHeight="1"/>
    <row r="55" ht="15.75" customHeight="1">
      <c r="A55" s="71" t="s">
        <v>72</v>
      </c>
      <c r="B55" s="72"/>
    </row>
    <row r="56" ht="15.75" customHeight="1">
      <c r="A56" s="73"/>
      <c r="B56" s="26" t="s">
        <v>73</v>
      </c>
      <c r="C56" s="57"/>
      <c r="D56" s="74"/>
    </row>
    <row r="57" ht="15.75" customHeight="1">
      <c r="A57" s="75"/>
      <c r="B57" s="26" t="s">
        <v>74</v>
      </c>
      <c r="C57" s="57"/>
    </row>
    <row r="58" ht="15.75" customHeight="1">
      <c r="A58" s="76"/>
      <c r="B58" s="26" t="s">
        <v>75</v>
      </c>
      <c r="C58" s="57"/>
    </row>
    <row r="59" ht="15.75" customHeight="1">
      <c r="A59" s="78"/>
      <c r="B59" s="26" t="s">
        <v>78</v>
      </c>
      <c r="C59" s="5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Z$42"/>
  <mergeCells count="102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P22:R22"/>
    <mergeCell ref="P29:R29"/>
    <mergeCell ref="S29:U29"/>
    <mergeCell ref="S22:U22"/>
    <mergeCell ref="S25:U25"/>
    <mergeCell ref="A29:C29"/>
    <mergeCell ref="D29:F29"/>
    <mergeCell ref="G29:I29"/>
    <mergeCell ref="J29:L29"/>
    <mergeCell ref="M29:O29"/>
    <mergeCell ref="D30:F30"/>
    <mergeCell ref="G30:I30"/>
    <mergeCell ref="J30:L30"/>
    <mergeCell ref="M30:O30"/>
    <mergeCell ref="P30:R30"/>
    <mergeCell ref="S30:U30"/>
    <mergeCell ref="S33:U33"/>
    <mergeCell ref="A30:C30"/>
    <mergeCell ref="D37:F37"/>
    <mergeCell ref="G37:I37"/>
    <mergeCell ref="J37:L37"/>
    <mergeCell ref="M37:O37"/>
    <mergeCell ref="P37:R37"/>
    <mergeCell ref="S37:U37"/>
    <mergeCell ref="A37:C37"/>
    <mergeCell ref="D38:F38"/>
    <mergeCell ref="G38:I38"/>
    <mergeCell ref="J38:L38"/>
    <mergeCell ref="M38:O38"/>
    <mergeCell ref="P38:R38"/>
    <mergeCell ref="S38:U38"/>
    <mergeCell ref="A38:C38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8:R8"/>
    <mergeCell ref="M9:O9"/>
    <mergeCell ref="S9:U9"/>
    <mergeCell ref="A6:C6"/>
    <mergeCell ref="D6:F6"/>
    <mergeCell ref="G6:I6"/>
    <mergeCell ref="J6:L6"/>
    <mergeCell ref="M6:O6"/>
    <mergeCell ref="P6:R6"/>
    <mergeCell ref="S6:U6"/>
    <mergeCell ref="V6:X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7:U17"/>
    <mergeCell ref="A46:C46"/>
    <mergeCell ref="B53:D53"/>
    <mergeCell ref="B55:D55"/>
    <mergeCell ref="A45:C45"/>
    <mergeCell ref="D46:F46"/>
    <mergeCell ref="G46:I46"/>
    <mergeCell ref="J46:L46"/>
    <mergeCell ref="M46:O46"/>
    <mergeCell ref="P46:R46"/>
    <mergeCell ref="S46:U46"/>
  </mergeCells>
  <printOptions horizontalCentered="1" verticalCentered="1"/>
  <pageMargins bottom="0.0" footer="0.0" header="0.0" left="0.0" right="0.0" top="0.0"/>
  <pageSetup fitToHeight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7.86"/>
    <col customWidth="1" min="4" max="4" width="16.0"/>
    <col customWidth="1" min="5" max="5" width="11.43"/>
    <col customWidth="1" min="6" max="6" width="7.43"/>
    <col customWidth="1" min="7" max="7" width="15.14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14.0"/>
  </cols>
  <sheetData>
    <row r="1" ht="22.5" customHeight="1">
      <c r="A1" s="1" t="s">
        <v>346</v>
      </c>
      <c r="C1" s="2" t="s">
        <v>347</v>
      </c>
      <c r="F1" s="3"/>
      <c r="G1" s="4" t="s">
        <v>2</v>
      </c>
      <c r="Q1" s="3"/>
    </row>
    <row r="2">
      <c r="A2" s="1" t="s">
        <v>3</v>
      </c>
      <c r="C2" s="6" t="s">
        <v>159</v>
      </c>
      <c r="F2" s="3"/>
      <c r="Q2" s="3"/>
    </row>
    <row r="3">
      <c r="A3" s="1" t="s">
        <v>5</v>
      </c>
      <c r="C3" s="2" t="s">
        <v>82</v>
      </c>
      <c r="F3" s="3"/>
      <c r="Q3" s="3"/>
    </row>
    <row r="4">
      <c r="A4" s="1" t="s">
        <v>6</v>
      </c>
      <c r="C4" s="2" t="s">
        <v>82</v>
      </c>
      <c r="F4" s="3"/>
      <c r="G4" s="3"/>
      <c r="H4" s="3"/>
      <c r="I4" s="3"/>
      <c r="J4" s="3"/>
      <c r="K4" s="3"/>
      <c r="L4" s="3"/>
      <c r="M4" s="3"/>
      <c r="N4" s="3"/>
      <c r="O4" s="81"/>
      <c r="P4" s="82"/>
      <c r="Q4" s="83"/>
    </row>
    <row r="5">
      <c r="A5" s="9" t="s">
        <v>7</v>
      </c>
      <c r="B5" s="10"/>
      <c r="C5" s="11"/>
      <c r="D5" s="9" t="s">
        <v>8</v>
      </c>
      <c r="E5" s="10"/>
      <c r="F5" s="11"/>
      <c r="G5" s="84" t="s">
        <v>119</v>
      </c>
      <c r="H5" s="10"/>
      <c r="I5" s="11"/>
      <c r="J5" s="84" t="s">
        <v>10</v>
      </c>
      <c r="K5" s="10"/>
      <c r="L5" s="11"/>
      <c r="M5" s="85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>
      <c r="A6" s="259"/>
      <c r="B6" s="10"/>
      <c r="C6" s="11"/>
      <c r="D6" s="259"/>
      <c r="E6" s="10"/>
      <c r="F6" s="11"/>
      <c r="G6" s="17">
        <v>46113.0</v>
      </c>
      <c r="H6" s="10"/>
      <c r="I6" s="11"/>
      <c r="J6" s="17">
        <v>46114.0</v>
      </c>
      <c r="K6" s="10"/>
      <c r="L6" s="11"/>
      <c r="M6" s="165">
        <v>46115.0</v>
      </c>
      <c r="N6" s="10"/>
      <c r="O6" s="11"/>
      <c r="P6" s="17">
        <v>46116.0</v>
      </c>
      <c r="Q6" s="10"/>
      <c r="R6" s="11"/>
      <c r="S6" s="17">
        <v>46117.0</v>
      </c>
      <c r="T6" s="10"/>
      <c r="U6" s="11"/>
    </row>
    <row r="7">
      <c r="A7" s="260"/>
      <c r="B7" s="260"/>
      <c r="C7" s="260"/>
      <c r="D7" s="260"/>
      <c r="E7" s="260"/>
      <c r="F7" s="260"/>
      <c r="G7" s="260"/>
      <c r="H7" s="260"/>
      <c r="I7" s="260"/>
      <c r="J7" s="38"/>
      <c r="K7" s="38"/>
      <c r="L7" s="38"/>
      <c r="M7" s="260"/>
      <c r="N7" s="260"/>
      <c r="O7" s="260"/>
      <c r="P7" s="260"/>
      <c r="Q7" s="260"/>
      <c r="R7" s="260"/>
      <c r="S7" s="260"/>
      <c r="T7" s="260"/>
      <c r="U7" s="260"/>
    </row>
    <row r="8">
      <c r="A8" s="260"/>
      <c r="B8" s="260"/>
      <c r="C8" s="260"/>
      <c r="D8" s="260"/>
      <c r="E8" s="260"/>
      <c r="F8" s="260"/>
      <c r="G8" s="261" t="s">
        <v>348</v>
      </c>
      <c r="H8" s="25" t="s">
        <v>15</v>
      </c>
      <c r="I8" s="261" t="s">
        <v>21</v>
      </c>
      <c r="J8" s="262" t="s">
        <v>349</v>
      </c>
      <c r="K8" s="125" t="s">
        <v>15</v>
      </c>
      <c r="L8" s="262" t="s">
        <v>350</v>
      </c>
      <c r="M8" s="263"/>
      <c r="N8" s="263"/>
      <c r="O8" s="263"/>
      <c r="P8" s="26" t="s">
        <v>197</v>
      </c>
      <c r="Q8" s="26" t="s">
        <v>125</v>
      </c>
      <c r="R8" s="125" t="s">
        <v>47</v>
      </c>
      <c r="S8" s="263"/>
      <c r="T8" s="263"/>
      <c r="U8" s="263"/>
    </row>
    <row r="9">
      <c r="A9" s="260"/>
      <c r="B9" s="260"/>
      <c r="C9" s="260"/>
      <c r="D9" s="260"/>
      <c r="E9" s="260"/>
      <c r="F9" s="260"/>
      <c r="G9" s="260"/>
      <c r="H9" s="260"/>
      <c r="I9" s="260"/>
      <c r="J9" s="26"/>
      <c r="K9" s="26"/>
      <c r="L9" s="26"/>
      <c r="M9" s="214" t="s">
        <v>22</v>
      </c>
      <c r="N9" s="10"/>
      <c r="O9" s="11"/>
      <c r="P9" s="264" t="s">
        <v>351</v>
      </c>
      <c r="Q9" s="147" t="s">
        <v>352</v>
      </c>
      <c r="R9" s="264" t="s">
        <v>21</v>
      </c>
      <c r="S9" s="214" t="s">
        <v>22</v>
      </c>
      <c r="T9" s="10"/>
      <c r="U9" s="11"/>
      <c r="W9" s="133" t="s">
        <v>24</v>
      </c>
      <c r="X9" s="134" t="s">
        <v>137</v>
      </c>
      <c r="Y9" s="192" t="s">
        <v>26</v>
      </c>
    </row>
    <row r="10">
      <c r="A10" s="260"/>
      <c r="B10" s="260"/>
      <c r="C10" s="260"/>
      <c r="D10" s="260"/>
      <c r="E10" s="260"/>
      <c r="F10" s="260"/>
      <c r="G10" s="264" t="s">
        <v>353</v>
      </c>
      <c r="H10" s="147" t="s">
        <v>35</v>
      </c>
      <c r="I10" s="265" t="s">
        <v>21</v>
      </c>
      <c r="J10" s="260" t="s">
        <v>354</v>
      </c>
      <c r="K10" s="26"/>
      <c r="L10" s="262" t="s">
        <v>350</v>
      </c>
      <c r="M10" s="263"/>
      <c r="N10" s="263"/>
      <c r="O10" s="263"/>
      <c r="P10" s="26" t="s">
        <v>355</v>
      </c>
      <c r="Q10" s="26" t="s">
        <v>356</v>
      </c>
      <c r="R10" s="125" t="s">
        <v>21</v>
      </c>
      <c r="S10" s="263"/>
      <c r="T10" s="263"/>
      <c r="U10" s="263"/>
      <c r="W10" s="140">
        <v>1.0</v>
      </c>
      <c r="X10" s="144"/>
      <c r="Y10" s="266"/>
    </row>
    <row r="11">
      <c r="A11" s="260"/>
      <c r="B11" s="260"/>
      <c r="C11" s="260"/>
      <c r="D11" s="260"/>
      <c r="E11" s="260"/>
      <c r="F11" s="260"/>
      <c r="G11" s="147" t="s">
        <v>357</v>
      </c>
      <c r="H11" s="147" t="s">
        <v>91</v>
      </c>
      <c r="I11" s="267" t="s">
        <v>47</v>
      </c>
      <c r="J11" s="26" t="s">
        <v>358</v>
      </c>
      <c r="K11" s="26" t="s">
        <v>40</v>
      </c>
      <c r="L11" s="26" t="s">
        <v>47</v>
      </c>
      <c r="M11" s="260"/>
      <c r="N11" s="260"/>
      <c r="O11" s="260"/>
      <c r="P11" s="260"/>
      <c r="Q11" s="26"/>
      <c r="R11" s="260"/>
      <c r="S11" s="260"/>
      <c r="T11" s="260"/>
      <c r="U11" s="260"/>
      <c r="W11" s="140">
        <v>2.0</v>
      </c>
      <c r="X11" s="268" t="s">
        <v>354</v>
      </c>
      <c r="Y11" s="269">
        <f t="shared" ref="Y11:Y32" si="1">COUNTIF($A$5:$U$51,X11)</f>
        <v>5</v>
      </c>
    </row>
    <row r="12">
      <c r="A12" s="260"/>
      <c r="B12" s="260"/>
      <c r="C12" s="260"/>
      <c r="D12" s="260"/>
      <c r="E12" s="260"/>
      <c r="F12" s="260"/>
      <c r="G12" s="26"/>
      <c r="H12" s="26"/>
      <c r="I12" s="26"/>
      <c r="J12" s="26"/>
      <c r="K12" s="26"/>
      <c r="L12" s="38"/>
      <c r="M12" s="260"/>
      <c r="N12" s="260"/>
      <c r="O12" s="260"/>
      <c r="P12" s="260"/>
      <c r="Q12" s="260"/>
      <c r="R12" s="260"/>
      <c r="S12" s="260"/>
      <c r="T12" s="260"/>
      <c r="U12" s="260"/>
      <c r="W12" s="140">
        <v>3.0</v>
      </c>
      <c r="X12" s="268" t="s">
        <v>358</v>
      </c>
      <c r="Y12" s="269">
        <f t="shared" si="1"/>
        <v>4</v>
      </c>
    </row>
    <row r="13">
      <c r="A13" s="270" t="s">
        <v>7</v>
      </c>
      <c r="B13" s="10"/>
      <c r="C13" s="11"/>
      <c r="D13" s="270" t="s">
        <v>8</v>
      </c>
      <c r="E13" s="10"/>
      <c r="F13" s="11"/>
      <c r="G13" s="270" t="s">
        <v>9</v>
      </c>
      <c r="H13" s="10"/>
      <c r="I13" s="11"/>
      <c r="J13" s="270" t="s">
        <v>10</v>
      </c>
      <c r="K13" s="10"/>
      <c r="L13" s="11"/>
      <c r="M13" s="270" t="s">
        <v>11</v>
      </c>
      <c r="N13" s="10"/>
      <c r="O13" s="11"/>
      <c r="P13" s="270" t="s">
        <v>12</v>
      </c>
      <c r="Q13" s="10"/>
      <c r="R13" s="11"/>
      <c r="S13" s="271" t="s">
        <v>13</v>
      </c>
      <c r="T13" s="10"/>
      <c r="U13" s="11"/>
      <c r="W13" s="140">
        <v>4.0</v>
      </c>
      <c r="X13" s="272" t="s">
        <v>351</v>
      </c>
      <c r="Y13" s="269">
        <f t="shared" si="1"/>
        <v>5</v>
      </c>
    </row>
    <row r="14">
      <c r="A14" s="273">
        <f>S6+1</f>
        <v>46118</v>
      </c>
      <c r="B14" s="10"/>
      <c r="C14" s="11"/>
      <c r="D14" s="273">
        <f>A14+1</f>
        <v>46119</v>
      </c>
      <c r="E14" s="10"/>
      <c r="F14" s="11"/>
      <c r="G14" s="273">
        <f>D14+1</f>
        <v>46120</v>
      </c>
      <c r="H14" s="10"/>
      <c r="I14" s="11"/>
      <c r="J14" s="273">
        <f>G14+1</f>
        <v>46121</v>
      </c>
      <c r="K14" s="10"/>
      <c r="L14" s="11"/>
      <c r="M14" s="273">
        <f>J14+1</f>
        <v>46122</v>
      </c>
      <c r="N14" s="10"/>
      <c r="O14" s="11"/>
      <c r="P14" s="273">
        <f>M14+1</f>
        <v>46123</v>
      </c>
      <c r="Q14" s="10"/>
      <c r="R14" s="11"/>
      <c r="S14" s="274">
        <f>P14+1</f>
        <v>46124</v>
      </c>
      <c r="T14" s="10"/>
      <c r="U14" s="11"/>
      <c r="W14" s="140">
        <v>5.0</v>
      </c>
      <c r="X14" s="268" t="s">
        <v>359</v>
      </c>
      <c r="Y14" s="269">
        <f t="shared" si="1"/>
        <v>3</v>
      </c>
    </row>
    <row r="15">
      <c r="A15" s="260"/>
      <c r="B15" s="260"/>
      <c r="C15" s="260"/>
      <c r="D15" s="260"/>
      <c r="E15" s="260"/>
      <c r="F15" s="260"/>
      <c r="G15" s="26"/>
      <c r="H15" s="26"/>
      <c r="I15" s="26"/>
      <c r="J15" s="262"/>
      <c r="K15" s="262"/>
      <c r="L15" s="262"/>
      <c r="M15" s="260"/>
      <c r="N15" s="260"/>
      <c r="O15" s="262"/>
      <c r="P15" s="26"/>
      <c r="Q15" s="26"/>
      <c r="R15" s="26"/>
      <c r="S15" s="26"/>
      <c r="T15" s="26"/>
      <c r="U15" s="26"/>
      <c r="W15" s="140">
        <v>6.0</v>
      </c>
      <c r="X15" s="34" t="s">
        <v>360</v>
      </c>
      <c r="Y15" s="269">
        <f t="shared" si="1"/>
        <v>4</v>
      </c>
    </row>
    <row r="16">
      <c r="A16" s="260" t="s">
        <v>178</v>
      </c>
      <c r="B16" s="260" t="s">
        <v>179</v>
      </c>
      <c r="C16" s="260"/>
      <c r="D16" s="260"/>
      <c r="E16" s="260"/>
      <c r="F16" s="260"/>
      <c r="G16" s="26"/>
      <c r="H16" s="26"/>
      <c r="I16" s="26"/>
      <c r="J16" s="275" t="s">
        <v>354</v>
      </c>
      <c r="K16" s="60" t="s">
        <v>125</v>
      </c>
      <c r="L16" s="276" t="s">
        <v>350</v>
      </c>
      <c r="M16" s="275" t="s">
        <v>351</v>
      </c>
      <c r="N16" s="60" t="s">
        <v>352</v>
      </c>
      <c r="O16" s="275" t="s">
        <v>21</v>
      </c>
      <c r="P16" s="60" t="s">
        <v>361</v>
      </c>
      <c r="Q16" s="60" t="s">
        <v>49</v>
      </c>
      <c r="R16" s="60" t="s">
        <v>16</v>
      </c>
      <c r="S16" s="26"/>
      <c r="T16" s="26"/>
      <c r="U16" s="26"/>
      <c r="W16" s="140">
        <v>7.0</v>
      </c>
      <c r="X16" s="34" t="s">
        <v>362</v>
      </c>
      <c r="Y16" s="269">
        <f t="shared" si="1"/>
        <v>4</v>
      </c>
    </row>
    <row r="17">
      <c r="A17" s="26"/>
      <c r="B17" s="260"/>
      <c r="C17" s="260"/>
      <c r="D17" s="26" t="s">
        <v>362</v>
      </c>
      <c r="E17" s="26" t="s">
        <v>18</v>
      </c>
      <c r="F17" s="26" t="s">
        <v>21</v>
      </c>
      <c r="G17" s="147" t="s">
        <v>363</v>
      </c>
      <c r="H17" s="147" t="s">
        <v>35</v>
      </c>
      <c r="I17" s="264" t="s">
        <v>47</v>
      </c>
      <c r="J17" s="26" t="s">
        <v>358</v>
      </c>
      <c r="K17" s="26" t="s">
        <v>40</v>
      </c>
      <c r="L17" s="26" t="s">
        <v>47</v>
      </c>
      <c r="M17" s="26" t="s">
        <v>361</v>
      </c>
      <c r="N17" s="26"/>
      <c r="O17" s="26" t="s">
        <v>16</v>
      </c>
      <c r="P17" s="264" t="s">
        <v>351</v>
      </c>
      <c r="Q17" s="147"/>
      <c r="R17" s="264" t="s">
        <v>21</v>
      </c>
      <c r="S17" s="214" t="s">
        <v>22</v>
      </c>
      <c r="T17" s="10"/>
      <c r="U17" s="11"/>
      <c r="W17" s="140">
        <v>8.0</v>
      </c>
      <c r="X17" s="130" t="s">
        <v>349</v>
      </c>
      <c r="Y17" s="269">
        <f t="shared" si="1"/>
        <v>3</v>
      </c>
    </row>
    <row r="18">
      <c r="A18" s="260"/>
      <c r="B18" s="26"/>
      <c r="C18" s="260"/>
      <c r="D18" s="26" t="s">
        <v>364</v>
      </c>
      <c r="E18" s="26" t="s">
        <v>28</v>
      </c>
      <c r="F18" s="26" t="s">
        <v>16</v>
      </c>
      <c r="G18" s="26"/>
      <c r="H18" s="26"/>
      <c r="I18" s="26"/>
      <c r="J18" s="260"/>
      <c r="K18" s="26"/>
      <c r="L18" s="262"/>
      <c r="M18" s="26" t="s">
        <v>365</v>
      </c>
      <c r="N18" s="26" t="s">
        <v>91</v>
      </c>
      <c r="O18" s="26" t="s">
        <v>21</v>
      </c>
      <c r="P18" s="26" t="s">
        <v>355</v>
      </c>
      <c r="Q18" s="26" t="s">
        <v>356</v>
      </c>
      <c r="R18" s="125" t="s">
        <v>21</v>
      </c>
      <c r="S18" s="26"/>
      <c r="T18" s="26"/>
      <c r="U18" s="26"/>
      <c r="W18" s="140">
        <v>9.0</v>
      </c>
      <c r="X18" s="268" t="s">
        <v>366</v>
      </c>
      <c r="Y18" s="269">
        <f t="shared" si="1"/>
        <v>2</v>
      </c>
    </row>
    <row r="19" ht="15.0" customHeight="1">
      <c r="A19" s="26" t="s">
        <v>367</v>
      </c>
      <c r="B19" s="26" t="s">
        <v>91</v>
      </c>
      <c r="C19" s="26" t="s">
        <v>21</v>
      </c>
      <c r="D19" s="26" t="s">
        <v>368</v>
      </c>
      <c r="E19" s="26" t="s">
        <v>66</v>
      </c>
      <c r="F19" s="26" t="s">
        <v>369</v>
      </c>
      <c r="G19" s="26" t="s">
        <v>370</v>
      </c>
      <c r="H19" s="26" t="s">
        <v>312</v>
      </c>
      <c r="I19" s="26" t="s">
        <v>21</v>
      </c>
      <c r="J19" s="26"/>
      <c r="K19" s="26"/>
      <c r="L19" s="26"/>
      <c r="M19" s="260" t="s">
        <v>348</v>
      </c>
      <c r="N19" s="26" t="s">
        <v>232</v>
      </c>
      <c r="O19" s="260" t="s">
        <v>21</v>
      </c>
      <c r="P19" s="26"/>
      <c r="Q19" s="26"/>
      <c r="R19" s="26"/>
      <c r="S19" s="26"/>
      <c r="T19" s="26"/>
      <c r="U19" s="26"/>
      <c r="W19" s="140">
        <v>10.0</v>
      </c>
      <c r="X19" s="277" t="s">
        <v>371</v>
      </c>
      <c r="Y19" s="269">
        <f t="shared" si="1"/>
        <v>0</v>
      </c>
    </row>
    <row r="20" ht="15.0" customHeight="1">
      <c r="A20" s="26" t="s">
        <v>360</v>
      </c>
      <c r="B20" s="26" t="s">
        <v>232</v>
      </c>
      <c r="C20" s="26" t="s">
        <v>21</v>
      </c>
      <c r="D20" s="26"/>
      <c r="E20" s="26"/>
      <c r="F20" s="26"/>
      <c r="G20" s="26"/>
      <c r="H20" s="26"/>
      <c r="I20" s="26"/>
      <c r="J20" s="260" t="s">
        <v>366</v>
      </c>
      <c r="K20" s="260" t="s">
        <v>91</v>
      </c>
      <c r="L20" s="260" t="s">
        <v>21</v>
      </c>
      <c r="M20" s="260"/>
      <c r="N20" s="260"/>
      <c r="O20" s="262"/>
      <c r="P20" s="26"/>
      <c r="Q20" s="26"/>
      <c r="R20" s="26"/>
      <c r="S20" s="26"/>
      <c r="T20" s="26"/>
      <c r="U20" s="26"/>
      <c r="W20" s="140">
        <v>11.0</v>
      </c>
      <c r="X20" s="149" t="s">
        <v>372</v>
      </c>
      <c r="Y20" s="269">
        <f t="shared" si="1"/>
        <v>2</v>
      </c>
    </row>
    <row r="21" ht="15.75" customHeight="1">
      <c r="A21" s="9" t="s">
        <v>7</v>
      </c>
      <c r="B21" s="10"/>
      <c r="C21" s="11"/>
      <c r="D21" s="9" t="s">
        <v>8</v>
      </c>
      <c r="E21" s="10"/>
      <c r="F21" s="11"/>
      <c r="G21" s="9" t="s">
        <v>9</v>
      </c>
      <c r="H21" s="10"/>
      <c r="I21" s="11"/>
      <c r="J21" s="9" t="s">
        <v>10</v>
      </c>
      <c r="K21" s="10"/>
      <c r="L21" s="11"/>
      <c r="M21" s="9" t="s">
        <v>11</v>
      </c>
      <c r="N21" s="10"/>
      <c r="O21" s="11"/>
      <c r="P21" s="9" t="s">
        <v>12</v>
      </c>
      <c r="Q21" s="10"/>
      <c r="R21" s="11"/>
      <c r="S21" s="12" t="s">
        <v>13</v>
      </c>
      <c r="T21" s="10"/>
      <c r="U21" s="11"/>
      <c r="W21" s="140">
        <v>12.0</v>
      </c>
      <c r="X21" s="272" t="s">
        <v>373</v>
      </c>
      <c r="Y21" s="269">
        <f t="shared" si="1"/>
        <v>0</v>
      </c>
    </row>
    <row r="22" ht="15.75" customHeight="1">
      <c r="A22" s="17">
        <f>S14+1</f>
        <v>46125</v>
      </c>
      <c r="B22" s="10"/>
      <c r="C22" s="11"/>
      <c r="D22" s="17">
        <f>A22+1</f>
        <v>46126</v>
      </c>
      <c r="E22" s="10"/>
      <c r="F22" s="11"/>
      <c r="G22" s="17">
        <f>D22+1</f>
        <v>46127</v>
      </c>
      <c r="H22" s="10"/>
      <c r="I22" s="11"/>
      <c r="J22" s="17">
        <f>G22+1</f>
        <v>46128</v>
      </c>
      <c r="K22" s="10"/>
      <c r="L22" s="11"/>
      <c r="M22" s="17">
        <f>J22+1</f>
        <v>46129</v>
      </c>
      <c r="N22" s="10"/>
      <c r="O22" s="11"/>
      <c r="P22" s="17">
        <f>M22+1</f>
        <v>46130</v>
      </c>
      <c r="Q22" s="10"/>
      <c r="R22" s="11"/>
      <c r="S22" s="165">
        <f>P22+1</f>
        <v>46131</v>
      </c>
      <c r="T22" s="10"/>
      <c r="U22" s="11"/>
      <c r="W22" s="140">
        <v>13.0</v>
      </c>
      <c r="X22" s="149" t="s">
        <v>374</v>
      </c>
      <c r="Y22" s="269">
        <f t="shared" si="1"/>
        <v>2</v>
      </c>
    </row>
    <row r="23" ht="15.75" customHeight="1">
      <c r="A23" s="26"/>
      <c r="B23" s="26"/>
      <c r="C23" s="26"/>
      <c r="D23" s="26"/>
      <c r="E23" s="26"/>
      <c r="F23" s="26"/>
      <c r="G23" s="260"/>
      <c r="H23" s="260"/>
      <c r="I23" s="260"/>
      <c r="J23" s="38"/>
      <c r="K23" s="38"/>
      <c r="L23" s="38"/>
      <c r="M23" s="260" t="s">
        <v>348</v>
      </c>
      <c r="N23" s="26" t="s">
        <v>15</v>
      </c>
      <c r="O23" s="260" t="s">
        <v>21</v>
      </c>
      <c r="P23" s="26"/>
      <c r="Q23" s="26"/>
      <c r="R23" s="26"/>
      <c r="S23" s="26"/>
      <c r="T23" s="26"/>
      <c r="U23" s="26"/>
      <c r="W23" s="140">
        <v>14.0</v>
      </c>
      <c r="X23" s="34" t="s">
        <v>370</v>
      </c>
      <c r="Y23" s="269">
        <f t="shared" si="1"/>
        <v>2</v>
      </c>
    </row>
    <row r="24" ht="15.75" customHeight="1">
      <c r="A24" s="26" t="s">
        <v>178</v>
      </c>
      <c r="B24" s="26" t="s">
        <v>179</v>
      </c>
      <c r="C24" s="26"/>
      <c r="D24" s="26" t="s">
        <v>362</v>
      </c>
      <c r="E24" s="26" t="s">
        <v>18</v>
      </c>
      <c r="F24" s="26" t="s">
        <v>21</v>
      </c>
      <c r="G24" s="260"/>
      <c r="H24" s="260"/>
      <c r="I24" s="260"/>
      <c r="J24" s="262" t="s">
        <v>349</v>
      </c>
      <c r="K24" s="125" t="s">
        <v>15</v>
      </c>
      <c r="L24" s="262" t="s">
        <v>350</v>
      </c>
      <c r="M24" s="26" t="s">
        <v>365</v>
      </c>
      <c r="N24" s="26" t="s">
        <v>125</v>
      </c>
      <c r="O24" s="26" t="s">
        <v>21</v>
      </c>
      <c r="P24" s="260"/>
      <c r="Q24" s="26"/>
      <c r="R24" s="260"/>
      <c r="S24" s="278" t="s">
        <v>22</v>
      </c>
      <c r="T24" s="10"/>
      <c r="U24" s="11"/>
      <c r="W24" s="140">
        <v>15.0</v>
      </c>
      <c r="X24" s="34" t="s">
        <v>375</v>
      </c>
      <c r="Y24" s="269">
        <f t="shared" si="1"/>
        <v>4</v>
      </c>
    </row>
    <row r="25" ht="15.75" customHeight="1">
      <c r="A25" s="26"/>
      <c r="B25" s="26"/>
      <c r="C25" s="26"/>
      <c r="D25" s="26" t="s">
        <v>376</v>
      </c>
      <c r="E25" s="260" t="s">
        <v>28</v>
      </c>
      <c r="F25" s="260" t="s">
        <v>16</v>
      </c>
      <c r="G25" s="260"/>
      <c r="H25" s="260"/>
      <c r="I25" s="260"/>
      <c r="J25" s="26"/>
      <c r="K25" s="26"/>
      <c r="L25" s="26"/>
      <c r="M25" s="26"/>
      <c r="N25" s="26"/>
      <c r="O25" s="26"/>
      <c r="P25" s="260"/>
      <c r="Q25" s="26"/>
      <c r="R25" s="260"/>
      <c r="S25" s="38"/>
      <c r="T25" s="38"/>
      <c r="U25" s="38"/>
      <c r="W25" s="140">
        <v>16.0</v>
      </c>
      <c r="X25" s="34" t="s">
        <v>377</v>
      </c>
      <c r="Y25" s="269">
        <f t="shared" si="1"/>
        <v>4</v>
      </c>
    </row>
    <row r="26" ht="15.75" customHeight="1">
      <c r="A26" s="26"/>
      <c r="B26" s="26"/>
      <c r="C26" s="26"/>
      <c r="D26" s="26"/>
      <c r="E26" s="26"/>
      <c r="F26" s="26"/>
      <c r="G26" s="147" t="s">
        <v>378</v>
      </c>
      <c r="H26" s="264" t="s">
        <v>35</v>
      </c>
      <c r="I26" s="265" t="s">
        <v>47</v>
      </c>
      <c r="J26" s="260" t="s">
        <v>354</v>
      </c>
      <c r="K26" s="26"/>
      <c r="L26" s="262" t="s">
        <v>350</v>
      </c>
      <c r="M26" s="279" t="s">
        <v>359</v>
      </c>
      <c r="N26" s="26" t="s">
        <v>91</v>
      </c>
      <c r="O26" s="26" t="s">
        <v>21</v>
      </c>
      <c r="P26" s="264" t="s">
        <v>351</v>
      </c>
      <c r="Q26" s="147" t="s">
        <v>352</v>
      </c>
      <c r="R26" s="264" t="s">
        <v>21</v>
      </c>
      <c r="S26" s="26"/>
      <c r="T26" s="26"/>
      <c r="U26" s="26"/>
      <c r="W26" s="140">
        <v>17.0</v>
      </c>
      <c r="X26" s="149" t="s">
        <v>374</v>
      </c>
      <c r="Y26" s="269">
        <f t="shared" si="1"/>
        <v>2</v>
      </c>
    </row>
    <row r="27" ht="15.75" customHeight="1">
      <c r="A27" s="26" t="s">
        <v>379</v>
      </c>
      <c r="B27" s="26" t="s">
        <v>91</v>
      </c>
      <c r="C27" s="26" t="s">
        <v>21</v>
      </c>
      <c r="D27" s="264" t="s">
        <v>372</v>
      </c>
      <c r="E27" s="147" t="s">
        <v>35</v>
      </c>
      <c r="F27" s="264" t="s">
        <v>47</v>
      </c>
      <c r="G27" s="264" t="s">
        <v>380</v>
      </c>
      <c r="H27" s="264" t="s">
        <v>91</v>
      </c>
      <c r="I27" s="265" t="s">
        <v>21</v>
      </c>
      <c r="J27" s="26" t="s">
        <v>358</v>
      </c>
      <c r="K27" s="26" t="s">
        <v>40</v>
      </c>
      <c r="L27" s="26" t="s">
        <v>47</v>
      </c>
      <c r="M27" s="26"/>
      <c r="N27" s="26"/>
      <c r="O27" s="26"/>
      <c r="P27" s="260" t="s">
        <v>355</v>
      </c>
      <c r="Q27" s="26" t="s">
        <v>356</v>
      </c>
      <c r="R27" s="262" t="s">
        <v>21</v>
      </c>
      <c r="S27" s="26"/>
      <c r="T27" s="26"/>
      <c r="U27" s="26"/>
      <c r="W27" s="140">
        <v>18.0</v>
      </c>
      <c r="X27" s="34" t="s">
        <v>355</v>
      </c>
      <c r="Y27" s="269">
        <f t="shared" si="1"/>
        <v>6</v>
      </c>
    </row>
    <row r="28" ht="15.75" customHeight="1">
      <c r="A28" s="26" t="s">
        <v>360</v>
      </c>
      <c r="B28" s="26" t="s">
        <v>232</v>
      </c>
      <c r="C28" s="26" t="s">
        <v>21</v>
      </c>
      <c r="D28" s="26" t="s">
        <v>368</v>
      </c>
      <c r="E28" s="26" t="s">
        <v>66</v>
      </c>
      <c r="F28" s="26" t="s">
        <v>369</v>
      </c>
      <c r="G28" s="26"/>
      <c r="H28" s="26"/>
      <c r="I28" s="26"/>
      <c r="J28" s="26"/>
      <c r="K28" s="26"/>
      <c r="L28" s="38"/>
      <c r="M28" s="26"/>
      <c r="N28" s="26"/>
      <c r="O28" s="26"/>
      <c r="P28" s="260"/>
      <c r="Q28" s="26"/>
      <c r="R28" s="260"/>
      <c r="S28" s="26"/>
      <c r="T28" s="26"/>
      <c r="U28" s="26"/>
      <c r="W28" s="140">
        <v>19.0</v>
      </c>
      <c r="X28" s="34" t="s">
        <v>361</v>
      </c>
      <c r="Y28" s="269">
        <f t="shared" si="1"/>
        <v>3</v>
      </c>
    </row>
    <row r="29" ht="15.75" customHeight="1">
      <c r="A29" s="270" t="s">
        <v>7</v>
      </c>
      <c r="B29" s="10"/>
      <c r="C29" s="11"/>
      <c r="D29" s="270" t="s">
        <v>8</v>
      </c>
      <c r="E29" s="10"/>
      <c r="F29" s="11"/>
      <c r="G29" s="270" t="s">
        <v>9</v>
      </c>
      <c r="H29" s="10"/>
      <c r="I29" s="11"/>
      <c r="J29" s="270" t="s">
        <v>10</v>
      </c>
      <c r="K29" s="10"/>
      <c r="L29" s="11"/>
      <c r="M29" s="270" t="s">
        <v>11</v>
      </c>
      <c r="N29" s="10"/>
      <c r="O29" s="11"/>
      <c r="P29" s="270" t="s">
        <v>12</v>
      </c>
      <c r="Q29" s="10"/>
      <c r="R29" s="11"/>
      <c r="S29" s="271" t="s">
        <v>13</v>
      </c>
      <c r="T29" s="10"/>
      <c r="U29" s="11"/>
      <c r="W29" s="140">
        <v>20.0</v>
      </c>
      <c r="X29" s="277" t="s">
        <v>371</v>
      </c>
      <c r="Y29" s="269">
        <f t="shared" si="1"/>
        <v>0</v>
      </c>
    </row>
    <row r="30" ht="15.75" customHeight="1">
      <c r="A30" s="280">
        <f>S22+1</f>
        <v>46132</v>
      </c>
      <c r="B30" s="10"/>
      <c r="C30" s="11"/>
      <c r="D30" s="280">
        <f>A30+1</f>
        <v>46133</v>
      </c>
      <c r="E30" s="10"/>
      <c r="F30" s="11"/>
      <c r="G30" s="280">
        <f>D30+1</f>
        <v>46134</v>
      </c>
      <c r="H30" s="10"/>
      <c r="I30" s="11"/>
      <c r="J30" s="280">
        <f>G30+1</f>
        <v>46135</v>
      </c>
      <c r="K30" s="10"/>
      <c r="L30" s="11"/>
      <c r="M30" s="280">
        <f>J30+1</f>
        <v>46136</v>
      </c>
      <c r="N30" s="10"/>
      <c r="O30" s="11"/>
      <c r="P30" s="280">
        <f>M30+1</f>
        <v>46137</v>
      </c>
      <c r="Q30" s="10"/>
      <c r="R30" s="11"/>
      <c r="S30" s="281">
        <f>P30+1</f>
        <v>46138</v>
      </c>
      <c r="T30" s="10"/>
      <c r="U30" s="11"/>
      <c r="W30" s="140">
        <v>21.0</v>
      </c>
      <c r="X30" s="34" t="s">
        <v>368</v>
      </c>
      <c r="Y30" s="269">
        <f t="shared" si="1"/>
        <v>4</v>
      </c>
    </row>
    <row r="31" ht="15.75" customHeight="1">
      <c r="A31" s="84" t="s">
        <v>89</v>
      </c>
      <c r="B31" s="10"/>
      <c r="C31" s="11"/>
      <c r="D31" s="260"/>
      <c r="E31" s="260"/>
      <c r="F31" s="260"/>
      <c r="G31" s="260"/>
      <c r="H31" s="260"/>
      <c r="I31" s="260"/>
      <c r="J31" s="262"/>
      <c r="K31" s="262"/>
      <c r="L31" s="262"/>
      <c r="M31" s="260"/>
      <c r="N31" s="260"/>
      <c r="O31" s="262"/>
      <c r="P31" s="26"/>
      <c r="Q31" s="26"/>
      <c r="R31" s="26"/>
      <c r="S31" s="26"/>
      <c r="T31" s="26"/>
      <c r="U31" s="26"/>
      <c r="W31" s="140">
        <v>22.0</v>
      </c>
      <c r="X31" s="34" t="s">
        <v>178</v>
      </c>
      <c r="Y31" s="269">
        <f t="shared" si="1"/>
        <v>4</v>
      </c>
    </row>
    <row r="32" ht="15.75" customHeight="1">
      <c r="A32" s="26" t="s">
        <v>178</v>
      </c>
      <c r="B32" s="26" t="s">
        <v>179</v>
      </c>
      <c r="C32" s="26"/>
      <c r="D32" s="260" t="s">
        <v>362</v>
      </c>
      <c r="E32" s="260" t="s">
        <v>18</v>
      </c>
      <c r="F32" s="260" t="s">
        <v>21</v>
      </c>
      <c r="G32" s="26"/>
      <c r="H32" s="26"/>
      <c r="I32" s="26"/>
      <c r="J32" s="275" t="s">
        <v>354</v>
      </c>
      <c r="K32" s="60" t="s">
        <v>125</v>
      </c>
      <c r="L32" s="276" t="s">
        <v>350</v>
      </c>
      <c r="M32" s="26" t="s">
        <v>132</v>
      </c>
      <c r="N32" s="26" t="s">
        <v>43</v>
      </c>
      <c r="O32" s="108" t="s">
        <v>133</v>
      </c>
      <c r="P32" s="282" t="s">
        <v>381</v>
      </c>
      <c r="Q32" s="132" t="s">
        <v>71</v>
      </c>
      <c r="R32" s="263" t="s">
        <v>47</v>
      </c>
      <c r="S32" s="260"/>
      <c r="T32" s="260"/>
      <c r="U32" s="260"/>
      <c r="W32" s="140">
        <v>23.0</v>
      </c>
      <c r="X32" s="144"/>
      <c r="Y32" s="269">
        <f t="shared" si="1"/>
        <v>0</v>
      </c>
    </row>
    <row r="33" ht="15.75" customHeight="1">
      <c r="A33" s="26"/>
      <c r="B33" s="260"/>
      <c r="C33" s="262"/>
      <c r="D33" s="26" t="s">
        <v>382</v>
      </c>
      <c r="E33" s="26" t="s">
        <v>28</v>
      </c>
      <c r="F33" s="26" t="s">
        <v>16</v>
      </c>
      <c r="G33" s="26"/>
      <c r="H33" s="26"/>
      <c r="I33" s="26"/>
      <c r="J33" s="26" t="s">
        <v>358</v>
      </c>
      <c r="K33" s="26" t="s">
        <v>40</v>
      </c>
      <c r="L33" s="26" t="s">
        <v>47</v>
      </c>
      <c r="M33" s="26" t="s">
        <v>361</v>
      </c>
      <c r="N33" s="26" t="s">
        <v>49</v>
      </c>
      <c r="O33" s="26" t="s">
        <v>16</v>
      </c>
      <c r="P33" s="264" t="s">
        <v>351</v>
      </c>
      <c r="Q33" s="147" t="s">
        <v>352</v>
      </c>
      <c r="R33" s="264" t="s">
        <v>21</v>
      </c>
      <c r="S33" s="214" t="s">
        <v>22</v>
      </c>
      <c r="T33" s="10"/>
      <c r="U33" s="11"/>
      <c r="W33" s="140">
        <v>24.0</v>
      </c>
      <c r="X33" s="144"/>
      <c r="Y33" s="266"/>
    </row>
    <row r="34" ht="15.0" customHeight="1">
      <c r="A34" s="260"/>
      <c r="B34" s="26"/>
      <c r="C34" s="260"/>
      <c r="D34" s="282"/>
      <c r="E34" s="132"/>
      <c r="F34" s="282"/>
      <c r="G34" s="147" t="s">
        <v>363</v>
      </c>
      <c r="H34" s="147" t="s">
        <v>35</v>
      </c>
      <c r="I34" s="147" t="s">
        <v>47</v>
      </c>
      <c r="J34" s="260"/>
      <c r="K34" s="26"/>
      <c r="L34" s="262"/>
      <c r="M34" s="26" t="s">
        <v>365</v>
      </c>
      <c r="N34" s="26" t="s">
        <v>91</v>
      </c>
      <c r="O34" s="26" t="s">
        <v>21</v>
      </c>
      <c r="P34" s="26" t="s">
        <v>355</v>
      </c>
      <c r="Q34" s="26" t="s">
        <v>356</v>
      </c>
      <c r="R34" s="125" t="s">
        <v>21</v>
      </c>
      <c r="S34" s="26"/>
      <c r="T34" s="26"/>
      <c r="U34" s="26"/>
      <c r="W34" s="140">
        <v>25.0</v>
      </c>
      <c r="X34" s="144"/>
      <c r="Y34" s="266"/>
    </row>
    <row r="35" ht="15.75" customHeight="1">
      <c r="A35" s="26" t="s">
        <v>383</v>
      </c>
      <c r="B35" s="26" t="s">
        <v>91</v>
      </c>
      <c r="C35" s="26" t="s">
        <v>21</v>
      </c>
      <c r="D35" s="26" t="s">
        <v>368</v>
      </c>
      <c r="E35" s="26" t="s">
        <v>66</v>
      </c>
      <c r="F35" s="26" t="s">
        <v>369</v>
      </c>
      <c r="G35" s="26" t="s">
        <v>370</v>
      </c>
      <c r="H35" s="26" t="s">
        <v>312</v>
      </c>
      <c r="I35" s="26" t="s">
        <v>21</v>
      </c>
      <c r="J35" s="26"/>
      <c r="K35" s="26"/>
      <c r="L35" s="26"/>
      <c r="M35" s="260" t="s">
        <v>348</v>
      </c>
      <c r="N35" s="26" t="s">
        <v>232</v>
      </c>
      <c r="O35" s="260" t="s">
        <v>21</v>
      </c>
      <c r="P35" s="26"/>
      <c r="Q35" s="26"/>
      <c r="R35" s="26"/>
      <c r="S35" s="26"/>
      <c r="T35" s="26"/>
      <c r="U35" s="26"/>
      <c r="W35" s="140">
        <v>26.0</v>
      </c>
      <c r="X35" s="77"/>
      <c r="Y35" s="266"/>
    </row>
    <row r="36" ht="14.25" customHeight="1">
      <c r="A36" s="26" t="s">
        <v>360</v>
      </c>
      <c r="B36" s="26" t="s">
        <v>232</v>
      </c>
      <c r="C36" s="26" t="s">
        <v>21</v>
      </c>
      <c r="D36" s="38"/>
      <c r="E36" s="38"/>
      <c r="F36" s="38"/>
      <c r="G36" s="38"/>
      <c r="H36" s="38"/>
      <c r="I36" s="38"/>
      <c r="J36" s="260" t="s">
        <v>366</v>
      </c>
      <c r="K36" s="260" t="s">
        <v>91</v>
      </c>
      <c r="L36" s="260" t="s">
        <v>21</v>
      </c>
      <c r="M36" s="260"/>
      <c r="N36" s="260"/>
      <c r="O36" s="262"/>
      <c r="P36" s="26"/>
      <c r="Q36" s="26"/>
      <c r="R36" s="26"/>
      <c r="S36" s="26"/>
      <c r="T36" s="26"/>
      <c r="U36" s="26"/>
      <c r="W36" s="140">
        <v>27.0</v>
      </c>
      <c r="X36" s="144"/>
      <c r="Y36" s="266"/>
    </row>
    <row r="37" ht="15.75" customHeight="1">
      <c r="A37" s="9" t="s">
        <v>7</v>
      </c>
      <c r="B37" s="10"/>
      <c r="C37" s="11"/>
      <c r="D37" s="9" t="s">
        <v>8</v>
      </c>
      <c r="E37" s="10"/>
      <c r="F37" s="11"/>
      <c r="G37" s="9" t="s">
        <v>9</v>
      </c>
      <c r="H37" s="10"/>
      <c r="I37" s="11"/>
      <c r="J37" s="9" t="s">
        <v>10</v>
      </c>
      <c r="K37" s="10"/>
      <c r="L37" s="11"/>
      <c r="M37" s="9"/>
      <c r="N37" s="10"/>
      <c r="O37" s="11"/>
      <c r="P37" s="9"/>
      <c r="Q37" s="10"/>
      <c r="R37" s="11"/>
      <c r="S37" s="12"/>
      <c r="T37" s="10"/>
      <c r="U37" s="11"/>
      <c r="W37" s="140">
        <v>28.0</v>
      </c>
      <c r="X37" s="144"/>
      <c r="Y37" s="266"/>
    </row>
    <row r="38" ht="15.75" customHeight="1">
      <c r="A38" s="17">
        <f>S30+1</f>
        <v>46139</v>
      </c>
      <c r="B38" s="10"/>
      <c r="C38" s="11"/>
      <c r="D38" s="17">
        <f>A38+1</f>
        <v>46140</v>
      </c>
      <c r="E38" s="10"/>
      <c r="F38" s="11"/>
      <c r="G38" s="17">
        <f>D38+1</f>
        <v>46141</v>
      </c>
      <c r="H38" s="10"/>
      <c r="I38" s="11"/>
      <c r="J38" s="17">
        <f>G38+1</f>
        <v>46142</v>
      </c>
      <c r="K38" s="10"/>
      <c r="L38" s="11"/>
      <c r="M38" s="17"/>
      <c r="N38" s="10"/>
      <c r="O38" s="11"/>
      <c r="P38" s="17"/>
      <c r="Q38" s="10"/>
      <c r="R38" s="11"/>
      <c r="S38" s="17"/>
      <c r="T38" s="10"/>
      <c r="U38" s="11"/>
      <c r="W38" s="140">
        <v>29.0</v>
      </c>
      <c r="X38" s="144"/>
      <c r="Y38" s="266"/>
    </row>
    <row r="39" ht="15.75" customHeight="1">
      <c r="A39" s="263"/>
      <c r="B39" s="38"/>
      <c r="C39" s="263"/>
      <c r="D39" s="260"/>
      <c r="E39" s="26"/>
      <c r="F39" s="260"/>
      <c r="G39" s="26"/>
      <c r="H39" s="260"/>
      <c r="I39" s="260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W39" s="77"/>
      <c r="X39" s="77"/>
      <c r="Y39" s="266"/>
    </row>
    <row r="40" ht="15.75" customHeight="1">
      <c r="A40" s="26" t="s">
        <v>178</v>
      </c>
      <c r="B40" s="26" t="s">
        <v>179</v>
      </c>
      <c r="C40" s="26"/>
      <c r="D40" s="260" t="s">
        <v>362</v>
      </c>
      <c r="E40" s="260"/>
      <c r="F40" s="260" t="s">
        <v>21</v>
      </c>
      <c r="G40" s="283" t="s">
        <v>349</v>
      </c>
      <c r="H40" s="284" t="s">
        <v>15</v>
      </c>
      <c r="I40" s="283" t="s">
        <v>350</v>
      </c>
      <c r="J40" s="260" t="s">
        <v>348</v>
      </c>
      <c r="K40" s="26" t="s">
        <v>15</v>
      </c>
      <c r="L40" s="260" t="s">
        <v>21</v>
      </c>
      <c r="M40" s="26"/>
      <c r="N40" s="26"/>
      <c r="O40" s="26"/>
      <c r="P40" s="26" t="s">
        <v>0</v>
      </c>
      <c r="Q40" s="26"/>
      <c r="R40" s="26"/>
      <c r="S40" s="278"/>
      <c r="T40" s="10"/>
      <c r="U40" s="11"/>
      <c r="W40" s="77"/>
      <c r="X40" s="77"/>
      <c r="Y40" s="285">
        <f>SUM(Y10:Y38)</f>
        <v>63</v>
      </c>
    </row>
    <row r="41" ht="15.75" customHeight="1">
      <c r="A41" s="26"/>
      <c r="B41" s="26"/>
      <c r="C41" s="26"/>
      <c r="D41" s="26" t="s">
        <v>384</v>
      </c>
      <c r="E41" s="26" t="s">
        <v>28</v>
      </c>
      <c r="F41" s="26" t="s">
        <v>16</v>
      </c>
      <c r="G41" s="261" t="s">
        <v>354</v>
      </c>
      <c r="H41" s="25" t="s">
        <v>125</v>
      </c>
      <c r="I41" s="283" t="s">
        <v>350</v>
      </c>
      <c r="J41" s="26" t="s">
        <v>365</v>
      </c>
      <c r="K41" s="26" t="s">
        <v>125</v>
      </c>
      <c r="L41" s="26" t="s">
        <v>21</v>
      </c>
      <c r="M41" s="26"/>
      <c r="N41" s="26"/>
      <c r="O41" s="26"/>
      <c r="P41" s="26"/>
      <c r="Q41" s="26"/>
      <c r="R41" s="26"/>
      <c r="S41" s="26"/>
      <c r="T41" s="26"/>
      <c r="U41" s="26"/>
    </row>
    <row r="42" ht="15.75" customHeight="1">
      <c r="A42" s="26" t="s">
        <v>385</v>
      </c>
      <c r="B42" s="26" t="s">
        <v>91</v>
      </c>
      <c r="C42" s="26" t="s">
        <v>21</v>
      </c>
      <c r="D42" s="26"/>
      <c r="E42" s="26"/>
      <c r="F42" s="26"/>
      <c r="G42" s="87" t="s">
        <v>132</v>
      </c>
      <c r="H42" s="87" t="s">
        <v>198</v>
      </c>
      <c r="I42" s="87" t="s">
        <v>16</v>
      </c>
      <c r="J42" s="38"/>
      <c r="K42" s="38"/>
      <c r="L42" s="26"/>
      <c r="M42" s="26"/>
      <c r="N42" s="26"/>
      <c r="O42" s="26"/>
      <c r="P42" s="26"/>
      <c r="Q42" s="26"/>
      <c r="R42" s="26"/>
      <c r="S42" s="26"/>
      <c r="T42" s="26"/>
      <c r="U42" s="26"/>
    </row>
    <row r="43" ht="15.75" customHeight="1">
      <c r="A43" s="26" t="s">
        <v>360</v>
      </c>
      <c r="B43" s="26" t="s">
        <v>232</v>
      </c>
      <c r="C43" s="26" t="s">
        <v>21</v>
      </c>
      <c r="D43" s="264" t="s">
        <v>372</v>
      </c>
      <c r="E43" s="147" t="s">
        <v>35</v>
      </c>
      <c r="F43" s="264" t="s">
        <v>47</v>
      </c>
      <c r="G43" s="25" t="s">
        <v>355</v>
      </c>
      <c r="H43" s="25"/>
      <c r="I43" s="284" t="s">
        <v>21</v>
      </c>
      <c r="J43" s="60" t="s">
        <v>355</v>
      </c>
      <c r="K43" s="60" t="s">
        <v>185</v>
      </c>
      <c r="L43" s="182" t="s">
        <v>21</v>
      </c>
      <c r="M43" s="26"/>
      <c r="N43" s="26"/>
      <c r="O43" s="26"/>
      <c r="P43" s="26"/>
      <c r="Q43" s="26"/>
      <c r="R43" s="26"/>
      <c r="S43" s="26"/>
      <c r="T43" s="26"/>
      <c r="U43" s="26"/>
    </row>
    <row r="44" ht="15.75" customHeight="1">
      <c r="A44" s="38"/>
      <c r="B44" s="38"/>
      <c r="C44" s="38"/>
      <c r="D44" s="26" t="s">
        <v>368</v>
      </c>
      <c r="E44" s="26" t="s">
        <v>66</v>
      </c>
      <c r="F44" s="26" t="s">
        <v>369</v>
      </c>
      <c r="G44" s="286" t="s">
        <v>359</v>
      </c>
      <c r="H44" s="60" t="s">
        <v>91</v>
      </c>
      <c r="I44" s="60" t="s">
        <v>21</v>
      </c>
      <c r="J44" s="279" t="s">
        <v>359</v>
      </c>
      <c r="K44" s="26"/>
      <c r="L44" s="26" t="s">
        <v>21</v>
      </c>
      <c r="M44" s="26"/>
      <c r="N44" s="26"/>
      <c r="O44" s="26"/>
      <c r="P44" s="26"/>
      <c r="Q44" s="26"/>
      <c r="R44" s="26"/>
      <c r="S44" s="26"/>
      <c r="T44" s="26"/>
      <c r="U44" s="26"/>
    </row>
    <row r="45" ht="15.75" customHeight="1">
      <c r="A45" s="9"/>
      <c r="B45" s="10"/>
      <c r="C45" s="11"/>
      <c r="D45" s="9"/>
      <c r="E45" s="10"/>
      <c r="F45" s="11"/>
      <c r="G45" s="9"/>
      <c r="H45" s="10"/>
      <c r="I45" s="11"/>
      <c r="J45" s="9"/>
      <c r="K45" s="10"/>
      <c r="L45" s="11"/>
      <c r="M45" s="9"/>
      <c r="N45" s="10"/>
      <c r="O45" s="11"/>
      <c r="P45" s="9"/>
      <c r="Q45" s="10"/>
      <c r="R45" s="11"/>
      <c r="S45" s="287"/>
      <c r="T45" s="10"/>
      <c r="U45" s="11"/>
    </row>
    <row r="46" ht="15.75" customHeight="1">
      <c r="A46" s="17"/>
      <c r="B46" s="10"/>
      <c r="C46" s="11"/>
      <c r="D46" s="17"/>
      <c r="E46" s="10"/>
      <c r="F46" s="11"/>
      <c r="G46" s="17"/>
      <c r="H46" s="10"/>
      <c r="I46" s="11"/>
      <c r="J46" s="17"/>
      <c r="K46" s="10"/>
      <c r="L46" s="11"/>
      <c r="M46" s="17"/>
      <c r="N46" s="10"/>
      <c r="O46" s="11"/>
      <c r="P46" s="17"/>
      <c r="Q46" s="10"/>
      <c r="R46" s="11"/>
      <c r="S46" s="259"/>
      <c r="T46" s="10"/>
      <c r="U46" s="11"/>
    </row>
    <row r="47" ht="15.75" customHeight="1">
      <c r="A47" s="38"/>
      <c r="B47" s="26"/>
      <c r="C47" s="26"/>
      <c r="D47" s="38"/>
      <c r="E47" s="38"/>
      <c r="F47" s="38"/>
      <c r="G47" s="38"/>
      <c r="H47" s="26"/>
      <c r="I47" s="26"/>
      <c r="J47" s="38"/>
      <c r="K47" s="38"/>
      <c r="L47" s="38"/>
      <c r="M47" s="26"/>
      <c r="N47" s="26"/>
      <c r="O47" s="26"/>
      <c r="P47" s="26"/>
      <c r="Q47" s="26"/>
      <c r="R47" s="26"/>
      <c r="S47" s="38"/>
      <c r="T47" s="38"/>
      <c r="U47" s="38"/>
    </row>
    <row r="48" ht="15.75" customHeight="1">
      <c r="A48" s="26"/>
      <c r="B48" s="26"/>
      <c r="C48" s="26"/>
      <c r="D48" s="38"/>
      <c r="E48" s="38"/>
      <c r="F48" s="38"/>
      <c r="G48" s="26"/>
      <c r="H48" s="26"/>
      <c r="I48" s="26"/>
      <c r="J48" s="38"/>
      <c r="K48" s="38"/>
      <c r="L48" s="38"/>
      <c r="M48" s="38"/>
      <c r="N48" s="38"/>
      <c r="O48" s="260"/>
      <c r="P48" s="26"/>
      <c r="Q48" s="26"/>
      <c r="R48" s="26"/>
      <c r="S48" s="26"/>
      <c r="T48" s="26"/>
      <c r="U48" s="26"/>
    </row>
    <row r="49" ht="15.75" customHeight="1">
      <c r="A49" s="260"/>
      <c r="B49" s="260"/>
      <c r="C49" s="260"/>
      <c r="D49" s="38"/>
      <c r="E49" s="38"/>
      <c r="F49" s="38"/>
      <c r="G49" s="260"/>
      <c r="H49" s="260"/>
      <c r="I49" s="260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</row>
    <row r="50" ht="15.75" customHeight="1">
      <c r="A50" s="260"/>
      <c r="B50" s="260"/>
      <c r="C50" s="260"/>
      <c r="D50" s="38"/>
      <c r="E50" s="38"/>
      <c r="F50" s="38"/>
      <c r="G50" s="260"/>
      <c r="H50" s="260"/>
      <c r="I50" s="260"/>
      <c r="J50" s="26"/>
      <c r="K50" s="26"/>
      <c r="L50" s="26"/>
      <c r="M50" s="26"/>
      <c r="N50" s="26"/>
      <c r="O50" s="26"/>
      <c r="P50" s="26"/>
      <c r="Q50" s="26"/>
      <c r="R50" s="26"/>
      <c r="S50" s="38"/>
      <c r="T50" s="38"/>
      <c r="U50" s="38"/>
    </row>
    <row r="51" ht="15.75" customHeight="1">
      <c r="A51" s="26"/>
      <c r="B51" s="26"/>
      <c r="C51" s="38"/>
      <c r="D51" s="38"/>
      <c r="E51" s="38"/>
      <c r="F51" s="38"/>
      <c r="G51" s="26"/>
      <c r="H51" s="26"/>
      <c r="I51" s="38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26"/>
      <c r="K52" s="26"/>
      <c r="L52" s="26"/>
      <c r="M52" s="38"/>
      <c r="N52" s="38"/>
      <c r="O52" s="38"/>
      <c r="P52" s="26"/>
      <c r="Q52" s="26"/>
      <c r="R52" s="26"/>
      <c r="S52" s="38"/>
      <c r="T52" s="38"/>
      <c r="U52" s="38"/>
    </row>
    <row r="53" ht="15.75" customHeight="1"/>
    <row r="54" ht="15.75" customHeight="1"/>
    <row r="55" ht="15.75" customHeight="1">
      <c r="A55" s="71" t="s">
        <v>72</v>
      </c>
      <c r="B55" s="72"/>
    </row>
    <row r="56" ht="15.75" customHeight="1">
      <c r="A56" s="73"/>
      <c r="B56" s="26" t="s">
        <v>73</v>
      </c>
      <c r="C56" s="57"/>
      <c r="D56" s="74"/>
    </row>
    <row r="57" ht="15.75" customHeight="1">
      <c r="A57" s="75"/>
      <c r="B57" s="26" t="s">
        <v>74</v>
      </c>
      <c r="C57" s="57"/>
    </row>
    <row r="58" ht="15.75" customHeight="1">
      <c r="A58" s="76"/>
      <c r="B58" s="26" t="s">
        <v>75</v>
      </c>
      <c r="C58" s="5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P22:R22"/>
    <mergeCell ref="P29:R29"/>
    <mergeCell ref="S29:U29"/>
    <mergeCell ref="S22:U22"/>
    <mergeCell ref="S24:U24"/>
    <mergeCell ref="A29:C29"/>
    <mergeCell ref="D29:F29"/>
    <mergeCell ref="G29:I29"/>
    <mergeCell ref="J29:L29"/>
    <mergeCell ref="M29:O29"/>
    <mergeCell ref="S30:U30"/>
    <mergeCell ref="S33:U33"/>
    <mergeCell ref="A30:C30"/>
    <mergeCell ref="D30:F30"/>
    <mergeCell ref="G30:I30"/>
    <mergeCell ref="J30:L30"/>
    <mergeCell ref="M30:O30"/>
    <mergeCell ref="P30:R30"/>
    <mergeCell ref="A31:C31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S40:U40"/>
    <mergeCell ref="A38:C38"/>
    <mergeCell ref="D45:F45"/>
    <mergeCell ref="G45:I45"/>
    <mergeCell ref="J45:L45"/>
    <mergeCell ref="M45:O45"/>
    <mergeCell ref="P45:R45"/>
    <mergeCell ref="S45:U45"/>
    <mergeCell ref="A45:C45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M9:O9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7:U17"/>
    <mergeCell ref="A46:C46"/>
    <mergeCell ref="B55:D55"/>
  </mergeCells>
  <printOptions/>
  <pageMargins bottom="0.15" footer="0.0" header="0.0" left="0.46" right="0.34" top="0.28"/>
  <pageSetup fitToHeight="0" paperSize="11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8" max="8" width="14.0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4" max="14" width="14.0"/>
    <col customWidth="1" min="15" max="15" width="8.0"/>
    <col customWidth="1" min="16" max="16" width="16.0"/>
    <col customWidth="1" min="17" max="17" width="11.43"/>
    <col customWidth="1" min="18" max="18" width="11.29"/>
    <col customWidth="1" min="19" max="20" width="14.0"/>
    <col customWidth="1" min="21" max="21" width="7.86"/>
    <col customWidth="1" min="22" max="26" width="14.0"/>
  </cols>
  <sheetData>
    <row r="1">
      <c r="A1" s="288" t="s">
        <v>79</v>
      </c>
      <c r="C1" s="289" t="s">
        <v>386</v>
      </c>
      <c r="F1" s="290"/>
      <c r="G1" s="4" t="s">
        <v>2</v>
      </c>
      <c r="Q1" s="290"/>
      <c r="R1" s="290"/>
      <c r="S1" s="290"/>
      <c r="T1" s="290"/>
      <c r="U1" s="290"/>
    </row>
    <row r="2">
      <c r="A2" s="288" t="s">
        <v>3</v>
      </c>
      <c r="C2" s="289" t="s">
        <v>159</v>
      </c>
      <c r="F2" s="290"/>
      <c r="Q2" s="290"/>
      <c r="R2" s="290"/>
      <c r="S2" s="290"/>
      <c r="T2" s="290"/>
      <c r="U2" s="290"/>
    </row>
    <row r="3">
      <c r="A3" s="288" t="s">
        <v>5</v>
      </c>
      <c r="C3" s="291"/>
      <c r="F3" s="290"/>
      <c r="Q3" s="290"/>
      <c r="R3" s="290"/>
      <c r="S3" s="290"/>
      <c r="T3" s="290"/>
      <c r="U3" s="290"/>
    </row>
    <row r="4">
      <c r="A4" s="292" t="s">
        <v>6</v>
      </c>
      <c r="B4" s="80"/>
      <c r="C4" s="293"/>
      <c r="D4" s="80"/>
      <c r="E4" s="80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</row>
    <row r="5">
      <c r="A5" s="84" t="s">
        <v>118</v>
      </c>
      <c r="B5" s="10"/>
      <c r="C5" s="11"/>
      <c r="D5" s="84" t="s">
        <v>8</v>
      </c>
      <c r="E5" s="10"/>
      <c r="F5" s="11"/>
      <c r="G5" s="84" t="s">
        <v>119</v>
      </c>
      <c r="H5" s="10"/>
      <c r="I5" s="11"/>
      <c r="J5" s="84" t="s">
        <v>10</v>
      </c>
      <c r="K5" s="10"/>
      <c r="L5" s="11"/>
      <c r="M5" s="84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>
      <c r="A6" s="86"/>
      <c r="B6" s="10"/>
      <c r="C6" s="11"/>
      <c r="D6" s="86"/>
      <c r="E6" s="10"/>
      <c r="F6" s="11"/>
      <c r="G6" s="17">
        <v>46113.0</v>
      </c>
      <c r="H6" s="10"/>
      <c r="I6" s="11"/>
      <c r="J6" s="17">
        <v>46114.0</v>
      </c>
      <c r="K6" s="10"/>
      <c r="L6" s="11"/>
      <c r="M6" s="17">
        <v>46115.0</v>
      </c>
      <c r="N6" s="10"/>
      <c r="O6" s="11"/>
      <c r="P6" s="17">
        <v>46116.0</v>
      </c>
      <c r="Q6" s="10"/>
      <c r="R6" s="11"/>
      <c r="S6" s="17">
        <v>46117.0</v>
      </c>
      <c r="T6" s="10"/>
      <c r="U6" s="11"/>
    </row>
    <row r="7">
      <c r="A7" s="29"/>
      <c r="B7" s="23"/>
      <c r="C7" s="23"/>
      <c r="D7" s="29"/>
      <c r="E7" s="23"/>
      <c r="F7" s="23"/>
      <c r="G7" s="29"/>
      <c r="H7" s="23"/>
      <c r="I7" s="23"/>
      <c r="J7" s="29"/>
      <c r="K7" s="23"/>
      <c r="L7" s="23"/>
      <c r="M7" s="29"/>
      <c r="N7" s="23"/>
      <c r="O7" s="23"/>
      <c r="P7" s="29"/>
      <c r="Q7" s="23"/>
      <c r="R7" s="23"/>
      <c r="S7" s="29"/>
      <c r="T7" s="23"/>
      <c r="U7" s="23"/>
    </row>
    <row r="8">
      <c r="A8" s="29"/>
      <c r="B8" s="23"/>
      <c r="C8" s="23"/>
      <c r="D8" s="29"/>
      <c r="E8" s="23"/>
      <c r="F8" s="23"/>
      <c r="G8" s="29"/>
      <c r="H8" s="23"/>
      <c r="I8" s="23"/>
      <c r="J8" s="29"/>
      <c r="K8" s="23"/>
      <c r="L8" s="23"/>
      <c r="M8" s="29"/>
      <c r="N8" s="23"/>
      <c r="O8" s="23"/>
      <c r="P8" s="29"/>
      <c r="Q8" s="23"/>
      <c r="R8" s="23"/>
      <c r="S8" s="29"/>
      <c r="T8" s="23"/>
      <c r="U8" s="23"/>
    </row>
    <row r="9">
      <c r="A9" s="26"/>
      <c r="B9" s="26"/>
      <c r="C9" s="26"/>
      <c r="D9" s="26"/>
      <c r="E9" s="26"/>
      <c r="F9" s="26"/>
      <c r="G9" s="29" t="s">
        <v>387</v>
      </c>
      <c r="H9" s="23" t="s">
        <v>388</v>
      </c>
      <c r="I9" s="23" t="s">
        <v>389</v>
      </c>
      <c r="J9" s="29" t="s">
        <v>387</v>
      </c>
      <c r="K9" s="23" t="s">
        <v>388</v>
      </c>
      <c r="L9" s="23" t="s">
        <v>389</v>
      </c>
      <c r="M9" s="29" t="s">
        <v>390</v>
      </c>
      <c r="N9" s="23" t="s">
        <v>68</v>
      </c>
      <c r="O9" s="23" t="s">
        <v>391</v>
      </c>
      <c r="P9" s="38" t="s">
        <v>205</v>
      </c>
      <c r="Q9" s="26" t="s">
        <v>319</v>
      </c>
      <c r="R9" s="38" t="s">
        <v>21</v>
      </c>
      <c r="S9" s="214" t="s">
        <v>22</v>
      </c>
      <c r="T9" s="10"/>
      <c r="U9" s="11"/>
    </row>
    <row r="10">
      <c r="A10" s="29"/>
      <c r="B10" s="23"/>
      <c r="C10" s="23"/>
      <c r="D10" s="29"/>
      <c r="E10" s="23"/>
      <c r="F10" s="23"/>
      <c r="G10" s="29"/>
      <c r="H10" s="23"/>
      <c r="I10" s="23"/>
      <c r="J10" s="29"/>
      <c r="K10" s="23"/>
      <c r="L10" s="23"/>
      <c r="M10" s="29"/>
      <c r="N10" s="23"/>
      <c r="O10" s="23"/>
      <c r="P10" s="29"/>
      <c r="Q10" s="23"/>
      <c r="R10" s="23"/>
      <c r="S10" s="29"/>
      <c r="T10" s="23"/>
      <c r="U10" s="23"/>
    </row>
    <row r="11">
      <c r="A11" s="29"/>
      <c r="B11" s="23"/>
      <c r="C11" s="23"/>
      <c r="D11" s="29"/>
      <c r="E11" s="23"/>
      <c r="F11" s="23"/>
      <c r="G11" s="29"/>
      <c r="H11" s="23"/>
      <c r="I11" s="23"/>
      <c r="J11" s="29"/>
      <c r="K11" s="23"/>
      <c r="L11" s="23"/>
      <c r="M11" s="29"/>
      <c r="N11" s="23"/>
      <c r="O11" s="23"/>
      <c r="P11" s="29"/>
      <c r="Q11" s="23"/>
      <c r="R11" s="23"/>
      <c r="S11" s="29"/>
      <c r="T11" s="23"/>
      <c r="U11" s="23"/>
    </row>
    <row r="12">
      <c r="A12" s="44"/>
      <c r="B12" s="36"/>
      <c r="C12" s="36"/>
      <c r="D12" s="44"/>
      <c r="E12" s="36"/>
      <c r="F12" s="36"/>
      <c r="G12" s="29"/>
      <c r="H12" s="23"/>
      <c r="I12" s="23"/>
      <c r="J12" s="44"/>
      <c r="K12" s="36"/>
      <c r="L12" s="36"/>
      <c r="M12" s="44"/>
      <c r="N12" s="36"/>
      <c r="O12" s="36"/>
      <c r="P12" s="44"/>
      <c r="Q12" s="36"/>
      <c r="R12" s="36"/>
      <c r="S12" s="44"/>
      <c r="T12" s="36"/>
      <c r="U12" s="36"/>
    </row>
    <row r="13">
      <c r="A13" s="39" t="s">
        <v>7</v>
      </c>
      <c r="B13" s="15"/>
      <c r="C13" s="16"/>
      <c r="D13" s="40" t="s">
        <v>8</v>
      </c>
      <c r="E13" s="15"/>
      <c r="F13" s="16"/>
      <c r="G13" s="40" t="s">
        <v>9</v>
      </c>
      <c r="H13" s="15"/>
      <c r="I13" s="16"/>
      <c r="J13" s="40" t="s">
        <v>10</v>
      </c>
      <c r="K13" s="15"/>
      <c r="L13" s="16"/>
      <c r="M13" s="40" t="s">
        <v>11</v>
      </c>
      <c r="N13" s="15"/>
      <c r="O13" s="16"/>
      <c r="P13" s="40" t="s">
        <v>12</v>
      </c>
      <c r="Q13" s="15"/>
      <c r="R13" s="16"/>
      <c r="S13" s="41" t="s">
        <v>13</v>
      </c>
      <c r="T13" s="15"/>
      <c r="U13" s="16"/>
    </row>
    <row r="14">
      <c r="A14" s="42">
        <f>S6+1</f>
        <v>46118</v>
      </c>
      <c r="B14" s="15"/>
      <c r="C14" s="16"/>
      <c r="D14" s="295">
        <f>A14+1</f>
        <v>46119</v>
      </c>
      <c r="E14" s="15"/>
      <c r="F14" s="16"/>
      <c r="G14" s="295">
        <f>D14+1</f>
        <v>46120</v>
      </c>
      <c r="H14" s="15"/>
      <c r="I14" s="16"/>
      <c r="J14" s="295">
        <f>G14+1</f>
        <v>46121</v>
      </c>
      <c r="K14" s="15"/>
      <c r="L14" s="16"/>
      <c r="M14" s="295">
        <f>J14+1</f>
        <v>46122</v>
      </c>
      <c r="N14" s="15"/>
      <c r="O14" s="16"/>
      <c r="P14" s="295">
        <f>M14+1</f>
        <v>46123</v>
      </c>
      <c r="Q14" s="15"/>
      <c r="R14" s="16"/>
      <c r="S14" s="296">
        <f>P14+1</f>
        <v>46124</v>
      </c>
      <c r="T14" s="15"/>
      <c r="U14" s="16"/>
    </row>
    <row r="15">
      <c r="A15" s="29"/>
      <c r="B15" s="23"/>
      <c r="C15" s="23"/>
      <c r="D15" s="29"/>
      <c r="E15" s="23"/>
      <c r="F15" s="23"/>
      <c r="G15" s="29"/>
      <c r="H15" s="23"/>
      <c r="I15" s="23"/>
      <c r="J15" s="29"/>
      <c r="K15" s="23"/>
      <c r="L15" s="23"/>
      <c r="M15" s="29"/>
      <c r="N15" s="23"/>
      <c r="O15" s="23"/>
      <c r="P15" s="29"/>
      <c r="Q15" s="23"/>
      <c r="R15" s="23"/>
      <c r="S15" s="29"/>
      <c r="T15" s="23"/>
      <c r="U15" s="23"/>
    </row>
    <row r="16">
      <c r="A16" s="29"/>
      <c r="B16" s="23"/>
      <c r="C16" s="23"/>
      <c r="D16" s="29"/>
      <c r="E16" s="23"/>
      <c r="F16" s="23"/>
      <c r="G16" s="29"/>
      <c r="H16" s="23"/>
      <c r="I16" s="23"/>
      <c r="J16" s="29"/>
      <c r="K16" s="23"/>
      <c r="L16" s="23"/>
      <c r="M16" s="29"/>
      <c r="N16" s="23"/>
      <c r="O16" s="23"/>
      <c r="P16" s="282" t="s">
        <v>381</v>
      </c>
      <c r="Q16" s="132" t="s">
        <v>134</v>
      </c>
      <c r="R16" s="38" t="s">
        <v>392</v>
      </c>
      <c r="S16" s="29"/>
      <c r="T16" s="23"/>
      <c r="U16" s="23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9" t="s">
        <v>390</v>
      </c>
      <c r="K17" s="23" t="s">
        <v>393</v>
      </c>
      <c r="L17" s="23" t="s">
        <v>391</v>
      </c>
      <c r="M17" s="26"/>
      <c r="N17" s="26"/>
      <c r="O17" s="26"/>
      <c r="P17" s="44"/>
      <c r="Q17" s="36"/>
      <c r="R17" s="36"/>
      <c r="S17" s="214" t="s">
        <v>22</v>
      </c>
      <c r="T17" s="10"/>
      <c r="U17" s="11"/>
    </row>
    <row r="18">
      <c r="A18" s="29"/>
      <c r="B18" s="23"/>
      <c r="C18" s="23"/>
      <c r="D18" s="26" t="s">
        <v>394</v>
      </c>
      <c r="E18" s="26" t="s">
        <v>114</v>
      </c>
      <c r="F18" s="26" t="s">
        <v>47</v>
      </c>
      <c r="G18" s="29"/>
      <c r="H18" s="23"/>
      <c r="I18" s="23"/>
      <c r="J18" s="29"/>
      <c r="K18" s="23"/>
      <c r="L18" s="23"/>
      <c r="M18" s="29"/>
      <c r="N18" s="23"/>
      <c r="O18" s="23"/>
      <c r="P18" s="29"/>
      <c r="Q18" s="23"/>
      <c r="R18" s="23"/>
      <c r="S18" s="29"/>
      <c r="T18" s="23"/>
      <c r="U18" s="23"/>
    </row>
    <row r="19">
      <c r="A19" s="29"/>
      <c r="B19" s="23"/>
      <c r="C19" s="23"/>
      <c r="D19" s="26" t="s">
        <v>395</v>
      </c>
      <c r="E19" s="26" t="s">
        <v>396</v>
      </c>
      <c r="F19" s="26" t="s">
        <v>47</v>
      </c>
      <c r="G19" s="29"/>
      <c r="H19" s="23"/>
      <c r="I19" s="23"/>
      <c r="J19" s="29"/>
      <c r="K19" s="23"/>
      <c r="L19" s="23"/>
      <c r="M19" s="29"/>
      <c r="N19" s="23"/>
      <c r="O19" s="23"/>
      <c r="P19" s="29"/>
      <c r="Q19" s="23"/>
      <c r="R19" s="23"/>
      <c r="S19" s="29"/>
      <c r="T19" s="23"/>
      <c r="U19" s="23"/>
    </row>
    <row r="20">
      <c r="A20" s="44"/>
      <c r="B20" s="36"/>
      <c r="C20" s="36"/>
      <c r="D20" s="44"/>
      <c r="E20" s="36"/>
      <c r="F20" s="36"/>
      <c r="G20" s="44"/>
      <c r="H20" s="36"/>
      <c r="I20" s="36"/>
      <c r="J20" s="44"/>
      <c r="K20" s="36"/>
      <c r="L20" s="36"/>
      <c r="M20" s="44"/>
      <c r="N20" s="36"/>
      <c r="O20" s="36"/>
      <c r="P20" s="44"/>
      <c r="Q20" s="36"/>
      <c r="R20" s="36"/>
      <c r="S20" s="44"/>
      <c r="T20" s="36"/>
      <c r="U20" s="36"/>
    </row>
    <row r="21" ht="15.75" customHeight="1">
      <c r="A21" s="51" t="s">
        <v>7</v>
      </c>
      <c r="B21" s="15"/>
      <c r="C21" s="16"/>
      <c r="D21" s="52" t="s">
        <v>8</v>
      </c>
      <c r="E21" s="15"/>
      <c r="F21" s="16"/>
      <c r="G21" s="52" t="s">
        <v>9</v>
      </c>
      <c r="H21" s="15"/>
      <c r="I21" s="16"/>
      <c r="J21" s="52" t="s">
        <v>10</v>
      </c>
      <c r="K21" s="15"/>
      <c r="L21" s="16"/>
      <c r="M21" s="52" t="s">
        <v>11</v>
      </c>
      <c r="N21" s="15"/>
      <c r="O21" s="16"/>
      <c r="P21" s="52" t="s">
        <v>12</v>
      </c>
      <c r="Q21" s="15"/>
      <c r="R21" s="16"/>
      <c r="S21" s="53" t="s">
        <v>13</v>
      </c>
      <c r="T21" s="15"/>
      <c r="U21" s="16"/>
    </row>
    <row r="22" ht="15.75" customHeight="1">
      <c r="A22" s="54">
        <f>S14+1</f>
        <v>46125</v>
      </c>
      <c r="B22" s="15"/>
      <c r="C22" s="16"/>
      <c r="D22" s="55">
        <f>A22+1</f>
        <v>46126</v>
      </c>
      <c r="E22" s="15"/>
      <c r="F22" s="16"/>
      <c r="G22" s="55">
        <f>D22+1</f>
        <v>46127</v>
      </c>
      <c r="H22" s="15"/>
      <c r="I22" s="16"/>
      <c r="J22" s="55">
        <f>G22+1</f>
        <v>46128</v>
      </c>
      <c r="K22" s="15"/>
      <c r="L22" s="16"/>
      <c r="M22" s="55">
        <f>J22+1</f>
        <v>46129</v>
      </c>
      <c r="N22" s="15"/>
      <c r="O22" s="16"/>
      <c r="P22" s="55">
        <f>M22+1</f>
        <v>46130</v>
      </c>
      <c r="Q22" s="15"/>
      <c r="R22" s="16"/>
      <c r="S22" s="18">
        <f>P22+1</f>
        <v>46131</v>
      </c>
      <c r="T22" s="15"/>
      <c r="U22" s="16"/>
    </row>
    <row r="23" ht="15.75" customHeight="1">
      <c r="A23" s="29"/>
      <c r="B23" s="23"/>
      <c r="C23" s="23"/>
      <c r="D23" s="29"/>
      <c r="E23" s="23"/>
      <c r="F23" s="23"/>
      <c r="G23" s="29"/>
      <c r="H23" s="23"/>
      <c r="I23" s="23"/>
      <c r="J23" s="29"/>
      <c r="K23" s="23"/>
      <c r="L23" s="23"/>
      <c r="M23" s="29"/>
      <c r="N23" s="23"/>
      <c r="O23" s="23"/>
      <c r="P23" s="29"/>
      <c r="Q23" s="23"/>
      <c r="R23" s="23"/>
      <c r="S23" s="29"/>
      <c r="T23" s="23"/>
      <c r="U23" s="23"/>
    </row>
    <row r="24" ht="15.75" customHeight="1">
      <c r="A24" s="29"/>
      <c r="B24" s="23"/>
      <c r="C24" s="23"/>
      <c r="D24" s="29"/>
      <c r="E24" s="23"/>
      <c r="F24" s="23"/>
      <c r="G24" s="29"/>
      <c r="H24" s="23"/>
      <c r="I24" s="23"/>
      <c r="J24" s="29"/>
      <c r="K24" s="23"/>
      <c r="L24" s="23"/>
      <c r="M24" s="29"/>
      <c r="N24" s="23"/>
      <c r="O24" s="23"/>
      <c r="P24" s="29"/>
      <c r="Q24" s="23"/>
      <c r="R24" s="23"/>
      <c r="S24" s="29"/>
      <c r="T24" s="23"/>
      <c r="U24" s="23"/>
    </row>
    <row r="25" ht="15.75" customHeight="1">
      <c r="A25" s="26"/>
      <c r="B25" s="26"/>
      <c r="C25" s="26"/>
      <c r="D25" s="26" t="s">
        <v>238</v>
      </c>
      <c r="E25" s="26" t="s">
        <v>20</v>
      </c>
      <c r="F25" s="26" t="s">
        <v>21</v>
      </c>
      <c r="G25" s="26"/>
      <c r="H25" s="26"/>
      <c r="I25" s="26"/>
      <c r="J25" s="26"/>
      <c r="K25" s="26"/>
      <c r="L25" s="26"/>
      <c r="M25" s="26"/>
      <c r="N25" s="26"/>
      <c r="O25" s="26"/>
      <c r="P25" s="38" t="s">
        <v>205</v>
      </c>
      <c r="Q25" s="26" t="s">
        <v>319</v>
      </c>
      <c r="R25" s="38" t="s">
        <v>21</v>
      </c>
      <c r="S25" s="26"/>
      <c r="T25" s="26"/>
      <c r="U25" s="26"/>
    </row>
    <row r="26" ht="15.75" customHeight="1">
      <c r="A26" s="29"/>
      <c r="B26" s="23"/>
      <c r="C26" s="23"/>
      <c r="D26" s="29"/>
      <c r="E26" s="23"/>
      <c r="F26" s="23"/>
      <c r="G26" s="29"/>
      <c r="H26" s="23"/>
      <c r="I26" s="23"/>
      <c r="J26" s="29"/>
      <c r="K26" s="23"/>
      <c r="L26" s="23"/>
      <c r="M26" s="29"/>
      <c r="N26" s="23"/>
      <c r="O26" s="23"/>
      <c r="P26" s="29"/>
      <c r="Q26" s="23"/>
      <c r="R26" s="23"/>
      <c r="S26" s="29"/>
      <c r="T26" s="23"/>
      <c r="U26" s="23"/>
    </row>
    <row r="27" ht="15.75" customHeight="1">
      <c r="A27" s="29"/>
      <c r="B27" s="23"/>
      <c r="C27" s="23"/>
      <c r="D27" s="29"/>
      <c r="E27" s="23"/>
      <c r="F27" s="23"/>
      <c r="G27" s="29"/>
      <c r="H27" s="23"/>
      <c r="I27" s="23"/>
      <c r="J27" s="29"/>
      <c r="K27" s="23"/>
      <c r="L27" s="23"/>
      <c r="M27" s="29"/>
      <c r="N27" s="23"/>
      <c r="O27" s="23"/>
      <c r="P27" s="29"/>
      <c r="Q27" s="23"/>
      <c r="R27" s="23"/>
      <c r="S27" s="29"/>
      <c r="T27" s="23"/>
      <c r="U27" s="23"/>
    </row>
    <row r="28" ht="15.75" customHeight="1">
      <c r="A28" s="44"/>
      <c r="B28" s="36"/>
      <c r="C28" s="36"/>
      <c r="D28" s="44"/>
      <c r="E28" s="36"/>
      <c r="F28" s="36"/>
      <c r="G28" s="44"/>
      <c r="H28" s="36"/>
      <c r="I28" s="36"/>
      <c r="J28" s="44"/>
      <c r="K28" s="36"/>
      <c r="L28" s="36"/>
      <c r="M28" s="44"/>
      <c r="N28" s="36"/>
      <c r="O28" s="36"/>
      <c r="P28" s="44"/>
      <c r="Q28" s="36"/>
      <c r="R28" s="36"/>
      <c r="S28" s="44"/>
      <c r="T28" s="36"/>
      <c r="U28" s="36"/>
    </row>
    <row r="29" ht="15.75" customHeight="1">
      <c r="A29" s="39" t="s">
        <v>7</v>
      </c>
      <c r="B29" s="15"/>
      <c r="C29" s="16"/>
      <c r="D29" s="40" t="s">
        <v>8</v>
      </c>
      <c r="E29" s="15"/>
      <c r="F29" s="16"/>
      <c r="G29" s="40" t="s">
        <v>9</v>
      </c>
      <c r="H29" s="15"/>
      <c r="I29" s="16"/>
      <c r="J29" s="40" t="s">
        <v>10</v>
      </c>
      <c r="K29" s="15"/>
      <c r="L29" s="16"/>
      <c r="M29" s="40" t="s">
        <v>11</v>
      </c>
      <c r="N29" s="15"/>
      <c r="O29" s="16"/>
      <c r="P29" s="40" t="s">
        <v>12</v>
      </c>
      <c r="Q29" s="15"/>
      <c r="R29" s="16"/>
      <c r="S29" s="41" t="s">
        <v>13</v>
      </c>
      <c r="T29" s="15"/>
      <c r="U29" s="16"/>
    </row>
    <row r="30" ht="15.75" customHeight="1">
      <c r="A30" s="62">
        <f>S22+1</f>
        <v>46132</v>
      </c>
      <c r="B30" s="15"/>
      <c r="C30" s="16"/>
      <c r="D30" s="63">
        <f>A30+1</f>
        <v>46133</v>
      </c>
      <c r="E30" s="15"/>
      <c r="F30" s="16"/>
      <c r="G30" s="63">
        <f>D30+1</f>
        <v>46134</v>
      </c>
      <c r="H30" s="15"/>
      <c r="I30" s="16"/>
      <c r="J30" s="63">
        <f>G30+1</f>
        <v>46135</v>
      </c>
      <c r="K30" s="15"/>
      <c r="L30" s="16"/>
      <c r="M30" s="63">
        <f>J30+1</f>
        <v>46136</v>
      </c>
      <c r="N30" s="15"/>
      <c r="O30" s="16"/>
      <c r="P30" s="63">
        <f>M30+1</f>
        <v>46137</v>
      </c>
      <c r="Q30" s="15"/>
      <c r="R30" s="16"/>
      <c r="S30" s="70">
        <f>P30+1</f>
        <v>46138</v>
      </c>
      <c r="T30" s="15"/>
      <c r="U30" s="16"/>
    </row>
    <row r="31" ht="15.75" customHeight="1">
      <c r="A31" s="29"/>
      <c r="B31" s="23"/>
      <c r="C31" s="23"/>
      <c r="D31" s="29"/>
      <c r="E31" s="23"/>
      <c r="F31" s="23"/>
      <c r="G31" s="29"/>
      <c r="H31" s="23"/>
      <c r="I31" s="23"/>
      <c r="J31" s="29"/>
      <c r="K31" s="23"/>
      <c r="L31" s="23"/>
      <c r="M31" s="29"/>
      <c r="N31" s="23"/>
      <c r="O31" s="23"/>
      <c r="P31" s="29"/>
      <c r="Q31" s="23"/>
      <c r="R31" s="23"/>
      <c r="S31" s="29"/>
      <c r="T31" s="23"/>
      <c r="U31" s="23"/>
    </row>
    <row r="32" ht="15.75" customHeight="1">
      <c r="A32" s="29"/>
      <c r="B32" s="23"/>
      <c r="C32" s="23"/>
      <c r="D32" s="29"/>
      <c r="E32" s="23"/>
      <c r="F32" s="23"/>
      <c r="G32" s="29"/>
      <c r="H32" s="23"/>
      <c r="I32" s="23"/>
      <c r="J32" s="29"/>
      <c r="K32" s="23"/>
      <c r="L32" s="23"/>
      <c r="M32" s="29" t="s">
        <v>397</v>
      </c>
      <c r="N32" s="23" t="s">
        <v>134</v>
      </c>
      <c r="O32" s="23" t="s">
        <v>389</v>
      </c>
      <c r="P32" s="29" t="s">
        <v>397</v>
      </c>
      <c r="Q32" s="23" t="s">
        <v>134</v>
      </c>
      <c r="R32" s="23" t="s">
        <v>389</v>
      </c>
      <c r="S32" s="29"/>
      <c r="T32" s="23"/>
      <c r="U32" s="23"/>
    </row>
    <row r="33" ht="15.75" customHeight="1">
      <c r="A33" s="23"/>
      <c r="B33" s="23"/>
      <c r="C33" s="23"/>
      <c r="D33" s="23" t="s">
        <v>36</v>
      </c>
      <c r="E33" s="23" t="s">
        <v>60</v>
      </c>
      <c r="F33" s="36" t="s">
        <v>57</v>
      </c>
      <c r="G33" s="26"/>
      <c r="H33" s="26"/>
      <c r="I33" s="26"/>
      <c r="J33" s="26"/>
      <c r="K33" s="26"/>
      <c r="L33" s="26"/>
      <c r="M33" s="26"/>
      <c r="N33" s="26"/>
      <c r="O33" s="26"/>
      <c r="P33" s="38"/>
      <c r="Q33" s="26"/>
      <c r="R33" s="38"/>
      <c r="S33" s="26"/>
      <c r="T33" s="26"/>
      <c r="U33" s="26"/>
    </row>
    <row r="34" ht="15.75" customHeight="1">
      <c r="A34" s="23"/>
      <c r="B34" s="23"/>
      <c r="C34" s="23"/>
      <c r="D34" s="23"/>
      <c r="E34" s="23"/>
      <c r="F34" s="23"/>
      <c r="G34" s="29"/>
      <c r="H34" s="23"/>
      <c r="I34" s="23"/>
      <c r="J34" s="29"/>
      <c r="K34" s="23"/>
      <c r="L34" s="23"/>
      <c r="M34" s="29"/>
      <c r="N34" s="23"/>
      <c r="O34" s="23"/>
      <c r="P34" s="29"/>
      <c r="Q34" s="23"/>
      <c r="R34" s="23"/>
      <c r="S34" s="29"/>
      <c r="T34" s="23"/>
      <c r="U34" s="23"/>
    </row>
    <row r="35" ht="15.75" customHeight="1">
      <c r="A35" s="29" t="s">
        <v>33</v>
      </c>
      <c r="B35" s="23" t="s">
        <v>55</v>
      </c>
      <c r="C35" s="23" t="s">
        <v>57</v>
      </c>
      <c r="D35" s="23"/>
      <c r="E35" s="23"/>
      <c r="F35" s="23"/>
      <c r="G35" s="29"/>
      <c r="H35" s="23"/>
      <c r="I35" s="23"/>
      <c r="J35" s="29"/>
      <c r="K35" s="23"/>
      <c r="L35" s="23"/>
      <c r="M35" s="29"/>
      <c r="N35" s="23"/>
      <c r="O35" s="23"/>
      <c r="P35" s="29"/>
      <c r="Q35" s="23"/>
      <c r="R35" s="23"/>
      <c r="S35" s="29"/>
      <c r="T35" s="23"/>
      <c r="U35" s="23"/>
    </row>
    <row r="36" ht="15.75" customHeight="1">
      <c r="A36" s="44"/>
      <c r="B36" s="36"/>
      <c r="C36" s="36"/>
      <c r="D36" s="44"/>
      <c r="E36" s="36"/>
      <c r="F36" s="36"/>
      <c r="G36" s="44"/>
      <c r="H36" s="36"/>
      <c r="I36" s="36"/>
      <c r="J36" s="44"/>
      <c r="K36" s="36"/>
      <c r="L36" s="36"/>
      <c r="M36" s="44"/>
      <c r="N36" s="36"/>
      <c r="O36" s="36"/>
      <c r="P36" s="44"/>
      <c r="Q36" s="36"/>
      <c r="R36" s="36"/>
      <c r="S36" s="44"/>
      <c r="T36" s="36"/>
      <c r="U36" s="36"/>
    </row>
    <row r="37" ht="15.75" customHeight="1">
      <c r="A37" s="51" t="s">
        <v>7</v>
      </c>
      <c r="B37" s="15"/>
      <c r="C37" s="16"/>
      <c r="D37" s="52" t="s">
        <v>8</v>
      </c>
      <c r="E37" s="15"/>
      <c r="F37" s="16"/>
      <c r="G37" s="52" t="s">
        <v>9</v>
      </c>
      <c r="H37" s="15"/>
      <c r="I37" s="16"/>
      <c r="J37" s="52" t="s">
        <v>10</v>
      </c>
      <c r="K37" s="15"/>
      <c r="L37" s="16"/>
      <c r="M37" s="52"/>
      <c r="N37" s="15"/>
      <c r="O37" s="16"/>
      <c r="P37" s="52"/>
      <c r="Q37" s="15"/>
      <c r="R37" s="16"/>
      <c r="S37" s="53"/>
      <c r="T37" s="15"/>
      <c r="U37" s="16"/>
    </row>
    <row r="38" ht="15.75" customHeight="1">
      <c r="A38" s="54">
        <f>S30+1</f>
        <v>46139</v>
      </c>
      <c r="B38" s="15"/>
      <c r="C38" s="16"/>
      <c r="D38" s="55">
        <f>A38+1</f>
        <v>46140</v>
      </c>
      <c r="E38" s="15"/>
      <c r="F38" s="16"/>
      <c r="G38" s="55">
        <f>D38+1</f>
        <v>46141</v>
      </c>
      <c r="H38" s="15"/>
      <c r="I38" s="16"/>
      <c r="J38" s="55">
        <f>G38+1</f>
        <v>46142</v>
      </c>
      <c r="K38" s="15"/>
      <c r="L38" s="16"/>
      <c r="M38" s="55"/>
      <c r="N38" s="15"/>
      <c r="O38" s="16"/>
      <c r="P38" s="55"/>
      <c r="Q38" s="15"/>
      <c r="R38" s="16"/>
      <c r="S38" s="18"/>
      <c r="T38" s="15"/>
      <c r="U38" s="16"/>
    </row>
    <row r="39" ht="15.75" customHeight="1">
      <c r="A39" s="29"/>
      <c r="B39" s="23"/>
      <c r="C39" s="23"/>
      <c r="D39" s="29"/>
      <c r="E39" s="23"/>
      <c r="F39" s="23"/>
      <c r="G39" s="29"/>
      <c r="H39" s="23"/>
      <c r="I39" s="23"/>
      <c r="J39" s="29"/>
      <c r="K39" s="23"/>
      <c r="L39" s="23"/>
      <c r="M39" s="29"/>
      <c r="N39" s="23"/>
      <c r="O39" s="23"/>
      <c r="P39" s="29"/>
      <c r="Q39" s="23"/>
      <c r="R39" s="23"/>
      <c r="S39" s="29"/>
      <c r="T39" s="23"/>
      <c r="U39" s="23"/>
    </row>
    <row r="40" ht="15.75" customHeight="1">
      <c r="A40" s="29"/>
      <c r="B40" s="23"/>
      <c r="C40" s="23"/>
      <c r="D40" s="29"/>
      <c r="E40" s="23"/>
      <c r="F40" s="23"/>
      <c r="G40" s="29"/>
      <c r="H40" s="23"/>
      <c r="I40" s="23"/>
      <c r="J40" s="29"/>
      <c r="K40" s="23"/>
      <c r="L40" s="23"/>
      <c r="M40" s="29"/>
      <c r="N40" s="23"/>
      <c r="O40" s="23"/>
      <c r="P40" s="29"/>
      <c r="Q40" s="23"/>
      <c r="R40" s="23"/>
      <c r="S40" s="29"/>
      <c r="T40" s="23"/>
      <c r="U40" s="23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38" t="s">
        <v>132</v>
      </c>
      <c r="K41" s="38" t="s">
        <v>134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 ht="15.75" customHeight="1">
      <c r="A42" s="29"/>
      <c r="B42" s="23"/>
      <c r="C42" s="23"/>
      <c r="D42" s="29"/>
      <c r="E42" s="23"/>
      <c r="F42" s="23"/>
      <c r="G42" s="29"/>
      <c r="H42" s="23"/>
      <c r="I42" s="23"/>
      <c r="J42" s="29"/>
      <c r="K42" s="23"/>
      <c r="L42" s="23"/>
      <c r="M42" s="29"/>
      <c r="N42" s="23"/>
      <c r="O42" s="23"/>
      <c r="P42" s="29"/>
      <c r="Q42" s="23"/>
      <c r="R42" s="23"/>
      <c r="S42" s="29"/>
      <c r="T42" s="23"/>
      <c r="U42" s="23"/>
    </row>
    <row r="43" ht="15.75" customHeight="1">
      <c r="A43" s="29"/>
      <c r="B43" s="23"/>
      <c r="C43" s="23"/>
      <c r="D43" s="29"/>
      <c r="E43" s="23"/>
      <c r="F43" s="23"/>
      <c r="G43" s="29"/>
      <c r="H43" s="23"/>
      <c r="I43" s="23"/>
      <c r="J43" s="29"/>
      <c r="K43" s="23"/>
      <c r="L43" s="23"/>
      <c r="M43" s="29"/>
      <c r="N43" s="23"/>
      <c r="O43" s="23"/>
      <c r="P43" s="29"/>
      <c r="Q43" s="23"/>
      <c r="R43" s="23"/>
      <c r="S43" s="29"/>
      <c r="T43" s="23"/>
      <c r="U43" s="23"/>
    </row>
    <row r="44" ht="15.75" customHeight="1">
      <c r="A44" s="44"/>
      <c r="B44" s="36"/>
      <c r="C44" s="36"/>
      <c r="D44" s="44"/>
      <c r="E44" s="36"/>
      <c r="F44" s="36"/>
      <c r="G44" s="44"/>
      <c r="H44" s="36"/>
      <c r="I44" s="36"/>
      <c r="J44" s="44"/>
      <c r="K44" s="36"/>
      <c r="L44" s="36"/>
      <c r="M44" s="44"/>
      <c r="N44" s="36"/>
      <c r="O44" s="36"/>
      <c r="P44" s="44"/>
      <c r="Q44" s="36"/>
      <c r="R44" s="36"/>
      <c r="S44" s="44"/>
      <c r="T44" s="36"/>
      <c r="U44" s="36"/>
    </row>
    <row r="45" ht="15.75" customHeight="1">
      <c r="A45" s="39"/>
      <c r="B45" s="15"/>
      <c r="C45" s="16"/>
      <c r="D45" s="40"/>
      <c r="E45" s="15"/>
      <c r="F45" s="16"/>
      <c r="G45" s="40"/>
      <c r="H45" s="15"/>
      <c r="I45" s="16"/>
      <c r="J45" s="40"/>
      <c r="K45" s="15"/>
      <c r="L45" s="16"/>
      <c r="M45" s="40"/>
      <c r="N45" s="15"/>
      <c r="O45" s="16"/>
      <c r="P45" s="40"/>
      <c r="Q45" s="15"/>
      <c r="R45" s="16"/>
      <c r="S45" s="297"/>
      <c r="T45" s="15"/>
      <c r="U45" s="16"/>
    </row>
    <row r="46" ht="15.75" customHeight="1">
      <c r="A46" s="62"/>
      <c r="B46" s="15"/>
      <c r="C46" s="16"/>
      <c r="D46" s="63"/>
      <c r="E46" s="15"/>
      <c r="F46" s="16"/>
      <c r="G46" s="63"/>
      <c r="H46" s="15"/>
      <c r="I46" s="16"/>
      <c r="J46" s="63"/>
      <c r="K46" s="15"/>
      <c r="L46" s="16"/>
      <c r="M46" s="63"/>
      <c r="N46" s="15"/>
      <c r="O46" s="16"/>
      <c r="P46" s="63"/>
      <c r="Q46" s="15"/>
      <c r="R46" s="16"/>
      <c r="S46" s="298"/>
      <c r="T46" s="15"/>
      <c r="U46" s="16"/>
    </row>
    <row r="47" ht="15.75" customHeight="1">
      <c r="A47" s="38"/>
      <c r="B47" s="38"/>
      <c r="C47" s="38"/>
      <c r="D47" s="38"/>
      <c r="E47" s="38"/>
      <c r="F47" s="38"/>
      <c r="G47" s="36"/>
      <c r="H47" s="172"/>
      <c r="I47" s="172"/>
      <c r="J47" s="170"/>
      <c r="K47" s="170"/>
      <c r="L47" s="170"/>
      <c r="M47" s="299"/>
      <c r="N47" s="299"/>
      <c r="O47" s="299"/>
      <c r="P47" s="299"/>
      <c r="Q47" s="299"/>
      <c r="R47" s="299"/>
      <c r="S47" s="170"/>
      <c r="T47" s="170"/>
      <c r="U47" s="170"/>
    </row>
    <row r="48" ht="15.75" customHeight="1">
      <c r="A48" s="38"/>
      <c r="B48" s="38"/>
      <c r="C48" s="38"/>
      <c r="D48" s="26"/>
      <c r="E48" s="26"/>
      <c r="F48" s="26"/>
      <c r="G48" s="299"/>
      <c r="H48" s="299"/>
      <c r="I48" s="299"/>
      <c r="J48" s="170"/>
      <c r="K48" s="170"/>
      <c r="L48" s="170"/>
      <c r="M48" s="300"/>
      <c r="N48" s="300"/>
      <c r="O48" s="300"/>
      <c r="P48" s="299"/>
      <c r="Q48" s="299"/>
      <c r="R48" s="299"/>
      <c r="S48" s="299"/>
      <c r="T48" s="299"/>
      <c r="U48" s="299"/>
    </row>
    <row r="49" ht="15.75" customHeight="1">
      <c r="A49" s="38"/>
      <c r="B49" s="38"/>
      <c r="C49" s="38"/>
      <c r="D49" s="38"/>
      <c r="E49" s="38"/>
      <c r="F49" s="38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</row>
    <row r="50" ht="15.75" customHeight="1">
      <c r="A50" s="299"/>
      <c r="B50" s="299"/>
      <c r="C50" s="299"/>
      <c r="D50" s="38"/>
      <c r="E50" s="38"/>
      <c r="F50" s="38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170"/>
      <c r="T50" s="170"/>
      <c r="U50" s="170"/>
    </row>
    <row r="51" ht="15.75" customHeight="1">
      <c r="A51" s="38"/>
      <c r="B51" s="38"/>
      <c r="C51" s="38"/>
      <c r="D51" s="161"/>
      <c r="E51" s="161"/>
      <c r="F51" s="161"/>
      <c r="G51" s="299"/>
      <c r="H51" s="299"/>
      <c r="I51" s="170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</row>
    <row r="52" ht="15.75" customHeight="1">
      <c r="A52" s="301"/>
      <c r="B52" s="170"/>
      <c r="C52" s="170"/>
      <c r="D52" s="299"/>
      <c r="E52" s="299"/>
      <c r="F52" s="299"/>
      <c r="G52" s="170"/>
      <c r="H52" s="170"/>
      <c r="I52" s="170"/>
      <c r="J52" s="299"/>
      <c r="K52" s="299"/>
      <c r="L52" s="299"/>
      <c r="M52" s="170"/>
      <c r="N52" s="170"/>
      <c r="O52" s="170"/>
      <c r="P52" s="299"/>
      <c r="Q52" s="299"/>
      <c r="R52" s="299"/>
      <c r="S52" s="170"/>
      <c r="T52" s="170"/>
      <c r="U52" s="170"/>
    </row>
    <row r="53" ht="15.75" customHeight="1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L63" s="77" t="s">
        <v>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8" max="8" width="14.0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4" max="14" width="14.0"/>
    <col customWidth="1" min="15" max="15" width="8.0"/>
    <col customWidth="1" min="16" max="16" width="16.0"/>
    <col customWidth="1" min="17" max="17" width="11.43"/>
    <col customWidth="1" min="18" max="18" width="11.29"/>
    <col customWidth="1" min="19" max="20" width="14.0"/>
    <col customWidth="1" min="21" max="21" width="7.86"/>
    <col customWidth="1" min="22" max="26" width="14.0"/>
  </cols>
  <sheetData>
    <row r="1">
      <c r="A1" s="288" t="s">
        <v>79</v>
      </c>
      <c r="C1" s="289" t="s">
        <v>398</v>
      </c>
      <c r="F1" s="290"/>
      <c r="G1" s="4" t="s">
        <v>2</v>
      </c>
      <c r="Q1" s="290"/>
      <c r="R1" s="290"/>
      <c r="S1" s="290"/>
      <c r="T1" s="290"/>
      <c r="U1" s="290"/>
    </row>
    <row r="2">
      <c r="A2" s="288" t="s">
        <v>3</v>
      </c>
      <c r="C2" s="289" t="s">
        <v>159</v>
      </c>
      <c r="F2" s="290"/>
      <c r="Q2" s="290"/>
      <c r="R2" s="290"/>
      <c r="S2" s="290"/>
      <c r="T2" s="290"/>
      <c r="U2" s="290"/>
    </row>
    <row r="3">
      <c r="A3" s="288" t="s">
        <v>5</v>
      </c>
      <c r="C3" s="291"/>
      <c r="F3" s="290"/>
      <c r="Q3" s="290"/>
      <c r="R3" s="290"/>
      <c r="S3" s="290"/>
      <c r="T3" s="290"/>
      <c r="U3" s="290"/>
    </row>
    <row r="4">
      <c r="A4" s="292" t="s">
        <v>6</v>
      </c>
      <c r="B4" s="80"/>
      <c r="C4" s="293"/>
      <c r="D4" s="80"/>
      <c r="E4" s="80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</row>
    <row r="5">
      <c r="A5" s="84" t="s">
        <v>118</v>
      </c>
      <c r="B5" s="10"/>
      <c r="C5" s="11"/>
      <c r="D5" s="84" t="s">
        <v>8</v>
      </c>
      <c r="E5" s="10"/>
      <c r="F5" s="11"/>
      <c r="G5" s="84" t="s">
        <v>119</v>
      </c>
      <c r="H5" s="10"/>
      <c r="I5" s="11"/>
      <c r="J5" s="84" t="s">
        <v>10</v>
      </c>
      <c r="K5" s="10"/>
      <c r="L5" s="11"/>
      <c r="M5" s="84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>
      <c r="A6" s="86"/>
      <c r="B6" s="10"/>
      <c r="C6" s="11"/>
      <c r="D6" s="86"/>
      <c r="E6" s="10"/>
      <c r="F6" s="11"/>
      <c r="G6" s="17">
        <v>46113.0</v>
      </c>
      <c r="H6" s="10"/>
      <c r="I6" s="11"/>
      <c r="J6" s="17">
        <v>46114.0</v>
      </c>
      <c r="K6" s="10"/>
      <c r="L6" s="11"/>
      <c r="M6" s="17">
        <v>46115.0</v>
      </c>
      <c r="N6" s="10"/>
      <c r="O6" s="11"/>
      <c r="P6" s="17">
        <v>46116.0</v>
      </c>
      <c r="Q6" s="10"/>
      <c r="R6" s="11"/>
      <c r="S6" s="17">
        <v>46117.0</v>
      </c>
      <c r="T6" s="10"/>
      <c r="U6" s="11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>
      <c r="A13" s="39" t="s">
        <v>7</v>
      </c>
      <c r="B13" s="15"/>
      <c r="C13" s="16"/>
      <c r="D13" s="40" t="s">
        <v>8</v>
      </c>
      <c r="E13" s="15"/>
      <c r="F13" s="16"/>
      <c r="G13" s="40" t="s">
        <v>9</v>
      </c>
      <c r="H13" s="15"/>
      <c r="I13" s="16"/>
      <c r="J13" s="40" t="s">
        <v>10</v>
      </c>
      <c r="K13" s="15"/>
      <c r="L13" s="16"/>
      <c r="M13" s="40" t="s">
        <v>11</v>
      </c>
      <c r="N13" s="15"/>
      <c r="O13" s="16"/>
      <c r="P13" s="40" t="s">
        <v>12</v>
      </c>
      <c r="Q13" s="15"/>
      <c r="R13" s="16"/>
      <c r="S13" s="41" t="s">
        <v>13</v>
      </c>
      <c r="T13" s="15"/>
      <c r="U13" s="16"/>
    </row>
    <row r="14">
      <c r="A14" s="42">
        <f>S6+1</f>
        <v>46118</v>
      </c>
      <c r="B14" s="15"/>
      <c r="C14" s="16"/>
      <c r="D14" s="295">
        <f>A14+1</f>
        <v>46119</v>
      </c>
      <c r="E14" s="15"/>
      <c r="F14" s="16"/>
      <c r="G14" s="295">
        <f>D14+1</f>
        <v>46120</v>
      </c>
      <c r="H14" s="15"/>
      <c r="I14" s="16"/>
      <c r="J14" s="295">
        <f>G14+1</f>
        <v>46121</v>
      </c>
      <c r="K14" s="15"/>
      <c r="L14" s="16"/>
      <c r="M14" s="295">
        <f>J14+1</f>
        <v>46122</v>
      </c>
      <c r="N14" s="15"/>
      <c r="O14" s="16"/>
      <c r="P14" s="295">
        <f>M14+1</f>
        <v>46123</v>
      </c>
      <c r="Q14" s="15"/>
      <c r="R14" s="16"/>
      <c r="S14" s="296">
        <f>P14+1</f>
        <v>46124</v>
      </c>
      <c r="T14" s="15"/>
      <c r="U14" s="16"/>
    </row>
    <row r="15">
      <c r="A15" s="29"/>
      <c r="B15" s="23"/>
      <c r="C15" s="23"/>
      <c r="D15" s="29"/>
      <c r="E15" s="23"/>
      <c r="F15" s="23"/>
      <c r="G15" s="29"/>
      <c r="H15" s="23"/>
      <c r="I15" s="23"/>
      <c r="J15" s="29"/>
      <c r="K15" s="23"/>
      <c r="L15" s="23"/>
      <c r="M15" s="29"/>
      <c r="N15" s="23"/>
      <c r="O15" s="23"/>
      <c r="P15" s="29"/>
      <c r="Q15" s="23"/>
      <c r="R15" s="23"/>
      <c r="S15" s="29"/>
      <c r="T15" s="23"/>
      <c r="U15" s="23"/>
    </row>
    <row r="16">
      <c r="A16" s="29"/>
      <c r="B16" s="23"/>
      <c r="C16" s="23"/>
      <c r="D16" s="29"/>
      <c r="E16" s="23"/>
      <c r="F16" s="23"/>
      <c r="G16" s="29"/>
      <c r="H16" s="23"/>
      <c r="I16" s="23"/>
      <c r="J16" s="29"/>
      <c r="K16" s="23"/>
      <c r="L16" s="23"/>
      <c r="M16" s="29"/>
      <c r="N16" s="23"/>
      <c r="O16" s="23"/>
      <c r="P16" s="282" t="s">
        <v>381</v>
      </c>
      <c r="Q16" s="132" t="s">
        <v>134</v>
      </c>
      <c r="R16" s="38" t="s">
        <v>399</v>
      </c>
      <c r="S16" s="29"/>
      <c r="T16" s="23"/>
      <c r="U16" s="23"/>
    </row>
    <row r="17">
      <c r="A17" s="29"/>
      <c r="B17" s="23"/>
      <c r="C17" s="23"/>
      <c r="D17" s="29"/>
      <c r="E17" s="23"/>
      <c r="F17" s="23"/>
      <c r="G17" s="29"/>
      <c r="H17" s="23"/>
      <c r="I17" s="23"/>
      <c r="J17" s="29"/>
      <c r="K17" s="23"/>
      <c r="L17" s="23"/>
      <c r="M17" s="29"/>
      <c r="N17" s="23"/>
      <c r="O17" s="23"/>
      <c r="P17" s="44"/>
      <c r="Q17" s="36"/>
      <c r="R17" s="36"/>
      <c r="S17" s="214" t="s">
        <v>22</v>
      </c>
      <c r="T17" s="10"/>
      <c r="U17" s="11"/>
    </row>
    <row r="18">
      <c r="A18" s="29"/>
      <c r="B18" s="23"/>
      <c r="C18" s="23"/>
      <c r="D18" s="29"/>
      <c r="E18" s="23"/>
      <c r="F18" s="23"/>
      <c r="G18" s="29"/>
      <c r="H18" s="23"/>
      <c r="I18" s="23"/>
      <c r="J18" s="29"/>
      <c r="K18" s="23"/>
      <c r="L18" s="23"/>
      <c r="M18" s="29"/>
      <c r="N18" s="23"/>
      <c r="O18" s="23"/>
      <c r="P18" s="29"/>
      <c r="Q18" s="23"/>
      <c r="R18" s="23"/>
      <c r="S18" s="29"/>
      <c r="T18" s="23"/>
      <c r="U18" s="23"/>
    </row>
    <row r="19">
      <c r="A19" s="29"/>
      <c r="B19" s="23"/>
      <c r="C19" s="23"/>
      <c r="D19" s="29"/>
      <c r="E19" s="23"/>
      <c r="F19" s="23"/>
      <c r="G19" s="29"/>
      <c r="H19" s="23"/>
      <c r="I19" s="23"/>
      <c r="J19" s="29"/>
      <c r="K19" s="23"/>
      <c r="L19" s="23"/>
      <c r="M19" s="29"/>
      <c r="N19" s="23"/>
      <c r="O19" s="23"/>
      <c r="P19" s="29"/>
      <c r="Q19" s="23"/>
      <c r="R19" s="23"/>
      <c r="S19" s="29"/>
      <c r="T19" s="23"/>
      <c r="U19" s="23"/>
    </row>
    <row r="20">
      <c r="A20" s="29"/>
      <c r="B20" s="23"/>
      <c r="C20" s="23"/>
      <c r="D20" s="29"/>
      <c r="E20" s="23"/>
      <c r="F20" s="23"/>
      <c r="G20" s="29"/>
      <c r="H20" s="23"/>
      <c r="I20" s="23"/>
      <c r="J20" s="29"/>
      <c r="K20" s="23"/>
      <c r="L20" s="23"/>
      <c r="M20" s="29"/>
      <c r="N20" s="23"/>
      <c r="O20" s="23"/>
      <c r="P20" s="44"/>
      <c r="Q20" s="36"/>
      <c r="R20" s="36"/>
      <c r="S20" s="44"/>
      <c r="T20" s="36"/>
      <c r="U20" s="36"/>
    </row>
    <row r="21" ht="15.75" customHeight="1">
      <c r="A21" s="51" t="s">
        <v>7</v>
      </c>
      <c r="B21" s="15"/>
      <c r="C21" s="16"/>
      <c r="D21" s="52" t="s">
        <v>8</v>
      </c>
      <c r="E21" s="15"/>
      <c r="F21" s="16"/>
      <c r="G21" s="52" t="s">
        <v>9</v>
      </c>
      <c r="H21" s="15"/>
      <c r="I21" s="16"/>
      <c r="J21" s="52" t="s">
        <v>10</v>
      </c>
      <c r="K21" s="15"/>
      <c r="L21" s="16"/>
      <c r="M21" s="52" t="s">
        <v>11</v>
      </c>
      <c r="N21" s="15"/>
      <c r="O21" s="16"/>
      <c r="P21" s="52" t="s">
        <v>12</v>
      </c>
      <c r="Q21" s="15"/>
      <c r="R21" s="16"/>
      <c r="S21" s="53" t="s">
        <v>13</v>
      </c>
      <c r="T21" s="15"/>
      <c r="U21" s="16"/>
    </row>
    <row r="22" ht="15.75" customHeight="1">
      <c r="A22" s="54">
        <f>S14+1</f>
        <v>46125</v>
      </c>
      <c r="B22" s="15"/>
      <c r="C22" s="16"/>
      <c r="D22" s="55">
        <f>A22+1</f>
        <v>46126</v>
      </c>
      <c r="E22" s="15"/>
      <c r="F22" s="16"/>
      <c r="G22" s="55">
        <f>D22+1</f>
        <v>46127</v>
      </c>
      <c r="H22" s="15"/>
      <c r="I22" s="16"/>
      <c r="J22" s="55">
        <f>G22+1</f>
        <v>46128</v>
      </c>
      <c r="K22" s="15"/>
      <c r="L22" s="16"/>
      <c r="M22" s="55">
        <f>J22+1</f>
        <v>46129</v>
      </c>
      <c r="N22" s="15"/>
      <c r="O22" s="16"/>
      <c r="P22" s="55">
        <f>M22+1</f>
        <v>46130</v>
      </c>
      <c r="Q22" s="15"/>
      <c r="R22" s="16"/>
      <c r="S22" s="18">
        <f>P22+1</f>
        <v>46131</v>
      </c>
      <c r="T22" s="15"/>
      <c r="U22" s="16"/>
    </row>
    <row r="23" ht="15.75" customHeight="1">
      <c r="A23" s="29"/>
      <c r="B23" s="23"/>
      <c r="C23" s="23"/>
      <c r="D23" s="29"/>
      <c r="E23" s="23"/>
      <c r="F23" s="23"/>
      <c r="G23" s="29"/>
      <c r="H23" s="23"/>
      <c r="I23" s="23"/>
      <c r="J23" s="29"/>
      <c r="K23" s="23"/>
      <c r="L23" s="23"/>
      <c r="M23" s="29"/>
      <c r="N23" s="23"/>
      <c r="O23" s="23"/>
      <c r="P23" s="29"/>
      <c r="Q23" s="23"/>
      <c r="R23" s="23"/>
      <c r="S23" s="29"/>
      <c r="T23" s="23"/>
      <c r="U23" s="23"/>
    </row>
    <row r="24" ht="15.75" customHeight="1">
      <c r="A24" s="29"/>
      <c r="B24" s="23"/>
      <c r="C24" s="23"/>
      <c r="D24" s="29"/>
      <c r="E24" s="23"/>
      <c r="F24" s="23"/>
      <c r="G24" s="29"/>
      <c r="H24" s="23"/>
      <c r="I24" s="23"/>
      <c r="J24" s="29"/>
      <c r="K24" s="23"/>
      <c r="L24" s="23"/>
      <c r="M24" s="29"/>
      <c r="N24" s="23"/>
      <c r="O24" s="23"/>
      <c r="P24" s="29"/>
      <c r="Q24" s="23"/>
      <c r="R24" s="23"/>
      <c r="S24" s="29"/>
      <c r="T24" s="23"/>
      <c r="U24" s="23"/>
    </row>
    <row r="25" ht="15.75" customHeight="1">
      <c r="A25" s="26" t="s">
        <v>400</v>
      </c>
      <c r="B25" s="26" t="s">
        <v>179</v>
      </c>
      <c r="C25" s="26"/>
      <c r="D25" s="26" t="s">
        <v>400</v>
      </c>
      <c r="E25" s="26" t="s">
        <v>401</v>
      </c>
      <c r="F25" s="26"/>
      <c r="G25" s="26"/>
      <c r="H25" s="26"/>
      <c r="I25" s="26"/>
      <c r="J25" s="147" t="s">
        <v>402</v>
      </c>
      <c r="K25" s="26" t="s">
        <v>403</v>
      </c>
      <c r="L25" s="26" t="s">
        <v>47</v>
      </c>
      <c r="M25" s="26"/>
      <c r="N25" s="26"/>
      <c r="O25" s="26"/>
      <c r="P25" s="26"/>
      <c r="Q25" s="26"/>
      <c r="R25" s="26"/>
      <c r="S25" s="26"/>
      <c r="T25" s="26"/>
      <c r="U25" s="26"/>
    </row>
    <row r="26" ht="15.75" customHeight="1">
      <c r="A26" s="29"/>
      <c r="B26" s="23"/>
      <c r="C26" s="23"/>
      <c r="D26" s="29"/>
      <c r="E26" s="23"/>
      <c r="F26" s="23"/>
      <c r="G26" s="29"/>
      <c r="H26" s="23"/>
      <c r="I26" s="23"/>
      <c r="J26" s="302" t="s">
        <v>404</v>
      </c>
      <c r="K26" s="23" t="s">
        <v>405</v>
      </c>
      <c r="L26" s="23" t="s">
        <v>47</v>
      </c>
      <c r="M26" s="29"/>
      <c r="N26" s="23"/>
      <c r="O26" s="23"/>
      <c r="P26" s="29"/>
      <c r="Q26" s="23"/>
      <c r="R26" s="23"/>
      <c r="S26" s="29"/>
      <c r="T26" s="23"/>
      <c r="U26" s="23"/>
    </row>
    <row r="27" ht="15.75" customHeight="1">
      <c r="A27" s="29" t="s">
        <v>400</v>
      </c>
      <c r="B27" s="23" t="s">
        <v>406</v>
      </c>
      <c r="C27" s="23"/>
      <c r="D27" s="29"/>
      <c r="E27" s="23"/>
      <c r="F27" s="23"/>
      <c r="G27" s="29"/>
      <c r="H27" s="23"/>
      <c r="I27" s="23"/>
      <c r="J27" s="29"/>
      <c r="K27" s="23"/>
      <c r="L27" s="23"/>
      <c r="M27" s="29"/>
      <c r="N27" s="23"/>
      <c r="O27" s="23"/>
      <c r="P27" s="29"/>
      <c r="Q27" s="23"/>
      <c r="R27" s="23"/>
      <c r="S27" s="29"/>
      <c r="T27" s="23"/>
      <c r="U27" s="23"/>
    </row>
    <row r="28" ht="15.75" customHeight="1">
      <c r="A28" s="44"/>
      <c r="B28" s="36"/>
      <c r="C28" s="36"/>
      <c r="D28" s="44"/>
      <c r="E28" s="36"/>
      <c r="F28" s="36"/>
      <c r="G28" s="44"/>
      <c r="H28" s="36"/>
      <c r="I28" s="36"/>
      <c r="J28" s="44"/>
      <c r="K28" s="36"/>
      <c r="L28" s="36"/>
      <c r="M28" s="44"/>
      <c r="N28" s="36"/>
      <c r="O28" s="36"/>
      <c r="P28" s="44"/>
      <c r="Q28" s="36"/>
      <c r="R28" s="36"/>
      <c r="S28" s="44"/>
      <c r="T28" s="36"/>
      <c r="U28" s="36"/>
    </row>
    <row r="29" ht="15.75" customHeight="1">
      <c r="A29" s="39" t="s">
        <v>7</v>
      </c>
      <c r="B29" s="15"/>
      <c r="C29" s="16"/>
      <c r="D29" s="40" t="s">
        <v>8</v>
      </c>
      <c r="E29" s="15"/>
      <c r="F29" s="16"/>
      <c r="G29" s="40" t="s">
        <v>9</v>
      </c>
      <c r="H29" s="15"/>
      <c r="I29" s="16"/>
      <c r="J29" s="40" t="s">
        <v>10</v>
      </c>
      <c r="K29" s="15"/>
      <c r="L29" s="16"/>
      <c r="M29" s="40" t="s">
        <v>11</v>
      </c>
      <c r="N29" s="15"/>
      <c r="O29" s="16"/>
      <c r="P29" s="40" t="s">
        <v>12</v>
      </c>
      <c r="Q29" s="15"/>
      <c r="R29" s="16"/>
      <c r="S29" s="41" t="s">
        <v>13</v>
      </c>
      <c r="T29" s="15"/>
      <c r="U29" s="16"/>
    </row>
    <row r="30" ht="15.75" customHeight="1">
      <c r="A30" s="62">
        <f>S22+1</f>
        <v>46132</v>
      </c>
      <c r="B30" s="15"/>
      <c r="C30" s="16"/>
      <c r="D30" s="63">
        <f>A30+1</f>
        <v>46133</v>
      </c>
      <c r="E30" s="15"/>
      <c r="F30" s="16"/>
      <c r="G30" s="63">
        <f>D30+1</f>
        <v>46134</v>
      </c>
      <c r="H30" s="15"/>
      <c r="I30" s="16"/>
      <c r="J30" s="63">
        <f>G30+1</f>
        <v>46135</v>
      </c>
      <c r="K30" s="15"/>
      <c r="L30" s="16"/>
      <c r="M30" s="63">
        <f>J30+1</f>
        <v>46136</v>
      </c>
      <c r="N30" s="15"/>
      <c r="O30" s="16"/>
      <c r="P30" s="63">
        <f>M30+1</f>
        <v>46137</v>
      </c>
      <c r="Q30" s="15"/>
      <c r="R30" s="16"/>
      <c r="S30" s="70">
        <f>P30+1</f>
        <v>46138</v>
      </c>
      <c r="T30" s="15"/>
      <c r="U30" s="16"/>
    </row>
    <row r="31" ht="15.75" customHeight="1">
      <c r="A31" s="29"/>
      <c r="B31" s="23"/>
      <c r="C31" s="23"/>
      <c r="D31" s="29"/>
      <c r="E31" s="23"/>
      <c r="F31" s="23"/>
      <c r="G31" s="29"/>
      <c r="H31" s="23"/>
      <c r="I31" s="23"/>
      <c r="J31" s="29"/>
      <c r="K31" s="23"/>
      <c r="L31" s="23"/>
      <c r="M31" s="29"/>
      <c r="N31" s="23"/>
      <c r="O31" s="23"/>
      <c r="P31" s="29"/>
      <c r="Q31" s="23"/>
      <c r="R31" s="23"/>
      <c r="S31" s="29"/>
      <c r="T31" s="23"/>
      <c r="U31" s="23"/>
    </row>
    <row r="32" ht="15.75" customHeight="1">
      <c r="A32" s="29"/>
      <c r="B32" s="23"/>
      <c r="C32" s="23"/>
      <c r="D32" s="29"/>
      <c r="E32" s="23"/>
      <c r="F32" s="23"/>
      <c r="G32" s="29"/>
      <c r="H32" s="23"/>
      <c r="I32" s="23"/>
      <c r="J32" s="29"/>
      <c r="K32" s="23"/>
      <c r="L32" s="23"/>
      <c r="M32" s="29"/>
      <c r="N32" s="23"/>
      <c r="O32" s="23"/>
      <c r="P32" s="29"/>
      <c r="Q32" s="23"/>
      <c r="R32" s="23"/>
      <c r="S32" s="29"/>
      <c r="T32" s="23"/>
      <c r="U32" s="23"/>
    </row>
    <row r="33" ht="15.75" customHeight="1">
      <c r="A33" s="29"/>
      <c r="B33" s="23"/>
      <c r="C33" s="23"/>
      <c r="D33" s="29"/>
      <c r="E33" s="23"/>
      <c r="F33" s="23"/>
      <c r="G33" s="26"/>
      <c r="H33" s="26"/>
      <c r="I33" s="26"/>
      <c r="J33" s="26"/>
      <c r="K33" s="26"/>
      <c r="L33" s="26"/>
      <c r="M33" s="26"/>
      <c r="N33" s="26"/>
      <c r="O33" s="26"/>
      <c r="P33" s="282" t="s">
        <v>381</v>
      </c>
      <c r="Q33" s="132" t="s">
        <v>71</v>
      </c>
      <c r="R33" s="263" t="s">
        <v>47</v>
      </c>
      <c r="S33" s="26"/>
      <c r="T33" s="26"/>
      <c r="U33" s="26"/>
    </row>
    <row r="34" ht="15.75" customHeight="1">
      <c r="A34" s="29"/>
      <c r="B34" s="23"/>
      <c r="C34" s="23"/>
      <c r="D34" s="29"/>
      <c r="E34" s="23"/>
      <c r="F34" s="23"/>
      <c r="G34" s="29"/>
      <c r="H34" s="23"/>
      <c r="I34" s="23"/>
      <c r="J34" s="29"/>
      <c r="K34" s="23"/>
      <c r="L34" s="23"/>
      <c r="M34" s="29"/>
      <c r="N34" s="23"/>
      <c r="O34" s="23"/>
      <c r="P34" s="38" t="s">
        <v>205</v>
      </c>
      <c r="Q34" s="26" t="s">
        <v>319</v>
      </c>
      <c r="R34" s="38" t="s">
        <v>21</v>
      </c>
      <c r="S34" s="29"/>
      <c r="T34" s="23"/>
      <c r="U34" s="23"/>
    </row>
    <row r="35" ht="15.75" customHeight="1">
      <c r="A35" s="29"/>
      <c r="B35" s="23"/>
      <c r="C35" s="23"/>
      <c r="D35" s="29"/>
      <c r="E35" s="23"/>
      <c r="F35" s="23"/>
      <c r="G35" s="29"/>
      <c r="H35" s="23"/>
      <c r="I35" s="23"/>
      <c r="J35" s="29"/>
      <c r="K35" s="23"/>
      <c r="L35" s="23"/>
      <c r="M35" s="29"/>
      <c r="N35" s="23"/>
      <c r="O35" s="23"/>
      <c r="P35" s="29"/>
      <c r="Q35" s="23"/>
      <c r="R35" s="23"/>
      <c r="S35" s="29"/>
      <c r="T35" s="23"/>
      <c r="U35" s="23"/>
    </row>
    <row r="36" ht="15.75" customHeight="1">
      <c r="A36" s="29"/>
      <c r="B36" s="23"/>
      <c r="C36" s="23"/>
      <c r="D36" s="29"/>
      <c r="E36" s="23"/>
      <c r="F36" s="23"/>
      <c r="G36" s="44"/>
      <c r="H36" s="36"/>
      <c r="I36" s="36"/>
      <c r="J36" s="44"/>
      <c r="K36" s="36"/>
      <c r="L36" s="36"/>
      <c r="M36" s="44"/>
      <c r="N36" s="36"/>
      <c r="O36" s="36"/>
      <c r="P36" s="44"/>
      <c r="Q36" s="36"/>
      <c r="R36" s="36"/>
      <c r="S36" s="44"/>
      <c r="T36" s="36"/>
      <c r="U36" s="36"/>
    </row>
    <row r="37" ht="15.75" customHeight="1">
      <c r="A37" s="51" t="s">
        <v>7</v>
      </c>
      <c r="B37" s="15"/>
      <c r="C37" s="16"/>
      <c r="D37" s="52" t="s">
        <v>8</v>
      </c>
      <c r="E37" s="15"/>
      <c r="F37" s="16"/>
      <c r="G37" s="52" t="s">
        <v>9</v>
      </c>
      <c r="H37" s="15"/>
      <c r="I37" s="16"/>
      <c r="J37" s="52" t="s">
        <v>10</v>
      </c>
      <c r="K37" s="15"/>
      <c r="L37" s="16"/>
      <c r="M37" s="52"/>
      <c r="N37" s="15"/>
      <c r="O37" s="16"/>
      <c r="P37" s="52"/>
      <c r="Q37" s="15"/>
      <c r="R37" s="16"/>
      <c r="S37" s="53"/>
      <c r="T37" s="15"/>
      <c r="U37" s="16"/>
    </row>
    <row r="38" ht="15.75" customHeight="1">
      <c r="A38" s="54">
        <f>S30+1</f>
        <v>46139</v>
      </c>
      <c r="B38" s="15"/>
      <c r="C38" s="16"/>
      <c r="D38" s="55">
        <f>A38+1</f>
        <v>46140</v>
      </c>
      <c r="E38" s="15"/>
      <c r="F38" s="16"/>
      <c r="G38" s="55">
        <f>D38+1</f>
        <v>46141</v>
      </c>
      <c r="H38" s="15"/>
      <c r="I38" s="16"/>
      <c r="J38" s="55">
        <f>G38+1</f>
        <v>46142</v>
      </c>
      <c r="K38" s="15"/>
      <c r="L38" s="16"/>
      <c r="M38" s="55"/>
      <c r="N38" s="15"/>
      <c r="O38" s="16"/>
      <c r="P38" s="55"/>
      <c r="Q38" s="15"/>
      <c r="R38" s="16"/>
      <c r="S38" s="18"/>
      <c r="T38" s="15"/>
      <c r="U38" s="16"/>
    </row>
    <row r="39" ht="15.75" customHeight="1">
      <c r="A39" s="29"/>
      <c r="B39" s="23"/>
      <c r="C39" s="23"/>
      <c r="D39" s="29"/>
      <c r="E39" s="23"/>
      <c r="F39" s="23"/>
      <c r="G39" s="29"/>
      <c r="H39" s="23"/>
      <c r="I39" s="23"/>
      <c r="J39" s="29"/>
      <c r="K39" s="23"/>
      <c r="L39" s="23"/>
      <c r="M39" s="29"/>
      <c r="N39" s="23"/>
      <c r="O39" s="23"/>
      <c r="P39" s="29"/>
      <c r="Q39" s="23"/>
      <c r="R39" s="23"/>
      <c r="S39" s="29"/>
      <c r="T39" s="23"/>
      <c r="U39" s="23"/>
    </row>
    <row r="40" ht="15.75" customHeight="1">
      <c r="A40" s="29"/>
      <c r="B40" s="23"/>
      <c r="C40" s="23"/>
      <c r="D40" s="29"/>
      <c r="E40" s="23"/>
      <c r="F40" s="23"/>
      <c r="G40" s="29"/>
      <c r="H40" s="23"/>
      <c r="I40" s="23"/>
      <c r="J40" s="147" t="s">
        <v>402</v>
      </c>
      <c r="K40" s="26" t="s">
        <v>403</v>
      </c>
      <c r="L40" s="26" t="s">
        <v>47</v>
      </c>
      <c r="M40" s="29"/>
      <c r="N40" s="23"/>
      <c r="O40" s="23"/>
      <c r="P40" s="29"/>
      <c r="Q40" s="23"/>
      <c r="R40" s="23"/>
      <c r="S40" s="29"/>
      <c r="T40" s="23"/>
      <c r="U40" s="23"/>
    </row>
    <row r="41" ht="15.75" customHeight="1">
      <c r="A41" s="26"/>
      <c r="B41" s="26"/>
      <c r="C41" s="26"/>
      <c r="D41" s="26"/>
      <c r="E41" s="26"/>
      <c r="F41" s="26"/>
      <c r="G41" s="87" t="s">
        <v>132</v>
      </c>
      <c r="H41" s="87" t="s">
        <v>198</v>
      </c>
      <c r="I41" s="87" t="s">
        <v>16</v>
      </c>
      <c r="J41" s="302" t="s">
        <v>404</v>
      </c>
      <c r="K41" s="23" t="s">
        <v>405</v>
      </c>
      <c r="L41" s="23" t="s">
        <v>47</v>
      </c>
      <c r="M41" s="26"/>
      <c r="N41" s="26"/>
      <c r="O41" s="26"/>
      <c r="P41" s="26"/>
      <c r="Q41" s="26"/>
      <c r="R41" s="26"/>
      <c r="S41" s="26"/>
      <c r="T41" s="26"/>
      <c r="U41" s="26"/>
    </row>
    <row r="42" ht="15.75" customHeight="1">
      <c r="A42" s="29"/>
      <c r="B42" s="23"/>
      <c r="C42" s="23"/>
      <c r="D42" s="29"/>
      <c r="E42" s="23"/>
      <c r="F42" s="23"/>
      <c r="G42" s="29"/>
      <c r="H42" s="23"/>
      <c r="I42" s="23"/>
      <c r="J42" s="107" t="s">
        <v>316</v>
      </c>
      <c r="K42" s="107" t="s">
        <v>153</v>
      </c>
      <c r="L42" s="107" t="s">
        <v>57</v>
      </c>
      <c r="M42" s="29"/>
      <c r="N42" s="23"/>
      <c r="O42" s="23"/>
      <c r="P42" s="29"/>
      <c r="Q42" s="23"/>
      <c r="R42" s="23"/>
      <c r="S42" s="29"/>
      <c r="T42" s="23"/>
      <c r="U42" s="23"/>
    </row>
    <row r="43" ht="15.75" customHeight="1">
      <c r="A43" s="29"/>
      <c r="B43" s="23"/>
      <c r="C43" s="23"/>
      <c r="D43" s="29"/>
      <c r="E43" s="23"/>
      <c r="F43" s="23"/>
      <c r="G43" s="29"/>
      <c r="H43" s="23"/>
      <c r="I43" s="23"/>
      <c r="J43" s="29"/>
      <c r="K43" s="23"/>
      <c r="L43" s="23"/>
      <c r="M43" s="29"/>
      <c r="N43" s="23"/>
      <c r="O43" s="23"/>
      <c r="P43" s="29"/>
      <c r="Q43" s="23"/>
      <c r="R43" s="23"/>
      <c r="S43" s="29"/>
      <c r="T43" s="23"/>
      <c r="U43" s="23"/>
    </row>
    <row r="44" ht="15.75" customHeight="1">
      <c r="A44" s="44"/>
      <c r="B44" s="36"/>
      <c r="C44" s="36"/>
      <c r="D44" s="44"/>
      <c r="E44" s="36"/>
      <c r="F44" s="36"/>
      <c r="G44" s="44"/>
      <c r="H44" s="36"/>
      <c r="I44" s="36"/>
      <c r="J44" s="44"/>
      <c r="K44" s="36"/>
      <c r="L44" s="36"/>
      <c r="M44" s="44"/>
      <c r="N44" s="36"/>
      <c r="O44" s="36"/>
      <c r="P44" s="44"/>
      <c r="Q44" s="36"/>
      <c r="R44" s="36"/>
      <c r="S44" s="44"/>
      <c r="T44" s="36"/>
      <c r="U44" s="36"/>
    </row>
    <row r="45" ht="15.75" customHeight="1">
      <c r="A45" s="39"/>
      <c r="B45" s="15"/>
      <c r="C45" s="16"/>
      <c r="D45" s="40"/>
      <c r="E45" s="15"/>
      <c r="F45" s="16"/>
      <c r="G45" s="40"/>
      <c r="H45" s="15"/>
      <c r="I45" s="16"/>
      <c r="J45" s="40"/>
      <c r="K45" s="15"/>
      <c r="L45" s="16"/>
      <c r="M45" s="40"/>
      <c r="N45" s="15"/>
      <c r="O45" s="16"/>
      <c r="P45" s="40"/>
      <c r="Q45" s="15"/>
      <c r="R45" s="16"/>
      <c r="S45" s="297"/>
      <c r="T45" s="15"/>
      <c r="U45" s="16"/>
    </row>
    <row r="46" ht="15.75" customHeight="1">
      <c r="A46" s="62"/>
      <c r="B46" s="15"/>
      <c r="C46" s="16"/>
      <c r="D46" s="63"/>
      <c r="E46" s="15"/>
      <c r="F46" s="16"/>
      <c r="G46" s="63"/>
      <c r="H46" s="15"/>
      <c r="I46" s="16"/>
      <c r="J46" s="63"/>
      <c r="K46" s="15"/>
      <c r="L46" s="16"/>
      <c r="M46" s="63"/>
      <c r="N46" s="15"/>
      <c r="O46" s="16"/>
      <c r="P46" s="63"/>
      <c r="Q46" s="15"/>
      <c r="R46" s="16"/>
      <c r="S46" s="298"/>
      <c r="T46" s="15"/>
      <c r="U46" s="16"/>
    </row>
    <row r="47" ht="15.75" customHeight="1">
      <c r="A47" s="38"/>
      <c r="B47" s="38"/>
      <c r="C47" s="38"/>
      <c r="D47" s="38"/>
      <c r="E47" s="38"/>
      <c r="F47" s="38"/>
      <c r="G47" s="36"/>
      <c r="H47" s="172"/>
      <c r="I47" s="172"/>
      <c r="J47" s="170"/>
      <c r="K47" s="170"/>
      <c r="L47" s="170"/>
      <c r="M47" s="299"/>
      <c r="N47" s="299"/>
      <c r="O47" s="299"/>
      <c r="P47" s="299"/>
      <c r="Q47" s="299"/>
      <c r="R47" s="299"/>
      <c r="S47" s="170"/>
      <c r="T47" s="170"/>
      <c r="U47" s="170"/>
    </row>
    <row r="48" ht="15.75" customHeight="1">
      <c r="A48" s="38"/>
      <c r="B48" s="38"/>
      <c r="C48" s="38"/>
      <c r="D48" s="26"/>
      <c r="E48" s="26"/>
      <c r="F48" s="26"/>
      <c r="G48" s="299"/>
      <c r="H48" s="299"/>
      <c r="I48" s="299"/>
      <c r="J48" s="170"/>
      <c r="K48" s="170"/>
      <c r="L48" s="170"/>
      <c r="M48" s="300"/>
      <c r="N48" s="300"/>
      <c r="O48" s="300"/>
      <c r="P48" s="299"/>
      <c r="Q48" s="299"/>
      <c r="R48" s="299"/>
      <c r="S48" s="299"/>
      <c r="T48" s="299"/>
      <c r="U48" s="299"/>
    </row>
    <row r="49" ht="15.75" customHeight="1">
      <c r="A49" s="38"/>
      <c r="B49" s="38"/>
      <c r="C49" s="38"/>
      <c r="D49" s="38"/>
      <c r="E49" s="38"/>
      <c r="F49" s="38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</row>
    <row r="50" ht="15.75" customHeight="1">
      <c r="A50" s="299"/>
      <c r="B50" s="299"/>
      <c r="C50" s="299"/>
      <c r="D50" s="38"/>
      <c r="E50" s="38"/>
      <c r="F50" s="38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170"/>
      <c r="T50" s="170"/>
      <c r="U50" s="170"/>
    </row>
    <row r="51" ht="15.75" customHeight="1">
      <c r="A51" s="38"/>
      <c r="B51" s="38"/>
      <c r="C51" s="38"/>
      <c r="D51" s="161"/>
      <c r="E51" s="161"/>
      <c r="F51" s="161"/>
      <c r="G51" s="299"/>
      <c r="H51" s="299"/>
      <c r="I51" s="170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</row>
    <row r="52" ht="15.75" customHeight="1">
      <c r="A52" s="301"/>
      <c r="B52" s="170"/>
      <c r="C52" s="170"/>
      <c r="D52" s="299"/>
      <c r="E52" s="299"/>
      <c r="F52" s="299"/>
      <c r="G52" s="170"/>
      <c r="H52" s="170"/>
      <c r="I52" s="170"/>
      <c r="J52" s="299"/>
      <c r="K52" s="299"/>
      <c r="L52" s="299"/>
      <c r="M52" s="170"/>
      <c r="N52" s="170"/>
      <c r="O52" s="170"/>
      <c r="P52" s="299"/>
      <c r="Q52" s="299"/>
      <c r="R52" s="299"/>
      <c r="S52" s="170"/>
      <c r="T52" s="170"/>
      <c r="U52" s="170"/>
    </row>
    <row r="53" ht="15.75" customHeight="1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L63" s="77" t="s">
        <v>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A14:C14"/>
    <mergeCell ref="D21:F21"/>
    <mergeCell ref="G21:I21"/>
    <mergeCell ref="J21:L21"/>
    <mergeCell ref="M21:O21"/>
    <mergeCell ref="P21:R21"/>
    <mergeCell ref="S21:U21"/>
    <mergeCell ref="A21:C21"/>
    <mergeCell ref="D22:F22"/>
    <mergeCell ref="G22:I22"/>
    <mergeCell ref="J22:L22"/>
    <mergeCell ref="M22:O22"/>
    <mergeCell ref="P22:R22"/>
    <mergeCell ref="S22:U22"/>
    <mergeCell ref="A22:C22"/>
    <mergeCell ref="D29:F29"/>
    <mergeCell ref="G29:I29"/>
    <mergeCell ref="J29:L29"/>
    <mergeCell ref="M29:O29"/>
    <mergeCell ref="P29:R29"/>
    <mergeCell ref="S29:U29"/>
    <mergeCell ref="A29:C29"/>
    <mergeCell ref="D30:F30"/>
    <mergeCell ref="G30:I30"/>
    <mergeCell ref="J30:L30"/>
    <mergeCell ref="M30:O30"/>
    <mergeCell ref="P30:R30"/>
    <mergeCell ref="S30:U30"/>
    <mergeCell ref="A30:C30"/>
    <mergeCell ref="D37:F37"/>
    <mergeCell ref="G37:I37"/>
    <mergeCell ref="J37:L37"/>
    <mergeCell ref="M37:O37"/>
    <mergeCell ref="P37:R37"/>
    <mergeCell ref="S37:U37"/>
    <mergeCell ref="A37:C37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S17:U17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45:F45"/>
    <mergeCell ref="G45:I45"/>
    <mergeCell ref="J45:L45"/>
    <mergeCell ref="M45:O45"/>
    <mergeCell ref="P45:R45"/>
    <mergeCell ref="S45:U4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8" max="8" width="14.0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4" max="14" width="14.0"/>
    <col customWidth="1" min="15" max="15" width="8.0"/>
    <col customWidth="1" min="16" max="16" width="16.0"/>
    <col customWidth="1" min="17" max="17" width="11.43"/>
    <col customWidth="1" min="18" max="18" width="9.0"/>
    <col customWidth="1" min="19" max="20" width="14.0"/>
    <col customWidth="1" min="21" max="21" width="7.86"/>
    <col customWidth="1" min="22" max="26" width="14.0"/>
  </cols>
  <sheetData>
    <row r="1">
      <c r="A1" s="288" t="s">
        <v>79</v>
      </c>
      <c r="C1" s="289" t="s">
        <v>386</v>
      </c>
      <c r="F1" s="290"/>
      <c r="G1" s="4" t="s">
        <v>2</v>
      </c>
      <c r="Q1" s="290"/>
      <c r="R1" s="290"/>
      <c r="S1" s="290"/>
      <c r="T1" s="290"/>
      <c r="U1" s="290"/>
    </row>
    <row r="2">
      <c r="A2" s="288" t="s">
        <v>3</v>
      </c>
      <c r="C2" s="289" t="s">
        <v>159</v>
      </c>
      <c r="F2" s="290"/>
      <c r="Q2" s="290"/>
      <c r="R2" s="290"/>
      <c r="S2" s="290"/>
      <c r="T2" s="290"/>
      <c r="U2" s="290"/>
    </row>
    <row r="3">
      <c r="A3" s="288" t="s">
        <v>5</v>
      </c>
      <c r="C3" s="291"/>
      <c r="F3" s="290"/>
      <c r="Q3" s="290"/>
      <c r="R3" s="290"/>
      <c r="S3" s="290"/>
      <c r="T3" s="290"/>
      <c r="U3" s="290"/>
    </row>
    <row r="4">
      <c r="A4" s="292" t="s">
        <v>6</v>
      </c>
      <c r="B4" s="80"/>
      <c r="C4" s="293"/>
      <c r="D4" s="80"/>
      <c r="E4" s="80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</row>
    <row r="5">
      <c r="A5" s="84" t="s">
        <v>118</v>
      </c>
      <c r="B5" s="10"/>
      <c r="C5" s="11"/>
      <c r="D5" s="84" t="s">
        <v>8</v>
      </c>
      <c r="E5" s="10"/>
      <c r="F5" s="11"/>
      <c r="G5" s="84" t="s">
        <v>119</v>
      </c>
      <c r="H5" s="10"/>
      <c r="I5" s="11"/>
      <c r="J5" s="84" t="s">
        <v>10</v>
      </c>
      <c r="K5" s="10"/>
      <c r="L5" s="11"/>
      <c r="M5" s="84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>
      <c r="A6" s="86"/>
      <c r="B6" s="10"/>
      <c r="C6" s="11"/>
      <c r="D6" s="86"/>
      <c r="E6" s="10"/>
      <c r="F6" s="11"/>
      <c r="G6" s="17">
        <v>46113.0</v>
      </c>
      <c r="H6" s="10"/>
      <c r="I6" s="11"/>
      <c r="J6" s="17">
        <v>46114.0</v>
      </c>
      <c r="K6" s="10"/>
      <c r="L6" s="11"/>
      <c r="M6" s="17">
        <v>46115.0</v>
      </c>
      <c r="N6" s="10"/>
      <c r="O6" s="11"/>
      <c r="P6" s="17">
        <v>46116.0</v>
      </c>
      <c r="Q6" s="10"/>
      <c r="R6" s="11"/>
      <c r="S6" s="165">
        <v>46117.0</v>
      </c>
      <c r="T6" s="10"/>
      <c r="U6" s="11"/>
    </row>
    <row r="7">
      <c r="A7" s="29"/>
      <c r="B7" s="23"/>
      <c r="C7" s="23"/>
      <c r="D7" s="29"/>
      <c r="E7" s="23"/>
      <c r="F7" s="23"/>
      <c r="G7" s="29"/>
      <c r="H7" s="23"/>
      <c r="I7" s="23"/>
      <c r="J7" s="29"/>
      <c r="K7" s="23"/>
      <c r="L7" s="23"/>
      <c r="M7" s="29"/>
      <c r="N7" s="23"/>
      <c r="O7" s="23"/>
      <c r="P7" s="29"/>
      <c r="Q7" s="23"/>
      <c r="R7" s="23"/>
      <c r="S7" s="29"/>
      <c r="T7" s="23"/>
      <c r="U7" s="23"/>
    </row>
    <row r="8">
      <c r="A8" s="29"/>
      <c r="B8" s="23"/>
      <c r="C8" s="23"/>
      <c r="D8" s="29"/>
      <c r="E8" s="23"/>
      <c r="F8" s="23"/>
      <c r="G8" s="29"/>
      <c r="H8" s="23"/>
      <c r="I8" s="23"/>
      <c r="J8" s="29"/>
      <c r="K8" s="23"/>
      <c r="L8" s="23"/>
      <c r="M8" s="29"/>
      <c r="N8" s="23"/>
      <c r="O8" s="23"/>
      <c r="P8" s="29"/>
      <c r="Q8" s="23"/>
      <c r="R8" s="23"/>
      <c r="S8" s="29"/>
      <c r="T8" s="23"/>
      <c r="U8" s="23"/>
    </row>
    <row r="9">
      <c r="A9" s="26"/>
      <c r="B9" s="26"/>
      <c r="C9" s="26"/>
      <c r="D9" s="26"/>
      <c r="E9" s="26"/>
      <c r="F9" s="26"/>
      <c r="G9" s="29"/>
      <c r="H9" s="23"/>
      <c r="I9" s="23"/>
      <c r="J9" s="29"/>
      <c r="K9" s="23"/>
      <c r="L9" s="23"/>
      <c r="M9" s="29"/>
      <c r="N9" s="23"/>
      <c r="O9" s="23"/>
      <c r="P9" s="29"/>
      <c r="Q9" s="23"/>
      <c r="R9" s="23"/>
      <c r="S9" s="29"/>
      <c r="T9" s="23"/>
      <c r="U9" s="23"/>
    </row>
    <row r="10">
      <c r="A10" s="29"/>
      <c r="B10" s="23"/>
      <c r="C10" s="23"/>
      <c r="D10" s="29"/>
      <c r="E10" s="23"/>
      <c r="F10" s="23"/>
      <c r="G10" s="29"/>
      <c r="H10" s="23"/>
      <c r="I10" s="23"/>
      <c r="J10" s="29"/>
      <c r="K10" s="23"/>
      <c r="L10" s="23"/>
      <c r="M10" s="29"/>
      <c r="N10" s="23"/>
      <c r="O10" s="23"/>
      <c r="P10" s="29"/>
      <c r="Q10" s="23"/>
      <c r="R10" s="23"/>
      <c r="S10" s="29"/>
      <c r="T10" s="23"/>
      <c r="U10" s="23"/>
    </row>
    <row r="11">
      <c r="A11" s="29"/>
      <c r="B11" s="23"/>
      <c r="C11" s="23"/>
      <c r="D11" s="29"/>
      <c r="E11" s="23"/>
      <c r="F11" s="23"/>
      <c r="G11" s="29"/>
      <c r="H11" s="23"/>
      <c r="I11" s="23"/>
      <c r="J11" s="29"/>
      <c r="K11" s="23"/>
      <c r="L11" s="23"/>
      <c r="M11" s="29"/>
      <c r="N11" s="23"/>
      <c r="O11" s="23"/>
      <c r="P11" s="29"/>
      <c r="Q11" s="23"/>
      <c r="R11" s="23"/>
      <c r="S11" s="29"/>
      <c r="T11" s="23"/>
      <c r="U11" s="23"/>
    </row>
    <row r="12">
      <c r="A12" s="44"/>
      <c r="B12" s="36"/>
      <c r="C12" s="36"/>
      <c r="D12" s="44"/>
      <c r="E12" s="36"/>
      <c r="F12" s="36"/>
      <c r="G12" s="29"/>
      <c r="H12" s="23"/>
      <c r="I12" s="23"/>
      <c r="J12" s="29"/>
      <c r="K12" s="23"/>
      <c r="L12" s="23"/>
      <c r="M12" s="29"/>
      <c r="N12" s="23"/>
      <c r="O12" s="23"/>
      <c r="P12" s="29"/>
      <c r="Q12" s="23"/>
      <c r="R12" s="23"/>
      <c r="S12" s="29"/>
      <c r="T12" s="23"/>
      <c r="U12" s="23"/>
    </row>
    <row r="13">
      <c r="A13" s="39" t="s">
        <v>7</v>
      </c>
      <c r="B13" s="15"/>
      <c r="C13" s="16"/>
      <c r="D13" s="40" t="s">
        <v>8</v>
      </c>
      <c r="E13" s="15"/>
      <c r="F13" s="16"/>
      <c r="G13" s="40" t="s">
        <v>9</v>
      </c>
      <c r="H13" s="15"/>
      <c r="I13" s="16"/>
      <c r="J13" s="40" t="s">
        <v>10</v>
      </c>
      <c r="K13" s="15"/>
      <c r="L13" s="16"/>
      <c r="M13" s="40" t="s">
        <v>11</v>
      </c>
      <c r="N13" s="15"/>
      <c r="O13" s="16"/>
      <c r="P13" s="40" t="s">
        <v>12</v>
      </c>
      <c r="Q13" s="15"/>
      <c r="R13" s="16"/>
      <c r="S13" s="41" t="s">
        <v>13</v>
      </c>
      <c r="T13" s="15"/>
      <c r="U13" s="16"/>
    </row>
    <row r="14">
      <c r="A14" s="42">
        <f>S6+1</f>
        <v>46118</v>
      </c>
      <c r="B14" s="15"/>
      <c r="C14" s="16"/>
      <c r="D14" s="295">
        <f>A14+1</f>
        <v>46119</v>
      </c>
      <c r="E14" s="15"/>
      <c r="F14" s="16"/>
      <c r="G14" s="295">
        <f>D14+1</f>
        <v>46120</v>
      </c>
      <c r="H14" s="15"/>
      <c r="I14" s="16"/>
      <c r="J14" s="295">
        <f>G14+1</f>
        <v>46121</v>
      </c>
      <c r="K14" s="15"/>
      <c r="L14" s="16"/>
      <c r="M14" s="295">
        <f>J14+1</f>
        <v>46122</v>
      </c>
      <c r="N14" s="15"/>
      <c r="O14" s="16"/>
      <c r="P14" s="295">
        <f>M14+1</f>
        <v>46123</v>
      </c>
      <c r="Q14" s="15"/>
      <c r="R14" s="16"/>
      <c r="S14" s="296">
        <f>P14+1</f>
        <v>46124</v>
      </c>
      <c r="T14" s="15"/>
      <c r="U14" s="16"/>
    </row>
    <row r="15">
      <c r="A15" s="29"/>
      <c r="B15" s="23"/>
      <c r="C15" s="23"/>
      <c r="D15" s="29"/>
      <c r="E15" s="23"/>
      <c r="F15" s="23"/>
      <c r="G15" s="29"/>
      <c r="H15" s="23"/>
      <c r="I15" s="23"/>
      <c r="J15" s="29"/>
      <c r="K15" s="23"/>
      <c r="L15" s="23"/>
      <c r="M15" s="29"/>
      <c r="N15" s="23"/>
      <c r="O15" s="23"/>
      <c r="P15" s="29"/>
      <c r="Q15" s="23"/>
      <c r="R15" s="23"/>
      <c r="S15" s="29"/>
      <c r="T15" s="23"/>
      <c r="U15" s="23"/>
    </row>
    <row r="16">
      <c r="A16" s="29"/>
      <c r="B16" s="23"/>
      <c r="C16" s="23"/>
      <c r="D16" s="29"/>
      <c r="E16" s="23"/>
      <c r="F16" s="23"/>
      <c r="G16" s="29"/>
      <c r="H16" s="23"/>
      <c r="I16" s="23"/>
      <c r="J16" s="29"/>
      <c r="K16" s="23"/>
      <c r="L16" s="23"/>
      <c r="M16" s="29"/>
      <c r="N16" s="23"/>
      <c r="O16" s="23"/>
      <c r="P16" s="282" t="s">
        <v>381</v>
      </c>
      <c r="Q16" s="132" t="s">
        <v>134</v>
      </c>
      <c r="R16" s="38" t="s">
        <v>399</v>
      </c>
      <c r="S16" s="29" t="s">
        <v>407</v>
      </c>
      <c r="T16" s="303" t="s">
        <v>179</v>
      </c>
      <c r="U16" s="23" t="s">
        <v>57</v>
      </c>
    </row>
    <row r="17">
      <c r="A17" s="125" t="s">
        <v>408</v>
      </c>
      <c r="B17" s="26" t="s">
        <v>334</v>
      </c>
      <c r="C17" s="26" t="s">
        <v>47</v>
      </c>
      <c r="D17" s="26" t="s">
        <v>394</v>
      </c>
      <c r="E17" s="26" t="s">
        <v>114</v>
      </c>
      <c r="F17" s="26" t="s">
        <v>47</v>
      </c>
      <c r="G17" s="29"/>
      <c r="H17" s="23"/>
      <c r="I17" s="23"/>
      <c r="J17" s="29"/>
      <c r="K17" s="23"/>
      <c r="L17" s="23"/>
      <c r="M17" s="29"/>
      <c r="N17" s="23"/>
      <c r="O17" s="23"/>
      <c r="P17" s="29"/>
      <c r="Q17" s="23"/>
      <c r="R17" s="23"/>
      <c r="S17" s="26"/>
      <c r="T17" s="26"/>
      <c r="U17" s="26"/>
    </row>
    <row r="18">
      <c r="A18" s="38" t="s">
        <v>409</v>
      </c>
      <c r="B18" s="38" t="s">
        <v>396</v>
      </c>
      <c r="C18" s="26" t="s">
        <v>47</v>
      </c>
      <c r="D18" s="26" t="s">
        <v>395</v>
      </c>
      <c r="E18" s="26" t="s">
        <v>396</v>
      </c>
      <c r="F18" s="26" t="s">
        <v>47</v>
      </c>
      <c r="G18" s="29"/>
      <c r="H18" s="23"/>
      <c r="I18" s="23"/>
      <c r="J18" s="29"/>
      <c r="K18" s="23"/>
      <c r="L18" s="23"/>
      <c r="M18" s="29"/>
      <c r="N18" s="23"/>
      <c r="O18" s="23"/>
      <c r="P18" s="29"/>
      <c r="Q18" s="23"/>
      <c r="R18" s="23"/>
      <c r="S18" s="29"/>
      <c r="T18" s="23"/>
      <c r="U18" s="23"/>
    </row>
    <row r="19">
      <c r="A19" s="29"/>
      <c r="B19" s="23"/>
      <c r="C19" s="23"/>
      <c r="D19" s="29"/>
      <c r="E19" s="23"/>
      <c r="F19" s="23"/>
      <c r="G19" s="29"/>
      <c r="H19" s="23"/>
      <c r="I19" s="23"/>
      <c r="J19" s="29"/>
      <c r="K19" s="23"/>
      <c r="L19" s="23"/>
      <c r="M19" s="29"/>
      <c r="N19" s="23"/>
      <c r="O19" s="23"/>
      <c r="P19" s="29"/>
      <c r="Q19" s="23"/>
      <c r="R19" s="23"/>
      <c r="S19" s="95" t="s">
        <v>139</v>
      </c>
      <c r="T19" s="95" t="s">
        <v>153</v>
      </c>
      <c r="U19" s="95" t="s">
        <v>157</v>
      </c>
    </row>
    <row r="20">
      <c r="A20" s="44"/>
      <c r="B20" s="36"/>
      <c r="C20" s="36"/>
      <c r="D20" s="44"/>
      <c r="E20" s="36"/>
      <c r="F20" s="36"/>
      <c r="G20" s="29"/>
      <c r="H20" s="23"/>
      <c r="I20" s="23"/>
      <c r="J20" s="29"/>
      <c r="K20" s="23"/>
      <c r="L20" s="23"/>
      <c r="M20" s="29"/>
      <c r="N20" s="23"/>
      <c r="O20" s="23"/>
      <c r="P20" s="29"/>
      <c r="Q20" s="23"/>
      <c r="R20" s="23"/>
      <c r="S20" s="29"/>
      <c r="T20" s="23"/>
      <c r="U20" s="23"/>
    </row>
    <row r="21" ht="15.75" customHeight="1">
      <c r="A21" s="51" t="s">
        <v>7</v>
      </c>
      <c r="B21" s="15"/>
      <c r="C21" s="16"/>
      <c r="D21" s="52" t="s">
        <v>8</v>
      </c>
      <c r="E21" s="15"/>
      <c r="F21" s="16"/>
      <c r="G21" s="52" t="s">
        <v>9</v>
      </c>
      <c r="H21" s="15"/>
      <c r="I21" s="16"/>
      <c r="J21" s="52" t="s">
        <v>10</v>
      </c>
      <c r="K21" s="15"/>
      <c r="L21" s="16"/>
      <c r="M21" s="52" t="s">
        <v>11</v>
      </c>
      <c r="N21" s="15"/>
      <c r="O21" s="16"/>
      <c r="P21" s="52" t="s">
        <v>12</v>
      </c>
      <c r="Q21" s="15"/>
      <c r="R21" s="16"/>
      <c r="S21" s="53" t="s">
        <v>13</v>
      </c>
      <c r="T21" s="15"/>
      <c r="U21" s="16"/>
    </row>
    <row r="22" ht="15.75" customHeight="1">
      <c r="A22" s="54">
        <f>S14+1</f>
        <v>46125</v>
      </c>
      <c r="B22" s="15"/>
      <c r="C22" s="16"/>
      <c r="D22" s="55">
        <f>A22+1</f>
        <v>46126</v>
      </c>
      <c r="E22" s="15"/>
      <c r="F22" s="16"/>
      <c r="G22" s="55">
        <f>D22+1</f>
        <v>46127</v>
      </c>
      <c r="H22" s="15"/>
      <c r="I22" s="16"/>
      <c r="J22" s="55">
        <f>G22+1</f>
        <v>46128</v>
      </c>
      <c r="K22" s="15"/>
      <c r="L22" s="16"/>
      <c r="M22" s="55">
        <f>J22+1</f>
        <v>46129</v>
      </c>
      <c r="N22" s="15"/>
      <c r="O22" s="16"/>
      <c r="P22" s="55">
        <f>M22+1</f>
        <v>46130</v>
      </c>
      <c r="Q22" s="15"/>
      <c r="R22" s="16"/>
      <c r="S22" s="18">
        <f>P22+1</f>
        <v>46131</v>
      </c>
      <c r="T22" s="15"/>
      <c r="U22" s="16"/>
    </row>
    <row r="23" ht="15.75" customHeight="1">
      <c r="A23" s="29"/>
      <c r="B23" s="23"/>
      <c r="C23" s="23"/>
      <c r="D23" s="29"/>
      <c r="E23" s="23"/>
      <c r="F23" s="23"/>
      <c r="G23" s="29"/>
      <c r="H23" s="23"/>
      <c r="I23" s="23"/>
      <c r="J23" s="29"/>
      <c r="K23" s="23"/>
      <c r="L23" s="23"/>
      <c r="M23" s="29" t="s">
        <v>410</v>
      </c>
      <c r="N23" s="23" t="s">
        <v>411</v>
      </c>
      <c r="O23" s="23" t="s">
        <v>345</v>
      </c>
      <c r="P23" s="29"/>
      <c r="Q23" s="23"/>
      <c r="R23" s="23"/>
      <c r="S23" s="29"/>
      <c r="T23" s="23"/>
      <c r="U23" s="23"/>
    </row>
    <row r="24" ht="15.75" customHeight="1">
      <c r="A24" s="29"/>
      <c r="B24" s="23"/>
      <c r="C24" s="23"/>
      <c r="D24" s="29"/>
      <c r="E24" s="23"/>
      <c r="F24" s="23"/>
      <c r="G24" s="29"/>
      <c r="H24" s="23"/>
      <c r="I24" s="23"/>
      <c r="J24" s="29"/>
      <c r="K24" s="23"/>
      <c r="L24" s="23"/>
      <c r="M24" s="95" t="s">
        <v>139</v>
      </c>
      <c r="N24" s="95" t="s">
        <v>140</v>
      </c>
      <c r="O24" s="95" t="s">
        <v>412</v>
      </c>
      <c r="P24" s="29"/>
      <c r="Q24" s="23"/>
      <c r="R24" s="23"/>
      <c r="S24" s="29"/>
      <c r="T24" s="23"/>
      <c r="U24" s="23"/>
    </row>
    <row r="25" ht="15.75" customHeight="1">
      <c r="A25" s="26" t="s">
        <v>413</v>
      </c>
      <c r="B25" s="26" t="s">
        <v>68</v>
      </c>
      <c r="C25" s="26" t="s">
        <v>57</v>
      </c>
      <c r="D25" s="26"/>
      <c r="E25" s="26"/>
      <c r="F25" s="26"/>
      <c r="G25" s="26"/>
      <c r="H25" s="26"/>
      <c r="I25" s="26"/>
      <c r="J25" s="26"/>
      <c r="K25" s="26"/>
      <c r="L25" s="26"/>
      <c r="M25" s="95"/>
      <c r="N25" s="95"/>
      <c r="O25" s="95"/>
      <c r="P25" s="29"/>
      <c r="Q25" s="23"/>
      <c r="R25" s="23"/>
      <c r="S25" s="26"/>
      <c r="T25" s="26"/>
      <c r="U25" s="26"/>
    </row>
    <row r="26" ht="15.75" customHeight="1">
      <c r="A26" s="26" t="s">
        <v>394</v>
      </c>
      <c r="B26" s="26" t="s">
        <v>114</v>
      </c>
      <c r="C26" s="26" t="s">
        <v>47</v>
      </c>
      <c r="D26" s="125" t="s">
        <v>408</v>
      </c>
      <c r="E26" s="26" t="s">
        <v>334</v>
      </c>
      <c r="F26" s="26" t="s">
        <v>47</v>
      </c>
      <c r="G26" s="214" t="s">
        <v>22</v>
      </c>
      <c r="H26" s="10"/>
      <c r="I26" s="11"/>
      <c r="J26" s="29"/>
      <c r="K26" s="23"/>
      <c r="L26" s="23"/>
      <c r="M26" s="95"/>
      <c r="N26" s="95"/>
      <c r="O26" s="95"/>
      <c r="P26" s="29"/>
      <c r="Q26" s="23"/>
      <c r="R26" s="23"/>
      <c r="S26" s="29"/>
      <c r="T26" s="23"/>
      <c r="U26" s="23"/>
    </row>
    <row r="27" ht="15.75" customHeight="1">
      <c r="A27" s="38" t="s">
        <v>409</v>
      </c>
      <c r="B27" s="38" t="s">
        <v>396</v>
      </c>
      <c r="C27" s="26" t="s">
        <v>47</v>
      </c>
      <c r="D27" s="26" t="s">
        <v>395</v>
      </c>
      <c r="E27" s="26" t="s">
        <v>396</v>
      </c>
      <c r="F27" s="26" t="s">
        <v>47</v>
      </c>
      <c r="G27" s="26"/>
      <c r="H27" s="26"/>
      <c r="I27" s="26"/>
      <c r="J27" s="29"/>
      <c r="K27" s="23"/>
      <c r="L27" s="23"/>
      <c r="M27" s="29"/>
      <c r="N27" s="23"/>
      <c r="O27" s="23"/>
      <c r="P27" s="29"/>
      <c r="Q27" s="23"/>
      <c r="R27" s="23"/>
      <c r="S27" s="29"/>
      <c r="T27" s="23"/>
      <c r="U27" s="23"/>
    </row>
    <row r="28" ht="15.75" customHeight="1">
      <c r="A28" s="44"/>
      <c r="B28" s="36"/>
      <c r="C28" s="36"/>
      <c r="D28" s="45" t="s">
        <v>410</v>
      </c>
      <c r="E28" s="37" t="s">
        <v>414</v>
      </c>
      <c r="F28" s="37" t="s">
        <v>57</v>
      </c>
      <c r="G28" s="44"/>
      <c r="H28" s="36"/>
      <c r="I28" s="36"/>
      <c r="J28" s="44"/>
      <c r="K28" s="36"/>
      <c r="L28" s="36"/>
      <c r="M28" s="44"/>
      <c r="N28" s="36"/>
      <c r="O28" s="36"/>
      <c r="P28" s="29"/>
      <c r="Q28" s="23"/>
      <c r="R28" s="23"/>
      <c r="S28" s="44"/>
      <c r="T28" s="36"/>
      <c r="U28" s="36"/>
    </row>
    <row r="29" ht="15.75" customHeight="1">
      <c r="A29" s="39" t="s">
        <v>7</v>
      </c>
      <c r="B29" s="15"/>
      <c r="C29" s="16"/>
      <c r="D29" s="40" t="s">
        <v>8</v>
      </c>
      <c r="E29" s="15"/>
      <c r="F29" s="16"/>
      <c r="G29" s="40" t="s">
        <v>9</v>
      </c>
      <c r="H29" s="15"/>
      <c r="I29" s="16"/>
      <c r="J29" s="40" t="s">
        <v>10</v>
      </c>
      <c r="K29" s="15"/>
      <c r="L29" s="16"/>
      <c r="M29" s="40" t="s">
        <v>11</v>
      </c>
      <c r="N29" s="15"/>
      <c r="O29" s="16"/>
      <c r="P29" s="40" t="s">
        <v>12</v>
      </c>
      <c r="Q29" s="15"/>
      <c r="R29" s="16"/>
      <c r="S29" s="41" t="s">
        <v>13</v>
      </c>
      <c r="T29" s="15"/>
      <c r="U29" s="16"/>
    </row>
    <row r="30" ht="15.75" customHeight="1">
      <c r="A30" s="62">
        <f>S22+1</f>
        <v>46132</v>
      </c>
      <c r="B30" s="15"/>
      <c r="C30" s="16"/>
      <c r="D30" s="63">
        <f>A30+1</f>
        <v>46133</v>
      </c>
      <c r="E30" s="15"/>
      <c r="F30" s="16"/>
      <c r="G30" s="63">
        <f>D30+1</f>
        <v>46134</v>
      </c>
      <c r="H30" s="15"/>
      <c r="I30" s="16"/>
      <c r="J30" s="63">
        <f>G30+1</f>
        <v>46135</v>
      </c>
      <c r="K30" s="15"/>
      <c r="L30" s="16"/>
      <c r="M30" s="63">
        <f>J30+1</f>
        <v>46136</v>
      </c>
      <c r="N30" s="15"/>
      <c r="O30" s="16"/>
      <c r="P30" s="63">
        <f>M30+1</f>
        <v>46137</v>
      </c>
      <c r="Q30" s="15"/>
      <c r="R30" s="16"/>
      <c r="S30" s="70">
        <f>P30+1</f>
        <v>46138</v>
      </c>
      <c r="T30" s="15"/>
      <c r="U30" s="16"/>
    </row>
    <row r="31" ht="15.75" customHeight="1">
      <c r="A31" s="29"/>
      <c r="B31" s="23"/>
      <c r="C31" s="23"/>
      <c r="D31" s="29"/>
      <c r="E31" s="23"/>
      <c r="F31" s="23"/>
      <c r="G31" s="29"/>
      <c r="H31" s="23"/>
      <c r="I31" s="23"/>
      <c r="J31" s="29"/>
      <c r="K31" s="23"/>
      <c r="L31" s="23"/>
      <c r="M31" s="29"/>
      <c r="N31" s="23"/>
      <c r="O31" s="23"/>
      <c r="P31" s="29"/>
      <c r="Q31" s="23"/>
      <c r="R31" s="23"/>
      <c r="S31" s="29"/>
      <c r="T31" s="23"/>
      <c r="U31" s="23"/>
    </row>
    <row r="32" ht="15.75" customHeight="1">
      <c r="A32" s="29"/>
      <c r="B32" s="23"/>
      <c r="C32" s="23"/>
      <c r="D32" s="29"/>
      <c r="E32" s="23"/>
      <c r="F32" s="23"/>
      <c r="G32" s="29"/>
      <c r="H32" s="23"/>
      <c r="I32" s="23"/>
      <c r="J32" s="29"/>
      <c r="K32" s="23"/>
      <c r="L32" s="23"/>
      <c r="M32" s="29"/>
      <c r="N32" s="23"/>
      <c r="O32" s="23"/>
      <c r="P32" s="29"/>
      <c r="Q32" s="23"/>
      <c r="R32" s="23"/>
      <c r="S32" s="29"/>
      <c r="T32" s="23"/>
      <c r="U32" s="23"/>
    </row>
    <row r="33" ht="15.75" customHeight="1">
      <c r="A33" s="26"/>
      <c r="B33" s="26"/>
      <c r="C33" s="26"/>
      <c r="D33" s="26"/>
      <c r="E33" s="26"/>
      <c r="F33" s="26"/>
      <c r="G33" s="29"/>
      <c r="H33" s="23"/>
      <c r="I33" s="23"/>
      <c r="J33" s="29"/>
      <c r="K33" s="23"/>
      <c r="L33" s="23"/>
      <c r="M33" s="26"/>
      <c r="N33" s="26"/>
      <c r="O33" s="26"/>
      <c r="P33" s="29"/>
      <c r="Q33" s="23"/>
      <c r="R33" s="23"/>
      <c r="S33" s="26"/>
      <c r="T33" s="26"/>
      <c r="U33" s="26"/>
    </row>
    <row r="34" ht="15.75" customHeight="1">
      <c r="A34" s="125" t="s">
        <v>408</v>
      </c>
      <c r="B34" s="26" t="s">
        <v>334</v>
      </c>
      <c r="C34" s="26" t="s">
        <v>47</v>
      </c>
      <c r="D34" s="26" t="s">
        <v>394</v>
      </c>
      <c r="E34" s="26" t="s">
        <v>114</v>
      </c>
      <c r="F34" s="26" t="s">
        <v>47</v>
      </c>
      <c r="G34" s="29" t="s">
        <v>415</v>
      </c>
      <c r="H34" s="23" t="s">
        <v>91</v>
      </c>
      <c r="I34" s="23" t="s">
        <v>57</v>
      </c>
      <c r="J34" s="29" t="s">
        <v>416</v>
      </c>
      <c r="K34" s="23" t="s">
        <v>30</v>
      </c>
      <c r="L34" s="23" t="s">
        <v>57</v>
      </c>
      <c r="M34" s="29" t="s">
        <v>417</v>
      </c>
      <c r="N34" s="23" t="s">
        <v>30</v>
      </c>
      <c r="O34" s="23"/>
      <c r="P34" s="214" t="s">
        <v>22</v>
      </c>
      <c r="Q34" s="10"/>
      <c r="R34" s="11"/>
      <c r="S34" s="29"/>
      <c r="T34" s="23"/>
      <c r="U34" s="23"/>
    </row>
    <row r="35" ht="15.75" customHeight="1">
      <c r="A35" s="38" t="s">
        <v>409</v>
      </c>
      <c r="B35" s="38" t="s">
        <v>396</v>
      </c>
      <c r="C35" s="26" t="s">
        <v>47</v>
      </c>
      <c r="D35" s="26" t="s">
        <v>395</v>
      </c>
      <c r="E35" s="26" t="s">
        <v>396</v>
      </c>
      <c r="F35" s="26" t="s">
        <v>47</v>
      </c>
      <c r="G35" s="29" t="s">
        <v>418</v>
      </c>
      <c r="H35" s="23" t="s">
        <v>232</v>
      </c>
      <c r="I35" s="23" t="s">
        <v>57</v>
      </c>
      <c r="J35" s="29"/>
      <c r="K35" s="23"/>
      <c r="L35" s="23"/>
      <c r="M35" s="29"/>
      <c r="N35" s="23"/>
      <c r="O35" s="23"/>
      <c r="P35" s="29"/>
      <c r="Q35" s="23"/>
      <c r="R35" s="23"/>
      <c r="S35" s="29"/>
      <c r="T35" s="23"/>
      <c r="U35" s="23"/>
    </row>
    <row r="36" ht="15.75" customHeight="1">
      <c r="A36" s="44"/>
      <c r="B36" s="36"/>
      <c r="C36" s="36"/>
      <c r="D36" s="44"/>
      <c r="E36" s="36"/>
      <c r="F36" s="36"/>
      <c r="G36" s="29"/>
      <c r="H36" s="23"/>
      <c r="I36" s="23"/>
      <c r="J36" s="29"/>
      <c r="K36" s="23"/>
      <c r="L36" s="23"/>
      <c r="M36" s="44"/>
      <c r="N36" s="36"/>
      <c r="O36" s="36"/>
      <c r="P36" s="29"/>
      <c r="Q36" s="23"/>
      <c r="R36" s="23"/>
      <c r="S36" s="44"/>
      <c r="T36" s="36"/>
      <c r="U36" s="36"/>
    </row>
    <row r="37" ht="15.75" customHeight="1">
      <c r="A37" s="51" t="s">
        <v>7</v>
      </c>
      <c r="B37" s="15"/>
      <c r="C37" s="16"/>
      <c r="D37" s="52" t="s">
        <v>8</v>
      </c>
      <c r="E37" s="15"/>
      <c r="F37" s="16"/>
      <c r="G37" s="52" t="s">
        <v>9</v>
      </c>
      <c r="H37" s="15"/>
      <c r="I37" s="16"/>
      <c r="J37" s="52" t="s">
        <v>10</v>
      </c>
      <c r="K37" s="15"/>
      <c r="L37" s="16"/>
      <c r="M37" s="52"/>
      <c r="N37" s="15"/>
      <c r="O37" s="16"/>
      <c r="P37" s="52"/>
      <c r="Q37" s="15"/>
      <c r="R37" s="16"/>
      <c r="S37" s="53"/>
      <c r="T37" s="15"/>
      <c r="U37" s="16"/>
    </row>
    <row r="38" ht="15.75" customHeight="1">
      <c r="A38" s="54">
        <f>S30+1</f>
        <v>46139</v>
      </c>
      <c r="B38" s="15"/>
      <c r="C38" s="16"/>
      <c r="D38" s="55">
        <f>A38+1</f>
        <v>46140</v>
      </c>
      <c r="E38" s="15"/>
      <c r="F38" s="16"/>
      <c r="G38" s="55">
        <f>D38+1</f>
        <v>46141</v>
      </c>
      <c r="H38" s="15"/>
      <c r="I38" s="16"/>
      <c r="J38" s="55">
        <f>G38+1</f>
        <v>46142</v>
      </c>
      <c r="K38" s="15"/>
      <c r="L38" s="16"/>
      <c r="M38" s="55"/>
      <c r="N38" s="15"/>
      <c r="O38" s="16"/>
      <c r="P38" s="55"/>
      <c r="Q38" s="15"/>
      <c r="R38" s="16"/>
      <c r="S38" s="18"/>
      <c r="T38" s="15"/>
      <c r="U38" s="16"/>
    </row>
    <row r="39" ht="15.75" customHeight="1">
      <c r="A39" s="29"/>
      <c r="B39" s="23"/>
      <c r="C39" s="23"/>
      <c r="D39" s="29"/>
      <c r="E39" s="23"/>
      <c r="F39" s="23"/>
      <c r="G39" s="29"/>
      <c r="H39" s="23"/>
      <c r="I39" s="23"/>
      <c r="J39" s="29"/>
      <c r="K39" s="23"/>
      <c r="L39" s="23"/>
      <c r="M39" s="29"/>
      <c r="N39" s="23"/>
      <c r="O39" s="23"/>
      <c r="P39" s="29"/>
      <c r="Q39" s="23"/>
      <c r="R39" s="23"/>
      <c r="S39" s="29"/>
      <c r="T39" s="23"/>
      <c r="U39" s="23"/>
    </row>
    <row r="40" ht="15.75" customHeight="1">
      <c r="A40" s="29"/>
      <c r="B40" s="23"/>
      <c r="C40" s="23"/>
      <c r="D40" s="29"/>
      <c r="E40" s="23"/>
      <c r="F40" s="23"/>
      <c r="G40" s="29"/>
      <c r="H40" s="23"/>
      <c r="I40" s="23"/>
      <c r="J40" s="29"/>
      <c r="K40" s="23"/>
      <c r="L40" s="23"/>
      <c r="M40" s="29"/>
      <c r="N40" s="23"/>
      <c r="O40" s="23"/>
      <c r="P40" s="29"/>
      <c r="Q40" s="23"/>
      <c r="R40" s="23"/>
      <c r="S40" s="29"/>
      <c r="T40" s="23"/>
      <c r="U40" s="23"/>
    </row>
    <row r="41" ht="15.75" customHeight="1">
      <c r="A41" s="26"/>
      <c r="B41" s="26"/>
      <c r="C41" s="26"/>
      <c r="D41" s="29"/>
      <c r="E41" s="23"/>
      <c r="F41" s="23"/>
      <c r="G41" s="29"/>
      <c r="H41" s="23"/>
      <c r="I41" s="23"/>
      <c r="J41" s="29"/>
      <c r="K41" s="23"/>
      <c r="L41" s="23"/>
      <c r="M41" s="26"/>
      <c r="N41" s="26"/>
      <c r="O41" s="26"/>
      <c r="P41" s="26"/>
      <c r="Q41" s="26"/>
      <c r="R41" s="26"/>
      <c r="S41" s="26"/>
      <c r="T41" s="26"/>
      <c r="U41" s="26"/>
    </row>
    <row r="42" ht="15.75" customHeight="1">
      <c r="A42" s="125" t="s">
        <v>408</v>
      </c>
      <c r="B42" s="26" t="s">
        <v>334</v>
      </c>
      <c r="C42" s="26" t="s">
        <v>47</v>
      </c>
      <c r="D42" s="26" t="s">
        <v>395</v>
      </c>
      <c r="E42" s="26" t="s">
        <v>419</v>
      </c>
      <c r="F42" s="26" t="s">
        <v>47</v>
      </c>
      <c r="G42" s="87" t="s">
        <v>132</v>
      </c>
      <c r="H42" s="87" t="s">
        <v>198</v>
      </c>
      <c r="I42" s="87" t="s">
        <v>16</v>
      </c>
      <c r="J42" s="29"/>
      <c r="K42" s="23"/>
      <c r="L42" s="23"/>
      <c r="M42" s="29"/>
      <c r="N42" s="23"/>
      <c r="O42" s="23"/>
      <c r="P42" s="29"/>
      <c r="Q42" s="23"/>
      <c r="R42" s="23"/>
      <c r="S42" s="29"/>
      <c r="T42" s="23"/>
      <c r="U42" s="23"/>
    </row>
    <row r="43" ht="15.75" customHeight="1">
      <c r="A43" s="38" t="s">
        <v>409</v>
      </c>
      <c r="B43" s="38" t="s">
        <v>396</v>
      </c>
      <c r="C43" s="26" t="s">
        <v>47</v>
      </c>
      <c r="D43" s="29" t="s">
        <v>410</v>
      </c>
      <c r="E43" s="23" t="s">
        <v>411</v>
      </c>
      <c r="F43" s="23" t="s">
        <v>57</v>
      </c>
      <c r="G43" s="29"/>
      <c r="H43" s="23"/>
      <c r="I43" s="23"/>
      <c r="J43" s="29"/>
      <c r="K43" s="23"/>
      <c r="L43" s="23"/>
      <c r="M43" s="29"/>
      <c r="N43" s="23"/>
      <c r="O43" s="23"/>
      <c r="P43" s="29"/>
      <c r="Q43" s="23"/>
      <c r="R43" s="23"/>
      <c r="S43" s="29"/>
      <c r="T43" s="23"/>
      <c r="U43" s="23"/>
    </row>
    <row r="44" ht="15.75" customHeight="1">
      <c r="A44" s="44"/>
      <c r="B44" s="36"/>
      <c r="C44" s="36"/>
      <c r="D44" s="44"/>
      <c r="E44" s="36"/>
      <c r="F44" s="36"/>
      <c r="G44" s="29"/>
      <c r="H44" s="23"/>
      <c r="I44" s="23"/>
      <c r="J44" s="29"/>
      <c r="K44" s="23"/>
      <c r="L44" s="23"/>
      <c r="M44" s="44"/>
      <c r="N44" s="36"/>
      <c r="O44" s="36"/>
      <c r="P44" s="44"/>
      <c r="Q44" s="36"/>
      <c r="R44" s="36"/>
      <c r="S44" s="44"/>
      <c r="T44" s="36"/>
      <c r="U44" s="36"/>
    </row>
    <row r="45" ht="15.75" customHeight="1">
      <c r="A45" s="39"/>
      <c r="B45" s="15"/>
      <c r="C45" s="16"/>
      <c r="D45" s="40"/>
      <c r="E45" s="15"/>
      <c r="F45" s="16"/>
      <c r="G45" s="40"/>
      <c r="H45" s="15"/>
      <c r="I45" s="16"/>
      <c r="J45" s="40"/>
      <c r="K45" s="15"/>
      <c r="L45" s="16"/>
      <c r="M45" s="40"/>
      <c r="N45" s="15"/>
      <c r="O45" s="16"/>
      <c r="P45" s="40"/>
      <c r="Q45" s="15"/>
      <c r="R45" s="16"/>
      <c r="S45" s="297"/>
      <c r="T45" s="15"/>
      <c r="U45" s="16"/>
    </row>
    <row r="46" ht="15.75" customHeight="1">
      <c r="A46" s="62"/>
      <c r="B46" s="15"/>
      <c r="C46" s="16"/>
      <c r="D46" s="63"/>
      <c r="E46" s="15"/>
      <c r="F46" s="16"/>
      <c r="G46" s="63"/>
      <c r="H46" s="15"/>
      <c r="I46" s="16"/>
      <c r="J46" s="63"/>
      <c r="K46" s="15"/>
      <c r="L46" s="16"/>
      <c r="M46" s="63"/>
      <c r="N46" s="15"/>
      <c r="O46" s="16"/>
      <c r="P46" s="63"/>
      <c r="Q46" s="15"/>
      <c r="R46" s="16"/>
      <c r="S46" s="298"/>
      <c r="T46" s="15"/>
      <c r="U46" s="16"/>
    </row>
    <row r="47" ht="15.75" customHeight="1">
      <c r="A47" s="38"/>
      <c r="B47" s="38"/>
      <c r="C47" s="38"/>
      <c r="D47" s="38"/>
      <c r="E47" s="38"/>
      <c r="F47" s="38"/>
      <c r="G47" s="36"/>
      <c r="H47" s="172"/>
      <c r="I47" s="172"/>
      <c r="J47" s="170"/>
      <c r="K47" s="170"/>
      <c r="L47" s="170"/>
      <c r="M47" s="299"/>
      <c r="N47" s="299"/>
      <c r="O47" s="299"/>
      <c r="P47" s="299"/>
      <c r="Q47" s="299"/>
      <c r="R47" s="299"/>
      <c r="S47" s="170"/>
      <c r="T47" s="170"/>
      <c r="U47" s="170"/>
    </row>
    <row r="48" ht="15.75" customHeight="1">
      <c r="A48" s="38"/>
      <c r="B48" s="38"/>
      <c r="C48" s="38"/>
      <c r="D48" s="26"/>
      <c r="E48" s="26"/>
      <c r="F48" s="26"/>
      <c r="G48" s="299"/>
      <c r="H48" s="299"/>
      <c r="I48" s="299"/>
      <c r="J48" s="170"/>
      <c r="K48" s="170"/>
      <c r="L48" s="170"/>
      <c r="M48" s="300"/>
      <c r="N48" s="300"/>
      <c r="O48" s="300"/>
      <c r="P48" s="299"/>
      <c r="Q48" s="299"/>
      <c r="R48" s="299"/>
      <c r="S48" s="299"/>
      <c r="T48" s="299"/>
      <c r="U48" s="299"/>
    </row>
    <row r="49" ht="15.75" customHeight="1">
      <c r="A49" s="38"/>
      <c r="B49" s="38"/>
      <c r="C49" s="38"/>
      <c r="D49" s="38"/>
      <c r="E49" s="38"/>
      <c r="F49" s="38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</row>
    <row r="50" ht="15.75" customHeight="1">
      <c r="A50" s="299"/>
      <c r="B50" s="299"/>
      <c r="C50" s="299"/>
      <c r="D50" s="38"/>
      <c r="E50" s="38"/>
      <c r="F50" s="38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170"/>
      <c r="T50" s="170"/>
      <c r="U50" s="170"/>
    </row>
    <row r="51" ht="15.75" customHeight="1">
      <c r="A51" s="38"/>
      <c r="B51" s="38"/>
      <c r="C51" s="38"/>
      <c r="D51" s="161"/>
      <c r="E51" s="161"/>
      <c r="F51" s="161"/>
      <c r="G51" s="299"/>
      <c r="H51" s="299"/>
      <c r="I51" s="170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</row>
    <row r="52" ht="15.75" customHeight="1">
      <c r="A52" s="301"/>
      <c r="B52" s="170"/>
      <c r="C52" s="170"/>
      <c r="D52" s="299"/>
      <c r="E52" s="299"/>
      <c r="F52" s="299"/>
      <c r="G52" s="170"/>
      <c r="H52" s="170"/>
      <c r="I52" s="170"/>
      <c r="J52" s="299"/>
      <c r="K52" s="299"/>
      <c r="L52" s="299"/>
      <c r="M52" s="170"/>
      <c r="N52" s="170"/>
      <c r="O52" s="170"/>
      <c r="P52" s="299"/>
      <c r="Q52" s="299"/>
      <c r="R52" s="299"/>
      <c r="S52" s="170"/>
      <c r="T52" s="170"/>
      <c r="U52" s="170"/>
    </row>
    <row r="53" ht="15.75" customHeight="1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L63" s="77" t="s">
        <v>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G26:I26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D30:F30"/>
    <mergeCell ref="G30:I30"/>
    <mergeCell ref="J30:L30"/>
    <mergeCell ref="M30:O30"/>
    <mergeCell ref="S30:U30"/>
    <mergeCell ref="P30:R30"/>
    <mergeCell ref="P34:R34"/>
    <mergeCell ref="A37:C37"/>
    <mergeCell ref="D37:F37"/>
    <mergeCell ref="G37:I37"/>
    <mergeCell ref="J37:L37"/>
    <mergeCell ref="M37:O37"/>
    <mergeCell ref="J45:L45"/>
    <mergeCell ref="M45:O45"/>
    <mergeCell ref="S45:U45"/>
    <mergeCell ref="A38:C38"/>
    <mergeCell ref="D38:F38"/>
    <mergeCell ref="G38:I38"/>
    <mergeCell ref="J38:L38"/>
    <mergeCell ref="M38:O38"/>
    <mergeCell ref="P38:R38"/>
    <mergeCell ref="A45:C45"/>
    <mergeCell ref="P45:R45"/>
    <mergeCell ref="P46:R46"/>
    <mergeCell ref="S46:U46"/>
    <mergeCell ref="D45:F45"/>
    <mergeCell ref="G45:I45"/>
    <mergeCell ref="A46:C46"/>
    <mergeCell ref="D46:F46"/>
    <mergeCell ref="G46:I46"/>
    <mergeCell ref="J46:L46"/>
    <mergeCell ref="M46:O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37:R37"/>
    <mergeCell ref="S37:U37"/>
    <mergeCell ref="S38:U3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8" max="8" width="14.0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20.57"/>
    <col customWidth="1" min="14" max="14" width="14.0"/>
    <col customWidth="1" min="15" max="15" width="8.0"/>
    <col customWidth="1" min="16" max="16" width="16.0"/>
    <col customWidth="1" min="17" max="17" width="11.43"/>
    <col customWidth="1" min="18" max="18" width="9.0"/>
    <col customWidth="1" min="19" max="20" width="14.0"/>
    <col customWidth="1" min="21" max="21" width="7.86"/>
    <col customWidth="1" min="22" max="26" width="14.0"/>
  </cols>
  <sheetData>
    <row r="1">
      <c r="A1" s="288" t="s">
        <v>79</v>
      </c>
      <c r="C1" s="289" t="s">
        <v>420</v>
      </c>
      <c r="F1" s="290"/>
      <c r="G1" s="4" t="s">
        <v>2</v>
      </c>
      <c r="Q1" s="290"/>
      <c r="R1" s="290"/>
      <c r="S1" s="290"/>
      <c r="T1" s="290"/>
      <c r="U1" s="290"/>
    </row>
    <row r="2">
      <c r="A2" s="288" t="s">
        <v>3</v>
      </c>
      <c r="C2" s="289" t="s">
        <v>159</v>
      </c>
      <c r="F2" s="290"/>
      <c r="Q2" s="290"/>
      <c r="R2" s="290"/>
      <c r="S2" s="290"/>
      <c r="T2" s="290"/>
      <c r="U2" s="290"/>
    </row>
    <row r="3">
      <c r="A3" s="288" t="s">
        <v>5</v>
      </c>
      <c r="C3" s="291"/>
      <c r="F3" s="290"/>
      <c r="Q3" s="290"/>
      <c r="R3" s="290"/>
      <c r="S3" s="290"/>
      <c r="T3" s="290"/>
      <c r="U3" s="290"/>
    </row>
    <row r="4">
      <c r="A4" s="292" t="s">
        <v>6</v>
      </c>
      <c r="B4" s="80"/>
      <c r="C4" s="293"/>
      <c r="D4" s="80"/>
      <c r="E4" s="80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</row>
    <row r="5">
      <c r="A5" s="84" t="s">
        <v>118</v>
      </c>
      <c r="B5" s="10"/>
      <c r="C5" s="11"/>
      <c r="D5" s="84" t="s">
        <v>8</v>
      </c>
      <c r="E5" s="10"/>
      <c r="F5" s="11"/>
      <c r="G5" s="84" t="s">
        <v>119</v>
      </c>
      <c r="H5" s="10"/>
      <c r="I5" s="11"/>
      <c r="J5" s="84" t="s">
        <v>10</v>
      </c>
      <c r="K5" s="10"/>
      <c r="L5" s="11"/>
      <c r="M5" s="84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>
      <c r="A6" s="86"/>
      <c r="B6" s="10"/>
      <c r="C6" s="11"/>
      <c r="D6" s="86"/>
      <c r="E6" s="10"/>
      <c r="F6" s="11"/>
      <c r="G6" s="17">
        <v>46113.0</v>
      </c>
      <c r="H6" s="10"/>
      <c r="I6" s="11"/>
      <c r="J6" s="17">
        <v>46114.0</v>
      </c>
      <c r="K6" s="10"/>
      <c r="L6" s="11"/>
      <c r="M6" s="17">
        <v>46115.0</v>
      </c>
      <c r="N6" s="10"/>
      <c r="O6" s="11"/>
      <c r="P6" s="17">
        <v>46116.0</v>
      </c>
      <c r="Q6" s="10"/>
      <c r="R6" s="11"/>
      <c r="S6" s="17">
        <v>46117.0</v>
      </c>
      <c r="T6" s="10"/>
      <c r="U6" s="11"/>
    </row>
    <row r="7">
      <c r="A7" s="29"/>
      <c r="B7" s="23"/>
      <c r="C7" s="23"/>
      <c r="D7" s="29"/>
      <c r="E7" s="23"/>
      <c r="F7" s="23"/>
      <c r="G7" s="29"/>
      <c r="H7" s="23"/>
      <c r="I7" s="23"/>
      <c r="J7" s="29"/>
      <c r="K7" s="23"/>
      <c r="L7" s="23"/>
      <c r="M7" s="29"/>
      <c r="N7" s="23"/>
      <c r="O7" s="23"/>
      <c r="P7" s="29"/>
      <c r="Q7" s="23"/>
      <c r="R7" s="23"/>
      <c r="S7" s="29"/>
      <c r="T7" s="23"/>
      <c r="U7" s="23"/>
    </row>
    <row r="8">
      <c r="A8" s="29"/>
      <c r="B8" s="23"/>
      <c r="C8" s="23"/>
      <c r="D8" s="29"/>
      <c r="E8" s="23"/>
      <c r="F8" s="23"/>
      <c r="G8" s="29"/>
      <c r="H8" s="23"/>
      <c r="I8" s="23"/>
      <c r="J8" s="29"/>
      <c r="K8" s="23"/>
      <c r="L8" s="23"/>
      <c r="M8" s="29"/>
      <c r="N8" s="23"/>
      <c r="O8" s="23"/>
      <c r="P8" s="29"/>
      <c r="Q8" s="23"/>
      <c r="R8" s="23"/>
      <c r="S8" s="26" t="s">
        <v>421</v>
      </c>
      <c r="T8" s="26" t="s">
        <v>422</v>
      </c>
      <c r="U8" s="26" t="s">
        <v>280</v>
      </c>
    </row>
    <row r="9">
      <c r="A9" s="26"/>
      <c r="B9" s="26"/>
      <c r="C9" s="26"/>
      <c r="D9" s="26"/>
      <c r="E9" s="26"/>
      <c r="F9" s="26"/>
      <c r="G9" s="26" t="s">
        <v>410</v>
      </c>
      <c r="H9" s="26" t="s">
        <v>125</v>
      </c>
      <c r="I9" s="26" t="s">
        <v>87</v>
      </c>
      <c r="J9" s="29"/>
      <c r="K9" s="23"/>
      <c r="L9" s="23"/>
      <c r="M9" s="29"/>
      <c r="N9" s="23"/>
      <c r="O9" s="23"/>
      <c r="P9" s="214" t="s">
        <v>22</v>
      </c>
      <c r="Q9" s="10"/>
      <c r="R9" s="11"/>
      <c r="S9" s="26"/>
      <c r="T9" s="26"/>
      <c r="U9" s="26"/>
    </row>
    <row r="10">
      <c r="A10" s="29"/>
      <c r="B10" s="23"/>
      <c r="C10" s="23"/>
      <c r="D10" s="29"/>
      <c r="E10" s="23"/>
      <c r="F10" s="23"/>
      <c r="G10" s="29" t="s">
        <v>421</v>
      </c>
      <c r="H10" s="23" t="s">
        <v>68</v>
      </c>
      <c r="I10" s="23" t="s">
        <v>157</v>
      </c>
      <c r="J10" s="23" t="s">
        <v>29</v>
      </c>
      <c r="K10" s="36" t="s">
        <v>30</v>
      </c>
      <c r="L10" s="36" t="s">
        <v>21</v>
      </c>
      <c r="M10" s="29"/>
      <c r="N10" s="23"/>
      <c r="O10" s="23"/>
      <c r="P10" s="29"/>
      <c r="Q10" s="23"/>
      <c r="R10" s="23"/>
      <c r="S10" s="29" t="s">
        <v>410</v>
      </c>
      <c r="T10" s="23" t="s">
        <v>91</v>
      </c>
      <c r="U10" s="23" t="s">
        <v>57</v>
      </c>
    </row>
    <row r="11">
      <c r="A11" s="29"/>
      <c r="B11" s="23"/>
      <c r="C11" s="23"/>
      <c r="D11" s="29"/>
      <c r="E11" s="23"/>
      <c r="F11" s="23"/>
      <c r="G11" s="26" t="s">
        <v>394</v>
      </c>
      <c r="H11" s="26" t="s">
        <v>114</v>
      </c>
      <c r="I11" s="26" t="s">
        <v>47</v>
      </c>
      <c r="J11" s="29"/>
      <c r="K11" s="23"/>
      <c r="L11" s="23"/>
      <c r="M11" s="29"/>
      <c r="N11" s="23"/>
      <c r="O11" s="23"/>
      <c r="P11" s="29"/>
      <c r="Q11" s="23"/>
      <c r="R11" s="23"/>
      <c r="S11" s="29"/>
      <c r="T11" s="23"/>
      <c r="U11" s="23"/>
    </row>
    <row r="12">
      <c r="A12" s="44"/>
      <c r="B12" s="36"/>
      <c r="C12" s="36"/>
      <c r="D12" s="44"/>
      <c r="E12" s="36"/>
      <c r="F12" s="36"/>
      <c r="G12" s="26" t="s">
        <v>395</v>
      </c>
      <c r="H12" s="26" t="s">
        <v>396</v>
      </c>
      <c r="I12" s="26" t="s">
        <v>47</v>
      </c>
      <c r="J12" s="44"/>
      <c r="K12" s="36"/>
      <c r="L12" s="36"/>
      <c r="M12" s="44"/>
      <c r="N12" s="36"/>
      <c r="O12" s="36"/>
      <c r="P12" s="44"/>
      <c r="Q12" s="36"/>
      <c r="R12" s="36"/>
      <c r="S12" s="44"/>
      <c r="T12" s="36"/>
      <c r="U12" s="36"/>
    </row>
    <row r="13">
      <c r="A13" s="39" t="s">
        <v>7</v>
      </c>
      <c r="B13" s="15"/>
      <c r="C13" s="16"/>
      <c r="D13" s="40" t="s">
        <v>8</v>
      </c>
      <c r="E13" s="15"/>
      <c r="F13" s="16"/>
      <c r="G13" s="40" t="s">
        <v>9</v>
      </c>
      <c r="H13" s="15"/>
      <c r="I13" s="16"/>
      <c r="J13" s="40" t="s">
        <v>10</v>
      </c>
      <c r="K13" s="15"/>
      <c r="L13" s="16"/>
      <c r="M13" s="40" t="s">
        <v>11</v>
      </c>
      <c r="N13" s="15"/>
      <c r="O13" s="16"/>
      <c r="P13" s="40" t="s">
        <v>12</v>
      </c>
      <c r="Q13" s="15"/>
      <c r="R13" s="16"/>
      <c r="S13" s="41" t="s">
        <v>13</v>
      </c>
      <c r="T13" s="15"/>
      <c r="U13" s="16"/>
    </row>
    <row r="14">
      <c r="A14" s="42">
        <f>S6+1</f>
        <v>46118</v>
      </c>
      <c r="B14" s="15"/>
      <c r="C14" s="16"/>
      <c r="D14" s="295">
        <f>A14+1</f>
        <v>46119</v>
      </c>
      <c r="E14" s="15"/>
      <c r="F14" s="16"/>
      <c r="G14" s="295">
        <f>D14+1</f>
        <v>46120</v>
      </c>
      <c r="H14" s="15"/>
      <c r="I14" s="16"/>
      <c r="J14" s="295">
        <f>G14+1</f>
        <v>46121</v>
      </c>
      <c r="K14" s="15"/>
      <c r="L14" s="16"/>
      <c r="M14" s="295">
        <f>J14+1</f>
        <v>46122</v>
      </c>
      <c r="N14" s="15"/>
      <c r="O14" s="16"/>
      <c r="P14" s="295">
        <f>M14+1</f>
        <v>46123</v>
      </c>
      <c r="Q14" s="15"/>
      <c r="R14" s="16"/>
      <c r="S14" s="296">
        <f>P14+1</f>
        <v>46124</v>
      </c>
      <c r="T14" s="15"/>
      <c r="U14" s="16"/>
    </row>
    <row r="15">
      <c r="A15" s="29"/>
      <c r="B15" s="23"/>
      <c r="C15" s="23"/>
      <c r="D15" s="29"/>
      <c r="E15" s="23"/>
      <c r="F15" s="23"/>
      <c r="G15" s="29"/>
      <c r="H15" s="23"/>
      <c r="I15" s="23"/>
      <c r="J15" s="29"/>
      <c r="K15" s="23"/>
      <c r="L15" s="23"/>
      <c r="M15" s="29"/>
      <c r="N15" s="23"/>
      <c r="O15" s="23"/>
      <c r="P15" s="29"/>
      <c r="Q15" s="23"/>
      <c r="R15" s="23"/>
      <c r="S15" s="29"/>
      <c r="T15" s="23"/>
      <c r="U15" s="23"/>
    </row>
    <row r="16">
      <c r="A16" s="29"/>
      <c r="B16" s="23"/>
      <c r="C16" s="23"/>
      <c r="D16" s="29"/>
      <c r="E16" s="23"/>
      <c r="F16" s="23"/>
      <c r="G16" s="29"/>
      <c r="H16" s="23"/>
      <c r="I16" s="23"/>
      <c r="J16" s="29"/>
      <c r="K16" s="23"/>
      <c r="L16" s="23"/>
      <c r="M16" s="29"/>
      <c r="N16" s="23"/>
      <c r="O16" s="23"/>
      <c r="P16" s="132" t="s">
        <v>421</v>
      </c>
      <c r="Q16" s="132" t="s">
        <v>423</v>
      </c>
      <c r="R16" s="263" t="s">
        <v>47</v>
      </c>
      <c r="S16" s="132" t="s">
        <v>421</v>
      </c>
      <c r="T16" s="132" t="s">
        <v>423</v>
      </c>
      <c r="U16" s="263" t="s">
        <v>47</v>
      </c>
    </row>
    <row r="17">
      <c r="A17" s="29" t="s">
        <v>424</v>
      </c>
      <c r="B17" s="23" t="s">
        <v>423</v>
      </c>
      <c r="C17" s="23"/>
      <c r="D17" s="26" t="s">
        <v>394</v>
      </c>
      <c r="E17" s="26" t="s">
        <v>114</v>
      </c>
      <c r="F17" s="26" t="s">
        <v>47</v>
      </c>
      <c r="G17" s="38" t="s">
        <v>246</v>
      </c>
      <c r="H17" s="38" t="s">
        <v>247</v>
      </c>
      <c r="I17" s="38" t="s">
        <v>57</v>
      </c>
      <c r="J17" s="26" t="s">
        <v>400</v>
      </c>
      <c r="K17" s="26" t="s">
        <v>406</v>
      </c>
      <c r="L17" s="26" t="s">
        <v>345</v>
      </c>
      <c r="M17" s="214" t="s">
        <v>22</v>
      </c>
      <c r="N17" s="10"/>
      <c r="O17" s="11"/>
      <c r="P17" s="26"/>
      <c r="Q17" s="26"/>
      <c r="R17" s="26"/>
      <c r="S17" s="26"/>
      <c r="T17" s="26"/>
      <c r="U17" s="26"/>
    </row>
    <row r="18">
      <c r="A18" s="29"/>
      <c r="B18" s="23"/>
      <c r="C18" s="23"/>
      <c r="D18" s="26" t="s">
        <v>395</v>
      </c>
      <c r="E18" s="26" t="s">
        <v>396</v>
      </c>
      <c r="F18" s="26" t="s">
        <v>47</v>
      </c>
      <c r="G18" s="29"/>
      <c r="H18" s="23"/>
      <c r="I18" s="23"/>
      <c r="J18" s="29"/>
      <c r="K18" s="23"/>
      <c r="L18" s="23"/>
      <c r="M18" s="29"/>
      <c r="N18" s="23"/>
      <c r="O18" s="23"/>
      <c r="P18" s="29" t="s">
        <v>425</v>
      </c>
      <c r="Q18" s="23" t="s">
        <v>232</v>
      </c>
      <c r="R18" s="23" t="s">
        <v>47</v>
      </c>
      <c r="S18" s="44"/>
      <c r="T18" s="36"/>
      <c r="U18" s="36"/>
    </row>
    <row r="19">
      <c r="A19" s="29"/>
      <c r="B19" s="23"/>
      <c r="C19" s="23"/>
      <c r="D19" s="29"/>
      <c r="E19" s="23"/>
      <c r="F19" s="23"/>
      <c r="G19" s="29"/>
      <c r="H19" s="23"/>
      <c r="I19" s="23"/>
      <c r="J19" s="29"/>
      <c r="K19" s="23"/>
      <c r="L19" s="23"/>
      <c r="M19" s="29"/>
      <c r="N19" s="23"/>
      <c r="O19" s="23"/>
      <c r="P19" s="29"/>
      <c r="Q19" s="23"/>
      <c r="R19" s="23"/>
      <c r="S19" s="44"/>
      <c r="T19" s="36"/>
      <c r="U19" s="36"/>
    </row>
    <row r="20">
      <c r="A20" s="44"/>
      <c r="B20" s="36"/>
      <c r="C20" s="36"/>
      <c r="D20" s="44"/>
      <c r="E20" s="36"/>
      <c r="F20" s="36"/>
      <c r="G20" s="44"/>
      <c r="H20" s="36"/>
      <c r="I20" s="36"/>
      <c r="J20" s="44"/>
      <c r="K20" s="36"/>
      <c r="L20" s="36"/>
      <c r="M20" s="44"/>
      <c r="N20" s="36"/>
      <c r="O20" s="36"/>
      <c r="P20" s="44"/>
      <c r="Q20" s="36"/>
      <c r="R20" s="36"/>
      <c r="S20" s="44"/>
      <c r="T20" s="36"/>
      <c r="U20" s="36"/>
    </row>
    <row r="21" ht="15.75" customHeight="1">
      <c r="A21" s="51" t="s">
        <v>7</v>
      </c>
      <c r="B21" s="15"/>
      <c r="C21" s="16"/>
      <c r="D21" s="52" t="s">
        <v>8</v>
      </c>
      <c r="E21" s="15"/>
      <c r="F21" s="16"/>
      <c r="G21" s="52" t="s">
        <v>9</v>
      </c>
      <c r="H21" s="15"/>
      <c r="I21" s="16"/>
      <c r="J21" s="52" t="s">
        <v>10</v>
      </c>
      <c r="K21" s="15"/>
      <c r="L21" s="16"/>
      <c r="M21" s="52" t="s">
        <v>11</v>
      </c>
      <c r="N21" s="15"/>
      <c r="O21" s="16"/>
      <c r="P21" s="52" t="s">
        <v>12</v>
      </c>
      <c r="Q21" s="15"/>
      <c r="R21" s="16"/>
      <c r="S21" s="53" t="s">
        <v>13</v>
      </c>
      <c r="T21" s="15"/>
      <c r="U21" s="16"/>
    </row>
    <row r="22" ht="15.75" customHeight="1">
      <c r="A22" s="54">
        <f>S14+1</f>
        <v>46125</v>
      </c>
      <c r="B22" s="15"/>
      <c r="C22" s="16"/>
      <c r="D22" s="55">
        <f>A22+1</f>
        <v>46126</v>
      </c>
      <c r="E22" s="15"/>
      <c r="F22" s="16"/>
      <c r="G22" s="55">
        <f>D22+1</f>
        <v>46127</v>
      </c>
      <c r="H22" s="15"/>
      <c r="I22" s="16"/>
      <c r="J22" s="55">
        <f>G22+1</f>
        <v>46128</v>
      </c>
      <c r="K22" s="15"/>
      <c r="L22" s="16"/>
      <c r="M22" s="55">
        <f>J22+1</f>
        <v>46129</v>
      </c>
      <c r="N22" s="15"/>
      <c r="O22" s="16"/>
      <c r="P22" s="55">
        <f>M22+1</f>
        <v>46130</v>
      </c>
      <c r="Q22" s="15"/>
      <c r="R22" s="16"/>
      <c r="S22" s="18">
        <f>P22+1</f>
        <v>46131</v>
      </c>
      <c r="T22" s="15"/>
      <c r="U22" s="16"/>
    </row>
    <row r="23" ht="15.75" customHeight="1">
      <c r="A23" s="29"/>
      <c r="B23" s="23"/>
      <c r="C23" s="23"/>
      <c r="D23" s="29"/>
      <c r="E23" s="23"/>
      <c r="F23" s="23"/>
      <c r="G23" s="29"/>
      <c r="H23" s="23"/>
      <c r="I23" s="23"/>
      <c r="J23" s="29"/>
      <c r="K23" s="23"/>
      <c r="L23" s="23"/>
      <c r="M23" s="29"/>
      <c r="N23" s="23"/>
      <c r="O23" s="23"/>
      <c r="P23" s="29"/>
      <c r="Q23" s="23"/>
      <c r="R23" s="23"/>
      <c r="S23" s="29"/>
      <c r="T23" s="23"/>
      <c r="U23" s="23"/>
    </row>
    <row r="24" ht="15.75" customHeight="1">
      <c r="A24" s="29"/>
      <c r="B24" s="23"/>
      <c r="C24" s="23"/>
      <c r="D24" s="29"/>
      <c r="E24" s="23"/>
      <c r="F24" s="23"/>
      <c r="G24" s="29"/>
      <c r="H24" s="23"/>
      <c r="I24" s="23"/>
      <c r="J24" s="29"/>
      <c r="K24" s="23"/>
      <c r="L24" s="23"/>
      <c r="M24" s="29" t="s">
        <v>410</v>
      </c>
      <c r="N24" s="23" t="s">
        <v>411</v>
      </c>
      <c r="O24" s="23" t="s">
        <v>345</v>
      </c>
      <c r="P24" s="29"/>
      <c r="Q24" s="23"/>
      <c r="R24" s="23"/>
      <c r="S24" s="29"/>
      <c r="T24" s="23"/>
      <c r="U24" s="23"/>
    </row>
    <row r="25" ht="15.75" customHeight="1">
      <c r="A25" s="26"/>
      <c r="B25" s="26"/>
      <c r="C25" s="26"/>
      <c r="D25" s="26"/>
      <c r="E25" s="26"/>
      <c r="F25" s="26"/>
      <c r="G25" s="29" t="s">
        <v>425</v>
      </c>
      <c r="H25" s="26" t="s">
        <v>185</v>
      </c>
      <c r="I25" s="26" t="s">
        <v>16</v>
      </c>
      <c r="J25" s="26" t="s">
        <v>400</v>
      </c>
      <c r="K25" s="26" t="s">
        <v>406</v>
      </c>
      <c r="L25" s="26" t="s">
        <v>345</v>
      </c>
      <c r="M25" s="95" t="s">
        <v>316</v>
      </c>
      <c r="N25" s="95" t="s">
        <v>153</v>
      </c>
      <c r="O25" s="95" t="s">
        <v>57</v>
      </c>
      <c r="P25" s="214" t="s">
        <v>22</v>
      </c>
      <c r="Q25" s="10"/>
      <c r="R25" s="11"/>
      <c r="S25" s="26"/>
      <c r="T25" s="26"/>
      <c r="U25" s="26"/>
    </row>
    <row r="26" ht="15.75" customHeight="1">
      <c r="A26" s="26"/>
      <c r="B26" s="26"/>
      <c r="C26" s="26"/>
      <c r="D26" s="125" t="s">
        <v>408</v>
      </c>
      <c r="E26" s="26" t="s">
        <v>334</v>
      </c>
      <c r="F26" s="26" t="s">
        <v>47</v>
      </c>
      <c r="G26" s="29"/>
      <c r="H26" s="23"/>
      <c r="I26" s="23"/>
      <c r="J26" s="29"/>
      <c r="K26" s="23"/>
      <c r="L26" s="23"/>
      <c r="M26" s="29"/>
      <c r="N26" s="23"/>
      <c r="O26" s="23"/>
      <c r="P26" s="29"/>
      <c r="Q26" s="23"/>
      <c r="R26" s="23"/>
      <c r="S26" s="29"/>
      <c r="T26" s="23"/>
      <c r="U26" s="23"/>
    </row>
    <row r="27" ht="15.75" customHeight="1">
      <c r="A27" s="26"/>
      <c r="B27" s="26"/>
      <c r="C27" s="26"/>
      <c r="D27" s="26" t="s">
        <v>395</v>
      </c>
      <c r="E27" s="26" t="s">
        <v>396</v>
      </c>
      <c r="F27" s="26" t="s">
        <v>47</v>
      </c>
      <c r="G27" s="29"/>
      <c r="H27" s="23"/>
      <c r="I27" s="23"/>
      <c r="J27" s="29"/>
      <c r="K27" s="23"/>
      <c r="L27" s="23"/>
      <c r="M27" s="29"/>
      <c r="N27" s="23"/>
      <c r="O27" s="23"/>
      <c r="P27" s="29"/>
      <c r="Q27" s="23"/>
      <c r="R27" s="23"/>
      <c r="S27" s="29" t="s">
        <v>425</v>
      </c>
      <c r="T27" s="23" t="s">
        <v>232</v>
      </c>
      <c r="U27" s="23" t="s">
        <v>47</v>
      </c>
    </row>
    <row r="28" ht="15.75" customHeight="1">
      <c r="A28" s="44"/>
      <c r="B28" s="36"/>
      <c r="C28" s="36"/>
      <c r="D28" s="29"/>
      <c r="E28" s="23"/>
      <c r="F28" s="23"/>
      <c r="G28" s="44"/>
      <c r="H28" s="36"/>
      <c r="I28" s="36"/>
      <c r="J28" s="44"/>
      <c r="K28" s="36"/>
      <c r="L28" s="36"/>
      <c r="M28" s="44"/>
      <c r="N28" s="36"/>
      <c r="O28" s="36"/>
      <c r="P28" s="44"/>
      <c r="Q28" s="36"/>
      <c r="R28" s="36"/>
      <c r="S28" s="44"/>
      <c r="T28" s="36"/>
      <c r="U28" s="36"/>
    </row>
    <row r="29" ht="15.75" customHeight="1">
      <c r="A29" s="39" t="s">
        <v>7</v>
      </c>
      <c r="B29" s="15"/>
      <c r="C29" s="16"/>
      <c r="D29" s="40" t="s">
        <v>8</v>
      </c>
      <c r="E29" s="15"/>
      <c r="F29" s="16"/>
      <c r="G29" s="40" t="s">
        <v>9</v>
      </c>
      <c r="H29" s="15"/>
      <c r="I29" s="16"/>
      <c r="J29" s="40" t="s">
        <v>10</v>
      </c>
      <c r="K29" s="15"/>
      <c r="L29" s="16"/>
      <c r="M29" s="40" t="s">
        <v>11</v>
      </c>
      <c r="N29" s="15"/>
      <c r="O29" s="16"/>
      <c r="P29" s="40" t="s">
        <v>12</v>
      </c>
      <c r="Q29" s="15"/>
      <c r="R29" s="16"/>
      <c r="S29" s="41" t="s">
        <v>13</v>
      </c>
      <c r="T29" s="15"/>
      <c r="U29" s="16"/>
    </row>
    <row r="30" ht="15.75" customHeight="1">
      <c r="A30" s="62">
        <f>S22+1</f>
        <v>46132</v>
      </c>
      <c r="B30" s="15"/>
      <c r="C30" s="16"/>
      <c r="D30" s="63">
        <f>A30+1</f>
        <v>46133</v>
      </c>
      <c r="E30" s="15"/>
      <c r="F30" s="16"/>
      <c r="G30" s="63">
        <f>D30+1</f>
        <v>46134</v>
      </c>
      <c r="H30" s="15"/>
      <c r="I30" s="16"/>
      <c r="J30" s="63">
        <f>G30+1</f>
        <v>46135</v>
      </c>
      <c r="K30" s="15"/>
      <c r="L30" s="16"/>
      <c r="M30" s="63">
        <f>J30+1</f>
        <v>46136</v>
      </c>
      <c r="N30" s="15"/>
      <c r="O30" s="16"/>
      <c r="P30" s="63">
        <f>M30+1</f>
        <v>46137</v>
      </c>
      <c r="Q30" s="15"/>
      <c r="R30" s="16"/>
      <c r="S30" s="70">
        <f>P30+1</f>
        <v>46138</v>
      </c>
      <c r="T30" s="15"/>
      <c r="U30" s="16"/>
    </row>
    <row r="31" ht="15.75" customHeight="1">
      <c r="A31" s="29"/>
      <c r="B31" s="23"/>
      <c r="C31" s="23"/>
      <c r="D31" s="29"/>
      <c r="E31" s="23"/>
      <c r="F31" s="23"/>
      <c r="G31" s="29"/>
      <c r="H31" s="23"/>
      <c r="I31" s="23"/>
      <c r="J31" s="29"/>
      <c r="K31" s="23"/>
      <c r="L31" s="23"/>
      <c r="M31" s="29"/>
      <c r="N31" s="23"/>
      <c r="O31" s="23"/>
      <c r="P31" s="29"/>
      <c r="Q31" s="23"/>
      <c r="R31" s="23"/>
      <c r="S31" s="29"/>
      <c r="T31" s="23"/>
      <c r="U31" s="23"/>
    </row>
    <row r="32" ht="15.75" customHeight="1">
      <c r="A32" s="29"/>
      <c r="B32" s="23"/>
      <c r="C32" s="23"/>
      <c r="D32" s="29"/>
      <c r="E32" s="23"/>
      <c r="F32" s="23"/>
      <c r="G32" s="29"/>
      <c r="H32" s="23"/>
      <c r="I32" s="23"/>
      <c r="M32" s="29"/>
      <c r="N32" s="23"/>
      <c r="O32" s="23"/>
      <c r="P32" s="282" t="s">
        <v>381</v>
      </c>
      <c r="Q32" s="132" t="s">
        <v>71</v>
      </c>
      <c r="R32" s="263" t="s">
        <v>47</v>
      </c>
      <c r="S32" s="29"/>
      <c r="T32" s="23"/>
      <c r="U32" s="23"/>
    </row>
    <row r="33" ht="15.75" customHeight="1">
      <c r="A33" s="26"/>
      <c r="B33" s="26"/>
      <c r="C33" s="26"/>
      <c r="D33" s="26"/>
      <c r="E33" s="26"/>
      <c r="F33" s="26"/>
      <c r="G33" s="29" t="s">
        <v>426</v>
      </c>
      <c r="H33" s="23" t="s">
        <v>28</v>
      </c>
      <c r="I33" s="23" t="s">
        <v>21</v>
      </c>
      <c r="J33" s="26" t="s">
        <v>400</v>
      </c>
      <c r="K33" s="26" t="s">
        <v>406</v>
      </c>
      <c r="L33" s="26" t="s">
        <v>345</v>
      </c>
      <c r="M33" s="214" t="s">
        <v>22</v>
      </c>
      <c r="N33" s="10"/>
      <c r="O33" s="11"/>
      <c r="P33" s="26"/>
      <c r="Q33" s="26"/>
      <c r="R33" s="26"/>
      <c r="S33" s="26"/>
      <c r="T33" s="26"/>
      <c r="U33" s="26"/>
    </row>
    <row r="34" ht="15.75" customHeight="1">
      <c r="A34" s="125" t="s">
        <v>408</v>
      </c>
      <c r="B34" s="26" t="s">
        <v>334</v>
      </c>
      <c r="C34" s="26" t="s">
        <v>47</v>
      </c>
      <c r="D34" s="26" t="s">
        <v>394</v>
      </c>
      <c r="E34" s="26" t="s">
        <v>114</v>
      </c>
      <c r="F34" s="26" t="s">
        <v>47</v>
      </c>
      <c r="G34" s="29" t="s">
        <v>425</v>
      </c>
      <c r="H34" s="26"/>
      <c r="I34" s="26" t="s">
        <v>16</v>
      </c>
      <c r="J34" s="29"/>
      <c r="K34" s="23"/>
      <c r="L34" s="23"/>
      <c r="M34" s="29"/>
      <c r="N34" s="23"/>
      <c r="O34" s="23"/>
      <c r="P34" s="45" t="s">
        <v>425</v>
      </c>
      <c r="Q34" s="60" t="s">
        <v>185</v>
      </c>
      <c r="R34" s="60" t="s">
        <v>16</v>
      </c>
      <c r="S34" s="29"/>
      <c r="T34" s="23"/>
      <c r="U34" s="23"/>
    </row>
    <row r="35" ht="15.75" customHeight="1">
      <c r="A35" s="38" t="s">
        <v>409</v>
      </c>
      <c r="B35" s="38" t="s">
        <v>396</v>
      </c>
      <c r="C35" s="26" t="s">
        <v>47</v>
      </c>
      <c r="D35" s="26" t="s">
        <v>395</v>
      </c>
      <c r="E35" s="26" t="s">
        <v>396</v>
      </c>
      <c r="F35" s="26" t="s">
        <v>47</v>
      </c>
      <c r="G35" s="29"/>
      <c r="H35" s="23"/>
      <c r="I35" s="23"/>
      <c r="J35" s="29"/>
      <c r="K35" s="23"/>
      <c r="L35" s="23"/>
      <c r="M35" s="29"/>
      <c r="N35" s="23"/>
      <c r="O35" s="23"/>
      <c r="P35" s="29" t="s">
        <v>425</v>
      </c>
      <c r="Q35" s="23"/>
      <c r="R35" s="23" t="s">
        <v>47</v>
      </c>
      <c r="S35" s="45" t="s">
        <v>425</v>
      </c>
      <c r="T35" s="37"/>
      <c r="U35" s="37" t="s">
        <v>47</v>
      </c>
    </row>
    <row r="36" ht="15.75" customHeight="1">
      <c r="A36" s="44"/>
      <c r="B36" s="36"/>
      <c r="C36" s="36"/>
      <c r="D36" s="44"/>
      <c r="E36" s="36"/>
      <c r="F36" s="36"/>
      <c r="G36" s="44"/>
      <c r="H36" s="36"/>
      <c r="I36" s="36"/>
      <c r="J36" s="44"/>
      <c r="K36" s="36"/>
      <c r="L36" s="36"/>
      <c r="M36" s="44"/>
      <c r="N36" s="36"/>
      <c r="O36" s="36"/>
      <c r="P36" s="44"/>
      <c r="Q36" s="36"/>
      <c r="R36" s="36"/>
      <c r="S36" s="44"/>
      <c r="T36" s="36"/>
      <c r="U36" s="36"/>
    </row>
    <row r="37" ht="15.75" customHeight="1">
      <c r="A37" s="51" t="s">
        <v>7</v>
      </c>
      <c r="B37" s="15"/>
      <c r="C37" s="16"/>
      <c r="D37" s="52" t="s">
        <v>8</v>
      </c>
      <c r="E37" s="15"/>
      <c r="F37" s="16"/>
      <c r="G37" s="52" t="s">
        <v>9</v>
      </c>
      <c r="H37" s="15"/>
      <c r="I37" s="16"/>
      <c r="J37" s="52" t="s">
        <v>10</v>
      </c>
      <c r="K37" s="15"/>
      <c r="L37" s="16"/>
      <c r="M37" s="52"/>
      <c r="N37" s="15"/>
      <c r="O37" s="16"/>
      <c r="P37" s="52"/>
      <c r="Q37" s="15"/>
      <c r="R37" s="16"/>
      <c r="S37" s="53"/>
      <c r="T37" s="15"/>
      <c r="U37" s="16"/>
    </row>
    <row r="38" ht="15.75" customHeight="1">
      <c r="A38" s="54">
        <f>S30+1</f>
        <v>46139</v>
      </c>
      <c r="B38" s="15"/>
      <c r="C38" s="16"/>
      <c r="D38" s="55">
        <f>A38+1</f>
        <v>46140</v>
      </c>
      <c r="E38" s="15"/>
      <c r="F38" s="16"/>
      <c r="G38" s="55">
        <f>D38+1</f>
        <v>46141</v>
      </c>
      <c r="H38" s="15"/>
      <c r="I38" s="16"/>
      <c r="J38" s="55">
        <f>G38+1</f>
        <v>46142</v>
      </c>
      <c r="K38" s="15"/>
      <c r="L38" s="16"/>
      <c r="M38" s="55"/>
      <c r="N38" s="15"/>
      <c r="O38" s="16"/>
      <c r="P38" s="55"/>
      <c r="Q38" s="15"/>
      <c r="R38" s="16"/>
      <c r="S38" s="18"/>
      <c r="T38" s="15"/>
      <c r="U38" s="16"/>
    </row>
    <row r="39" ht="15.75" customHeight="1">
      <c r="A39" s="29"/>
      <c r="B39" s="23"/>
      <c r="C39" s="23"/>
      <c r="D39" s="29"/>
      <c r="E39" s="23"/>
      <c r="F39" s="23"/>
      <c r="G39" s="29"/>
      <c r="H39" s="23"/>
      <c r="I39" s="23"/>
      <c r="J39" s="29"/>
      <c r="K39" s="23"/>
      <c r="L39" s="23"/>
      <c r="M39" s="29"/>
      <c r="N39" s="23"/>
      <c r="O39" s="23"/>
      <c r="P39" s="29"/>
      <c r="Q39" s="23"/>
      <c r="R39" s="23"/>
      <c r="S39" s="29"/>
      <c r="T39" s="23"/>
      <c r="U39" s="23"/>
    </row>
    <row r="40" ht="15.75" customHeight="1">
      <c r="A40" s="29"/>
      <c r="B40" s="23"/>
      <c r="C40" s="23"/>
      <c r="D40" s="45" t="s">
        <v>425</v>
      </c>
      <c r="E40" s="37" t="s">
        <v>232</v>
      </c>
      <c r="F40" s="37" t="s">
        <v>47</v>
      </c>
      <c r="G40" s="87" t="s">
        <v>132</v>
      </c>
      <c r="H40" s="87" t="s">
        <v>198</v>
      </c>
      <c r="I40" s="87" t="s">
        <v>16</v>
      </c>
      <c r="J40" s="29"/>
      <c r="K40" s="23"/>
      <c r="L40" s="23"/>
      <c r="M40" s="29"/>
      <c r="N40" s="23"/>
      <c r="O40" s="23"/>
      <c r="P40" s="29"/>
      <c r="Q40" s="23"/>
      <c r="R40" s="23"/>
      <c r="S40" s="29"/>
      <c r="T40" s="23"/>
      <c r="U40" s="23"/>
    </row>
    <row r="41" ht="15.75" customHeight="1">
      <c r="A41" s="26"/>
      <c r="B41" s="26"/>
      <c r="C41" s="26"/>
      <c r="D41" s="26" t="s">
        <v>395</v>
      </c>
      <c r="E41" s="26" t="s">
        <v>419</v>
      </c>
      <c r="F41" s="26" t="s">
        <v>47</v>
      </c>
      <c r="G41" s="29" t="s">
        <v>425</v>
      </c>
      <c r="H41" s="26" t="s">
        <v>185</v>
      </c>
      <c r="I41" s="26" t="s">
        <v>16</v>
      </c>
      <c r="J41" s="214" t="s">
        <v>22</v>
      </c>
      <c r="K41" s="10"/>
      <c r="L41" s="11"/>
      <c r="M41" s="26"/>
      <c r="N41" s="26"/>
      <c r="O41" s="26"/>
      <c r="P41" s="26"/>
      <c r="Q41" s="26"/>
      <c r="R41" s="26"/>
      <c r="S41" s="26"/>
      <c r="T41" s="26"/>
      <c r="U41" s="26"/>
    </row>
    <row r="42" ht="15.75" customHeight="1">
      <c r="A42" s="125" t="s">
        <v>408</v>
      </c>
      <c r="B42" s="26" t="s">
        <v>334</v>
      </c>
      <c r="C42" s="26" t="s">
        <v>47</v>
      </c>
      <c r="D42" s="29" t="s">
        <v>410</v>
      </c>
      <c r="E42" s="23" t="s">
        <v>411</v>
      </c>
      <c r="F42" s="23" t="s">
        <v>57</v>
      </c>
      <c r="G42" s="95" t="s">
        <v>316</v>
      </c>
      <c r="H42" s="95"/>
      <c r="I42" s="95" t="s">
        <v>57</v>
      </c>
      <c r="J42" s="29"/>
      <c r="K42" s="23"/>
      <c r="L42" s="23"/>
      <c r="M42" s="29"/>
      <c r="N42" s="23"/>
      <c r="O42" s="23"/>
      <c r="P42" s="29"/>
      <c r="Q42" s="23"/>
      <c r="R42" s="23"/>
      <c r="S42" s="29"/>
      <c r="T42" s="23"/>
      <c r="U42" s="23"/>
    </row>
    <row r="43" ht="15.75" customHeight="1">
      <c r="A43" s="38" t="s">
        <v>409</v>
      </c>
      <c r="B43" s="38" t="s">
        <v>396</v>
      </c>
      <c r="C43" s="26" t="s">
        <v>47</v>
      </c>
      <c r="D43" s="29"/>
      <c r="E43" s="23"/>
      <c r="F43" s="23"/>
      <c r="G43" s="29"/>
      <c r="H43" s="23"/>
      <c r="I43" s="23"/>
      <c r="J43" s="29"/>
      <c r="K43" s="23"/>
      <c r="L43" s="23"/>
      <c r="M43" s="29"/>
      <c r="N43" s="23"/>
      <c r="O43" s="23"/>
      <c r="P43" s="29"/>
      <c r="Q43" s="23"/>
      <c r="R43" s="23"/>
      <c r="S43" s="29"/>
      <c r="T43" s="23"/>
      <c r="U43" s="23"/>
    </row>
    <row r="44" ht="15.75" customHeight="1">
      <c r="A44" s="44"/>
      <c r="B44" s="36"/>
      <c r="C44" s="36"/>
      <c r="D44" s="44"/>
      <c r="E44" s="36"/>
      <c r="F44" s="36"/>
      <c r="G44" s="44"/>
      <c r="H44" s="36"/>
      <c r="I44" s="36"/>
      <c r="J44" s="44"/>
      <c r="K44" s="36"/>
      <c r="L44" s="36"/>
      <c r="M44" s="44"/>
      <c r="N44" s="36"/>
      <c r="O44" s="36"/>
      <c r="P44" s="44"/>
      <c r="Q44" s="36"/>
      <c r="R44" s="36"/>
      <c r="S44" s="44"/>
      <c r="T44" s="36"/>
      <c r="U44" s="36"/>
    </row>
    <row r="45" ht="15.75" customHeight="1">
      <c r="A45" s="39"/>
      <c r="B45" s="15"/>
      <c r="C45" s="16"/>
      <c r="D45" s="40"/>
      <c r="E45" s="15"/>
      <c r="F45" s="16"/>
      <c r="G45" s="40"/>
      <c r="H45" s="15"/>
      <c r="I45" s="16"/>
      <c r="J45" s="40"/>
      <c r="K45" s="15"/>
      <c r="L45" s="16"/>
      <c r="M45" s="40"/>
      <c r="N45" s="15"/>
      <c r="O45" s="16"/>
      <c r="P45" s="40"/>
      <c r="Q45" s="15"/>
      <c r="R45" s="16"/>
      <c r="S45" s="297"/>
      <c r="T45" s="15"/>
      <c r="U45" s="16"/>
    </row>
    <row r="46" ht="15.75" customHeight="1">
      <c r="A46" s="62"/>
      <c r="B46" s="15"/>
      <c r="C46" s="16"/>
      <c r="D46" s="63"/>
      <c r="E46" s="15"/>
      <c r="F46" s="16"/>
      <c r="G46" s="63"/>
      <c r="H46" s="15"/>
      <c r="I46" s="16"/>
      <c r="J46" s="63"/>
      <c r="K46" s="15"/>
      <c r="L46" s="16"/>
      <c r="M46" s="63"/>
      <c r="N46" s="15"/>
      <c r="O46" s="16"/>
      <c r="P46" s="63"/>
      <c r="Q46" s="15"/>
      <c r="R46" s="16"/>
      <c r="S46" s="298"/>
      <c r="T46" s="15"/>
      <c r="U46" s="16"/>
    </row>
    <row r="47" ht="15.75" customHeight="1">
      <c r="A47" s="38"/>
      <c r="B47" s="38"/>
      <c r="C47" s="38"/>
      <c r="D47" s="38"/>
      <c r="E47" s="38"/>
      <c r="F47" s="38"/>
      <c r="G47" s="36"/>
      <c r="H47" s="172"/>
      <c r="I47" s="172"/>
      <c r="J47" s="170"/>
      <c r="K47" s="170"/>
      <c r="L47" s="170"/>
      <c r="M47" s="299"/>
      <c r="N47" s="299"/>
      <c r="O47" s="299"/>
      <c r="P47" s="299"/>
      <c r="Q47" s="299"/>
      <c r="R47" s="299"/>
      <c r="S47" s="170"/>
      <c r="T47" s="170"/>
      <c r="U47" s="170"/>
    </row>
    <row r="48" ht="15.75" customHeight="1">
      <c r="A48" s="38"/>
      <c r="B48" s="38"/>
      <c r="C48" s="38"/>
      <c r="D48" s="26"/>
      <c r="E48" s="26"/>
      <c r="F48" s="26"/>
      <c r="G48" s="299"/>
      <c r="H48" s="299"/>
      <c r="I48" s="299"/>
      <c r="J48" s="170"/>
      <c r="K48" s="170"/>
      <c r="L48" s="170"/>
      <c r="M48" s="300"/>
      <c r="N48" s="300"/>
      <c r="O48" s="300"/>
      <c r="P48" s="299"/>
      <c r="Q48" s="299"/>
      <c r="R48" s="299"/>
      <c r="S48" s="299"/>
      <c r="T48" s="299"/>
      <c r="U48" s="299"/>
    </row>
    <row r="49" ht="15.75" customHeight="1">
      <c r="A49" s="38"/>
      <c r="B49" s="38"/>
      <c r="C49" s="38"/>
      <c r="D49" s="38"/>
      <c r="E49" s="38"/>
      <c r="F49" s="38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</row>
    <row r="50" ht="15.75" customHeight="1">
      <c r="A50" s="299"/>
      <c r="B50" s="299"/>
      <c r="C50" s="299"/>
      <c r="D50" s="38"/>
      <c r="E50" s="38"/>
      <c r="F50" s="38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170"/>
      <c r="T50" s="170"/>
      <c r="U50" s="170"/>
    </row>
    <row r="51" ht="15.75" customHeight="1">
      <c r="A51" s="38"/>
      <c r="B51" s="38"/>
      <c r="C51" s="38"/>
      <c r="D51" s="161"/>
      <c r="E51" s="161"/>
      <c r="F51" s="161"/>
      <c r="G51" s="299"/>
      <c r="H51" s="299"/>
      <c r="I51" s="170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</row>
    <row r="52" ht="15.75" customHeight="1">
      <c r="A52" s="301"/>
      <c r="B52" s="170"/>
      <c r="C52" s="170"/>
      <c r="D52" s="299"/>
      <c r="E52" s="299"/>
      <c r="F52" s="299"/>
      <c r="G52" s="170"/>
      <c r="H52" s="170"/>
      <c r="I52" s="170"/>
      <c r="J52" s="299"/>
      <c r="K52" s="299"/>
      <c r="L52" s="299"/>
      <c r="M52" s="170"/>
      <c r="N52" s="170"/>
      <c r="O52" s="170"/>
      <c r="P52" s="299"/>
      <c r="Q52" s="299"/>
      <c r="R52" s="299"/>
      <c r="S52" s="170"/>
      <c r="T52" s="170"/>
      <c r="U52" s="170"/>
    </row>
    <row r="53" ht="15.75" customHeight="1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L63" s="77" t="s">
        <v>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S22:U22"/>
    <mergeCell ref="P22:R22"/>
    <mergeCell ref="P25:R25"/>
    <mergeCell ref="A29:C29"/>
    <mergeCell ref="D29:F29"/>
    <mergeCell ref="G29:I29"/>
    <mergeCell ref="J29:L29"/>
    <mergeCell ref="M29:O29"/>
    <mergeCell ref="A30:C30"/>
    <mergeCell ref="D30:F30"/>
    <mergeCell ref="G30:I30"/>
    <mergeCell ref="J30:L30"/>
    <mergeCell ref="M30:O30"/>
    <mergeCell ref="P30:R30"/>
    <mergeCell ref="M33:O33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J41:L41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9:R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M17:O17"/>
    <mergeCell ref="P29:R29"/>
    <mergeCell ref="S29:U29"/>
    <mergeCell ref="S30:U30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8" max="8" width="14.0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20.57"/>
    <col customWidth="1" min="14" max="14" width="14.0"/>
    <col customWidth="1" min="15" max="15" width="8.0"/>
    <col customWidth="1" min="16" max="16" width="16.0"/>
    <col customWidth="1" min="17" max="17" width="11.43"/>
    <col customWidth="1" min="18" max="18" width="9.0"/>
    <col customWidth="1" min="19" max="19" width="14.0"/>
    <col customWidth="1" min="20" max="20" width="12.71"/>
    <col customWidth="1" min="21" max="21" width="7.86"/>
    <col customWidth="1" min="22" max="26" width="14.0"/>
  </cols>
  <sheetData>
    <row r="1">
      <c r="A1" s="288" t="s">
        <v>427</v>
      </c>
      <c r="C1" s="289" t="s">
        <v>428</v>
      </c>
      <c r="F1" s="290"/>
      <c r="G1" s="4" t="s">
        <v>2</v>
      </c>
      <c r="Q1" s="290"/>
      <c r="R1" s="290"/>
      <c r="S1" s="290"/>
      <c r="T1" s="290"/>
      <c r="U1" s="290"/>
    </row>
    <row r="2">
      <c r="A2" s="288" t="s">
        <v>3</v>
      </c>
      <c r="C2" s="289" t="s">
        <v>159</v>
      </c>
      <c r="F2" s="290"/>
      <c r="Q2" s="290"/>
      <c r="R2" s="290"/>
      <c r="S2" s="290"/>
      <c r="T2" s="290"/>
      <c r="U2" s="290"/>
    </row>
    <row r="3">
      <c r="A3" s="288" t="s">
        <v>5</v>
      </c>
      <c r="C3" s="291"/>
      <c r="F3" s="290"/>
      <c r="Q3" s="290"/>
      <c r="R3" s="290"/>
      <c r="S3" s="290"/>
      <c r="T3" s="290"/>
      <c r="U3" s="290"/>
    </row>
    <row r="4">
      <c r="A4" s="292" t="s">
        <v>6</v>
      </c>
      <c r="B4" s="80"/>
      <c r="C4" s="293"/>
      <c r="D4" s="80"/>
      <c r="E4" s="80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</row>
    <row r="5">
      <c r="A5" s="84" t="s">
        <v>118</v>
      </c>
      <c r="B5" s="10"/>
      <c r="C5" s="11"/>
      <c r="D5" s="84" t="s">
        <v>8</v>
      </c>
      <c r="E5" s="10"/>
      <c r="F5" s="11"/>
      <c r="G5" s="84" t="s">
        <v>119</v>
      </c>
      <c r="H5" s="10"/>
      <c r="I5" s="11"/>
      <c r="J5" s="84" t="s">
        <v>10</v>
      </c>
      <c r="K5" s="10"/>
      <c r="L5" s="11"/>
      <c r="M5" s="84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>
      <c r="A6" s="86"/>
      <c r="B6" s="10"/>
      <c r="C6" s="11"/>
      <c r="D6" s="86"/>
      <c r="E6" s="10"/>
      <c r="F6" s="11"/>
      <c r="G6" s="17">
        <v>46113.0</v>
      </c>
      <c r="H6" s="10"/>
      <c r="I6" s="11"/>
      <c r="J6" s="17">
        <v>46114.0</v>
      </c>
      <c r="K6" s="10"/>
      <c r="L6" s="11"/>
      <c r="M6" s="17">
        <v>46115.0</v>
      </c>
      <c r="N6" s="10"/>
      <c r="O6" s="11"/>
      <c r="P6" s="17">
        <v>46116.0</v>
      </c>
      <c r="Q6" s="10"/>
      <c r="R6" s="11"/>
      <c r="S6" s="17">
        <v>46117.0</v>
      </c>
      <c r="T6" s="10"/>
      <c r="U6" s="11"/>
    </row>
    <row r="7">
      <c r="A7" s="29"/>
      <c r="B7" s="23"/>
      <c r="C7" s="23"/>
      <c r="D7" s="29"/>
      <c r="E7" s="23"/>
      <c r="F7" s="23"/>
      <c r="G7" s="29"/>
      <c r="H7" s="23"/>
      <c r="I7" s="23"/>
      <c r="J7" s="29"/>
      <c r="K7" s="23"/>
      <c r="L7" s="23"/>
      <c r="M7" s="29"/>
      <c r="N7" s="23"/>
      <c r="O7" s="23"/>
      <c r="P7" s="29"/>
      <c r="Q7" s="23"/>
      <c r="R7" s="23"/>
      <c r="S7" s="29"/>
      <c r="T7" s="23"/>
      <c r="U7" s="23"/>
    </row>
    <row r="8">
      <c r="A8" s="29"/>
      <c r="B8" s="23"/>
      <c r="C8" s="23"/>
      <c r="D8" s="29"/>
      <c r="E8" s="23"/>
      <c r="F8" s="23"/>
      <c r="G8" s="29"/>
      <c r="H8" s="23"/>
      <c r="I8" s="23"/>
      <c r="J8" s="29"/>
      <c r="K8" s="23"/>
      <c r="L8" s="23"/>
      <c r="M8" s="29"/>
      <c r="N8" s="23"/>
      <c r="O8" s="23"/>
      <c r="P8" s="29"/>
      <c r="Q8" s="23"/>
      <c r="R8" s="23"/>
      <c r="S8" s="26" t="s">
        <v>279</v>
      </c>
      <c r="T8" s="26" t="s">
        <v>195</v>
      </c>
      <c r="U8" s="26" t="s">
        <v>280</v>
      </c>
    </row>
    <row r="9">
      <c r="A9" s="26"/>
      <c r="B9" s="26"/>
      <c r="C9" s="26"/>
      <c r="D9" s="26"/>
      <c r="E9" s="26"/>
      <c r="F9" s="26"/>
      <c r="G9" s="26" t="s">
        <v>281</v>
      </c>
      <c r="H9" s="26" t="s">
        <v>50</v>
      </c>
      <c r="I9" s="26" t="s">
        <v>16</v>
      </c>
      <c r="J9" s="26" t="s">
        <v>400</v>
      </c>
      <c r="K9" s="26" t="s">
        <v>406</v>
      </c>
      <c r="L9" s="26" t="s">
        <v>57</v>
      </c>
      <c r="M9" s="29" t="s">
        <v>390</v>
      </c>
      <c r="N9" s="23" t="s">
        <v>68</v>
      </c>
      <c r="O9" s="23" t="s">
        <v>391</v>
      </c>
      <c r="P9" s="214" t="s">
        <v>22</v>
      </c>
      <c r="Q9" s="10"/>
      <c r="R9" s="11"/>
      <c r="S9" s="26"/>
      <c r="T9" s="26"/>
      <c r="U9" s="26"/>
    </row>
    <row r="10">
      <c r="A10" s="29"/>
      <c r="B10" s="23"/>
      <c r="C10" s="23"/>
      <c r="D10" s="29"/>
      <c r="E10" s="23"/>
      <c r="F10" s="23"/>
      <c r="G10" s="29"/>
      <c r="H10" s="23"/>
      <c r="I10" s="23"/>
      <c r="J10" s="29"/>
      <c r="K10" s="23"/>
      <c r="L10" s="23"/>
      <c r="M10" s="26"/>
      <c r="N10" s="26"/>
      <c r="O10" s="26"/>
      <c r="P10" s="29"/>
      <c r="Q10" s="23"/>
      <c r="R10" s="23"/>
      <c r="S10" s="29"/>
      <c r="T10" s="23"/>
      <c r="U10" s="23"/>
    </row>
    <row r="11">
      <c r="A11" s="29"/>
      <c r="B11" s="23"/>
      <c r="C11" s="23"/>
      <c r="D11" s="29"/>
      <c r="E11" s="23"/>
      <c r="F11" s="23"/>
      <c r="G11" s="26" t="s">
        <v>394</v>
      </c>
      <c r="H11" s="26" t="s">
        <v>114</v>
      </c>
      <c r="I11" s="26" t="s">
        <v>16</v>
      </c>
      <c r="J11" s="29"/>
      <c r="K11" s="23"/>
      <c r="L11" s="23"/>
      <c r="M11" s="29"/>
      <c r="N11" s="23"/>
      <c r="O11" s="23"/>
      <c r="P11" s="29"/>
      <c r="Q11" s="23"/>
      <c r="R11" s="23"/>
      <c r="S11" s="29" t="s">
        <v>410</v>
      </c>
      <c r="T11" s="23" t="s">
        <v>91</v>
      </c>
      <c r="U11" s="23" t="s">
        <v>57</v>
      </c>
    </row>
    <row r="12">
      <c r="A12" s="44"/>
      <c r="B12" s="36"/>
      <c r="C12" s="36"/>
      <c r="D12" s="44"/>
      <c r="E12" s="36"/>
      <c r="F12" s="36"/>
      <c r="G12" s="26" t="s">
        <v>395</v>
      </c>
      <c r="H12" s="26" t="s">
        <v>396</v>
      </c>
      <c r="I12" s="26" t="s">
        <v>16</v>
      </c>
      <c r="J12" s="44"/>
      <c r="K12" s="36"/>
      <c r="L12" s="36"/>
      <c r="M12" s="44"/>
      <c r="N12" s="36"/>
      <c r="O12" s="36"/>
      <c r="P12" s="44"/>
      <c r="Q12" s="36"/>
      <c r="R12" s="36"/>
      <c r="S12" s="44"/>
      <c r="T12" s="36"/>
      <c r="U12" s="36"/>
    </row>
    <row r="13">
      <c r="A13" s="39" t="s">
        <v>7</v>
      </c>
      <c r="B13" s="15"/>
      <c r="C13" s="16"/>
      <c r="D13" s="40" t="s">
        <v>8</v>
      </c>
      <c r="E13" s="15"/>
      <c r="F13" s="16"/>
      <c r="G13" s="40" t="s">
        <v>9</v>
      </c>
      <c r="H13" s="15"/>
      <c r="I13" s="16"/>
      <c r="J13" s="40" t="s">
        <v>10</v>
      </c>
      <c r="K13" s="15"/>
      <c r="L13" s="16"/>
      <c r="M13" s="40" t="s">
        <v>11</v>
      </c>
      <c r="N13" s="15"/>
      <c r="O13" s="16"/>
      <c r="P13" s="40" t="s">
        <v>12</v>
      </c>
      <c r="Q13" s="15"/>
      <c r="R13" s="16"/>
      <c r="S13" s="41" t="s">
        <v>13</v>
      </c>
      <c r="T13" s="15"/>
      <c r="U13" s="16"/>
    </row>
    <row r="14">
      <c r="A14" s="42">
        <f>S6+1</f>
        <v>46118</v>
      </c>
      <c r="B14" s="15"/>
      <c r="C14" s="16"/>
      <c r="D14" s="295">
        <f>A14+1</f>
        <v>46119</v>
      </c>
      <c r="E14" s="15"/>
      <c r="F14" s="16"/>
      <c r="G14" s="295">
        <f>D14+1</f>
        <v>46120</v>
      </c>
      <c r="H14" s="15"/>
      <c r="I14" s="16"/>
      <c r="J14" s="295">
        <f>G14+1</f>
        <v>46121</v>
      </c>
      <c r="K14" s="15"/>
      <c r="L14" s="16"/>
      <c r="M14" s="295">
        <f>J14+1</f>
        <v>46122</v>
      </c>
      <c r="N14" s="15"/>
      <c r="O14" s="16"/>
      <c r="P14" s="295">
        <f>M14+1</f>
        <v>46123</v>
      </c>
      <c r="Q14" s="15"/>
      <c r="R14" s="16"/>
      <c r="S14" s="296">
        <f>P14+1</f>
        <v>46124</v>
      </c>
      <c r="T14" s="15"/>
      <c r="U14" s="16"/>
    </row>
    <row r="15">
      <c r="A15" s="29"/>
      <c r="B15" s="23"/>
      <c r="C15" s="23"/>
      <c r="D15" s="29"/>
      <c r="E15" s="23"/>
      <c r="F15" s="23"/>
      <c r="G15" s="29"/>
      <c r="H15" s="23"/>
      <c r="I15" s="23"/>
      <c r="J15" s="29"/>
      <c r="K15" s="23"/>
      <c r="L15" s="23"/>
      <c r="M15" s="29"/>
      <c r="N15" s="23"/>
      <c r="O15" s="23"/>
      <c r="P15" s="29"/>
      <c r="Q15" s="23"/>
      <c r="R15" s="23"/>
      <c r="S15" s="29"/>
      <c r="T15" s="23"/>
      <c r="U15" s="23"/>
    </row>
    <row r="16">
      <c r="A16" s="29"/>
      <c r="B16" s="23"/>
      <c r="C16" s="23"/>
      <c r="D16" s="29"/>
      <c r="E16" s="23"/>
      <c r="F16" s="23"/>
      <c r="G16" s="29"/>
      <c r="H16" s="23"/>
      <c r="I16" s="23"/>
      <c r="J16" s="29"/>
      <c r="K16" s="23"/>
      <c r="L16" s="23"/>
      <c r="M16" s="29"/>
      <c r="N16" s="23"/>
      <c r="O16" s="23"/>
      <c r="P16" s="29"/>
      <c r="Q16" s="23"/>
      <c r="R16" s="23"/>
      <c r="S16" s="29" t="s">
        <v>407</v>
      </c>
      <c r="T16" s="303" t="s">
        <v>179</v>
      </c>
      <c r="U16" s="23" t="s">
        <v>57</v>
      </c>
    </row>
    <row r="17">
      <c r="A17" s="125" t="s">
        <v>408</v>
      </c>
      <c r="B17" s="26" t="s">
        <v>334</v>
      </c>
      <c r="C17" s="26" t="s">
        <v>47</v>
      </c>
      <c r="D17" s="26" t="s">
        <v>400</v>
      </c>
      <c r="E17" s="26" t="s">
        <v>20</v>
      </c>
      <c r="F17" s="26" t="s">
        <v>157</v>
      </c>
      <c r="G17" s="26" t="s">
        <v>421</v>
      </c>
      <c r="H17" s="26" t="s">
        <v>423</v>
      </c>
      <c r="I17" s="26" t="s">
        <v>391</v>
      </c>
      <c r="J17" s="26" t="s">
        <v>421</v>
      </c>
      <c r="K17" s="26" t="s">
        <v>423</v>
      </c>
      <c r="L17" s="26" t="s">
        <v>391</v>
      </c>
      <c r="M17" s="26" t="s">
        <v>421</v>
      </c>
      <c r="N17" s="26" t="s">
        <v>423</v>
      </c>
      <c r="O17" s="26" t="s">
        <v>391</v>
      </c>
      <c r="P17" s="26" t="s">
        <v>421</v>
      </c>
      <c r="Q17" s="26" t="s">
        <v>240</v>
      </c>
      <c r="R17" s="26" t="s">
        <v>21</v>
      </c>
      <c r="S17" s="26"/>
      <c r="T17" s="26"/>
      <c r="U17" s="26"/>
    </row>
    <row r="18">
      <c r="A18" s="38" t="s">
        <v>409</v>
      </c>
      <c r="B18" s="38" t="s">
        <v>396</v>
      </c>
      <c r="C18" s="26" t="s">
        <v>47</v>
      </c>
      <c r="D18" s="29"/>
      <c r="E18" s="23"/>
      <c r="F18" s="23"/>
      <c r="G18" s="29"/>
      <c r="H18" s="23"/>
      <c r="I18" s="23"/>
      <c r="J18" s="29"/>
      <c r="K18" s="23"/>
      <c r="L18" s="23"/>
      <c r="M18" s="29"/>
      <c r="N18" s="23"/>
      <c r="O18" s="23"/>
      <c r="P18" s="29"/>
      <c r="Q18" s="23"/>
      <c r="R18" s="23"/>
      <c r="S18" s="29"/>
      <c r="T18" s="23"/>
      <c r="U18" s="23"/>
    </row>
    <row r="19">
      <c r="A19" s="29"/>
      <c r="B19" s="23"/>
      <c r="C19" s="23"/>
      <c r="D19" s="304" t="s">
        <v>429</v>
      </c>
      <c r="E19" s="305" t="s">
        <v>186</v>
      </c>
      <c r="F19" s="305" t="s">
        <v>21</v>
      </c>
      <c r="G19" s="29"/>
      <c r="H19" s="23"/>
      <c r="I19" s="23"/>
      <c r="J19" s="29"/>
      <c r="K19" s="23"/>
      <c r="L19" s="23"/>
      <c r="M19" s="29"/>
      <c r="N19" s="23"/>
      <c r="O19" s="23"/>
      <c r="P19" s="38" t="s">
        <v>205</v>
      </c>
      <c r="Q19" s="26" t="s">
        <v>319</v>
      </c>
      <c r="R19" s="38" t="s">
        <v>21</v>
      </c>
      <c r="S19" s="95" t="s">
        <v>139</v>
      </c>
      <c r="T19" s="95" t="s">
        <v>153</v>
      </c>
      <c r="U19" s="95" t="s">
        <v>57</v>
      </c>
    </row>
    <row r="20">
      <c r="A20" s="44"/>
      <c r="B20" s="36"/>
      <c r="C20" s="36"/>
      <c r="D20" s="44"/>
      <c r="E20" s="36"/>
      <c r="F20" s="36"/>
      <c r="G20" s="44"/>
      <c r="H20" s="36"/>
      <c r="I20" s="36"/>
      <c r="J20" s="44"/>
      <c r="K20" s="36"/>
      <c r="L20" s="36"/>
      <c r="M20" s="44"/>
      <c r="N20" s="36"/>
      <c r="O20" s="36"/>
      <c r="P20" s="44"/>
      <c r="Q20" s="36"/>
      <c r="R20" s="36"/>
      <c r="S20" s="44"/>
      <c r="T20" s="36"/>
      <c r="U20" s="36"/>
    </row>
    <row r="21" ht="15.75" customHeight="1">
      <c r="A21" s="51" t="s">
        <v>7</v>
      </c>
      <c r="B21" s="15"/>
      <c r="C21" s="16"/>
      <c r="D21" s="52" t="s">
        <v>8</v>
      </c>
      <c r="E21" s="15"/>
      <c r="F21" s="16"/>
      <c r="G21" s="52" t="s">
        <v>9</v>
      </c>
      <c r="H21" s="15"/>
      <c r="I21" s="16"/>
      <c r="J21" s="52" t="s">
        <v>10</v>
      </c>
      <c r="K21" s="15"/>
      <c r="L21" s="16"/>
      <c r="M21" s="52" t="s">
        <v>11</v>
      </c>
      <c r="N21" s="15"/>
      <c r="O21" s="16"/>
      <c r="P21" s="52" t="s">
        <v>12</v>
      </c>
      <c r="Q21" s="15"/>
      <c r="R21" s="16"/>
      <c r="S21" s="53" t="s">
        <v>13</v>
      </c>
      <c r="T21" s="15"/>
      <c r="U21" s="16"/>
    </row>
    <row r="22" ht="15.75" customHeight="1">
      <c r="A22" s="54">
        <f>S14+1</f>
        <v>46125</v>
      </c>
      <c r="B22" s="15"/>
      <c r="C22" s="16"/>
      <c r="D22" s="55">
        <f>A22+1</f>
        <v>46126</v>
      </c>
      <c r="E22" s="15"/>
      <c r="F22" s="16"/>
      <c r="G22" s="55">
        <f>D22+1</f>
        <v>46127</v>
      </c>
      <c r="H22" s="15"/>
      <c r="I22" s="16"/>
      <c r="J22" s="55">
        <f>G22+1</f>
        <v>46128</v>
      </c>
      <c r="K22" s="15"/>
      <c r="L22" s="16"/>
      <c r="M22" s="55">
        <f>J22+1</f>
        <v>46129</v>
      </c>
      <c r="N22" s="15"/>
      <c r="O22" s="16"/>
      <c r="P22" s="55">
        <f>M22+1</f>
        <v>46130</v>
      </c>
      <c r="Q22" s="15"/>
      <c r="R22" s="16"/>
      <c r="S22" s="18">
        <f>P22+1</f>
        <v>46131</v>
      </c>
      <c r="T22" s="15"/>
      <c r="U22" s="16"/>
    </row>
    <row r="23" ht="15.75" customHeight="1">
      <c r="A23" s="29"/>
      <c r="B23" s="23"/>
      <c r="C23" s="23"/>
      <c r="D23" s="29"/>
      <c r="E23" s="23"/>
      <c r="F23" s="23"/>
      <c r="G23" s="29"/>
      <c r="H23" s="23"/>
      <c r="I23" s="23"/>
      <c r="J23" s="29"/>
      <c r="K23" s="23"/>
      <c r="L23" s="23"/>
      <c r="M23" s="29"/>
      <c r="N23" s="23"/>
      <c r="O23" s="23"/>
      <c r="P23" s="29"/>
      <c r="Q23" s="23"/>
      <c r="R23" s="23"/>
      <c r="S23" s="29"/>
      <c r="T23" s="23"/>
      <c r="U23" s="23"/>
    </row>
    <row r="24" ht="15.75" customHeight="1">
      <c r="A24" s="29"/>
      <c r="B24" s="23"/>
      <c r="C24" s="23"/>
      <c r="D24" s="29"/>
      <c r="E24" s="23"/>
      <c r="F24" s="23"/>
      <c r="G24" s="29"/>
      <c r="H24" s="23"/>
      <c r="I24" s="23"/>
      <c r="J24" s="29"/>
      <c r="K24" s="23"/>
      <c r="L24" s="23"/>
      <c r="M24" s="29"/>
      <c r="N24" s="23"/>
      <c r="O24" s="23"/>
      <c r="P24" s="29"/>
      <c r="Q24" s="23"/>
      <c r="R24" s="23"/>
      <c r="S24" s="29"/>
      <c r="T24" s="23"/>
      <c r="U24" s="23"/>
    </row>
    <row r="25" ht="15.75" customHeight="1">
      <c r="A25" s="26" t="s">
        <v>413</v>
      </c>
      <c r="B25" s="26" t="s">
        <v>68</v>
      </c>
      <c r="C25" s="26" t="s">
        <v>57</v>
      </c>
      <c r="D25" s="26"/>
      <c r="E25" s="26"/>
      <c r="F25" s="26"/>
      <c r="G25" s="214" t="s">
        <v>22</v>
      </c>
      <c r="H25" s="10"/>
      <c r="I25" s="11"/>
      <c r="J25" s="26" t="s">
        <v>421</v>
      </c>
      <c r="K25" s="26" t="s">
        <v>430</v>
      </c>
      <c r="L25" s="26" t="s">
        <v>391</v>
      </c>
      <c r="M25" s="26"/>
      <c r="N25" s="26"/>
      <c r="O25" s="26"/>
      <c r="P25" s="87" t="s">
        <v>130</v>
      </c>
      <c r="Q25" s="88" t="s">
        <v>131</v>
      </c>
      <c r="R25" s="88" t="s">
        <v>47</v>
      </c>
      <c r="S25" s="26" t="s">
        <v>421</v>
      </c>
      <c r="T25" s="26" t="s">
        <v>423</v>
      </c>
      <c r="U25" s="26" t="s">
        <v>391</v>
      </c>
    </row>
    <row r="26" ht="15.75" customHeight="1">
      <c r="A26" s="26" t="s">
        <v>394</v>
      </c>
      <c r="B26" s="26" t="s">
        <v>114</v>
      </c>
      <c r="C26" s="26" t="s">
        <v>47</v>
      </c>
      <c r="D26" s="29"/>
      <c r="E26" s="23"/>
      <c r="F26" s="23"/>
      <c r="G26" s="29"/>
      <c r="H26" s="23"/>
      <c r="I26" s="23"/>
      <c r="J26" s="29"/>
      <c r="K26" s="23"/>
      <c r="L26" s="23"/>
      <c r="M26" s="95" t="s">
        <v>142</v>
      </c>
      <c r="N26" s="95" t="s">
        <v>153</v>
      </c>
      <c r="O26" s="95" t="s">
        <v>57</v>
      </c>
      <c r="P26" s="29"/>
      <c r="Q26" s="23"/>
      <c r="R26" s="23"/>
      <c r="S26" s="29"/>
      <c r="T26" s="23"/>
      <c r="U26" s="23"/>
    </row>
    <row r="27" ht="15.75" customHeight="1">
      <c r="A27" s="38" t="s">
        <v>409</v>
      </c>
      <c r="B27" s="38" t="s">
        <v>396</v>
      </c>
      <c r="C27" s="26" t="s">
        <v>47</v>
      </c>
      <c r="D27" s="29"/>
      <c r="E27" s="23"/>
      <c r="F27" s="23"/>
      <c r="G27" s="29"/>
      <c r="H27" s="23"/>
      <c r="I27" s="23"/>
      <c r="J27" s="29"/>
      <c r="K27" s="23"/>
      <c r="L27" s="23"/>
      <c r="M27" s="29"/>
      <c r="N27" s="23"/>
      <c r="O27" s="23"/>
      <c r="P27" s="29"/>
      <c r="Q27" s="23"/>
      <c r="R27" s="23"/>
      <c r="S27" s="29"/>
      <c r="T27" s="23"/>
      <c r="U27" s="23"/>
    </row>
    <row r="28" ht="15.75" customHeight="1">
      <c r="A28" s="44"/>
      <c r="B28" s="36"/>
      <c r="C28" s="36"/>
      <c r="D28" s="44"/>
      <c r="E28" s="36"/>
      <c r="F28" s="36"/>
      <c r="G28" s="44"/>
      <c r="H28" s="36"/>
      <c r="I28" s="36"/>
      <c r="J28" s="44"/>
      <c r="K28" s="36"/>
      <c r="L28" s="36"/>
      <c r="M28" s="44"/>
      <c r="N28" s="36"/>
      <c r="O28" s="36"/>
      <c r="P28" s="44"/>
      <c r="Q28" s="36"/>
      <c r="R28" s="36"/>
      <c r="S28" s="44"/>
      <c r="T28" s="36"/>
      <c r="U28" s="36"/>
    </row>
    <row r="29" ht="15.75" customHeight="1">
      <c r="A29" s="39" t="s">
        <v>7</v>
      </c>
      <c r="B29" s="15"/>
      <c r="C29" s="16"/>
      <c r="D29" s="40" t="s">
        <v>8</v>
      </c>
      <c r="E29" s="15"/>
      <c r="F29" s="16"/>
      <c r="G29" s="40" t="s">
        <v>9</v>
      </c>
      <c r="H29" s="15"/>
      <c r="I29" s="16"/>
      <c r="J29" s="40" t="s">
        <v>10</v>
      </c>
      <c r="K29" s="15"/>
      <c r="L29" s="16"/>
      <c r="M29" s="40" t="s">
        <v>11</v>
      </c>
      <c r="N29" s="15"/>
      <c r="O29" s="16"/>
      <c r="P29" s="40" t="s">
        <v>12</v>
      </c>
      <c r="Q29" s="15"/>
      <c r="R29" s="16"/>
      <c r="S29" s="41" t="s">
        <v>13</v>
      </c>
      <c r="T29" s="15"/>
      <c r="U29" s="16"/>
    </row>
    <row r="30" ht="15.75" customHeight="1">
      <c r="A30" s="62">
        <f>S22+1</f>
        <v>46132</v>
      </c>
      <c r="B30" s="15"/>
      <c r="C30" s="16"/>
      <c r="D30" s="63">
        <f>A30+1</f>
        <v>46133</v>
      </c>
      <c r="E30" s="15"/>
      <c r="F30" s="16"/>
      <c r="G30" s="63">
        <f>D30+1</f>
        <v>46134</v>
      </c>
      <c r="H30" s="15"/>
      <c r="I30" s="16"/>
      <c r="J30" s="63">
        <f>G30+1</f>
        <v>46135</v>
      </c>
      <c r="K30" s="15"/>
      <c r="L30" s="16"/>
      <c r="M30" s="63">
        <f>J30+1</f>
        <v>46136</v>
      </c>
      <c r="N30" s="15"/>
      <c r="O30" s="16"/>
      <c r="P30" s="63">
        <f>M30+1</f>
        <v>46137</v>
      </c>
      <c r="Q30" s="15"/>
      <c r="R30" s="16"/>
      <c r="S30" s="70">
        <f>P30+1</f>
        <v>46138</v>
      </c>
      <c r="T30" s="15"/>
      <c r="U30" s="16"/>
    </row>
    <row r="31" ht="15.75" customHeight="1">
      <c r="A31" s="29"/>
      <c r="B31" s="23"/>
      <c r="C31" s="23"/>
      <c r="D31" s="29"/>
      <c r="E31" s="23"/>
      <c r="F31" s="23"/>
      <c r="G31" s="29"/>
      <c r="H31" s="23"/>
      <c r="I31" s="23"/>
      <c r="J31" s="29"/>
      <c r="K31" s="23"/>
      <c r="L31" s="23"/>
      <c r="M31" s="29"/>
      <c r="N31" s="23"/>
      <c r="O31" s="23"/>
      <c r="P31" s="29"/>
      <c r="Q31" s="23"/>
      <c r="R31" s="23"/>
      <c r="S31" s="29"/>
      <c r="T31" s="23"/>
      <c r="U31" s="23"/>
    </row>
    <row r="32" ht="15.75" customHeight="1">
      <c r="A32" s="29"/>
      <c r="B32" s="23"/>
      <c r="C32" s="23"/>
      <c r="D32" s="29"/>
      <c r="E32" s="23"/>
      <c r="F32" s="23"/>
      <c r="G32" s="29"/>
      <c r="H32" s="23"/>
      <c r="I32" s="23"/>
      <c r="J32" s="29"/>
      <c r="K32" s="23"/>
      <c r="L32" s="23"/>
      <c r="M32" s="29"/>
      <c r="N32" s="23"/>
      <c r="O32" s="23"/>
      <c r="P32" s="29"/>
      <c r="Q32" s="23"/>
      <c r="R32" s="23"/>
      <c r="S32" s="29" t="s">
        <v>407</v>
      </c>
      <c r="T32" s="303" t="s">
        <v>179</v>
      </c>
      <c r="U32" s="23" t="s">
        <v>57</v>
      </c>
    </row>
    <row r="33" ht="15.75" customHeight="1">
      <c r="A33" s="26" t="s">
        <v>421</v>
      </c>
      <c r="B33" s="26" t="s">
        <v>423</v>
      </c>
      <c r="C33" s="26" t="s">
        <v>391</v>
      </c>
      <c r="D33" s="214" t="s">
        <v>22</v>
      </c>
      <c r="E33" s="10"/>
      <c r="F33" s="11"/>
      <c r="G33" s="38" t="s">
        <v>246</v>
      </c>
      <c r="H33" s="38" t="s">
        <v>247</v>
      </c>
      <c r="I33" s="38" t="s">
        <v>57</v>
      </c>
      <c r="J33" s="26" t="s">
        <v>400</v>
      </c>
      <c r="K33" s="26" t="s">
        <v>406</v>
      </c>
      <c r="L33" s="26" t="s">
        <v>345</v>
      </c>
      <c r="M33" s="26"/>
      <c r="N33" s="26"/>
      <c r="O33" s="26"/>
      <c r="P33" s="26"/>
      <c r="Q33" s="26"/>
      <c r="R33" s="26"/>
      <c r="S33" s="26"/>
      <c r="T33" s="26"/>
      <c r="U33" s="26"/>
    </row>
    <row r="34" ht="15.75" customHeight="1">
      <c r="A34" s="29"/>
      <c r="B34" s="23"/>
      <c r="C34" s="23"/>
      <c r="D34" s="29"/>
      <c r="E34" s="23"/>
      <c r="F34" s="23"/>
      <c r="G34" s="29"/>
      <c r="H34" s="23"/>
      <c r="I34" s="23"/>
      <c r="J34" s="29"/>
      <c r="K34" s="23"/>
      <c r="L34" s="23"/>
      <c r="M34" s="29"/>
      <c r="N34" s="23"/>
      <c r="O34" s="23"/>
      <c r="P34" s="29"/>
      <c r="Q34" s="23"/>
      <c r="R34" s="23"/>
      <c r="S34" s="95" t="s">
        <v>139</v>
      </c>
      <c r="T34" s="95" t="s">
        <v>153</v>
      </c>
      <c r="U34" s="95" t="s">
        <v>57</v>
      </c>
    </row>
    <row r="35" ht="15.75" customHeight="1">
      <c r="A35" s="29"/>
      <c r="B35" s="23"/>
      <c r="C35" s="23"/>
      <c r="D35" s="29"/>
      <c r="E35" s="23"/>
      <c r="F35" s="23"/>
      <c r="G35" s="29"/>
      <c r="H35" s="23"/>
      <c r="I35" s="23"/>
      <c r="J35" s="29"/>
      <c r="K35" s="23"/>
      <c r="L35" s="23"/>
      <c r="M35" s="29"/>
      <c r="N35" s="23"/>
      <c r="O35" s="23"/>
      <c r="P35" s="29"/>
      <c r="Q35" s="23"/>
      <c r="R35" s="23"/>
      <c r="S35" s="29"/>
      <c r="T35" s="23"/>
      <c r="U35" s="23"/>
    </row>
    <row r="36" ht="15.75" customHeight="1">
      <c r="A36" s="44"/>
      <c r="B36" s="36"/>
      <c r="C36" s="36"/>
      <c r="D36" s="44"/>
      <c r="E36" s="36"/>
      <c r="F36" s="36"/>
      <c r="G36" s="44"/>
      <c r="H36" s="36"/>
      <c r="I36" s="36"/>
      <c r="J36" s="44"/>
      <c r="K36" s="36"/>
      <c r="L36" s="36"/>
      <c r="M36" s="44"/>
      <c r="N36" s="36"/>
      <c r="O36" s="36"/>
      <c r="P36" s="44"/>
      <c r="Q36" s="36"/>
      <c r="R36" s="36"/>
      <c r="S36" s="44"/>
      <c r="T36" s="36"/>
      <c r="U36" s="36"/>
    </row>
    <row r="37" ht="15.75" customHeight="1">
      <c r="A37" s="51" t="s">
        <v>7</v>
      </c>
      <c r="B37" s="15"/>
      <c r="C37" s="16"/>
      <c r="D37" s="52" t="s">
        <v>8</v>
      </c>
      <c r="E37" s="15"/>
      <c r="F37" s="16"/>
      <c r="G37" s="52" t="s">
        <v>9</v>
      </c>
      <c r="H37" s="15"/>
      <c r="I37" s="16"/>
      <c r="J37" s="52" t="s">
        <v>10</v>
      </c>
      <c r="K37" s="15"/>
      <c r="L37" s="16"/>
      <c r="M37" s="52"/>
      <c r="N37" s="15"/>
      <c r="O37" s="16"/>
      <c r="P37" s="52"/>
      <c r="Q37" s="15"/>
      <c r="R37" s="16"/>
      <c r="S37" s="53"/>
      <c r="T37" s="15"/>
      <c r="U37" s="16"/>
    </row>
    <row r="38" ht="15.75" customHeight="1">
      <c r="A38" s="54">
        <f>S30+1</f>
        <v>46139</v>
      </c>
      <c r="B38" s="15"/>
      <c r="C38" s="16"/>
      <c r="D38" s="55">
        <f>A38+1</f>
        <v>46140</v>
      </c>
      <c r="E38" s="15"/>
      <c r="F38" s="16"/>
      <c r="G38" s="55">
        <f>D38+1</f>
        <v>46141</v>
      </c>
      <c r="H38" s="15"/>
      <c r="I38" s="16"/>
      <c r="J38" s="55">
        <f>G38+1</f>
        <v>46142</v>
      </c>
      <c r="K38" s="15"/>
      <c r="L38" s="16"/>
      <c r="M38" s="55"/>
      <c r="N38" s="15"/>
      <c r="O38" s="16"/>
      <c r="P38" s="55"/>
      <c r="Q38" s="15"/>
      <c r="R38" s="16"/>
      <c r="S38" s="18"/>
      <c r="T38" s="15"/>
      <c r="U38" s="16"/>
    </row>
    <row r="39" ht="15.75" customHeight="1">
      <c r="A39" s="29"/>
      <c r="B39" s="23"/>
      <c r="C39" s="23"/>
      <c r="D39" s="29"/>
      <c r="E39" s="23"/>
      <c r="F39" s="23"/>
      <c r="G39" s="29"/>
      <c r="H39" s="23"/>
      <c r="I39" s="23"/>
      <c r="J39" s="29"/>
      <c r="K39" s="23"/>
      <c r="L39" s="23"/>
      <c r="M39" s="29"/>
      <c r="N39" s="23"/>
      <c r="O39" s="23"/>
      <c r="P39" s="29"/>
      <c r="Q39" s="23"/>
      <c r="R39" s="23"/>
      <c r="S39" s="29"/>
      <c r="T39" s="23"/>
      <c r="U39" s="23"/>
    </row>
    <row r="40" ht="15.75" customHeight="1">
      <c r="A40" s="29"/>
      <c r="B40" s="23"/>
      <c r="C40" s="23"/>
      <c r="D40" s="29"/>
      <c r="E40" s="23"/>
      <c r="F40" s="23"/>
      <c r="G40" s="29"/>
      <c r="H40" s="23"/>
      <c r="I40" s="23"/>
      <c r="J40" s="29"/>
      <c r="K40" s="23"/>
      <c r="L40" s="23"/>
      <c r="M40" s="29"/>
      <c r="N40" s="23"/>
      <c r="O40" s="23"/>
      <c r="P40" s="29"/>
      <c r="Q40" s="23"/>
      <c r="R40" s="23"/>
      <c r="S40" s="29"/>
      <c r="T40" s="23"/>
      <c r="U40" s="23"/>
    </row>
    <row r="41" ht="15.75" customHeight="1">
      <c r="A41" s="26" t="s">
        <v>413</v>
      </c>
      <c r="B41" s="26" t="s">
        <v>68</v>
      </c>
      <c r="C41" s="26" t="s">
        <v>57</v>
      </c>
      <c r="D41" s="214" t="s">
        <v>22</v>
      </c>
      <c r="E41" s="10"/>
      <c r="F41" s="11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 ht="15.75" customHeight="1">
      <c r="A42" s="29"/>
      <c r="B42" s="23"/>
      <c r="C42" s="23"/>
      <c r="D42" s="29"/>
      <c r="E42" s="23"/>
      <c r="F42" s="23"/>
      <c r="G42" s="95" t="s">
        <v>142</v>
      </c>
      <c r="H42" s="95" t="s">
        <v>153</v>
      </c>
      <c r="I42" s="95" t="s">
        <v>57</v>
      </c>
      <c r="J42" s="38" t="s">
        <v>132</v>
      </c>
      <c r="K42" s="38" t="s">
        <v>134</v>
      </c>
      <c r="L42" s="23"/>
      <c r="M42" s="29"/>
      <c r="N42" s="23"/>
      <c r="O42" s="23"/>
      <c r="P42" s="29"/>
      <c r="Q42" s="23"/>
      <c r="R42" s="23"/>
      <c r="S42" s="29"/>
      <c r="T42" s="23"/>
      <c r="U42" s="23"/>
    </row>
    <row r="43" ht="15.75" customHeight="1">
      <c r="A43" s="29"/>
      <c r="B43" s="23"/>
      <c r="C43" s="23"/>
      <c r="D43" s="29"/>
      <c r="E43" s="23"/>
      <c r="F43" s="23"/>
      <c r="G43" s="29"/>
      <c r="H43" s="23"/>
      <c r="I43" s="23"/>
      <c r="J43" s="29"/>
      <c r="K43" s="23"/>
      <c r="L43" s="23"/>
      <c r="M43" s="29"/>
      <c r="N43" s="23"/>
      <c r="O43" s="23"/>
      <c r="P43" s="29"/>
      <c r="Q43" s="23"/>
      <c r="R43" s="23"/>
      <c r="S43" s="29"/>
      <c r="T43" s="23"/>
      <c r="U43" s="23"/>
    </row>
    <row r="44" ht="15.75" customHeight="1">
      <c r="A44" s="44"/>
      <c r="B44" s="36"/>
      <c r="C44" s="36"/>
      <c r="D44" s="44"/>
      <c r="E44" s="36"/>
      <c r="F44" s="36"/>
      <c r="G44" s="44"/>
      <c r="H44" s="36"/>
      <c r="I44" s="36"/>
      <c r="J44" s="44"/>
      <c r="K44" s="36"/>
      <c r="L44" s="36"/>
      <c r="M44" s="44"/>
      <c r="N44" s="36"/>
      <c r="O44" s="36"/>
      <c r="P44" s="44"/>
      <c r="Q44" s="36"/>
      <c r="R44" s="36"/>
      <c r="S44" s="44"/>
      <c r="T44" s="36"/>
      <c r="U44" s="36"/>
    </row>
    <row r="45" ht="15.75" customHeight="1">
      <c r="A45" s="39"/>
      <c r="B45" s="15"/>
      <c r="C45" s="16"/>
      <c r="D45" s="40"/>
      <c r="E45" s="15"/>
      <c r="F45" s="16"/>
      <c r="G45" s="40"/>
      <c r="H45" s="15"/>
      <c r="I45" s="16"/>
      <c r="J45" s="40"/>
      <c r="K45" s="15"/>
      <c r="L45" s="16"/>
      <c r="M45" s="40"/>
      <c r="N45" s="15"/>
      <c r="O45" s="16"/>
      <c r="P45" s="40"/>
      <c r="Q45" s="15"/>
      <c r="R45" s="16"/>
      <c r="S45" s="297"/>
      <c r="T45" s="15"/>
      <c r="U45" s="16"/>
    </row>
    <row r="46" ht="15.75" customHeight="1">
      <c r="A46" s="62"/>
      <c r="B46" s="15"/>
      <c r="C46" s="16"/>
      <c r="D46" s="63"/>
      <c r="E46" s="15"/>
      <c r="F46" s="16"/>
      <c r="G46" s="63"/>
      <c r="H46" s="15"/>
      <c r="I46" s="16"/>
      <c r="J46" s="63"/>
      <c r="K46" s="15"/>
      <c r="L46" s="16"/>
      <c r="M46" s="63"/>
      <c r="N46" s="15"/>
      <c r="O46" s="16"/>
      <c r="P46" s="63"/>
      <c r="Q46" s="15"/>
      <c r="R46" s="16"/>
      <c r="S46" s="298"/>
      <c r="T46" s="15"/>
      <c r="U46" s="16"/>
    </row>
    <row r="47" ht="15.75" customHeight="1">
      <c r="A47" s="38"/>
      <c r="B47" s="38"/>
      <c r="C47" s="38"/>
      <c r="D47" s="38"/>
      <c r="E47" s="38"/>
      <c r="F47" s="38"/>
      <c r="G47" s="36"/>
      <c r="H47" s="172"/>
      <c r="I47" s="172"/>
      <c r="J47" s="170"/>
      <c r="K47" s="170"/>
      <c r="L47" s="170"/>
      <c r="M47" s="299"/>
      <c r="N47" s="299"/>
      <c r="O47" s="299"/>
      <c r="P47" s="299"/>
      <c r="Q47" s="299"/>
      <c r="R47" s="299"/>
      <c r="S47" s="170"/>
      <c r="T47" s="170"/>
      <c r="U47" s="170"/>
    </row>
    <row r="48" ht="15.75" customHeight="1">
      <c r="A48" s="38"/>
      <c r="B48" s="38"/>
      <c r="C48" s="38"/>
      <c r="D48" s="26"/>
      <c r="E48" s="26"/>
      <c r="F48" s="26"/>
      <c r="G48" s="299"/>
      <c r="H48" s="299"/>
      <c r="I48" s="299"/>
      <c r="J48" s="170"/>
      <c r="K48" s="170"/>
      <c r="L48" s="170"/>
      <c r="M48" s="300"/>
      <c r="N48" s="300"/>
      <c r="O48" s="300"/>
      <c r="P48" s="299"/>
      <c r="Q48" s="299"/>
      <c r="R48" s="299"/>
      <c r="S48" s="299"/>
      <c r="T48" s="299"/>
      <c r="U48" s="299"/>
    </row>
    <row r="49" ht="15.75" customHeight="1">
      <c r="A49" s="38"/>
      <c r="B49" s="38"/>
      <c r="C49" s="38"/>
      <c r="D49" s="38"/>
      <c r="E49" s="38"/>
      <c r="F49" s="38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</row>
    <row r="50" ht="15.75" customHeight="1">
      <c r="A50" s="299"/>
      <c r="B50" s="299"/>
      <c r="C50" s="299"/>
      <c r="D50" s="38"/>
      <c r="E50" s="38"/>
      <c r="F50" s="38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170"/>
      <c r="T50" s="170"/>
      <c r="U50" s="170"/>
    </row>
    <row r="51" ht="15.75" customHeight="1">
      <c r="A51" s="38"/>
      <c r="B51" s="38"/>
      <c r="C51" s="38"/>
      <c r="D51" s="161"/>
      <c r="E51" s="161"/>
      <c r="F51" s="161"/>
      <c r="G51" s="299"/>
      <c r="H51" s="299"/>
      <c r="I51" s="170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</row>
    <row r="52" ht="15.75" customHeight="1">
      <c r="A52" s="301"/>
      <c r="B52" s="170"/>
      <c r="C52" s="170"/>
      <c r="D52" s="299"/>
      <c r="E52" s="299"/>
      <c r="F52" s="299"/>
      <c r="G52" s="170"/>
      <c r="H52" s="170"/>
      <c r="I52" s="170"/>
      <c r="J52" s="299"/>
      <c r="K52" s="299"/>
      <c r="L52" s="299"/>
      <c r="M52" s="170"/>
      <c r="N52" s="170"/>
      <c r="O52" s="170"/>
      <c r="P52" s="299"/>
      <c r="Q52" s="299"/>
      <c r="R52" s="299"/>
      <c r="S52" s="170"/>
      <c r="T52" s="170"/>
      <c r="U52" s="170"/>
    </row>
    <row r="53" ht="15.75" customHeight="1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L63" s="77" t="s">
        <v>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G25:I25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G30:I30"/>
    <mergeCell ref="J30:L30"/>
    <mergeCell ref="M30:O30"/>
    <mergeCell ref="P30:R30"/>
    <mergeCell ref="S30:U30"/>
    <mergeCell ref="D30:F30"/>
    <mergeCell ref="D33:F33"/>
    <mergeCell ref="A37:C37"/>
    <mergeCell ref="D37:F37"/>
    <mergeCell ref="G37:I37"/>
    <mergeCell ref="J37:L37"/>
    <mergeCell ref="M37:O37"/>
    <mergeCell ref="J45:L45"/>
    <mergeCell ref="M45:O45"/>
    <mergeCell ref="P45:R45"/>
    <mergeCell ref="S45:U45"/>
    <mergeCell ref="A38:C38"/>
    <mergeCell ref="D38:F38"/>
    <mergeCell ref="G38:I38"/>
    <mergeCell ref="J38:L38"/>
    <mergeCell ref="M38:O38"/>
    <mergeCell ref="D41:F41"/>
    <mergeCell ref="A45:C45"/>
    <mergeCell ref="P46:R46"/>
    <mergeCell ref="S46:U46"/>
    <mergeCell ref="D45:F45"/>
    <mergeCell ref="G45:I45"/>
    <mergeCell ref="A46:C46"/>
    <mergeCell ref="D46:F46"/>
    <mergeCell ref="G46:I46"/>
    <mergeCell ref="J46:L46"/>
    <mergeCell ref="M46:O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9:R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37:R37"/>
    <mergeCell ref="S37:U37"/>
    <mergeCell ref="P38:R38"/>
    <mergeCell ref="S38:U3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4.57"/>
    <col customWidth="1" min="3" max="33" width="5.57"/>
    <col customWidth="1" hidden="1" min="34" max="34" width="5.57"/>
    <col customWidth="1" hidden="1" min="35" max="35" width="14.0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>
      <c r="A2" s="30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>
      <c r="A3" s="306"/>
      <c r="B3" s="307" t="s">
        <v>431</v>
      </c>
      <c r="AG3" s="77"/>
      <c r="AH3" s="77"/>
      <c r="AI3" s="77"/>
    </row>
    <row r="4">
      <c r="A4" s="306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</row>
    <row r="5" hidden="1">
      <c r="A5" s="306"/>
      <c r="B5" s="308" t="s">
        <v>432</v>
      </c>
      <c r="C5" s="309" t="s">
        <v>433</v>
      </c>
      <c r="D5" s="310"/>
      <c r="E5" s="310"/>
      <c r="F5" s="310"/>
      <c r="G5" s="310"/>
      <c r="H5" s="310"/>
      <c r="I5" s="310"/>
      <c r="J5" s="310"/>
      <c r="K5" s="311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</row>
    <row r="6">
      <c r="A6" s="30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</row>
    <row r="7">
      <c r="A7" s="312">
        <v>46113.0</v>
      </c>
      <c r="B7" s="31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  <c r="AD7" s="310"/>
      <c r="AE7" s="310"/>
      <c r="AF7" s="310"/>
      <c r="AG7" s="310"/>
      <c r="AH7" s="311"/>
      <c r="AI7" s="313"/>
    </row>
    <row r="8">
      <c r="A8" s="314" t="s">
        <v>434</v>
      </c>
      <c r="B8" s="314" t="s">
        <v>233</v>
      </c>
      <c r="C8" s="315"/>
      <c r="D8" s="316" t="s">
        <v>435</v>
      </c>
      <c r="E8" s="316" t="s">
        <v>436</v>
      </c>
      <c r="F8" s="316" t="s">
        <v>437</v>
      </c>
      <c r="G8" s="316" t="s">
        <v>438</v>
      </c>
      <c r="H8" s="317" t="s">
        <v>439</v>
      </c>
      <c r="I8" s="316" t="s">
        <v>438</v>
      </c>
      <c r="J8" s="316" t="s">
        <v>438</v>
      </c>
      <c r="K8" s="316" t="s">
        <v>435</v>
      </c>
      <c r="L8" s="316" t="s">
        <v>436</v>
      </c>
      <c r="M8" s="316" t="s">
        <v>437</v>
      </c>
      <c r="N8" s="316" t="s">
        <v>438</v>
      </c>
      <c r="O8" s="317" t="s">
        <v>439</v>
      </c>
      <c r="P8" s="316" t="s">
        <v>438</v>
      </c>
      <c r="Q8" s="316" t="s">
        <v>438</v>
      </c>
      <c r="R8" s="316" t="s">
        <v>435</v>
      </c>
      <c r="S8" s="316" t="s">
        <v>436</v>
      </c>
      <c r="T8" s="316" t="s">
        <v>437</v>
      </c>
      <c r="U8" s="316" t="s">
        <v>438</v>
      </c>
      <c r="V8" s="318" t="s">
        <v>439</v>
      </c>
      <c r="W8" s="316" t="s">
        <v>438</v>
      </c>
      <c r="X8" s="316" t="s">
        <v>438</v>
      </c>
      <c r="Y8" s="316" t="s">
        <v>435</v>
      </c>
      <c r="Z8" s="316" t="s">
        <v>436</v>
      </c>
      <c r="AA8" s="316" t="s">
        <v>437</v>
      </c>
      <c r="AB8" s="316" t="s">
        <v>438</v>
      </c>
      <c r="AC8" s="318" t="s">
        <v>439</v>
      </c>
      <c r="AD8" s="316" t="s">
        <v>438</v>
      </c>
      <c r="AE8" s="316" t="s">
        <v>438</v>
      </c>
      <c r="AF8" s="316" t="s">
        <v>435</v>
      </c>
      <c r="AG8" s="316" t="s">
        <v>436</v>
      </c>
      <c r="AH8" s="315"/>
      <c r="AI8" s="319"/>
    </row>
    <row r="9">
      <c r="A9" s="320"/>
      <c r="B9" s="320"/>
      <c r="C9" s="316">
        <v>28.0</v>
      </c>
      <c r="D9" s="316">
        <v>1.0</v>
      </c>
      <c r="E9" s="316">
        <v>2.0</v>
      </c>
      <c r="F9" s="316">
        <v>3.0</v>
      </c>
      <c r="G9" s="316">
        <v>4.0</v>
      </c>
      <c r="H9" s="317">
        <v>5.0</v>
      </c>
      <c r="I9" s="316">
        <v>6.0</v>
      </c>
      <c r="J9" s="316">
        <v>7.0</v>
      </c>
      <c r="K9" s="316">
        <v>8.0</v>
      </c>
      <c r="L9" s="316">
        <v>9.0</v>
      </c>
      <c r="M9" s="316">
        <v>10.0</v>
      </c>
      <c r="N9" s="316">
        <v>11.0</v>
      </c>
      <c r="O9" s="317">
        <v>12.0</v>
      </c>
      <c r="P9" s="316">
        <v>13.0</v>
      </c>
      <c r="Q9" s="316">
        <v>14.0</v>
      </c>
      <c r="R9" s="316">
        <v>15.0</v>
      </c>
      <c r="S9" s="316">
        <v>16.0</v>
      </c>
      <c r="T9" s="316">
        <v>17.0</v>
      </c>
      <c r="U9" s="316">
        <v>18.0</v>
      </c>
      <c r="V9" s="317">
        <v>19.0</v>
      </c>
      <c r="W9" s="316">
        <v>20.0</v>
      </c>
      <c r="X9" s="316">
        <v>21.0</v>
      </c>
      <c r="Y9" s="316">
        <v>22.0</v>
      </c>
      <c r="Z9" s="316">
        <v>23.0</v>
      </c>
      <c r="AA9" s="316">
        <v>24.0</v>
      </c>
      <c r="AB9" s="316">
        <v>25.0</v>
      </c>
      <c r="AC9" s="317">
        <v>26.0</v>
      </c>
      <c r="AD9" s="316">
        <v>27.0</v>
      </c>
      <c r="AE9" s="316">
        <v>28.0</v>
      </c>
      <c r="AF9" s="316">
        <v>29.0</v>
      </c>
      <c r="AG9" s="316">
        <v>30.0</v>
      </c>
      <c r="AH9" s="315"/>
      <c r="AI9" s="321"/>
    </row>
    <row r="10">
      <c r="A10" s="322">
        <v>1.0</v>
      </c>
      <c r="B10" s="323" t="s">
        <v>440</v>
      </c>
      <c r="C10" s="324"/>
      <c r="D10" s="322" t="s">
        <v>441</v>
      </c>
      <c r="E10" s="322" t="s">
        <v>441</v>
      </c>
      <c r="F10" s="322" t="s">
        <v>441</v>
      </c>
      <c r="G10" s="322" t="s">
        <v>441</v>
      </c>
      <c r="H10" s="325" t="s">
        <v>442</v>
      </c>
      <c r="I10" s="326" t="s">
        <v>438</v>
      </c>
      <c r="J10" s="326" t="s">
        <v>438</v>
      </c>
      <c r="K10" s="326" t="s">
        <v>438</v>
      </c>
      <c r="L10" s="326" t="s">
        <v>438</v>
      </c>
      <c r="M10" s="326" t="s">
        <v>438</v>
      </c>
      <c r="N10" s="325" t="s">
        <v>442</v>
      </c>
      <c r="O10" s="322" t="s">
        <v>441</v>
      </c>
      <c r="P10" s="322" t="s">
        <v>441</v>
      </c>
      <c r="Q10" s="322" t="s">
        <v>441</v>
      </c>
      <c r="R10" s="322" t="s">
        <v>441</v>
      </c>
      <c r="S10" s="322" t="s">
        <v>441</v>
      </c>
      <c r="T10" s="322" t="s">
        <v>441</v>
      </c>
      <c r="U10" s="325" t="s">
        <v>442</v>
      </c>
      <c r="V10" s="326" t="s">
        <v>438</v>
      </c>
      <c r="W10" s="326" t="s">
        <v>438</v>
      </c>
      <c r="X10" s="326" t="s">
        <v>438</v>
      </c>
      <c r="Y10" s="326" t="s">
        <v>438</v>
      </c>
      <c r="Z10" s="326" t="s">
        <v>438</v>
      </c>
      <c r="AA10" s="326" t="s">
        <v>438</v>
      </c>
      <c r="AB10" s="326" t="s">
        <v>438</v>
      </c>
      <c r="AC10" s="326" t="s">
        <v>438</v>
      </c>
      <c r="AD10" s="325" t="s">
        <v>442</v>
      </c>
      <c r="AE10" s="322" t="s">
        <v>441</v>
      </c>
      <c r="AF10" s="322" t="s">
        <v>441</v>
      </c>
      <c r="AG10" s="322" t="s">
        <v>441</v>
      </c>
      <c r="AH10" s="154"/>
      <c r="AI10" s="285">
        <f>COUNTIF(D10:AH10,"X")</f>
        <v>4</v>
      </c>
    </row>
    <row r="11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77"/>
    </row>
    <row r="12">
      <c r="A12" s="322">
        <v>2.0</v>
      </c>
      <c r="B12" s="323" t="s">
        <v>443</v>
      </c>
      <c r="C12" s="324"/>
      <c r="D12" s="326" t="s">
        <v>438</v>
      </c>
      <c r="E12" s="326" t="s">
        <v>438</v>
      </c>
      <c r="F12" s="326" t="s">
        <v>438</v>
      </c>
      <c r="G12" s="325" t="s">
        <v>442</v>
      </c>
      <c r="H12" s="322" t="s">
        <v>441</v>
      </c>
      <c r="I12" s="322" t="s">
        <v>441</v>
      </c>
      <c r="J12" s="322" t="s">
        <v>441</v>
      </c>
      <c r="K12" s="322" t="s">
        <v>441</v>
      </c>
      <c r="L12" s="322" t="s">
        <v>441</v>
      </c>
      <c r="M12" s="322" t="s">
        <v>441</v>
      </c>
      <c r="N12" s="322" t="s">
        <v>441</v>
      </c>
      <c r="O12" s="325" t="s">
        <v>442</v>
      </c>
      <c r="P12" s="326" t="s">
        <v>438</v>
      </c>
      <c r="Q12" s="326" t="s">
        <v>438</v>
      </c>
      <c r="R12" s="326" t="s">
        <v>438</v>
      </c>
      <c r="S12" s="326" t="s">
        <v>438</v>
      </c>
      <c r="T12" s="326" t="s">
        <v>438</v>
      </c>
      <c r="U12" s="326" t="s">
        <v>438</v>
      </c>
      <c r="V12" s="325" t="s">
        <v>442</v>
      </c>
      <c r="W12" s="322" t="s">
        <v>441</v>
      </c>
      <c r="X12" s="322" t="s">
        <v>441</v>
      </c>
      <c r="Y12" s="322" t="s">
        <v>441</v>
      </c>
      <c r="Z12" s="322" t="s">
        <v>441</v>
      </c>
      <c r="AA12" s="322" t="s">
        <v>441</v>
      </c>
      <c r="AB12" s="322" t="s">
        <v>441</v>
      </c>
      <c r="AC12" s="322" t="s">
        <v>441</v>
      </c>
      <c r="AD12" s="322" t="s">
        <v>441</v>
      </c>
      <c r="AE12" s="325" t="s">
        <v>442</v>
      </c>
      <c r="AF12" s="326" t="s">
        <v>438</v>
      </c>
      <c r="AG12" s="326" t="s">
        <v>438</v>
      </c>
      <c r="AH12" s="327"/>
      <c r="AI12" s="285">
        <f>COUNTIF(C12:AH12,"X")</f>
        <v>4</v>
      </c>
    </row>
    <row r="13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77"/>
    </row>
    <row r="14">
      <c r="A14" s="328">
        <v>3.0</v>
      </c>
      <c r="B14" s="329" t="s">
        <v>444</v>
      </c>
      <c r="C14" s="330"/>
      <c r="D14" s="331" t="s">
        <v>442</v>
      </c>
      <c r="E14" s="331" t="s">
        <v>442</v>
      </c>
      <c r="F14" s="331" t="s">
        <v>442</v>
      </c>
      <c r="G14" s="328" t="s">
        <v>441</v>
      </c>
      <c r="H14" s="328" t="s">
        <v>441</v>
      </c>
      <c r="I14" s="328" t="s">
        <v>438</v>
      </c>
      <c r="J14" s="328" t="s">
        <v>438</v>
      </c>
      <c r="K14" s="328" t="s">
        <v>438</v>
      </c>
      <c r="L14" s="328" t="s">
        <v>438</v>
      </c>
      <c r="M14" s="328" t="s">
        <v>438</v>
      </c>
      <c r="N14" s="326" t="s">
        <v>438</v>
      </c>
      <c r="O14" s="326" t="s">
        <v>438</v>
      </c>
      <c r="P14" s="328" t="s">
        <v>438</v>
      </c>
      <c r="Q14" s="328" t="s">
        <v>438</v>
      </c>
      <c r="R14" s="332" t="s">
        <v>442</v>
      </c>
      <c r="S14" s="322" t="s">
        <v>441</v>
      </c>
      <c r="T14" s="322" t="s">
        <v>441</v>
      </c>
      <c r="U14" s="322" t="s">
        <v>441</v>
      </c>
      <c r="V14" s="322" t="s">
        <v>441</v>
      </c>
      <c r="W14" s="328" t="s">
        <v>441</v>
      </c>
      <c r="X14" s="328" t="s">
        <v>441</v>
      </c>
      <c r="Y14" s="326" t="s">
        <v>157</v>
      </c>
      <c r="Z14" s="326" t="s">
        <v>157</v>
      </c>
      <c r="AA14" s="328" t="s">
        <v>438</v>
      </c>
      <c r="AB14" s="328" t="s">
        <v>438</v>
      </c>
      <c r="AC14" s="328" t="s">
        <v>438</v>
      </c>
      <c r="AD14" s="326" t="s">
        <v>438</v>
      </c>
      <c r="AE14" s="326" t="s">
        <v>438</v>
      </c>
      <c r="AF14" s="328" t="s">
        <v>441</v>
      </c>
      <c r="AG14" s="328" t="s">
        <v>441</v>
      </c>
      <c r="AH14" s="144"/>
      <c r="AI14" s="285" t="str">
        <f>COUNTIF(#REF!,"X")</f>
        <v>#REF!</v>
      </c>
    </row>
    <row r="15">
      <c r="A15" s="144"/>
      <c r="B15" s="144"/>
      <c r="C15" s="144"/>
      <c r="D15" s="144"/>
      <c r="E15" s="144"/>
      <c r="F15" s="144"/>
      <c r="G15" s="144"/>
      <c r="H15" s="144"/>
      <c r="I15" s="179" t="s">
        <v>445</v>
      </c>
      <c r="J15" s="328" t="s">
        <v>157</v>
      </c>
      <c r="K15" s="328" t="s">
        <v>157</v>
      </c>
      <c r="L15" s="328" t="s">
        <v>157</v>
      </c>
      <c r="M15" s="328" t="s">
        <v>157</v>
      </c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77"/>
    </row>
    <row r="16">
      <c r="A16" s="333">
        <v>4.0</v>
      </c>
      <c r="B16" s="308" t="s">
        <v>446</v>
      </c>
      <c r="C16" s="144"/>
      <c r="D16" s="328" t="s">
        <v>441</v>
      </c>
      <c r="E16" s="179" t="s">
        <v>445</v>
      </c>
      <c r="F16" s="328" t="s">
        <v>441</v>
      </c>
      <c r="G16" s="326" t="s">
        <v>438</v>
      </c>
      <c r="H16" s="326" t="s">
        <v>438</v>
      </c>
      <c r="I16" s="179" t="s">
        <v>445</v>
      </c>
      <c r="J16" s="328" t="s">
        <v>157</v>
      </c>
      <c r="K16" s="326" t="s">
        <v>157</v>
      </c>
      <c r="L16" s="326" t="s">
        <v>157</v>
      </c>
      <c r="M16" s="332" t="s">
        <v>442</v>
      </c>
      <c r="N16" s="326" t="s">
        <v>438</v>
      </c>
      <c r="O16" s="326" t="s">
        <v>438</v>
      </c>
      <c r="P16" s="328" t="s">
        <v>441</v>
      </c>
      <c r="Q16" s="328" t="s">
        <v>441</v>
      </c>
      <c r="R16" s="332" t="s">
        <v>442</v>
      </c>
      <c r="S16" s="322" t="s">
        <v>441</v>
      </c>
      <c r="T16" s="322" t="s">
        <v>441</v>
      </c>
      <c r="U16" s="322" t="s">
        <v>441</v>
      </c>
      <c r="V16" s="322" t="s">
        <v>441</v>
      </c>
      <c r="W16" s="328" t="s">
        <v>441</v>
      </c>
      <c r="X16" s="328" t="s">
        <v>441</v>
      </c>
      <c r="Y16" s="326" t="s">
        <v>157</v>
      </c>
      <c r="Z16" s="326" t="s">
        <v>157</v>
      </c>
      <c r="AA16" s="328" t="s">
        <v>438</v>
      </c>
      <c r="AB16" s="328" t="s">
        <v>438</v>
      </c>
      <c r="AC16" s="328" t="s">
        <v>438</v>
      </c>
      <c r="AD16" s="326" t="s">
        <v>438</v>
      </c>
      <c r="AE16" s="326" t="s">
        <v>438</v>
      </c>
      <c r="AF16" s="328" t="s">
        <v>441</v>
      </c>
      <c r="AG16" s="328" t="s">
        <v>441</v>
      </c>
      <c r="AH16" s="144"/>
      <c r="AI16" s="285">
        <f>COUNTIF(C16:AH16,"X")</f>
        <v>2</v>
      </c>
    </row>
    <row r="17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79" t="s">
        <v>445</v>
      </c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77"/>
    </row>
    <row r="18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285">
        <f>COUNTIF(C14:AH14,"X")</f>
        <v>4</v>
      </c>
    </row>
    <row r="19">
      <c r="A19" s="334"/>
      <c r="B19" s="334"/>
      <c r="C19" s="144"/>
      <c r="D19" s="154"/>
      <c r="E19" s="154"/>
      <c r="F19" s="154"/>
      <c r="G19" s="327"/>
      <c r="H19" s="327"/>
      <c r="I19" s="154" t="s">
        <v>447</v>
      </c>
      <c r="J19" s="154"/>
      <c r="K19" s="154"/>
      <c r="L19" s="154"/>
      <c r="M19" s="154"/>
      <c r="N19" s="154"/>
      <c r="O19" s="154"/>
      <c r="P19" s="154"/>
      <c r="Q19" s="154"/>
      <c r="R19" s="332"/>
      <c r="S19" s="327"/>
      <c r="T19" s="327"/>
      <c r="U19" s="327"/>
      <c r="V19" s="327"/>
      <c r="W19" s="154"/>
      <c r="X19" s="154"/>
      <c r="Y19" s="332"/>
      <c r="Z19" s="332"/>
      <c r="AA19" s="154"/>
      <c r="AB19" s="154"/>
      <c r="AC19" s="154"/>
      <c r="AD19" s="154"/>
      <c r="AE19" s="154"/>
      <c r="AF19" s="327"/>
      <c r="AG19" s="327"/>
      <c r="AH19" s="144"/>
      <c r="AI19" s="77"/>
    </row>
    <row r="20">
      <c r="A20" s="334"/>
      <c r="B20" s="33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 t="s">
        <v>0</v>
      </c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285">
        <f>COUNTIF(C20:AH20,"X")</f>
        <v>0</v>
      </c>
    </row>
    <row r="21" ht="15.75" customHeight="1">
      <c r="A21" s="334"/>
      <c r="B21" s="33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285">
        <f>COUNTIF(D21:AH21,"X")</f>
        <v>0</v>
      </c>
    </row>
    <row r="22" ht="15.7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335" t="s">
        <v>0</v>
      </c>
      <c r="AH22" s="77"/>
      <c r="AI22" s="77"/>
    </row>
    <row r="23" ht="15.75" hidden="1" customHeight="1">
      <c r="A23" s="77"/>
      <c r="B23" s="336" t="s">
        <v>448</v>
      </c>
      <c r="C23" s="337">
        <f t="shared" ref="C23:AH23" si="1">COUNTIF((C10:C20),"P")</f>
        <v>0</v>
      </c>
      <c r="D23" s="337">
        <f t="shared" si="1"/>
        <v>2</v>
      </c>
      <c r="E23" s="337">
        <f t="shared" si="1"/>
        <v>1</v>
      </c>
      <c r="F23" s="337">
        <f t="shared" si="1"/>
        <v>2</v>
      </c>
      <c r="G23" s="337">
        <f t="shared" si="1"/>
        <v>2</v>
      </c>
      <c r="H23" s="337">
        <f t="shared" si="1"/>
        <v>2</v>
      </c>
      <c r="I23" s="337">
        <f t="shared" si="1"/>
        <v>1</v>
      </c>
      <c r="J23" s="337">
        <f t="shared" si="1"/>
        <v>1</v>
      </c>
      <c r="K23" s="337">
        <f t="shared" si="1"/>
        <v>1</v>
      </c>
      <c r="L23" s="337">
        <f t="shared" si="1"/>
        <v>1</v>
      </c>
      <c r="M23" s="337">
        <f t="shared" si="1"/>
        <v>1</v>
      </c>
      <c r="N23" s="337">
        <f t="shared" si="1"/>
        <v>1</v>
      </c>
      <c r="O23" s="337">
        <f t="shared" si="1"/>
        <v>1</v>
      </c>
      <c r="P23" s="337">
        <f t="shared" si="1"/>
        <v>2</v>
      </c>
      <c r="Q23" s="337">
        <f t="shared" si="1"/>
        <v>2</v>
      </c>
      <c r="R23" s="337">
        <f t="shared" si="1"/>
        <v>1</v>
      </c>
      <c r="S23" s="337">
        <f t="shared" si="1"/>
        <v>3</v>
      </c>
      <c r="T23" s="337">
        <f t="shared" si="1"/>
        <v>3</v>
      </c>
      <c r="U23" s="337">
        <f t="shared" si="1"/>
        <v>2</v>
      </c>
      <c r="V23" s="337">
        <f t="shared" si="1"/>
        <v>2</v>
      </c>
      <c r="W23" s="337">
        <f t="shared" si="1"/>
        <v>3</v>
      </c>
      <c r="X23" s="337">
        <f t="shared" si="1"/>
        <v>3</v>
      </c>
      <c r="Y23" s="337">
        <f t="shared" si="1"/>
        <v>1</v>
      </c>
      <c r="Z23" s="337">
        <f t="shared" si="1"/>
        <v>1</v>
      </c>
      <c r="AA23" s="337">
        <f t="shared" si="1"/>
        <v>1</v>
      </c>
      <c r="AB23" s="337">
        <f t="shared" si="1"/>
        <v>1</v>
      </c>
      <c r="AC23" s="337">
        <f t="shared" si="1"/>
        <v>1</v>
      </c>
      <c r="AD23" s="337">
        <f t="shared" si="1"/>
        <v>1</v>
      </c>
      <c r="AE23" s="337">
        <f t="shared" si="1"/>
        <v>1</v>
      </c>
      <c r="AF23" s="337">
        <f t="shared" si="1"/>
        <v>3</v>
      </c>
      <c r="AG23" s="337">
        <f t="shared" si="1"/>
        <v>3</v>
      </c>
      <c r="AH23" s="337">
        <f t="shared" si="1"/>
        <v>0</v>
      </c>
      <c r="AI23" s="285">
        <f>COUNTIF(D23:AH23,"X")</f>
        <v>0</v>
      </c>
    </row>
    <row r="24" ht="15.75" hidden="1" customHeight="1">
      <c r="A24" s="77"/>
      <c r="B24" s="336" t="s">
        <v>449</v>
      </c>
      <c r="C24" s="337">
        <f t="shared" ref="C24:AH24" si="2">COUNTIF((C10:C20),"S")</f>
        <v>0</v>
      </c>
      <c r="D24" s="337">
        <f t="shared" si="2"/>
        <v>1</v>
      </c>
      <c r="E24" s="337">
        <f t="shared" si="2"/>
        <v>1</v>
      </c>
      <c r="F24" s="337">
        <f t="shared" si="2"/>
        <v>1</v>
      </c>
      <c r="G24" s="337">
        <f t="shared" si="2"/>
        <v>1</v>
      </c>
      <c r="H24" s="337">
        <f t="shared" si="2"/>
        <v>1</v>
      </c>
      <c r="I24" s="337">
        <f t="shared" si="2"/>
        <v>2</v>
      </c>
      <c r="J24" s="337">
        <f t="shared" si="2"/>
        <v>2</v>
      </c>
      <c r="K24" s="337">
        <f t="shared" si="2"/>
        <v>2</v>
      </c>
      <c r="L24" s="337">
        <f t="shared" si="2"/>
        <v>2</v>
      </c>
      <c r="M24" s="337">
        <f t="shared" si="2"/>
        <v>2</v>
      </c>
      <c r="N24" s="337">
        <f t="shared" si="2"/>
        <v>2</v>
      </c>
      <c r="O24" s="337">
        <f t="shared" si="2"/>
        <v>2</v>
      </c>
      <c r="P24" s="337">
        <f t="shared" si="2"/>
        <v>2</v>
      </c>
      <c r="Q24" s="337">
        <f t="shared" si="2"/>
        <v>2</v>
      </c>
      <c r="R24" s="337">
        <f t="shared" si="2"/>
        <v>1</v>
      </c>
      <c r="S24" s="337">
        <f t="shared" si="2"/>
        <v>1</v>
      </c>
      <c r="T24" s="337">
        <f t="shared" si="2"/>
        <v>1</v>
      </c>
      <c r="U24" s="337">
        <f t="shared" si="2"/>
        <v>1</v>
      </c>
      <c r="V24" s="337">
        <f t="shared" si="2"/>
        <v>1</v>
      </c>
      <c r="W24" s="337">
        <f t="shared" si="2"/>
        <v>1</v>
      </c>
      <c r="X24" s="337">
        <f t="shared" si="2"/>
        <v>1</v>
      </c>
      <c r="Y24" s="337">
        <f t="shared" si="2"/>
        <v>1</v>
      </c>
      <c r="Z24" s="337">
        <f t="shared" si="2"/>
        <v>1</v>
      </c>
      <c r="AA24" s="337">
        <f t="shared" si="2"/>
        <v>3</v>
      </c>
      <c r="AB24" s="337">
        <f t="shared" si="2"/>
        <v>3</v>
      </c>
      <c r="AC24" s="337">
        <f t="shared" si="2"/>
        <v>3</v>
      </c>
      <c r="AD24" s="337">
        <f t="shared" si="2"/>
        <v>2</v>
      </c>
      <c r="AE24" s="337">
        <f t="shared" si="2"/>
        <v>2</v>
      </c>
      <c r="AF24" s="337">
        <f t="shared" si="2"/>
        <v>1</v>
      </c>
      <c r="AG24" s="337">
        <f t="shared" si="2"/>
        <v>1</v>
      </c>
      <c r="AH24" s="337">
        <f t="shared" si="2"/>
        <v>0</v>
      </c>
      <c r="AI24" s="77"/>
    </row>
    <row r="25" ht="15.75" hidden="1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</row>
    <row r="26" ht="15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</row>
    <row r="27" ht="15.75" customHeight="1">
      <c r="A27" s="338" t="s">
        <v>450</v>
      </c>
      <c r="B27" s="339"/>
      <c r="C27" s="340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8"/>
      <c r="Q27" s="341" t="s">
        <v>451</v>
      </c>
      <c r="R27" s="342"/>
      <c r="S27" s="342"/>
      <c r="T27" s="342"/>
      <c r="U27" s="342"/>
      <c r="V27" s="342"/>
      <c r="W27" s="342"/>
      <c r="X27" s="342"/>
      <c r="Y27" s="342"/>
      <c r="Z27" s="342"/>
      <c r="AA27" s="342"/>
      <c r="AB27" s="343"/>
      <c r="AC27" s="77"/>
      <c r="AD27" s="77"/>
      <c r="AE27" s="77"/>
      <c r="AF27" s="77"/>
      <c r="AG27" s="77"/>
      <c r="AH27" s="77"/>
      <c r="AI27" s="77"/>
    </row>
    <row r="28" ht="15.75" customHeight="1">
      <c r="A28" s="344" t="s">
        <v>441</v>
      </c>
      <c r="B28" s="345" t="s">
        <v>452</v>
      </c>
      <c r="C28" s="346"/>
      <c r="D28" s="347"/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8"/>
      <c r="Q28" s="349" t="s">
        <v>453</v>
      </c>
      <c r="R28" s="350"/>
      <c r="S28" s="350"/>
      <c r="T28" s="351"/>
      <c r="U28" s="349" t="s">
        <v>454</v>
      </c>
      <c r="V28" s="350"/>
      <c r="W28" s="350"/>
      <c r="X28" s="351"/>
      <c r="Y28" s="349" t="s">
        <v>443</v>
      </c>
      <c r="Z28" s="350"/>
      <c r="AA28" s="350"/>
      <c r="AB28" s="351"/>
      <c r="AC28" s="77"/>
      <c r="AD28" s="77"/>
      <c r="AE28" s="77"/>
      <c r="AF28" s="77"/>
      <c r="AG28" s="77"/>
      <c r="AH28" s="77"/>
      <c r="AI28" s="77"/>
    </row>
    <row r="29" ht="15.75" customHeight="1">
      <c r="A29" s="352" t="s">
        <v>442</v>
      </c>
      <c r="B29" s="353" t="s">
        <v>22</v>
      </c>
      <c r="C29" s="346"/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8"/>
      <c r="Q29" s="354"/>
      <c r="T29" s="355"/>
      <c r="U29" s="354"/>
      <c r="X29" s="355"/>
      <c r="Y29" s="354"/>
      <c r="AB29" s="355"/>
      <c r="AC29" s="77"/>
      <c r="AD29" s="77"/>
      <c r="AE29" s="77"/>
      <c r="AF29" s="77"/>
      <c r="AG29" s="77"/>
      <c r="AH29" s="77"/>
      <c r="AI29" s="77"/>
    </row>
    <row r="30" ht="15.75" customHeight="1">
      <c r="A30" s="356" t="s">
        <v>438</v>
      </c>
      <c r="B30" s="345" t="s">
        <v>455</v>
      </c>
      <c r="C30" s="346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8"/>
      <c r="Q30" s="357"/>
      <c r="R30" s="347"/>
      <c r="S30" s="347"/>
      <c r="T30" s="348"/>
      <c r="U30" s="357"/>
      <c r="V30" s="347"/>
      <c r="W30" s="347"/>
      <c r="X30" s="348"/>
      <c r="Y30" s="357"/>
      <c r="Z30" s="347"/>
      <c r="AA30" s="347"/>
      <c r="AB30" s="348"/>
      <c r="AC30" s="77"/>
      <c r="AD30" s="77"/>
      <c r="AE30" s="77"/>
      <c r="AF30" s="77"/>
      <c r="AG30" s="77"/>
      <c r="AH30" s="77"/>
      <c r="AI30" s="77"/>
    </row>
    <row r="31" ht="15.7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</row>
    <row r="32" ht="15.75" customHeight="1">
      <c r="A32" s="251">
        <v>1.0</v>
      </c>
      <c r="B32" s="358" t="s">
        <v>456</v>
      </c>
      <c r="Z32" s="77"/>
      <c r="AA32" s="77"/>
      <c r="AB32" s="77"/>
      <c r="AC32" s="77"/>
      <c r="AD32" s="77"/>
      <c r="AE32" s="77"/>
      <c r="AF32" s="77"/>
      <c r="AG32" s="77"/>
      <c r="AH32" s="77"/>
      <c r="AI32" s="77"/>
    </row>
    <row r="33" ht="15.75" customHeight="1">
      <c r="A33" s="251">
        <v>2.0</v>
      </c>
      <c r="B33" s="358" t="s">
        <v>457</v>
      </c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</row>
    <row r="36" ht="15.75" customHeight="1">
      <c r="A36" s="359" t="s">
        <v>458</v>
      </c>
      <c r="B36" s="342"/>
      <c r="C36" s="342"/>
      <c r="D36" s="342"/>
      <c r="E36" s="342"/>
      <c r="F36" s="343"/>
      <c r="G36" s="360" t="s">
        <v>459</v>
      </c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  <c r="AA36" s="361"/>
      <c r="AB36" s="361"/>
      <c r="AC36" s="361"/>
      <c r="AD36" s="362"/>
      <c r="AE36" s="77"/>
      <c r="AF36" s="77"/>
      <c r="AG36" s="77"/>
      <c r="AH36" s="77"/>
      <c r="AI36" s="77"/>
    </row>
    <row r="37" ht="15.75" customHeight="1">
      <c r="A37" s="363">
        <v>1.0</v>
      </c>
      <c r="B37" s="364" t="s">
        <v>454</v>
      </c>
      <c r="C37" s="365">
        <v>8.9616930217E10</v>
      </c>
      <c r="D37" s="342"/>
      <c r="E37" s="342"/>
      <c r="F37" s="343"/>
      <c r="G37" s="366" t="s">
        <v>460</v>
      </c>
      <c r="H37" s="10"/>
      <c r="I37" s="10"/>
      <c r="J37" s="10"/>
      <c r="K37" s="10"/>
      <c r="L37" s="10"/>
      <c r="M37" s="10"/>
      <c r="N37" s="11"/>
      <c r="O37" s="366" t="s">
        <v>461</v>
      </c>
      <c r="P37" s="10"/>
      <c r="Q37" s="10"/>
      <c r="R37" s="10"/>
      <c r="S37" s="10"/>
      <c r="T37" s="10"/>
      <c r="U37" s="10"/>
      <c r="V37" s="11"/>
      <c r="W37" s="366" t="s">
        <v>462</v>
      </c>
      <c r="X37" s="10"/>
      <c r="Y37" s="10"/>
      <c r="Z37" s="10"/>
      <c r="AA37" s="10"/>
      <c r="AB37" s="10"/>
      <c r="AC37" s="10"/>
      <c r="AD37" s="11"/>
      <c r="AE37" s="77"/>
      <c r="AF37" s="77"/>
      <c r="AG37" s="77"/>
      <c r="AH37" s="77"/>
      <c r="AI37" s="77"/>
    </row>
    <row r="38" ht="15.75" customHeight="1">
      <c r="A38" s="363">
        <v>2.0</v>
      </c>
      <c r="B38" s="364" t="s">
        <v>443</v>
      </c>
      <c r="C38" s="365">
        <v>8.1332847794E10</v>
      </c>
      <c r="D38" s="342"/>
      <c r="E38" s="342"/>
      <c r="F38" s="343"/>
      <c r="G38" s="367"/>
      <c r="H38" s="368"/>
      <c r="I38" s="368"/>
      <c r="J38" s="368"/>
      <c r="K38" s="368"/>
      <c r="L38" s="368"/>
      <c r="M38" s="368"/>
      <c r="N38" s="369"/>
      <c r="O38" s="367"/>
      <c r="P38" s="368"/>
      <c r="Q38" s="368"/>
      <c r="R38" s="368"/>
      <c r="S38" s="368"/>
      <c r="T38" s="368"/>
      <c r="U38" s="368"/>
      <c r="V38" s="369"/>
      <c r="W38" s="367"/>
      <c r="X38" s="368"/>
      <c r="Y38" s="368"/>
      <c r="Z38" s="368"/>
      <c r="AA38" s="368"/>
      <c r="AB38" s="368"/>
      <c r="AC38" s="368"/>
      <c r="AD38" s="369"/>
      <c r="AE38" s="77"/>
      <c r="AF38" s="77"/>
      <c r="AG38" s="77"/>
      <c r="AH38" s="77"/>
      <c r="AI38" s="77"/>
    </row>
    <row r="39" ht="15.75" customHeight="1">
      <c r="A39" s="363">
        <v>3.0</v>
      </c>
      <c r="B39" s="364" t="s">
        <v>398</v>
      </c>
      <c r="C39" s="365">
        <v>8.7853055999E10</v>
      </c>
      <c r="D39" s="342"/>
      <c r="E39" s="342"/>
      <c r="F39" s="343"/>
      <c r="G39" s="370"/>
      <c r="N39" s="68"/>
      <c r="O39" s="370"/>
      <c r="V39" s="68"/>
      <c r="W39" s="370"/>
      <c r="AD39" s="68"/>
      <c r="AE39" s="77"/>
      <c r="AF39" s="77"/>
      <c r="AG39" s="77"/>
      <c r="AH39" s="77"/>
      <c r="AI39" s="77"/>
    </row>
    <row r="40" ht="15.75" customHeight="1">
      <c r="A40" s="371"/>
      <c r="B40" s="372"/>
      <c r="C40" s="346"/>
      <c r="D40" s="347"/>
      <c r="E40" s="347"/>
      <c r="F40" s="348"/>
      <c r="G40" s="370"/>
      <c r="N40" s="68"/>
      <c r="O40" s="370"/>
      <c r="V40" s="68"/>
      <c r="W40" s="370"/>
      <c r="AD40" s="68"/>
      <c r="AE40" s="77"/>
      <c r="AF40" s="77"/>
      <c r="AG40" s="77"/>
      <c r="AH40" s="77"/>
      <c r="AI40" s="77"/>
    </row>
    <row r="41" ht="15.75" customHeight="1">
      <c r="A41" s="359" t="s">
        <v>463</v>
      </c>
      <c r="B41" s="342"/>
      <c r="C41" s="342"/>
      <c r="D41" s="342"/>
      <c r="E41" s="342"/>
      <c r="F41" s="343"/>
      <c r="G41" s="370"/>
      <c r="N41" s="68"/>
      <c r="O41" s="370"/>
      <c r="V41" s="68"/>
      <c r="W41" s="370"/>
      <c r="AD41" s="68"/>
      <c r="AE41" s="77"/>
      <c r="AF41" s="77"/>
      <c r="AG41" s="77"/>
      <c r="AH41" s="77"/>
      <c r="AI41" s="77"/>
    </row>
    <row r="42" ht="15.75" customHeight="1">
      <c r="A42" s="363">
        <v>1.0</v>
      </c>
      <c r="B42" s="364" t="s">
        <v>464</v>
      </c>
      <c r="C42" s="373">
        <v>8.133180917E9</v>
      </c>
      <c r="D42" s="350"/>
      <c r="E42" s="350"/>
      <c r="F42" s="374"/>
      <c r="G42" s="370"/>
      <c r="N42" s="68"/>
      <c r="O42" s="370"/>
      <c r="V42" s="68"/>
      <c r="W42" s="370"/>
      <c r="AD42" s="68"/>
      <c r="AE42" s="77"/>
      <c r="AF42" s="77"/>
      <c r="AG42" s="77"/>
      <c r="AH42" s="77"/>
      <c r="AI42" s="77"/>
    </row>
    <row r="43" ht="15.75" customHeight="1">
      <c r="A43" s="363">
        <v>2.0</v>
      </c>
      <c r="B43" s="375" t="s">
        <v>465</v>
      </c>
      <c r="C43" s="376" t="s">
        <v>466</v>
      </c>
      <c r="D43" s="377"/>
      <c r="E43" s="377"/>
      <c r="F43" s="378"/>
      <c r="G43" s="379"/>
      <c r="H43" s="80"/>
      <c r="I43" s="80"/>
      <c r="J43" s="80"/>
      <c r="K43" s="80"/>
      <c r="L43" s="80"/>
      <c r="M43" s="80"/>
      <c r="N43" s="69"/>
      <c r="O43" s="379"/>
      <c r="P43" s="80"/>
      <c r="Q43" s="80"/>
      <c r="R43" s="80"/>
      <c r="S43" s="80"/>
      <c r="T43" s="80"/>
      <c r="U43" s="80"/>
      <c r="V43" s="69"/>
      <c r="W43" s="379"/>
      <c r="X43" s="80"/>
      <c r="Y43" s="80"/>
      <c r="Z43" s="80"/>
      <c r="AA43" s="80"/>
      <c r="AB43" s="80"/>
      <c r="AC43" s="80"/>
      <c r="AD43" s="69"/>
      <c r="AE43" s="77"/>
      <c r="AF43" s="77"/>
      <c r="AG43" s="77"/>
      <c r="AH43" s="77"/>
      <c r="AI43" s="77"/>
    </row>
    <row r="44" ht="15.75" customHeight="1">
      <c r="A44" s="371"/>
      <c r="B44" s="372"/>
      <c r="C44" s="346"/>
      <c r="D44" s="347"/>
      <c r="E44" s="347"/>
      <c r="F44" s="348"/>
      <c r="G44" s="366" t="s">
        <v>464</v>
      </c>
      <c r="H44" s="10"/>
      <c r="I44" s="10"/>
      <c r="J44" s="10"/>
      <c r="K44" s="10"/>
      <c r="L44" s="10"/>
      <c r="M44" s="10"/>
      <c r="N44" s="11"/>
      <c r="O44" s="366" t="s">
        <v>465</v>
      </c>
      <c r="P44" s="10"/>
      <c r="Q44" s="10"/>
      <c r="R44" s="10"/>
      <c r="S44" s="10"/>
      <c r="T44" s="10"/>
      <c r="U44" s="10"/>
      <c r="V44" s="11"/>
      <c r="W44" s="366" t="s">
        <v>467</v>
      </c>
      <c r="X44" s="10"/>
      <c r="Y44" s="10"/>
      <c r="Z44" s="10"/>
      <c r="AA44" s="10"/>
      <c r="AB44" s="10"/>
      <c r="AC44" s="10"/>
      <c r="AD44" s="11"/>
      <c r="AE44" s="77"/>
      <c r="AF44" s="77"/>
      <c r="AG44" s="77"/>
      <c r="AH44" s="77"/>
      <c r="AI44" s="77"/>
    </row>
    <row r="45" ht="15.75" customHeight="1">
      <c r="A45" s="371"/>
      <c r="B45" s="372"/>
      <c r="C45" s="380"/>
      <c r="D45" s="342"/>
      <c r="E45" s="342"/>
      <c r="F45" s="343"/>
      <c r="G45" s="381" t="s">
        <v>468</v>
      </c>
      <c r="H45" s="347"/>
      <c r="I45" s="347"/>
      <c r="J45" s="347"/>
      <c r="K45" s="347"/>
      <c r="L45" s="347"/>
      <c r="M45" s="347"/>
      <c r="N45" s="348"/>
      <c r="O45" s="381" t="s">
        <v>469</v>
      </c>
      <c r="P45" s="347"/>
      <c r="Q45" s="347"/>
      <c r="R45" s="347"/>
      <c r="S45" s="347"/>
      <c r="T45" s="347"/>
      <c r="U45" s="347"/>
      <c r="V45" s="348"/>
      <c r="W45" s="381" t="s">
        <v>470</v>
      </c>
      <c r="X45" s="347"/>
      <c r="Y45" s="347"/>
      <c r="Z45" s="347"/>
      <c r="AA45" s="347"/>
      <c r="AB45" s="347"/>
      <c r="AC45" s="347"/>
      <c r="AD45" s="348"/>
      <c r="AE45" s="77"/>
      <c r="AF45" s="77"/>
      <c r="AG45" s="77"/>
      <c r="AH45" s="77"/>
      <c r="AI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Q27:AB27"/>
    <mergeCell ref="Q28:T30"/>
    <mergeCell ref="U28:X30"/>
    <mergeCell ref="Y28:AB30"/>
    <mergeCell ref="B3:AF3"/>
    <mergeCell ref="C5:K5"/>
    <mergeCell ref="A7:AH7"/>
    <mergeCell ref="A8:A9"/>
    <mergeCell ref="B8:B9"/>
    <mergeCell ref="C27:P27"/>
    <mergeCell ref="C28:P28"/>
    <mergeCell ref="C29:P29"/>
    <mergeCell ref="C30:P30"/>
    <mergeCell ref="B32:Y32"/>
    <mergeCell ref="B33:T33"/>
    <mergeCell ref="A36:F36"/>
    <mergeCell ref="G36:AD36"/>
    <mergeCell ref="C37:F37"/>
    <mergeCell ref="W37:AD37"/>
    <mergeCell ref="C40:F40"/>
    <mergeCell ref="A41:F41"/>
    <mergeCell ref="C45:F45"/>
    <mergeCell ref="G37:N37"/>
    <mergeCell ref="O37:V37"/>
    <mergeCell ref="C38:F38"/>
    <mergeCell ref="G38:N43"/>
    <mergeCell ref="O38:V43"/>
    <mergeCell ref="W38:AD43"/>
    <mergeCell ref="C39:F39"/>
    <mergeCell ref="O45:V45"/>
    <mergeCell ref="W45:AD45"/>
    <mergeCell ref="C42:F42"/>
    <mergeCell ref="C43:F43"/>
    <mergeCell ref="C44:F44"/>
    <mergeCell ref="G44:N44"/>
    <mergeCell ref="O44:V44"/>
    <mergeCell ref="W44:AD44"/>
    <mergeCell ref="G45:N45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3.71"/>
    <col customWidth="1" min="3" max="3" width="5.57"/>
    <col customWidth="1" min="4" max="34" width="6.29"/>
    <col customWidth="1" min="35" max="35" width="14.0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>
      <c r="A2" s="30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>
      <c r="A3" s="306"/>
      <c r="B3" s="382" t="s">
        <v>471</v>
      </c>
      <c r="AG3" s="77"/>
      <c r="AH3" s="77"/>
      <c r="AI3" s="77"/>
    </row>
    <row r="4">
      <c r="A4" s="306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</row>
    <row r="5">
      <c r="A5" s="30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</row>
    <row r="6">
      <c r="A6" s="30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</row>
    <row r="7">
      <c r="A7" s="312">
        <v>46113.0</v>
      </c>
      <c r="B7" s="310"/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  <c r="AD7" s="310"/>
      <c r="AE7" s="310"/>
      <c r="AF7" s="310"/>
      <c r="AG7" s="310"/>
      <c r="AH7" s="311"/>
      <c r="AI7" s="313"/>
    </row>
    <row r="8">
      <c r="A8" s="314" t="s">
        <v>434</v>
      </c>
      <c r="B8" s="314" t="s">
        <v>233</v>
      </c>
      <c r="C8" s="315"/>
      <c r="D8" s="316" t="s">
        <v>435</v>
      </c>
      <c r="E8" s="316" t="s">
        <v>436</v>
      </c>
      <c r="F8" s="316" t="s">
        <v>437</v>
      </c>
      <c r="G8" s="316" t="s">
        <v>438</v>
      </c>
      <c r="H8" s="317" t="s">
        <v>439</v>
      </c>
      <c r="I8" s="316" t="s">
        <v>438</v>
      </c>
      <c r="J8" s="316" t="s">
        <v>438</v>
      </c>
      <c r="K8" s="316" t="s">
        <v>435</v>
      </c>
      <c r="L8" s="316" t="s">
        <v>436</v>
      </c>
      <c r="M8" s="316" t="s">
        <v>437</v>
      </c>
      <c r="N8" s="316" t="s">
        <v>438</v>
      </c>
      <c r="O8" s="317" t="s">
        <v>439</v>
      </c>
      <c r="P8" s="316" t="s">
        <v>438</v>
      </c>
      <c r="Q8" s="316" t="s">
        <v>438</v>
      </c>
      <c r="R8" s="316" t="s">
        <v>435</v>
      </c>
      <c r="S8" s="316" t="s">
        <v>436</v>
      </c>
      <c r="T8" s="316" t="s">
        <v>437</v>
      </c>
      <c r="U8" s="316" t="s">
        <v>438</v>
      </c>
      <c r="V8" s="318" t="s">
        <v>439</v>
      </c>
      <c r="W8" s="316" t="s">
        <v>438</v>
      </c>
      <c r="X8" s="316" t="s">
        <v>438</v>
      </c>
      <c r="Y8" s="316" t="s">
        <v>435</v>
      </c>
      <c r="Z8" s="316" t="s">
        <v>436</v>
      </c>
      <c r="AA8" s="316" t="s">
        <v>437</v>
      </c>
      <c r="AB8" s="316" t="s">
        <v>438</v>
      </c>
      <c r="AC8" s="318" t="s">
        <v>439</v>
      </c>
      <c r="AD8" s="316" t="s">
        <v>438</v>
      </c>
      <c r="AE8" s="316" t="s">
        <v>438</v>
      </c>
      <c r="AF8" s="316" t="s">
        <v>435</v>
      </c>
      <c r="AG8" s="316" t="s">
        <v>436</v>
      </c>
      <c r="AH8" s="315"/>
      <c r="AI8" s="321"/>
    </row>
    <row r="9">
      <c r="A9" s="320"/>
      <c r="B9" s="320"/>
      <c r="C9" s="316">
        <v>28.0</v>
      </c>
      <c r="D9" s="316">
        <v>1.0</v>
      </c>
      <c r="E9" s="316">
        <v>2.0</v>
      </c>
      <c r="F9" s="316">
        <v>3.0</v>
      </c>
      <c r="G9" s="316">
        <v>4.0</v>
      </c>
      <c r="H9" s="317">
        <v>5.0</v>
      </c>
      <c r="I9" s="316">
        <v>6.0</v>
      </c>
      <c r="J9" s="316">
        <v>7.0</v>
      </c>
      <c r="K9" s="316">
        <v>8.0</v>
      </c>
      <c r="L9" s="316">
        <v>9.0</v>
      </c>
      <c r="M9" s="316">
        <v>10.0</v>
      </c>
      <c r="N9" s="316">
        <v>11.0</v>
      </c>
      <c r="O9" s="317">
        <v>12.0</v>
      </c>
      <c r="P9" s="316">
        <v>13.0</v>
      </c>
      <c r="Q9" s="316">
        <v>14.0</v>
      </c>
      <c r="R9" s="316">
        <v>15.0</v>
      </c>
      <c r="S9" s="316">
        <v>16.0</v>
      </c>
      <c r="T9" s="316">
        <v>17.0</v>
      </c>
      <c r="U9" s="316">
        <v>18.0</v>
      </c>
      <c r="V9" s="317">
        <v>19.0</v>
      </c>
      <c r="W9" s="316">
        <v>20.0</v>
      </c>
      <c r="X9" s="316">
        <v>21.0</v>
      </c>
      <c r="Y9" s="316">
        <v>22.0</v>
      </c>
      <c r="Z9" s="316">
        <v>23.0</v>
      </c>
      <c r="AA9" s="316">
        <v>24.0</v>
      </c>
      <c r="AB9" s="316">
        <v>25.0</v>
      </c>
      <c r="AC9" s="317">
        <v>26.0</v>
      </c>
      <c r="AD9" s="316">
        <v>27.0</v>
      </c>
      <c r="AE9" s="316">
        <v>28.0</v>
      </c>
      <c r="AF9" s="316">
        <v>29.0</v>
      </c>
      <c r="AG9" s="316">
        <v>30.0</v>
      </c>
      <c r="AH9" s="383"/>
      <c r="AI9" s="321"/>
    </row>
    <row r="10">
      <c r="A10" s="322">
        <v>1.0</v>
      </c>
      <c r="B10" s="384" t="s">
        <v>472</v>
      </c>
      <c r="C10" s="330"/>
      <c r="D10" s="328" t="s">
        <v>438</v>
      </c>
      <c r="E10" s="328" t="s">
        <v>438</v>
      </c>
      <c r="F10" s="328" t="s">
        <v>438</v>
      </c>
      <c r="G10" s="328" t="s">
        <v>438</v>
      </c>
      <c r="H10" s="328" t="s">
        <v>438</v>
      </c>
      <c r="I10" s="331" t="s">
        <v>442</v>
      </c>
      <c r="J10" s="328" t="s">
        <v>441</v>
      </c>
      <c r="K10" s="328" t="s">
        <v>441</v>
      </c>
      <c r="L10" s="328" t="s">
        <v>441</v>
      </c>
      <c r="M10" s="328" t="s">
        <v>441</v>
      </c>
      <c r="N10" s="328" t="s">
        <v>441</v>
      </c>
      <c r="O10" s="328" t="s">
        <v>441</v>
      </c>
      <c r="P10" s="328" t="s">
        <v>441</v>
      </c>
      <c r="Q10" s="331" t="s">
        <v>442</v>
      </c>
      <c r="R10" s="328" t="s">
        <v>438</v>
      </c>
      <c r="S10" s="328" t="s">
        <v>438</v>
      </c>
      <c r="T10" s="328" t="s">
        <v>438</v>
      </c>
      <c r="U10" s="328" t="s">
        <v>438</v>
      </c>
      <c r="V10" s="328" t="s">
        <v>438</v>
      </c>
      <c r="W10" s="328" t="s">
        <v>438</v>
      </c>
      <c r="X10" s="331" t="s">
        <v>442</v>
      </c>
      <c r="Y10" s="328" t="s">
        <v>441</v>
      </c>
      <c r="Z10" s="328" t="s">
        <v>441</v>
      </c>
      <c r="AA10" s="328" t="s">
        <v>441</v>
      </c>
      <c r="AB10" s="328" t="s">
        <v>441</v>
      </c>
      <c r="AC10" s="331" t="s">
        <v>442</v>
      </c>
      <c r="AD10" s="328" t="s">
        <v>438</v>
      </c>
      <c r="AE10" s="328" t="s">
        <v>438</v>
      </c>
      <c r="AF10" s="328" t="s">
        <v>438</v>
      </c>
      <c r="AG10" s="328" t="s">
        <v>438</v>
      </c>
      <c r="AH10" s="144"/>
      <c r="AI10" s="285" t="str">
        <f>COUNTIF(#REF!,"X")</f>
        <v>#REF!</v>
      </c>
    </row>
    <row r="11">
      <c r="A11" s="144"/>
      <c r="B11" s="144"/>
      <c r="C11" s="144"/>
      <c r="D11" s="144"/>
      <c r="E11" s="144"/>
      <c r="F11" s="144"/>
      <c r="G11" s="144"/>
      <c r="H11" s="144"/>
      <c r="I11" s="144"/>
      <c r="J11" s="328" t="s">
        <v>473</v>
      </c>
      <c r="K11" s="328" t="s">
        <v>473</v>
      </c>
      <c r="L11" s="328" t="s">
        <v>473</v>
      </c>
      <c r="M11" s="328" t="s">
        <v>473</v>
      </c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77"/>
    </row>
    <row r="12">
      <c r="A12" s="322">
        <v>2.0</v>
      </c>
      <c r="B12" s="329" t="s">
        <v>474</v>
      </c>
      <c r="C12" s="330"/>
      <c r="D12" s="328" t="s">
        <v>441</v>
      </c>
      <c r="E12" s="328" t="s">
        <v>441</v>
      </c>
      <c r="F12" s="328" t="s">
        <v>441</v>
      </c>
      <c r="G12" s="328" t="s">
        <v>441</v>
      </c>
      <c r="H12" s="328" t="s">
        <v>441</v>
      </c>
      <c r="I12" s="328" t="s">
        <v>441</v>
      </c>
      <c r="J12" s="331" t="s">
        <v>442</v>
      </c>
      <c r="K12" s="328" t="s">
        <v>438</v>
      </c>
      <c r="L12" s="328" t="s">
        <v>438</v>
      </c>
      <c r="M12" s="328" t="s">
        <v>438</v>
      </c>
      <c r="N12" s="328" t="s">
        <v>438</v>
      </c>
      <c r="O12" s="328" t="s">
        <v>438</v>
      </c>
      <c r="P12" s="331" t="s">
        <v>442</v>
      </c>
      <c r="Q12" s="328" t="s">
        <v>441</v>
      </c>
      <c r="R12" s="328" t="s">
        <v>441</v>
      </c>
      <c r="S12" s="328" t="s">
        <v>441</v>
      </c>
      <c r="T12" s="328" t="s">
        <v>441</v>
      </c>
      <c r="U12" s="328" t="s">
        <v>441</v>
      </c>
      <c r="V12" s="328" t="s">
        <v>441</v>
      </c>
      <c r="W12" s="331" t="s">
        <v>442</v>
      </c>
      <c r="X12" s="328" t="s">
        <v>438</v>
      </c>
      <c r="Y12" s="328" t="s">
        <v>438</v>
      </c>
      <c r="Z12" s="328" t="s">
        <v>438</v>
      </c>
      <c r="AA12" s="328" t="s">
        <v>438</v>
      </c>
      <c r="AB12" s="331" t="s">
        <v>442</v>
      </c>
      <c r="AC12" s="328" t="s">
        <v>441</v>
      </c>
      <c r="AD12" s="328" t="s">
        <v>441</v>
      </c>
      <c r="AE12" s="328" t="s">
        <v>441</v>
      </c>
      <c r="AF12" s="328" t="s">
        <v>441</v>
      </c>
      <c r="AG12" s="328" t="s">
        <v>441</v>
      </c>
      <c r="AH12" s="144"/>
      <c r="AI12" s="285" t="str">
        <f>COUNTIF(#REF!,"X")</f>
        <v>#REF!</v>
      </c>
    </row>
    <row r="13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77"/>
    </row>
    <row r="14">
      <c r="A14" s="328">
        <v>3.0</v>
      </c>
      <c r="B14" s="329" t="s">
        <v>444</v>
      </c>
      <c r="C14" s="330"/>
      <c r="D14" s="331" t="s">
        <v>442</v>
      </c>
      <c r="E14" s="331" t="s">
        <v>442</v>
      </c>
      <c r="F14" s="331" t="s">
        <v>442</v>
      </c>
      <c r="G14" s="328" t="s">
        <v>441</v>
      </c>
      <c r="H14" s="328" t="s">
        <v>441</v>
      </c>
      <c r="I14" s="328" t="s">
        <v>438</v>
      </c>
      <c r="J14" s="328" t="s">
        <v>438</v>
      </c>
      <c r="K14" s="328" t="s">
        <v>438</v>
      </c>
      <c r="L14" s="328" t="s">
        <v>438</v>
      </c>
      <c r="M14" s="328" t="s">
        <v>438</v>
      </c>
      <c r="N14" s="326" t="s">
        <v>438</v>
      </c>
      <c r="O14" s="326" t="s">
        <v>438</v>
      </c>
      <c r="P14" s="328" t="s">
        <v>438</v>
      </c>
      <c r="Q14" s="328" t="s">
        <v>438</v>
      </c>
      <c r="R14" s="332" t="s">
        <v>442</v>
      </c>
      <c r="S14" s="322" t="s">
        <v>441</v>
      </c>
      <c r="T14" s="322" t="s">
        <v>441</v>
      </c>
      <c r="U14" s="322" t="s">
        <v>441</v>
      </c>
      <c r="V14" s="322" t="s">
        <v>441</v>
      </c>
      <c r="W14" s="328" t="s">
        <v>441</v>
      </c>
      <c r="X14" s="328" t="s">
        <v>441</v>
      </c>
      <c r="Y14" s="326" t="s">
        <v>157</v>
      </c>
      <c r="Z14" s="326" t="s">
        <v>157</v>
      </c>
      <c r="AA14" s="331" t="s">
        <v>442</v>
      </c>
      <c r="AB14" s="328" t="s">
        <v>438</v>
      </c>
      <c r="AC14" s="328" t="s">
        <v>438</v>
      </c>
      <c r="AD14" s="326" t="s">
        <v>438</v>
      </c>
      <c r="AE14" s="326" t="s">
        <v>438</v>
      </c>
      <c r="AF14" s="328" t="s">
        <v>441</v>
      </c>
      <c r="AG14" s="328" t="s">
        <v>441</v>
      </c>
      <c r="AH14" s="144"/>
      <c r="AI14" s="285">
        <f>COUNTIF(C10:AH10,"X")</f>
        <v>4</v>
      </c>
    </row>
    <row r="15">
      <c r="A15" s="144"/>
      <c r="B15" s="144"/>
      <c r="C15" s="144"/>
      <c r="D15" s="144"/>
      <c r="E15" s="144"/>
      <c r="F15" s="144"/>
      <c r="G15" s="144"/>
      <c r="H15" s="144"/>
      <c r="I15" s="179" t="s">
        <v>445</v>
      </c>
      <c r="J15" s="328" t="s">
        <v>157</v>
      </c>
      <c r="K15" s="328" t="s">
        <v>157</v>
      </c>
      <c r="L15" s="328" t="s">
        <v>157</v>
      </c>
      <c r="M15" s="328" t="s">
        <v>157</v>
      </c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77"/>
    </row>
    <row r="16">
      <c r="A16" s="333">
        <v>4.0</v>
      </c>
      <c r="B16" s="308" t="s">
        <v>446</v>
      </c>
      <c r="C16" s="144"/>
      <c r="D16" s="328" t="s">
        <v>441</v>
      </c>
      <c r="E16" s="179" t="s">
        <v>445</v>
      </c>
      <c r="F16" s="328" t="s">
        <v>441</v>
      </c>
      <c r="G16" s="326" t="s">
        <v>438</v>
      </c>
      <c r="H16" s="326" t="s">
        <v>438</v>
      </c>
      <c r="I16" s="179" t="s">
        <v>445</v>
      </c>
      <c r="J16" s="328" t="s">
        <v>157</v>
      </c>
      <c r="K16" s="326" t="s">
        <v>157</v>
      </c>
      <c r="L16" s="326" t="s">
        <v>157</v>
      </c>
      <c r="M16" s="332" t="s">
        <v>442</v>
      </c>
      <c r="N16" s="326" t="s">
        <v>438</v>
      </c>
      <c r="O16" s="326" t="s">
        <v>438</v>
      </c>
      <c r="P16" s="328" t="s">
        <v>441</v>
      </c>
      <c r="Q16" s="328" t="s">
        <v>441</v>
      </c>
      <c r="R16" s="332" t="s">
        <v>442</v>
      </c>
      <c r="S16" s="322" t="s">
        <v>441</v>
      </c>
      <c r="T16" s="322" t="s">
        <v>441</v>
      </c>
      <c r="U16" s="322" t="s">
        <v>441</v>
      </c>
      <c r="V16" s="322" t="s">
        <v>441</v>
      </c>
      <c r="W16" s="328" t="s">
        <v>441</v>
      </c>
      <c r="X16" s="328" t="s">
        <v>441</v>
      </c>
      <c r="Y16" s="326" t="s">
        <v>157</v>
      </c>
      <c r="Z16" s="326" t="s">
        <v>157</v>
      </c>
      <c r="AA16" s="331" t="s">
        <v>442</v>
      </c>
      <c r="AB16" s="328" t="s">
        <v>438</v>
      </c>
      <c r="AC16" s="328" t="s">
        <v>438</v>
      </c>
      <c r="AD16" s="326" t="s">
        <v>438</v>
      </c>
      <c r="AE16" s="326" t="s">
        <v>438</v>
      </c>
      <c r="AF16" s="328" t="s">
        <v>441</v>
      </c>
      <c r="AG16" s="328" t="s">
        <v>441</v>
      </c>
      <c r="AH16" s="144"/>
      <c r="AI16" s="285">
        <f>COUNTIF(C12:AH12,"X")</f>
        <v>4</v>
      </c>
    </row>
    <row r="17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79" t="s">
        <v>445</v>
      </c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77"/>
    </row>
    <row r="18">
      <c r="A18" s="334"/>
      <c r="B18" s="144"/>
      <c r="C18" s="144"/>
      <c r="D18" s="144"/>
      <c r="E18" s="144"/>
      <c r="F18" s="144"/>
      <c r="G18" s="144"/>
      <c r="H18" s="144"/>
      <c r="I18" s="144"/>
      <c r="J18" s="144"/>
      <c r="K18" s="144" t="s">
        <v>0</v>
      </c>
      <c r="L18" s="144"/>
      <c r="M18" s="144"/>
      <c r="N18" s="144"/>
      <c r="O18" s="144"/>
      <c r="P18" s="144"/>
      <c r="Q18" s="144"/>
      <c r="R18" s="144"/>
      <c r="S18" s="144" t="s">
        <v>0</v>
      </c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285" t="str">
        <f>COUNTIF(#REF!,"X")</f>
        <v>#REF!</v>
      </c>
    </row>
    <row r="19">
      <c r="A19" s="334"/>
      <c r="B19" s="334"/>
      <c r="C19" s="144"/>
      <c r="D19" s="144"/>
      <c r="E19" s="144"/>
      <c r="F19" s="144"/>
      <c r="G19" s="144"/>
      <c r="H19" s="144"/>
      <c r="I19" s="144"/>
      <c r="J19" s="77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77"/>
    </row>
    <row r="20">
      <c r="A20" s="334"/>
      <c r="B20" s="33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285">
        <f>COUNTIF(C20:AH20,"X")</f>
        <v>0</v>
      </c>
    </row>
    <row r="21" ht="15.75" customHeight="1">
      <c r="A21" s="334"/>
      <c r="B21" s="33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285">
        <f>COUNTIF(D21:AH21,"X")</f>
        <v>0</v>
      </c>
    </row>
    <row r="22" ht="15.7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</row>
    <row r="23" ht="15.75" customHeight="1">
      <c r="A23" s="77"/>
      <c r="B23" s="336" t="s">
        <v>448</v>
      </c>
      <c r="C23" s="337">
        <f t="shared" ref="C23:AH23" si="1">COUNTIF((C10:C20),"P")</f>
        <v>0</v>
      </c>
      <c r="D23" s="337">
        <f t="shared" si="1"/>
        <v>2</v>
      </c>
      <c r="E23" s="337">
        <f t="shared" si="1"/>
        <v>1</v>
      </c>
      <c r="F23" s="337">
        <f t="shared" si="1"/>
        <v>2</v>
      </c>
      <c r="G23" s="337">
        <f t="shared" si="1"/>
        <v>2</v>
      </c>
      <c r="H23" s="337">
        <f t="shared" si="1"/>
        <v>2</v>
      </c>
      <c r="I23" s="337">
        <f t="shared" si="1"/>
        <v>1</v>
      </c>
      <c r="J23" s="337">
        <f t="shared" si="1"/>
        <v>1</v>
      </c>
      <c r="K23" s="337">
        <f t="shared" si="1"/>
        <v>1</v>
      </c>
      <c r="L23" s="337">
        <f t="shared" si="1"/>
        <v>1</v>
      </c>
      <c r="M23" s="337">
        <f t="shared" si="1"/>
        <v>1</v>
      </c>
      <c r="N23" s="337">
        <f t="shared" si="1"/>
        <v>1</v>
      </c>
      <c r="O23" s="337">
        <f t="shared" si="1"/>
        <v>1</v>
      </c>
      <c r="P23" s="337">
        <f t="shared" si="1"/>
        <v>2</v>
      </c>
      <c r="Q23" s="337">
        <f t="shared" si="1"/>
        <v>2</v>
      </c>
      <c r="R23" s="337">
        <f t="shared" si="1"/>
        <v>1</v>
      </c>
      <c r="S23" s="337">
        <f t="shared" si="1"/>
        <v>3</v>
      </c>
      <c r="T23" s="337">
        <f t="shared" si="1"/>
        <v>3</v>
      </c>
      <c r="U23" s="337">
        <f t="shared" si="1"/>
        <v>3</v>
      </c>
      <c r="V23" s="337">
        <f t="shared" si="1"/>
        <v>3</v>
      </c>
      <c r="W23" s="337">
        <f t="shared" si="1"/>
        <v>2</v>
      </c>
      <c r="X23" s="337">
        <f t="shared" si="1"/>
        <v>2</v>
      </c>
      <c r="Y23" s="337">
        <f t="shared" si="1"/>
        <v>1</v>
      </c>
      <c r="Z23" s="337">
        <f t="shared" si="1"/>
        <v>1</v>
      </c>
      <c r="AA23" s="337">
        <f t="shared" si="1"/>
        <v>1</v>
      </c>
      <c r="AB23" s="337">
        <f t="shared" si="1"/>
        <v>1</v>
      </c>
      <c r="AC23" s="337">
        <f t="shared" si="1"/>
        <v>1</v>
      </c>
      <c r="AD23" s="337">
        <f t="shared" si="1"/>
        <v>1</v>
      </c>
      <c r="AE23" s="337">
        <f t="shared" si="1"/>
        <v>1</v>
      </c>
      <c r="AF23" s="337">
        <f t="shared" si="1"/>
        <v>3</v>
      </c>
      <c r="AG23" s="337">
        <f t="shared" si="1"/>
        <v>3</v>
      </c>
      <c r="AH23" s="337">
        <f t="shared" si="1"/>
        <v>0</v>
      </c>
      <c r="AI23" s="285">
        <f>COUNTIF(D23:AH23,"X")</f>
        <v>0</v>
      </c>
    </row>
    <row r="24" ht="15.75" customHeight="1">
      <c r="A24" s="77"/>
      <c r="B24" s="336" t="s">
        <v>449</v>
      </c>
      <c r="C24" s="337">
        <f t="shared" ref="C24:AH24" si="2">COUNTIF((C10:C20),"S")</f>
        <v>0</v>
      </c>
      <c r="D24" s="337">
        <f t="shared" si="2"/>
        <v>1</v>
      </c>
      <c r="E24" s="337">
        <f t="shared" si="2"/>
        <v>1</v>
      </c>
      <c r="F24" s="337">
        <f t="shared" si="2"/>
        <v>1</v>
      </c>
      <c r="G24" s="337">
        <f t="shared" si="2"/>
        <v>2</v>
      </c>
      <c r="H24" s="337">
        <f t="shared" si="2"/>
        <v>2</v>
      </c>
      <c r="I24" s="337">
        <f t="shared" si="2"/>
        <v>1</v>
      </c>
      <c r="J24" s="337">
        <f t="shared" si="2"/>
        <v>1</v>
      </c>
      <c r="K24" s="337">
        <f t="shared" si="2"/>
        <v>2</v>
      </c>
      <c r="L24" s="337">
        <f t="shared" si="2"/>
        <v>2</v>
      </c>
      <c r="M24" s="337">
        <f t="shared" si="2"/>
        <v>2</v>
      </c>
      <c r="N24" s="337">
        <f t="shared" si="2"/>
        <v>3</v>
      </c>
      <c r="O24" s="337">
        <f t="shared" si="2"/>
        <v>3</v>
      </c>
      <c r="P24" s="337">
        <f t="shared" si="2"/>
        <v>1</v>
      </c>
      <c r="Q24" s="337">
        <f t="shared" si="2"/>
        <v>1</v>
      </c>
      <c r="R24" s="337">
        <f t="shared" si="2"/>
        <v>1</v>
      </c>
      <c r="S24" s="337">
        <f t="shared" si="2"/>
        <v>1</v>
      </c>
      <c r="T24" s="337">
        <f t="shared" si="2"/>
        <v>1</v>
      </c>
      <c r="U24" s="337">
        <f t="shared" si="2"/>
        <v>1</v>
      </c>
      <c r="V24" s="337">
        <f t="shared" si="2"/>
        <v>1</v>
      </c>
      <c r="W24" s="337">
        <f t="shared" si="2"/>
        <v>1</v>
      </c>
      <c r="X24" s="337">
        <f t="shared" si="2"/>
        <v>1</v>
      </c>
      <c r="Y24" s="337">
        <f t="shared" si="2"/>
        <v>1</v>
      </c>
      <c r="Z24" s="337">
        <f t="shared" si="2"/>
        <v>1</v>
      </c>
      <c r="AA24" s="337">
        <f t="shared" si="2"/>
        <v>1</v>
      </c>
      <c r="AB24" s="337">
        <f t="shared" si="2"/>
        <v>2</v>
      </c>
      <c r="AC24" s="337">
        <f t="shared" si="2"/>
        <v>2</v>
      </c>
      <c r="AD24" s="337">
        <f t="shared" si="2"/>
        <v>3</v>
      </c>
      <c r="AE24" s="337">
        <f t="shared" si="2"/>
        <v>3</v>
      </c>
      <c r="AF24" s="337">
        <f t="shared" si="2"/>
        <v>1</v>
      </c>
      <c r="AG24" s="337">
        <f t="shared" si="2"/>
        <v>1</v>
      </c>
      <c r="AH24" s="337">
        <f t="shared" si="2"/>
        <v>0</v>
      </c>
      <c r="AI24" s="77"/>
    </row>
    <row r="25" ht="15.7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</row>
    <row r="26" ht="15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</row>
    <row r="27" ht="15.75" customHeight="1">
      <c r="A27" s="338" t="s">
        <v>450</v>
      </c>
      <c r="B27" s="339"/>
      <c r="C27" s="340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8"/>
      <c r="Q27" s="341" t="s">
        <v>451</v>
      </c>
      <c r="R27" s="342"/>
      <c r="S27" s="342"/>
      <c r="T27" s="342"/>
      <c r="U27" s="342"/>
      <c r="V27" s="342"/>
      <c r="W27" s="342"/>
      <c r="X27" s="342"/>
      <c r="Y27" s="342"/>
      <c r="Z27" s="342"/>
      <c r="AA27" s="342"/>
      <c r="AB27" s="343"/>
      <c r="AC27" s="77"/>
      <c r="AD27" s="77"/>
      <c r="AE27" s="77"/>
      <c r="AF27" s="77"/>
      <c r="AG27" s="77"/>
      <c r="AH27" s="77"/>
      <c r="AI27" s="77"/>
    </row>
    <row r="28" ht="15.75" customHeight="1">
      <c r="A28" s="344" t="s">
        <v>441</v>
      </c>
      <c r="B28" s="345" t="s">
        <v>475</v>
      </c>
      <c r="C28" s="346"/>
      <c r="D28" s="347"/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8"/>
      <c r="Q28" s="349" t="s">
        <v>398</v>
      </c>
      <c r="R28" s="350"/>
      <c r="S28" s="350"/>
      <c r="T28" s="351"/>
      <c r="U28" s="349" t="s">
        <v>476</v>
      </c>
      <c r="V28" s="350"/>
      <c r="W28" s="350"/>
      <c r="X28" s="351"/>
      <c r="Y28" s="349" t="s">
        <v>444</v>
      </c>
      <c r="Z28" s="350"/>
      <c r="AA28" s="350"/>
      <c r="AB28" s="351"/>
      <c r="AC28" s="77"/>
      <c r="AD28" s="77"/>
      <c r="AE28" s="77"/>
      <c r="AF28" s="77"/>
      <c r="AG28" s="77"/>
      <c r="AH28" s="77"/>
      <c r="AI28" s="77"/>
    </row>
    <row r="29" ht="15.75" customHeight="1">
      <c r="A29" s="352" t="s">
        <v>442</v>
      </c>
      <c r="B29" s="353" t="s">
        <v>22</v>
      </c>
      <c r="C29" s="346"/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8"/>
      <c r="Q29" s="354"/>
      <c r="T29" s="355"/>
      <c r="U29" s="354"/>
      <c r="X29" s="355"/>
      <c r="Y29" s="354"/>
      <c r="AB29" s="355"/>
      <c r="AC29" s="77"/>
      <c r="AD29" s="77"/>
      <c r="AE29" s="77"/>
      <c r="AF29" s="77"/>
      <c r="AG29" s="77"/>
      <c r="AH29" s="77"/>
      <c r="AI29" s="77"/>
    </row>
    <row r="30" ht="15.75" customHeight="1">
      <c r="A30" s="356" t="s">
        <v>438</v>
      </c>
      <c r="B30" s="345" t="s">
        <v>455</v>
      </c>
      <c r="C30" s="346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8"/>
      <c r="Q30" s="357"/>
      <c r="R30" s="347"/>
      <c r="S30" s="347"/>
      <c r="T30" s="348"/>
      <c r="U30" s="357"/>
      <c r="V30" s="347"/>
      <c r="W30" s="347"/>
      <c r="X30" s="348"/>
      <c r="Y30" s="357"/>
      <c r="Z30" s="347"/>
      <c r="AA30" s="347"/>
      <c r="AB30" s="348"/>
      <c r="AC30" s="77"/>
      <c r="AD30" s="77"/>
      <c r="AE30" s="77"/>
      <c r="AF30" s="77"/>
      <c r="AG30" s="77"/>
      <c r="AH30" s="77"/>
      <c r="AI30" s="77"/>
    </row>
    <row r="31" ht="15.75" customHeight="1">
      <c r="A31" s="356" t="s">
        <v>473</v>
      </c>
      <c r="B31" s="345" t="s">
        <v>477</v>
      </c>
      <c r="C31" s="385" t="s">
        <v>478</v>
      </c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8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</row>
    <row r="32" ht="15.75" customHeight="1">
      <c r="A32" s="251">
        <v>1.0</v>
      </c>
      <c r="B32" s="358" t="s">
        <v>456</v>
      </c>
      <c r="Z32" s="77"/>
      <c r="AA32" s="77"/>
      <c r="AB32" s="77"/>
      <c r="AC32" s="77"/>
      <c r="AD32" s="77"/>
      <c r="AE32" s="77"/>
      <c r="AF32" s="77"/>
      <c r="AG32" s="77"/>
      <c r="AH32" s="77"/>
      <c r="AI32" s="77"/>
    </row>
    <row r="33" ht="15.75" customHeight="1">
      <c r="A33" s="251">
        <v>2.0</v>
      </c>
      <c r="B33" s="358" t="s">
        <v>457</v>
      </c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</row>
    <row r="36" ht="15.75" customHeight="1">
      <c r="A36" s="359" t="s">
        <v>458</v>
      </c>
      <c r="B36" s="342"/>
      <c r="C36" s="342"/>
      <c r="D36" s="342"/>
      <c r="E36" s="342"/>
      <c r="F36" s="343"/>
      <c r="G36" s="360" t="s">
        <v>459</v>
      </c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  <c r="AA36" s="361"/>
      <c r="AB36" s="361"/>
      <c r="AC36" s="361"/>
      <c r="AD36" s="362"/>
      <c r="AE36" s="77"/>
      <c r="AF36" s="77"/>
      <c r="AG36" s="77"/>
      <c r="AH36" s="77"/>
      <c r="AI36" s="77"/>
    </row>
    <row r="37" ht="15.75" customHeight="1">
      <c r="A37" s="363">
        <v>1.0</v>
      </c>
      <c r="B37" s="364" t="s">
        <v>454</v>
      </c>
      <c r="C37" s="365">
        <v>8.9616930217E10</v>
      </c>
      <c r="D37" s="342"/>
      <c r="E37" s="342"/>
      <c r="F37" s="343"/>
      <c r="G37" s="366" t="s">
        <v>460</v>
      </c>
      <c r="H37" s="10"/>
      <c r="I37" s="10"/>
      <c r="J37" s="10"/>
      <c r="K37" s="10"/>
      <c r="L37" s="10"/>
      <c r="M37" s="10"/>
      <c r="N37" s="11"/>
      <c r="O37" s="366" t="s">
        <v>461</v>
      </c>
      <c r="P37" s="10"/>
      <c r="Q37" s="10"/>
      <c r="R37" s="10"/>
      <c r="S37" s="10"/>
      <c r="T37" s="10"/>
      <c r="U37" s="10"/>
      <c r="V37" s="11"/>
      <c r="W37" s="366" t="s">
        <v>462</v>
      </c>
      <c r="X37" s="10"/>
      <c r="Y37" s="10"/>
      <c r="Z37" s="10"/>
      <c r="AA37" s="10"/>
      <c r="AB37" s="10"/>
      <c r="AC37" s="10"/>
      <c r="AD37" s="11"/>
      <c r="AE37" s="77"/>
      <c r="AF37" s="77"/>
      <c r="AG37" s="77"/>
      <c r="AH37" s="77"/>
      <c r="AI37" s="77"/>
    </row>
    <row r="38" ht="15.75" customHeight="1">
      <c r="A38" s="363">
        <v>2.0</v>
      </c>
      <c r="B38" s="364" t="s">
        <v>443</v>
      </c>
      <c r="C38" s="365">
        <v>8.1332847794E10</v>
      </c>
      <c r="D38" s="342"/>
      <c r="E38" s="342"/>
      <c r="F38" s="343"/>
      <c r="G38" s="367"/>
      <c r="H38" s="368"/>
      <c r="I38" s="368"/>
      <c r="J38" s="368"/>
      <c r="K38" s="368"/>
      <c r="L38" s="368"/>
      <c r="M38" s="368"/>
      <c r="N38" s="369"/>
      <c r="O38" s="367"/>
      <c r="P38" s="368"/>
      <c r="Q38" s="368"/>
      <c r="R38" s="368"/>
      <c r="S38" s="368"/>
      <c r="T38" s="368"/>
      <c r="U38" s="368"/>
      <c r="V38" s="369"/>
      <c r="W38" s="367"/>
      <c r="X38" s="368"/>
      <c r="Y38" s="368"/>
      <c r="Z38" s="368"/>
      <c r="AA38" s="368"/>
      <c r="AB38" s="368"/>
      <c r="AC38" s="368"/>
      <c r="AD38" s="369"/>
      <c r="AE38" s="77"/>
      <c r="AF38" s="77"/>
      <c r="AG38" s="77"/>
      <c r="AH38" s="77"/>
      <c r="AI38" s="77"/>
    </row>
    <row r="39" ht="15.75" customHeight="1">
      <c r="A39" s="363">
        <v>3.0</v>
      </c>
      <c r="B39" s="364" t="s">
        <v>398</v>
      </c>
      <c r="C39" s="365">
        <v>8.7853055999E10</v>
      </c>
      <c r="D39" s="342"/>
      <c r="E39" s="342"/>
      <c r="F39" s="343"/>
      <c r="G39" s="370"/>
      <c r="N39" s="68"/>
      <c r="O39" s="370"/>
      <c r="V39" s="68"/>
      <c r="W39" s="370"/>
      <c r="AD39" s="68"/>
      <c r="AE39" s="77"/>
      <c r="AF39" s="77"/>
      <c r="AG39" s="77"/>
      <c r="AH39" s="77"/>
      <c r="AI39" s="77"/>
    </row>
    <row r="40" ht="15.75" customHeight="1">
      <c r="A40" s="371"/>
      <c r="B40" s="372"/>
      <c r="C40" s="346"/>
      <c r="D40" s="347"/>
      <c r="E40" s="347"/>
      <c r="F40" s="348"/>
      <c r="G40" s="370"/>
      <c r="N40" s="68"/>
      <c r="O40" s="370"/>
      <c r="V40" s="68"/>
      <c r="W40" s="370"/>
      <c r="AD40" s="68"/>
      <c r="AE40" s="77"/>
      <c r="AF40" s="77"/>
      <c r="AG40" s="77"/>
      <c r="AH40" s="77"/>
      <c r="AI40" s="77"/>
    </row>
    <row r="41" ht="15.75" customHeight="1">
      <c r="A41" s="359" t="s">
        <v>463</v>
      </c>
      <c r="B41" s="342"/>
      <c r="C41" s="342"/>
      <c r="D41" s="342"/>
      <c r="E41" s="342"/>
      <c r="F41" s="343"/>
      <c r="G41" s="370"/>
      <c r="N41" s="68"/>
      <c r="O41" s="370"/>
      <c r="V41" s="68"/>
      <c r="W41" s="370"/>
      <c r="AD41" s="68"/>
      <c r="AE41" s="77"/>
      <c r="AF41" s="77"/>
      <c r="AG41" s="77"/>
      <c r="AH41" s="77"/>
      <c r="AI41" s="77"/>
    </row>
    <row r="42" ht="15.75" customHeight="1">
      <c r="A42" s="363">
        <v>1.0</v>
      </c>
      <c r="B42" s="364" t="s">
        <v>464</v>
      </c>
      <c r="C42" s="373">
        <v>8.133180917E9</v>
      </c>
      <c r="D42" s="350"/>
      <c r="E42" s="350"/>
      <c r="F42" s="374"/>
      <c r="G42" s="370"/>
      <c r="N42" s="68"/>
      <c r="O42" s="370"/>
      <c r="V42" s="68"/>
      <c r="W42" s="370"/>
      <c r="AD42" s="68"/>
      <c r="AE42" s="77"/>
      <c r="AF42" s="77"/>
      <c r="AG42" s="77"/>
      <c r="AH42" s="77"/>
      <c r="AI42" s="77"/>
    </row>
    <row r="43" ht="15.75" customHeight="1">
      <c r="A43" s="363">
        <v>2.0</v>
      </c>
      <c r="B43" s="375" t="s">
        <v>465</v>
      </c>
      <c r="C43" s="376" t="s">
        <v>466</v>
      </c>
      <c r="D43" s="377"/>
      <c r="E43" s="377"/>
      <c r="F43" s="378"/>
      <c r="G43" s="379"/>
      <c r="H43" s="80"/>
      <c r="I43" s="80"/>
      <c r="J43" s="80"/>
      <c r="K43" s="80"/>
      <c r="L43" s="80"/>
      <c r="M43" s="80"/>
      <c r="N43" s="69"/>
      <c r="O43" s="379"/>
      <c r="P43" s="80"/>
      <c r="Q43" s="80"/>
      <c r="R43" s="80"/>
      <c r="S43" s="80"/>
      <c r="T43" s="80"/>
      <c r="U43" s="80"/>
      <c r="V43" s="69"/>
      <c r="W43" s="379"/>
      <c r="X43" s="80"/>
      <c r="Y43" s="80"/>
      <c r="Z43" s="80"/>
      <c r="AA43" s="80"/>
      <c r="AB43" s="80"/>
      <c r="AC43" s="80"/>
      <c r="AD43" s="69"/>
      <c r="AE43" s="77"/>
      <c r="AF43" s="77"/>
      <c r="AG43" s="77"/>
      <c r="AH43" s="77"/>
      <c r="AI43" s="77"/>
    </row>
    <row r="44" ht="15.75" customHeight="1">
      <c r="A44" s="371"/>
      <c r="B44" s="372"/>
      <c r="C44" s="346"/>
      <c r="D44" s="347"/>
      <c r="E44" s="347"/>
      <c r="F44" s="348"/>
      <c r="G44" s="366" t="s">
        <v>464</v>
      </c>
      <c r="H44" s="10"/>
      <c r="I44" s="10"/>
      <c r="J44" s="10"/>
      <c r="K44" s="10"/>
      <c r="L44" s="10"/>
      <c r="M44" s="10"/>
      <c r="N44" s="11"/>
      <c r="O44" s="366" t="s">
        <v>465</v>
      </c>
      <c r="P44" s="10"/>
      <c r="Q44" s="10"/>
      <c r="R44" s="10"/>
      <c r="S44" s="10"/>
      <c r="T44" s="10"/>
      <c r="U44" s="10"/>
      <c r="V44" s="11"/>
      <c r="W44" s="386"/>
      <c r="X44" s="10"/>
      <c r="Y44" s="10"/>
      <c r="Z44" s="10"/>
      <c r="AA44" s="10"/>
      <c r="AB44" s="10"/>
      <c r="AC44" s="10"/>
      <c r="AD44" s="11"/>
      <c r="AE44" s="77"/>
      <c r="AF44" s="77"/>
      <c r="AG44" s="77"/>
      <c r="AH44" s="77"/>
      <c r="AI44" s="77"/>
    </row>
    <row r="45" ht="15.75" customHeight="1">
      <c r="A45" s="371"/>
      <c r="B45" s="372"/>
      <c r="C45" s="380"/>
      <c r="D45" s="342"/>
      <c r="E45" s="342"/>
      <c r="F45" s="343"/>
      <c r="G45" s="381" t="s">
        <v>479</v>
      </c>
      <c r="H45" s="347"/>
      <c r="I45" s="347"/>
      <c r="J45" s="347"/>
      <c r="K45" s="347"/>
      <c r="L45" s="347"/>
      <c r="M45" s="347"/>
      <c r="N45" s="348"/>
      <c r="O45" s="381" t="s">
        <v>469</v>
      </c>
      <c r="P45" s="347"/>
      <c r="Q45" s="347"/>
      <c r="R45" s="347"/>
      <c r="S45" s="347"/>
      <c r="T45" s="347"/>
      <c r="U45" s="347"/>
      <c r="V45" s="348"/>
      <c r="W45" s="381" t="s">
        <v>470</v>
      </c>
      <c r="X45" s="347"/>
      <c r="Y45" s="347"/>
      <c r="Z45" s="347"/>
      <c r="AA45" s="347"/>
      <c r="AB45" s="347"/>
      <c r="AC45" s="347"/>
      <c r="AD45" s="348"/>
      <c r="AE45" s="77"/>
      <c r="AF45" s="77"/>
      <c r="AG45" s="77"/>
      <c r="AH45" s="77"/>
      <c r="AI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Q28:T30"/>
    <mergeCell ref="U28:X30"/>
    <mergeCell ref="Y28:AB30"/>
    <mergeCell ref="B3:AF3"/>
    <mergeCell ref="A7:AH7"/>
    <mergeCell ref="A8:A9"/>
    <mergeCell ref="B8:B9"/>
    <mergeCell ref="C27:P27"/>
    <mergeCell ref="Q27:AB27"/>
    <mergeCell ref="C28:P28"/>
    <mergeCell ref="C29:P29"/>
    <mergeCell ref="C30:P30"/>
    <mergeCell ref="C31:P31"/>
    <mergeCell ref="B32:Y32"/>
    <mergeCell ref="B33:T33"/>
    <mergeCell ref="A36:F36"/>
    <mergeCell ref="G36:AD36"/>
    <mergeCell ref="C38:F38"/>
    <mergeCell ref="C39:F39"/>
    <mergeCell ref="C40:F40"/>
    <mergeCell ref="A41:F41"/>
    <mergeCell ref="C45:F45"/>
    <mergeCell ref="C37:F37"/>
    <mergeCell ref="G37:N37"/>
    <mergeCell ref="O37:V37"/>
    <mergeCell ref="W37:AD37"/>
    <mergeCell ref="G38:N43"/>
    <mergeCell ref="O38:V43"/>
    <mergeCell ref="W38:AD43"/>
    <mergeCell ref="O45:V45"/>
    <mergeCell ref="W45:AD45"/>
    <mergeCell ref="C42:F42"/>
    <mergeCell ref="C43:F43"/>
    <mergeCell ref="C44:F44"/>
    <mergeCell ref="G44:N44"/>
    <mergeCell ref="O44:V44"/>
    <mergeCell ref="W44:AD44"/>
    <mergeCell ref="G45:N45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8" max="8" width="14.0"/>
    <col customWidth="1" min="9" max="9" width="7.57"/>
    <col customWidth="1" min="10" max="10" width="25.43"/>
    <col customWidth="1" min="11" max="11" width="11.43"/>
    <col customWidth="1" min="12" max="12" width="9.14"/>
    <col customWidth="1" min="13" max="13" width="18.57"/>
    <col customWidth="1" min="14" max="14" width="14.0"/>
    <col customWidth="1" min="15" max="15" width="8.0"/>
    <col customWidth="1" min="16" max="16" width="14.14"/>
    <col customWidth="1" min="17" max="17" width="11.43"/>
    <col customWidth="1" min="18" max="18" width="9.0"/>
    <col customWidth="1" min="19" max="20" width="14.0"/>
    <col customWidth="1" min="21" max="21" width="7.86"/>
    <col customWidth="1" min="22" max="26" width="14.0"/>
  </cols>
  <sheetData>
    <row r="1">
      <c r="A1" s="288" t="s">
        <v>79</v>
      </c>
      <c r="C1" s="289" t="s">
        <v>480</v>
      </c>
      <c r="F1" s="290"/>
      <c r="G1" s="4" t="s">
        <v>481</v>
      </c>
      <c r="Q1" s="290"/>
      <c r="R1" s="290"/>
      <c r="S1" s="290"/>
      <c r="T1" s="290"/>
      <c r="U1" s="290"/>
    </row>
    <row r="2">
      <c r="A2" s="288" t="s">
        <v>3</v>
      </c>
      <c r="C2" s="6" t="s">
        <v>482</v>
      </c>
      <c r="F2" s="290"/>
      <c r="Q2" s="290"/>
      <c r="R2" s="290"/>
      <c r="S2" s="290"/>
      <c r="T2" s="290"/>
      <c r="U2" s="290"/>
    </row>
    <row r="3">
      <c r="A3" s="288" t="s">
        <v>5</v>
      </c>
      <c r="C3" s="291"/>
      <c r="F3" s="290"/>
      <c r="Q3" s="290"/>
      <c r="R3" s="290"/>
      <c r="S3" s="290"/>
      <c r="T3" s="290"/>
      <c r="U3" s="290"/>
    </row>
    <row r="4">
      <c r="A4" s="292" t="s">
        <v>6</v>
      </c>
      <c r="B4" s="80"/>
      <c r="C4" s="293"/>
      <c r="D4" s="80"/>
      <c r="E4" s="80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</row>
    <row r="5">
      <c r="A5" s="84"/>
      <c r="B5" s="10"/>
      <c r="C5" s="11"/>
      <c r="D5" s="84"/>
      <c r="E5" s="10"/>
      <c r="F5" s="11"/>
      <c r="G5" s="84"/>
      <c r="H5" s="10"/>
      <c r="I5" s="11"/>
      <c r="J5" s="84"/>
      <c r="K5" s="10"/>
      <c r="L5" s="11"/>
      <c r="M5" s="84"/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>
      <c r="A6" s="86"/>
      <c r="B6" s="10"/>
      <c r="C6" s="11"/>
      <c r="D6" s="86"/>
      <c r="E6" s="10"/>
      <c r="F6" s="11"/>
      <c r="G6" s="86"/>
      <c r="H6" s="10"/>
      <c r="I6" s="11"/>
      <c r="J6" s="86"/>
      <c r="K6" s="10"/>
      <c r="L6" s="11"/>
      <c r="M6" s="86"/>
      <c r="N6" s="10"/>
      <c r="O6" s="11"/>
      <c r="P6" s="86">
        <v>45962.0</v>
      </c>
      <c r="Q6" s="10"/>
      <c r="R6" s="11"/>
      <c r="S6" s="122">
        <f>P6+1</f>
        <v>45963</v>
      </c>
      <c r="T6" s="10"/>
      <c r="U6" s="11"/>
    </row>
    <row r="7">
      <c r="A7" s="387"/>
      <c r="B7" s="299"/>
      <c r="C7" s="299"/>
      <c r="D7" s="38"/>
      <c r="E7" s="38"/>
      <c r="F7" s="38"/>
      <c r="G7" s="387"/>
      <c r="H7" s="299"/>
      <c r="I7" s="299"/>
      <c r="J7" s="387"/>
      <c r="K7" s="299"/>
      <c r="L7" s="299"/>
      <c r="M7" s="387"/>
      <c r="N7" s="299"/>
      <c r="O7" s="299"/>
      <c r="P7" s="387"/>
      <c r="Q7" s="299"/>
      <c r="R7" s="299"/>
      <c r="S7" s="387"/>
      <c r="T7" s="299"/>
      <c r="U7" s="299"/>
    </row>
    <row r="8">
      <c r="A8" s="387"/>
      <c r="B8" s="299"/>
      <c r="C8" s="299"/>
      <c r="D8" s="38"/>
      <c r="E8" s="38"/>
      <c r="F8" s="38"/>
      <c r="G8" s="387"/>
      <c r="H8" s="299"/>
      <c r="I8" s="299"/>
      <c r="J8" s="387"/>
      <c r="K8" s="299"/>
      <c r="L8" s="299"/>
      <c r="M8" s="387"/>
      <c r="N8" s="299"/>
      <c r="O8" s="299"/>
      <c r="P8" s="387"/>
      <c r="Q8" s="299"/>
      <c r="R8" s="299"/>
      <c r="S8" s="387"/>
      <c r="T8" s="299"/>
      <c r="U8" s="299"/>
    </row>
    <row r="9">
      <c r="A9" s="388"/>
      <c r="B9" s="389"/>
      <c r="C9" s="299"/>
      <c r="D9" s="26"/>
      <c r="E9" s="26"/>
      <c r="F9" s="125"/>
      <c r="G9" s="388"/>
      <c r="H9" s="389"/>
      <c r="I9" s="299"/>
      <c r="J9" s="388"/>
      <c r="K9" s="389"/>
      <c r="L9" s="299"/>
      <c r="M9" s="388"/>
      <c r="N9" s="389"/>
      <c r="O9" s="299"/>
      <c r="P9" s="388" t="s">
        <v>421</v>
      </c>
      <c r="Q9" s="389" t="s">
        <v>483</v>
      </c>
      <c r="R9" s="299" t="s">
        <v>21</v>
      </c>
      <c r="S9" s="388" t="s">
        <v>421</v>
      </c>
      <c r="T9" s="389" t="s">
        <v>483</v>
      </c>
      <c r="U9" s="299" t="s">
        <v>21</v>
      </c>
    </row>
    <row r="10">
      <c r="A10" s="387"/>
      <c r="B10" s="299"/>
      <c r="C10" s="299"/>
      <c r="D10" s="26"/>
      <c r="E10" s="26"/>
      <c r="F10" s="26"/>
      <c r="G10" s="387"/>
      <c r="H10" s="299"/>
      <c r="I10" s="299"/>
      <c r="J10" s="387"/>
      <c r="K10" s="299"/>
      <c r="L10" s="299"/>
      <c r="M10" s="387"/>
      <c r="N10" s="299"/>
      <c r="O10" s="299"/>
      <c r="P10" s="267" t="s">
        <v>484</v>
      </c>
      <c r="Q10" s="267" t="s">
        <v>55</v>
      </c>
      <c r="R10" s="267" t="s">
        <v>47</v>
      </c>
      <c r="S10" s="387"/>
      <c r="T10" s="299"/>
      <c r="U10" s="299"/>
    </row>
    <row r="11">
      <c r="A11" s="387"/>
      <c r="B11" s="299"/>
      <c r="C11" s="299"/>
      <c r="D11" s="38"/>
      <c r="E11" s="38"/>
      <c r="F11" s="38"/>
      <c r="G11" s="387"/>
      <c r="H11" s="299"/>
      <c r="I11" s="299"/>
      <c r="J11" s="387"/>
      <c r="K11" s="299"/>
      <c r="L11" s="299"/>
      <c r="M11" s="387"/>
      <c r="N11" s="299"/>
      <c r="O11" s="299"/>
      <c r="P11" s="387"/>
      <c r="Q11" s="299"/>
      <c r="R11" s="299"/>
      <c r="S11" s="387"/>
      <c r="T11" s="299"/>
      <c r="U11" s="299"/>
    </row>
    <row r="12">
      <c r="A12" s="301"/>
      <c r="B12" s="170"/>
      <c r="C12" s="170"/>
      <c r="D12" s="38"/>
      <c r="E12" s="38"/>
      <c r="F12" s="38"/>
      <c r="G12" s="301"/>
      <c r="H12" s="170"/>
      <c r="I12" s="170"/>
      <c r="J12" s="301"/>
      <c r="K12" s="170"/>
      <c r="L12" s="170"/>
      <c r="M12" s="301"/>
      <c r="N12" s="170"/>
      <c r="O12" s="170"/>
      <c r="P12" s="301"/>
      <c r="Q12" s="170"/>
      <c r="R12" s="170"/>
      <c r="S12" s="301"/>
      <c r="T12" s="170"/>
      <c r="U12" s="170"/>
    </row>
    <row r="13">
      <c r="A13" s="39" t="s">
        <v>7</v>
      </c>
      <c r="B13" s="15"/>
      <c r="C13" s="16"/>
      <c r="D13" s="40" t="s">
        <v>8</v>
      </c>
      <c r="E13" s="15"/>
      <c r="F13" s="16"/>
      <c r="G13" s="40" t="s">
        <v>9</v>
      </c>
      <c r="H13" s="15"/>
      <c r="I13" s="16"/>
      <c r="J13" s="40" t="s">
        <v>10</v>
      </c>
      <c r="K13" s="15"/>
      <c r="L13" s="16"/>
      <c r="M13" s="40" t="s">
        <v>11</v>
      </c>
      <c r="N13" s="15"/>
      <c r="O13" s="16"/>
      <c r="P13" s="40" t="s">
        <v>12</v>
      </c>
      <c r="Q13" s="15"/>
      <c r="R13" s="16"/>
      <c r="S13" s="41" t="s">
        <v>13</v>
      </c>
      <c r="T13" s="15"/>
      <c r="U13" s="16"/>
    </row>
    <row r="14">
      <c r="A14" s="42">
        <f>S6+1</f>
        <v>45964</v>
      </c>
      <c r="B14" s="15"/>
      <c r="C14" s="16"/>
      <c r="D14" s="295">
        <f>A14+1</f>
        <v>45965</v>
      </c>
      <c r="E14" s="15"/>
      <c r="F14" s="16"/>
      <c r="G14" s="295">
        <f>D14+1</f>
        <v>45966</v>
      </c>
      <c r="H14" s="15"/>
      <c r="I14" s="16"/>
      <c r="J14" s="295">
        <f>G14+1</f>
        <v>45967</v>
      </c>
      <c r="K14" s="15"/>
      <c r="L14" s="16"/>
      <c r="M14" s="295">
        <f>J14+1</f>
        <v>45968</v>
      </c>
      <c r="N14" s="15"/>
      <c r="O14" s="16"/>
      <c r="P14" s="295">
        <f>M14+1</f>
        <v>45969</v>
      </c>
      <c r="Q14" s="15"/>
      <c r="R14" s="16"/>
      <c r="S14" s="296">
        <f>P14+1</f>
        <v>45970</v>
      </c>
      <c r="T14" s="15"/>
      <c r="U14" s="16"/>
    </row>
    <row r="15">
      <c r="A15" s="387"/>
      <c r="B15" s="299"/>
      <c r="C15" s="299"/>
      <c r="D15" s="38"/>
      <c r="E15" s="38"/>
      <c r="F15" s="38"/>
      <c r="G15" s="387"/>
      <c r="H15" s="299"/>
      <c r="I15" s="299"/>
      <c r="J15" s="387"/>
      <c r="K15" s="299"/>
      <c r="L15" s="299"/>
      <c r="M15" s="387"/>
      <c r="N15" s="299"/>
      <c r="O15" s="299"/>
      <c r="P15" s="387"/>
      <c r="Q15" s="299"/>
      <c r="R15" s="299"/>
      <c r="S15" s="387"/>
      <c r="T15" s="299"/>
      <c r="U15" s="299"/>
    </row>
    <row r="16">
      <c r="A16" s="387"/>
      <c r="B16" s="299"/>
      <c r="C16" s="299"/>
      <c r="D16" s="38"/>
      <c r="E16" s="38"/>
      <c r="F16" s="38"/>
      <c r="G16" s="387"/>
      <c r="H16" s="299"/>
      <c r="I16" s="299"/>
      <c r="J16" s="387"/>
      <c r="K16" s="299"/>
      <c r="L16" s="299"/>
      <c r="M16" s="387"/>
      <c r="N16" s="299"/>
      <c r="O16" s="299"/>
      <c r="P16" s="387"/>
      <c r="Q16" s="299"/>
      <c r="R16" s="299"/>
      <c r="S16" s="387"/>
      <c r="T16" s="299"/>
      <c r="U16" s="299"/>
    </row>
    <row r="17">
      <c r="A17" s="388" t="s">
        <v>413</v>
      </c>
      <c r="B17" s="389" t="s">
        <v>483</v>
      </c>
      <c r="C17" s="299" t="s">
        <v>21</v>
      </c>
      <c r="D17" s="388" t="s">
        <v>421</v>
      </c>
      <c r="E17" s="389" t="s">
        <v>423</v>
      </c>
      <c r="F17" s="299" t="s">
        <v>21</v>
      </c>
      <c r="G17" s="267" t="s">
        <v>484</v>
      </c>
      <c r="H17" s="267" t="s">
        <v>485</v>
      </c>
      <c r="I17" s="267" t="s">
        <v>16</v>
      </c>
      <c r="J17" s="146" t="s">
        <v>22</v>
      </c>
      <c r="K17" s="10"/>
      <c r="L17" s="11"/>
      <c r="M17" s="388" t="s">
        <v>421</v>
      </c>
      <c r="N17" s="389" t="s">
        <v>483</v>
      </c>
      <c r="O17" s="299" t="s">
        <v>21</v>
      </c>
      <c r="P17" s="87" t="s">
        <v>381</v>
      </c>
      <c r="Q17" s="87" t="s">
        <v>71</v>
      </c>
      <c r="R17" s="88" t="s">
        <v>47</v>
      </c>
      <c r="S17" s="388" t="s">
        <v>421</v>
      </c>
      <c r="T17" s="389" t="s">
        <v>422</v>
      </c>
      <c r="U17" s="299" t="s">
        <v>486</v>
      </c>
    </row>
    <row r="18">
      <c r="A18" s="387"/>
      <c r="B18" s="299"/>
      <c r="C18" s="299"/>
      <c r="D18" s="38" t="s">
        <v>487</v>
      </c>
      <c r="E18" s="38" t="s">
        <v>343</v>
      </c>
      <c r="F18" s="26" t="s">
        <v>350</v>
      </c>
      <c r="G18" s="26" t="s">
        <v>488</v>
      </c>
      <c r="H18" s="26" t="s">
        <v>68</v>
      </c>
      <c r="I18" s="132" t="s">
        <v>157</v>
      </c>
      <c r="J18" s="387"/>
      <c r="K18" s="299"/>
      <c r="L18" s="299"/>
      <c r="M18" s="387"/>
      <c r="N18" s="299"/>
      <c r="O18" s="299"/>
      <c r="P18" s="26" t="s">
        <v>205</v>
      </c>
      <c r="Q18" s="26" t="s">
        <v>206</v>
      </c>
      <c r="R18" s="26" t="s">
        <v>21</v>
      </c>
      <c r="S18" s="267" t="s">
        <v>484</v>
      </c>
      <c r="T18" s="267" t="s">
        <v>55</v>
      </c>
      <c r="U18" s="267" t="s">
        <v>47</v>
      </c>
    </row>
    <row r="19">
      <c r="A19" s="387"/>
      <c r="B19" s="299"/>
      <c r="C19" s="299"/>
      <c r="D19" s="38"/>
      <c r="E19" s="38"/>
      <c r="F19" s="38"/>
      <c r="G19" s="387"/>
      <c r="H19" s="299"/>
      <c r="I19" s="299"/>
      <c r="J19" s="387"/>
      <c r="K19" s="299"/>
      <c r="L19" s="299"/>
      <c r="M19" s="26" t="s">
        <v>289</v>
      </c>
      <c r="N19" s="26" t="s">
        <v>313</v>
      </c>
      <c r="O19" s="26" t="s">
        <v>21</v>
      </c>
      <c r="P19" s="387"/>
      <c r="Q19" s="299"/>
      <c r="R19" s="299"/>
      <c r="S19" s="387"/>
      <c r="T19" s="299"/>
      <c r="U19" s="299"/>
    </row>
    <row r="20">
      <c r="A20" s="301"/>
      <c r="B20" s="170"/>
      <c r="C20" s="170"/>
      <c r="D20" s="38"/>
      <c r="E20" s="38"/>
      <c r="F20" s="38"/>
      <c r="G20" s="301"/>
      <c r="H20" s="170"/>
      <c r="I20" s="170"/>
      <c r="J20" s="301"/>
      <c r="K20" s="170"/>
      <c r="L20" s="170"/>
      <c r="M20" s="26"/>
      <c r="N20" s="26"/>
      <c r="O20" s="147" t="s">
        <v>157</v>
      </c>
      <c r="P20" s="301"/>
      <c r="Q20" s="170"/>
      <c r="R20" s="170"/>
      <c r="S20" s="301"/>
      <c r="T20" s="170"/>
      <c r="U20" s="170"/>
    </row>
    <row r="21" ht="15.75" customHeight="1">
      <c r="A21" s="51" t="s">
        <v>7</v>
      </c>
      <c r="B21" s="15"/>
      <c r="C21" s="16"/>
      <c r="D21" s="52" t="s">
        <v>8</v>
      </c>
      <c r="E21" s="15"/>
      <c r="F21" s="16"/>
      <c r="G21" s="52" t="s">
        <v>9</v>
      </c>
      <c r="H21" s="15"/>
      <c r="I21" s="16"/>
      <c r="J21" s="52" t="s">
        <v>10</v>
      </c>
      <c r="K21" s="15"/>
      <c r="L21" s="16"/>
      <c r="M21" s="52" t="s">
        <v>11</v>
      </c>
      <c r="N21" s="15"/>
      <c r="O21" s="16"/>
      <c r="P21" s="52" t="s">
        <v>12</v>
      </c>
      <c r="Q21" s="15"/>
      <c r="R21" s="16"/>
      <c r="S21" s="53" t="s">
        <v>13</v>
      </c>
      <c r="T21" s="15"/>
      <c r="U21" s="16"/>
    </row>
    <row r="22" ht="15.75" customHeight="1">
      <c r="A22" s="54">
        <f>S14+1</f>
        <v>45971</v>
      </c>
      <c r="B22" s="15"/>
      <c r="C22" s="16"/>
      <c r="D22" s="55">
        <f>A22+1</f>
        <v>45972</v>
      </c>
      <c r="E22" s="15"/>
      <c r="F22" s="16"/>
      <c r="G22" s="55">
        <f>D22+1</f>
        <v>45973</v>
      </c>
      <c r="H22" s="15"/>
      <c r="I22" s="16"/>
      <c r="J22" s="55">
        <f>G22+1</f>
        <v>45974</v>
      </c>
      <c r="K22" s="15"/>
      <c r="L22" s="16"/>
      <c r="M22" s="55">
        <f>J22+1</f>
        <v>45975</v>
      </c>
      <c r="N22" s="15"/>
      <c r="O22" s="16"/>
      <c r="P22" s="55">
        <f>M22+1</f>
        <v>45976</v>
      </c>
      <c r="Q22" s="15"/>
      <c r="R22" s="16"/>
      <c r="S22" s="18">
        <f>P22+1</f>
        <v>45977</v>
      </c>
      <c r="T22" s="15"/>
      <c r="U22" s="16"/>
    </row>
    <row r="23" ht="15.75" customHeight="1">
      <c r="A23" s="387"/>
      <c r="B23" s="299"/>
      <c r="C23" s="299"/>
      <c r="D23" s="38"/>
      <c r="E23" s="38"/>
      <c r="F23" s="38"/>
      <c r="G23" s="387"/>
      <c r="H23" s="299"/>
      <c r="I23" s="299"/>
      <c r="J23" s="387"/>
      <c r="K23" s="299"/>
      <c r="L23" s="299"/>
      <c r="M23" s="387"/>
      <c r="N23" s="299"/>
      <c r="O23" s="299"/>
      <c r="P23" s="387"/>
      <c r="Q23" s="299"/>
      <c r="R23" s="299"/>
      <c r="S23" s="387"/>
      <c r="T23" s="299"/>
      <c r="U23" s="299"/>
    </row>
    <row r="24" ht="15.75" customHeight="1">
      <c r="A24" s="387"/>
      <c r="B24" s="299"/>
      <c r="C24" s="299"/>
      <c r="D24" s="38"/>
      <c r="E24" s="38"/>
      <c r="F24" s="38"/>
      <c r="G24" s="387"/>
      <c r="H24" s="299"/>
      <c r="I24" s="299"/>
      <c r="J24" s="387"/>
      <c r="K24" s="299"/>
      <c r="L24" s="299"/>
      <c r="M24" s="387"/>
      <c r="N24" s="299"/>
      <c r="O24" s="299"/>
      <c r="P24" s="387"/>
      <c r="Q24" s="299"/>
      <c r="R24" s="299"/>
      <c r="S24" s="387"/>
      <c r="T24" s="299"/>
      <c r="U24" s="299"/>
    </row>
    <row r="25" ht="15.75" customHeight="1">
      <c r="A25" s="388" t="s">
        <v>421</v>
      </c>
      <c r="B25" s="389" t="s">
        <v>483</v>
      </c>
      <c r="C25" s="299" t="s">
        <v>21</v>
      </c>
      <c r="D25" s="388" t="s">
        <v>421</v>
      </c>
      <c r="E25" s="389" t="s">
        <v>483</v>
      </c>
      <c r="F25" s="299" t="s">
        <v>21</v>
      </c>
      <c r="G25" s="267" t="s">
        <v>484</v>
      </c>
      <c r="H25" s="267" t="s">
        <v>485</v>
      </c>
      <c r="I25" s="267" t="s">
        <v>16</v>
      </c>
      <c r="J25" s="146" t="s">
        <v>22</v>
      </c>
      <c r="K25" s="10"/>
      <c r="L25" s="11"/>
      <c r="M25" s="388" t="s">
        <v>421</v>
      </c>
      <c r="N25" s="389" t="s">
        <v>483</v>
      </c>
      <c r="O25" s="299" t="s">
        <v>21</v>
      </c>
      <c r="P25" s="388" t="s">
        <v>421</v>
      </c>
      <c r="Q25" s="389" t="s">
        <v>483</v>
      </c>
      <c r="R25" s="299" t="s">
        <v>21</v>
      </c>
      <c r="S25" s="388" t="s">
        <v>421</v>
      </c>
      <c r="T25" s="389" t="s">
        <v>423</v>
      </c>
      <c r="U25" s="299" t="s">
        <v>21</v>
      </c>
    </row>
    <row r="26" ht="15.75" customHeight="1">
      <c r="A26" s="262" t="s">
        <v>489</v>
      </c>
      <c r="B26" s="260" t="s">
        <v>343</v>
      </c>
      <c r="C26" s="26" t="s">
        <v>57</v>
      </c>
      <c r="D26" s="26"/>
      <c r="E26" s="26"/>
      <c r="F26" s="26"/>
      <c r="G26" s="26" t="s">
        <v>488</v>
      </c>
      <c r="H26" s="26" t="s">
        <v>68</v>
      </c>
      <c r="I26" s="132" t="s">
        <v>157</v>
      </c>
      <c r="J26" s="387"/>
      <c r="K26" s="299"/>
      <c r="L26" s="299"/>
      <c r="M26" s="387"/>
      <c r="N26" s="299"/>
      <c r="O26" s="299"/>
      <c r="P26" s="387"/>
      <c r="Q26" s="299"/>
      <c r="R26" s="299"/>
      <c r="S26" s="267" t="s">
        <v>484</v>
      </c>
      <c r="T26" s="267" t="s">
        <v>55</v>
      </c>
      <c r="U26" s="267" t="s">
        <v>47</v>
      </c>
    </row>
    <row r="27" ht="15.75" customHeight="1">
      <c r="A27" s="387"/>
      <c r="B27" s="299"/>
      <c r="C27" s="299"/>
      <c r="D27" s="38"/>
      <c r="E27" s="38"/>
      <c r="F27" s="38"/>
      <c r="G27" s="387"/>
      <c r="H27" s="299"/>
      <c r="I27" s="299"/>
      <c r="J27" s="387"/>
      <c r="K27" s="299"/>
      <c r="L27" s="299"/>
      <c r="M27" s="387"/>
      <c r="N27" s="299"/>
      <c r="O27" s="299"/>
      <c r="P27" s="387"/>
      <c r="Q27" s="299"/>
      <c r="R27" s="299"/>
      <c r="S27" s="387"/>
      <c r="T27" s="299"/>
      <c r="U27" s="299"/>
    </row>
    <row r="28" ht="15.75" customHeight="1">
      <c r="A28" s="387"/>
      <c r="B28" s="299"/>
      <c r="C28" s="299"/>
      <c r="D28" s="38"/>
      <c r="E28" s="38"/>
      <c r="F28" s="38"/>
      <c r="G28" s="301"/>
      <c r="H28" s="170"/>
      <c r="I28" s="170"/>
      <c r="J28" s="301"/>
      <c r="K28" s="170"/>
      <c r="L28" s="170"/>
      <c r="M28" s="301"/>
      <c r="N28" s="170"/>
      <c r="O28" s="170"/>
      <c r="P28" s="301"/>
      <c r="Q28" s="170"/>
      <c r="R28" s="170"/>
      <c r="S28" s="301"/>
      <c r="T28" s="170"/>
      <c r="U28" s="170"/>
    </row>
    <row r="29" ht="15.75" customHeight="1">
      <c r="A29" s="39" t="s">
        <v>7</v>
      </c>
      <c r="B29" s="15"/>
      <c r="C29" s="16"/>
      <c r="D29" s="40" t="s">
        <v>8</v>
      </c>
      <c r="E29" s="15"/>
      <c r="F29" s="16"/>
      <c r="G29" s="40" t="s">
        <v>9</v>
      </c>
      <c r="H29" s="15"/>
      <c r="I29" s="16"/>
      <c r="J29" s="40" t="s">
        <v>10</v>
      </c>
      <c r="K29" s="15"/>
      <c r="L29" s="16"/>
      <c r="M29" s="40" t="s">
        <v>11</v>
      </c>
      <c r="N29" s="15"/>
      <c r="O29" s="16"/>
      <c r="P29" s="40" t="s">
        <v>12</v>
      </c>
      <c r="Q29" s="15"/>
      <c r="R29" s="16"/>
      <c r="S29" s="41" t="s">
        <v>13</v>
      </c>
      <c r="T29" s="15"/>
      <c r="U29" s="16"/>
    </row>
    <row r="30" ht="15.75" customHeight="1">
      <c r="A30" s="62">
        <f>S22+1</f>
        <v>45978</v>
      </c>
      <c r="B30" s="15"/>
      <c r="C30" s="16"/>
      <c r="D30" s="63">
        <f>A30+1</f>
        <v>45979</v>
      </c>
      <c r="E30" s="15"/>
      <c r="F30" s="16"/>
      <c r="G30" s="63">
        <f>D30+1</f>
        <v>45980</v>
      </c>
      <c r="H30" s="15"/>
      <c r="I30" s="16"/>
      <c r="J30" s="63">
        <f>G30+1</f>
        <v>45981</v>
      </c>
      <c r="K30" s="15"/>
      <c r="L30" s="16"/>
      <c r="M30" s="63">
        <f>J30+1</f>
        <v>45982</v>
      </c>
      <c r="N30" s="15"/>
      <c r="O30" s="16"/>
      <c r="P30" s="63">
        <f>M30+1</f>
        <v>45983</v>
      </c>
      <c r="Q30" s="15"/>
      <c r="R30" s="16"/>
      <c r="S30" s="70">
        <f>P30+1</f>
        <v>45984</v>
      </c>
      <c r="T30" s="15"/>
      <c r="U30" s="16"/>
    </row>
    <row r="31" ht="15.75" customHeight="1">
      <c r="A31" s="387"/>
      <c r="B31" s="299"/>
      <c r="C31" s="299"/>
      <c r="D31" s="38"/>
      <c r="E31" s="38"/>
      <c r="F31" s="38"/>
      <c r="G31" s="387"/>
      <c r="H31" s="299"/>
      <c r="I31" s="299"/>
      <c r="J31" s="387"/>
      <c r="K31" s="299"/>
      <c r="L31" s="299"/>
      <c r="M31" s="387"/>
      <c r="N31" s="299"/>
      <c r="O31" s="299"/>
      <c r="P31" s="387"/>
      <c r="Q31" s="299"/>
      <c r="R31" s="299"/>
      <c r="S31" s="387"/>
      <c r="T31" s="299"/>
      <c r="U31" s="299"/>
    </row>
    <row r="32" ht="15.75" customHeight="1">
      <c r="A32" s="26" t="s">
        <v>178</v>
      </c>
      <c r="B32" s="26" t="s">
        <v>179</v>
      </c>
      <c r="C32" s="57"/>
      <c r="D32" s="213" t="s">
        <v>238</v>
      </c>
      <c r="E32" s="213" t="s">
        <v>20</v>
      </c>
      <c r="F32" s="213" t="s">
        <v>490</v>
      </c>
      <c r="G32" s="388" t="s">
        <v>421</v>
      </c>
      <c r="H32" s="389" t="s">
        <v>423</v>
      </c>
      <c r="I32" s="299" t="s">
        <v>21</v>
      </c>
      <c r="J32" s="387"/>
      <c r="K32" s="299"/>
      <c r="L32" s="299"/>
      <c r="M32" s="387"/>
      <c r="N32" s="299"/>
      <c r="O32" s="299"/>
      <c r="P32" s="387"/>
      <c r="Q32" s="299"/>
      <c r="R32" s="299"/>
      <c r="S32" s="388" t="s">
        <v>421</v>
      </c>
      <c r="T32" s="389" t="s">
        <v>422</v>
      </c>
      <c r="U32" s="299" t="s">
        <v>486</v>
      </c>
    </row>
    <row r="33" ht="15.75" customHeight="1">
      <c r="A33" s="388"/>
      <c r="B33" s="389"/>
      <c r="C33" s="299"/>
      <c r="D33" s="87" t="s">
        <v>491</v>
      </c>
      <c r="E33" s="87" t="s">
        <v>492</v>
      </c>
      <c r="F33" s="87" t="s">
        <v>21</v>
      </c>
      <c r="G33" s="125"/>
      <c r="H33" s="125"/>
      <c r="I33" s="125"/>
      <c r="J33" s="146" t="s">
        <v>22</v>
      </c>
      <c r="K33" s="10"/>
      <c r="L33" s="11"/>
      <c r="M33" s="26" t="s">
        <v>316</v>
      </c>
      <c r="N33" s="26" t="s">
        <v>313</v>
      </c>
      <c r="O33" s="26" t="s">
        <v>57</v>
      </c>
      <c r="P33" s="87" t="s">
        <v>381</v>
      </c>
      <c r="Q33" s="87" t="s">
        <v>71</v>
      </c>
      <c r="R33" s="88" t="s">
        <v>47</v>
      </c>
      <c r="S33" s="388" t="s">
        <v>421</v>
      </c>
      <c r="T33" s="389" t="s">
        <v>483</v>
      </c>
      <c r="U33" s="299" t="s">
        <v>21</v>
      </c>
    </row>
    <row r="34" ht="15.75" customHeight="1">
      <c r="A34" s="387"/>
      <c r="B34" s="299"/>
      <c r="C34" s="299"/>
      <c r="D34" s="26" t="s">
        <v>493</v>
      </c>
      <c r="E34" s="26" t="s">
        <v>91</v>
      </c>
      <c r="F34" s="26"/>
      <c r="G34" s="387"/>
      <c r="H34" s="299"/>
      <c r="I34" s="299"/>
      <c r="J34" s="387"/>
      <c r="K34" s="299"/>
      <c r="L34" s="299"/>
      <c r="M34" s="387"/>
      <c r="N34" s="299"/>
      <c r="O34" s="299"/>
      <c r="P34" s="387"/>
      <c r="Q34" s="299"/>
      <c r="R34" s="299"/>
      <c r="S34" s="387"/>
      <c r="T34" s="299"/>
      <c r="U34" s="299"/>
    </row>
    <row r="35" ht="15.75" customHeight="1">
      <c r="A35" s="87" t="s">
        <v>489</v>
      </c>
      <c r="B35" s="26" t="s">
        <v>343</v>
      </c>
      <c r="C35" s="26" t="s">
        <v>350</v>
      </c>
      <c r="D35" s="26"/>
      <c r="E35" s="26"/>
      <c r="F35" s="26"/>
      <c r="G35" s="387"/>
      <c r="H35" s="299"/>
      <c r="I35" s="299"/>
      <c r="J35" s="387"/>
      <c r="K35" s="299"/>
      <c r="L35" s="299"/>
      <c r="M35" s="387"/>
      <c r="N35" s="299"/>
      <c r="O35" s="299"/>
      <c r="P35" s="387"/>
      <c r="Q35" s="299"/>
      <c r="R35" s="299"/>
      <c r="S35" s="387"/>
      <c r="T35" s="299"/>
      <c r="U35" s="299"/>
    </row>
    <row r="36" ht="15.75" customHeight="1">
      <c r="A36" s="301"/>
      <c r="B36" s="170"/>
      <c r="C36" s="170"/>
      <c r="D36" s="38"/>
      <c r="E36" s="38"/>
      <c r="F36" s="38"/>
      <c r="G36" s="301"/>
      <c r="H36" s="170"/>
      <c r="I36" s="170"/>
      <c r="J36" s="301"/>
      <c r="K36" s="170"/>
      <c r="L36" s="170"/>
      <c r="M36" s="301"/>
      <c r="N36" s="170"/>
      <c r="O36" s="170"/>
      <c r="P36" s="301"/>
      <c r="Q36" s="170"/>
      <c r="R36" s="170"/>
      <c r="S36" s="301"/>
      <c r="T36" s="170"/>
      <c r="U36" s="170"/>
    </row>
    <row r="37" ht="15.75" customHeight="1">
      <c r="A37" s="51" t="s">
        <v>7</v>
      </c>
      <c r="B37" s="15"/>
      <c r="C37" s="16"/>
      <c r="D37" s="52" t="s">
        <v>8</v>
      </c>
      <c r="E37" s="15"/>
      <c r="F37" s="16"/>
      <c r="G37" s="52" t="s">
        <v>9</v>
      </c>
      <c r="H37" s="15"/>
      <c r="I37" s="16"/>
      <c r="J37" s="52" t="s">
        <v>10</v>
      </c>
      <c r="K37" s="15"/>
      <c r="L37" s="16"/>
      <c r="M37" s="52" t="s">
        <v>11</v>
      </c>
      <c r="N37" s="15"/>
      <c r="O37" s="16"/>
      <c r="P37" s="52" t="s">
        <v>12</v>
      </c>
      <c r="Q37" s="15"/>
      <c r="R37" s="16"/>
      <c r="S37" s="53" t="s">
        <v>13</v>
      </c>
      <c r="T37" s="15"/>
      <c r="U37" s="16"/>
    </row>
    <row r="38" ht="15.75" customHeight="1">
      <c r="A38" s="54">
        <f>S30+1</f>
        <v>45985</v>
      </c>
      <c r="B38" s="15"/>
      <c r="C38" s="16"/>
      <c r="D38" s="55">
        <f>A38+1</f>
        <v>45986</v>
      </c>
      <c r="E38" s="15"/>
      <c r="F38" s="16"/>
      <c r="G38" s="55">
        <f>D38+1</f>
        <v>45987</v>
      </c>
      <c r="H38" s="15"/>
      <c r="I38" s="16"/>
      <c r="J38" s="55">
        <f>G38+1</f>
        <v>45988</v>
      </c>
      <c r="K38" s="15"/>
      <c r="L38" s="16"/>
      <c r="M38" s="55">
        <f>J38+1</f>
        <v>45989</v>
      </c>
      <c r="N38" s="15"/>
      <c r="O38" s="16"/>
      <c r="P38" s="55">
        <f>M38+1</f>
        <v>45990</v>
      </c>
      <c r="Q38" s="15"/>
      <c r="R38" s="16"/>
      <c r="S38" s="18">
        <f>P38+1</f>
        <v>45991</v>
      </c>
      <c r="T38" s="15"/>
      <c r="U38" s="16"/>
    </row>
    <row r="39" ht="15.75" customHeight="1">
      <c r="A39" s="387"/>
      <c r="B39" s="299"/>
      <c r="C39" s="299"/>
      <c r="D39" s="38"/>
      <c r="E39" s="38"/>
      <c r="F39" s="38"/>
      <c r="G39" s="387"/>
      <c r="H39" s="299"/>
      <c r="I39" s="299"/>
      <c r="J39" s="387"/>
      <c r="K39" s="299"/>
      <c r="L39" s="299"/>
      <c r="M39" s="387"/>
      <c r="N39" s="299"/>
      <c r="O39" s="299"/>
      <c r="P39" s="387"/>
      <c r="Q39" s="299"/>
      <c r="R39" s="299"/>
      <c r="S39" s="387"/>
      <c r="T39" s="299"/>
      <c r="U39" s="299"/>
    </row>
    <row r="40" ht="15.75" customHeight="1">
      <c r="A40" s="387"/>
      <c r="B40" s="299"/>
      <c r="C40" s="299"/>
      <c r="D40" s="38"/>
      <c r="E40" s="38"/>
      <c r="F40" s="38"/>
      <c r="G40" s="387"/>
      <c r="H40" s="299"/>
      <c r="I40" s="299"/>
      <c r="J40" s="387"/>
      <c r="K40" s="299"/>
      <c r="L40" s="299"/>
      <c r="M40" s="387"/>
      <c r="N40" s="299"/>
      <c r="O40" s="299"/>
      <c r="P40" s="387"/>
      <c r="Q40" s="299"/>
      <c r="R40" s="299"/>
      <c r="S40" s="387"/>
      <c r="T40" s="299"/>
      <c r="U40" s="299"/>
    </row>
    <row r="41" ht="15.75" customHeight="1">
      <c r="A41" s="388" t="s">
        <v>421</v>
      </c>
      <c r="B41" s="389" t="s">
        <v>483</v>
      </c>
      <c r="C41" s="299" t="s">
        <v>21</v>
      </c>
      <c r="D41" s="26"/>
      <c r="E41" s="26"/>
      <c r="F41" s="125"/>
      <c r="G41" s="388"/>
      <c r="H41" s="389"/>
      <c r="I41" s="299"/>
      <c r="J41" s="146" t="s">
        <v>22</v>
      </c>
      <c r="K41" s="10"/>
      <c r="L41" s="11"/>
      <c r="M41" s="87" t="s">
        <v>491</v>
      </c>
      <c r="N41" s="87" t="s">
        <v>492</v>
      </c>
      <c r="O41" s="87" t="s">
        <v>21</v>
      </c>
      <c r="P41" s="388" t="s">
        <v>421</v>
      </c>
      <c r="Q41" s="389" t="s">
        <v>423</v>
      </c>
      <c r="R41" s="299" t="s">
        <v>21</v>
      </c>
      <c r="S41" s="388" t="s">
        <v>421</v>
      </c>
      <c r="T41" s="389" t="s">
        <v>423</v>
      </c>
      <c r="U41" s="299" t="s">
        <v>21</v>
      </c>
    </row>
    <row r="42" ht="15.75" customHeight="1">
      <c r="A42" s="95" t="s">
        <v>489</v>
      </c>
      <c r="B42" s="38" t="s">
        <v>343</v>
      </c>
      <c r="C42" s="38" t="s">
        <v>57</v>
      </c>
      <c r="D42" s="38" t="s">
        <v>487</v>
      </c>
      <c r="E42" s="38" t="s">
        <v>343</v>
      </c>
      <c r="F42" s="38" t="s">
        <v>57</v>
      </c>
      <c r="G42" s="267" t="s">
        <v>484</v>
      </c>
      <c r="H42" s="267" t="s">
        <v>485</v>
      </c>
      <c r="I42" s="267" t="s">
        <v>16</v>
      </c>
      <c r="J42" s="387"/>
      <c r="K42" s="299"/>
      <c r="L42" s="299"/>
      <c r="M42" s="387"/>
      <c r="N42" s="299"/>
      <c r="O42" s="299"/>
      <c r="P42" s="387"/>
      <c r="Q42" s="299"/>
      <c r="R42" s="299"/>
      <c r="S42" s="387"/>
      <c r="T42" s="299"/>
      <c r="U42" s="299"/>
    </row>
    <row r="43" ht="15.75" customHeight="1">
      <c r="A43" s="387"/>
      <c r="B43" s="299"/>
      <c r="C43" s="299"/>
      <c r="D43" s="38"/>
      <c r="E43" s="38"/>
      <c r="F43" s="38"/>
      <c r="G43" s="26" t="s">
        <v>488</v>
      </c>
      <c r="H43" s="26" t="s">
        <v>68</v>
      </c>
      <c r="I43" s="132" t="s">
        <v>157</v>
      </c>
      <c r="J43" s="387"/>
      <c r="K43" s="299"/>
      <c r="L43" s="299"/>
      <c r="M43" s="387"/>
      <c r="N43" s="299"/>
      <c r="O43" s="299"/>
      <c r="P43" s="387"/>
      <c r="Q43" s="299"/>
      <c r="R43" s="299"/>
      <c r="S43" s="387"/>
      <c r="T43" s="299"/>
      <c r="U43" s="299"/>
    </row>
    <row r="44" ht="15.75" customHeight="1">
      <c r="A44" s="301"/>
      <c r="B44" s="170"/>
      <c r="C44" s="170"/>
      <c r="D44" s="38"/>
      <c r="E44" s="38"/>
      <c r="F44" s="38"/>
      <c r="G44" s="301"/>
      <c r="H44" s="170"/>
      <c r="I44" s="170"/>
      <c r="J44" s="301"/>
      <c r="K44" s="170"/>
      <c r="L44" s="170"/>
      <c r="M44" s="301"/>
      <c r="N44" s="170"/>
      <c r="O44" s="170"/>
      <c r="P44" s="301"/>
      <c r="Q44" s="170"/>
      <c r="R44" s="170"/>
      <c r="S44" s="301"/>
      <c r="T44" s="170"/>
      <c r="U44" s="170"/>
    </row>
    <row r="45" ht="15.75" customHeight="1">
      <c r="A45" s="39"/>
      <c r="B45" s="15"/>
      <c r="C45" s="16"/>
      <c r="D45" s="40"/>
      <c r="E45" s="15"/>
      <c r="F45" s="16"/>
      <c r="G45" s="40"/>
      <c r="H45" s="15"/>
      <c r="I45" s="16"/>
      <c r="J45" s="40"/>
      <c r="K45" s="15"/>
      <c r="L45" s="16"/>
      <c r="M45" s="40"/>
      <c r="N45" s="15"/>
      <c r="O45" s="16"/>
      <c r="P45" s="40"/>
      <c r="Q45" s="15"/>
      <c r="R45" s="16"/>
      <c r="S45" s="297"/>
      <c r="T45" s="15"/>
      <c r="U45" s="16"/>
    </row>
    <row r="46" ht="15.75" customHeight="1">
      <c r="A46" s="62"/>
      <c r="B46" s="15"/>
      <c r="C46" s="16"/>
      <c r="D46" s="63"/>
      <c r="E46" s="15"/>
      <c r="F46" s="16"/>
      <c r="G46" s="63"/>
      <c r="H46" s="15"/>
      <c r="I46" s="16"/>
      <c r="J46" s="63"/>
      <c r="K46" s="15"/>
      <c r="L46" s="16"/>
      <c r="M46" s="63"/>
      <c r="N46" s="15"/>
      <c r="O46" s="16"/>
      <c r="P46" s="63"/>
      <c r="Q46" s="15"/>
      <c r="R46" s="16"/>
      <c r="S46" s="298"/>
      <c r="T46" s="15"/>
      <c r="U46" s="16"/>
    </row>
    <row r="47" ht="15.75" customHeight="1">
      <c r="A47" s="38"/>
      <c r="B47" s="38"/>
      <c r="C47" s="38"/>
      <c r="D47" s="38"/>
      <c r="E47" s="38"/>
      <c r="F47" s="38"/>
      <c r="G47" s="36"/>
      <c r="H47" s="172"/>
      <c r="I47" s="172"/>
      <c r="J47" s="170"/>
      <c r="K47" s="170"/>
      <c r="L47" s="170"/>
      <c r="M47" s="299"/>
      <c r="N47" s="299"/>
      <c r="O47" s="299"/>
      <c r="P47" s="299"/>
      <c r="Q47" s="299"/>
      <c r="R47" s="299"/>
      <c r="S47" s="170"/>
      <c r="T47" s="170"/>
      <c r="U47" s="170"/>
    </row>
    <row r="48" ht="15.75" customHeight="1">
      <c r="A48" s="38"/>
      <c r="B48" s="38"/>
      <c r="C48" s="38"/>
      <c r="D48" s="26"/>
      <c r="E48" s="26"/>
      <c r="F48" s="26"/>
      <c r="G48" s="299"/>
      <c r="H48" s="299"/>
      <c r="I48" s="299"/>
      <c r="J48" s="170"/>
      <c r="K48" s="170"/>
      <c r="L48" s="170"/>
      <c r="M48" s="300"/>
      <c r="N48" s="300"/>
      <c r="O48" s="300"/>
      <c r="P48" s="299"/>
      <c r="Q48" s="299"/>
      <c r="R48" s="299"/>
      <c r="S48" s="299"/>
      <c r="T48" s="299"/>
      <c r="U48" s="299"/>
    </row>
    <row r="49" ht="15.75" customHeight="1">
      <c r="A49" s="38"/>
      <c r="B49" s="38"/>
      <c r="C49" s="38"/>
      <c r="D49" s="38"/>
      <c r="E49" s="38"/>
      <c r="F49" s="38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</row>
    <row r="50" ht="15.75" customHeight="1">
      <c r="A50" s="299"/>
      <c r="B50" s="299"/>
      <c r="C50" s="299"/>
      <c r="D50" s="38"/>
      <c r="E50" s="38"/>
      <c r="F50" s="38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170"/>
      <c r="T50" s="170"/>
      <c r="U50" s="170"/>
    </row>
    <row r="51" ht="15.75" customHeight="1">
      <c r="A51" s="38"/>
      <c r="B51" s="38"/>
      <c r="C51" s="38"/>
      <c r="D51" s="161"/>
      <c r="E51" s="161"/>
      <c r="F51" s="161"/>
      <c r="G51" s="299"/>
      <c r="H51" s="299"/>
      <c r="I51" s="170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</row>
    <row r="52" ht="15.75" customHeight="1">
      <c r="A52" s="301"/>
      <c r="B52" s="170"/>
      <c r="C52" s="170"/>
      <c r="D52" s="299"/>
      <c r="E52" s="299"/>
      <c r="F52" s="299"/>
      <c r="G52" s="170"/>
      <c r="H52" s="170"/>
      <c r="I52" s="170"/>
      <c r="J52" s="299"/>
      <c r="K52" s="299"/>
      <c r="L52" s="299"/>
      <c r="M52" s="170"/>
      <c r="N52" s="170"/>
      <c r="O52" s="170"/>
      <c r="P52" s="299"/>
      <c r="Q52" s="299"/>
      <c r="R52" s="299"/>
      <c r="S52" s="170"/>
      <c r="T52" s="170"/>
      <c r="U52" s="170"/>
    </row>
    <row r="53" ht="15.75" customHeight="1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L63" s="77" t="s">
        <v>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M22:O22"/>
    <mergeCell ref="P22:R22"/>
    <mergeCell ref="S22:U22"/>
    <mergeCell ref="J22:L22"/>
    <mergeCell ref="J25:L25"/>
    <mergeCell ref="A29:C29"/>
    <mergeCell ref="D29:F29"/>
    <mergeCell ref="G29:I29"/>
    <mergeCell ref="J29:L29"/>
    <mergeCell ref="M29:O29"/>
    <mergeCell ref="J37:L37"/>
    <mergeCell ref="M37:O37"/>
    <mergeCell ref="P37:R37"/>
    <mergeCell ref="S37:U37"/>
    <mergeCell ref="A30:C30"/>
    <mergeCell ref="D30:F30"/>
    <mergeCell ref="G30:I30"/>
    <mergeCell ref="J30:L30"/>
    <mergeCell ref="M30:O30"/>
    <mergeCell ref="J33:L33"/>
    <mergeCell ref="A37:C37"/>
    <mergeCell ref="P38:R38"/>
    <mergeCell ref="S38:U38"/>
    <mergeCell ref="J41:L41"/>
    <mergeCell ref="D37:F37"/>
    <mergeCell ref="G37:I37"/>
    <mergeCell ref="A38:C38"/>
    <mergeCell ref="D38:F38"/>
    <mergeCell ref="G38:I38"/>
    <mergeCell ref="J38:L38"/>
    <mergeCell ref="M38:O38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J17:L17"/>
    <mergeCell ref="P29:R29"/>
    <mergeCell ref="S29:U29"/>
    <mergeCell ref="P30:R30"/>
    <mergeCell ref="S30:U30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1.43"/>
    <col customWidth="1" min="3" max="3" width="5.14"/>
    <col customWidth="1" min="4" max="4" width="16.86"/>
    <col customWidth="1" min="5" max="5" width="13.14"/>
    <col customWidth="1" min="6" max="6" width="5.86"/>
    <col customWidth="1" min="7" max="7" width="19.0"/>
    <col customWidth="1" min="8" max="8" width="13.0"/>
    <col customWidth="1" min="9" max="9" width="5.86"/>
    <col customWidth="1" min="10" max="10" width="18.43"/>
    <col customWidth="1" min="11" max="11" width="11.43"/>
    <col customWidth="1" min="12" max="12" width="6.14"/>
    <col customWidth="1" min="13" max="13" width="18.0"/>
    <col customWidth="1" min="14" max="14" width="13.0"/>
    <col customWidth="1" min="15" max="15" width="7.57"/>
    <col customWidth="1" min="16" max="16" width="18.43"/>
    <col customWidth="1" min="17" max="17" width="11.43"/>
    <col customWidth="1" min="18" max="18" width="6.14"/>
    <col customWidth="1" min="19" max="19" width="8.57"/>
    <col customWidth="1" min="20" max="20" width="8.86"/>
    <col customWidth="1" min="21" max="21" width="5.14"/>
    <col customWidth="1" min="22" max="23" width="8.71"/>
    <col customWidth="1" min="24" max="24" width="23.0"/>
    <col customWidth="1" min="25" max="25" width="15.86"/>
    <col customWidth="1" min="26" max="26" width="14.0"/>
  </cols>
  <sheetData>
    <row r="1" ht="15.75" customHeight="1">
      <c r="A1" s="1" t="s">
        <v>0</v>
      </c>
      <c r="C1" s="1" t="s">
        <v>201</v>
      </c>
      <c r="F1" s="390"/>
      <c r="G1" s="4" t="s">
        <v>481</v>
      </c>
      <c r="Q1" s="390"/>
      <c r="R1" s="77"/>
      <c r="S1" s="77"/>
      <c r="T1" s="77"/>
      <c r="U1" s="77"/>
    </row>
    <row r="2" ht="15.75" customHeight="1">
      <c r="A2" s="1" t="s">
        <v>3</v>
      </c>
      <c r="C2" s="6" t="s">
        <v>482</v>
      </c>
      <c r="F2" s="390"/>
      <c r="Q2" s="390"/>
      <c r="R2" s="77"/>
      <c r="S2" s="77"/>
      <c r="T2" s="77"/>
      <c r="U2" s="77"/>
    </row>
    <row r="3" ht="15.75" customHeight="1">
      <c r="A3" s="1" t="s">
        <v>5</v>
      </c>
      <c r="C3" s="1" t="s">
        <v>494</v>
      </c>
      <c r="F3" s="390"/>
      <c r="Q3" s="390"/>
      <c r="R3" s="77"/>
      <c r="S3" s="77"/>
      <c r="T3" s="77"/>
      <c r="U3" s="77"/>
    </row>
    <row r="4" ht="15.75" customHeight="1">
      <c r="A4" s="79" t="s">
        <v>6</v>
      </c>
      <c r="B4" s="80"/>
      <c r="C4" s="1" t="s">
        <v>494</v>
      </c>
      <c r="F4" s="390"/>
      <c r="G4" s="390"/>
      <c r="H4" s="390"/>
      <c r="I4" s="390"/>
      <c r="J4" s="390"/>
      <c r="K4" s="390"/>
      <c r="L4" s="390"/>
      <c r="M4" s="390"/>
      <c r="N4" s="390"/>
      <c r="O4" s="391"/>
      <c r="P4" s="392"/>
      <c r="Q4" s="393"/>
      <c r="R4" s="77"/>
      <c r="S4" s="77"/>
      <c r="T4" s="77"/>
      <c r="U4" s="77"/>
    </row>
    <row r="5" ht="15.75" customHeight="1">
      <c r="A5" s="84"/>
      <c r="B5" s="10"/>
      <c r="C5" s="11"/>
      <c r="D5" s="84"/>
      <c r="E5" s="10"/>
      <c r="F5" s="11"/>
      <c r="G5" s="84"/>
      <c r="H5" s="10"/>
      <c r="I5" s="11"/>
      <c r="J5" s="84"/>
      <c r="K5" s="10"/>
      <c r="L5" s="11"/>
      <c r="M5" s="85"/>
      <c r="N5" s="10"/>
      <c r="O5" s="11"/>
      <c r="P5" s="84" t="s">
        <v>83</v>
      </c>
      <c r="Q5" s="10"/>
      <c r="R5" s="11"/>
      <c r="S5" s="85" t="s">
        <v>13</v>
      </c>
      <c r="T5" s="10"/>
      <c r="U5" s="11"/>
    </row>
    <row r="6" ht="15.75" customHeight="1">
      <c r="A6" s="86"/>
      <c r="B6" s="10"/>
      <c r="C6" s="11"/>
      <c r="D6" s="86"/>
      <c r="E6" s="10"/>
      <c r="F6" s="11"/>
      <c r="G6" s="86"/>
      <c r="H6" s="10"/>
      <c r="I6" s="11"/>
      <c r="J6" s="86"/>
      <c r="K6" s="10"/>
      <c r="L6" s="11"/>
      <c r="M6" s="122"/>
      <c r="N6" s="10"/>
      <c r="O6" s="11"/>
      <c r="P6" s="86">
        <v>45962.0</v>
      </c>
      <c r="Q6" s="10"/>
      <c r="R6" s="11"/>
      <c r="S6" s="122">
        <f>P6+1</f>
        <v>45963</v>
      </c>
      <c r="T6" s="10"/>
      <c r="U6" s="11"/>
      <c r="W6" s="77">
        <f>COUNTA(#REF!,#REF!,#REF!,#REF!,#REF!,#REF!,#REF!,P16:P20,A7:A12,D15:D20,D9:D11,G7:G10,#REF!,P13:P22,A16:A20,D16:D28,J15:J20,#REF!,#REF!,A23:A28,D39:D44,G31:G36,J31:J36)</f>
        <v>49</v>
      </c>
    </row>
    <row r="7" ht="15.75" customHeight="1">
      <c r="A7" s="26"/>
      <c r="B7" s="145"/>
      <c r="C7" s="26"/>
      <c r="D7" s="26"/>
      <c r="E7" s="145"/>
      <c r="F7" s="26"/>
      <c r="G7" s="145"/>
      <c r="H7" s="145"/>
      <c r="I7" s="145"/>
      <c r="J7" s="145"/>
      <c r="K7" s="145"/>
      <c r="L7" s="145"/>
      <c r="M7" s="26"/>
      <c r="N7" s="196"/>
      <c r="O7" s="145"/>
      <c r="P7" s="26" t="s">
        <v>222</v>
      </c>
      <c r="Q7" s="26" t="s">
        <v>125</v>
      </c>
      <c r="R7" s="26" t="s">
        <v>16</v>
      </c>
      <c r="S7" s="145"/>
      <c r="T7" s="145"/>
      <c r="U7" s="145"/>
    </row>
    <row r="8" ht="15.75" customHeight="1">
      <c r="A8" s="26"/>
      <c r="B8" s="145"/>
      <c r="C8" s="145"/>
      <c r="D8" s="26"/>
      <c r="E8" s="145"/>
      <c r="F8" s="26"/>
      <c r="G8" s="145"/>
      <c r="H8" s="145"/>
      <c r="I8" s="145"/>
      <c r="J8" s="145"/>
      <c r="K8" s="145"/>
      <c r="L8" s="145"/>
      <c r="M8" s="26"/>
      <c r="N8" s="196"/>
      <c r="O8" s="145"/>
      <c r="P8" s="26" t="s">
        <v>202</v>
      </c>
      <c r="Q8" s="26" t="s">
        <v>67</v>
      </c>
      <c r="R8" s="26" t="s">
        <v>16</v>
      </c>
      <c r="S8" s="26"/>
      <c r="T8" s="26"/>
      <c r="U8" s="26"/>
    </row>
    <row r="9" ht="15.75" customHeight="1">
      <c r="A9" s="26"/>
      <c r="B9" s="145"/>
      <c r="C9" s="145"/>
      <c r="D9" s="26"/>
      <c r="E9" s="145"/>
      <c r="F9" s="26"/>
      <c r="G9" s="145"/>
      <c r="H9" s="145"/>
      <c r="I9" s="145"/>
      <c r="J9" s="145"/>
      <c r="K9" s="145"/>
      <c r="L9" s="145"/>
      <c r="M9" s="26"/>
      <c r="N9" s="196"/>
      <c r="O9" s="145"/>
      <c r="P9" s="26" t="s">
        <v>205</v>
      </c>
      <c r="Q9" s="26" t="s">
        <v>319</v>
      </c>
      <c r="R9" s="26" t="s">
        <v>21</v>
      </c>
      <c r="S9" s="214" t="s">
        <v>22</v>
      </c>
      <c r="T9" s="10"/>
      <c r="U9" s="11"/>
    </row>
    <row r="10" ht="15.75" customHeight="1">
      <c r="A10" s="26"/>
      <c r="B10" s="145"/>
      <c r="C10" s="145"/>
      <c r="D10" s="26"/>
      <c r="E10" s="145"/>
      <c r="F10" s="26"/>
      <c r="G10" s="145"/>
      <c r="H10" s="145"/>
      <c r="I10" s="145"/>
      <c r="J10" s="145"/>
      <c r="K10" s="145"/>
      <c r="L10" s="145"/>
      <c r="M10" s="26"/>
      <c r="N10" s="196"/>
      <c r="O10" s="145"/>
      <c r="P10" s="145"/>
      <c r="Q10" s="145"/>
      <c r="R10" s="145"/>
      <c r="S10" s="145"/>
      <c r="T10" s="145"/>
      <c r="U10" s="145"/>
    </row>
    <row r="11" ht="15.75" customHeight="1">
      <c r="A11" s="26"/>
      <c r="B11" s="145"/>
      <c r="C11" s="145"/>
      <c r="D11" s="26"/>
      <c r="E11" s="145"/>
      <c r="F11" s="26"/>
      <c r="G11" s="145"/>
      <c r="H11" s="145"/>
      <c r="I11" s="145"/>
      <c r="J11" s="145"/>
      <c r="K11" s="145"/>
      <c r="L11" s="145"/>
      <c r="M11" s="26"/>
      <c r="N11" s="196"/>
      <c r="O11" s="145"/>
      <c r="P11" s="145"/>
      <c r="Q11" s="145"/>
      <c r="R11" s="145"/>
      <c r="S11" s="145"/>
      <c r="T11" s="145"/>
      <c r="U11" s="145"/>
    </row>
    <row r="12" ht="15.75" customHeight="1">
      <c r="A12" s="145"/>
      <c r="B12" s="145"/>
      <c r="C12" s="394"/>
      <c r="D12" s="26"/>
      <c r="E12" s="145"/>
      <c r="F12" s="26"/>
      <c r="G12" s="26" t="s">
        <v>0</v>
      </c>
      <c r="H12" s="26"/>
      <c r="I12" s="26"/>
      <c r="J12" s="26"/>
      <c r="K12" s="145"/>
      <c r="L12" s="145"/>
      <c r="M12" s="26"/>
      <c r="N12" s="196"/>
      <c r="O12" s="145"/>
      <c r="P12" s="26"/>
      <c r="Q12" s="196"/>
      <c r="R12" s="145"/>
      <c r="S12" s="145"/>
      <c r="T12" s="145"/>
      <c r="U12" s="145"/>
    </row>
    <row r="13" ht="15.75" customHeight="1">
      <c r="A13" s="97" t="s">
        <v>7</v>
      </c>
      <c r="B13" s="10"/>
      <c r="C13" s="11"/>
      <c r="D13" s="97" t="s">
        <v>8</v>
      </c>
      <c r="E13" s="10"/>
      <c r="F13" s="11"/>
      <c r="G13" s="97" t="s">
        <v>9</v>
      </c>
      <c r="H13" s="10"/>
      <c r="I13" s="11"/>
      <c r="J13" s="97" t="s">
        <v>10</v>
      </c>
      <c r="K13" s="10"/>
      <c r="L13" s="11"/>
      <c r="M13" s="97" t="s">
        <v>95</v>
      </c>
      <c r="N13" s="10"/>
      <c r="O13" s="11"/>
      <c r="P13" s="97" t="s">
        <v>83</v>
      </c>
      <c r="Q13" s="10"/>
      <c r="R13" s="11"/>
      <c r="S13" s="98" t="s">
        <v>13</v>
      </c>
      <c r="T13" s="10"/>
      <c r="U13" s="11"/>
      <c r="W13" s="154" t="s">
        <v>24</v>
      </c>
      <c r="X13" s="154" t="s">
        <v>137</v>
      </c>
      <c r="Y13" s="154" t="s">
        <v>26</v>
      </c>
    </row>
    <row r="14" ht="15.75" customHeight="1">
      <c r="A14" s="99">
        <f>S6+1</f>
        <v>45964</v>
      </c>
      <c r="B14" s="10"/>
      <c r="C14" s="11"/>
      <c r="D14" s="99">
        <f>A14+1</f>
        <v>45965</v>
      </c>
      <c r="E14" s="10"/>
      <c r="F14" s="11"/>
      <c r="G14" s="99">
        <f>D14+1</f>
        <v>45966</v>
      </c>
      <c r="H14" s="10"/>
      <c r="I14" s="11"/>
      <c r="J14" s="99">
        <f>G14+1</f>
        <v>45967</v>
      </c>
      <c r="K14" s="10"/>
      <c r="L14" s="11"/>
      <c r="M14" s="99">
        <f>J14+1</f>
        <v>45968</v>
      </c>
      <c r="N14" s="10"/>
      <c r="O14" s="11"/>
      <c r="P14" s="99">
        <f>M14+1</f>
        <v>45969</v>
      </c>
      <c r="Q14" s="10"/>
      <c r="R14" s="11"/>
      <c r="S14" s="100">
        <f>P14+1</f>
        <v>45970</v>
      </c>
      <c r="T14" s="10"/>
      <c r="U14" s="11"/>
      <c r="W14" s="154">
        <v>1.0</v>
      </c>
      <c r="X14" s="153" t="s">
        <v>207</v>
      </c>
      <c r="Y14" s="154">
        <f t="shared" ref="Y14:Y41" si="1">COUNTIF($A$5:$U$51,X14)</f>
        <v>8</v>
      </c>
    </row>
    <row r="15" ht="15.75" customHeight="1">
      <c r="A15" s="145"/>
      <c r="B15" s="145"/>
      <c r="C15" s="145"/>
      <c r="D15" s="145"/>
      <c r="E15" s="145"/>
      <c r="F15" s="145"/>
      <c r="G15" s="38"/>
      <c r="H15" s="212"/>
      <c r="I15" s="38"/>
      <c r="J15" s="38"/>
      <c r="K15" s="38"/>
      <c r="L15" s="38"/>
      <c r="M15" s="26"/>
      <c r="N15" s="194"/>
      <c r="O15" s="26"/>
      <c r="P15" s="145"/>
      <c r="Q15" s="145"/>
      <c r="R15" s="145"/>
      <c r="S15" s="145"/>
      <c r="T15" s="145"/>
      <c r="U15" s="145"/>
      <c r="W15" s="154">
        <v>2.0</v>
      </c>
      <c r="X15" s="153" t="s">
        <v>495</v>
      </c>
      <c r="Y15" s="154">
        <f t="shared" si="1"/>
        <v>2</v>
      </c>
    </row>
    <row r="16" ht="15.75" customHeight="1">
      <c r="A16" s="26" t="s">
        <v>217</v>
      </c>
      <c r="B16" s="194" t="s">
        <v>15</v>
      </c>
      <c r="C16" s="26" t="s">
        <v>496</v>
      </c>
      <c r="D16" s="145" t="s">
        <v>497</v>
      </c>
      <c r="E16" s="145" t="s">
        <v>388</v>
      </c>
      <c r="F16" s="145" t="s">
        <v>389</v>
      </c>
      <c r="G16" s="145" t="s">
        <v>498</v>
      </c>
      <c r="H16" s="145" t="s">
        <v>67</v>
      </c>
      <c r="I16" s="145" t="s">
        <v>16</v>
      </c>
      <c r="J16" s="26"/>
      <c r="K16" s="26"/>
      <c r="L16" s="26"/>
      <c r="M16" s="26"/>
      <c r="N16" s="194"/>
      <c r="O16" s="26"/>
      <c r="P16" s="26"/>
      <c r="Q16" s="26"/>
      <c r="R16" s="26"/>
      <c r="S16" s="145"/>
      <c r="T16" s="145"/>
      <c r="U16" s="145"/>
      <c r="W16" s="154">
        <v>3.0</v>
      </c>
      <c r="X16" s="153" t="s">
        <v>212</v>
      </c>
      <c r="Y16" s="154">
        <f t="shared" si="1"/>
        <v>4</v>
      </c>
    </row>
    <row r="17" ht="15.75" customHeight="1">
      <c r="A17" s="145"/>
      <c r="B17" s="145"/>
      <c r="C17" s="26"/>
      <c r="D17" s="145"/>
      <c r="E17" s="145"/>
      <c r="F17" s="145"/>
      <c r="G17" s="175"/>
      <c r="H17" s="175"/>
      <c r="I17" s="175"/>
      <c r="J17" s="395" t="s">
        <v>499</v>
      </c>
      <c r="K17" s="396" t="s">
        <v>49</v>
      </c>
      <c r="L17" s="395"/>
      <c r="M17" s="145" t="s">
        <v>209</v>
      </c>
      <c r="N17" s="201" t="s">
        <v>210</v>
      </c>
      <c r="O17" s="397" t="s">
        <v>21</v>
      </c>
      <c r="P17" s="26"/>
      <c r="Q17" s="26"/>
      <c r="R17" s="26"/>
      <c r="S17" s="214" t="s">
        <v>22</v>
      </c>
      <c r="T17" s="10"/>
      <c r="U17" s="11"/>
      <c r="W17" s="154">
        <v>4.0</v>
      </c>
      <c r="X17" s="153" t="s">
        <v>215</v>
      </c>
      <c r="Y17" s="154">
        <f t="shared" si="1"/>
        <v>2</v>
      </c>
    </row>
    <row r="18" ht="15.75" customHeight="1">
      <c r="A18" s="145" t="s">
        <v>207</v>
      </c>
      <c r="B18" s="145" t="s">
        <v>20</v>
      </c>
      <c r="C18" s="145" t="s">
        <v>21</v>
      </c>
      <c r="D18" s="26"/>
      <c r="E18" s="145"/>
      <c r="F18" s="26"/>
      <c r="G18" s="145" t="s">
        <v>366</v>
      </c>
      <c r="H18" s="196" t="s">
        <v>228</v>
      </c>
      <c r="I18" s="145" t="s">
        <v>21</v>
      </c>
      <c r="J18" s="145" t="s">
        <v>213</v>
      </c>
      <c r="K18" s="194" t="s">
        <v>228</v>
      </c>
      <c r="L18" s="145" t="s">
        <v>21</v>
      </c>
      <c r="M18" s="26"/>
      <c r="N18" s="194"/>
      <c r="O18" s="26"/>
      <c r="P18" s="147" t="s">
        <v>500</v>
      </c>
      <c r="Q18" s="147" t="s">
        <v>67</v>
      </c>
      <c r="R18" s="147" t="s">
        <v>21</v>
      </c>
      <c r="S18" s="26"/>
      <c r="T18" s="26"/>
      <c r="U18" s="26"/>
      <c r="W18" s="154">
        <v>5.0</v>
      </c>
      <c r="X18" s="153" t="s">
        <v>227</v>
      </c>
      <c r="Y18" s="154">
        <f t="shared" si="1"/>
        <v>2</v>
      </c>
    </row>
    <row r="19" ht="15.75" customHeight="1">
      <c r="A19" s="175" t="s">
        <v>212</v>
      </c>
      <c r="B19" s="175" t="s">
        <v>225</v>
      </c>
      <c r="C19" s="175" t="s">
        <v>21</v>
      </c>
      <c r="D19" s="145" t="s">
        <v>229</v>
      </c>
      <c r="E19" s="201" t="s">
        <v>30</v>
      </c>
      <c r="F19" s="145" t="s">
        <v>21</v>
      </c>
      <c r="G19" s="145" t="s">
        <v>207</v>
      </c>
      <c r="H19" s="194" t="s">
        <v>501</v>
      </c>
      <c r="I19" s="145" t="s">
        <v>21</v>
      </c>
      <c r="J19" s="26" t="s">
        <v>502</v>
      </c>
      <c r="K19" s="145" t="s">
        <v>55</v>
      </c>
      <c r="L19" s="26" t="s">
        <v>21</v>
      </c>
      <c r="M19" s="145" t="s">
        <v>230</v>
      </c>
      <c r="N19" s="212" t="s">
        <v>91</v>
      </c>
      <c r="O19" s="145" t="s">
        <v>47</v>
      </c>
      <c r="P19" s="26" t="s">
        <v>205</v>
      </c>
      <c r="Q19" s="26" t="s">
        <v>319</v>
      </c>
      <c r="R19" s="26" t="s">
        <v>21</v>
      </c>
      <c r="S19" s="145"/>
      <c r="T19" s="145"/>
      <c r="U19" s="145"/>
      <c r="W19" s="154">
        <v>6.0</v>
      </c>
      <c r="X19" s="153" t="s">
        <v>290</v>
      </c>
      <c r="Y19" s="154">
        <f t="shared" si="1"/>
        <v>1</v>
      </c>
    </row>
    <row r="20" ht="15.75" customHeight="1">
      <c r="A20" s="145" t="s">
        <v>231</v>
      </c>
      <c r="B20" s="145" t="s">
        <v>91</v>
      </c>
      <c r="C20" s="145" t="s">
        <v>47</v>
      </c>
      <c r="D20" s="145" t="s">
        <v>215</v>
      </c>
      <c r="E20" s="61"/>
      <c r="F20" s="26" t="s">
        <v>47</v>
      </c>
      <c r="G20" s="145"/>
      <c r="H20" s="194"/>
      <c r="I20" s="159" t="s">
        <v>157</v>
      </c>
      <c r="J20" s="26"/>
      <c r="K20" s="145"/>
      <c r="L20" s="145"/>
      <c r="M20" s="247" t="s">
        <v>495</v>
      </c>
      <c r="N20" s="398" t="s">
        <v>313</v>
      </c>
      <c r="O20" s="395" t="s">
        <v>21</v>
      </c>
      <c r="P20" s="87" t="s">
        <v>503</v>
      </c>
      <c r="Q20" s="87" t="s">
        <v>115</v>
      </c>
      <c r="R20" s="87" t="s">
        <v>21</v>
      </c>
      <c r="S20" s="145"/>
      <c r="T20" s="26"/>
      <c r="U20" s="26"/>
      <c r="W20" s="154">
        <v>7.0</v>
      </c>
      <c r="X20" s="150"/>
      <c r="Y20" s="154">
        <f t="shared" si="1"/>
        <v>0</v>
      </c>
    </row>
    <row r="21" ht="15.75" customHeight="1">
      <c r="A21" s="84" t="s">
        <v>118</v>
      </c>
      <c r="B21" s="10"/>
      <c r="C21" s="11"/>
      <c r="D21" s="84" t="s">
        <v>8</v>
      </c>
      <c r="E21" s="10"/>
      <c r="F21" s="11"/>
      <c r="G21" s="84" t="s">
        <v>119</v>
      </c>
      <c r="H21" s="10"/>
      <c r="I21" s="11"/>
      <c r="J21" s="84" t="s">
        <v>10</v>
      </c>
      <c r="K21" s="10"/>
      <c r="L21" s="11"/>
      <c r="M21" s="84" t="s">
        <v>95</v>
      </c>
      <c r="N21" s="10"/>
      <c r="O21" s="11"/>
      <c r="P21" s="84" t="s">
        <v>83</v>
      </c>
      <c r="Q21" s="10"/>
      <c r="R21" s="11"/>
      <c r="S21" s="85" t="s">
        <v>13</v>
      </c>
      <c r="T21" s="10"/>
      <c r="U21" s="11"/>
      <c r="W21" s="154">
        <v>8.0</v>
      </c>
      <c r="X21" s="153" t="s">
        <v>203</v>
      </c>
      <c r="Y21" s="154">
        <f t="shared" si="1"/>
        <v>2</v>
      </c>
    </row>
    <row r="22" ht="15.75" customHeight="1">
      <c r="A22" s="86">
        <f>S14+1</f>
        <v>45971</v>
      </c>
      <c r="B22" s="10"/>
      <c r="C22" s="11"/>
      <c r="D22" s="86">
        <f>A22+1</f>
        <v>45972</v>
      </c>
      <c r="E22" s="10"/>
      <c r="F22" s="11"/>
      <c r="G22" s="86">
        <f>D22+1</f>
        <v>45973</v>
      </c>
      <c r="H22" s="10"/>
      <c r="I22" s="11"/>
      <c r="J22" s="86">
        <f>G22+1</f>
        <v>45974</v>
      </c>
      <c r="K22" s="10"/>
      <c r="L22" s="11"/>
      <c r="M22" s="86">
        <f>J22+1</f>
        <v>45975</v>
      </c>
      <c r="N22" s="10"/>
      <c r="O22" s="11"/>
      <c r="P22" s="86">
        <f>M22+1</f>
        <v>45976</v>
      </c>
      <c r="Q22" s="10"/>
      <c r="R22" s="11"/>
      <c r="S22" s="122">
        <f>P22+1</f>
        <v>45977</v>
      </c>
      <c r="T22" s="10"/>
      <c r="U22" s="11"/>
      <c r="W22" s="154">
        <v>9.0</v>
      </c>
      <c r="X22" s="153" t="s">
        <v>205</v>
      </c>
      <c r="Y22" s="154">
        <f t="shared" si="1"/>
        <v>4</v>
      </c>
    </row>
    <row r="23" ht="15.75" customHeight="1">
      <c r="A23" s="26" t="s">
        <v>217</v>
      </c>
      <c r="B23" s="194" t="s">
        <v>15</v>
      </c>
      <c r="C23" s="26" t="s">
        <v>496</v>
      </c>
      <c r="D23" s="26"/>
      <c r="E23" s="145"/>
      <c r="F23" s="26"/>
      <c r="G23" s="145"/>
      <c r="H23" s="145"/>
      <c r="I23" s="145"/>
      <c r="J23" s="145"/>
      <c r="K23" s="145"/>
      <c r="L23" s="145"/>
      <c r="M23" s="26"/>
      <c r="N23" s="145"/>
      <c r="O23" s="26"/>
      <c r="P23" s="26"/>
      <c r="Q23" s="145"/>
      <c r="R23" s="26"/>
      <c r="S23" s="145"/>
      <c r="T23" s="145"/>
      <c r="U23" s="145"/>
      <c r="W23" s="154">
        <v>10.0</v>
      </c>
      <c r="X23" s="153" t="s">
        <v>213</v>
      </c>
      <c r="Y23" s="154">
        <f t="shared" si="1"/>
        <v>4</v>
      </c>
    </row>
    <row r="24" ht="15.75" customHeight="1">
      <c r="A24" s="26"/>
      <c r="B24" s="145"/>
      <c r="C24" s="145"/>
      <c r="D24" s="26"/>
      <c r="E24" s="145"/>
      <c r="F24" s="26"/>
      <c r="G24" s="175" t="s">
        <v>207</v>
      </c>
      <c r="H24" s="175" t="s">
        <v>20</v>
      </c>
      <c r="I24" s="175" t="s">
        <v>21</v>
      </c>
      <c r="J24" s="147" t="s">
        <v>226</v>
      </c>
      <c r="K24" s="399" t="s">
        <v>15</v>
      </c>
      <c r="L24" s="147" t="s">
        <v>16</v>
      </c>
      <c r="M24" s="26"/>
      <c r="N24" s="145"/>
      <c r="O24" s="26"/>
      <c r="P24" s="26" t="s">
        <v>504</v>
      </c>
      <c r="Q24" s="26" t="s">
        <v>15</v>
      </c>
      <c r="R24" s="26" t="s">
        <v>47</v>
      </c>
      <c r="S24" s="145"/>
      <c r="T24" s="145"/>
      <c r="U24" s="145"/>
      <c r="W24" s="154">
        <v>11.0</v>
      </c>
      <c r="X24" s="153" t="s">
        <v>505</v>
      </c>
      <c r="Y24" s="154">
        <f t="shared" si="1"/>
        <v>0</v>
      </c>
    </row>
    <row r="25" ht="15.75" customHeight="1">
      <c r="A25" s="145" t="s">
        <v>207</v>
      </c>
      <c r="B25" s="145" t="s">
        <v>20</v>
      </c>
      <c r="C25" s="145" t="s">
        <v>21</v>
      </c>
      <c r="D25" s="26" t="s">
        <v>220</v>
      </c>
      <c r="E25" s="145" t="s">
        <v>32</v>
      </c>
      <c r="F25" s="145" t="s">
        <v>16</v>
      </c>
      <c r="G25" s="26"/>
      <c r="H25" s="145"/>
      <c r="I25" s="226" t="s">
        <v>490</v>
      </c>
      <c r="J25" s="26" t="s">
        <v>506</v>
      </c>
      <c r="K25" s="26" t="s">
        <v>125</v>
      </c>
      <c r="L25" s="26" t="s">
        <v>47</v>
      </c>
      <c r="M25" s="145" t="s">
        <v>213</v>
      </c>
      <c r="N25" s="145" t="s">
        <v>507</v>
      </c>
      <c r="O25" s="145" t="s">
        <v>21</v>
      </c>
      <c r="P25" s="26"/>
      <c r="Q25" s="26"/>
      <c r="R25" s="26"/>
      <c r="S25" s="214" t="s">
        <v>22</v>
      </c>
      <c r="T25" s="10"/>
      <c r="U25" s="11"/>
      <c r="W25" s="154">
        <v>12.0</v>
      </c>
      <c r="X25" s="153" t="s">
        <v>231</v>
      </c>
      <c r="Y25" s="154">
        <f t="shared" si="1"/>
        <v>2</v>
      </c>
    </row>
    <row r="26" ht="15.75" customHeight="1">
      <c r="A26" s="175" t="s">
        <v>212</v>
      </c>
      <c r="B26" s="175" t="s">
        <v>225</v>
      </c>
      <c r="C26" s="175" t="s">
        <v>21</v>
      </c>
      <c r="D26" s="26"/>
      <c r="E26" s="145"/>
      <c r="F26" s="145"/>
      <c r="G26" s="26" t="s">
        <v>290</v>
      </c>
      <c r="H26" s="145" t="s">
        <v>508</v>
      </c>
      <c r="I26" s="145" t="s">
        <v>16</v>
      </c>
      <c r="J26" s="26"/>
      <c r="K26" s="145"/>
      <c r="L26" s="145"/>
      <c r="M26" s="145" t="s">
        <v>203</v>
      </c>
      <c r="N26" s="26" t="s">
        <v>125</v>
      </c>
      <c r="O26" s="26" t="s">
        <v>21</v>
      </c>
      <c r="P26" s="26" t="s">
        <v>202</v>
      </c>
      <c r="Q26" s="26" t="s">
        <v>67</v>
      </c>
      <c r="R26" s="26" t="s">
        <v>16</v>
      </c>
      <c r="S26" s="145"/>
      <c r="T26" s="145"/>
      <c r="U26" s="145"/>
      <c r="W26" s="154">
        <v>13.0</v>
      </c>
      <c r="X26" s="153" t="s">
        <v>498</v>
      </c>
      <c r="Y26" s="154">
        <f t="shared" si="1"/>
        <v>2</v>
      </c>
    </row>
    <row r="27" ht="15.75" customHeight="1">
      <c r="A27" s="145"/>
      <c r="B27" s="196"/>
      <c r="C27" s="145"/>
      <c r="D27" s="125" t="s">
        <v>227</v>
      </c>
      <c r="E27" s="125" t="s">
        <v>228</v>
      </c>
      <c r="F27" s="125" t="s">
        <v>21</v>
      </c>
      <c r="G27" s="26"/>
      <c r="H27" s="145"/>
      <c r="I27" s="145"/>
      <c r="J27" s="60" t="s">
        <v>500</v>
      </c>
      <c r="K27" s="60" t="s">
        <v>67</v>
      </c>
      <c r="L27" s="60" t="s">
        <v>21</v>
      </c>
      <c r="M27" s="60" t="s">
        <v>222</v>
      </c>
      <c r="N27" s="60" t="s">
        <v>32</v>
      </c>
      <c r="O27" s="60" t="s">
        <v>16</v>
      </c>
      <c r="P27" s="26" t="s">
        <v>205</v>
      </c>
      <c r="Q27" s="26" t="s">
        <v>319</v>
      </c>
      <c r="R27" s="26" t="s">
        <v>21</v>
      </c>
      <c r="S27" s="145"/>
      <c r="T27" s="145"/>
      <c r="U27" s="394"/>
      <c r="W27" s="154">
        <v>14.0</v>
      </c>
      <c r="X27" s="150" t="s">
        <v>370</v>
      </c>
      <c r="Y27" s="154">
        <f t="shared" si="1"/>
        <v>2</v>
      </c>
    </row>
    <row r="28" ht="15.75" customHeight="1">
      <c r="A28" s="145"/>
      <c r="B28" s="145"/>
      <c r="C28" s="400"/>
      <c r="D28" s="26" t="s">
        <v>370</v>
      </c>
      <c r="E28" s="145" t="s">
        <v>312</v>
      </c>
      <c r="F28" s="145" t="s">
        <v>21</v>
      </c>
      <c r="G28" s="241" t="s">
        <v>230</v>
      </c>
      <c r="H28" s="401" t="s">
        <v>91</v>
      </c>
      <c r="I28" s="241" t="s">
        <v>47</v>
      </c>
      <c r="J28" s="26"/>
      <c r="K28" s="145"/>
      <c r="L28" s="145"/>
      <c r="M28" s="247" t="s">
        <v>509</v>
      </c>
      <c r="N28" s="247" t="s">
        <v>67</v>
      </c>
      <c r="O28" s="247" t="s">
        <v>21</v>
      </c>
      <c r="P28" s="145"/>
      <c r="Q28" s="145"/>
      <c r="R28" s="145"/>
      <c r="S28" s="145"/>
      <c r="T28" s="145"/>
      <c r="U28" s="145"/>
      <c r="W28" s="154">
        <v>15.0</v>
      </c>
      <c r="X28" s="153" t="s">
        <v>510</v>
      </c>
      <c r="Y28" s="154">
        <f t="shared" si="1"/>
        <v>0</v>
      </c>
    </row>
    <row r="29" ht="15.75" customHeight="1">
      <c r="A29" s="97" t="s">
        <v>7</v>
      </c>
      <c r="B29" s="10"/>
      <c r="C29" s="11"/>
      <c r="D29" s="97" t="s">
        <v>8</v>
      </c>
      <c r="E29" s="10"/>
      <c r="F29" s="11"/>
      <c r="G29" s="97" t="s">
        <v>9</v>
      </c>
      <c r="H29" s="10"/>
      <c r="I29" s="11"/>
      <c r="J29" s="97" t="s">
        <v>10</v>
      </c>
      <c r="K29" s="10"/>
      <c r="L29" s="11"/>
      <c r="M29" s="97" t="s">
        <v>11</v>
      </c>
      <c r="N29" s="10"/>
      <c r="O29" s="11"/>
      <c r="P29" s="97" t="s">
        <v>12</v>
      </c>
      <c r="Q29" s="10"/>
      <c r="R29" s="11"/>
      <c r="S29" s="167" t="s">
        <v>13</v>
      </c>
      <c r="T29" s="10"/>
      <c r="U29" s="11"/>
      <c r="W29" s="154">
        <v>16.0</v>
      </c>
      <c r="X29" s="225" t="s">
        <v>222</v>
      </c>
      <c r="Y29" s="154">
        <f t="shared" si="1"/>
        <v>2</v>
      </c>
    </row>
    <row r="30" ht="15.75" customHeight="1">
      <c r="A30" s="402">
        <f>S22+1</f>
        <v>45978</v>
      </c>
      <c r="B30" s="10"/>
      <c r="C30" s="11"/>
      <c r="D30" s="99">
        <f>A30+1</f>
        <v>45979</v>
      </c>
      <c r="E30" s="10"/>
      <c r="F30" s="11"/>
      <c r="G30" s="99">
        <f>D30+1</f>
        <v>45980</v>
      </c>
      <c r="H30" s="10"/>
      <c r="I30" s="11"/>
      <c r="J30" s="99">
        <f>G30+1</f>
        <v>45981</v>
      </c>
      <c r="K30" s="10"/>
      <c r="L30" s="11"/>
      <c r="M30" s="99">
        <f>J30+1</f>
        <v>45982</v>
      </c>
      <c r="N30" s="10"/>
      <c r="O30" s="11"/>
      <c r="P30" s="99">
        <f>M30+1</f>
        <v>45983</v>
      </c>
      <c r="Q30" s="10"/>
      <c r="R30" s="11"/>
      <c r="S30" s="100">
        <f>P30+1</f>
        <v>45984</v>
      </c>
      <c r="T30" s="10"/>
      <c r="U30" s="11"/>
      <c r="W30" s="154">
        <v>17.0</v>
      </c>
      <c r="X30" s="153" t="s">
        <v>506</v>
      </c>
      <c r="Y30" s="154">
        <f t="shared" si="1"/>
        <v>2</v>
      </c>
    </row>
    <row r="31" ht="15.75" customHeight="1">
      <c r="A31" s="26" t="s">
        <v>217</v>
      </c>
      <c r="B31" s="194" t="s">
        <v>15</v>
      </c>
      <c r="C31" s="26" t="s">
        <v>496</v>
      </c>
      <c r="D31" s="145"/>
      <c r="E31" s="145"/>
      <c r="F31" s="145"/>
      <c r="G31" s="26"/>
      <c r="H31" s="194"/>
      <c r="I31" s="26"/>
      <c r="J31" s="26"/>
      <c r="K31" s="145"/>
      <c r="L31" s="26"/>
      <c r="M31" s="26"/>
      <c r="N31" s="194"/>
      <c r="O31" s="26"/>
      <c r="P31" s="145"/>
      <c r="Q31" s="145"/>
      <c r="R31" s="145"/>
      <c r="S31" s="145"/>
      <c r="T31" s="145"/>
      <c r="U31" s="145"/>
      <c r="W31" s="154">
        <v>18.0</v>
      </c>
      <c r="X31" s="150" t="s">
        <v>202</v>
      </c>
      <c r="Y31" s="154">
        <f t="shared" si="1"/>
        <v>2</v>
      </c>
    </row>
    <row r="32" ht="15.75" customHeight="1">
      <c r="A32" s="26"/>
      <c r="B32" s="196"/>
      <c r="C32" s="145"/>
      <c r="D32" s="145"/>
      <c r="E32" s="145"/>
      <c r="F32" s="145"/>
      <c r="G32" s="26"/>
      <c r="H32" s="194"/>
      <c r="I32" s="26"/>
      <c r="J32" s="26"/>
      <c r="K32" s="145"/>
      <c r="L32" s="26"/>
      <c r="M32" s="26"/>
      <c r="N32" s="194"/>
      <c r="O32" s="26"/>
      <c r="P32" s="26"/>
      <c r="Q32" s="26"/>
      <c r="R32" s="26"/>
      <c r="S32" s="145"/>
      <c r="T32" s="145"/>
      <c r="U32" s="145"/>
      <c r="W32" s="154">
        <v>19.0</v>
      </c>
      <c r="X32" s="225" t="s">
        <v>503</v>
      </c>
      <c r="Y32" s="154">
        <f t="shared" si="1"/>
        <v>3</v>
      </c>
    </row>
    <row r="33" ht="15.75" customHeight="1">
      <c r="A33" s="145" t="s">
        <v>207</v>
      </c>
      <c r="B33" s="145" t="s">
        <v>20</v>
      </c>
      <c r="C33" s="145" t="s">
        <v>21</v>
      </c>
      <c r="D33" s="145" t="s">
        <v>498</v>
      </c>
      <c r="E33" s="145" t="s">
        <v>67</v>
      </c>
      <c r="F33" s="145" t="s">
        <v>16</v>
      </c>
      <c r="G33" s="247" t="s">
        <v>509</v>
      </c>
      <c r="H33" s="396" t="s">
        <v>109</v>
      </c>
      <c r="I33" s="247" t="s">
        <v>47</v>
      </c>
      <c r="J33" s="395" t="s">
        <v>499</v>
      </c>
      <c r="K33" s="396" t="s">
        <v>49</v>
      </c>
      <c r="L33" s="395"/>
      <c r="M33" s="145" t="s">
        <v>209</v>
      </c>
      <c r="N33" s="201" t="s">
        <v>210</v>
      </c>
      <c r="O33" s="397" t="s">
        <v>21</v>
      </c>
      <c r="P33" s="26" t="s">
        <v>511</v>
      </c>
      <c r="Q33" s="26" t="s">
        <v>28</v>
      </c>
      <c r="R33" s="26" t="s">
        <v>47</v>
      </c>
      <c r="S33" s="214" t="s">
        <v>22</v>
      </c>
      <c r="T33" s="10"/>
      <c r="U33" s="11"/>
      <c r="W33" s="154">
        <v>20.0</v>
      </c>
      <c r="X33" s="153" t="s">
        <v>229</v>
      </c>
      <c r="Y33" s="154">
        <f t="shared" si="1"/>
        <v>2</v>
      </c>
    </row>
    <row r="34" ht="15.75" customHeight="1">
      <c r="A34" s="175" t="s">
        <v>212</v>
      </c>
      <c r="B34" s="175" t="s">
        <v>225</v>
      </c>
      <c r="C34" s="175" t="s">
        <v>21</v>
      </c>
      <c r="D34" s="26"/>
      <c r="E34" s="26"/>
      <c r="F34" s="26"/>
      <c r="G34" s="145" t="s">
        <v>366</v>
      </c>
      <c r="H34" s="196" t="s">
        <v>228</v>
      </c>
      <c r="I34" s="145" t="s">
        <v>21</v>
      </c>
      <c r="J34" s="145" t="s">
        <v>213</v>
      </c>
      <c r="K34" s="194" t="s">
        <v>228</v>
      </c>
      <c r="L34" s="145" t="s">
        <v>21</v>
      </c>
      <c r="M34" s="26"/>
      <c r="N34" s="194"/>
      <c r="O34" s="26"/>
      <c r="P34" s="147" t="s">
        <v>204</v>
      </c>
      <c r="Q34" s="147" t="s">
        <v>67</v>
      </c>
      <c r="R34" s="147" t="s">
        <v>21</v>
      </c>
      <c r="S34" s="145"/>
      <c r="T34" s="145"/>
      <c r="U34" s="145"/>
      <c r="W34" s="154">
        <v>21.0</v>
      </c>
      <c r="X34" s="153" t="s">
        <v>366</v>
      </c>
      <c r="Y34" s="154">
        <f t="shared" si="1"/>
        <v>2</v>
      </c>
    </row>
    <row r="35" ht="15.75" customHeight="1">
      <c r="A35" s="145" t="s">
        <v>231</v>
      </c>
      <c r="B35" s="145" t="s">
        <v>91</v>
      </c>
      <c r="C35" s="145" t="s">
        <v>47</v>
      </c>
      <c r="D35" s="145" t="s">
        <v>229</v>
      </c>
      <c r="E35" s="201" t="s">
        <v>30</v>
      </c>
      <c r="F35" s="145" t="s">
        <v>21</v>
      </c>
      <c r="G35" s="145" t="s">
        <v>207</v>
      </c>
      <c r="H35" s="194" t="s">
        <v>501</v>
      </c>
      <c r="I35" s="145" t="s">
        <v>21</v>
      </c>
      <c r="J35" s="26" t="s">
        <v>502</v>
      </c>
      <c r="K35" s="145" t="s">
        <v>55</v>
      </c>
      <c r="L35" s="26" t="s">
        <v>21</v>
      </c>
      <c r="M35" s="145" t="s">
        <v>230</v>
      </c>
      <c r="N35" s="212" t="s">
        <v>91</v>
      </c>
      <c r="O35" s="145" t="s">
        <v>47</v>
      </c>
      <c r="P35" s="26" t="s">
        <v>205</v>
      </c>
      <c r="Q35" s="26" t="s">
        <v>319</v>
      </c>
      <c r="R35" s="26" t="s">
        <v>21</v>
      </c>
      <c r="S35" s="145"/>
      <c r="T35" s="145"/>
      <c r="U35" s="145"/>
      <c r="W35" s="154">
        <v>22.0</v>
      </c>
      <c r="X35" s="153" t="s">
        <v>512</v>
      </c>
      <c r="Y35" s="154">
        <f t="shared" si="1"/>
        <v>0</v>
      </c>
    </row>
    <row r="36" ht="15.75" customHeight="1">
      <c r="A36" s="26"/>
      <c r="B36" s="145"/>
      <c r="C36" s="145"/>
      <c r="D36" s="145" t="s">
        <v>215</v>
      </c>
      <c r="E36" s="61"/>
      <c r="F36" s="26" t="s">
        <v>47</v>
      </c>
      <c r="G36" s="26"/>
      <c r="H36" s="196"/>
      <c r="I36" s="145"/>
      <c r="J36" s="26"/>
      <c r="K36" s="145"/>
      <c r="L36" s="26"/>
      <c r="M36" s="247" t="s">
        <v>495</v>
      </c>
      <c r="N36" s="398" t="s">
        <v>313</v>
      </c>
      <c r="O36" s="395" t="s">
        <v>21</v>
      </c>
      <c r="P36" s="87" t="s">
        <v>503</v>
      </c>
      <c r="Q36" s="87" t="s">
        <v>115</v>
      </c>
      <c r="R36" s="87" t="s">
        <v>21</v>
      </c>
      <c r="S36" s="145"/>
      <c r="T36" s="145"/>
      <c r="U36" s="394"/>
      <c r="W36" s="154">
        <v>23.0</v>
      </c>
      <c r="X36" s="153" t="s">
        <v>230</v>
      </c>
      <c r="Y36" s="154">
        <f t="shared" si="1"/>
        <v>3</v>
      </c>
    </row>
    <row r="37" ht="15.75" customHeight="1">
      <c r="A37" s="84" t="s">
        <v>118</v>
      </c>
      <c r="B37" s="10"/>
      <c r="C37" s="11"/>
      <c r="D37" s="84" t="s">
        <v>8</v>
      </c>
      <c r="E37" s="10"/>
      <c r="F37" s="11"/>
      <c r="G37" s="84" t="s">
        <v>119</v>
      </c>
      <c r="H37" s="10"/>
      <c r="I37" s="11"/>
      <c r="J37" s="84" t="s">
        <v>10</v>
      </c>
      <c r="K37" s="10"/>
      <c r="L37" s="11"/>
      <c r="M37" s="84" t="s">
        <v>95</v>
      </c>
      <c r="N37" s="10"/>
      <c r="O37" s="11"/>
      <c r="P37" s="84" t="s">
        <v>83</v>
      </c>
      <c r="Q37" s="10"/>
      <c r="R37" s="11"/>
      <c r="S37" s="85" t="s">
        <v>13</v>
      </c>
      <c r="T37" s="10"/>
      <c r="U37" s="11"/>
      <c r="W37" s="154">
        <v>24.0</v>
      </c>
      <c r="X37" s="150" t="s">
        <v>499</v>
      </c>
      <c r="Y37" s="154">
        <f t="shared" si="1"/>
        <v>2</v>
      </c>
    </row>
    <row r="38" ht="15.75" customHeight="1">
      <c r="A38" s="86">
        <f>S30+1</f>
        <v>45985</v>
      </c>
      <c r="B38" s="10"/>
      <c r="C38" s="11"/>
      <c r="D38" s="86">
        <f>A38+1</f>
        <v>45986</v>
      </c>
      <c r="E38" s="10"/>
      <c r="F38" s="11"/>
      <c r="G38" s="86">
        <f>D38+1</f>
        <v>45987</v>
      </c>
      <c r="H38" s="10"/>
      <c r="I38" s="11"/>
      <c r="J38" s="86">
        <f>G38+1</f>
        <v>45988</v>
      </c>
      <c r="K38" s="10"/>
      <c r="L38" s="11"/>
      <c r="M38" s="86">
        <f>J38+1</f>
        <v>45989</v>
      </c>
      <c r="N38" s="10"/>
      <c r="O38" s="11"/>
      <c r="P38" s="86">
        <f>M38+1</f>
        <v>45990</v>
      </c>
      <c r="Q38" s="10"/>
      <c r="R38" s="11"/>
      <c r="S38" s="122">
        <f>P38+1</f>
        <v>45991</v>
      </c>
      <c r="T38" s="10"/>
      <c r="U38" s="11"/>
      <c r="W38" s="154">
        <v>25.0</v>
      </c>
      <c r="X38" s="150" t="s">
        <v>502</v>
      </c>
      <c r="Y38" s="154">
        <f t="shared" si="1"/>
        <v>2</v>
      </c>
    </row>
    <row r="39" ht="15.75" customHeight="1">
      <c r="A39" s="26" t="s">
        <v>217</v>
      </c>
      <c r="B39" s="194" t="s">
        <v>15</v>
      </c>
      <c r="C39" s="26" t="s">
        <v>496</v>
      </c>
      <c r="D39" s="26"/>
      <c r="E39" s="145"/>
      <c r="F39" s="26"/>
      <c r="G39" s="26"/>
      <c r="H39" s="145"/>
      <c r="I39" s="26"/>
      <c r="J39" s="26" t="s">
        <v>506</v>
      </c>
      <c r="K39" s="26" t="s">
        <v>125</v>
      </c>
      <c r="L39" s="26" t="s">
        <v>47</v>
      </c>
      <c r="M39" s="26"/>
      <c r="N39" s="145"/>
      <c r="O39" s="26"/>
      <c r="P39" s="26"/>
      <c r="Q39" s="145"/>
      <c r="R39" s="26"/>
      <c r="S39" s="145"/>
      <c r="T39" s="145"/>
      <c r="U39" s="145"/>
      <c r="W39" s="154">
        <v>26.0</v>
      </c>
      <c r="X39" s="153" t="s">
        <v>509</v>
      </c>
      <c r="Y39" s="154">
        <f t="shared" si="1"/>
        <v>2</v>
      </c>
    </row>
    <row r="40" ht="15.75" customHeight="1">
      <c r="A40" s="26"/>
      <c r="B40" s="26"/>
      <c r="C40" s="26"/>
      <c r="D40" s="26"/>
      <c r="E40" s="145"/>
      <c r="F40" s="26"/>
      <c r="G40" s="26"/>
      <c r="H40" s="145"/>
      <c r="I40" s="26"/>
      <c r="J40" s="147" t="s">
        <v>226</v>
      </c>
      <c r="K40" s="399" t="s">
        <v>40</v>
      </c>
      <c r="L40" s="147" t="s">
        <v>16</v>
      </c>
      <c r="M40" s="26"/>
      <c r="N40" s="145"/>
      <c r="O40" s="26"/>
      <c r="P40" s="145"/>
      <c r="Q40" s="145"/>
      <c r="R40" s="26"/>
      <c r="S40" s="38"/>
      <c r="T40" s="38"/>
      <c r="U40" s="38"/>
      <c r="W40" s="154">
        <v>27.0</v>
      </c>
      <c r="X40" s="145" t="s">
        <v>214</v>
      </c>
      <c r="Y40" s="154">
        <f t="shared" si="1"/>
        <v>0</v>
      </c>
    </row>
    <row r="41" ht="15.75" customHeight="1">
      <c r="A41" s="145" t="s">
        <v>207</v>
      </c>
      <c r="B41" s="145" t="s">
        <v>20</v>
      </c>
      <c r="C41" s="145" t="s">
        <v>21</v>
      </c>
      <c r="D41" s="87"/>
      <c r="E41" s="87"/>
      <c r="F41" s="87"/>
      <c r="G41" s="175" t="s">
        <v>207</v>
      </c>
      <c r="H41" s="175" t="s">
        <v>20</v>
      </c>
      <c r="I41" s="175" t="s">
        <v>21</v>
      </c>
      <c r="J41" s="26" t="s">
        <v>513</v>
      </c>
      <c r="K41" s="145" t="s">
        <v>32</v>
      </c>
      <c r="L41" s="145" t="s">
        <v>16</v>
      </c>
      <c r="M41" s="145" t="s">
        <v>213</v>
      </c>
      <c r="N41" s="145" t="s">
        <v>507</v>
      </c>
      <c r="O41" s="145" t="s">
        <v>21</v>
      </c>
      <c r="P41" s="145"/>
      <c r="Q41" s="145"/>
      <c r="R41" s="145"/>
      <c r="S41" s="26"/>
      <c r="T41" s="26"/>
      <c r="U41" s="26"/>
      <c r="W41" s="154"/>
      <c r="X41" s="153"/>
      <c r="Y41" s="154">
        <f t="shared" si="1"/>
        <v>0</v>
      </c>
    </row>
    <row r="42" ht="15.75" customHeight="1">
      <c r="A42" s="26"/>
      <c r="B42" s="145"/>
      <c r="C42" s="26"/>
      <c r="D42" s="87"/>
      <c r="E42" s="87"/>
      <c r="F42" s="87"/>
      <c r="G42" s="26"/>
      <c r="H42" s="145"/>
      <c r="I42" s="26"/>
      <c r="J42" s="26"/>
      <c r="K42" s="145"/>
      <c r="L42" s="26"/>
      <c r="M42" s="26"/>
      <c r="N42" s="145"/>
      <c r="O42" s="145"/>
      <c r="P42" s="145"/>
      <c r="Q42" s="145"/>
      <c r="R42" s="145"/>
      <c r="S42" s="96"/>
      <c r="T42" s="96"/>
      <c r="U42" s="96"/>
      <c r="W42" s="332"/>
      <c r="X42" s="150"/>
      <c r="Y42" s="154"/>
    </row>
    <row r="43" ht="15.75" customHeight="1">
      <c r="A43" s="175" t="s">
        <v>212</v>
      </c>
      <c r="B43" s="175" t="s">
        <v>225</v>
      </c>
      <c r="C43" s="175" t="s">
        <v>21</v>
      </c>
      <c r="D43" s="125" t="s">
        <v>227</v>
      </c>
      <c r="E43" s="125" t="s">
        <v>228</v>
      </c>
      <c r="F43" s="125" t="s">
        <v>21</v>
      </c>
      <c r="G43" s="107" t="s">
        <v>503</v>
      </c>
      <c r="H43" s="107" t="s">
        <v>115</v>
      </c>
      <c r="I43" s="107" t="s">
        <v>21</v>
      </c>
      <c r="J43" s="26"/>
      <c r="K43" s="26"/>
      <c r="L43" s="26"/>
      <c r="M43" s="145" t="s">
        <v>203</v>
      </c>
      <c r="N43" s="145" t="s">
        <v>125</v>
      </c>
      <c r="O43" s="26" t="s">
        <v>21</v>
      </c>
      <c r="P43" s="26"/>
      <c r="Q43" s="196"/>
      <c r="R43" s="145"/>
      <c r="S43" s="145"/>
      <c r="T43" s="145"/>
      <c r="U43" s="145"/>
      <c r="Y43" s="5">
        <f>SUM(Y14:Y42)</f>
        <v>57</v>
      </c>
    </row>
    <row r="44" ht="15.75" customHeight="1">
      <c r="A44" s="145"/>
      <c r="B44" s="145"/>
      <c r="C44" s="145"/>
      <c r="D44" s="26" t="s">
        <v>370</v>
      </c>
      <c r="E44" s="145" t="s">
        <v>312</v>
      </c>
      <c r="F44" s="145" t="s">
        <v>21</v>
      </c>
      <c r="G44" s="26"/>
      <c r="H44" s="145"/>
      <c r="I44" s="26"/>
      <c r="J44" s="26" t="s">
        <v>0</v>
      </c>
      <c r="K44" s="26"/>
      <c r="L44" s="26"/>
      <c r="M44" s="26" t="s">
        <v>514</v>
      </c>
      <c r="N44" s="145" t="s">
        <v>32</v>
      </c>
      <c r="O44" s="145"/>
      <c r="P44" s="145"/>
      <c r="Q44" s="145"/>
      <c r="R44" s="394"/>
      <c r="S44" s="145"/>
      <c r="T44" s="145"/>
      <c r="U44" s="145"/>
    </row>
    <row r="45" ht="15.75" customHeight="1">
      <c r="A45" s="97"/>
      <c r="B45" s="10"/>
      <c r="C45" s="11"/>
      <c r="D45" s="97"/>
      <c r="E45" s="10"/>
      <c r="F45" s="11"/>
      <c r="G45" s="97"/>
      <c r="H45" s="10"/>
      <c r="I45" s="11"/>
      <c r="J45" s="97"/>
      <c r="K45" s="10"/>
      <c r="L45" s="11"/>
      <c r="M45" s="97"/>
      <c r="N45" s="10"/>
      <c r="O45" s="11"/>
      <c r="P45" s="97"/>
      <c r="Q45" s="10"/>
      <c r="R45" s="11"/>
      <c r="S45" s="270"/>
      <c r="T45" s="10"/>
      <c r="U45" s="11"/>
    </row>
    <row r="46" ht="15.75" customHeight="1">
      <c r="A46" s="402"/>
      <c r="B46" s="10"/>
      <c r="C46" s="11"/>
      <c r="D46" s="99"/>
      <c r="E46" s="10"/>
      <c r="F46" s="11"/>
      <c r="G46" s="99"/>
      <c r="H46" s="10"/>
      <c r="I46" s="11"/>
      <c r="J46" s="99"/>
      <c r="K46" s="10"/>
      <c r="L46" s="11"/>
      <c r="M46" s="99"/>
      <c r="N46" s="10"/>
      <c r="O46" s="11"/>
      <c r="P46" s="99"/>
      <c r="Q46" s="10"/>
      <c r="R46" s="11"/>
      <c r="S46" s="99"/>
      <c r="T46" s="10"/>
      <c r="U46" s="11"/>
    </row>
    <row r="47" ht="15.75" customHeight="1">
      <c r="A47" s="145"/>
      <c r="B47" s="145"/>
      <c r="C47" s="145"/>
      <c r="D47" s="26"/>
      <c r="E47" s="196"/>
      <c r="F47" s="145"/>
      <c r="G47" s="26"/>
      <c r="H47" s="196"/>
      <c r="I47" s="145"/>
      <c r="J47" s="26"/>
      <c r="K47" s="145"/>
      <c r="L47" s="26"/>
      <c r="M47" s="145"/>
      <c r="N47" s="145"/>
      <c r="O47" s="145"/>
      <c r="P47" s="145"/>
      <c r="Q47" s="145"/>
      <c r="R47" s="145"/>
      <c r="S47" s="161"/>
      <c r="T47" s="90"/>
      <c r="U47" s="90"/>
    </row>
    <row r="48" ht="15.75" customHeight="1">
      <c r="A48" s="26"/>
      <c r="B48" s="26"/>
      <c r="C48" s="26"/>
      <c r="D48" s="145"/>
      <c r="E48" s="145"/>
      <c r="F48" s="145"/>
      <c r="G48" s="145"/>
      <c r="H48" s="145"/>
      <c r="I48" s="145"/>
      <c r="J48" s="145"/>
      <c r="K48" s="145"/>
      <c r="L48" s="26"/>
      <c r="M48" s="145"/>
      <c r="N48" s="145"/>
      <c r="O48" s="145"/>
      <c r="P48" s="38"/>
      <c r="Q48" s="38"/>
      <c r="R48" s="38"/>
      <c r="S48" s="161"/>
      <c r="T48" s="90"/>
      <c r="U48" s="403"/>
    </row>
    <row r="49" ht="15.75" customHeight="1">
      <c r="A49" s="26"/>
      <c r="B49" s="26"/>
      <c r="C49" s="26"/>
      <c r="D49" s="175"/>
      <c r="E49" s="175"/>
      <c r="F49" s="175"/>
      <c r="G49" s="175"/>
      <c r="H49" s="175"/>
      <c r="I49" s="175"/>
      <c r="J49" s="145"/>
      <c r="K49" s="145"/>
      <c r="L49" s="145"/>
      <c r="M49" s="175"/>
      <c r="N49" s="175"/>
      <c r="O49" s="175"/>
      <c r="P49" s="26"/>
      <c r="Q49" s="26"/>
      <c r="R49" s="26"/>
      <c r="S49" s="161"/>
      <c r="T49" s="90"/>
      <c r="U49" s="131"/>
    </row>
    <row r="50" ht="15.75" customHeight="1">
      <c r="A50" s="26"/>
      <c r="B50" s="26"/>
      <c r="C50" s="26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26"/>
      <c r="P50" s="96"/>
      <c r="Q50" s="96"/>
      <c r="R50" s="96"/>
      <c r="S50" s="161"/>
      <c r="T50" s="90"/>
      <c r="U50" s="403"/>
    </row>
    <row r="51" ht="15.75" customHeight="1">
      <c r="A51" s="145"/>
      <c r="B51" s="145"/>
      <c r="C51" s="145"/>
      <c r="D51" s="95"/>
      <c r="E51" s="95"/>
      <c r="F51" s="95"/>
      <c r="G51" s="95"/>
      <c r="H51" s="95"/>
      <c r="I51" s="95"/>
      <c r="J51" s="26"/>
      <c r="K51" s="196"/>
      <c r="L51" s="145"/>
      <c r="M51" s="175"/>
      <c r="N51" s="175"/>
      <c r="O51" s="175"/>
      <c r="P51" s="145"/>
      <c r="Q51" s="145"/>
      <c r="R51" s="145"/>
      <c r="S51" s="162"/>
      <c r="T51" s="161"/>
      <c r="U51" s="89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394"/>
      <c r="M52" s="26"/>
      <c r="N52" s="145"/>
      <c r="O52" s="26"/>
      <c r="P52" s="145"/>
      <c r="Q52" s="145"/>
      <c r="R52" s="145"/>
      <c r="S52" s="161"/>
      <c r="T52" s="90"/>
      <c r="U52" s="403"/>
    </row>
    <row r="53" ht="15.75" customHeight="1">
      <c r="A53" s="183"/>
      <c r="B53" s="72"/>
      <c r="C53" s="72"/>
      <c r="D53" s="72"/>
    </row>
    <row r="54" ht="15.75" customHeight="1">
      <c r="A54" s="71" t="s">
        <v>72</v>
      </c>
      <c r="B54" s="72"/>
    </row>
    <row r="55" ht="15.75" customHeight="1">
      <c r="A55" s="73"/>
      <c r="B55" s="26" t="s">
        <v>73</v>
      </c>
      <c r="C55" s="57"/>
      <c r="D55" s="74"/>
    </row>
    <row r="56" ht="15.75" customHeight="1">
      <c r="A56" s="75"/>
      <c r="B56" s="26" t="s">
        <v>74</v>
      </c>
      <c r="C56" s="57"/>
    </row>
    <row r="57" ht="15.75" customHeight="1">
      <c r="A57" s="76"/>
      <c r="B57" s="26" t="s">
        <v>75</v>
      </c>
      <c r="C57" s="57"/>
    </row>
    <row r="58" ht="15.75" customHeight="1">
      <c r="A58" s="78"/>
      <c r="B58" s="26" t="s">
        <v>515</v>
      </c>
      <c r="C58" s="5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41"/>
  <mergeCells count="100">
    <mergeCell ref="E19:E20"/>
    <mergeCell ref="D21:F21"/>
    <mergeCell ref="G21:I21"/>
    <mergeCell ref="J21:L21"/>
    <mergeCell ref="M21:O21"/>
    <mergeCell ref="P21:R21"/>
    <mergeCell ref="S21:U21"/>
    <mergeCell ref="A21:C21"/>
    <mergeCell ref="D22:F22"/>
    <mergeCell ref="G22:I22"/>
    <mergeCell ref="J22:L22"/>
    <mergeCell ref="M22:O22"/>
    <mergeCell ref="P22:R22"/>
    <mergeCell ref="S22:U22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G30:I30"/>
    <mergeCell ref="J30:L30"/>
    <mergeCell ref="M30:O30"/>
    <mergeCell ref="P30:R30"/>
    <mergeCell ref="S30:U30"/>
    <mergeCell ref="D30:F30"/>
    <mergeCell ref="E35:E36"/>
    <mergeCell ref="A37:C37"/>
    <mergeCell ref="D37:F37"/>
    <mergeCell ref="G37:I37"/>
    <mergeCell ref="J37:L37"/>
    <mergeCell ref="M37:O37"/>
    <mergeCell ref="G45:I45"/>
    <mergeCell ref="J45:L45"/>
    <mergeCell ref="P45:R45"/>
    <mergeCell ref="S45:U45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38:F38"/>
    <mergeCell ref="G38:I38"/>
    <mergeCell ref="J38:L38"/>
    <mergeCell ref="M38:O38"/>
    <mergeCell ref="D45:F45"/>
    <mergeCell ref="M45:O45"/>
    <mergeCell ref="B54:D54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S25:U25"/>
    <mergeCell ref="S33:U33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37:R37"/>
    <mergeCell ref="S37:U37"/>
    <mergeCell ref="P38:R38"/>
    <mergeCell ref="S38:U38"/>
  </mergeCells>
  <printOptions horizontalCentered="1" verticalCentered="1"/>
  <pageMargins bottom="0.0" footer="0.0" header="0.0" left="0.0" right="0.0" top="0.0"/>
  <pageSetup paperSize="9"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8" max="8" width="14.0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4" max="14" width="14.0"/>
    <col customWidth="1" min="15" max="15" width="8.0"/>
    <col customWidth="1" min="16" max="16" width="16.0"/>
    <col customWidth="1" min="17" max="17" width="11.43"/>
    <col customWidth="1" min="18" max="18" width="9.0"/>
    <col customWidth="1" min="19" max="20" width="14.0"/>
    <col customWidth="1" min="21" max="21" width="7.86"/>
    <col customWidth="1" min="22" max="26" width="14.0"/>
  </cols>
  <sheetData>
    <row r="1">
      <c r="A1" s="288" t="s">
        <v>79</v>
      </c>
      <c r="C1" s="289" t="s">
        <v>516</v>
      </c>
      <c r="F1" s="290"/>
      <c r="G1" s="4" t="s">
        <v>481</v>
      </c>
      <c r="Q1" s="290"/>
      <c r="R1" s="290"/>
      <c r="S1" s="290"/>
      <c r="T1" s="290"/>
      <c r="U1" s="290"/>
    </row>
    <row r="2">
      <c r="A2" s="288" t="s">
        <v>3</v>
      </c>
      <c r="C2" s="289" t="s">
        <v>517</v>
      </c>
      <c r="F2" s="290"/>
      <c r="Q2" s="290"/>
      <c r="R2" s="290"/>
      <c r="S2" s="290"/>
      <c r="T2" s="290"/>
      <c r="U2" s="290"/>
    </row>
    <row r="3">
      <c r="A3" s="288" t="s">
        <v>5</v>
      </c>
      <c r="C3" s="291"/>
      <c r="F3" s="290"/>
      <c r="Q3" s="290"/>
      <c r="R3" s="290"/>
      <c r="S3" s="290"/>
      <c r="T3" s="290"/>
      <c r="U3" s="290"/>
    </row>
    <row r="4">
      <c r="A4" s="292" t="s">
        <v>6</v>
      </c>
      <c r="B4" s="80"/>
      <c r="C4" s="293"/>
      <c r="D4" s="80"/>
      <c r="E4" s="80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</row>
    <row r="5">
      <c r="A5" s="84" t="s">
        <v>118</v>
      </c>
      <c r="B5" s="10"/>
      <c r="C5" s="11"/>
      <c r="D5" s="84" t="s">
        <v>8</v>
      </c>
      <c r="E5" s="10"/>
      <c r="F5" s="11"/>
      <c r="G5" s="84" t="s">
        <v>119</v>
      </c>
      <c r="H5" s="10"/>
      <c r="I5" s="11"/>
      <c r="J5" s="84" t="s">
        <v>10</v>
      </c>
      <c r="K5" s="10"/>
      <c r="L5" s="11"/>
      <c r="M5" s="84" t="s">
        <v>11</v>
      </c>
      <c r="N5" s="10"/>
      <c r="O5" s="11"/>
      <c r="P5" s="84" t="s">
        <v>83</v>
      </c>
      <c r="Q5" s="10"/>
      <c r="R5" s="11"/>
      <c r="S5" s="85" t="s">
        <v>84</v>
      </c>
      <c r="T5" s="10"/>
      <c r="U5" s="11"/>
    </row>
    <row r="6">
      <c r="A6" s="86"/>
      <c r="B6" s="10"/>
      <c r="C6" s="11"/>
      <c r="D6" s="86"/>
      <c r="E6" s="10"/>
      <c r="F6" s="11"/>
      <c r="G6" s="86"/>
      <c r="H6" s="10"/>
      <c r="I6" s="11"/>
      <c r="J6" s="86"/>
      <c r="K6" s="10"/>
      <c r="L6" s="11"/>
      <c r="M6" s="86"/>
      <c r="N6" s="10"/>
      <c r="O6" s="11"/>
      <c r="P6" s="86">
        <v>45962.0</v>
      </c>
      <c r="Q6" s="10"/>
      <c r="R6" s="11"/>
      <c r="S6" s="122">
        <f>P6+1</f>
        <v>45963</v>
      </c>
      <c r="T6" s="10"/>
      <c r="U6" s="11"/>
    </row>
    <row r="7">
      <c r="A7" s="387"/>
      <c r="B7" s="299"/>
      <c r="C7" s="299"/>
      <c r="D7" s="38"/>
      <c r="E7" s="38"/>
      <c r="F7" s="38"/>
      <c r="G7" s="161"/>
      <c r="H7" s="161"/>
      <c r="I7" s="161"/>
      <c r="J7" s="36"/>
      <c r="K7" s="172"/>
      <c r="L7" s="172"/>
      <c r="M7" s="161"/>
      <c r="N7" s="161"/>
      <c r="O7" s="161"/>
      <c r="P7" s="299"/>
      <c r="Q7" s="299"/>
      <c r="R7" s="299"/>
      <c r="S7" s="299"/>
      <c r="T7" s="299"/>
      <c r="U7" s="299"/>
    </row>
    <row r="8">
      <c r="A8" s="387"/>
      <c r="B8" s="299"/>
      <c r="C8" s="299"/>
      <c r="D8" s="38"/>
      <c r="E8" s="38"/>
      <c r="F8" s="38"/>
      <c r="G8" s="161"/>
      <c r="H8" s="161"/>
      <c r="I8" s="161"/>
      <c r="J8" s="26"/>
      <c r="K8" s="26"/>
      <c r="L8" s="389"/>
      <c r="M8" s="161"/>
      <c r="N8" s="161"/>
      <c r="O8" s="161"/>
      <c r="P8" s="299"/>
      <c r="Q8" s="299"/>
      <c r="R8" s="299"/>
      <c r="S8" s="38"/>
      <c r="T8" s="38"/>
      <c r="U8" s="38"/>
    </row>
    <row r="9">
      <c r="A9" s="26"/>
      <c r="B9" s="26"/>
      <c r="C9" s="57"/>
      <c r="D9" s="87"/>
      <c r="E9" s="87"/>
      <c r="F9" s="87"/>
      <c r="G9" s="26"/>
      <c r="H9" s="26"/>
      <c r="I9" s="161"/>
      <c r="J9" s="36"/>
      <c r="K9" s="172"/>
      <c r="L9" s="172"/>
      <c r="M9" s="26"/>
      <c r="N9" s="26"/>
      <c r="O9" s="161"/>
      <c r="P9" s="38" t="s">
        <v>413</v>
      </c>
      <c r="Q9" s="168" t="s">
        <v>423</v>
      </c>
      <c r="R9" s="38" t="s">
        <v>21</v>
      </c>
      <c r="S9" s="38" t="s">
        <v>413</v>
      </c>
      <c r="T9" s="168" t="s">
        <v>423</v>
      </c>
      <c r="U9" s="38" t="s">
        <v>21</v>
      </c>
    </row>
    <row r="10">
      <c r="A10" s="387"/>
      <c r="B10" s="299"/>
      <c r="C10" s="299"/>
      <c r="D10" s="38"/>
      <c r="E10" s="38"/>
      <c r="F10" s="38"/>
      <c r="G10" s="145"/>
      <c r="H10" s="26"/>
      <c r="I10" s="26"/>
      <c r="J10" s="36"/>
      <c r="K10" s="172"/>
      <c r="L10" s="172"/>
      <c r="M10" s="95"/>
      <c r="N10" s="95"/>
      <c r="O10" s="95"/>
      <c r="P10" s="112"/>
      <c r="Q10" s="26"/>
      <c r="R10" s="404"/>
      <c r="S10" s="38"/>
      <c r="T10" s="38"/>
      <c r="U10" s="38"/>
    </row>
    <row r="11">
      <c r="A11" s="387"/>
      <c r="B11" s="299"/>
      <c r="C11" s="299"/>
      <c r="D11" s="38"/>
      <c r="E11" s="38"/>
      <c r="F11" s="38"/>
      <c r="G11" s="161"/>
      <c r="H11" s="161"/>
      <c r="I11" s="161"/>
      <c r="J11" s="87"/>
      <c r="K11" s="87"/>
      <c r="L11" s="87"/>
      <c r="M11" s="161"/>
      <c r="N11" s="161"/>
      <c r="O11" s="161"/>
      <c r="P11" s="299"/>
      <c r="Q11" s="299"/>
      <c r="R11" s="299"/>
      <c r="S11" s="38"/>
      <c r="T11" s="38"/>
      <c r="U11" s="38"/>
    </row>
    <row r="12">
      <c r="A12" s="301"/>
      <c r="B12" s="170"/>
      <c r="C12" s="170"/>
      <c r="D12" s="38"/>
      <c r="E12" s="38"/>
      <c r="F12" s="38"/>
      <c r="G12" s="161"/>
      <c r="H12" s="161"/>
      <c r="I12" s="211"/>
      <c r="J12" s="299"/>
      <c r="K12" s="299"/>
      <c r="L12" s="299"/>
      <c r="M12" s="161"/>
      <c r="N12" s="161"/>
      <c r="O12" s="211"/>
      <c r="P12" s="299"/>
      <c r="Q12" s="299"/>
      <c r="R12" s="299"/>
      <c r="S12" s="299"/>
      <c r="T12" s="299"/>
      <c r="U12" s="299"/>
    </row>
    <row r="13">
      <c r="A13" s="39" t="s">
        <v>7</v>
      </c>
      <c r="B13" s="15"/>
      <c r="C13" s="16"/>
      <c r="D13" s="40" t="s">
        <v>8</v>
      </c>
      <c r="E13" s="15"/>
      <c r="F13" s="16"/>
      <c r="G13" s="40" t="s">
        <v>9</v>
      </c>
      <c r="H13" s="15"/>
      <c r="I13" s="16"/>
      <c r="J13" s="40" t="s">
        <v>10</v>
      </c>
      <c r="K13" s="15"/>
      <c r="L13" s="16"/>
      <c r="M13" s="40" t="s">
        <v>11</v>
      </c>
      <c r="N13" s="15"/>
      <c r="O13" s="16"/>
      <c r="P13" s="40" t="s">
        <v>12</v>
      </c>
      <c r="Q13" s="15"/>
      <c r="R13" s="16"/>
      <c r="S13" s="41" t="s">
        <v>13</v>
      </c>
      <c r="T13" s="15"/>
      <c r="U13" s="16"/>
    </row>
    <row r="14">
      <c r="A14" s="42">
        <f>S6+1</f>
        <v>45964</v>
      </c>
      <c r="B14" s="15"/>
      <c r="C14" s="16"/>
      <c r="D14" s="295">
        <f>A14+1</f>
        <v>45965</v>
      </c>
      <c r="E14" s="15"/>
      <c r="F14" s="16"/>
      <c r="G14" s="295">
        <f>D14+1</f>
        <v>45966</v>
      </c>
      <c r="H14" s="15"/>
      <c r="I14" s="16"/>
      <c r="J14" s="295">
        <f>G14+1</f>
        <v>45967</v>
      </c>
      <c r="K14" s="15"/>
      <c r="L14" s="16"/>
      <c r="M14" s="295">
        <f>J14+1</f>
        <v>45968</v>
      </c>
      <c r="N14" s="15"/>
      <c r="O14" s="16"/>
      <c r="P14" s="295">
        <f>M14+1</f>
        <v>45969</v>
      </c>
      <c r="Q14" s="15"/>
      <c r="R14" s="16"/>
      <c r="S14" s="296">
        <f>P14+1</f>
        <v>45970</v>
      </c>
      <c r="T14" s="15"/>
      <c r="U14" s="16"/>
    </row>
    <row r="15">
      <c r="A15" s="387"/>
      <c r="B15" s="299"/>
      <c r="C15" s="299"/>
      <c r="D15" s="38"/>
      <c r="E15" s="38"/>
      <c r="F15" s="38"/>
      <c r="G15" s="161"/>
      <c r="H15" s="161"/>
      <c r="I15" s="161"/>
      <c r="J15" s="36"/>
      <c r="K15" s="172"/>
      <c r="L15" s="172"/>
      <c r="M15" s="161"/>
      <c r="N15" s="161"/>
      <c r="O15" s="161"/>
      <c r="P15" s="299"/>
      <c r="Q15" s="299"/>
      <c r="R15" s="299"/>
      <c r="S15" s="299"/>
      <c r="T15" s="299"/>
      <c r="U15" s="299"/>
    </row>
    <row r="16">
      <c r="A16" s="387"/>
      <c r="B16" s="299"/>
      <c r="C16" s="299"/>
      <c r="D16" s="38"/>
      <c r="E16" s="38"/>
      <c r="F16" s="38"/>
      <c r="G16" s="161"/>
      <c r="H16" s="161"/>
      <c r="I16" s="161"/>
      <c r="J16" s="26"/>
      <c r="K16" s="26"/>
      <c r="L16" s="389"/>
      <c r="M16" s="161"/>
      <c r="N16" s="161"/>
      <c r="O16" s="161"/>
      <c r="P16" s="299"/>
      <c r="Q16" s="299"/>
      <c r="R16" s="299"/>
      <c r="S16" s="299"/>
      <c r="T16" s="299"/>
      <c r="U16" s="299"/>
    </row>
    <row r="17">
      <c r="A17" s="38" t="s">
        <v>413</v>
      </c>
      <c r="B17" s="168" t="s">
        <v>423</v>
      </c>
      <c r="C17" s="38" t="s">
        <v>21</v>
      </c>
      <c r="D17" s="38" t="s">
        <v>413</v>
      </c>
      <c r="E17" s="168" t="s">
        <v>423</v>
      </c>
      <c r="F17" s="38" t="s">
        <v>21</v>
      </c>
      <c r="G17" s="38" t="s">
        <v>413</v>
      </c>
      <c r="H17" s="168" t="s">
        <v>423</v>
      </c>
      <c r="I17" s="38" t="s">
        <v>21</v>
      </c>
      <c r="J17" s="38" t="s">
        <v>413</v>
      </c>
      <c r="K17" s="168" t="s">
        <v>423</v>
      </c>
      <c r="L17" s="38" t="s">
        <v>21</v>
      </c>
      <c r="M17" s="189" t="s">
        <v>22</v>
      </c>
      <c r="N17" s="10"/>
      <c r="O17" s="11"/>
      <c r="P17" s="38" t="s">
        <v>413</v>
      </c>
      <c r="Q17" s="168" t="s">
        <v>518</v>
      </c>
      <c r="R17" s="38" t="s">
        <v>21</v>
      </c>
      <c r="S17" s="38" t="s">
        <v>413</v>
      </c>
      <c r="T17" s="168" t="s">
        <v>518</v>
      </c>
      <c r="U17" s="38" t="s">
        <v>21</v>
      </c>
    </row>
    <row r="18">
      <c r="A18" s="387"/>
      <c r="B18" s="299"/>
      <c r="C18" s="299"/>
      <c r="D18" s="38"/>
      <c r="E18" s="38"/>
      <c r="F18" s="38"/>
      <c r="G18" s="145"/>
      <c r="H18" s="26"/>
      <c r="I18" s="26"/>
      <c r="J18" s="36"/>
      <c r="K18" s="172"/>
      <c r="L18" s="172"/>
      <c r="M18" s="95"/>
      <c r="N18" s="95"/>
      <c r="O18" s="95"/>
      <c r="P18" s="112"/>
      <c r="Q18" s="26"/>
      <c r="R18" s="404"/>
      <c r="S18" s="299"/>
      <c r="T18" s="299"/>
      <c r="U18" s="299"/>
    </row>
    <row r="19">
      <c r="A19" s="387"/>
      <c r="B19" s="299"/>
      <c r="C19" s="299"/>
      <c r="D19" s="38"/>
      <c r="E19" s="38"/>
      <c r="F19" s="38"/>
      <c r="G19" s="161"/>
      <c r="H19" s="161"/>
      <c r="I19" s="161"/>
      <c r="J19" s="87"/>
      <c r="K19" s="87"/>
      <c r="L19" s="87"/>
      <c r="M19" s="161"/>
      <c r="N19" s="161"/>
      <c r="O19" s="161"/>
      <c r="P19" s="299"/>
      <c r="Q19" s="299"/>
      <c r="R19" s="299"/>
      <c r="S19" s="299"/>
      <c r="T19" s="299"/>
      <c r="U19" s="299"/>
    </row>
    <row r="20">
      <c r="A20" s="301"/>
      <c r="B20" s="170"/>
      <c r="C20" s="170"/>
      <c r="D20" s="38"/>
      <c r="E20" s="38"/>
      <c r="F20" s="38"/>
      <c r="G20" s="161"/>
      <c r="H20" s="161"/>
      <c r="I20" s="211"/>
      <c r="J20" s="299"/>
      <c r="K20" s="299"/>
      <c r="L20" s="299"/>
      <c r="M20" s="161"/>
      <c r="N20" s="161"/>
      <c r="O20" s="211"/>
      <c r="P20" s="299"/>
      <c r="Q20" s="299"/>
      <c r="R20" s="299"/>
      <c r="S20" s="299"/>
      <c r="T20" s="299"/>
      <c r="U20" s="299"/>
    </row>
    <row r="21" ht="15.75" customHeight="1">
      <c r="A21" s="51" t="s">
        <v>7</v>
      </c>
      <c r="B21" s="15"/>
      <c r="C21" s="16"/>
      <c r="D21" s="52" t="s">
        <v>8</v>
      </c>
      <c r="E21" s="15"/>
      <c r="F21" s="16"/>
      <c r="G21" s="52" t="s">
        <v>9</v>
      </c>
      <c r="H21" s="15"/>
      <c r="I21" s="16"/>
      <c r="J21" s="52" t="s">
        <v>10</v>
      </c>
      <c r="K21" s="15"/>
      <c r="L21" s="16"/>
      <c r="M21" s="52" t="s">
        <v>11</v>
      </c>
      <c r="N21" s="15"/>
      <c r="O21" s="16"/>
      <c r="P21" s="52" t="s">
        <v>12</v>
      </c>
      <c r="Q21" s="15"/>
      <c r="R21" s="16"/>
      <c r="S21" s="53" t="s">
        <v>13</v>
      </c>
      <c r="T21" s="15"/>
      <c r="U21" s="16"/>
    </row>
    <row r="22" ht="15.75" customHeight="1">
      <c r="A22" s="54">
        <f>S14+1</f>
        <v>45971</v>
      </c>
      <c r="B22" s="15"/>
      <c r="C22" s="16"/>
      <c r="D22" s="55">
        <f>A22+1</f>
        <v>45972</v>
      </c>
      <c r="E22" s="15"/>
      <c r="F22" s="16"/>
      <c r="G22" s="55">
        <f>D22+1</f>
        <v>45973</v>
      </c>
      <c r="H22" s="15"/>
      <c r="I22" s="16"/>
      <c r="J22" s="55">
        <f>G22+1</f>
        <v>45974</v>
      </c>
      <c r="K22" s="15"/>
      <c r="L22" s="16"/>
      <c r="M22" s="55">
        <f>J22+1</f>
        <v>45975</v>
      </c>
      <c r="N22" s="15"/>
      <c r="O22" s="16"/>
      <c r="P22" s="55">
        <f>M22+1</f>
        <v>45976</v>
      </c>
      <c r="Q22" s="15"/>
      <c r="R22" s="16"/>
      <c r="S22" s="18">
        <f>P22+1</f>
        <v>45977</v>
      </c>
      <c r="T22" s="15"/>
      <c r="U22" s="16"/>
    </row>
    <row r="23" ht="15.75" customHeight="1">
      <c r="A23" s="387"/>
      <c r="B23" s="299"/>
      <c r="C23" s="299"/>
      <c r="D23" s="38"/>
      <c r="E23" s="38"/>
      <c r="F23" s="38"/>
      <c r="G23" s="161"/>
      <c r="H23" s="161"/>
      <c r="I23" s="161"/>
      <c r="J23" s="36"/>
      <c r="K23" s="172"/>
      <c r="L23" s="172"/>
      <c r="M23" s="161"/>
      <c r="N23" s="161"/>
      <c r="O23" s="161"/>
      <c r="P23" s="299"/>
      <c r="Q23" s="299"/>
      <c r="R23" s="299"/>
      <c r="S23" s="299"/>
      <c r="T23" s="299"/>
      <c r="U23" s="299"/>
    </row>
    <row r="24" ht="15.75" customHeight="1">
      <c r="A24" s="387"/>
      <c r="B24" s="299"/>
      <c r="C24" s="299"/>
      <c r="D24" s="38"/>
      <c r="E24" s="38"/>
      <c r="F24" s="38"/>
      <c r="G24" s="161"/>
      <c r="H24" s="161"/>
      <c r="I24" s="161"/>
      <c r="J24" s="189" t="s">
        <v>22</v>
      </c>
      <c r="K24" s="10"/>
      <c r="L24" s="11"/>
      <c r="M24" s="189" t="s">
        <v>22</v>
      </c>
      <c r="N24" s="10"/>
      <c r="O24" s="11"/>
      <c r="P24" s="299"/>
      <c r="Q24" s="299"/>
      <c r="R24" s="299"/>
      <c r="S24" s="299"/>
      <c r="T24" s="299"/>
      <c r="U24" s="299"/>
    </row>
    <row r="25" ht="15.75" customHeight="1">
      <c r="A25" s="26"/>
      <c r="B25" s="26"/>
      <c r="C25" s="57"/>
      <c r="D25" s="87"/>
      <c r="E25" s="87"/>
      <c r="F25" s="87"/>
      <c r="G25" s="26"/>
      <c r="H25" s="26"/>
      <c r="I25" s="161"/>
      <c r="J25" s="36"/>
      <c r="K25" s="172"/>
      <c r="L25" s="172"/>
      <c r="M25" s="26"/>
      <c r="N25" s="26"/>
      <c r="O25" s="161"/>
      <c r="P25" s="38"/>
      <c r="Q25" s="168"/>
      <c r="R25" s="38"/>
      <c r="S25" s="299"/>
      <c r="T25" s="299"/>
      <c r="U25" s="299"/>
    </row>
    <row r="26" ht="15.75" customHeight="1">
      <c r="A26" s="38" t="s">
        <v>413</v>
      </c>
      <c r="B26" s="168" t="s">
        <v>518</v>
      </c>
      <c r="C26" s="38" t="s">
        <v>21</v>
      </c>
      <c r="D26" s="38" t="s">
        <v>413</v>
      </c>
      <c r="E26" s="168" t="s">
        <v>518</v>
      </c>
      <c r="F26" s="38" t="s">
        <v>21</v>
      </c>
      <c r="G26" s="38" t="s">
        <v>413</v>
      </c>
      <c r="H26" s="168" t="s">
        <v>518</v>
      </c>
      <c r="I26" s="38" t="s">
        <v>21</v>
      </c>
      <c r="J26" s="38"/>
      <c r="K26" s="168"/>
      <c r="L26" s="38"/>
      <c r="M26" s="38"/>
      <c r="N26" s="168"/>
      <c r="O26" s="38"/>
      <c r="P26" s="38" t="s">
        <v>413</v>
      </c>
      <c r="Q26" s="168" t="s">
        <v>423</v>
      </c>
      <c r="R26" s="38" t="s">
        <v>21</v>
      </c>
      <c r="S26" s="38" t="s">
        <v>413</v>
      </c>
      <c r="T26" s="168" t="s">
        <v>423</v>
      </c>
      <c r="U26" s="38" t="s">
        <v>21</v>
      </c>
    </row>
    <row r="27" ht="15.75" customHeight="1">
      <c r="A27" s="301"/>
      <c r="B27" s="170"/>
      <c r="C27" s="170"/>
      <c r="D27" s="38"/>
      <c r="E27" s="38"/>
      <c r="F27" s="38"/>
      <c r="G27" s="161"/>
      <c r="H27" s="161"/>
      <c r="I27" s="161"/>
      <c r="J27" s="87"/>
      <c r="K27" s="87"/>
      <c r="L27" s="87"/>
      <c r="M27" s="161"/>
      <c r="N27" s="161"/>
      <c r="O27" s="161"/>
      <c r="P27" s="299"/>
      <c r="Q27" s="299"/>
      <c r="R27" s="299"/>
      <c r="S27" s="299"/>
      <c r="T27" s="299"/>
      <c r="U27" s="299"/>
    </row>
    <row r="28" ht="15.75" customHeight="1">
      <c r="A28" s="301"/>
      <c r="B28" s="170"/>
      <c r="C28" s="170"/>
      <c r="D28" s="38"/>
      <c r="E28" s="38"/>
      <c r="F28" s="38"/>
      <c r="G28" s="161"/>
      <c r="H28" s="161"/>
      <c r="I28" s="211"/>
      <c r="J28" s="299"/>
      <c r="K28" s="299"/>
      <c r="L28" s="299"/>
      <c r="M28" s="161"/>
      <c r="N28" s="161"/>
      <c r="O28" s="211"/>
      <c r="P28" s="299"/>
      <c r="Q28" s="299"/>
      <c r="R28" s="299"/>
      <c r="S28" s="299"/>
      <c r="T28" s="299"/>
      <c r="U28" s="299"/>
    </row>
    <row r="29" ht="15.75" customHeight="1">
      <c r="A29" s="39" t="s">
        <v>7</v>
      </c>
      <c r="B29" s="15"/>
      <c r="C29" s="16"/>
      <c r="D29" s="40" t="s">
        <v>8</v>
      </c>
      <c r="E29" s="15"/>
      <c r="F29" s="16"/>
      <c r="G29" s="40" t="s">
        <v>9</v>
      </c>
      <c r="H29" s="15"/>
      <c r="I29" s="16"/>
      <c r="J29" s="40" t="s">
        <v>10</v>
      </c>
      <c r="K29" s="15"/>
      <c r="L29" s="16"/>
      <c r="M29" s="40" t="s">
        <v>11</v>
      </c>
      <c r="N29" s="15"/>
      <c r="O29" s="16"/>
      <c r="P29" s="40" t="s">
        <v>12</v>
      </c>
      <c r="Q29" s="15"/>
      <c r="R29" s="16"/>
      <c r="S29" s="41" t="s">
        <v>13</v>
      </c>
      <c r="T29" s="15"/>
      <c r="U29" s="16"/>
    </row>
    <row r="30" ht="15.75" customHeight="1">
      <c r="A30" s="62">
        <f>S22+1</f>
        <v>45978</v>
      </c>
      <c r="B30" s="15"/>
      <c r="C30" s="16"/>
      <c r="D30" s="63">
        <f>A30+1</f>
        <v>45979</v>
      </c>
      <c r="E30" s="15"/>
      <c r="F30" s="16"/>
      <c r="G30" s="63">
        <f>D30+1</f>
        <v>45980</v>
      </c>
      <c r="H30" s="15"/>
      <c r="I30" s="16"/>
      <c r="J30" s="63">
        <f>G30+1</f>
        <v>45981</v>
      </c>
      <c r="K30" s="15"/>
      <c r="L30" s="16"/>
      <c r="M30" s="63">
        <f>J30+1</f>
        <v>45982</v>
      </c>
      <c r="N30" s="15"/>
      <c r="O30" s="16"/>
      <c r="P30" s="63">
        <f>M30+1</f>
        <v>45983</v>
      </c>
      <c r="Q30" s="15"/>
      <c r="R30" s="16"/>
      <c r="S30" s="70">
        <f>P30+1</f>
        <v>45984</v>
      </c>
      <c r="T30" s="15"/>
      <c r="U30" s="16"/>
    </row>
    <row r="31" ht="15.75" customHeight="1">
      <c r="A31" s="387"/>
      <c r="B31" s="299"/>
      <c r="C31" s="299"/>
      <c r="D31" s="38"/>
      <c r="E31" s="38"/>
      <c r="F31" s="38"/>
      <c r="G31" s="161"/>
      <c r="H31" s="161"/>
      <c r="I31" s="161"/>
      <c r="J31" s="36"/>
      <c r="K31" s="172"/>
      <c r="L31" s="172"/>
      <c r="M31" s="161"/>
      <c r="N31" s="161"/>
      <c r="O31" s="161"/>
      <c r="P31" s="299"/>
      <c r="Q31" s="299"/>
      <c r="R31" s="299"/>
      <c r="S31" s="299"/>
      <c r="T31" s="299"/>
      <c r="U31" s="299"/>
    </row>
    <row r="32" ht="15.75" customHeight="1">
      <c r="A32" s="189" t="s">
        <v>22</v>
      </c>
      <c r="B32" s="10"/>
      <c r="C32" s="11"/>
      <c r="D32" s="38"/>
      <c r="E32" s="38"/>
      <c r="F32" s="38"/>
      <c r="G32" s="161"/>
      <c r="H32" s="161"/>
      <c r="I32" s="161"/>
      <c r="J32" s="26"/>
      <c r="K32" s="26"/>
      <c r="L32" s="389"/>
      <c r="M32" s="161"/>
      <c r="N32" s="161"/>
      <c r="O32" s="161"/>
      <c r="P32" s="299"/>
      <c r="Q32" s="299"/>
      <c r="R32" s="299"/>
      <c r="S32" s="87"/>
      <c r="T32" s="87"/>
      <c r="U32" s="87"/>
    </row>
    <row r="33" ht="15.75" customHeight="1">
      <c r="A33" s="26"/>
      <c r="B33" s="26"/>
      <c r="C33" s="57"/>
      <c r="D33" s="87"/>
      <c r="E33" s="87"/>
      <c r="F33" s="87"/>
      <c r="G33" s="26"/>
      <c r="H33" s="26"/>
      <c r="I33" s="161"/>
      <c r="J33" s="36"/>
      <c r="K33" s="172"/>
      <c r="L33" s="172"/>
      <c r="M33" s="26"/>
      <c r="N33" s="26"/>
      <c r="O33" s="161"/>
      <c r="P33" s="38"/>
      <c r="Q33" s="168"/>
      <c r="R33" s="38"/>
      <c r="S33" s="87"/>
      <c r="T33" s="87"/>
      <c r="U33" s="87"/>
    </row>
    <row r="34" ht="15.75" customHeight="1">
      <c r="A34" s="387"/>
      <c r="B34" s="299"/>
      <c r="C34" s="299"/>
      <c r="D34" s="38" t="s">
        <v>413</v>
      </c>
      <c r="E34" s="168" t="s">
        <v>423</v>
      </c>
      <c r="F34" s="38" t="s">
        <v>21</v>
      </c>
      <c r="G34" s="26"/>
      <c r="H34" s="26"/>
      <c r="I34" s="161"/>
      <c r="J34" s="36"/>
      <c r="K34" s="172"/>
      <c r="L34" s="172"/>
      <c r="M34" s="26"/>
      <c r="N34" s="26"/>
      <c r="O34" s="161"/>
      <c r="P34" s="38" t="s">
        <v>413</v>
      </c>
      <c r="Q34" s="168" t="s">
        <v>518</v>
      </c>
      <c r="R34" s="38" t="s">
        <v>21</v>
      </c>
      <c r="S34" s="38" t="s">
        <v>413</v>
      </c>
      <c r="T34" s="168" t="s">
        <v>518</v>
      </c>
      <c r="U34" s="38" t="s">
        <v>21</v>
      </c>
    </row>
    <row r="35" ht="15.75" customHeight="1">
      <c r="A35" s="387"/>
      <c r="B35" s="299"/>
      <c r="C35" s="299"/>
      <c r="D35" s="38"/>
      <c r="E35" s="38"/>
      <c r="F35" s="38"/>
      <c r="G35" s="26" t="s">
        <v>246</v>
      </c>
      <c r="H35" s="26" t="s">
        <v>247</v>
      </c>
      <c r="I35" s="26" t="s">
        <v>57</v>
      </c>
      <c r="J35" s="87"/>
      <c r="K35" s="87"/>
      <c r="L35" s="87"/>
      <c r="M35" s="161"/>
      <c r="N35" s="161"/>
      <c r="O35" s="161"/>
      <c r="P35" s="299"/>
      <c r="Q35" s="299"/>
      <c r="R35" s="299"/>
      <c r="S35" s="38"/>
      <c r="T35" s="38"/>
      <c r="U35" s="38"/>
    </row>
    <row r="36" ht="15.75" customHeight="1">
      <c r="A36" s="301"/>
      <c r="B36" s="170"/>
      <c r="C36" s="170"/>
      <c r="D36" s="38"/>
      <c r="E36" s="38"/>
      <c r="F36" s="38"/>
      <c r="G36" s="36" t="s">
        <v>36</v>
      </c>
      <c r="H36" s="36" t="s">
        <v>60</v>
      </c>
      <c r="I36" s="36" t="s">
        <v>57</v>
      </c>
      <c r="J36" s="299"/>
      <c r="K36" s="299"/>
      <c r="L36" s="299"/>
      <c r="M36" s="161"/>
      <c r="N36" s="161"/>
      <c r="O36" s="211"/>
      <c r="P36" s="299"/>
      <c r="Q36" s="299"/>
      <c r="R36" s="299"/>
      <c r="S36" s="299"/>
      <c r="T36" s="299"/>
      <c r="U36" s="299"/>
    </row>
    <row r="37" ht="15.75" customHeight="1">
      <c r="A37" s="51" t="s">
        <v>7</v>
      </c>
      <c r="B37" s="15"/>
      <c r="C37" s="16"/>
      <c r="D37" s="52" t="s">
        <v>8</v>
      </c>
      <c r="E37" s="15"/>
      <c r="F37" s="16"/>
      <c r="G37" s="52" t="s">
        <v>9</v>
      </c>
      <c r="H37" s="15"/>
      <c r="I37" s="16"/>
      <c r="J37" s="52" t="s">
        <v>10</v>
      </c>
      <c r="K37" s="15"/>
      <c r="L37" s="16"/>
      <c r="M37" s="52" t="s">
        <v>11</v>
      </c>
      <c r="N37" s="15"/>
      <c r="O37" s="16"/>
      <c r="P37" s="52" t="s">
        <v>12</v>
      </c>
      <c r="Q37" s="15"/>
      <c r="R37" s="16"/>
      <c r="S37" s="53" t="s">
        <v>13</v>
      </c>
      <c r="T37" s="15"/>
      <c r="U37" s="16"/>
    </row>
    <row r="38" ht="15.75" customHeight="1">
      <c r="A38" s="54">
        <f>S30+1</f>
        <v>45985</v>
      </c>
      <c r="B38" s="15"/>
      <c r="C38" s="16"/>
      <c r="D38" s="55">
        <f>A38+1</f>
        <v>45986</v>
      </c>
      <c r="E38" s="15"/>
      <c r="F38" s="16"/>
      <c r="G38" s="55">
        <f>D38+1</f>
        <v>45987</v>
      </c>
      <c r="H38" s="15"/>
      <c r="I38" s="16"/>
      <c r="J38" s="55">
        <f>G38+1</f>
        <v>45988</v>
      </c>
      <c r="K38" s="15"/>
      <c r="L38" s="16"/>
      <c r="M38" s="55">
        <f>J38+1</f>
        <v>45989</v>
      </c>
      <c r="N38" s="15"/>
      <c r="O38" s="16"/>
      <c r="P38" s="55">
        <v>45990.0</v>
      </c>
      <c r="Q38" s="15"/>
      <c r="R38" s="16"/>
      <c r="S38" s="18">
        <v>45991.0</v>
      </c>
      <c r="T38" s="15"/>
      <c r="U38" s="16"/>
    </row>
    <row r="39" ht="15.75" customHeight="1">
      <c r="A39" s="387"/>
      <c r="B39" s="299"/>
      <c r="C39" s="299"/>
      <c r="D39" s="38"/>
      <c r="E39" s="38"/>
      <c r="F39" s="38"/>
      <c r="G39" s="161"/>
      <c r="H39" s="161"/>
      <c r="I39" s="161"/>
      <c r="J39" s="36"/>
      <c r="K39" s="172"/>
      <c r="L39" s="172"/>
      <c r="M39" s="161"/>
      <c r="N39" s="161"/>
      <c r="O39" s="161"/>
      <c r="P39" s="299"/>
      <c r="Q39" s="299"/>
      <c r="R39" s="299"/>
      <c r="S39" s="299"/>
      <c r="T39" s="299"/>
      <c r="U39" s="299"/>
    </row>
    <row r="40" ht="15.75" customHeight="1">
      <c r="A40" s="387"/>
      <c r="B40" s="299"/>
      <c r="C40" s="299"/>
      <c r="D40" s="38"/>
      <c r="E40" s="38"/>
      <c r="F40" s="38"/>
      <c r="G40" s="161"/>
      <c r="H40" s="161"/>
      <c r="I40" s="161"/>
      <c r="J40" s="26"/>
      <c r="K40" s="26"/>
      <c r="L40" s="389"/>
      <c r="M40" s="161"/>
      <c r="N40" s="161"/>
      <c r="O40" s="161"/>
      <c r="P40" s="299"/>
      <c r="Q40" s="299"/>
      <c r="R40" s="299"/>
      <c r="S40" s="87"/>
      <c r="T40" s="87"/>
      <c r="U40" s="87"/>
    </row>
    <row r="41" ht="15.75" customHeight="1">
      <c r="A41" s="189" t="s">
        <v>22</v>
      </c>
      <c r="B41" s="10"/>
      <c r="C41" s="11"/>
      <c r="D41" s="38" t="s">
        <v>413</v>
      </c>
      <c r="E41" s="168" t="s">
        <v>518</v>
      </c>
      <c r="F41" s="38" t="s">
        <v>21</v>
      </c>
      <c r="G41" s="38" t="s">
        <v>413</v>
      </c>
      <c r="H41" s="168" t="s">
        <v>518</v>
      </c>
      <c r="I41" s="38" t="s">
        <v>21</v>
      </c>
      <c r="J41" s="26"/>
      <c r="K41" s="26"/>
      <c r="L41" s="389"/>
      <c r="M41" s="161"/>
      <c r="N41" s="161"/>
      <c r="O41" s="161"/>
      <c r="P41" s="38" t="s">
        <v>413</v>
      </c>
      <c r="Q41" s="168" t="s">
        <v>423</v>
      </c>
      <c r="R41" s="38" t="s">
        <v>21</v>
      </c>
      <c r="S41" s="38" t="s">
        <v>413</v>
      </c>
      <c r="T41" s="168" t="s">
        <v>423</v>
      </c>
      <c r="U41" s="38" t="s">
        <v>21</v>
      </c>
    </row>
    <row r="42" ht="15.75" customHeight="1">
      <c r="A42" s="387"/>
      <c r="B42" s="299"/>
      <c r="C42" s="299"/>
      <c r="D42" s="38"/>
      <c r="E42" s="38"/>
      <c r="F42" s="38"/>
      <c r="G42" s="145"/>
      <c r="H42" s="26"/>
      <c r="I42" s="26"/>
      <c r="J42" s="26"/>
      <c r="K42" s="26"/>
      <c r="L42" s="389"/>
      <c r="M42" s="161"/>
      <c r="N42" s="161"/>
      <c r="O42" s="161"/>
      <c r="P42" s="112"/>
      <c r="Q42" s="26"/>
      <c r="R42" s="404"/>
      <c r="S42" s="38"/>
      <c r="T42" s="38"/>
      <c r="U42" s="38"/>
    </row>
    <row r="43" ht="15.75" customHeight="1">
      <c r="A43" s="387"/>
      <c r="B43" s="299"/>
      <c r="C43" s="299"/>
      <c r="D43" s="38"/>
      <c r="E43" s="38"/>
      <c r="F43" s="38"/>
      <c r="G43" s="161"/>
      <c r="H43" s="161"/>
      <c r="I43" s="161"/>
      <c r="J43" s="87"/>
      <c r="K43" s="87"/>
      <c r="L43" s="87"/>
      <c r="M43" s="161"/>
      <c r="N43" s="161"/>
      <c r="O43" s="161"/>
      <c r="P43" s="299"/>
      <c r="Q43" s="299"/>
      <c r="R43" s="299"/>
      <c r="S43" s="38"/>
      <c r="T43" s="38"/>
      <c r="U43" s="38"/>
    </row>
    <row r="44" ht="15.75" customHeight="1">
      <c r="A44" s="301"/>
      <c r="B44" s="170"/>
      <c r="C44" s="170"/>
      <c r="D44" s="38"/>
      <c r="E44" s="38"/>
      <c r="F44" s="38"/>
      <c r="G44" s="161"/>
      <c r="H44" s="161"/>
      <c r="I44" s="211"/>
      <c r="J44" s="299"/>
      <c r="K44" s="299"/>
      <c r="L44" s="299"/>
      <c r="M44" s="161"/>
      <c r="N44" s="161"/>
      <c r="O44" s="211"/>
      <c r="P44" s="299"/>
      <c r="Q44" s="299"/>
      <c r="R44" s="299"/>
      <c r="S44" s="299"/>
      <c r="T44" s="299"/>
      <c r="U44" s="299"/>
    </row>
    <row r="45" ht="15.75" customHeight="1">
      <c r="A45" s="39"/>
      <c r="B45" s="15"/>
      <c r="C45" s="16"/>
      <c r="D45" s="40"/>
      <c r="E45" s="15"/>
      <c r="F45" s="16"/>
      <c r="G45" s="40"/>
      <c r="H45" s="15"/>
      <c r="I45" s="16"/>
      <c r="J45" s="40"/>
      <c r="K45" s="15"/>
      <c r="L45" s="16"/>
      <c r="M45" s="40"/>
      <c r="N45" s="15"/>
      <c r="O45" s="16"/>
      <c r="P45" s="40"/>
      <c r="Q45" s="15"/>
      <c r="R45" s="16"/>
      <c r="S45" s="297"/>
      <c r="T45" s="15"/>
      <c r="U45" s="16"/>
    </row>
    <row r="46" ht="15.75" customHeight="1">
      <c r="A46" s="62"/>
      <c r="B46" s="15"/>
      <c r="C46" s="16"/>
      <c r="D46" s="63"/>
      <c r="E46" s="15"/>
      <c r="F46" s="16"/>
      <c r="G46" s="63"/>
      <c r="H46" s="15"/>
      <c r="I46" s="16"/>
      <c r="J46" s="63"/>
      <c r="K46" s="15"/>
      <c r="L46" s="16"/>
      <c r="M46" s="63"/>
      <c r="N46" s="15"/>
      <c r="O46" s="16"/>
      <c r="P46" s="63"/>
      <c r="Q46" s="15"/>
      <c r="R46" s="16"/>
      <c r="S46" s="298"/>
      <c r="T46" s="15"/>
      <c r="U46" s="16"/>
    </row>
    <row r="47" ht="15.75" customHeight="1">
      <c r="A47" s="38"/>
      <c r="B47" s="38"/>
      <c r="C47" s="38"/>
      <c r="D47" s="38"/>
      <c r="E47" s="38"/>
      <c r="F47" s="38"/>
      <c r="G47" s="36"/>
      <c r="H47" s="172"/>
      <c r="I47" s="172"/>
      <c r="J47" s="170"/>
      <c r="K47" s="170"/>
      <c r="L47" s="170"/>
      <c r="M47" s="299"/>
      <c r="N47" s="299"/>
      <c r="O47" s="299"/>
      <c r="P47" s="299"/>
      <c r="Q47" s="299"/>
      <c r="R47" s="299"/>
      <c r="S47" s="170"/>
      <c r="T47" s="170"/>
      <c r="U47" s="170"/>
    </row>
    <row r="48" ht="15.75" customHeight="1">
      <c r="A48" s="38"/>
      <c r="B48" s="38"/>
      <c r="C48" s="38"/>
      <c r="D48" s="26"/>
      <c r="E48" s="26"/>
      <c r="F48" s="26"/>
      <c r="G48" s="299"/>
      <c r="H48" s="299"/>
      <c r="I48" s="299"/>
      <c r="J48" s="170"/>
      <c r="K48" s="170"/>
      <c r="L48" s="170"/>
      <c r="M48" s="300"/>
      <c r="N48" s="300"/>
      <c r="O48" s="300"/>
      <c r="P48" s="299"/>
      <c r="Q48" s="299"/>
      <c r="R48" s="299"/>
      <c r="S48" s="299"/>
      <c r="T48" s="299"/>
      <c r="U48" s="299"/>
    </row>
    <row r="49" ht="15.75" customHeight="1">
      <c r="A49" s="38"/>
      <c r="B49" s="38"/>
      <c r="C49" s="38"/>
      <c r="D49" s="38"/>
      <c r="E49" s="38"/>
      <c r="F49" s="38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</row>
    <row r="50" ht="15.75" customHeight="1">
      <c r="A50" s="299"/>
      <c r="B50" s="299"/>
      <c r="C50" s="299"/>
      <c r="D50" s="38"/>
      <c r="E50" s="38"/>
      <c r="F50" s="38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170"/>
      <c r="T50" s="170"/>
      <c r="U50" s="170"/>
    </row>
    <row r="51" ht="15.75" customHeight="1">
      <c r="A51" s="38"/>
      <c r="B51" s="38"/>
      <c r="C51" s="38"/>
      <c r="D51" s="161"/>
      <c r="E51" s="161"/>
      <c r="F51" s="161"/>
      <c r="G51" s="299"/>
      <c r="H51" s="299"/>
      <c r="I51" s="170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</row>
    <row r="52" ht="15.75" customHeight="1">
      <c r="A52" s="301"/>
      <c r="B52" s="170"/>
      <c r="C52" s="170"/>
      <c r="D52" s="299"/>
      <c r="E52" s="299"/>
      <c r="F52" s="299"/>
      <c r="G52" s="170"/>
      <c r="H52" s="170"/>
      <c r="I52" s="170"/>
      <c r="J52" s="299"/>
      <c r="K52" s="299"/>
      <c r="L52" s="299"/>
      <c r="M52" s="170"/>
      <c r="N52" s="170"/>
      <c r="O52" s="170"/>
      <c r="P52" s="299"/>
      <c r="Q52" s="299"/>
      <c r="R52" s="299"/>
      <c r="S52" s="170"/>
      <c r="T52" s="170"/>
      <c r="U52" s="170"/>
    </row>
    <row r="53" ht="15.75" customHeight="1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L63" s="77" t="s">
        <v>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M22:O22"/>
    <mergeCell ref="P22:R22"/>
    <mergeCell ref="S22:U22"/>
    <mergeCell ref="J22:L22"/>
    <mergeCell ref="J24:L24"/>
    <mergeCell ref="M24:O24"/>
    <mergeCell ref="A29:C29"/>
    <mergeCell ref="D29:F29"/>
    <mergeCell ref="G29:I29"/>
    <mergeCell ref="J29:L29"/>
    <mergeCell ref="J37:L37"/>
    <mergeCell ref="M37:O37"/>
    <mergeCell ref="P37:R37"/>
    <mergeCell ref="S37:U37"/>
    <mergeCell ref="A30:C30"/>
    <mergeCell ref="D30:F30"/>
    <mergeCell ref="G30:I30"/>
    <mergeCell ref="J30:L30"/>
    <mergeCell ref="M30:O30"/>
    <mergeCell ref="A32:C32"/>
    <mergeCell ref="A37:C37"/>
    <mergeCell ref="P38:R38"/>
    <mergeCell ref="S38:U38"/>
    <mergeCell ref="D37:F37"/>
    <mergeCell ref="G37:I37"/>
    <mergeCell ref="A38:C38"/>
    <mergeCell ref="D38:F38"/>
    <mergeCell ref="G38:I38"/>
    <mergeCell ref="J38:L38"/>
    <mergeCell ref="M38:O38"/>
    <mergeCell ref="A45:C45"/>
    <mergeCell ref="A46:C46"/>
    <mergeCell ref="D46:F46"/>
    <mergeCell ref="G46:I46"/>
    <mergeCell ref="J46:L46"/>
    <mergeCell ref="M46:O46"/>
    <mergeCell ref="P46:R46"/>
    <mergeCell ref="S46:U46"/>
    <mergeCell ref="A41:C41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M17:O17"/>
    <mergeCell ref="M29:O29"/>
    <mergeCell ref="P29:R29"/>
    <mergeCell ref="S29:U29"/>
    <mergeCell ref="P30:R30"/>
    <mergeCell ref="S30:U30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7.86"/>
    <col customWidth="1" min="4" max="4" width="13.57"/>
    <col customWidth="1" min="5" max="5" width="11.43"/>
    <col customWidth="1" min="6" max="6" width="7.43"/>
    <col customWidth="1" min="7" max="7" width="15.14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14.0"/>
  </cols>
  <sheetData>
    <row r="1" ht="22.5" customHeight="1">
      <c r="A1" s="1" t="s">
        <v>346</v>
      </c>
      <c r="C1" s="2" t="s">
        <v>519</v>
      </c>
      <c r="F1" s="3"/>
      <c r="G1" s="4" t="s">
        <v>520</v>
      </c>
      <c r="Q1" s="3"/>
    </row>
    <row r="2">
      <c r="A2" s="1" t="s">
        <v>3</v>
      </c>
      <c r="C2" s="2" t="s">
        <v>82</v>
      </c>
      <c r="F2" s="3"/>
      <c r="Q2" s="3"/>
    </row>
    <row r="3">
      <c r="A3" s="1" t="s">
        <v>5</v>
      </c>
      <c r="C3" s="2" t="s">
        <v>82</v>
      </c>
      <c r="F3" s="3"/>
      <c r="Q3" s="3"/>
    </row>
    <row r="4">
      <c r="A4" s="79" t="s">
        <v>6</v>
      </c>
      <c r="B4" s="80"/>
      <c r="C4" s="2" t="s">
        <v>82</v>
      </c>
      <c r="F4" s="3"/>
      <c r="G4" s="3"/>
      <c r="H4" s="3"/>
      <c r="I4" s="3"/>
      <c r="J4" s="3"/>
      <c r="K4" s="3"/>
      <c r="L4" s="3"/>
      <c r="M4" s="3"/>
      <c r="N4" s="3"/>
      <c r="O4" s="81"/>
      <c r="P4" s="82"/>
      <c r="Q4" s="83"/>
    </row>
    <row r="5">
      <c r="A5" s="84"/>
      <c r="B5" s="10"/>
      <c r="C5" s="11"/>
      <c r="D5" s="9" t="s">
        <v>8</v>
      </c>
      <c r="E5" s="10"/>
      <c r="F5" s="11"/>
      <c r="G5" s="9" t="s">
        <v>9</v>
      </c>
      <c r="H5" s="10"/>
      <c r="I5" s="11"/>
      <c r="J5" s="9" t="s">
        <v>10</v>
      </c>
      <c r="K5" s="10"/>
      <c r="L5" s="11"/>
      <c r="M5" s="9" t="s">
        <v>11</v>
      </c>
      <c r="N5" s="10"/>
      <c r="O5" s="11"/>
      <c r="P5" s="9" t="s">
        <v>12</v>
      </c>
      <c r="Q5" s="10"/>
      <c r="R5" s="11"/>
      <c r="S5" s="12" t="s">
        <v>13</v>
      </c>
      <c r="T5" s="10"/>
      <c r="U5" s="11"/>
    </row>
    <row r="6">
      <c r="A6" s="86"/>
      <c r="B6" s="10"/>
      <c r="C6" s="11"/>
      <c r="D6" s="17">
        <v>45839.0</v>
      </c>
      <c r="E6" s="10"/>
      <c r="F6" s="11"/>
      <c r="G6" s="17">
        <f>D6+1</f>
        <v>45840</v>
      </c>
      <c r="H6" s="10"/>
      <c r="I6" s="11"/>
      <c r="J6" s="17">
        <f>G6+1</f>
        <v>45841</v>
      </c>
      <c r="K6" s="10"/>
      <c r="L6" s="11"/>
      <c r="M6" s="17">
        <f>J6+1</f>
        <v>45842</v>
      </c>
      <c r="N6" s="10"/>
      <c r="O6" s="11"/>
      <c r="P6" s="17">
        <f>M6+1</f>
        <v>45843</v>
      </c>
      <c r="Q6" s="10"/>
      <c r="R6" s="11"/>
      <c r="S6" s="165">
        <f>P6+1</f>
        <v>45844</v>
      </c>
      <c r="T6" s="10"/>
      <c r="U6" s="11"/>
    </row>
    <row r="7">
      <c r="A7" s="209"/>
      <c r="B7" s="209"/>
      <c r="C7" s="209"/>
      <c r="D7" s="38"/>
      <c r="E7" s="38"/>
      <c r="F7" s="38"/>
      <c r="G7" s="161"/>
      <c r="H7" s="161"/>
      <c r="I7" s="161"/>
      <c r="J7" s="209"/>
      <c r="K7" s="209"/>
      <c r="L7" s="209"/>
      <c r="M7" s="161"/>
      <c r="N7" s="161"/>
      <c r="O7" s="161"/>
      <c r="P7" s="161"/>
      <c r="Q7" s="161"/>
      <c r="R7" s="161"/>
      <c r="S7" s="209"/>
      <c r="T7" s="209"/>
      <c r="U7" s="209"/>
    </row>
    <row r="8">
      <c r="A8" s="209"/>
      <c r="B8" s="209"/>
      <c r="C8" s="209"/>
      <c r="D8" s="38"/>
      <c r="E8" s="38"/>
      <c r="F8" s="38"/>
      <c r="G8" s="161"/>
      <c r="H8" s="161"/>
      <c r="I8" s="161"/>
      <c r="J8" s="26"/>
      <c r="K8" s="145"/>
      <c r="L8" s="145"/>
      <c r="M8" s="26"/>
      <c r="N8" s="26"/>
      <c r="O8" s="26"/>
      <c r="P8" s="161"/>
      <c r="Q8" s="161"/>
      <c r="R8" s="89"/>
      <c r="S8" s="26"/>
      <c r="T8" s="145"/>
      <c r="U8" s="145"/>
    </row>
    <row r="9">
      <c r="A9" s="209"/>
      <c r="B9" s="209"/>
      <c r="C9" s="209"/>
      <c r="D9" s="87"/>
      <c r="E9" s="87"/>
      <c r="F9" s="87"/>
      <c r="G9" s="147" t="s">
        <v>521</v>
      </c>
      <c r="H9" s="147" t="s">
        <v>49</v>
      </c>
      <c r="I9" s="147" t="s">
        <v>47</v>
      </c>
      <c r="J9" s="26"/>
      <c r="K9" s="145"/>
      <c r="L9" s="145"/>
      <c r="M9" s="26"/>
      <c r="N9" s="26"/>
      <c r="O9" s="26"/>
      <c r="P9" s="26"/>
      <c r="Q9" s="26"/>
      <c r="R9" s="87"/>
      <c r="S9" s="190" t="s">
        <v>407</v>
      </c>
      <c r="T9" s="190" t="s">
        <v>179</v>
      </c>
      <c r="U9" s="190" t="s">
        <v>57</v>
      </c>
      <c r="W9" s="133" t="s">
        <v>24</v>
      </c>
      <c r="X9" s="191" t="s">
        <v>137</v>
      </c>
      <c r="Y9" s="192" t="s">
        <v>26</v>
      </c>
    </row>
    <row r="10">
      <c r="A10" s="209"/>
      <c r="B10" s="209"/>
      <c r="C10" s="209"/>
      <c r="D10" s="38"/>
      <c r="E10" s="38"/>
      <c r="F10" s="38"/>
      <c r="G10" s="206"/>
      <c r="H10" s="206"/>
      <c r="I10" s="206"/>
      <c r="J10" s="26" t="s">
        <v>400</v>
      </c>
      <c r="K10" s="26" t="s">
        <v>406</v>
      </c>
      <c r="L10" s="26" t="s">
        <v>57</v>
      </c>
      <c r="M10" s="23"/>
      <c r="N10" s="23"/>
      <c r="O10" s="23"/>
      <c r="P10" s="88"/>
      <c r="Q10" s="88"/>
      <c r="R10" s="95"/>
      <c r="S10" s="161"/>
      <c r="T10" s="161"/>
      <c r="U10" s="161"/>
      <c r="W10" s="140">
        <v>1.0</v>
      </c>
      <c r="X10" s="405" t="s">
        <v>522</v>
      </c>
      <c r="Y10" s="193">
        <f t="shared" ref="Y10:Y38" si="1">COUNTIF($A$5:$U$51,X10)</f>
        <v>2</v>
      </c>
    </row>
    <row r="11">
      <c r="A11" s="209"/>
      <c r="B11" s="209"/>
      <c r="C11" s="209"/>
      <c r="D11" s="38" t="s">
        <v>487</v>
      </c>
      <c r="E11" s="38" t="s">
        <v>114</v>
      </c>
      <c r="F11" s="38" t="s">
        <v>47</v>
      </c>
      <c r="G11" s="26" t="s">
        <v>246</v>
      </c>
      <c r="H11" s="26" t="s">
        <v>247</v>
      </c>
      <c r="I11" s="26" t="s">
        <v>57</v>
      </c>
      <c r="J11" s="161"/>
      <c r="K11" s="161"/>
      <c r="L11" s="161"/>
      <c r="M11" s="26" t="s">
        <v>316</v>
      </c>
      <c r="N11" s="26" t="s">
        <v>313</v>
      </c>
      <c r="O11" s="26" t="s">
        <v>57</v>
      </c>
      <c r="P11" s="87"/>
      <c r="Q11" s="58"/>
      <c r="R11" s="87"/>
      <c r="S11" s="95" t="s">
        <v>139</v>
      </c>
      <c r="T11" s="95" t="s">
        <v>153</v>
      </c>
      <c r="U11" s="190" t="s">
        <v>57</v>
      </c>
      <c r="W11" s="140">
        <v>2.0</v>
      </c>
      <c r="X11" s="405" t="s">
        <v>523</v>
      </c>
      <c r="Y11" s="193">
        <f t="shared" si="1"/>
        <v>0</v>
      </c>
    </row>
    <row r="12">
      <c r="A12" s="161"/>
      <c r="B12" s="161"/>
      <c r="C12" s="161"/>
      <c r="D12" s="38"/>
      <c r="E12" s="38"/>
      <c r="F12" s="38"/>
      <c r="G12" s="161"/>
      <c r="H12" s="161"/>
      <c r="I12" s="211"/>
      <c r="J12" s="161"/>
      <c r="K12" s="161"/>
      <c r="L12" s="161"/>
      <c r="M12" s="161"/>
      <c r="N12" s="161"/>
      <c r="O12" s="161"/>
      <c r="P12" s="161"/>
      <c r="Q12" s="161"/>
      <c r="R12" s="211"/>
      <c r="S12" s="161"/>
      <c r="T12" s="161"/>
      <c r="U12" s="161"/>
      <c r="W12" s="140">
        <v>3.0</v>
      </c>
      <c r="X12" s="405" t="s">
        <v>316</v>
      </c>
      <c r="Y12" s="193">
        <f t="shared" si="1"/>
        <v>2</v>
      </c>
    </row>
    <row r="13">
      <c r="A13" s="97" t="s">
        <v>7</v>
      </c>
      <c r="B13" s="10"/>
      <c r="C13" s="11"/>
      <c r="D13" s="97" t="s">
        <v>8</v>
      </c>
      <c r="E13" s="10"/>
      <c r="F13" s="11"/>
      <c r="G13" s="97" t="s">
        <v>9</v>
      </c>
      <c r="H13" s="10"/>
      <c r="I13" s="11"/>
      <c r="J13" s="97" t="s">
        <v>10</v>
      </c>
      <c r="K13" s="10"/>
      <c r="L13" s="11"/>
      <c r="M13" s="97" t="s">
        <v>95</v>
      </c>
      <c r="N13" s="10"/>
      <c r="O13" s="11"/>
      <c r="P13" s="97" t="s">
        <v>83</v>
      </c>
      <c r="Q13" s="10"/>
      <c r="R13" s="11"/>
      <c r="S13" s="98" t="s">
        <v>13</v>
      </c>
      <c r="T13" s="10"/>
      <c r="U13" s="11"/>
      <c r="W13" s="140">
        <v>4.0</v>
      </c>
      <c r="X13" s="405" t="s">
        <v>400</v>
      </c>
      <c r="Y13" s="193">
        <f t="shared" si="1"/>
        <v>4</v>
      </c>
    </row>
    <row r="14">
      <c r="A14" s="99">
        <f>S6+1</f>
        <v>45845</v>
      </c>
      <c r="B14" s="10"/>
      <c r="C14" s="11"/>
      <c r="D14" s="99">
        <f>A14+1</f>
        <v>45846</v>
      </c>
      <c r="E14" s="10"/>
      <c r="F14" s="11"/>
      <c r="G14" s="99">
        <f>D14+1</f>
        <v>45847</v>
      </c>
      <c r="H14" s="10"/>
      <c r="I14" s="11"/>
      <c r="J14" s="99">
        <f>G14+1</f>
        <v>45848</v>
      </c>
      <c r="K14" s="10"/>
      <c r="L14" s="11"/>
      <c r="M14" s="99">
        <f>J14+1</f>
        <v>45849</v>
      </c>
      <c r="N14" s="10"/>
      <c r="O14" s="11"/>
      <c r="P14" s="99">
        <f>M14+1</f>
        <v>45850</v>
      </c>
      <c r="Q14" s="10"/>
      <c r="R14" s="11"/>
      <c r="S14" s="100">
        <f>P14+1</f>
        <v>45851</v>
      </c>
      <c r="T14" s="10"/>
      <c r="U14" s="11"/>
      <c r="W14" s="140">
        <v>5.0</v>
      </c>
      <c r="X14" s="405" t="s">
        <v>139</v>
      </c>
      <c r="Y14" s="193">
        <f t="shared" si="1"/>
        <v>4</v>
      </c>
    </row>
    <row r="15">
      <c r="A15" s="161"/>
      <c r="B15" s="161"/>
      <c r="C15" s="161"/>
      <c r="D15" s="161"/>
      <c r="E15" s="161"/>
      <c r="F15" s="161"/>
      <c r="G15" s="161"/>
      <c r="H15" s="161"/>
      <c r="I15" s="161"/>
      <c r="J15" s="209"/>
      <c r="K15" s="209"/>
      <c r="L15" s="209"/>
      <c r="M15" s="161"/>
      <c r="N15" s="161"/>
      <c r="O15" s="161"/>
      <c r="P15" s="125"/>
      <c r="Q15" s="168"/>
      <c r="R15" s="125"/>
      <c r="S15" s="26"/>
      <c r="T15" s="26"/>
      <c r="U15" s="26"/>
      <c r="W15" s="140">
        <v>6.0</v>
      </c>
      <c r="X15" s="405" t="s">
        <v>142</v>
      </c>
      <c r="Y15" s="193">
        <f t="shared" si="1"/>
        <v>2</v>
      </c>
    </row>
    <row r="16">
      <c r="A16" s="161"/>
      <c r="B16" s="161"/>
      <c r="C16" s="161"/>
      <c r="D16" s="161"/>
      <c r="E16" s="161"/>
      <c r="F16" s="161"/>
      <c r="G16" s="161"/>
      <c r="H16" s="161"/>
      <c r="I16" s="161"/>
      <c r="J16" s="26"/>
      <c r="K16" s="145"/>
      <c r="L16" s="406"/>
      <c r="M16" s="161"/>
      <c r="N16" s="161"/>
      <c r="O16" s="161"/>
      <c r="P16" s="407" t="s">
        <v>381</v>
      </c>
      <c r="Q16" s="161" t="s">
        <v>71</v>
      </c>
      <c r="R16" s="89" t="s">
        <v>47</v>
      </c>
      <c r="S16" s="26"/>
      <c r="T16" s="26"/>
      <c r="U16" s="26"/>
      <c r="W16" s="140">
        <v>7.0</v>
      </c>
      <c r="X16" s="405" t="s">
        <v>524</v>
      </c>
      <c r="Y16" s="193">
        <f t="shared" si="1"/>
        <v>0</v>
      </c>
    </row>
    <row r="17">
      <c r="A17" s="209"/>
      <c r="B17" s="209"/>
      <c r="C17" s="209"/>
      <c r="D17" s="26"/>
      <c r="E17" s="145"/>
      <c r="F17" s="57"/>
      <c r="G17" s="161"/>
      <c r="H17" s="161"/>
      <c r="I17" s="161"/>
      <c r="J17" s="26"/>
      <c r="K17" s="145"/>
      <c r="L17" s="145"/>
      <c r="M17" s="209"/>
      <c r="N17" s="209"/>
      <c r="O17" s="209"/>
      <c r="P17" s="38" t="s">
        <v>205</v>
      </c>
      <c r="Q17" s="26" t="s">
        <v>319</v>
      </c>
      <c r="R17" s="38" t="s">
        <v>57</v>
      </c>
      <c r="S17" s="161"/>
      <c r="T17" s="161"/>
      <c r="U17" s="161"/>
      <c r="W17" s="140">
        <v>8.0</v>
      </c>
      <c r="X17" s="405" t="s">
        <v>413</v>
      </c>
      <c r="Y17" s="193">
        <f t="shared" si="1"/>
        <v>2</v>
      </c>
    </row>
    <row r="18">
      <c r="A18" s="209"/>
      <c r="B18" s="209"/>
      <c r="C18" s="209"/>
      <c r="D18" s="38" t="s">
        <v>487</v>
      </c>
      <c r="E18" s="38" t="s">
        <v>232</v>
      </c>
      <c r="F18" s="38" t="s">
        <v>47</v>
      </c>
      <c r="G18" s="206"/>
      <c r="H18" s="206"/>
      <c r="I18" s="206"/>
      <c r="J18" s="26" t="s">
        <v>400</v>
      </c>
      <c r="K18" s="26" t="s">
        <v>406</v>
      </c>
      <c r="L18" s="26" t="s">
        <v>345</v>
      </c>
      <c r="M18" s="26"/>
      <c r="N18" s="26"/>
      <c r="O18" s="26"/>
      <c r="P18" s="87"/>
      <c r="Q18" s="58"/>
      <c r="R18" s="87"/>
      <c r="S18" s="95" t="s">
        <v>139</v>
      </c>
      <c r="T18" s="95" t="s">
        <v>153</v>
      </c>
      <c r="U18" s="95" t="s">
        <v>490</v>
      </c>
      <c r="W18" s="140">
        <v>9.0</v>
      </c>
      <c r="X18" s="405" t="s">
        <v>205</v>
      </c>
      <c r="Y18" s="193">
        <f t="shared" si="1"/>
        <v>2</v>
      </c>
    </row>
    <row r="19" ht="15.0" customHeight="1">
      <c r="A19" s="209"/>
      <c r="B19" s="209"/>
      <c r="C19" s="209"/>
      <c r="D19" s="161"/>
      <c r="E19" s="161"/>
      <c r="F19" s="161"/>
      <c r="G19" s="26" t="s">
        <v>413</v>
      </c>
      <c r="H19" s="26" t="s">
        <v>186</v>
      </c>
      <c r="I19" s="26" t="s">
        <v>57</v>
      </c>
      <c r="J19" s="161"/>
      <c r="K19" s="161"/>
      <c r="L19" s="161"/>
      <c r="M19" s="95" t="s">
        <v>142</v>
      </c>
      <c r="N19" s="95" t="s">
        <v>153</v>
      </c>
      <c r="O19" s="95" t="s">
        <v>57</v>
      </c>
      <c r="P19" s="87" t="s">
        <v>522</v>
      </c>
      <c r="Q19" s="58" t="s">
        <v>55</v>
      </c>
      <c r="R19" s="87" t="s">
        <v>57</v>
      </c>
      <c r="S19" s="161"/>
      <c r="T19" s="161"/>
      <c r="U19" s="161"/>
      <c r="W19" s="140">
        <v>10.0</v>
      </c>
      <c r="X19" s="405" t="s">
        <v>36</v>
      </c>
      <c r="Y19" s="193">
        <f t="shared" si="1"/>
        <v>1</v>
      </c>
    </row>
    <row r="20" ht="15.0" customHeight="1">
      <c r="A20" s="161"/>
      <c r="B20" s="161"/>
      <c r="C20" s="161"/>
      <c r="D20" s="161"/>
      <c r="E20" s="161"/>
      <c r="F20" s="161"/>
      <c r="G20" s="161"/>
      <c r="H20" s="161"/>
      <c r="I20" s="21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W20" s="140">
        <v>11.0</v>
      </c>
      <c r="X20" s="405" t="s">
        <v>33</v>
      </c>
      <c r="Y20" s="193">
        <f t="shared" si="1"/>
        <v>1</v>
      </c>
    </row>
    <row r="21" ht="15.75" customHeight="1">
      <c r="A21" s="84" t="s">
        <v>118</v>
      </c>
      <c r="B21" s="10"/>
      <c r="C21" s="11"/>
      <c r="D21" s="84" t="s">
        <v>8</v>
      </c>
      <c r="E21" s="10"/>
      <c r="F21" s="11"/>
      <c r="G21" s="84" t="s">
        <v>119</v>
      </c>
      <c r="H21" s="10"/>
      <c r="I21" s="11"/>
      <c r="J21" s="84" t="s">
        <v>10</v>
      </c>
      <c r="K21" s="10"/>
      <c r="L21" s="11"/>
      <c r="M21" s="84" t="s">
        <v>11</v>
      </c>
      <c r="N21" s="10"/>
      <c r="O21" s="11"/>
      <c r="P21" s="84" t="s">
        <v>83</v>
      </c>
      <c r="Q21" s="10"/>
      <c r="R21" s="11"/>
      <c r="S21" s="85" t="s">
        <v>84</v>
      </c>
      <c r="T21" s="10"/>
      <c r="U21" s="11"/>
      <c r="W21" s="140">
        <v>12.0</v>
      </c>
      <c r="X21" s="405" t="s">
        <v>17</v>
      </c>
      <c r="Y21" s="193">
        <f t="shared" si="1"/>
        <v>0</v>
      </c>
    </row>
    <row r="22" ht="15.75" customHeight="1">
      <c r="A22" s="86">
        <f>S14+1</f>
        <v>45852</v>
      </c>
      <c r="B22" s="10"/>
      <c r="C22" s="11"/>
      <c r="D22" s="86">
        <f>A22+1</f>
        <v>45853</v>
      </c>
      <c r="E22" s="10"/>
      <c r="F22" s="11"/>
      <c r="G22" s="86">
        <f>D22+1</f>
        <v>45854</v>
      </c>
      <c r="H22" s="10"/>
      <c r="I22" s="11"/>
      <c r="J22" s="86">
        <f>G22+1</f>
        <v>45855</v>
      </c>
      <c r="K22" s="10"/>
      <c r="L22" s="11"/>
      <c r="M22" s="86">
        <f>J22+1</f>
        <v>45856</v>
      </c>
      <c r="N22" s="10"/>
      <c r="O22" s="11"/>
      <c r="P22" s="86">
        <f>M22+1</f>
        <v>45857</v>
      </c>
      <c r="Q22" s="10"/>
      <c r="R22" s="11"/>
      <c r="S22" s="122">
        <f>P22+1</f>
        <v>45858</v>
      </c>
      <c r="T22" s="10"/>
      <c r="U22" s="11"/>
      <c r="W22" s="140">
        <v>13.0</v>
      </c>
      <c r="X22" s="405" t="s">
        <v>525</v>
      </c>
      <c r="Y22" s="193">
        <f t="shared" si="1"/>
        <v>1</v>
      </c>
    </row>
    <row r="23" ht="15.75" customHeight="1">
      <c r="A23" s="209"/>
      <c r="B23" s="209"/>
      <c r="C23" s="209"/>
      <c r="D23" s="38"/>
      <c r="E23" s="38"/>
      <c r="F23" s="38"/>
      <c r="G23" s="161"/>
      <c r="H23" s="161"/>
      <c r="I23" s="161"/>
      <c r="J23" s="209"/>
      <c r="K23" s="209"/>
      <c r="L23" s="209"/>
      <c r="M23" s="26"/>
      <c r="N23" s="196"/>
      <c r="O23" s="145"/>
      <c r="P23" s="209"/>
      <c r="Q23" s="209"/>
      <c r="R23" s="209"/>
      <c r="S23" s="26"/>
      <c r="T23" s="26"/>
      <c r="U23" s="26"/>
      <c r="W23" s="140">
        <v>14.0</v>
      </c>
      <c r="X23" s="405" t="s">
        <v>130</v>
      </c>
      <c r="Y23" s="193">
        <f t="shared" si="1"/>
        <v>1</v>
      </c>
    </row>
    <row r="24" ht="15.75" customHeight="1">
      <c r="A24" s="209"/>
      <c r="B24" s="209"/>
      <c r="C24" s="209"/>
      <c r="D24" s="38"/>
      <c r="E24" s="38"/>
      <c r="F24" s="38"/>
      <c r="G24" s="161"/>
      <c r="H24" s="161"/>
      <c r="I24" s="161"/>
      <c r="J24" s="209"/>
      <c r="K24" s="209"/>
      <c r="L24" s="209"/>
      <c r="M24" s="26"/>
      <c r="N24" s="26"/>
      <c r="O24" s="145"/>
      <c r="P24" s="161"/>
      <c r="Q24" s="161"/>
      <c r="R24" s="89"/>
      <c r="S24" s="190"/>
      <c r="T24" s="190"/>
      <c r="U24" s="190"/>
      <c r="W24" s="140">
        <v>15.0</v>
      </c>
      <c r="X24" s="405" t="s">
        <v>307</v>
      </c>
      <c r="Y24" s="193">
        <f t="shared" si="1"/>
        <v>0</v>
      </c>
    </row>
    <row r="25" ht="15.75" customHeight="1">
      <c r="A25" s="188" t="s">
        <v>526</v>
      </c>
      <c r="B25" s="188" t="s">
        <v>50</v>
      </c>
      <c r="C25" s="188" t="s">
        <v>527</v>
      </c>
      <c r="D25" s="38"/>
      <c r="E25" s="38"/>
      <c r="F25" s="38"/>
      <c r="G25" s="26" t="s">
        <v>246</v>
      </c>
      <c r="H25" s="26" t="s">
        <v>247</v>
      </c>
      <c r="I25" s="26" t="s">
        <v>57</v>
      </c>
      <c r="J25" s="209"/>
      <c r="K25" s="209"/>
      <c r="L25" s="209"/>
      <c r="M25" s="26" t="s">
        <v>528</v>
      </c>
      <c r="N25" s="26" t="s">
        <v>240</v>
      </c>
      <c r="O25" s="26"/>
      <c r="P25" s="161"/>
      <c r="Q25" s="161"/>
      <c r="R25" s="89"/>
      <c r="S25" s="190" t="s">
        <v>407</v>
      </c>
      <c r="T25" s="190" t="s">
        <v>179</v>
      </c>
      <c r="U25" s="190" t="s">
        <v>57</v>
      </c>
      <c r="W25" s="140">
        <v>16.0</v>
      </c>
      <c r="X25" s="405" t="s">
        <v>407</v>
      </c>
      <c r="Y25" s="193">
        <f t="shared" si="1"/>
        <v>2</v>
      </c>
    </row>
    <row r="26" ht="15.75" customHeight="1">
      <c r="A26" s="209"/>
      <c r="B26" s="209"/>
      <c r="C26" s="209"/>
      <c r="D26" s="38" t="s">
        <v>487</v>
      </c>
      <c r="E26" s="38" t="s">
        <v>232</v>
      </c>
      <c r="F26" s="38" t="s">
        <v>47</v>
      </c>
      <c r="G26" s="206"/>
      <c r="H26" s="206"/>
      <c r="I26" s="206"/>
      <c r="J26" s="26" t="s">
        <v>400</v>
      </c>
      <c r="K26" s="26" t="s">
        <v>406</v>
      </c>
      <c r="L26" s="26" t="s">
        <v>57</v>
      </c>
      <c r="M26" s="23"/>
      <c r="N26" s="23"/>
      <c r="O26" s="23"/>
      <c r="P26" s="87" t="s">
        <v>130</v>
      </c>
      <c r="Q26" s="88" t="s">
        <v>131</v>
      </c>
      <c r="R26" s="88" t="s">
        <v>47</v>
      </c>
      <c r="S26" s="161"/>
      <c r="T26" s="161"/>
      <c r="U26" s="161"/>
      <c r="W26" s="140">
        <v>17.0</v>
      </c>
      <c r="X26" s="405" t="s">
        <v>246</v>
      </c>
      <c r="Y26" s="193">
        <f t="shared" si="1"/>
        <v>2</v>
      </c>
    </row>
    <row r="27" ht="15.75" customHeight="1">
      <c r="A27" s="209"/>
      <c r="B27" s="209"/>
      <c r="C27" s="209"/>
      <c r="D27" s="36" t="s">
        <v>36</v>
      </c>
      <c r="E27" s="36" t="s">
        <v>60</v>
      </c>
      <c r="F27" s="36" t="s">
        <v>57</v>
      </c>
      <c r="G27" s="161"/>
      <c r="H27" s="161"/>
      <c r="I27" s="161"/>
      <c r="J27" s="209"/>
      <c r="K27" s="209"/>
      <c r="L27" s="209"/>
      <c r="M27" s="26" t="s">
        <v>316</v>
      </c>
      <c r="N27" s="26" t="s">
        <v>313</v>
      </c>
      <c r="O27" s="26" t="s">
        <v>57</v>
      </c>
      <c r="P27" s="101" t="s">
        <v>525</v>
      </c>
      <c r="Q27" s="101" t="s">
        <v>210</v>
      </c>
      <c r="R27" s="107" t="s">
        <v>57</v>
      </c>
      <c r="S27" s="95" t="s">
        <v>139</v>
      </c>
      <c r="T27" s="95" t="s">
        <v>153</v>
      </c>
      <c r="U27" s="190" t="s">
        <v>57</v>
      </c>
      <c r="W27" s="140">
        <v>18.0</v>
      </c>
      <c r="X27" s="405" t="s">
        <v>381</v>
      </c>
      <c r="Y27" s="193">
        <f t="shared" si="1"/>
        <v>2</v>
      </c>
    </row>
    <row r="28" ht="15.75" customHeight="1">
      <c r="A28" s="161"/>
      <c r="B28" s="161"/>
      <c r="C28" s="161"/>
      <c r="D28" s="26"/>
      <c r="E28" s="26"/>
      <c r="F28" s="26"/>
      <c r="G28" s="161"/>
      <c r="H28" s="161"/>
      <c r="I28" s="211"/>
      <c r="J28" s="161"/>
      <c r="K28" s="161"/>
      <c r="L28" s="161"/>
      <c r="M28" s="161"/>
      <c r="N28" s="161"/>
      <c r="O28" s="211"/>
      <c r="P28" s="161"/>
      <c r="Q28" s="161"/>
      <c r="R28" s="95" t="s">
        <v>350</v>
      </c>
      <c r="S28" s="161"/>
      <c r="T28" s="161"/>
      <c r="U28" s="161"/>
      <c r="W28" s="140">
        <v>19.0</v>
      </c>
      <c r="X28" s="405"/>
      <c r="Y28" s="193">
        <f t="shared" si="1"/>
        <v>0</v>
      </c>
    </row>
    <row r="29" ht="15.75" customHeight="1">
      <c r="A29" s="97" t="s">
        <v>118</v>
      </c>
      <c r="B29" s="10"/>
      <c r="C29" s="11"/>
      <c r="D29" s="97" t="s">
        <v>8</v>
      </c>
      <c r="E29" s="10"/>
      <c r="F29" s="11"/>
      <c r="G29" s="97" t="s">
        <v>119</v>
      </c>
      <c r="H29" s="10"/>
      <c r="I29" s="11"/>
      <c r="J29" s="97" t="s">
        <v>10</v>
      </c>
      <c r="K29" s="10"/>
      <c r="L29" s="11"/>
      <c r="M29" s="97" t="s">
        <v>95</v>
      </c>
      <c r="N29" s="10"/>
      <c r="O29" s="11"/>
      <c r="P29" s="199" t="s">
        <v>83</v>
      </c>
      <c r="Q29" s="10"/>
      <c r="R29" s="11"/>
      <c r="S29" s="98" t="s">
        <v>13</v>
      </c>
      <c r="T29" s="10"/>
      <c r="U29" s="11"/>
      <c r="W29" s="140">
        <v>20.0</v>
      </c>
      <c r="X29" s="405"/>
      <c r="Y29" s="193">
        <f t="shared" si="1"/>
        <v>0</v>
      </c>
    </row>
    <row r="30" ht="15.75" customHeight="1">
      <c r="A30" s="99">
        <f>S22+1</f>
        <v>45859</v>
      </c>
      <c r="B30" s="10"/>
      <c r="C30" s="11"/>
      <c r="D30" s="99">
        <f>A30+1</f>
        <v>45860</v>
      </c>
      <c r="E30" s="10"/>
      <c r="F30" s="11"/>
      <c r="G30" s="99">
        <f>D30+1</f>
        <v>45861</v>
      </c>
      <c r="H30" s="10"/>
      <c r="I30" s="11"/>
      <c r="J30" s="99">
        <f>G30+1</f>
        <v>45862</v>
      </c>
      <c r="K30" s="10"/>
      <c r="L30" s="11"/>
      <c r="M30" s="99">
        <f>J30+1</f>
        <v>45863</v>
      </c>
      <c r="N30" s="10"/>
      <c r="O30" s="11"/>
      <c r="P30" s="200">
        <f>M30+1</f>
        <v>45864</v>
      </c>
      <c r="Q30" s="10"/>
      <c r="R30" s="11"/>
      <c r="S30" s="100">
        <f>P30+1</f>
        <v>45865</v>
      </c>
      <c r="T30" s="10"/>
      <c r="U30" s="11"/>
      <c r="W30" s="140">
        <v>21.0</v>
      </c>
      <c r="X30" s="405"/>
      <c r="Y30" s="193">
        <f t="shared" si="1"/>
        <v>0</v>
      </c>
    </row>
    <row r="31" ht="15.75" customHeight="1">
      <c r="A31" s="209"/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6"/>
      <c r="N31" s="196"/>
      <c r="O31" s="145"/>
      <c r="P31" s="209"/>
      <c r="Q31" s="209"/>
      <c r="R31" s="209"/>
      <c r="S31" s="209"/>
      <c r="T31" s="209"/>
      <c r="U31" s="209"/>
      <c r="W31" s="140">
        <v>22.0</v>
      </c>
      <c r="X31" s="405"/>
      <c r="Y31" s="193">
        <f t="shared" si="1"/>
        <v>0</v>
      </c>
    </row>
    <row r="32" ht="15.75" customHeight="1">
      <c r="A32" s="209"/>
      <c r="B32" s="209"/>
      <c r="C32" s="209"/>
      <c r="D32" s="26"/>
      <c r="E32" s="145"/>
      <c r="F32" s="145"/>
      <c r="G32" s="209"/>
      <c r="H32" s="209"/>
      <c r="I32" s="209"/>
      <c r="J32" s="209" t="s">
        <v>529</v>
      </c>
      <c r="K32" s="209" t="s">
        <v>134</v>
      </c>
      <c r="L32" s="209" t="s">
        <v>530</v>
      </c>
      <c r="M32" s="209" t="s">
        <v>529</v>
      </c>
      <c r="N32" s="209" t="s">
        <v>134</v>
      </c>
      <c r="O32" s="209" t="s">
        <v>530</v>
      </c>
      <c r="P32" s="161" t="s">
        <v>381</v>
      </c>
      <c r="Q32" s="161" t="s">
        <v>71</v>
      </c>
      <c r="R32" s="89" t="s">
        <v>47</v>
      </c>
      <c r="S32" s="209"/>
      <c r="T32" s="209"/>
      <c r="U32" s="209"/>
      <c r="W32" s="140">
        <v>23.0</v>
      </c>
      <c r="X32" s="405"/>
      <c r="Y32" s="193">
        <f t="shared" si="1"/>
        <v>0</v>
      </c>
    </row>
    <row r="33" ht="15.75" customHeight="1">
      <c r="A33" s="209"/>
      <c r="B33" s="209"/>
      <c r="C33" s="209"/>
      <c r="D33" s="87"/>
      <c r="E33" s="87"/>
      <c r="F33" s="87"/>
      <c r="G33" s="209"/>
      <c r="H33" s="209"/>
      <c r="I33" s="209"/>
      <c r="J33" s="209"/>
      <c r="K33" s="209"/>
      <c r="L33" s="209"/>
      <c r="M33" s="26"/>
      <c r="N33" s="26"/>
      <c r="O33" s="145"/>
      <c r="P33" s="38" t="s">
        <v>205</v>
      </c>
      <c r="Q33" s="26" t="s">
        <v>319</v>
      </c>
      <c r="R33" s="38" t="s">
        <v>57</v>
      </c>
      <c r="S33" s="26"/>
      <c r="T33" s="26"/>
      <c r="U33" s="26"/>
      <c r="W33" s="140">
        <v>24.0</v>
      </c>
      <c r="X33" s="405"/>
      <c r="Y33" s="193">
        <f t="shared" si="1"/>
        <v>0</v>
      </c>
    </row>
    <row r="34" ht="15.0" customHeight="1">
      <c r="A34" s="209"/>
      <c r="B34" s="209"/>
      <c r="C34" s="209"/>
      <c r="D34" s="38" t="s">
        <v>487</v>
      </c>
      <c r="E34" s="38" t="s">
        <v>232</v>
      </c>
      <c r="F34" s="38" t="s">
        <v>47</v>
      </c>
      <c r="G34" s="26" t="s">
        <v>413</v>
      </c>
      <c r="H34" s="26" t="s">
        <v>186</v>
      </c>
      <c r="I34" s="26" t="s">
        <v>57</v>
      </c>
      <c r="J34" s="26" t="s">
        <v>400</v>
      </c>
      <c r="K34" s="26" t="s">
        <v>406</v>
      </c>
      <c r="L34" s="26" t="s">
        <v>345</v>
      </c>
      <c r="M34" s="95" t="s">
        <v>142</v>
      </c>
      <c r="N34" s="95" t="s">
        <v>153</v>
      </c>
      <c r="O34" s="95" t="s">
        <v>57</v>
      </c>
      <c r="P34" s="87" t="s">
        <v>522</v>
      </c>
      <c r="Q34" s="58" t="s">
        <v>55</v>
      </c>
      <c r="R34" s="87" t="s">
        <v>57</v>
      </c>
      <c r="S34" s="95" t="s">
        <v>139</v>
      </c>
      <c r="T34" s="95" t="s">
        <v>153</v>
      </c>
      <c r="U34" s="95" t="s">
        <v>490</v>
      </c>
      <c r="W34" s="140">
        <v>25.0</v>
      </c>
      <c r="X34" s="405"/>
      <c r="Y34" s="193">
        <f t="shared" si="1"/>
        <v>0</v>
      </c>
    </row>
    <row r="35" ht="15.75" customHeight="1">
      <c r="A35" s="209"/>
      <c r="B35" s="209"/>
      <c r="C35" s="209"/>
      <c r="D35" s="161"/>
      <c r="E35" s="161"/>
      <c r="F35" s="161"/>
      <c r="G35" s="209"/>
      <c r="H35" s="209"/>
      <c r="I35" s="209"/>
      <c r="J35" s="209"/>
      <c r="K35" s="209"/>
      <c r="L35" s="209"/>
      <c r="M35" s="26"/>
      <c r="N35" s="26"/>
      <c r="O35" s="26"/>
      <c r="P35" s="87"/>
      <c r="Q35" s="58"/>
      <c r="R35" s="87"/>
      <c r="S35" s="161"/>
      <c r="T35" s="161"/>
      <c r="U35" s="161"/>
      <c r="W35" s="140">
        <v>26.0</v>
      </c>
      <c r="X35" s="405"/>
      <c r="Y35" s="193">
        <f t="shared" si="1"/>
        <v>0</v>
      </c>
    </row>
    <row r="36" ht="14.25" customHeight="1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211"/>
      <c r="P36" s="161"/>
      <c r="Q36" s="161"/>
      <c r="R36" s="161"/>
      <c r="S36" s="161"/>
      <c r="T36" s="161"/>
      <c r="U36" s="161"/>
      <c r="W36" s="140">
        <v>27.0</v>
      </c>
      <c r="X36" s="405"/>
      <c r="Y36" s="193">
        <f t="shared" si="1"/>
        <v>0</v>
      </c>
    </row>
    <row r="37" ht="15.75" customHeight="1">
      <c r="A37" s="84" t="s">
        <v>118</v>
      </c>
      <c r="B37" s="10"/>
      <c r="C37" s="11"/>
      <c r="D37" s="84" t="s">
        <v>8</v>
      </c>
      <c r="E37" s="10"/>
      <c r="F37" s="11"/>
      <c r="G37" s="84" t="s">
        <v>119</v>
      </c>
      <c r="H37" s="10"/>
      <c r="I37" s="11"/>
      <c r="J37" s="84" t="s">
        <v>10</v>
      </c>
      <c r="K37" s="10"/>
      <c r="L37" s="11"/>
      <c r="M37" s="84"/>
      <c r="N37" s="10"/>
      <c r="O37" s="11"/>
      <c r="P37" s="84"/>
      <c r="Q37" s="10"/>
      <c r="R37" s="11"/>
      <c r="S37" s="85"/>
      <c r="T37" s="10"/>
      <c r="U37" s="11"/>
      <c r="W37" s="140">
        <v>28.0</v>
      </c>
      <c r="X37" s="405"/>
      <c r="Y37" s="193">
        <f t="shared" si="1"/>
        <v>0</v>
      </c>
    </row>
    <row r="38" ht="15.75" customHeight="1">
      <c r="A38" s="86">
        <f>S30+1</f>
        <v>45866</v>
      </c>
      <c r="B38" s="10"/>
      <c r="C38" s="11"/>
      <c r="D38" s="86">
        <f>A38+1</f>
        <v>45867</v>
      </c>
      <c r="E38" s="10"/>
      <c r="F38" s="11"/>
      <c r="G38" s="86">
        <f>D38+1</f>
        <v>45868</v>
      </c>
      <c r="H38" s="10"/>
      <c r="I38" s="11"/>
      <c r="J38" s="86">
        <f>G38+1</f>
        <v>45869</v>
      </c>
      <c r="K38" s="10"/>
      <c r="L38" s="11"/>
      <c r="M38" s="86"/>
      <c r="N38" s="10"/>
      <c r="O38" s="11"/>
      <c r="P38" s="86"/>
      <c r="Q38" s="10"/>
      <c r="R38" s="11"/>
      <c r="S38" s="122"/>
      <c r="T38" s="10"/>
      <c r="U38" s="11"/>
      <c r="W38" s="140">
        <v>29.0</v>
      </c>
      <c r="X38" s="405"/>
      <c r="Y38" s="193">
        <f t="shared" si="1"/>
        <v>0</v>
      </c>
    </row>
    <row r="39" ht="15.75" customHeight="1">
      <c r="A39" s="161"/>
      <c r="B39" s="161"/>
      <c r="C39" s="161"/>
      <c r="D39" s="209"/>
      <c r="E39" s="209"/>
      <c r="F39" s="209"/>
      <c r="G39" s="161"/>
      <c r="H39" s="161"/>
      <c r="I39" s="161"/>
      <c r="J39" s="209"/>
      <c r="K39" s="209"/>
      <c r="L39" s="209"/>
      <c r="M39" s="26"/>
      <c r="N39" s="196"/>
      <c r="O39" s="145"/>
      <c r="P39" s="209"/>
      <c r="Q39" s="209"/>
      <c r="R39" s="209"/>
      <c r="S39" s="209"/>
      <c r="T39" s="209"/>
      <c r="U39" s="209"/>
    </row>
    <row r="40" ht="15.75" customHeight="1">
      <c r="A40" s="190"/>
      <c r="B40" s="190"/>
      <c r="C40" s="145"/>
      <c r="D40" s="26"/>
      <c r="E40" s="145"/>
      <c r="F40" s="145"/>
      <c r="G40" s="161"/>
      <c r="H40" s="161"/>
      <c r="I40" s="161"/>
      <c r="J40" s="209"/>
      <c r="K40" s="209"/>
      <c r="L40" s="209"/>
      <c r="M40" s="26"/>
      <c r="N40" s="26"/>
      <c r="O40" s="145"/>
      <c r="P40" s="209"/>
      <c r="Q40" s="209"/>
      <c r="R40" s="209"/>
      <c r="S40" s="209"/>
      <c r="T40" s="209"/>
      <c r="U40" s="209"/>
    </row>
    <row r="41" ht="15.75" customHeight="1">
      <c r="A41" s="29" t="s">
        <v>33</v>
      </c>
      <c r="B41" s="23" t="s">
        <v>55</v>
      </c>
      <c r="C41" s="23" t="s">
        <v>57</v>
      </c>
      <c r="D41" s="87"/>
      <c r="E41" s="87"/>
      <c r="F41" s="87"/>
      <c r="G41" s="161"/>
      <c r="H41" s="161"/>
      <c r="I41" s="161"/>
      <c r="J41" s="209"/>
      <c r="K41" s="209"/>
      <c r="L41" s="209"/>
      <c r="M41" s="161"/>
      <c r="N41" s="161"/>
      <c r="O41" s="161"/>
      <c r="P41" s="87"/>
      <c r="Q41" s="87"/>
      <c r="R41" s="87"/>
      <c r="S41" s="87"/>
      <c r="T41" s="87"/>
      <c r="U41" s="87"/>
    </row>
    <row r="42" ht="15.75" customHeight="1">
      <c r="A42" s="95"/>
      <c r="B42" s="161"/>
      <c r="C42" s="161"/>
      <c r="D42" s="38"/>
      <c r="E42" s="38"/>
      <c r="F42" s="38"/>
      <c r="G42" s="161"/>
      <c r="H42" s="161"/>
      <c r="I42" s="161"/>
      <c r="J42" s="209"/>
      <c r="K42" s="209"/>
      <c r="L42" s="209"/>
      <c r="M42" s="23"/>
      <c r="N42" s="23"/>
      <c r="O42" s="23"/>
      <c r="P42" s="87"/>
      <c r="Q42" s="58"/>
      <c r="R42" s="87"/>
      <c r="S42" s="87"/>
      <c r="T42" s="58"/>
      <c r="U42" s="87"/>
    </row>
    <row r="43" ht="15.75" customHeight="1">
      <c r="A43" s="161"/>
      <c r="B43" s="161"/>
      <c r="C43" s="161"/>
      <c r="D43" s="161"/>
      <c r="E43" s="161"/>
      <c r="F43" s="161"/>
      <c r="G43" s="161"/>
      <c r="H43" s="161"/>
      <c r="I43" s="161"/>
      <c r="J43" s="209"/>
      <c r="K43" s="209"/>
      <c r="L43" s="209"/>
      <c r="M43" s="26"/>
      <c r="N43" s="26"/>
      <c r="O43" s="26"/>
      <c r="P43" s="87"/>
      <c r="Q43" s="58"/>
      <c r="R43" s="87"/>
      <c r="S43" s="87"/>
      <c r="T43" s="58"/>
      <c r="U43" s="87"/>
    </row>
    <row r="44" ht="15.75" customHeight="1">
      <c r="A44" s="161"/>
      <c r="B44" s="161"/>
      <c r="C44" s="211"/>
      <c r="D44" s="161"/>
      <c r="E44" s="161"/>
      <c r="F44" s="161"/>
      <c r="G44" s="161"/>
      <c r="H44" s="161"/>
      <c r="I44" s="211"/>
      <c r="J44" s="209"/>
      <c r="K44" s="209"/>
      <c r="L44" s="209"/>
      <c r="M44" s="161"/>
      <c r="N44" s="161"/>
      <c r="O44" s="211"/>
      <c r="P44" s="161"/>
      <c r="Q44" s="161"/>
      <c r="R44" s="161"/>
      <c r="S44" s="161"/>
      <c r="T44" s="161"/>
      <c r="U44" s="161"/>
    </row>
    <row r="45" ht="15.75" customHeight="1">
      <c r="A45" s="97"/>
      <c r="B45" s="10"/>
      <c r="C45" s="11"/>
      <c r="D45" s="97"/>
      <c r="E45" s="10"/>
      <c r="F45" s="11"/>
      <c r="G45" s="97"/>
      <c r="H45" s="10"/>
      <c r="I45" s="11"/>
      <c r="J45" s="97"/>
      <c r="K45" s="10"/>
      <c r="L45" s="11"/>
      <c r="M45" s="97"/>
      <c r="N45" s="10"/>
      <c r="O45" s="11"/>
      <c r="P45" s="97"/>
      <c r="Q45" s="10"/>
      <c r="R45" s="11"/>
      <c r="S45" s="98"/>
      <c r="T45" s="10"/>
      <c r="U45" s="11"/>
    </row>
    <row r="46" ht="15.75" customHeight="1">
      <c r="A46" s="99"/>
      <c r="B46" s="10"/>
      <c r="C46" s="11"/>
      <c r="D46" s="99"/>
      <c r="E46" s="10"/>
      <c r="F46" s="11"/>
      <c r="G46" s="99"/>
      <c r="H46" s="10"/>
      <c r="I46" s="11"/>
      <c r="J46" s="99"/>
      <c r="K46" s="10"/>
      <c r="L46" s="11"/>
      <c r="M46" s="99"/>
      <c r="N46" s="10"/>
      <c r="O46" s="11"/>
      <c r="P46" s="99"/>
      <c r="Q46" s="10"/>
      <c r="R46" s="11"/>
      <c r="S46" s="99"/>
      <c r="T46" s="10"/>
      <c r="U46" s="11"/>
    </row>
    <row r="47" ht="15.75" customHeight="1">
      <c r="A47" s="209"/>
      <c r="B47" s="209"/>
      <c r="C47" s="209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209"/>
      <c r="Q47" s="209"/>
      <c r="R47" s="209"/>
      <c r="S47" s="161"/>
      <c r="T47" s="161"/>
      <c r="U47" s="161"/>
    </row>
    <row r="48" ht="15.75" customHeight="1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209"/>
      <c r="Q48" s="209"/>
      <c r="R48" s="209"/>
      <c r="S48" s="161"/>
      <c r="T48" s="161"/>
      <c r="U48" s="161"/>
    </row>
    <row r="49" ht="15.75" customHeight="1">
      <c r="A49" s="26"/>
      <c r="B49" s="145"/>
      <c r="C49" s="145"/>
      <c r="D49" s="161"/>
      <c r="E49" s="161"/>
      <c r="F49" s="161"/>
      <c r="G49" s="161"/>
      <c r="H49" s="161"/>
      <c r="I49" s="161"/>
      <c r="J49" s="26"/>
      <c r="K49" s="145"/>
      <c r="L49" s="161"/>
      <c r="M49" s="161"/>
      <c r="N49" s="161"/>
      <c r="O49" s="161"/>
      <c r="P49" s="209"/>
      <c r="Q49" s="209"/>
      <c r="R49" s="209"/>
      <c r="S49" s="161"/>
      <c r="T49" s="161"/>
      <c r="U49" s="161"/>
    </row>
    <row r="50" ht="15.75" customHeight="1">
      <c r="A50" s="95"/>
      <c r="B50" s="95"/>
      <c r="C50" s="95"/>
      <c r="D50" s="38"/>
      <c r="E50" s="38"/>
      <c r="F50" s="38"/>
      <c r="G50" s="206"/>
      <c r="H50" s="206"/>
      <c r="I50" s="206"/>
      <c r="J50" s="161"/>
      <c r="K50" s="161"/>
      <c r="L50" s="161"/>
      <c r="M50" s="161"/>
      <c r="N50" s="161"/>
      <c r="O50" s="161"/>
      <c r="P50" s="206"/>
      <c r="Q50" s="190"/>
      <c r="R50" s="161"/>
      <c r="S50" s="161"/>
      <c r="T50" s="161"/>
      <c r="U50" s="161"/>
    </row>
    <row r="51" ht="15.75" customHeight="1">
      <c r="A51" s="161"/>
      <c r="B51" s="161"/>
      <c r="C51" s="161"/>
      <c r="D51" s="29"/>
      <c r="E51" s="23"/>
      <c r="F51" s="23"/>
      <c r="G51" s="161"/>
      <c r="H51" s="161"/>
      <c r="I51" s="161"/>
      <c r="J51" s="161"/>
      <c r="K51" s="161"/>
      <c r="L51" s="162"/>
      <c r="M51" s="161"/>
      <c r="N51" s="161"/>
      <c r="O51" s="162"/>
      <c r="P51" s="38"/>
      <c r="Q51" s="38"/>
      <c r="R51" s="38"/>
      <c r="S51" s="161"/>
      <c r="T51" s="161"/>
      <c r="U51" s="162"/>
    </row>
    <row r="52" ht="15.75" customHeight="1">
      <c r="A52" s="161"/>
      <c r="B52" s="161"/>
      <c r="C52" s="161"/>
      <c r="D52" s="161"/>
      <c r="E52" s="161"/>
      <c r="F52" s="161"/>
      <c r="G52" s="161"/>
      <c r="H52" s="161"/>
      <c r="I52" s="21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</row>
    <row r="53" ht="15.75" customHeight="1"/>
    <row r="54" ht="15.75" customHeight="1"/>
    <row r="55" ht="15.75" customHeight="1">
      <c r="A55" s="71" t="s">
        <v>72</v>
      </c>
      <c r="B55" s="72"/>
    </row>
    <row r="56" ht="15.75" customHeight="1">
      <c r="A56" s="73"/>
      <c r="B56" s="26" t="s">
        <v>73</v>
      </c>
      <c r="C56" s="57"/>
      <c r="D56" s="74"/>
    </row>
    <row r="57" ht="15.75" customHeight="1">
      <c r="A57" s="75"/>
      <c r="B57" s="26" t="s">
        <v>74</v>
      </c>
      <c r="C57" s="57"/>
    </row>
    <row r="58" ht="15.75" customHeight="1">
      <c r="A58" s="76"/>
      <c r="B58" s="26" t="s">
        <v>75</v>
      </c>
      <c r="C58" s="5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</mergeCells>
  <printOptions/>
  <pageMargins bottom="0.15" footer="0.0" header="0.0" left="0.46" right="0.34" top="0.28"/>
  <pageSetup fitToHeight="0" paperSize="11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2021-03-24T12:44:31Z</dcterms:created>
  <dc:creator>compaq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80699246ff584763878e985b934c08db</vt:lpwstr>
  </property>
</Properties>
</file>